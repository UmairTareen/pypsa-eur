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V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N30" i="3"/>
  <c r="M30" i="3"/>
  <c r="K30" i="3"/>
  <c r="J30" i="3"/>
  <c r="I30" i="3"/>
  <c r="H30" i="3"/>
  <c r="G30" i="3"/>
  <c r="C30" i="3"/>
  <c r="B30" i="3"/>
  <c r="B25" i="1"/>
  <c r="B24" i="1"/>
  <c r="B26" i="1"/>
  <c r="P18" i="20" l="1"/>
  <c r="C18" i="20"/>
  <c r="Q14" i="18"/>
  <c r="E3" i="20"/>
  <c r="E22" i="20" s="1"/>
  <c r="C242" i="3"/>
  <c r="S242" i="3"/>
  <c r="W14" i="18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2" i="20"/>
  <c r="N3" i="18"/>
  <c r="N17" i="18" s="1"/>
  <c r="U14" i="18"/>
  <c r="P14" i="18"/>
  <c r="J14" i="20"/>
  <c r="O3" i="20"/>
  <c r="O23" i="20" s="1"/>
  <c r="O3" i="18"/>
  <c r="O18" i="18" s="1"/>
  <c r="N3" i="20"/>
  <c r="Q25" i="19"/>
  <c r="Q14" i="20"/>
  <c r="Q10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K20" i="19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T23" i="18"/>
  <c r="H14" i="18"/>
  <c r="B15" i="18"/>
  <c r="R15" i="18"/>
  <c r="D10" i="19"/>
  <c r="L10" i="19"/>
  <c r="T10" i="19"/>
  <c r="G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22" i="18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U24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M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R3" i="20"/>
  <c r="F19" i="18" l="1"/>
  <c r="P10" i="20"/>
  <c r="H20" i="19"/>
  <c r="Q24" i="19"/>
  <c r="W23" i="20"/>
  <c r="G25" i="19"/>
  <c r="P24" i="19"/>
  <c r="W17" i="20"/>
  <c r="R22" i="18"/>
  <c r="E23" i="20"/>
  <c r="W10" i="20"/>
  <c r="H25" i="19"/>
  <c r="U29" i="3"/>
  <c r="U121" i="3" s="1"/>
  <c r="F89" i="3"/>
  <c r="F181" i="3" s="1"/>
  <c r="M23" i="18"/>
  <c r="E17" i="20"/>
  <c r="E23" i="18"/>
  <c r="H3" i="19"/>
  <c r="H9" i="20" s="1"/>
  <c r="R242" i="3"/>
  <c r="E22" i="18"/>
  <c r="O11" i="20"/>
  <c r="G24" i="19"/>
  <c r="U18" i="18"/>
  <c r="L23" i="18"/>
  <c r="O21" i="19"/>
  <c r="F22" i="20"/>
  <c r="K23" i="18"/>
  <c r="J21" i="19"/>
  <c r="R25" i="19"/>
  <c r="S10" i="20"/>
  <c r="F24" i="19"/>
  <c r="N20" i="19"/>
  <c r="N24" i="19"/>
  <c r="R21" i="19"/>
  <c r="N10" i="20"/>
  <c r="R23" i="18"/>
  <c r="F20" i="19"/>
  <c r="M22" i="20"/>
  <c r="M23" i="20"/>
  <c r="E13" i="20"/>
  <c r="L21" i="20"/>
  <c r="E21" i="20"/>
  <c r="W24" i="19"/>
  <c r="Q11" i="20"/>
  <c r="T20" i="19"/>
  <c r="W3" i="19"/>
  <c r="W28" i="19" s="1"/>
  <c r="M24" i="19"/>
  <c r="Q21" i="19"/>
  <c r="T24" i="19"/>
  <c r="L10" i="20"/>
  <c r="J11" i="20"/>
  <c r="I213" i="3"/>
  <c r="E18" i="18"/>
  <c r="I22" i="18"/>
  <c r="E19" i="18"/>
  <c r="N13" i="20"/>
  <c r="I21" i="18"/>
  <c r="E13" i="18"/>
  <c r="N23" i="18"/>
  <c r="F18" i="18"/>
  <c r="S22" i="18"/>
  <c r="R212" i="3"/>
  <c r="U19" i="18"/>
  <c r="S23" i="18"/>
  <c r="L20" i="19"/>
  <c r="N29" i="3"/>
  <c r="N24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3" i="3" s="1"/>
  <c r="M3" i="19"/>
  <c r="M27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Q12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C122" i="3"/>
  <c r="C182" i="3"/>
  <c r="E181" i="3"/>
  <c r="E182" i="3"/>
  <c r="F151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E122" i="3"/>
  <c r="O122" i="3"/>
  <c r="F15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M23" i="19"/>
  <c r="M19" i="19"/>
  <c r="I21" i="20"/>
  <c r="I17" i="20"/>
  <c r="I13" i="20"/>
  <c r="M21" i="19"/>
  <c r="M29" i="19"/>
  <c r="M25" i="19"/>
  <c r="M9" i="20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H27" i="19" l="1"/>
  <c r="N123" i="3"/>
  <c r="H19" i="19"/>
  <c r="H23" i="19"/>
  <c r="U123" i="3"/>
  <c r="W29" i="19"/>
  <c r="U122" i="3"/>
  <c r="F182" i="3"/>
  <c r="K183" i="3"/>
  <c r="U182" i="3"/>
  <c r="N122" i="3"/>
  <c r="N121" i="3"/>
  <c r="F183" i="3"/>
  <c r="W9" i="20"/>
  <c r="P9" i="20"/>
  <c r="W27" i="19"/>
  <c r="W19" i="19"/>
  <c r="W23" i="19"/>
  <c r="G28" i="19"/>
  <c r="M182" i="3"/>
  <c r="Q122" i="3"/>
  <c r="E28" i="19"/>
  <c r="Q241" i="3"/>
  <c r="Q9" i="20"/>
  <c r="Q23" i="19"/>
  <c r="D123" i="3"/>
  <c r="E23" i="19"/>
  <c r="F241" i="3"/>
  <c r="N9" i="20"/>
  <c r="T123" i="3"/>
  <c r="L121" i="3"/>
  <c r="P121" i="3"/>
  <c r="P122" i="3"/>
  <c r="N27" i="19"/>
  <c r="N19" i="19"/>
  <c r="G27" i="19"/>
  <c r="P27" i="19"/>
  <c r="E27" i="19"/>
  <c r="T241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W10" i="5" l="1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 l="1"/>
  <c r="I15" i="17"/>
  <c r="Q15" i="17" l="1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I100" i="4" s="1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217" i="4" l="1"/>
  <c r="W10" i="9"/>
  <c r="W60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4" i="9"/>
  <c r="W61" i="9"/>
  <c r="W62" i="9"/>
  <c r="W59" i="9"/>
  <c r="W65" i="9"/>
  <c r="W193" i="3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Q75" i="7" s="1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R60" i="7" s="1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N84" i="4" l="1"/>
  <c r="H60" i="7"/>
  <c r="W57" i="9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I59" i="7" s="1"/>
  <c r="V60" i="7"/>
  <c r="W23" i="9"/>
  <c r="W26" i="10"/>
  <c r="W232" i="3"/>
  <c r="R100" i="4"/>
  <c r="R31" i="4"/>
  <c r="T4" i="6"/>
  <c r="J100" i="4"/>
  <c r="J84" i="4" s="1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B47" i="6" s="1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I200" i="4" s="1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96" i="6" s="1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05" i="6" s="1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92" i="5" s="1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216" i="4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64" i="6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213" i="4" s="1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214" i="4" s="1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46" i="4" s="1"/>
  <c r="U265" i="4" s="1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C100" i="4" s="1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U83" i="6" s="1"/>
  <c r="Q14" i="4"/>
  <c r="Q205" i="4" s="1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93" i="6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95" i="5" s="1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H58" i="4" s="1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C116" i="5"/>
  <c r="C62" i="5"/>
  <c r="C117" i="7" s="1"/>
  <c r="K116" i="5"/>
  <c r="K62" i="5"/>
  <c r="K117" i="7" s="1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201" i="4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77" i="5" s="1"/>
  <c r="O132" i="7" s="1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Q215" i="4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132" i="6"/>
  <c r="J40" i="6"/>
  <c r="J77" i="6" s="1"/>
  <c r="J219" i="7" s="1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I272" i="4"/>
  <c r="I270" i="4"/>
  <c r="I268" i="4"/>
  <c r="V257" i="4"/>
  <c r="V262" i="4"/>
  <c r="V250" i="4"/>
  <c r="V252" i="4"/>
  <c r="R206" i="4"/>
  <c r="R93" i="6"/>
  <c r="R99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177" i="4"/>
  <c r="R258" i="4"/>
  <c r="R70" i="5"/>
  <c r="O46" i="4"/>
  <c r="O265" i="4" s="1"/>
  <c r="O184" i="4"/>
  <c r="O71" i="6"/>
  <c r="O213" i="7" s="1"/>
  <c r="P190" i="4"/>
  <c r="P83" i="5"/>
  <c r="P138" i="7" s="1"/>
  <c r="M58" i="4"/>
  <c r="M4" i="7" s="1"/>
  <c r="N47" i="7"/>
  <c r="P106" i="5"/>
  <c r="G216" i="4"/>
  <c r="G103" i="6"/>
  <c r="G109" i="5"/>
  <c r="Q170" i="4"/>
  <c r="Q63" i="5"/>
  <c r="Q118" i="7" s="1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64" i="6"/>
  <c r="Q184" i="4"/>
  <c r="R190" i="4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77" i="6"/>
  <c r="B219" i="7" s="1"/>
  <c r="B83" i="5"/>
  <c r="B138" i="7" s="1"/>
  <c r="K177" i="4"/>
  <c r="K64" i="6"/>
  <c r="K206" i="7" s="1"/>
  <c r="H184" i="4"/>
  <c r="H77" i="5"/>
  <c r="H132" i="7" s="1"/>
  <c r="R184" i="4"/>
  <c r="R77" i="5"/>
  <c r="R132" i="7" s="1"/>
  <c r="G77" i="6"/>
  <c r="G83" i="5"/>
  <c r="V77" i="6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S26" i="4"/>
  <c r="S218" i="4"/>
  <c r="S105" i="6"/>
  <c r="S111" i="5"/>
  <c r="F58" i="4"/>
  <c r="F13" i="7"/>
  <c r="O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208" i="4"/>
  <c r="S95" i="6"/>
  <c r="S101" i="5"/>
  <c r="U196" i="4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96" i="6"/>
  <c r="I108" i="5"/>
  <c r="F218" i="4"/>
  <c r="E196" i="4"/>
  <c r="E83" i="6"/>
  <c r="E89" i="5"/>
  <c r="I89" i="6"/>
  <c r="C213" i="4"/>
  <c r="C100" i="6"/>
  <c r="C106" i="5"/>
  <c r="E215" i="4"/>
  <c r="E102" i="6"/>
  <c r="E108" i="5"/>
  <c r="H218" i="4"/>
  <c r="H105" i="6"/>
  <c r="H111" i="5"/>
  <c r="O92" i="5"/>
  <c r="S89" i="6"/>
  <c r="M177" i="4"/>
  <c r="Q46" i="4"/>
  <c r="Q265" i="4" s="1"/>
  <c r="V71" i="6"/>
  <c r="V77" i="5"/>
  <c r="D26" i="4"/>
  <c r="D218" i="4"/>
  <c r="P73" i="4"/>
  <c r="P19" i="7" s="1"/>
  <c r="P20" i="7"/>
  <c r="V127" i="4"/>
  <c r="V46" i="7" s="1"/>
  <c r="V47" i="7"/>
  <c r="R47" i="7"/>
  <c r="U198" i="4"/>
  <c r="U85" i="6"/>
  <c r="U91" i="5"/>
  <c r="M200" i="4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92" i="6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R272" i="4"/>
  <c r="R270" i="4"/>
  <c r="R268" i="4"/>
  <c r="R266" i="4"/>
  <c r="M184" i="4"/>
  <c r="M71" i="6"/>
  <c r="M213" i="7" s="1"/>
  <c r="M77" i="5"/>
  <c r="M132" i="7" s="1"/>
  <c r="S212" i="4"/>
  <c r="S99" i="6"/>
  <c r="S105" i="5"/>
  <c r="N77" i="6"/>
  <c r="N271" i="4"/>
  <c r="N83" i="5"/>
  <c r="E190" i="4"/>
  <c r="D73" i="4"/>
  <c r="D26" i="7"/>
  <c r="M73" i="4"/>
  <c r="M26" i="7"/>
  <c r="U73" i="4"/>
  <c r="S47" i="7"/>
  <c r="I199" i="4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258" i="4"/>
  <c r="Q177" i="4"/>
  <c r="Q64" i="6"/>
  <c r="Q206" i="7" s="1"/>
  <c r="V46" i="4"/>
  <c r="N71" i="6"/>
  <c r="N265" i="4"/>
  <c r="N77" i="5"/>
  <c r="O77" i="6"/>
  <c r="O271" i="4"/>
  <c r="O83" i="5"/>
  <c r="I58" i="4"/>
  <c r="I4" i="7" s="1"/>
  <c r="I13" i="7"/>
  <c r="R58" i="4"/>
  <c r="R13" i="7"/>
  <c r="R73" i="4"/>
  <c r="R19" i="7" s="1"/>
  <c r="R20" i="7"/>
  <c r="G112" i="4"/>
  <c r="M47" i="7"/>
  <c r="E252" i="4"/>
  <c r="R253" i="4"/>
  <c r="O109" i="5"/>
  <c r="V83" i="6"/>
  <c r="O4" i="6"/>
  <c r="O47" i="6" s="1"/>
  <c r="L4" i="6"/>
  <c r="T42" i="5"/>
  <c r="N18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S112" i="4"/>
  <c r="B73" i="4"/>
  <c r="B19" i="7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B132" i="7" l="1"/>
  <c r="S125" i="7"/>
  <c r="V138" i="7"/>
  <c r="U125" i="7"/>
  <c r="J127" i="4"/>
  <c r="J46" i="7" s="1"/>
  <c r="P31" i="4"/>
  <c r="P30" i="4" s="1"/>
  <c r="I88" i="6"/>
  <c r="S107" i="5"/>
  <c r="E209" i="4"/>
  <c r="T206" i="7"/>
  <c r="M216" i="4"/>
  <c r="N250" i="4"/>
  <c r="S101" i="6"/>
  <c r="V132" i="7"/>
  <c r="V20" i="7"/>
  <c r="C111" i="5"/>
  <c r="T177" i="4"/>
  <c r="H103" i="6"/>
  <c r="V73" i="4"/>
  <c r="V19" i="7" s="1"/>
  <c r="C177" i="4"/>
  <c r="N112" i="4"/>
  <c r="N31" i="7" s="1"/>
  <c r="Q108" i="5"/>
  <c r="Q70" i="5"/>
  <c r="Q125" i="7" s="1"/>
  <c r="U83" i="5"/>
  <c r="U256" i="4"/>
  <c r="V213" i="7"/>
  <c r="I138" i="7"/>
  <c r="J251" i="4"/>
  <c r="U170" i="4"/>
  <c r="I93" i="5"/>
  <c r="Q102" i="6"/>
  <c r="J47" i="7"/>
  <c r="O106" i="5"/>
  <c r="U250" i="4"/>
  <c r="V184" i="4"/>
  <c r="I87" i="6"/>
  <c r="U63" i="5"/>
  <c r="T118" i="6"/>
  <c r="O100" i="6"/>
  <c r="U263" i="4"/>
  <c r="D111" i="5"/>
  <c r="U89" i="5"/>
  <c r="J254" i="4"/>
  <c r="O102" i="5"/>
  <c r="J213" i="7"/>
  <c r="U77" i="6"/>
  <c r="U219" i="7" s="1"/>
  <c r="T47" i="6"/>
  <c r="T18" i="5"/>
  <c r="T184" i="4"/>
  <c r="B98" i="5"/>
  <c r="N127" i="4"/>
  <c r="N46" i="7" s="1"/>
  <c r="V125" i="6"/>
  <c r="O64" i="6"/>
  <c r="O206" i="7" s="1"/>
  <c r="O70" i="5"/>
  <c r="O125" i="7" s="1"/>
  <c r="I202" i="4"/>
  <c r="O112" i="5"/>
  <c r="V219" i="7"/>
  <c r="H86" i="6"/>
  <c r="S202" i="4"/>
  <c r="E58" i="4"/>
  <c r="E168" i="4" s="1"/>
  <c r="O26" i="4"/>
  <c r="O163" i="4" s="1"/>
  <c r="H199" i="4"/>
  <c r="O106" i="6"/>
  <c r="V190" i="4"/>
  <c r="Q100" i="6"/>
  <c r="C118" i="6"/>
  <c r="S91" i="5"/>
  <c r="H109" i="5"/>
  <c r="Q213" i="4"/>
  <c r="D47" i="6"/>
  <c r="F229" i="4"/>
  <c r="V94" i="5"/>
  <c r="S85" i="6"/>
  <c r="M98" i="5"/>
  <c r="G184" i="4"/>
  <c r="Q98" i="5"/>
  <c r="D71" i="6"/>
  <c r="D213" i="7" s="1"/>
  <c r="C58" i="4"/>
  <c r="C4" i="7" s="1"/>
  <c r="F95" i="5"/>
  <c r="Q92" i="6"/>
  <c r="G77" i="5"/>
  <c r="G132" i="7" s="1"/>
  <c r="U59" i="7"/>
  <c r="V88" i="6"/>
  <c r="C64" i="6"/>
  <c r="C206" i="7" s="1"/>
  <c r="M92" i="6"/>
  <c r="G46" i="4"/>
  <c r="G271" i="4" s="1"/>
  <c r="F89" i="6"/>
  <c r="I99" i="5"/>
  <c r="P70" i="5"/>
  <c r="Q117" i="5"/>
  <c r="I95" i="5"/>
  <c r="T112" i="4"/>
  <c r="K112" i="4"/>
  <c r="K31" i="7" s="1"/>
  <c r="I266" i="4"/>
  <c r="R127" i="4"/>
  <c r="R46" i="7" s="1"/>
  <c r="U118" i="7"/>
  <c r="T213" i="7"/>
  <c r="M13" i="4"/>
  <c r="M204" i="4" s="1"/>
  <c r="K184" i="4"/>
  <c r="B57" i="6"/>
  <c r="P71" i="6"/>
  <c r="P213" i="7" s="1"/>
  <c r="O6" i="4"/>
  <c r="O143" i="4" s="1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97" i="5" s="1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S143" i="4" s="1"/>
  <c r="I20" i="4"/>
  <c r="I157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R150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63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43" i="4" s="1"/>
  <c r="B6" i="4"/>
  <c r="B197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7" i="6" s="1"/>
  <c r="R136" i="6" s="1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150" i="4"/>
  <c r="D204" i="4"/>
  <c r="D91" i="6"/>
  <c r="D97" i="5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J4" i="7"/>
  <c r="G209" i="4"/>
  <c r="G96" i="6"/>
  <c r="G102" i="5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91" i="6"/>
  <c r="T31" i="7"/>
  <c r="P20" i="4"/>
  <c r="P157" i="4" s="1"/>
  <c r="P215" i="4"/>
  <c r="P102" i="6"/>
  <c r="P108" i="5"/>
  <c r="S197" i="4"/>
  <c r="O4" i="7"/>
  <c r="F204" i="4"/>
  <c r="J163" i="4"/>
  <c r="J217" i="4"/>
  <c r="J104" i="6"/>
  <c r="J110" i="5"/>
  <c r="B177" i="4"/>
  <c r="B64" i="6"/>
  <c r="B206" i="7" s="1"/>
  <c r="B70" i="5"/>
  <c r="B125" i="7" s="1"/>
  <c r="I90" i="5"/>
  <c r="R91" i="6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70" i="6"/>
  <c r="E269" i="4"/>
  <c r="E270" i="4"/>
  <c r="E268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J183" i="4"/>
  <c r="U150" i="4"/>
  <c r="U204" i="4"/>
  <c r="U91" i="6"/>
  <c r="U97" i="5"/>
  <c r="S4" i="7"/>
  <c r="O104" i="6"/>
  <c r="U143" i="4"/>
  <c r="U197" i="4"/>
  <c r="U84" i="6"/>
  <c r="U90" i="5"/>
  <c r="B20" i="4"/>
  <c r="B213" i="4"/>
  <c r="B100" i="6"/>
  <c r="B106" i="5"/>
  <c r="H20" i="4"/>
  <c r="H157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143" i="4"/>
  <c r="Q197" i="4"/>
  <c r="Q84" i="6"/>
  <c r="Q90" i="5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J168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270" i="4"/>
  <c r="G268" i="4"/>
  <c r="G273" i="4"/>
  <c r="G269" i="4"/>
  <c r="F168" i="4"/>
  <c r="Q150" i="4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272" i="4"/>
  <c r="Q270" i="4"/>
  <c r="Q268" i="4"/>
  <c r="Q266" i="4"/>
  <c r="Q264" i="4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E84" i="6"/>
  <c r="E90" i="5"/>
  <c r="F6" i="4"/>
  <c r="F4" i="4" s="1"/>
  <c r="F231" i="4" s="1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S242" i="4"/>
  <c r="V265" i="4"/>
  <c r="H168" i="4"/>
  <c r="H253" i="4"/>
  <c r="H261" i="4"/>
  <c r="H254" i="4"/>
  <c r="H257" i="4"/>
  <c r="R168" i="4"/>
  <c r="F183" i="4"/>
  <c r="C6" i="4"/>
  <c r="T20" i="4"/>
  <c r="R143" i="4"/>
  <c r="P13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57" i="4"/>
  <c r="T6" i="4"/>
  <c r="K4" i="4"/>
  <c r="K223" i="4" s="1"/>
  <c r="C46" i="4"/>
  <c r="C271" i="4" s="1"/>
  <c r="R19" i="4"/>
  <c r="R244" i="4" s="1"/>
  <c r="D4" i="4"/>
  <c r="D225" i="4" s="1"/>
  <c r="E19" i="4"/>
  <c r="E238" i="4" s="1"/>
  <c r="H57" i="4" l="1"/>
  <c r="H3" i="7" s="1"/>
  <c r="N91" i="6"/>
  <c r="K90" i="5"/>
  <c r="N204" i="4"/>
  <c r="K217" i="4"/>
  <c r="K84" i="6"/>
  <c r="E76" i="5"/>
  <c r="K197" i="4"/>
  <c r="E264" i="4"/>
  <c r="B143" i="4"/>
  <c r="B204" i="4"/>
  <c r="S4" i="4"/>
  <c r="S223" i="4" s="1"/>
  <c r="R4" i="4"/>
  <c r="S244" i="4"/>
  <c r="Q211" i="4"/>
  <c r="S156" i="4"/>
  <c r="S90" i="5"/>
  <c r="N111" i="4"/>
  <c r="N30" i="7" s="1"/>
  <c r="O19" i="4"/>
  <c r="O110" i="5"/>
  <c r="R97" i="5"/>
  <c r="S84" i="6"/>
  <c r="O217" i="4"/>
  <c r="K111" i="4"/>
  <c r="K30" i="7" s="1"/>
  <c r="R204" i="4"/>
  <c r="O84" i="6"/>
  <c r="G272" i="4"/>
  <c r="E266" i="4"/>
  <c r="E30" i="4"/>
  <c r="J204" i="4"/>
  <c r="H19" i="4"/>
  <c r="H242" i="4" s="1"/>
  <c r="H259" i="4"/>
  <c r="O197" i="4"/>
  <c r="G267" i="4"/>
  <c r="G70" i="6"/>
  <c r="J150" i="4"/>
  <c r="G98" i="6"/>
  <c r="H249" i="4"/>
  <c r="E271" i="4"/>
  <c r="G183" i="4"/>
  <c r="H61" i="5"/>
  <c r="J57" i="4"/>
  <c r="J3" i="7" s="1"/>
  <c r="I98" i="6"/>
  <c r="E267" i="4"/>
  <c r="O57" i="4"/>
  <c r="O3" i="7" s="1"/>
  <c r="G76" i="5"/>
  <c r="G265" i="4"/>
  <c r="E272" i="4"/>
  <c r="B4" i="4"/>
  <c r="B231" i="4" s="1"/>
  <c r="H255" i="4"/>
  <c r="O183" i="4"/>
  <c r="C57" i="4"/>
  <c r="C3" i="7" s="1"/>
  <c r="H250" i="4"/>
  <c r="H260" i="4"/>
  <c r="I211" i="4"/>
  <c r="G266" i="4"/>
  <c r="H251" i="4"/>
  <c r="H263" i="4"/>
  <c r="G264" i="4"/>
  <c r="G30" i="4"/>
  <c r="I19" i="4"/>
  <c r="I244" i="4" s="1"/>
  <c r="H252" i="4"/>
  <c r="H262" i="4"/>
  <c r="E273" i="4"/>
  <c r="O4" i="4"/>
  <c r="O232" i="4" s="1"/>
  <c r="N57" i="4"/>
  <c r="N167" i="4" s="1"/>
  <c r="Q76" i="5"/>
  <c r="B90" i="5"/>
  <c r="B84" i="6"/>
  <c r="M4" i="4"/>
  <c r="M231" i="4" s="1"/>
  <c r="S231" i="4"/>
  <c r="C111" i="4"/>
  <c r="C30" i="7" s="1"/>
  <c r="D57" i="4"/>
  <c r="D3" i="7" s="1"/>
  <c r="I84" i="6"/>
  <c r="B110" i="5"/>
  <c r="I197" i="4"/>
  <c r="B104" i="6"/>
  <c r="B164" i="5"/>
  <c r="B217" i="4"/>
  <c r="S17" i="5"/>
  <c r="S147" i="5" s="1"/>
  <c r="O111" i="4"/>
  <c r="O30" i="7" s="1"/>
  <c r="B19" i="4"/>
  <c r="B239" i="4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62" i="5"/>
  <c r="S148" i="5"/>
  <c r="S155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37" i="6"/>
  <c r="H135" i="6"/>
  <c r="H141" i="6"/>
  <c r="H149" i="6"/>
  <c r="H146" i="6"/>
  <c r="H145" i="6"/>
  <c r="H154" i="6"/>
  <c r="H148" i="6"/>
  <c r="H140" i="6"/>
  <c r="H139" i="6"/>
  <c r="H159" i="6"/>
  <c r="H156" i="6"/>
  <c r="H147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59" i="5"/>
  <c r="J155" i="5"/>
  <c r="J161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245" i="4"/>
  <c r="B243" i="4"/>
  <c r="B241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54" i="6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C243" i="4"/>
  <c r="D223" i="4"/>
  <c r="S251" i="4"/>
  <c r="J229" i="4"/>
  <c r="J228" i="4"/>
  <c r="J234" i="4"/>
  <c r="J227" i="4"/>
  <c r="J236" i="4"/>
  <c r="J230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234" i="4"/>
  <c r="M228" i="4"/>
  <c r="M236" i="4"/>
  <c r="M235" i="4"/>
  <c r="M230" i="4"/>
  <c r="M229" i="4"/>
  <c r="M223" i="4"/>
  <c r="F226" i="4"/>
  <c r="C150" i="4"/>
  <c r="C204" i="4"/>
  <c r="C91" i="6"/>
  <c r="C97" i="5"/>
  <c r="Q231" i="4"/>
  <c r="D271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234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228" i="4"/>
  <c r="O234" i="4"/>
  <c r="O235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233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54" i="6"/>
  <c r="K235" i="4"/>
  <c r="O167" i="4"/>
  <c r="N238" i="4"/>
  <c r="U238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S151" i="5" l="1"/>
  <c r="S154" i="5"/>
  <c r="B233" i="4"/>
  <c r="N3" i="7"/>
  <c r="B103" i="5"/>
  <c r="J148" i="5"/>
  <c r="O227" i="4"/>
  <c r="B97" i="6"/>
  <c r="J142" i="5"/>
  <c r="J146" i="5"/>
  <c r="B237" i="4"/>
  <c r="B240" i="4"/>
  <c r="B235" i="4"/>
  <c r="B246" i="4"/>
  <c r="B210" i="4"/>
  <c r="J141" i="5"/>
  <c r="Q241" i="4"/>
  <c r="O82" i="6"/>
  <c r="B156" i="4"/>
  <c r="J153" i="5"/>
  <c r="J152" i="5"/>
  <c r="I226" i="4"/>
  <c r="B232" i="4"/>
  <c r="B222" i="4"/>
  <c r="Q238" i="4"/>
  <c r="Q240" i="4"/>
  <c r="O195" i="4"/>
  <c r="Q237" i="4"/>
  <c r="I236" i="4"/>
  <c r="O233" i="4"/>
  <c r="O141" i="4"/>
  <c r="B88" i="5"/>
  <c r="S160" i="5"/>
  <c r="I224" i="4"/>
  <c r="Q103" i="5"/>
  <c r="I223" i="4"/>
  <c r="O226" i="4"/>
  <c r="O223" i="4"/>
  <c r="B226" i="4"/>
  <c r="B82" i="6"/>
  <c r="S141" i="5"/>
  <c r="O225" i="4"/>
  <c r="B227" i="4"/>
  <c r="Q245" i="4"/>
  <c r="I235" i="4"/>
  <c r="B195" i="4"/>
  <c r="E167" i="4"/>
  <c r="Q239" i="4"/>
  <c r="Q210" i="4"/>
  <c r="I88" i="5"/>
  <c r="O236" i="4"/>
  <c r="O230" i="4"/>
  <c r="B228" i="4"/>
  <c r="B141" i="4"/>
  <c r="S142" i="5"/>
  <c r="Q97" i="6"/>
  <c r="B224" i="4"/>
  <c r="Q243" i="4"/>
  <c r="Q156" i="4"/>
  <c r="O231" i="4"/>
  <c r="I195" i="4"/>
  <c r="O229" i="4"/>
  <c r="O222" i="4"/>
  <c r="B225" i="4"/>
  <c r="S145" i="5"/>
  <c r="Q246" i="4"/>
  <c r="O224" i="4"/>
  <c r="I141" i="4"/>
  <c r="O88" i="5"/>
  <c r="B223" i="4"/>
  <c r="B236" i="4"/>
  <c r="D167" i="4"/>
  <c r="S143" i="5"/>
  <c r="S153" i="5"/>
  <c r="S159" i="5"/>
  <c r="S158" i="5"/>
  <c r="S166" i="5"/>
  <c r="S156" i="5"/>
  <c r="U60" i="5"/>
  <c r="S150" i="5"/>
  <c r="S164" i="5"/>
  <c r="S152" i="5"/>
  <c r="S144" i="5"/>
  <c r="S161" i="5"/>
  <c r="V147" i="5"/>
  <c r="S157" i="5"/>
  <c r="S165" i="5"/>
  <c r="S146" i="5"/>
  <c r="S149" i="5"/>
  <c r="S163" i="5"/>
  <c r="M232" i="4"/>
  <c r="J223" i="4"/>
  <c r="J88" i="5"/>
  <c r="M226" i="4"/>
  <c r="M233" i="4"/>
  <c r="J232" i="4"/>
  <c r="J82" i="6"/>
  <c r="M222" i="4"/>
  <c r="J235" i="4"/>
  <c r="J195" i="4"/>
  <c r="M88" i="5"/>
  <c r="J226" i="4"/>
  <c r="J225" i="4"/>
  <c r="J141" i="4"/>
  <c r="M227" i="4"/>
  <c r="M82" i="6"/>
  <c r="J233" i="4"/>
  <c r="M224" i="4"/>
  <c r="M225" i="4"/>
  <c r="J222" i="4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Q25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E25" i="8"/>
  <c r="J15" i="8"/>
  <c r="J27" i="10" s="1"/>
  <c r="R15" i="8"/>
  <c r="R27" i="10" s="1"/>
  <c r="G4" i="8"/>
  <c r="O61" i="8" l="1"/>
  <c r="O14" i="8"/>
  <c r="O26" i="10" s="1"/>
  <c r="E36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G4" i="16"/>
  <c r="K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K79" i="8" s="1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O80" i="8"/>
  <c r="N80" i="8"/>
  <c r="R79" i="8"/>
  <c r="V77" i="8"/>
  <c r="N77" i="8"/>
  <c r="S76" i="8"/>
  <c r="R76" i="8"/>
  <c r="P76" i="8"/>
  <c r="V75" i="8"/>
  <c r="T75" i="8"/>
  <c r="N75" i="8"/>
  <c r="L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V7" i="3"/>
  <c r="V219" i="3" s="1"/>
  <c r="U7" i="3"/>
  <c r="T7" i="3"/>
  <c r="S7" i="3"/>
  <c r="R7" i="3"/>
  <c r="V6" i="3"/>
  <c r="U6" i="3"/>
  <c r="T6" i="3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6" i="1"/>
  <c r="B8" i="1"/>
  <c r="B20" i="1"/>
  <c r="B6" i="1"/>
  <c r="B11" i="1"/>
  <c r="B7" i="1"/>
  <c r="B18" i="1"/>
  <c r="B15" i="1"/>
  <c r="B13" i="1"/>
  <c r="B21" i="1"/>
  <c r="B22" i="1"/>
  <c r="B4" i="1"/>
  <c r="B9" i="1"/>
  <c r="B12" i="1"/>
  <c r="B17" i="1"/>
  <c r="T218" i="3" l="1"/>
  <c r="R220" i="3"/>
  <c r="V232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M219" i="3" s="1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Q219" i="3" s="1"/>
  <c r="I68" i="3"/>
  <c r="I220" i="3" s="1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K189" i="3" s="1"/>
  <c r="C38" i="3"/>
  <c r="C190" i="3" s="1"/>
  <c r="K38" i="3"/>
  <c r="C49" i="3"/>
  <c r="K49" i="3"/>
  <c r="C50" i="3"/>
  <c r="K50" i="3"/>
  <c r="G35" i="3"/>
  <c r="O35" i="3"/>
  <c r="G50" i="3"/>
  <c r="G202" i="3" s="1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E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D9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E221" i="3" l="1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1" i="3" l="1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50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0" i="3" l="1"/>
  <c r="C234" i="3"/>
  <c r="I143" i="3"/>
  <c r="I142" i="3"/>
  <c r="I199" i="3"/>
  <c r="I141" i="3"/>
  <c r="I144" i="3"/>
  <c r="I146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64" i="3" l="1"/>
  <c r="B168" i="3" s="1"/>
  <c r="B17" i="12"/>
  <c r="B67" i="12" s="1"/>
  <c r="R139" i="3"/>
  <c r="R144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<sst xmlns="http://schemas.openxmlformats.org/spreadsheetml/2006/main" count="2655" uniqueCount="1167">
  <si>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</si>
  <si>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</si>
  <si>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</si>
  <si>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</si>
  <si>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</si>
  <si>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</si>
  <si>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</si>
  <si>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</si>
  <si>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</si>
  <si>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</si>
  <si>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</si>
  <si>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</si>
  <si>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</si>
  <si>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</si>
  <si>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</si>
  <si>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</si>
  <si>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</si>
  <si>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</si>
  <si>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</si>
  <si>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</si>
  <si>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</si>
  <si>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</si>
  <si>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</si>
  <si>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</si>
  <si>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</si>
  <si>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</si>
  <si>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</si>
  <si>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</si>
  <si>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</si>
  <si>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</si>
  <si>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</si>
  <si>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</si>
  <si>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</si>
  <si>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</si>
  <si>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</si>
  <si>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</si>
  <si>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</si>
  <si>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</si>
  <si>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</si>
  <si>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</si>
  <si>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</si>
  <si>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</si>
  <si>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</si>
  <si>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</si>
  <si>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</si>
  <si>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</si>
  <si>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</si>
  <si>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</si>
  <si>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</si>
  <si>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</si>
  <si>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</si>
  <si>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</si>
  <si>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</si>
  <si>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</si>
  <si>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</si>
  <si>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</si>
  <si>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</si>
  <si>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</si>
  <si>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</si>
  <si>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</si>
  <si>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</si>
  <si>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</si>
  <si>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</si>
  <si>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</si>
  <si>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</si>
  <si>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</si>
  <si>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</si>
  <si>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</si>
  <si>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</si>
  <si>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</si>
  <si>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</si>
  <si>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</si>
  <si>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</si>
  <si>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</si>
  <si>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</si>
  <si>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</si>
  <si>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</si>
  <si>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</si>
  <si>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</si>
  <si>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</si>
  <si>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</si>
  <si>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</si>
  <si>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</si>
  <si>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</si>
  <si>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</si>
  <si>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</si>
  <si>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</si>
  <si>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</si>
  <si>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</si>
  <si>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</si>
  <si>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</si>
  <si>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</si>
  <si>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</si>
  <si>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</si>
  <si>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</si>
  <si>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</si>
  <si>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</si>
  <si>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</si>
  <si>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</si>
  <si>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</si>
  <si>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</si>
  <si>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</si>
  <si>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</si>
  <si>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</si>
  <si>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</si>
  <si>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</si>
  <si>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</si>
  <si>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</si>
  <si>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</si>
  <si>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</si>
  <si>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</si>
  <si>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</si>
  <si>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</si>
  <si>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</si>
  <si>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</si>
  <si>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</si>
  <si>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</si>
  <si>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</si>
  <si>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</si>
  <si>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</si>
  <si>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</si>
  <si>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</si>
  <si>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</si>
  <si>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</si>
  <si>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</si>
  <si>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</si>
  <si>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</si>
  <si>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</si>
  <si>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</si>
  <si>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</si>
  <si>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</si>
  <si>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</si>
  <si>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</si>
  <si>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</si>
  <si>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</si>
  <si>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</si>
  <si>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</si>
  <si>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</si>
  <si>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</si>
  <si>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</si>
  <si>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</si>
  <si>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</si>
  <si>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</si>
  <si>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</si>
  <si>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</si>
  <si>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</si>
  <si>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</si>
  <si>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</si>
  <si>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</si>
  <si>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</si>
  <si>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</si>
  <si>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</si>
  <si>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</si>
  <si>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</si>
  <si>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</si>
  <si>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</si>
  <si>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</si>
  <si>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</si>
  <si>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</si>
  <si>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</si>
  <si>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</si>
  <si>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</si>
  <si>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</si>
  <si>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</si>
  <si>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</si>
  <si>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</si>
  <si>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</si>
  <si>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</si>
  <si>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</si>
  <si>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</si>
  <si>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</si>
  <si>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</si>
  <si>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</si>
  <si>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</si>
  <si>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</si>
  <si>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</si>
  <si>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</si>
  <si>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</si>
  <si>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</si>
  <si>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</si>
  <si>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</si>
  <si>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</si>
  <si>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</si>
  <si>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</si>
  <si>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</si>
  <si>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</si>
  <si>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LV</t>
  </si>
  <si>
    <t>Latvia</t>
  </si>
  <si>
    <t>Aviation - LV - Latvia</t>
  </si>
  <si>
    <t>Activity.Mpkm.LV.Tr.Avia.Passenger</t>
  </si>
  <si>
    <t>Activity.Mpkm.LV.Tr.Avia.Passenger.Domestic</t>
  </si>
  <si>
    <t>Activity.Mpkm.LV.Tr.Avia.Passenger.IntraEEAwUK</t>
  </si>
  <si>
    <t>Activity.Mpkm.LV.Tr.Avia.Passenger.ExtraEEAwUK</t>
  </si>
  <si>
    <t>Activity.Mtkm.LV.Tr.Avia.Freight</t>
  </si>
  <si>
    <t>Activity.Mtkm.LV.Tr.Avia.Freight.Domestic</t>
  </si>
  <si>
    <t>Activity.Mtkm.LV.Tr.Avia.Freight.IntraEEAwUK</t>
  </si>
  <si>
    <t>Activity.Mtkm.LV.Tr.Avia.Freight.ExtraEEAwUK</t>
  </si>
  <si>
    <t>VehicleKm.Mkm.LV.Tr.Avia</t>
  </si>
  <si>
    <t>VehicleKm.Mkm.LV.Tr.Avia.Passenger</t>
  </si>
  <si>
    <t>VehicleKm.Mkm.LV.Tr.Avia.Passenger.Domestic</t>
  </si>
  <si>
    <t>VehicleKm.Mkm.LV.Tr.Avia.Passenger.IntraEEAwUK</t>
  </si>
  <si>
    <t>VehicleKm.Mkm.LV.Tr.Avia.Passenger.ExtraEEAwUK</t>
  </si>
  <si>
    <t>VehicleKm.Mkm.LV.Tr.Avia.Freight</t>
  </si>
  <si>
    <t>VehicleKm.Mkm.LV.Tr.Avia.Freight.Domestic</t>
  </si>
  <si>
    <t>VehicleKm.Mkm.LV.Tr.Avia.Freight.IntraEEAwUK</t>
  </si>
  <si>
    <t>VehicleKm.Mkm.LV.Tr.Avia.Freight.ExtraEEAwUK</t>
  </si>
  <si>
    <t>Flights.number.LV.Tr.Avia</t>
  </si>
  <si>
    <t>Flights.number.LV.Tr.Avia.Passenger</t>
  </si>
  <si>
    <t>Flights.number.LV.Tr.Avia.Passenger.Domestic</t>
  </si>
  <si>
    <t>Flights.number.LV.Tr.Avia.Passenger.IntraEEAwUK</t>
  </si>
  <si>
    <t>Flights.number.LV.Tr.Avia.Passenger.ExtraEEAwUK</t>
  </si>
  <si>
    <t>Flights.number.LV.Tr.Avia.Freight</t>
  </si>
  <si>
    <t>Flights.number.LV.Tr.Avia.Freight.Domestic</t>
  </si>
  <si>
    <t>Flights.number.LV.Tr.Avia.Freight.IntraEEAwUK</t>
  </si>
  <si>
    <t>Flights.number.LV.Tr.Avia.Freight.ExtraEEAwUK</t>
  </si>
  <si>
    <t>VolCarried.passenger.LV.Tr.Avia.Passenger</t>
  </si>
  <si>
    <t>VolCarried.passenger.LV.Tr.Avia.Passenger.Domestic</t>
  </si>
  <si>
    <t>VolCarried.passenger.LV.Tr.Avia.Passenger.IntraEEAwUK</t>
  </si>
  <si>
    <t>VolCarried.passenger.LV.Tr.Avia.Passenger.ExtraEEAwUK</t>
  </si>
  <si>
    <t>VolCarried.t.LV.Tr.Avia.Freight</t>
  </si>
  <si>
    <t>VolCarried.t.LV.Tr.Avia.Freight.Domestic</t>
  </si>
  <si>
    <t>VolCarried.t.LV.Tr.Avia.Freight.IntraEEAwUK</t>
  </si>
  <si>
    <t>VolCarried.t.LV.Tr.Avia.Freight.ExtraEEAwUK</t>
  </si>
  <si>
    <t>Stock.number.LV.Tr.Avia</t>
  </si>
  <si>
    <t>Stock.number.LV.Tr.Avia.Passenger</t>
  </si>
  <si>
    <t>Stock.number.LV.Tr.Avia.Passenger.Domestic</t>
  </si>
  <si>
    <t>Stock.number.LV.Tr.Avia.Passenger.IntraEEAwUK</t>
  </si>
  <si>
    <t>Stock.number.LV.Tr.Avia.Passenger.ExtraEEAwUK</t>
  </si>
  <si>
    <t>Stock.number.LV.Tr.Avia.Freight</t>
  </si>
  <si>
    <t>Stock.number.LV.Tr.Avia.Freight.Domestic</t>
  </si>
  <si>
    <t>Stock.number.LV.Tr.Avia.Freight.IntraEEAwUK</t>
  </si>
  <si>
    <t>Stock.number.LV.Tr.Avia.Freight.ExtraEEAwUK</t>
  </si>
  <si>
    <t>StockNew.number.LV.Tr.Avia</t>
  </si>
  <si>
    <t>StockNew.number.LV.Tr.Avia.Passenger</t>
  </si>
  <si>
    <t>StockNew.number.LV.Tr.Avia.Passenger.Domestic</t>
  </si>
  <si>
    <t>StockNew.number.LV.Tr.Avia.Passenger.IntraEEAwUK</t>
  </si>
  <si>
    <t>StockNew.number.LV.Tr.Avia.Passenger.ExtraEEAwUK</t>
  </si>
  <si>
    <t>StockNew.number.LV.Tr.Avia.Freight</t>
  </si>
  <si>
    <t>StockNew.number.LV.Tr.Avia.Freight.Domestic</t>
  </si>
  <si>
    <t>StockNew.number.LV.Tr.Avia.Freight.IntraEEAwUK</t>
  </si>
  <si>
    <t>StockNew.number.LV.Tr.Avia.Freight.ExtraEEAwUK</t>
  </si>
  <si>
    <t>Load.passenger_per_movement.LV.Tr.Avia.Passenger</t>
  </si>
  <si>
    <t>Load.passenger_per_movement.LV.Tr.Avia.Passenger.Domestic</t>
  </si>
  <si>
    <t>Load.passenger_per_movement.LV.Tr.Avia.Passenger.IntraEEAwUK</t>
  </si>
  <si>
    <t>Load.passenger_per_movement.LV.Tr.Avia.Passenger.ExtraEEAwUK</t>
  </si>
  <si>
    <t>Load.t_per_movement.LV.Tr.Avia.Freight</t>
  </si>
  <si>
    <t>Load.t_per_movement.LV.Tr.Avia.Freight.Domestic</t>
  </si>
  <si>
    <t>Load.t_per_movement.LV.Tr.Avia.Freight.IntraEEAwUK</t>
  </si>
  <si>
    <t>Load.t_per_movement.LV.Tr.Avia.Freight.ExtraEEAwUK</t>
  </si>
  <si>
    <t>VehicleKm_per_flight.km.LV.Tr.Avia</t>
  </si>
  <si>
    <t>VehicleKm_per_flight.km.LV.Tr.Avia.Passenger</t>
  </si>
  <si>
    <t>VehicleKm_per_flight.km.LV.Tr.Avia.Passenger.Domestic</t>
  </si>
  <si>
    <t>VehicleKm_per_flight.km.LV.Tr.Avia.Passenger.IntraEEAwUK</t>
  </si>
  <si>
    <t>VehicleKm_per_flight.km.LV.Tr.Avia.Passenger.ExtraEEAwUK</t>
  </si>
  <si>
    <t>VehicleKm_per_flight.km.LV.Tr.Avia.Freight</t>
  </si>
  <si>
    <t>VehicleKm_per_flight.km.LV.Tr.Avia.Freight.Domestic</t>
  </si>
  <si>
    <t>VehicleKm_per_flight.km.LV.Tr.Avia.Freight.IntraEEAwUK</t>
  </si>
  <si>
    <t>VehicleKm_per_flight.km.LV.Tr.Avia.Freight.ExtraEEAwUK</t>
  </si>
  <si>
    <t>Activity_per_flight.pkm.LV.Tr.Avia.Passenger</t>
  </si>
  <si>
    <t>Activity_per_flight.pkm.LV.Tr.Avia.Passenger.Domestic</t>
  </si>
  <si>
    <t>Activity_per_flight.pkm.LV.Tr.Avia.Passenger.IntraEEAwUK</t>
  </si>
  <si>
    <t>Activity_per_flight.pkm.LV.Tr.Avia.Passenger.ExtraEEAwUK</t>
  </si>
  <si>
    <t>Activity_per_flight.tkm.LV.Tr.Avia.Freight</t>
  </si>
  <si>
    <t>Activity_per_flight.tkm.LV.Tr.Avia.Freight.Domestic</t>
  </si>
  <si>
    <t>Activity_per_flight.tkm.LV.Tr.Avia.Freight.IntraEEAwUK</t>
  </si>
  <si>
    <t>Activity_per_flight.tkm.LV.Tr.Avia.Freight.ExtraEEAwUK</t>
  </si>
  <si>
    <t>Flights_per_vehicle.number.LV.Tr.Avia</t>
  </si>
  <si>
    <t>Flights_per_vehicle.number.LV.Tr.Avia.Passenger</t>
  </si>
  <si>
    <t>Flights_per_vehicle.number.LV.Tr.Avia.Passenger.Domestic</t>
  </si>
  <si>
    <t>Flights_per_vehicle.number.LV.Tr.Avia.Passenger.IntraEEAwUK</t>
  </si>
  <si>
    <t>Flights_per_vehicle.number.LV.Tr.Avia.Passenger.ExtraEEAwUK</t>
  </si>
  <si>
    <t>Flights_per_vehicle.number.LV.Tr.Avia.Freight</t>
  </si>
  <si>
    <t>Flights_per_vehicle.number.LV.Tr.Avia.Freight.Domestic</t>
  </si>
  <si>
    <t>Flights_per_vehicle.number.LV.Tr.Avia.Freight.IntraEEAwUK</t>
  </si>
  <si>
    <t>Flights_per_vehicle.number.LV.Tr.Avia.Freight.ExtraEEAwUK</t>
  </si>
  <si>
    <t>Aviation / energy consumption - LV - Latvia</t>
  </si>
  <si>
    <t>FEC.ktoe.LV.Tr.Avia</t>
  </si>
  <si>
    <t>FEC.ktoe.LV.Tr.Avia.Domestic</t>
  </si>
  <si>
    <t>FEC.ktoe.LV.Tr.Avia.International</t>
  </si>
  <si>
    <t>FEC.ktoe.LV.Tr.Avia.Passenger</t>
  </si>
  <si>
    <t>FEC.ktoe.LV.Tr.Avia.Passenger.Domestic</t>
  </si>
  <si>
    <t>FEC.ktoe.LV.Tr.Avia.Passenger.IntraEEAwUK</t>
  </si>
  <si>
    <t>FEC.ktoe.LV.Tr.Avia.Passenger.ExtraEEAwUK</t>
  </si>
  <si>
    <t>FEC.ktoe.LV.Tr.Avia.Freight</t>
  </si>
  <si>
    <t>FEC.ktoe.LV.Tr.Avia.Freight.Domestic</t>
  </si>
  <si>
    <t>FEC.ktoe.LV.Tr.Avia.Freight.IntraEEAwUK</t>
  </si>
  <si>
    <t>FEC.ktoe.LV.Tr.Avia.Freight.ExtraEEAwUK</t>
  </si>
  <si>
    <t>Eff.kgoe_per_100km.LV.Tr.Avia</t>
  </si>
  <si>
    <t>Eff.kgoe_per_100km.LV.Tr.Avia.Passenger</t>
  </si>
  <si>
    <t>Eff.kgoe_per_100km.LV.Tr.Avia.Passenger.Domestic</t>
  </si>
  <si>
    <t>Eff.kgoe_per_100km.LV.Tr.Avia.Passenger.IntraEEAwUK</t>
  </si>
  <si>
    <t>Eff.kgoe_per_100km.LV.Tr.Avia.Passenger.ExtraEEAwUK</t>
  </si>
  <si>
    <t>Eff.kgoe_per_100km.LV.Tr.Avia.Freight</t>
  </si>
  <si>
    <t>Eff.kgoe_per_100km.LV.Tr.Avia.Freight.Domestic</t>
  </si>
  <si>
    <t>Eff.kgoe_per_100km.LV.Tr.Avia.Freight.IntraEEAwUK</t>
  </si>
  <si>
    <t>Eff.kgoe_per_100km.LV.Tr.Avia.Freight.ExtraEEAwUK</t>
  </si>
  <si>
    <t>Eff.kgoe_per_kpkm.LV.Tr.Avia.Passenger</t>
  </si>
  <si>
    <t>Eff.kgoe_per_kpkm.LV.Tr.Avia.Passenger.Domestic</t>
  </si>
  <si>
    <t>Eff.kgoe_per_kpkm.LV.Tr.Avia.Passenger.IntraEEAwUK</t>
  </si>
  <si>
    <t>Eff.kgoe_per_kpkm.LV.Tr.Avia.Passenger.ExtraEEAwUK</t>
  </si>
  <si>
    <t>Eff.kgoe_per_ktkm.LV.Tr.Avia.Freight</t>
  </si>
  <si>
    <t>Eff.kgoe_per_ktkm.LV.Tr.Avia.Freight.Domestic</t>
  </si>
  <si>
    <t>Eff.kgoe_per_ktkm.LV.Tr.Avia.Freight.IntraEEAwUK</t>
  </si>
  <si>
    <t>Eff.kgoe_per_ktkm.LV.Tr.Avia.Freight.ExtraEEAwUK</t>
  </si>
  <si>
    <t>FEC_per_flight.kgoe.LV.Tr.Avia</t>
  </si>
  <si>
    <t>FEC_per_flight.kgoe.LV.Tr.Avia.Passenger</t>
  </si>
  <si>
    <t>FEC_per_flight.kgoe.LV.Tr.Avia.Passenger.Domestic</t>
  </si>
  <si>
    <t>FEC_per_flight.kgoe.LV.Tr.Avia.Passenger.IntraEEAwUK</t>
  </si>
  <si>
    <t>FEC_per_flight.kgoe.LV.Tr.Avia.Passenger.ExtraEEAwUK</t>
  </si>
  <si>
    <t>FEC_per_flight.kgoe.LV.Tr.Avia.Freight</t>
  </si>
  <si>
    <t>FEC_per_flight.kgoe.LV.Tr.Avia.Freight.Domestic</t>
  </si>
  <si>
    <t>FEC_per_flight.kgoe.LV.Tr.Avia.Freight.IntraEEAwUK</t>
  </si>
  <si>
    <t>FEC_per_flight.kgoe.LV.Tr.Avia.Freight.ExtraEEAwUK</t>
  </si>
  <si>
    <t>Eff_theor.kgoe_per_100km.LV.Tr.Avia</t>
  </si>
  <si>
    <t>Eff_theor.kgoe_per_100km.LV.Tr.Avia.Passenger</t>
  </si>
  <si>
    <t>Eff_theor.kgoe_per_100km.LV.Tr.Avia.Passenger.Domestic</t>
  </si>
  <si>
    <t>Eff_theor.kgoe_per_100km.LV.Tr.Avia.Passenger.IntraEEAwUK</t>
  </si>
  <si>
    <t>Eff_theor.kgoe_per_100km.LV.Tr.Avia.Passenger.ExtraEEAwUK</t>
  </si>
  <si>
    <t>Eff_theor.kgoe_per_100km.LV.Tr.Avia.Freight</t>
  </si>
  <si>
    <t>Eff_theor.kgoe_per_100km.LV.Tr.Avia.Freight.Domestic</t>
  </si>
  <si>
    <t>Eff_theor.kgoe_per_100km.LV.Tr.Avia.Freight.IntraEEAwUK</t>
  </si>
  <si>
    <t>Eff_theor.kgoe_per_100km.LV.Tr.Avia.Freight.ExtraEEAwUK</t>
  </si>
  <si>
    <t>Aviation / CO2 emissions - LV - Latvia</t>
  </si>
  <si>
    <t>EMI.ktCO2.LV.Tr.Avia</t>
  </si>
  <si>
    <t>EMI.ktCO2.LV.Tr.Avia.Domestic</t>
  </si>
  <si>
    <t>EMI.ktCO2.LV.Tr.Avia.International</t>
  </si>
  <si>
    <t>EMI.ktCO2.LV.Tr.Avia.Passenger</t>
  </si>
  <si>
    <t>EMI.ktCO2.LV.Tr.Avia.Passenger.Domestic</t>
  </si>
  <si>
    <t>EMI.ktCO2.LV.Tr.Avia.Passenger.IntraEEAwUK</t>
  </si>
  <si>
    <t>EMI.ktCO2.LV.Tr.Avia.Passenger.ExtraEEAwUK</t>
  </si>
  <si>
    <t>EMI.ktCO2.LV.Tr.Avia.Freight</t>
  </si>
  <si>
    <t>EMI.ktCO2.LV.Tr.Avia.Freight.Domestic</t>
  </si>
  <si>
    <t>EMI.ktCO2.LV.Tr.Avia.Freight.IntraEEAwUK</t>
  </si>
  <si>
    <t>EMI.ktCO2.LV.Tr.Avia.Freight.ExtraEEAwUK</t>
  </si>
  <si>
    <t>EMIint.gCO2_per_km.LV.Tr.Avia</t>
  </si>
  <si>
    <t>EMIint.gCO2_per_km.LV.Tr.Avia.Passenger</t>
  </si>
  <si>
    <t>EMIint.gCO2_per_km.LV.Tr.Avia.Passenger.Domestic</t>
  </si>
  <si>
    <t>EMIint.gCO2_per_km.LV.Tr.Avia.Passenger.IntraEEAwUK</t>
  </si>
  <si>
    <t>EMIint.gCO2_per_km.LV.Tr.Avia.Passenger.ExtraEEAwUK</t>
  </si>
  <si>
    <t>EMIint.gCO2_per_km.LV.Tr.Avia.Freight</t>
  </si>
  <si>
    <t>EMIint.gCO2_per_km.LV.Tr.Avia.Freight.Domestic</t>
  </si>
  <si>
    <t>EMIint.gCO2_per_km.LV.Tr.Avia.Freight.IntraEEAwUK</t>
  </si>
  <si>
    <t>EMIint.gCO2_per_km.LV.Tr.Avia.Freight.ExtraEEAwUK</t>
  </si>
  <si>
    <t>EMIint.gCO2_per_pkm.LV.Tr.Avia.Passenger</t>
  </si>
  <si>
    <t>EMIint.gCO2_per_pkm.LV.Tr.Avia.Passenger.Domestic</t>
  </si>
  <si>
    <t>EMIint.gCO2_per_pkm.LV.Tr.Avia.Passenger.IntraEEAwUK</t>
  </si>
  <si>
    <t>EMIint.gCO2_per_pkm.LV.Tr.Avia.Passenger.ExtraEEAwUK</t>
  </si>
  <si>
    <t>EMIint.gCO2_per_tkm.LV.Tr.Avia.Freight</t>
  </si>
  <si>
    <t>EMIint.gCO2_per_tkm.LV.Tr.Avia.Freight.Domestic</t>
  </si>
  <si>
    <t>EMIint.gCO2_per_tkm.LV.Tr.Avia.Freight.IntraEEAwUK</t>
  </si>
  <si>
    <t>EMIint.gCO2_per_tkm.LV.Tr.Avia.Freight.ExtraEEAwUK</t>
  </si>
  <si>
    <t>EMI_per_flight.kgCO2.LV.Tr.Avia</t>
  </si>
  <si>
    <t>EMI_per_flight.kgCO2.LV.Tr.Avia.Passenger</t>
  </si>
  <si>
    <t>EMI_per_flight.kgCO2.LV.Tr.Avia.Passenger.Domestic</t>
  </si>
  <si>
    <t>EMI_per_flight.kgCO2.LV.Tr.Avia.Passenger.IntraEEAwUK</t>
  </si>
  <si>
    <t>EMI_per_flight.kgCO2.LV.Tr.Avia.Passenger.ExtraEEAwUK</t>
  </si>
  <si>
    <t>EMI_per_flight.kgCO2.LV.Tr.Avia.Freight</t>
  </si>
  <si>
    <t>EMI_per_flight.kgCO2.LV.Tr.Avia.Freight.Domestic</t>
  </si>
  <si>
    <t>EMI_per_flight.kgCO2.LV.Tr.Avia.Freight.IntraEEAwUK</t>
  </si>
  <si>
    <t>EMI_per_flight.kgCO2.LV.Tr.Avia.Freight.ExtraEEAwUK</t>
  </si>
  <si>
    <t>Aviation / passenger transport specific data - LV - Latvia</t>
  </si>
  <si>
    <t>TrCap.seats.LV.Tr.Avia.Passenger</t>
  </si>
  <si>
    <t>TrCap.seats.LV.Tr.Avia.Passenger.Domestic</t>
  </si>
  <si>
    <t>TrCap.seats.LV.Tr.Avia.Passenger.IntraEEAwUK</t>
  </si>
  <si>
    <t>TrCap.seats.LV.Tr.Avia.Passenger.ExtraEEAwUK</t>
  </si>
  <si>
    <t>TrCap_per_flight.seats.LV.Tr.Avia.Passenger</t>
  </si>
  <si>
    <t>TrCap_per_flight.seats.LV.Tr.Avia.Passenger.Domestic</t>
  </si>
  <si>
    <t>TrCap_per_flight.seats.LV.Tr.Avia.Passenger.IntraEEAwUK</t>
  </si>
  <si>
    <t>TrCap_per_flight.seats.LV.Tr.Avia.Passenger.ExtraEEAwUK</t>
  </si>
  <si>
    <t>Transport overview - LV - Latvia</t>
  </si>
  <si>
    <t>Activity.Mpkm.LV.Tr</t>
  </si>
  <si>
    <t>Activity.Mpkm.LV.Tr.Road.Passenger</t>
  </si>
  <si>
    <t>Activity.Mpkm.LV.Tr.Road.Passenger.P2W</t>
  </si>
  <si>
    <t>Activity.Mpkm.LV.Tr.Road.Passenger.Car</t>
  </si>
  <si>
    <t>Activity.Mpkm.LV.Tr.Road.Passenger.Bus</t>
  </si>
  <si>
    <t>Activity.Mpkm.LV.Tr.Rail.Passenger</t>
  </si>
  <si>
    <t>Activity.Mpkm.LV.Tr.Rail.Passenger.MTU</t>
  </si>
  <si>
    <t>Activity.Mpkm.LV.Tr.Rail.Passenger.CPT</t>
  </si>
  <si>
    <t>Activity.Mpkm.LV.Tr.Rail.Passenger.HST</t>
  </si>
  <si>
    <t>Activity.Mtkm.LV.Tr</t>
  </si>
  <si>
    <t>Activity.Mtkm.LV.Tr.Road.Freight</t>
  </si>
  <si>
    <t>Activity.Mtkm.LV.Tr.Road.Freight.LCV</t>
  </si>
  <si>
    <t>Activity.Mtkm.LV.Tr.Road.Freight.HGV</t>
  </si>
  <si>
    <t>Activity.Mtkm.LV.Tr.Rail.Freight</t>
  </si>
  <si>
    <t>Activity.Mtkm.LV.Tr.DNavi.Freight</t>
  </si>
  <si>
    <t>Activity.Mtkm.LV.Tr.DNavi.Freight.DCS</t>
  </si>
  <si>
    <t>Activity.Mtkm.LV.Tr.DNavi.Freight.IWW</t>
  </si>
  <si>
    <t>Activity.Mtkm.LV.MBunk.Freight</t>
  </si>
  <si>
    <t>Activity.Mtkm.LV.MBunk.Freight.IntraEEA</t>
  </si>
  <si>
    <t>Activity.Mtkm.LV.MBunk.Freight.ExtraEEA</t>
  </si>
  <si>
    <t>FEC.ktoe.LV.Tr.Road.Passenger</t>
  </si>
  <si>
    <t>FEC.ktoe.LV.Tr.Road.Passenger.P2W</t>
  </si>
  <si>
    <t>FEC.ktoe.LV.Tr.Road.Passenger.Car</t>
  </si>
  <si>
    <t>FEC.ktoe.LV.Tr.Road.Passenger.Bus</t>
  </si>
  <si>
    <t>FEC.ktoe.LV.Tr.Rail.Passenger</t>
  </si>
  <si>
    <t>FEC.ktoe.LV.Tr.Rail.Passenger.MTU</t>
  </si>
  <si>
    <t>FEC.ktoe.LV.Tr.Rail.Passenger.CPT</t>
  </si>
  <si>
    <t>FEC.ktoe.LV.Tr.Rail.Passenger.HST</t>
  </si>
  <si>
    <t>FEC.ktoe.LV.Tr.Road.Freight</t>
  </si>
  <si>
    <t>FEC.ktoe.LV.Tr.Road.Freight.LCV</t>
  </si>
  <si>
    <t>FEC.ktoe.LV.Tr.Road.Freight.HGV</t>
  </si>
  <si>
    <t>FEC.ktoe.LV.Tr.Rail.Freight</t>
  </si>
  <si>
    <t>EMI.ktCO2.LV.Tr.Road.Passenger</t>
  </si>
  <si>
    <t>EMI.ktCO2.LV.Tr.Road.Passenger.P2W</t>
  </si>
  <si>
    <t>EMI.ktCO2.LV.Tr.Road.Passenger.Car</t>
  </si>
  <si>
    <t>EMI.ktCO2.LV.Tr.Road.Passenger.Bus</t>
  </si>
  <si>
    <t>EMI.ktCO2.LV.Tr.Rail.Passenger</t>
  </si>
  <si>
    <t>EMI.ktCO2.LV.Tr.Rail.Passenger.MTU</t>
  </si>
  <si>
    <t>EMI.ktCO2.LV.Tr.Rail.Passenger.CPT</t>
  </si>
  <si>
    <t>EMI.ktCO2.LV.Tr.Rail.Passenger.HST</t>
  </si>
  <si>
    <t>EMI.ktCO2.LV.Tr.Road.Freight</t>
  </si>
  <si>
    <t>EMI.ktCO2.LV.Tr.Road.Freight.LCV</t>
  </si>
  <si>
    <t>EMI.ktCO2.LV.Tr.Road.Freight.HGV</t>
  </si>
  <si>
    <t>EMI.ktCO2.LV.Tr.Rail.Freight</t>
  </si>
  <si>
    <t>Eff.kgoe_per_kpkm.LV.Tr</t>
  </si>
  <si>
    <t>Eff.kgoe_per_kpkm.LV.Tr.Road.Passenger</t>
  </si>
  <si>
    <t>Eff.kgoe_per_kpkm.LV.Tr.Road.Passenger.P2W</t>
  </si>
  <si>
    <t>Eff.kgoe_per_kpkm.LV.Tr.Road.Passenger.Car</t>
  </si>
  <si>
    <t>Eff.kgoe_per_kpkm.LV.Tr.Road.Passenger.Bus</t>
  </si>
  <si>
    <t>Eff.kgoe_per_kpkm.LV.Tr.Rail.Passenger</t>
  </si>
  <si>
    <t>Eff.kgoe_per_kpkm.LV.Tr.Rail.Passenger.MTU</t>
  </si>
  <si>
    <t>Eff.kgoe_per_kpkm.LV.Tr.Rail.Passenger.CPT</t>
  </si>
  <si>
    <t>Eff.kgoe_per_kpkm.LV.Tr.Rail.Passenger.HST</t>
  </si>
  <si>
    <t>Eff.kgoe_per_ktkm.LV.Tr</t>
  </si>
  <si>
    <t>Eff.kgoe_per_ktkm.LV.Tr.Road.Freight</t>
  </si>
  <si>
    <t>Eff.kgoe_per_ktkm.LV.Tr.Road.Freight.LCV</t>
  </si>
  <si>
    <t>Eff.kgoe_per_ktkm.LV.Tr.Road.Freight.HGV</t>
  </si>
  <si>
    <t>Eff.kgoe_per_ktkm.LV.Tr.Rail.Freight</t>
  </si>
  <si>
    <t>Eff.kgoe_per_ktkm.LV.Tr.DNavi.Freight</t>
  </si>
  <si>
    <t>Eff.kgoe_per_ktkm.LV.Tr.DNavi.Freight.DCS</t>
  </si>
  <si>
    <t>Eff.kgoe_per_ktkm.LV.Tr.DNavi.Freight.IWW</t>
  </si>
  <si>
    <t>Eff.kgoe_per_ktkm.LV.MBunk.Freight</t>
  </si>
  <si>
    <t>Eff.kgoe_per_ktkm.LV.MBunk.Freight.IntraEEA</t>
  </si>
  <si>
    <t>Eff.kgoe_per_ktkm.LV.MBunk.Freight.ExtraEEA</t>
  </si>
  <si>
    <t>EMIint.gCO2_per_pkm.LV.Tr</t>
  </si>
  <si>
    <t>EMIint.gCO2_per_pkm.LV.Tr.Road.Passenger</t>
  </si>
  <si>
    <t>EMIint.gCO2_per_pkm.LV.Tr.Road.Passenger.P2W</t>
  </si>
  <si>
    <t>EMIint.gCO2_per_pkm.LV.Tr.Road.Passenger.Car</t>
  </si>
  <si>
    <t>EMIint.gCO2_per_pkm.LV.Tr.Road.Passenger.Bus</t>
  </si>
  <si>
    <t>EMIint.gCO2_per_pkm.LV.Tr.Rail.Passenger</t>
  </si>
  <si>
    <t>EMIint.gCO2_per_pkm.LV.Tr.Rail.Passenger.MTU</t>
  </si>
  <si>
    <t>EMIint.gCO2_per_pkm.LV.Tr.Rail.Passenger.CPT</t>
  </si>
  <si>
    <t>EMIint.gCO2_per_pkm.LV.Tr.Rail.Passenger.HST</t>
  </si>
  <si>
    <t>EMIint.gCO2_per_tkm.LV.Tr</t>
  </si>
  <si>
    <t>EMIint.gCO2_per_tkm.LV.Tr.Road.Freight</t>
  </si>
  <si>
    <t>EMIint.gCO2_per_tkm.LV.Tr.Road.Freight.LCV</t>
  </si>
  <si>
    <t>EMIint.gCO2_per_tkm.LV.Tr.Road.Freight.HGV</t>
  </si>
  <si>
    <t>EMIint.gCO2_per_tkm.LV.Tr.Rail.Freight</t>
  </si>
  <si>
    <t>EMIint.gCO2_per_tkm.LV.Tr.DNavi.Freight</t>
  </si>
  <si>
    <t>EMIint.gCO2_per_tkm.LV.Tr.DNavi.Freight.DCS</t>
  </si>
  <si>
    <t>EMIint.gCO2_per_tkm.LV.Tr.DNavi.Freight.IWW</t>
  </si>
  <si>
    <t>EMIint.gCO2_per_tkm.LV.MBunk.Freight</t>
  </si>
  <si>
    <t>EMIint.gCO2_per_tkm.LV.MBunk.Freight.IntraEEA</t>
  </si>
  <si>
    <t>EMIint.gCO2_per_tkm.LV.MBunk.Freight.ExtraEEA</t>
  </si>
  <si>
    <t>Road transport - LV - Latvia</t>
  </si>
  <si>
    <t>Activity.Mpkm.LV.Tr.Road.Passenger.Car.ICE.Gasoline</t>
  </si>
  <si>
    <t>Activity.Mpkm.LV.Tr.Road.Passenger.Car.ICE.Diesel</t>
  </si>
  <si>
    <t>Activity.Mpkm.LV.Tr.Road.Passenger.Car.ICE.LPG</t>
  </si>
  <si>
    <t>Activity.Mpkm.LV.Tr.Road.Passenger.Car.ICE.NGas</t>
  </si>
  <si>
    <t>Activity.Mpkm.LV.Tr.Road.Passenger.Car.PHEV</t>
  </si>
  <si>
    <t>Activity.Mpkm.LV.Tr.Road.Passenger.Car.BEV</t>
  </si>
  <si>
    <t>Activity.Mpkm.LV.Tr.Road.Passenger.Bus.ICE.Gasoline</t>
  </si>
  <si>
    <t>Activity.Mpkm.LV.Tr.Road.Passenger.Bus.ICE.Diesel</t>
  </si>
  <si>
    <t>Activity.Mpkm.LV.Tr.Road.Passenger.Bus.ICE.LPG</t>
  </si>
  <si>
    <t>Activity.Mpkm.LV.Tr.Road.Passenger.Bus.ICE.NGas</t>
  </si>
  <si>
    <t>Activity.Mpkm.LV.Tr.Road.Passenger.Bus.ICE.BEV</t>
  </si>
  <si>
    <t>Activity.Mtkm.LV.Tr.Road.Freight.LCV.ICE.Gasoline</t>
  </si>
  <si>
    <t>Activity.Mtkm.LV.Tr.Road.Freight.LCV.ICE.Diesel</t>
  </si>
  <si>
    <t>Activity.Mtkm.LV.Tr.Road.Freight.LCV.ICE.LPG</t>
  </si>
  <si>
    <t>Activity.Mtkm.LV.Tr.Road.Freight.LCV.ICE.NGas</t>
  </si>
  <si>
    <t>Activity.Mtkm.LV.Tr.Road.Freight.LCV.ICE.BEV</t>
  </si>
  <si>
    <t>Activity.Mtkm.LV.Tr.Road.Freight.HGV.Domestic</t>
  </si>
  <si>
    <t>Activity.Mtkm.LV.Tr.Road.Freight.HGV.International</t>
  </si>
  <si>
    <t>VehicleKm.Mkm.LV.Tr.Road</t>
  </si>
  <si>
    <t>VehicleKm.Mkm.LV.Tr.Road.Passenger</t>
  </si>
  <si>
    <t>VehicleKm.Mkm.LV.Tr.Road.Passenger.P2W</t>
  </si>
  <si>
    <t>VehicleKm.Mkm.LV.Tr.Road.Passenger.Car</t>
  </si>
  <si>
    <t>VehicleKm.Mkm.LV.Tr.Road.Passenger.Car.ICE.Gasoline</t>
  </si>
  <si>
    <t>VehicleKm.Mkm.LV.Tr.Road.Passenger.Car.ICE.Diesel</t>
  </si>
  <si>
    <t>VehicleKm.Mkm.LV.Tr.Road.Passenger.Car.ICE.LPG</t>
  </si>
  <si>
    <t>VehicleKm.Mkm.LV.Tr.Road.Passenger.Car.ICE.NGas</t>
  </si>
  <si>
    <t>VehicleKm.Mkm.LV.Tr.Road.Passenger.Car.PHEV</t>
  </si>
  <si>
    <t>VehicleKm.Mkm.LV.Tr.Road.Passenger.Car.BEV</t>
  </si>
  <si>
    <t>VehicleKm.Mkm.LV.Tr.Road.Passenger.Bus</t>
  </si>
  <si>
    <t>VehicleKm.Mkm.LV.Tr.Road.Passenger.Bus.ICE.Gasoline</t>
  </si>
  <si>
    <t>VehicleKm.Mkm.LV.Tr.Road.Passenger.Bus.ICE.Diesel</t>
  </si>
  <si>
    <t>VehicleKm.Mkm.LV.Tr.Road.Passenger.Bus.ICE.LPG</t>
  </si>
  <si>
    <t>VehicleKm.Mkm.LV.Tr.Road.Passenger.Bus.ICE.NGas</t>
  </si>
  <si>
    <t>VehicleKm.Mkm.LV.Tr.Road.Passenger.Bus.ICE.BEV</t>
  </si>
  <si>
    <t>VehicleKm.Mkm.LV.Tr.Road.Freight</t>
  </si>
  <si>
    <t>VehicleKm.Mkm.LV.Tr.Road.Freight.LCV</t>
  </si>
  <si>
    <t>VehicleKm.Mkm.LV.Tr.Road.Freight.LCV.ICE.Gasoline</t>
  </si>
  <si>
    <t>VehicleKm.Mkm.LV.Tr.Road.Freight.LCV.ICE.Diesel</t>
  </si>
  <si>
    <t>VehicleKm.Mkm.LV.Tr.Road.Freight.LCV.ICE.LPG</t>
  </si>
  <si>
    <t>VehicleKm.Mkm.LV.Tr.Road.Freight.LCV.ICE.NGas</t>
  </si>
  <si>
    <t>VehicleKm.Mkm.LV.Tr.Road.Freight.LCV.ICE.BEV</t>
  </si>
  <si>
    <t>VehicleKm.Mkm.LV.Tr.Road.Freight.HGV</t>
  </si>
  <si>
    <t>VehicleKm.Mkm.LV.Tr.Road.Freight.HGV.Domestic</t>
  </si>
  <si>
    <t>VehicleKm.Mkm.LV.Tr.Road.Freight.HGV.International</t>
  </si>
  <si>
    <t>Stock.number.LV.Tr.Road</t>
  </si>
  <si>
    <t>Stock.number.LV.Tr.Road.Passenger</t>
  </si>
  <si>
    <t>Stock.number.LV.Tr.Road.Passenger.P2W</t>
  </si>
  <si>
    <t>Stock.number.LV.Tr.Road.Passenger.Car</t>
  </si>
  <si>
    <t>Stock.number.LV.Tr.Road.Passenger.Car.ICE.Gasoline</t>
  </si>
  <si>
    <t>Stock.number.LV.Tr.Road.Passenger.Car.ICE.Diesel</t>
  </si>
  <si>
    <t>Stock.number.LV.Tr.Road.Passenger.Car.ICE.LPG</t>
  </si>
  <si>
    <t>Stock.number.LV.Tr.Road.Passenger.Car.ICE.NGas</t>
  </si>
  <si>
    <t>Stock.number.LV.Tr.Road.Passenger.Car.PHEV</t>
  </si>
  <si>
    <t>Stock.number.LV.Tr.Road.Passenger.Car.BEV</t>
  </si>
  <si>
    <t>Stock.number.LV.Tr.Road.Passenger.Bus</t>
  </si>
  <si>
    <t>Stock.number.LV.Tr.Road.Passenger.Bus.ICE.Gasoline</t>
  </si>
  <si>
    <t>Stock.number.LV.Tr.Road.Passenger.Bus.ICE.Diesel</t>
  </si>
  <si>
    <t>Stock.number.LV.Tr.Road.Passenger.Bus.ICE.LPG</t>
  </si>
  <si>
    <t>Stock.number.LV.Tr.Road.Passenger.Bus.ICE.NGas</t>
  </si>
  <si>
    <t>Stock.number.LV.Tr.Road.Passenger.Bus.ICE.BEV</t>
  </si>
  <si>
    <t>Stock.number.LV.Tr.Road.Freight</t>
  </si>
  <si>
    <t>Stock.number.LV.Tr.Road.Freight.LCV</t>
  </si>
  <si>
    <t>Stock.number.LV.Tr.Road.Freight.LCV.ICE.Gasoline</t>
  </si>
  <si>
    <t>Stock.number.LV.Tr.Road.Freight.LCV.ICE.Diesel</t>
  </si>
  <si>
    <t>Stock.number.LV.Tr.Road.Freight.LCV.ICE.LPG</t>
  </si>
  <si>
    <t>Stock.number.LV.Tr.Road.Freight.LCV.ICE.NGas</t>
  </si>
  <si>
    <t>Stock.number.LV.Tr.Road.Freight.LCV.ICE.BEV</t>
  </si>
  <si>
    <t>Stock.number.LV.Tr.Road.Freight.HGV</t>
  </si>
  <si>
    <t>Stock.number.LV.Tr.Road.Freight.HGV.Domestic</t>
  </si>
  <si>
    <t>Stock.number.LV.Tr.Road.Freight.HGV.International</t>
  </si>
  <si>
    <t>StockNew.number.LV.Tr.Road</t>
  </si>
  <si>
    <t>StockNew.number.LV.Tr.Road.Passenger</t>
  </si>
  <si>
    <t>StockNew.number.LV.Tr.Road.Passenger.P2W</t>
  </si>
  <si>
    <t>StockNew.number.LV.Tr.Road.Passenger.Car</t>
  </si>
  <si>
    <t>StockNew.number.LV.Tr.Road.Passenger.Car.ICE.Gasoline</t>
  </si>
  <si>
    <t>StockNew.number.LV.Tr.Road.Passenger.Car.ICE.Diesel</t>
  </si>
  <si>
    <t>StockNew.number.LV.Tr.Road.Passenger.Car.ICE.LPG</t>
  </si>
  <si>
    <t>StockNew.number.LV.Tr.Road.Passenger.Car.ICE.NGas</t>
  </si>
  <si>
    <t>StockNew.number.LV.Tr.Road.Passenger.Car.PHEV</t>
  </si>
  <si>
    <t>StockNew.number.LV.Tr.Road.Passenger.Car.BEV</t>
  </si>
  <si>
    <t>StockNew.number.LV.Tr.Road.Passenger.Bus</t>
  </si>
  <si>
    <t>StockNew.number.LV.Tr.Road.Passenger.Bus.ICE.Gasoline</t>
  </si>
  <si>
    <t>StockNew.number.LV.Tr.Road.Passenger.Bus.ICE.Diesel</t>
  </si>
  <si>
    <t>StockNew.number.LV.Tr.Road.Passenger.Bus.ICE.LPG</t>
  </si>
  <si>
    <t>StockNew.number.LV.Tr.Road.Passenger.Bus.ICE.NGas</t>
  </si>
  <si>
    <t>StockNew.number.LV.Tr.Road.Passenger.Bus.ICE.BEV</t>
  </si>
  <si>
    <t>StockNew.number.LV.Tr.Road.Freight</t>
  </si>
  <si>
    <t>StockNew.number.LV.Tr.Road.Freight.LCV</t>
  </si>
  <si>
    <t>StockNew.number.LV.Tr.Road.Freight.LCV.ICE.Gasoline</t>
  </si>
  <si>
    <t>StockNew.number.LV.Tr.Road.Freight.LCV.ICE.Diesel</t>
  </si>
  <si>
    <t>StockNew.number.LV.Tr.Road.Freight.LCV.ICE.LPG</t>
  </si>
  <si>
    <t>StockNew.number.LV.Tr.Road.Freight.LCV.ICE.NGas</t>
  </si>
  <si>
    <t>StockNew.number.LV.Tr.Road.Freight.LCV.ICE.BEV</t>
  </si>
  <si>
    <t>StockNew.number.LV.Tr.Road.Freight.HGV</t>
  </si>
  <si>
    <t>StockNew.number.LV.Tr.Road.Freight.HGV.Domestic</t>
  </si>
  <si>
    <t>StockNew.number.LV.Tr.Road.Freight.HGV.International</t>
  </si>
  <si>
    <t>Load.passenger_per_movement.LV.Tr.Road.Passenger</t>
  </si>
  <si>
    <t>Load.passenger_per_movement.LV.Tr.Road.Passenger.P2W</t>
  </si>
  <si>
    <t>Load.passenger_per_movement.LV.Tr.Road.Passenger.Car</t>
  </si>
  <si>
    <t>Load.passenger_per_movement.LV.Tr.Road.Passenger.Car.ICE.Gasoline</t>
  </si>
  <si>
    <t>Load.passenger_per_movement.LV.Tr.Road.Passenger.Car.ICE.Diesel</t>
  </si>
  <si>
    <t>Load.passenger_per_movement.LV.Tr.Road.Passenger.Car.ICE.LPG</t>
  </si>
  <si>
    <t>Load.passenger_per_movement.LV.Tr.Road.Passenger.Car.ICE.NGas</t>
  </si>
  <si>
    <t>Load.passenger_per_movement.LV.Tr.Road.Passenger.Car.PHEV</t>
  </si>
  <si>
    <t>Load.passenger_per_movement.LV.Tr.Road.Passenger.Car.BEV</t>
  </si>
  <si>
    <t>Load.passenger_per_movement.LV.Tr.Road.Passenger.Bus</t>
  </si>
  <si>
    <t>Load.passenger_per_movement.LV.Tr.Road.Passenger.Bus.ICE.Gasoline</t>
  </si>
  <si>
    <t>Load.passenger_per_movement.LV.Tr.Road.Passenger.Bus.ICE.Diesel</t>
  </si>
  <si>
    <t>Load.passenger_per_movement.LV.Tr.Road.Passenger.Bus.ICE.LPG</t>
  </si>
  <si>
    <t>Load.passenger_per_movement.LV.Tr.Road.Passenger.Bus.ICE.NGas</t>
  </si>
  <si>
    <t>Load.passenger_per_movement.LV.Tr.Road.Passenger.Bus.ICE.BEV</t>
  </si>
  <si>
    <t>Load.t_per_movement.LV.Tr.Road.Freight</t>
  </si>
  <si>
    <t>Load.t_per_movement.LV.Tr.Road.Freight.LCV</t>
  </si>
  <si>
    <t>Load.t_per_movement.LV.Tr.Road.Freight.LCV.ICE.Gasoline</t>
  </si>
  <si>
    <t>Load.t_per_movement.LV.Tr.Road.Freight.LCV.ICE.Diesel</t>
  </si>
  <si>
    <t>Load.t_per_movement.LV.Tr.Road.Freight.LCV.ICE.LPG</t>
  </si>
  <si>
    <t>Load.t_per_movement.LV.Tr.Road.Freight.LCV.ICE.NGas</t>
  </si>
  <si>
    <t>Load.t_per_movement.LV.Tr.Road.Freight.LCV.ICE.BEV</t>
  </si>
  <si>
    <t>Load.t_per_movement.LV.Tr.Road.Freight.HGV</t>
  </si>
  <si>
    <t>Load.t_per_movement.LV.Tr.Road.Freight.HGV.Domestic</t>
  </si>
  <si>
    <t>Load.t_per_movement.LV.Tr.Road.Freight.HGV.International</t>
  </si>
  <si>
    <t>VehicleKm_per_vehicle.km.LV.Tr.Road</t>
  </si>
  <si>
    <t>VehicleKm_per_vehicle.km.LV.Tr.Road.Passenger</t>
  </si>
  <si>
    <t>VehicleKm_per_vehicle.km.LV.Tr.Road.Passenger.P2W</t>
  </si>
  <si>
    <t>VehicleKm_per_vehicle.km.LV.Tr.Road.Passenger.Car</t>
  </si>
  <si>
    <t>VehicleKm_per_vehicle.km.LV.Tr.Road.Passenger.Car.ICE.Gasoline</t>
  </si>
  <si>
    <t>VehicleKm_per_vehicle.km.LV.Tr.Road.Passenger.Car.ICE.Diesel</t>
  </si>
  <si>
    <t>VehicleKm_per_vehicle.km.LV.Tr.Road.Passenger.Car.ICE.LPG</t>
  </si>
  <si>
    <t>VehicleKm_per_vehicle.km.LV.Tr.Road.Passenger.Car.ICE.NGas</t>
  </si>
  <si>
    <t>VehicleKm_per_vehicle.km.LV.Tr.Road.Passenger.Car.PHEV</t>
  </si>
  <si>
    <t>VehicleKm_per_vehicle.km.LV.Tr.Road.Passenger.Car.BEV</t>
  </si>
  <si>
    <t>VehicleKm_per_vehicle.km.LV.Tr.Road.Passenger.Bus</t>
  </si>
  <si>
    <t>VehicleKm_per_vehicle.km.LV.Tr.Road.Passenger.Bus.ICE.Gasoline</t>
  </si>
  <si>
    <t>VehicleKm_per_vehicle.km.LV.Tr.Road.Passenger.Bus.ICE.Diesel</t>
  </si>
  <si>
    <t>VehicleKm_per_vehicle.km.LV.Tr.Road.Passenger.Bus.ICE.LPG</t>
  </si>
  <si>
    <t>VehicleKm_per_vehicle.km.LV.Tr.Road.Passenger.Bus.ICE.NGas</t>
  </si>
  <si>
    <t>VehicleKm_per_vehicle.km.LV.Tr.Road.Passenger.Bus.ICE.BEV</t>
  </si>
  <si>
    <t>VehicleKm_per_vehicle.km.LV.Tr.Road.Freight</t>
  </si>
  <si>
    <t>VehicleKm_per_vehicle.km.LV.Tr.Road.Freight.LCV</t>
  </si>
  <si>
    <t>VehicleKm_per_vehicle.km.LV.Tr.Road.Freight.LCV.ICE.Gasoline</t>
  </si>
  <si>
    <t>VehicleKm_per_vehicle.km.LV.Tr.Road.Freight.LCV.ICE.Diesel</t>
  </si>
  <si>
    <t>VehicleKm_per_vehicle.km.LV.Tr.Road.Freight.LCV.ICE.LPG</t>
  </si>
  <si>
    <t>VehicleKm_per_vehicle.km.LV.Tr.Road.Freight.LCV.ICE.NGas</t>
  </si>
  <si>
    <t>VehicleKm_per_vehicle.km.LV.Tr.Road.Freight.LCV.ICE.BEV</t>
  </si>
  <si>
    <t>VehicleKm_per_vehicle.km.LV.Tr.Road.Freight.HGV</t>
  </si>
  <si>
    <t>VehicleKm_per_vehicle.km.LV.Tr.Road.Freight.HGV.Domestic</t>
  </si>
  <si>
    <t>VehicleKm_per_vehicle.km.LV.Tr.Road.Freight.HGV.International</t>
  </si>
  <si>
    <t>Activity_per_vehicle.pkm.LV.Tr.Road.Passenger</t>
  </si>
  <si>
    <t>Activity_per_vehicle.pkm.LV.Tr.Road.Passenger.P2W</t>
  </si>
  <si>
    <t>Activity_per_vehicle.pkm.LV.Tr.Road.Passenger.Car</t>
  </si>
  <si>
    <t>Activity_per_vehicle.pkm.LV.Tr.Road.Passenger.Car.ICE.Gasoline</t>
  </si>
  <si>
    <t>Activity_per_vehicle.pkm.LV.Tr.Road.Passenger.Car.ICE.Diesel</t>
  </si>
  <si>
    <t>Activity_per_vehicle.pkm.LV.Tr.Road.Passenger.Car.ICE.LPG</t>
  </si>
  <si>
    <t>Activity_per_vehicle.pkm.LV.Tr.Road.Passenger.Car.ICE.NGas</t>
  </si>
  <si>
    <t>Activity_per_vehicle.pkm.LV.Tr.Road.Passenger.Car.PHEV</t>
  </si>
  <si>
    <t>Activity_per_vehicle.pkm.LV.Tr.Road.Passenger.Car.BEV</t>
  </si>
  <si>
    <t>Activity_per_vehicle.pkm.LV.Tr.Road.Passenger.Bus</t>
  </si>
  <si>
    <t>Activity_per_vehicle.pkm.LV.Tr.Road.Passenger.Bus.ICE.Gasoline</t>
  </si>
  <si>
    <t>Activity_per_vehicle.pkm.LV.Tr.Road.Passenger.Bus.ICE.Diesel</t>
  </si>
  <si>
    <t>Activity_per_vehicle.pkm.LV.Tr.Road.Passenger.Bus.ICE.LPG</t>
  </si>
  <si>
    <t>Activity_per_vehicle.pkm.LV.Tr.Road.Passenger.Bus.ICE.NGas</t>
  </si>
  <si>
    <t>Activity_per_vehicle.pkm.LV.Tr.Road.Passenger.Bus.ICE.BEV</t>
  </si>
  <si>
    <t>Activity_per_vehicle.tkm.LV.Tr.Road.Freight</t>
  </si>
  <si>
    <t>Activity_per_vehicle.tkm.LV.Tr.Road.Freight.LCV</t>
  </si>
  <si>
    <t>Activity_per_vehicle.tkm.LV.Tr.Road.Freight.LCV.ICE.Gasoline</t>
  </si>
  <si>
    <t>Activity_per_vehicle.tkm.LV.Tr.Road.Freight.LCV.ICE.Diesel</t>
  </si>
  <si>
    <t>Activity_per_vehicle.tkm.LV.Tr.Road.Freight.LCV.ICE.LPG</t>
  </si>
  <si>
    <t>Activity_per_vehicle.tkm.LV.Tr.Road.Freight.LCV.ICE.NGas</t>
  </si>
  <si>
    <t>Activity_per_vehicle.tkm.LV.Tr.Road.Freight.LCV.ICE.BEV</t>
  </si>
  <si>
    <t>Activity_per_vehicle.tkm.LV.Tr.Road.Freight.HGV</t>
  </si>
  <si>
    <t>Activity_per_vehicle.tkm.LV.Tr.Road.Freight.HGV.Domestic</t>
  </si>
  <si>
    <t>Activity_per_vehicle.tkm.LV.Tr.Road.Freight.HGV.International</t>
  </si>
  <si>
    <t>Road transport / energy consumption - LV - Latvia</t>
  </si>
  <si>
    <t>FEC.ktoe.LV.ES.Tr.Road</t>
  </si>
  <si>
    <t>FEC.ktoe.LV.ES.Tr.Road.LPG</t>
  </si>
  <si>
    <t>FEC.ktoe.LV.ES.Tr.Road.Gasoline</t>
  </si>
  <si>
    <t>FEC.ktoe.LV.ES.Tr.Road.Diesel</t>
  </si>
  <si>
    <t>FEC.ktoe.LV.ES.Tr.Road.NG</t>
  </si>
  <si>
    <t>FEC.ktoe.LV.ES.Tr.Road.Biogas</t>
  </si>
  <si>
    <t>FEC.ktoe.LV.ES.Tr.Road.Biogasoline</t>
  </si>
  <si>
    <t>FEC.ktoe.LV.ES.Tr.Road.Biodiesel</t>
  </si>
  <si>
    <t>FEC.ktoe.LV.ES.Tr.Road.OthLiqBio</t>
  </si>
  <si>
    <t>FEC.ktoe.LV.ES.Tr.Road.Elec</t>
  </si>
  <si>
    <t>FEC.ktoe.LV.Tr.Road</t>
  </si>
  <si>
    <t>FEC.ktoe.LV.Tr.Road.Passenger.P2W.Biogasoline</t>
  </si>
  <si>
    <t>FEC.ktoe.LV.Tr.Road.Passenger.Car.ICE.Gasoline</t>
  </si>
  <si>
    <t>FEC.ktoe.LV.Tr.Road.Passenger.Car.ICE.Gasoline.Biogasoline</t>
  </si>
  <si>
    <t>FEC.ktoe.LV.Tr.Road.Passenger.Car.ICE.Diesel</t>
  </si>
  <si>
    <t>FEC.ktoe.LV.Tr.Road.Passenger.Car.ICE.Diesel.BioDiesel_OthLiqBio</t>
  </si>
  <si>
    <t>FEC.ktoe.LV.Tr.Road.Passenger.Car.ICE.LPG</t>
  </si>
  <si>
    <t>FEC.ktoe.LV.Tr.Road.Passenger.Car.ICE.NGas</t>
  </si>
  <si>
    <t>FEC.ktoe.LV.Tr.Road.Passenger.Car.ICE.NGas.Biogas</t>
  </si>
  <si>
    <t>FEC.ktoe.LV.Tr.Road.Passenger.Car.PHEV</t>
  </si>
  <si>
    <t>FEC.ktoe.LV.Tr.Road.Passenger.Car.PHEV.Biogasoline</t>
  </si>
  <si>
    <t>FEC.ktoe.LV.Tr.Road.Passenger.Car.PHEV.Elec</t>
  </si>
  <si>
    <t>FEC.ktoe.LV.Tr.Road.Passenger.Car.BEV</t>
  </si>
  <si>
    <t>FEC.ktoe.LV.Tr.Road.Passenger.Bus.ICE.Gasoline</t>
  </si>
  <si>
    <t>FEC.ktoe.LV.Tr.Road.Passenger.Bus.ICE.Gasoline.Biogasoline</t>
  </si>
  <si>
    <t>FEC.ktoe.LV.Tr.Road.Passenger.Bus.ICE.Diesel</t>
  </si>
  <si>
    <t>FEC.ktoe.LV.Tr.Road.Passenger.Bus.ICE.Diesel.BioDiesel_OthLiqBio</t>
  </si>
  <si>
    <t>FEC.ktoe.LV.Tr.Road.Passenger.Bus.ICE.LPG</t>
  </si>
  <si>
    <t>FEC.ktoe.LV.Tr.Road.Passenger.Bus.ICE.NGas</t>
  </si>
  <si>
    <t>FEC.ktoe.LV.Tr.Road.Passenger.Bus.ICE.NGas.Biogas</t>
  </si>
  <si>
    <t>FEC.ktoe.LV.Tr.Road.Passenger.Bus.ICE.BEV</t>
  </si>
  <si>
    <t>FEC.ktoe.LV.Tr.Road.Freight.LCV.ICE.Gasoline</t>
  </si>
  <si>
    <t>FEC.ktoe.LV.Tr.Road.Freight.LCV.ICE.Gasoline.Biogasoline</t>
  </si>
  <si>
    <t>FEC.ktoe.LV.Tr.Road.Freight.LCV.ICE.Diesel</t>
  </si>
  <si>
    <t>FEC.ktoe.LV.Tr.Road.Freight.LCV.ICE.Diesel.BioDiesel_OthLiqBio</t>
  </si>
  <si>
    <t>FEC.ktoe.LV.Tr.Road.Freight.LCV.ICE.LPG</t>
  </si>
  <si>
    <t>FEC.ktoe.LV.Tr.Road.Freight.LCV.ICE.NGas</t>
  </si>
  <si>
    <t>FEC.ktoe.LV.Tr.Road.Freight.LCV.ICE.NGas.Biogas</t>
  </si>
  <si>
    <t>FEC.ktoe.LV.Tr.Road.Freight.LCV.ICE.BEV</t>
  </si>
  <si>
    <t>FEC.ktoe.LV.Tr.Road.Freight.HGV.Domestic</t>
  </si>
  <si>
    <t>FEC.ktoe.LV.Tr.Road.Freight.HGV.Domestic.BioDiesel_OthLiqBio</t>
  </si>
  <si>
    <t>FEC.ktoe.LV.Tr.Road.Freight.HGV.International</t>
  </si>
  <si>
    <t>FEC.ktoe.LV.Tr.Road.Freight.HGV.International.BioDiesel_OthLiqBio</t>
  </si>
  <si>
    <t>Eff.kgoe_per_100km.LV.Tr.Road</t>
  </si>
  <si>
    <t>Eff.kgoe_per_100km.LV.Tr.Road.Passenger</t>
  </si>
  <si>
    <t>Eff.kgoe_per_100km.LV.Tr.Road.Passenger.P2W</t>
  </si>
  <si>
    <t>Eff.kgoe_per_100km.LV.Tr.Road.Passenger.Car</t>
  </si>
  <si>
    <t>Eff.kgoe_per_100km.LV.Tr.Road.Passenger.Car.ICE.Gasoline</t>
  </si>
  <si>
    <t>Eff.kgoe_per_100km.LV.Tr.Road.Passenger.Car.ICE.Diesel</t>
  </si>
  <si>
    <t>Eff.kgoe_per_100km.LV.Tr.Road.Passenger.Car.ICE.LPG</t>
  </si>
  <si>
    <t>Eff.kgoe_per_100km.LV.Tr.Road.Passenger.Car.ICE.NGas</t>
  </si>
  <si>
    <t>Eff.kgoe_per_100km.LV.Tr.Road.Passenger.Car.PHEV</t>
  </si>
  <si>
    <t>Eff.kgoe_per_100km.LV.Tr.Road.Passenger.Car.BEV</t>
  </si>
  <si>
    <t>Eff.kgoe_per_100km.LV.Tr.Road.Passenger.Bus</t>
  </si>
  <si>
    <t>Eff.kgoe_per_100km.LV.Tr.Road.Passenger.Bus.ICE.Gasoline</t>
  </si>
  <si>
    <t>Eff.kgoe_per_100km.LV.Tr.Road.Passenger.Bus.ICE.Diesel</t>
  </si>
  <si>
    <t>Eff.kgoe_per_100km.LV.Tr.Road.Passenger.Bus.ICE.LPG</t>
  </si>
  <si>
    <t>Eff.kgoe_per_100km.LV.Tr.Road.Passenger.Bus.ICE.NGas</t>
  </si>
  <si>
    <t>Eff.kgoe_per_100km.LV.Tr.Road.Passenger.Bus.ICE.BEV</t>
  </si>
  <si>
    <t>Eff.kgoe_per_100km.LV.Tr.Road.Freight</t>
  </si>
  <si>
    <t>Eff.kgoe_per_100km.LV.Tr.Road.Freight.LCV</t>
  </si>
  <si>
    <t>Eff.kgoe_per_100km.LV.Tr.Road.Freight.LCV.ICE.Gasoline</t>
  </si>
  <si>
    <t>Eff.kgoe_per_100km.LV.Tr.Road.Freight.LCV.ICE.Diesel</t>
  </si>
  <si>
    <t>Eff.kgoe_per_100km.LV.Tr.Road.Freight.LCV.ICE.LPG</t>
  </si>
  <si>
    <t>Eff.kgoe_per_100km.LV.Tr.Road.Freight.LCV.ICE.NGas</t>
  </si>
  <si>
    <t>Eff.kgoe_per_100km.LV.Tr.Road.Freight.LCV.ICE.BEV</t>
  </si>
  <si>
    <t>Eff.kgoe_per_100km.LV.Tr.Road.Freight.HGV</t>
  </si>
  <si>
    <t>Eff.kgoe_per_100km.LV.Tr.Road.Freight.HGV.Domestic</t>
  </si>
  <si>
    <t>Eff.kgoe_per_100km.LV.Tr.Road.Freight.HGV.International</t>
  </si>
  <si>
    <t>Eff.kgoe_per_kpkm.LV.Tr.Road.Passenger.Car.ICE.Gasoline</t>
  </si>
  <si>
    <t>Eff.kgoe_per_kpkm.LV.Tr.Road.Passenger.Car.ICE.Diesel</t>
  </si>
  <si>
    <t>Eff.kgoe_per_kpkm.LV.Tr.Road.Passenger.Car.ICE.LPG</t>
  </si>
  <si>
    <t>Eff.kgoe_per_kpkm.LV.Tr.Road.Passenger.Car.ICE.NGas</t>
  </si>
  <si>
    <t>Eff.kgoe_per_kpkm.LV.Tr.Road.Passenger.Car.PHEV</t>
  </si>
  <si>
    <t>Eff.kgoe_per_kpkm.LV.Tr.Road.Passenger.Car.BEV</t>
  </si>
  <si>
    <t>Eff.kgoe_per_kpkm.LV.Tr.Road.Passenger.Bus.ICE.Gasoline</t>
  </si>
  <si>
    <t>Eff.kgoe_per_kpkm.LV.Tr.Road.Passenger.Bus.ICE.Diesel</t>
  </si>
  <si>
    <t>Eff.kgoe_per_kpkm.LV.Tr.Road.Passenger.Bus.ICE.LPG</t>
  </si>
  <si>
    <t>Eff.kgoe_per_kpkm.LV.Tr.Road.Passenger.Bus.ICE.NGas</t>
  </si>
  <si>
    <t>Eff.kgoe_per_kpkm.LV.Tr.Road.Passenger.Bus.ICE.BEV</t>
  </si>
  <si>
    <t>Eff.kgoe_per_ktkm.LV.Tr.Road.Freight.LCV.ICE.Gasoline</t>
  </si>
  <si>
    <t>Eff.kgoe_per_ktkm.LV.Tr.Road.Freight.LCV.ICE.Diesel</t>
  </si>
  <si>
    <t>Eff.kgoe_per_ktkm.LV.Tr.Road.Freight.LCV.ICE.LPG</t>
  </si>
  <si>
    <t>Eff.kgoe_per_ktkm.LV.Tr.Road.Freight.LCV.ICE.NGas</t>
  </si>
  <si>
    <t>Eff.kgoe_per_ktkm.LV.Tr.Road.Freight.LCV.ICE.BEV</t>
  </si>
  <si>
    <t>Eff.kgoe_per_ktkm.LV.Tr.Road.Freight.HGV.Domestic</t>
  </si>
  <si>
    <t>Eff.kgoe_per_ktkm.LV.Tr.Road.Freight.HGV.International</t>
  </si>
  <si>
    <t>FEC_per_vehicle.kgoe.LV.Tr.Road.Passenger.P2W</t>
  </si>
  <si>
    <t>FEC_per_vehicle.kgoe.LV.Tr.Road.Passenger.Car</t>
  </si>
  <si>
    <t>FEC_per_vehicle.kgoe.LV.Tr.Road.Passenger.Car.ICE.Gasoline</t>
  </si>
  <si>
    <t>FEC_per_vehicle.kgoe.LV.Tr.Road.Passenger.Car.ICE.Diesel</t>
  </si>
  <si>
    <t>FEC_per_vehicle.kgoe.LV.Tr.Road.Passenger.Car.ICE.LPG</t>
  </si>
  <si>
    <t>FEC_per_vehicle.kgoe.LV.Tr.Road.Passenger.Car.ICE.NGas</t>
  </si>
  <si>
    <t>FEC_per_vehicle.kgoe.LV.Tr.Road.Passenger.Car.PHEV</t>
  </si>
  <si>
    <t>FEC_per_vehicle.kgoe.LV.Tr.Road.Passenger.Car.BEV</t>
  </si>
  <si>
    <t>FEC_per_vehicle.kgoe.LV.Tr.Road.Passenger.Bus</t>
  </si>
  <si>
    <t>FEC_per_vehicle.kgoe.LV.Tr.Road.Passenger.Bus.ICE.Gasoline</t>
  </si>
  <si>
    <t>FEC_per_vehicle.kgoe.LV.Tr.Road.Passenger.Bus.ICE.Diesel</t>
  </si>
  <si>
    <t>FEC_per_vehicle.kgoe.LV.Tr.Road.Passenger.Bus.ICE.LPG</t>
  </si>
  <si>
    <t>FEC_per_vehicle.kgoe.LV.Tr.Road.Passenger.Bus.ICE.NGas</t>
  </si>
  <si>
    <t>FEC_per_vehicle.kgoe.LV.Tr.Road.Passenger.Bus.ICE.BEV</t>
  </si>
  <si>
    <t>FEC_per_vehicle.kgoe.LV.Tr.Road.Freight.LCV</t>
  </si>
  <si>
    <t>FEC_per_vehicle.kgoe.LV.Tr.Road.Freight.LCV.ICE.Gasoline</t>
  </si>
  <si>
    <t>FEC_per_vehicle.kgoe.LV.Tr.Road.Freight.LCV.ICE.Diesel</t>
  </si>
  <si>
    <t>FEC_per_vehicle.kgoe.LV.Tr.Road.Freight.LCV.ICE.LPG</t>
  </si>
  <si>
    <t>FEC_per_vehicle.kgoe.LV.Tr.Road.Freight.LCV.ICE.NGas</t>
  </si>
  <si>
    <t>FEC_per_vehicle.kgoe.LV.Tr.Road.Freight.LCV.ICE.BEV</t>
  </si>
  <si>
    <t>FEC_per_vehicle.kgoe.LV.Tr.Road.Freight.HGV</t>
  </si>
  <si>
    <t>FEC_per_vehicle.kgoe.LV.Tr.Road.Freight.HGV.Domestic</t>
  </si>
  <si>
    <t>FEC_per_vehicle.kgoe.LV.Tr.Road.Freight.HGV.International</t>
  </si>
  <si>
    <t>Road transport / CO2 emissions - LV - Latvia</t>
  </si>
  <si>
    <t>EMI.ktCO2.LV.ES.Tr.Road</t>
  </si>
  <si>
    <t>EMI.ktCO2.LV.ES.Tr.Road.LPG</t>
  </si>
  <si>
    <t>EMI.ktCO2.LV.ES.Tr.Road.Gasoline</t>
  </si>
  <si>
    <t>EMI.ktCO2.LV.ES.Tr.Road.Diesel</t>
  </si>
  <si>
    <t>EMI.ktCO2.LV.ES.Tr.Road.NG</t>
  </si>
  <si>
    <t>EMI.ktCO2.LV.ES.Tr.Road.Biogas</t>
  </si>
  <si>
    <t>EMI.ktCO2.LV.ES.Tr.Road.Biogasoline</t>
  </si>
  <si>
    <t>EMI.ktCO2.LV.ES.Tr.Road.Biodiesel</t>
  </si>
  <si>
    <t>EMI.ktCO2.LV.ES.Tr.Road.OthLiqBio</t>
  </si>
  <si>
    <t>EMI.ktCO2.LV.ES.Tr.Road.Elec</t>
  </si>
  <si>
    <t>EMI.ktCO2.LV.Tr.Road</t>
  </si>
  <si>
    <t>EMI.ktCO2.LV.Tr.Road.Passenger.Car.ICE.Gasoline</t>
  </si>
  <si>
    <t>EMI.ktCO2.LV.Tr.Road.Passenger.Car.ICE.Diesel</t>
  </si>
  <si>
    <t>EMI.ktCO2.LV.Tr.Road.Passenger.Car.ICE.LPG</t>
  </si>
  <si>
    <t>EMI.ktCO2.LV.Tr.Road.Passenger.Car.ICE.NGas</t>
  </si>
  <si>
    <t>EMI.ktCO2.LV.Tr.Road.Passenger.Car.PHEV</t>
  </si>
  <si>
    <t>EMI.ktCO2.LV.Tr.Road.Passenger.Car.BEV</t>
  </si>
  <si>
    <t>EMI.ktCO2.LV.Tr.Road.Passenger.Bus.ICE.Gasoline</t>
  </si>
  <si>
    <t>EMI.ktCO2.LV.Tr.Road.Passenger.Bus.ICE.Diesel</t>
  </si>
  <si>
    <t>EMI.ktCO2.LV.Tr.Road.Passenger.Bus.ICE.LPG</t>
  </si>
  <si>
    <t>EMI.ktCO2.LV.Tr.Road.Passenger.Bus.ICE.NGas</t>
  </si>
  <si>
    <t>EMI.ktCO2.LV.Tr.Road.Passenger.Bus.ICE.BEV</t>
  </si>
  <si>
    <t>EMI.ktCO2.LV.Tr.Road.Freight.LCV.ICE.Gasoline</t>
  </si>
  <si>
    <t>EMI.ktCO2.LV.Tr.Road.Freight.LCV.ICE.Diesel</t>
  </si>
  <si>
    <t>EMI.ktCO2.LV.Tr.Road.Freight.LCV.ICE.LPG</t>
  </si>
  <si>
    <t>EMI.ktCO2.LV.Tr.Road.Freight.LCV.ICE.NGas</t>
  </si>
  <si>
    <t>EMI.ktCO2.LV.Tr.Road.Freight.LCV.ICE.BEV</t>
  </si>
  <si>
    <t>EMI.ktCO2.LV.Tr.Road.Freight.HGV.Domestic</t>
  </si>
  <si>
    <t>EMI.ktCO2.LV.Tr.Road.Freight.HGV.International</t>
  </si>
  <si>
    <t>EMIint.gCO2_per_km.LV.Tr.Road</t>
  </si>
  <si>
    <t>EMIint.gCO2_per_km.LV.Tr.Road.Passenger</t>
  </si>
  <si>
    <t>EMIint.gCO2_per_km.LV.Tr.Road.Passenger.P2W</t>
  </si>
  <si>
    <t>EMIint.gCO2_per_km.LV.Tr.Road.Passenger.Car</t>
  </si>
  <si>
    <t>EMIint.gCO2_per_km.LV.Tr.Road.Passenger.Car.ICE.Gasoline</t>
  </si>
  <si>
    <t>EMIint.gCO2_per_km.LV.Tr.Road.Passenger.Car.ICE.Diesel</t>
  </si>
  <si>
    <t>EMIint.gCO2_per_km.LV.Tr.Road.Passenger.Car.ICE.LPG</t>
  </si>
  <si>
    <t>EMIint.gCO2_per_km.LV.Tr.Road.Passenger.Car.ICE.NGas</t>
  </si>
  <si>
    <t>EMIint.gCO2_per_km.LV.Tr.Road.Passenger.Car.PHEV</t>
  </si>
  <si>
    <t>EMIint.gCO2_per_km.LV.Tr.Road.Passenger.Car.BEV</t>
  </si>
  <si>
    <t>EMIint.gCO2_per_km.LV.Tr.Road.Passenger.Bus</t>
  </si>
  <si>
    <t>EMIint.gCO2_per_km.LV.Tr.Road.Passenger.Bus.ICE.Gasoline</t>
  </si>
  <si>
    <t>EMIint.gCO2_per_km.LV.Tr.Road.Passenger.Bus.ICE.Diesel</t>
  </si>
  <si>
    <t>EMIint.gCO2_per_km.LV.Tr.Road.Passenger.Bus.ICE.LPG</t>
  </si>
  <si>
    <t>EMIint.gCO2_per_km.LV.Tr.Road.Passenger.Bus.ICE.NGas</t>
  </si>
  <si>
    <t>EMIint.gCO2_per_km.LV.Tr.Road.Passenger.Bus.ICE.BEV</t>
  </si>
  <si>
    <t>EMIint.gCO2_per_km.LV.Tr.Road.Freight</t>
  </si>
  <si>
    <t>EMIint.gCO2_per_km.LV.Tr.Road.Freight.LCV</t>
  </si>
  <si>
    <t>EMIint.gCO2_per_km.LV.Tr.Road.Freight.LCV.ICE.Gasoline</t>
  </si>
  <si>
    <t>EMIint.gCO2_per_km.LV.Tr.Road.Freight.LCV.ICE.Diesel</t>
  </si>
  <si>
    <t>EMIint.gCO2_per_km.LV.Tr.Road.Freight.LCV.ICE.LPG</t>
  </si>
  <si>
    <t>EMIint.gCO2_per_km.LV.Tr.Road.Freight.LCV.ICE.NGas</t>
  </si>
  <si>
    <t>EMIint.gCO2_per_km.LV.Tr.Road.Freight.LCV.ICE.BEV</t>
  </si>
  <si>
    <t>EMIint.gCO2_per_km.LV.Tr.Road.Freight.HGV</t>
  </si>
  <si>
    <t>EMIint.gCO2_per_km.LV.Tr.Road.Freight.HGV.Domestic</t>
  </si>
  <si>
    <t>EMIint.gCO2_per_km.LV.Tr.Road.Freight.HGV.International</t>
  </si>
  <si>
    <t>EMIint.gCO2_per_pkm.LV.Tr.Road.Passenger.Car.ICE.Gasoline</t>
  </si>
  <si>
    <t>EMIint.gCO2_per_pkm.LV.Tr.Road.Passenger.Car.ICE.Diesel</t>
  </si>
  <si>
    <t>EMIint.gCO2_per_pkm.LV.Tr.Road.Passenger.Car.ICE.LPG</t>
  </si>
  <si>
    <t>EMIint.gCO2_per_pkm.LV.Tr.Road.Passenger.Car.ICE.NGas</t>
  </si>
  <si>
    <t>EMIint.gCO2_per_pkm.LV.Tr.Road.Passenger.Car.PHEV</t>
  </si>
  <si>
    <t>EMIint.gCO2_per_pkm.LV.Tr.Road.Passenger.Car.BEV</t>
  </si>
  <si>
    <t>EMIint.gCO2_per_pkm.LV.Tr.Road.Passenger.Bus.ICE.Gasoline</t>
  </si>
  <si>
    <t>EMIint.gCO2_per_pkm.LV.Tr.Road.Passenger.Bus.ICE.Diesel</t>
  </si>
  <si>
    <t>EMIint.gCO2_per_pkm.LV.Tr.Road.Passenger.Bus.ICE.LPG</t>
  </si>
  <si>
    <t>EMIint.gCO2_per_pkm.LV.Tr.Road.Passenger.Bus.ICE.NGas</t>
  </si>
  <si>
    <t>EMIint.gCO2_per_pkm.LV.Tr.Road.Passenger.Bus.ICE.BEV</t>
  </si>
  <si>
    <t>EMIint.gCO2_per_tkm.LV.Tr.Road.Freight.LCV.ICE.Gasoline</t>
  </si>
  <si>
    <t>EMIint.gCO2_per_tkm.LV.Tr.Road.Freight.LCV.ICE.Diesel</t>
  </si>
  <si>
    <t>EMIint.gCO2_per_tkm.LV.Tr.Road.Freight.LCV.ICE.LPG</t>
  </si>
  <si>
    <t>EMIint.gCO2_per_tkm.LV.Tr.Road.Freight.LCV.ICE.NGas</t>
  </si>
  <si>
    <t>EMIint.gCO2_per_tkm.LV.Tr.Road.Freight.LCV.ICE.BEV</t>
  </si>
  <si>
    <t>EMIint.gCO2_per_tkm.LV.Tr.Road.Freight.HGV.Domestic</t>
  </si>
  <si>
    <t>EMIint.gCO2_per_tkm.LV.Tr.Road.Freight.HGV.International</t>
  </si>
  <si>
    <t>EMI_per_vehicle.kgCO2.LV.Tr.Road.Passenger.P2W</t>
  </si>
  <si>
    <t>EMI_per_vehicle.kgCO2.LV.Tr.Road.Passenger.Car</t>
  </si>
  <si>
    <t>EMI_per_vehicle.kgCO2.LV.Tr.Road.Passenger.Car.ICE.Gasoline</t>
  </si>
  <si>
    <t>EMI_per_vehicle.kgCO2.LV.Tr.Road.Passenger.Car.ICE.Diesel</t>
  </si>
  <si>
    <t>EMI_per_vehicle.kgCO2.LV.Tr.Road.Passenger.Car.ICE.LPG</t>
  </si>
  <si>
    <t>EMI_per_vehicle.kgCO2.LV.Tr.Road.Passenger.Car.ICE.NGas</t>
  </si>
  <si>
    <t>EMI_per_vehicle.kgCO2.LV.Tr.Road.Passenger.Car.PHEV</t>
  </si>
  <si>
    <t>EMI_per_vehicle.kgCO2.LV.Tr.Road.Passenger.Car.BEV</t>
  </si>
  <si>
    <t>EMI_per_vehicle.kgCO2.LV.Tr.Road.Passenger.Bus</t>
  </si>
  <si>
    <t>EMI_per_vehicle.kgCO2.LV.Tr.Road.Passenger.Bus.ICE.Gasoline</t>
  </si>
  <si>
    <t>EMI_per_vehicle.kgCO2.LV.Tr.Road.Passenger.Bus.ICE.Diesel</t>
  </si>
  <si>
    <t>EMI_per_vehicle.kgCO2.LV.Tr.Road.Passenger.Bus.ICE.LPG</t>
  </si>
  <si>
    <t>EMI_per_vehicle.kgCO2.LV.Tr.Road.Passenger.Bus.ICE.NGas</t>
  </si>
  <si>
    <t>EMI_per_vehicle.kgCO2.LV.Tr.Road.Passenger.Bus.ICE.BEV</t>
  </si>
  <si>
    <t>EMI_per_vehicle.kgCO2.LV.Tr.Road.Freight.LCV</t>
  </si>
  <si>
    <t>EMI_per_vehicle.kgCO2.LV.Tr.Road.Freight.LCV.ICE.Gasoline</t>
  </si>
  <si>
    <t>EMI_per_vehicle.kgCO2.LV.Tr.Road.Freight.LCV.ICE.Diesel</t>
  </si>
  <si>
    <t>EMI_per_vehicle.kgCO2.LV.Tr.Road.Freight.LCV.ICE.LPG</t>
  </si>
  <si>
    <t>EMI_per_vehicle.kgCO2.LV.Tr.Road.Freight.LCV.ICE.NGas</t>
  </si>
  <si>
    <t>EMI_per_vehicle.kgCO2.LV.Tr.Road.Freight.LCV.ICE.BEV</t>
  </si>
  <si>
    <t>EMI_per_vehicle.kgCO2.LV.Tr.Road.Freight.HGV</t>
  </si>
  <si>
    <t>EMI_per_vehicle.kgCO2.LV.Tr.Road.Freight.HGV.Domestic</t>
  </si>
  <si>
    <t>EMI_per_vehicle.kgCO2.LV.Tr.Road.Freight.HGV.International</t>
  </si>
  <si>
    <t>Road transport / technologies - LV - Latvia</t>
  </si>
  <si>
    <t>StockVin.number.LV.Tr.Road</t>
  </si>
  <si>
    <t>StockVin.number.LV.Tr.Road.Passenger</t>
  </si>
  <si>
    <t>StockVin.number.LV.Tr.Road.Passenger.P2W</t>
  </si>
  <si>
    <t>StockVin.number.LV.Tr.Road.Passenger.Car</t>
  </si>
  <si>
    <t>StockVin.number.LV.Tr.Road.Passenger.Car.ICE.Gasoline</t>
  </si>
  <si>
    <t>StockVin.number.LV.Tr.Road.Passenger.Car.ICE.Diesel</t>
  </si>
  <si>
    <t>StockVin.number.LV.Tr.Road.Passenger.Car.ICE.LPG</t>
  </si>
  <si>
    <t>StockVin.number.LV.Tr.Road.Passenger.Car.ICE.NGas</t>
  </si>
  <si>
    <t>StockVin.number.LV.Tr.Road.Passenger.Car.PHEV</t>
  </si>
  <si>
    <t>StockVin.number.LV.Tr.Road.Passenger.Car.BEV</t>
  </si>
  <si>
    <t>StockVin.number.LV.Tr.Road.Passenger.Bus</t>
  </si>
  <si>
    <t>StockVin.number.LV.Tr.Road.Passenger.Bus.ICE.Gasoline</t>
  </si>
  <si>
    <t>StockVin.number.LV.Tr.Road.Passenger.Bus.ICE.Diesel</t>
  </si>
  <si>
    <t>StockVin.number.LV.Tr.Road.Passenger.Bus.ICE.LPG</t>
  </si>
  <si>
    <t>StockVin.number.LV.Tr.Road.Passenger.Bus.ICE.NGas</t>
  </si>
  <si>
    <t>StockVin.number.LV.Tr.Road.Passenger.Bus.ICE.BEV</t>
  </si>
  <si>
    <t>StockVin.number.LV.Tr.Road.Freight</t>
  </si>
  <si>
    <t>StockVin.number.LV.Tr.Road.Freight.LCV</t>
  </si>
  <si>
    <t>StockVin.number.LV.Tr.Road.Freight.LCV.ICE.Gasoline</t>
  </si>
  <si>
    <t>StockVin.number.LV.Tr.Road.Freight.LCV.ICE.Diesel</t>
  </si>
  <si>
    <t>StockVin.number.LV.Tr.Road.Freight.LCV.ICE.LPG</t>
  </si>
  <si>
    <t>StockVin.number.LV.Tr.Road.Freight.LCV.ICE.NGas</t>
  </si>
  <si>
    <t>StockVin.number.LV.Tr.Road.Freight.LCV.ICE.BEV</t>
  </si>
  <si>
    <t>StockVin.number.LV.Tr.Road.Freight.HGV</t>
  </si>
  <si>
    <t>StockVin.number.LV.Tr.Road.Freight.HGV.Domestic</t>
  </si>
  <si>
    <t>StockVin.number.LV.Tr.Road.Freight.HGV.International</t>
  </si>
  <si>
    <t>Eff_test_stock.kgoe_per_100km.LV.Tr.Road.Passenger.P2W</t>
  </si>
  <si>
    <t>Eff_test_stock.kgoe_per_100km.LV.Tr.Road.Passenger.Car</t>
  </si>
  <si>
    <t>Eff_test_stock.kgoe_per_100km.LV.Tr.Road.Passenger.Car.ICE.Gasoline</t>
  </si>
  <si>
    <t>Eff_test_stock.kgoe_per_100km.LV.Tr.Road.Passenger.Car.ICE.Diesel</t>
  </si>
  <si>
    <t>Eff_test_stock.kgoe_per_100km.LV.Tr.Road.Passenger.Car.ICE.LPG</t>
  </si>
  <si>
    <t>Eff_test_stock.kgoe_per_100km.LV.Tr.Road.Passenger.Car.ICE.NGas</t>
  </si>
  <si>
    <t>Eff_test_stock.kgoe_per_100km.LV.Tr.Road.Passenger.Car.PHEV</t>
  </si>
  <si>
    <t>Eff_test_stock.kgoe_per_100km.LV.Tr.Road.Passenger.Car.BEV</t>
  </si>
  <si>
    <t>Eff_test_stock.kgoe_per_100km.LV.Tr.Road.Passenger.Bus</t>
  </si>
  <si>
    <t>Eff_test_stock.kgoe_per_100km.LV.Tr.Road.Passenger.Bus.ICE.Gasoline</t>
  </si>
  <si>
    <t>Eff_test_stock.kgoe_per_100km.LV.Tr.Road.Passenger.Bus.ICE.Diesel</t>
  </si>
  <si>
    <t>Eff_test_stock.kgoe_per_100km.LV.Tr.Road.Passenger.Bus.ICE.LPG</t>
  </si>
  <si>
    <t>Eff_test_stock.kgoe_per_100km.LV.Tr.Road.Passenger.Bus.ICE.NGas</t>
  </si>
  <si>
    <t>Eff_test_stock.kgoe_per_100km.LV.Tr.Road.Passenger.Bus.ICE.BEV</t>
  </si>
  <si>
    <t>Eff_test_stock.kgoe_per_100km.LV.Tr.Road.Freight.LCV</t>
  </si>
  <si>
    <t>Eff_test_stock.kgoe_per_100km.LV.Tr.Road.Freight.LCV.ICE.Gasoline</t>
  </si>
  <si>
    <t>Eff_test_stock.kgoe_per_100km.LV.Tr.Road.Freight.LCV.ICE.Diesel</t>
  </si>
  <si>
    <t>Eff_test_stock.kgoe_per_100km.LV.Tr.Road.Freight.LCV.ICE.LPG</t>
  </si>
  <si>
    <t>Eff_test_stock.kgoe_per_100km.LV.Tr.Road.Freight.LCV.ICE.NGas</t>
  </si>
  <si>
    <t>Eff_test_stock.kgoe_per_100km.LV.Tr.Road.Freight.LCV.ICE.BEV</t>
  </si>
  <si>
    <t>Eff_test_stock.kgoe_per_100km.LV.Tr.Road.Freight.HGV</t>
  </si>
  <si>
    <t>Eff_test_stock.kgoe_per_100km.LV.Tr.Road.Freight.HGV.Domestic</t>
  </si>
  <si>
    <t>Eff_test_stock.kgoe_per_100km.LV.Tr.Road.Freight.HGV.International</t>
  </si>
  <si>
    <t>Eff_test_new.kgoe_per_100km.LV.Tr.Road.Passenger.P2W</t>
  </si>
  <si>
    <t>Eff_test_new.kgoe_per_100km.LV.Tr.Road.Passenger.Car</t>
  </si>
  <si>
    <t>Eff_test_new.kgoe_per_100km.LV.Tr.Road.Passenger.Car.ICE.Gasoline</t>
  </si>
  <si>
    <t>Eff_test_new.kgoe_per_100km.LV.Tr.Road.Passenger.Car.ICE.Diesel</t>
  </si>
  <si>
    <t>Eff_test_new.kgoe_per_100km.LV.Tr.Road.Passenger.Car.ICE.LPG</t>
  </si>
  <si>
    <t>Eff_test_new.kgoe_per_100km.LV.Tr.Road.Passenger.Car.ICE.NGas</t>
  </si>
  <si>
    <t>Eff_test_new.kgoe_per_100km.LV.Tr.Road.Passenger.Car.PHEV</t>
  </si>
  <si>
    <t>Eff_test_new.kgoe_per_100km.LV.Tr.Road.Passenger.Car.BEV</t>
  </si>
  <si>
    <t>Eff_test_new.kgoe_per_100km.LV.Tr.Road.Passenger.Bus</t>
  </si>
  <si>
    <t>Eff_test_new.kgoe_per_100km.LV.Tr.Road.Passenger.Bus.ICE.Gasoline</t>
  </si>
  <si>
    <t>Eff_test_new.kgoe_per_100km.LV.Tr.Road.Passenger.Bus.ICE.Diesel</t>
  </si>
  <si>
    <t>Eff_test_new.kgoe_per_100km.LV.Tr.Road.Passenger.Bus.ICE.LPG</t>
  </si>
  <si>
    <t>Eff_test_new.kgoe_per_100km.LV.Tr.Road.Passenger.Bus.ICE.NGas</t>
  </si>
  <si>
    <t>Eff_test_new.kgoe_per_100km.LV.Tr.Road.Passenger.Bus.ICE.BEV</t>
  </si>
  <si>
    <t>Eff_test_new.kgoe_per_100km.LV.Tr.Road.Freight.LCV</t>
  </si>
  <si>
    <t>Eff_test_new.kgoe_per_100km.LV.Tr.Road.Freight.LCV.ICE.Gasoline</t>
  </si>
  <si>
    <t>Eff_test_new.kgoe_per_100km.LV.Tr.Road.Freight.LCV.ICE.Diesel</t>
  </si>
  <si>
    <t>Eff_test_new.kgoe_per_100km.LV.Tr.Road.Freight.LCV.ICE.LPG</t>
  </si>
  <si>
    <t>Eff_test_new.kgoe_per_100km.LV.Tr.Road.Freight.LCV.ICE.NGas</t>
  </si>
  <si>
    <t>Eff_test_new.kgoe_per_100km.LV.Tr.Road.Freight.LCV.ICE.BEV</t>
  </si>
  <si>
    <t>Eff_test_new.kgoe_per_100km.LV.Tr.Road.Freight.HGV</t>
  </si>
  <si>
    <t>Eff_test_new.kgoe_per_100km.LV.Tr.Road.Freight.HGV.Domestic</t>
  </si>
  <si>
    <t>Eff_test_new.kgoe_per_100km.LV.Tr.Road.Freight.HGV.International</t>
  </si>
  <si>
    <t>EMIint_test_stock.gCO2_per_km.LV.Tr.Road.Passenger.P2W</t>
  </si>
  <si>
    <t>EMIint_test_stock.gCO2_per_km.LV.Tr.Road.Passenger.Car</t>
  </si>
  <si>
    <t>EMIint_test_stock.gCO2_per_km.LV.Tr.Road.Passenger.Car.ICE.Gasoline</t>
  </si>
  <si>
    <t>EMIint_test_stock.gCO2_per_km.LV.Tr.Road.Passenger.Car.ICE.Diesel</t>
  </si>
  <si>
    <t>EMIint_test_stock.gCO2_per_km.LV.Tr.Road.Passenger.Car.ICE.LPG</t>
  </si>
  <si>
    <t>EMIint_test_stock.gCO2_per_km.LV.Tr.Road.Passenger.Car.ICE.NGas</t>
  </si>
  <si>
    <t>EMIint_test_stock.gCO2_per_km.LV.Tr.Road.Passenger.Car.PHEV</t>
  </si>
  <si>
    <t>EMIint_test_stock.gCO2_per_km.LV.Tr.Road.Passenger.Car.BEV</t>
  </si>
  <si>
    <t>EMIint_test_stock.gCO2_per_km.LV.Tr.Road.Passenger.Bus</t>
  </si>
  <si>
    <t>EMIint_test_stock.gCO2_per_km.LV.Tr.Road.Passenger.Bus.ICE.Gasoline</t>
  </si>
  <si>
    <t>EMIint_test_stock.gCO2_per_km.LV.Tr.Road.Passenger.Bus.ICE.Diesel</t>
  </si>
  <si>
    <t>EMIint_test_stock.gCO2_per_km.LV.Tr.Road.Passenger.Bus.ICE.LPG</t>
  </si>
  <si>
    <t>EMIint_test_stock.gCO2_per_km.LV.Tr.Road.Passenger.Bus.ICE.NGas</t>
  </si>
  <si>
    <t>EMIint_test_stock.gCO2_per_km.LV.Tr.Road.Passenger.Bus.ICE.BEV</t>
  </si>
  <si>
    <t>EMIint_test_stock.gCO2_per_km.LV.Tr.Road.Freight.LCV</t>
  </si>
  <si>
    <t>EMIint_test_stock.gCO2_per_km.LV.Tr.Road.Freight.LCV.ICE.Gasoline</t>
  </si>
  <si>
    <t>EMIint_test_stock.gCO2_per_km.LV.Tr.Road.Freight.LCV.ICE.Diesel</t>
  </si>
  <si>
    <t>EMIint_test_stock.gCO2_per_km.LV.Tr.Road.Freight.LCV.ICE.LPG</t>
  </si>
  <si>
    <t>EMIint_test_stock.gCO2_per_km.LV.Tr.Road.Freight.LCV.ICE.NGas</t>
  </si>
  <si>
    <t>EMIint_test_stock.gCO2_per_km.LV.Tr.Road.Freight.LCV.ICE.BEV</t>
  </si>
  <si>
    <t>EMIint_test_stock.gCO2_per_km.LV.Tr.Road.Freight.HGV</t>
  </si>
  <si>
    <t>EMIint_test_stock.gCO2_per_km.LV.Tr.Road.Freight.HGV.Domestic</t>
  </si>
  <si>
    <t>EMIint_test_stock.gCO2_per_km.LV.Tr.Road.Freight.HGV.International</t>
  </si>
  <si>
    <t>EMIint_test_new.gCO2_per_km.LV.Tr.Road.Passenger.P2W</t>
  </si>
  <si>
    <t>EMIint_test_new.gCO2_per_km.LV.Tr.Road.Passenger.Car</t>
  </si>
  <si>
    <t>EMIint_test_new.gCO2_per_km.LV.Tr.Road.Passenger.Car.ICE.Gasoline</t>
  </si>
  <si>
    <t>EMIint_test_new.gCO2_per_km.LV.Tr.Road.Passenger.Car.ICE.Diesel</t>
  </si>
  <si>
    <t>EMIint_test_new.gCO2_per_km.LV.Tr.Road.Passenger.Car.ICE.LPG</t>
  </si>
  <si>
    <t>EMIint_test_new.gCO2_per_km.LV.Tr.Road.Passenger.Car.ICE.NGas</t>
  </si>
  <si>
    <t>EMIint_test_new.gCO2_per_km.LV.Tr.Road.Passenger.Car.PHEV</t>
  </si>
  <si>
    <t>EMIint_test_new.gCO2_per_km.LV.Tr.Road.Passenger.Car.BEV</t>
  </si>
  <si>
    <t>EMIint_test_new.gCO2_per_km.LV.Tr.Road.Passenger.Bus</t>
  </si>
  <si>
    <t>EMIint_test_new.gCO2_per_km.LV.Tr.Road.Passenger.Bus.ICE.Gasoline</t>
  </si>
  <si>
    <t>EMIint_test_new.gCO2_per_km.LV.Tr.Road.Passenger.Bus.ICE.Diesel</t>
  </si>
  <si>
    <t>EMIint_test_new.gCO2_per_km.LV.Tr.Road.Passenger.Bus.ICE.LPG</t>
  </si>
  <si>
    <t>EMIint_test_new.gCO2_per_km.LV.Tr.Road.Passenger.Bus.ICE.NGas</t>
  </si>
  <si>
    <t>EMIint_test_new.gCO2_per_km.LV.Tr.Road.Passenger.Bus.ICE.BEV</t>
  </si>
  <si>
    <t>EMIint_test_new.gCO2_per_km.LV.Tr.Road.Freight.LCV</t>
  </si>
  <si>
    <t>EMIint_test_new.gCO2_per_km.LV.Tr.Road.Freight.LCV.ICE.Gasoline</t>
  </si>
  <si>
    <t>EMIint_test_new.gCO2_per_km.LV.Tr.Road.Freight.LCV.ICE.Diesel</t>
  </si>
  <si>
    <t>EMIint_test_new.gCO2_per_km.LV.Tr.Road.Freight.LCV.ICE.LPG</t>
  </si>
  <si>
    <t>EMIint_test_new.gCO2_per_km.LV.Tr.Road.Freight.LCV.ICE.NGas</t>
  </si>
  <si>
    <t>EMIint_test_new.gCO2_per_km.LV.Tr.Road.Freight.LCV.ICE.BEV</t>
  </si>
  <si>
    <t>EMIint_test_new.gCO2_per_km.LV.Tr.Road.Freight.HGV</t>
  </si>
  <si>
    <t>EMIint_test_new.gCO2_per_km.LV.Tr.Road.Freight.HGV.Domestic</t>
  </si>
  <si>
    <t>EMIint_test_new.gCO2_per_km.LV.Tr.Road.Freight.HGV.International</t>
  </si>
  <si>
    <t>FEC.ktoe.LV.MBunk</t>
  </si>
  <si>
    <t>FEC.ktoe.LV.MBunk.IntraEEA</t>
  </si>
  <si>
    <t>FEC.ktoe.LV.MBunk.ExtraEEA</t>
  </si>
  <si>
    <t>EMI.ktCO2.LV.MBunk</t>
  </si>
  <si>
    <t>EMI.ktCO2.LV.MBunk.IntraEEA</t>
  </si>
  <si>
    <t>EMI.ktCO2.LV.MBunk.ExtraEEA</t>
  </si>
  <si>
    <t>International maritime bunkers - LV - Latvia</t>
  </si>
  <si>
    <t>VehicleKm.Mkm.LV.MBunk.Freight</t>
  </si>
  <si>
    <t>VehicleKm.Mkm.LV.MBunk.Freight.IntraEEA</t>
  </si>
  <si>
    <t>VehicleKm.Mkm.LV.MBunk.Freight.ExtraEEA</t>
  </si>
  <si>
    <t>Load.t_per_movement.LV.MBunk.Freight</t>
  </si>
  <si>
    <t>Load.t_per_movement.LV.MBunk.Freight.IntraEEA</t>
  </si>
  <si>
    <t>Load.t_per_movement.LV.MBunk.Freight.ExtraEEA</t>
  </si>
  <si>
    <t>International maritime bunkers / energy consumption - LV - Latvia</t>
  </si>
  <si>
    <t>FEC.ktoe.LV.ES.MBunk</t>
  </si>
  <si>
    <t>FEC.ktoe.LV.ES.MBunk.IntraEEA</t>
  </si>
  <si>
    <t>FEC.ktoe.LV.ES.MBunk.IntraEEA.Diesel</t>
  </si>
  <si>
    <t>FEC.ktoe.LV.ES.MBunk.IntraEEA.RFO_Other</t>
  </si>
  <si>
    <t>FEC.ktoe.LV.ES.MBunk.IntraEEA.LiqBio</t>
  </si>
  <si>
    <t>FEC.ktoe.LV.ES.MBunk.IntraEEA.NG</t>
  </si>
  <si>
    <t>FEC.ktoe.LV.ES.MBunk.IntraEEA.Biogas</t>
  </si>
  <si>
    <t>FEC.ktoe.LV.ES.MBunk.ExtraEEA</t>
  </si>
  <si>
    <t>FEC.ktoe.LV.ES.MBunk.ExtraEEA.Diesel</t>
  </si>
  <si>
    <t>FEC.ktoe.LV.ES.MBunk.ExtraEEA.RFO_Other</t>
  </si>
  <si>
    <t>FEC.ktoe.LV.ES.MBunk.ExtraEEA.LiqBio</t>
  </si>
  <si>
    <t>FEC.ktoe.LV.ES.MBunk.ExtraEEA.NG</t>
  </si>
  <si>
    <t>FEC.ktoe.LV.ES.MBunk.ExtraEEA.Biogas</t>
  </si>
  <si>
    <t>Eff.kgoe_per_100km.LV.MBunk.Freight</t>
  </si>
  <si>
    <t>Eff.kgoe_per_100km.LV.MBunk.Freight.IntraEEA</t>
  </si>
  <si>
    <t>Eff.kgoe_per_100km.LV.MBunk.Freight.ExtraEEA</t>
  </si>
  <si>
    <t>International maritime bunkers / CO2 emissions - LV - Latvia</t>
  </si>
  <si>
    <t>EMI.ktCO2.LV.ES.MBunk</t>
  </si>
  <si>
    <t>EMI.ktCO2.LV.ES.MBunk.IntraEEA</t>
  </si>
  <si>
    <t>EMI.ktCO2.LV.ES.MBunk.ExtraEEA</t>
  </si>
  <si>
    <t>EMIint.gCO2_per_km.LV.MBunk.Freight</t>
  </si>
  <si>
    <t>EMIint.gCO2_per_km.LV.MBunk.Freight.IntraEEA</t>
  </si>
  <si>
    <t>EMIint.gCO2_per_km.LV.MBunk.Freight.ExtraEEA</t>
  </si>
  <si>
    <t>FEC.ktoe.LV.Tr.DNavi</t>
  </si>
  <si>
    <t>FEC.ktoe.LV.Tr.Dnavi.DCS</t>
  </si>
  <si>
    <t>FEC.ktoe.LV.Tr.Dnavi.IWW</t>
  </si>
  <si>
    <t>EMI.ktCO2.LV.Tr.DNavi</t>
  </si>
  <si>
    <t>EMI.ktCO2.LV.Tr.Dnavi.DCS</t>
  </si>
  <si>
    <t>EMI.ktCO2.LV.Tr.Dnavi.IWW</t>
  </si>
  <si>
    <t>Domestic navigation - LV - Latvia</t>
  </si>
  <si>
    <t>VehicleKm.Mkm.LV.Tr.DNavi.Freight</t>
  </si>
  <si>
    <t>VehicleKm.Mkm.LV.Tr.DNavi.Freight.DCS</t>
  </si>
  <si>
    <t>VehicleKm.Mkm.LV.Tr.DNavi.Freight.IWW</t>
  </si>
  <si>
    <t>Load.t_per_movement.LV.Tr.DNavi.Freight</t>
  </si>
  <si>
    <t>Load.t_per_movement.LV.Tr.DNavi.Freight.DCS</t>
  </si>
  <si>
    <t>Load.t_per_movement.LV.Tr.DNavi.Freight.IWW</t>
  </si>
  <si>
    <t>Domestic navigation / energy consumption - LV - Latvia</t>
  </si>
  <si>
    <t>FEC.ktoe.LV.ES.Tr.DNavi</t>
  </si>
  <si>
    <t>FEC.ktoe.LV.ES.Tr.DNavi.DCS</t>
  </si>
  <si>
    <t>FEC.ktoe.LV.ES.Tr.DNavi.DCS.Diesel</t>
  </si>
  <si>
    <t>FEC.ktoe.LV.ES.Tr.DNavi.DCS.RFO_Other</t>
  </si>
  <si>
    <t>FEC.ktoe.LV.ES.Tr.DNavi.DCS.LiqBio</t>
  </si>
  <si>
    <t>FEC.ktoe.LV.ES.Tr.DNavi.DCS.NG</t>
  </si>
  <si>
    <t>FEC.ktoe.LV.ES.Tr.DNavi.DCS.Biogas</t>
  </si>
  <si>
    <t>FEC.ktoe.LV.ES.Tr.DNavi.IWW</t>
  </si>
  <si>
    <t>FEC.ktoe.LV.ES.Tr.DNavi.IWW.Diesel</t>
  </si>
  <si>
    <t>FEC.ktoe.LV.ES.Tr.DNavi.IWW.RFO_Other</t>
  </si>
  <si>
    <t>FEC.ktoe.LV.ES.Tr.DNavi.IWW.LiqBio</t>
  </si>
  <si>
    <t>FEC.ktoe.LV.ES.Tr.DNavi.IWW.NG</t>
  </si>
  <si>
    <t>FEC.ktoe.LV.ES.Tr.DNavi.IWW.Biogas</t>
  </si>
  <si>
    <t>Eff.kgoe_per_100km.LV.Tr.DNavi.Freight</t>
  </si>
  <si>
    <t>Eff.kgoe_per_100km.LV.Tr.DNavi.Freight.DCS</t>
  </si>
  <si>
    <t>Eff.kgoe_per_100km.LV.Tr.DNavi.Freight.IWW</t>
  </si>
  <si>
    <t>Domestic navigation / CO2 emissions - LV - Latvia</t>
  </si>
  <si>
    <t>EMI.ktCO2.LV.ES.Tr.DNavi</t>
  </si>
  <si>
    <t>EMI.ktCO2.LV.ES.Tr.DNavi.DCS</t>
  </si>
  <si>
    <t>EMI.ktCO2.LV.ES.Tr.DNavi.IWW</t>
  </si>
  <si>
    <t>EMIint.gCO2_per_km.LV.Tr.DNavi.Freight</t>
  </si>
  <si>
    <t>EMIint.gCO2_per_km.LV.Tr.DNavi.Freight.DCS</t>
  </si>
  <si>
    <t>EMIint.gCO2_per_km.LV.Tr.DNavi.Freight.IWW</t>
  </si>
  <si>
    <t>Rail, metro and tram - LV - Latvia</t>
  </si>
  <si>
    <t>Activity.Mpkm.LV.Tr.Rail.Passenger.CPT.Diesel</t>
  </si>
  <si>
    <t>Activity.Mpkm.LV.Tr.Rail.Passenger.CPT.Elc</t>
  </si>
  <si>
    <t>Activity.Mtkm.LV.Tr.Rail.Freight.Diesel</t>
  </si>
  <si>
    <t>Activity.Mtkm.LV.Tr.Rail.Freight.Elc</t>
  </si>
  <si>
    <t>VehicleKm.Mkm.LV.Tr.Rail</t>
  </si>
  <si>
    <t>VehicleKm.Mkm.LV.Tr.Rail.Passenger</t>
  </si>
  <si>
    <t>VehicleKm.Mkm.LV.Tr.Rail.Passenger.MTU</t>
  </si>
  <si>
    <t>VehicleKm.Mkm.LV.Tr.Rail.Passenger.CPT</t>
  </si>
  <si>
    <t>VehicleKm.Mkm.LV.Tr.Rail.Passenger.CPT.Diesel</t>
  </si>
  <si>
    <t>VehicleKm.Mkm.LV.Tr.Rail.Passenger.CPT.Elc</t>
  </si>
  <si>
    <t>VehicleKm.Mkm.LV.Tr.Rail.Passenger.HST</t>
  </si>
  <si>
    <t>VehicleKm.Mkm.LV.Tr.Rail.Freight</t>
  </si>
  <si>
    <t>VehicleKm.Mkm.LV.Tr.Rail.Freight.Diesel</t>
  </si>
  <si>
    <t>VehicleKm.Mkm.LV.Tr.Rail.Freight.Elc</t>
  </si>
  <si>
    <t>Stock.number.LV.Tr.Rail</t>
  </si>
  <si>
    <t>Stock.number.LV.Tr.Rail.Passenger</t>
  </si>
  <si>
    <t>Stock.number.LV.Tr.Rail.Passenger.MTU</t>
  </si>
  <si>
    <t>Stock.number.LV.Tr.Rail.Passenger.CPT</t>
  </si>
  <si>
    <t>Stock.number.LV.Tr.Rail.Passenger.CPT.Diesel</t>
  </si>
  <si>
    <t>Stock.number.LV.Tr.Rail.Passenger.CPT.Elc</t>
  </si>
  <si>
    <t>Stock.number.LV.Tr.Rail.Passenger.HST</t>
  </si>
  <si>
    <t>Stock.number.LV.Tr.Rail.Freight</t>
  </si>
  <si>
    <t>Stock.number.LV.Tr.Rail.Freight.Diesel</t>
  </si>
  <si>
    <t>Stock.number.LV.Tr.Rail.Freight.Elc</t>
  </si>
  <si>
    <t>StockNew.number.LV.Tr.Rail</t>
  </si>
  <si>
    <t>StockNew.number.LV.Tr.Rail.Passenger</t>
  </si>
  <si>
    <t>StockNew.number.LV.Tr.Rail.Passenger.MTU</t>
  </si>
  <si>
    <t>StockNew.number.LV.Tr.Rail.Passenger.CPT</t>
  </si>
  <si>
    <t>StockNew.number.LV.Tr.Rail.Passenger.CPT.Diesel</t>
  </si>
  <si>
    <t>StockNew.number.LV.Tr.Rail.Passenger.CPT.Elc</t>
  </si>
  <si>
    <t>StockNew.number.LV.Tr.Rail.Passenger.HST</t>
  </si>
  <si>
    <t>StockNew.number.LV.Tr.Rail.Freight</t>
  </si>
  <si>
    <t>StockNew.number.LV.Tr.Rail.Freight.Diesel</t>
  </si>
  <si>
    <t>StockNew.number.LV.Tr.Rail.Freight.Elc</t>
  </si>
  <si>
    <t>Load.passenger_per_movement.LV.Tr.Rail.Passenger</t>
  </si>
  <si>
    <t>Load.passenger_per_movement.LV.Tr.Rail.Passenger.MTU</t>
  </si>
  <si>
    <t>Load.passenger_per_movement.LV.Tr.Rail.Passenger.CPT</t>
  </si>
  <si>
    <t>Load.passenger_per_movement.LV.Tr.Rail.Passenger.CPT.Diesel</t>
  </si>
  <si>
    <t>Load.passenger_per_movement.LV.Tr.Rail.Passenger.CPT.Elc</t>
  </si>
  <si>
    <t>Load.passenger_per_movement.LV.Tr.Rail.Passenger.HST</t>
  </si>
  <si>
    <t>Load.t_per_movement.LV.Tr.Rail.Freight</t>
  </si>
  <si>
    <t>Load.t_per_movement.LV.Tr.Rail.Freight.Diesel</t>
  </si>
  <si>
    <t>Load.t_per_movement.LV.Tr.Rail.Freight.Elc</t>
  </si>
  <si>
    <t>TrCap.seats.LV.Tr.Rail.Passenger</t>
  </si>
  <si>
    <t>TrCap.seats.LV.Tr.Rail.Passenger.MTU</t>
  </si>
  <si>
    <t>TrCap.seats.LV.Tr.Rail.Passenger.CPT</t>
  </si>
  <si>
    <t>TrCap.seats.LV.Tr.Rail.Passenger.CPT.Diesel</t>
  </si>
  <si>
    <t>TrCap.seats.LV.Tr.Rail.Passenger.CPT.Elc</t>
  </si>
  <si>
    <t>TrCap.seats.LV.Tr.Rail.Passenger.HST</t>
  </si>
  <si>
    <t>TrCap.t.LV.Tr.Rail.Freight</t>
  </si>
  <si>
    <t>TrCap.t.LV.Tr.Rail.Freight.Diesel</t>
  </si>
  <si>
    <t>TrCap.t.LV.Tr.Rail.Freight.Elc</t>
  </si>
  <si>
    <t>VehicleKm_per_vehicle.km.LV.Tr.Rail</t>
  </si>
  <si>
    <t>VehicleKm_per_vehicle.km.LV.Tr.Rail.Passenger</t>
  </si>
  <si>
    <t>VehicleKm_per_vehicle.km.LV.Tr.Rail.Passenger.MTU</t>
  </si>
  <si>
    <t>VehicleKm_per_vehicle.km.LV.Tr.Rail.Passenger.CPT</t>
  </si>
  <si>
    <t>VehicleKm_per_vehicle.km.LV.Tr.Rail.Passenger.CPT.Diesel</t>
  </si>
  <si>
    <t>VehicleKm_per_vehicle.km.LV.Tr.Rail.Passenger.CPT.Elc</t>
  </si>
  <si>
    <t>VehicleKm_per_vehicle.km.LV.Tr.Rail.Passenger.HST</t>
  </si>
  <si>
    <t>VehicleKm_per_vehicle.km.LV.Tr.Rail.Freight</t>
  </si>
  <si>
    <t>VehicleKm_per_vehicle.km.LV.Tr.Rail.Freight.Diesel</t>
  </si>
  <si>
    <t>VehicleKm_per_vehicle.km.LV.Tr.Rail.Freight.Elc</t>
  </si>
  <si>
    <t>Activity_per_vehicle.pkm.LV.Tr.Rail.Passenger</t>
  </si>
  <si>
    <t>Activity_per_vehicle.pkm.LV.Tr.Rail.Passenger.MTU</t>
  </si>
  <si>
    <t>Activity_per_vehicle.pkm.LV.Tr.Rail.Passenger.CPT</t>
  </si>
  <si>
    <t>Activity_per_vehicle.pkm.LV.Tr.Rail.Passenger.CPT.Diesel</t>
  </si>
  <si>
    <t>Activity_per_vehicle.pkm.LV.Tr.Rail.Passenger.CPT.Elc</t>
  </si>
  <si>
    <t>Activity_per_vehicle.pkm.LV.Tr.Rail.Passenger.HST</t>
  </si>
  <si>
    <t>Activity_per_vehicle.tkm.LV.Tr.Rail.Freight</t>
  </si>
  <si>
    <t>Activity_per_vehicle.tkm.LV.Tr.Rail.Freight.Diesel</t>
  </si>
  <si>
    <t>Activity_per_vehicle.tkm.LV.Tr.Rail.Freight.Elc</t>
  </si>
  <si>
    <t>Rail, metro and tram / energy consumption - LV - Latvia</t>
  </si>
  <si>
    <t>FEC.ktoe.LV.ES.Tr.Rail</t>
  </si>
  <si>
    <t>FEC.ktoe.LV.ES.Tr.Rail.Diesel</t>
  </si>
  <si>
    <t>FEC.ktoe.LV.ES.Tr.Rail.LiqBio</t>
  </si>
  <si>
    <t>FEC.ktoe.LV.ES.Tr.Rail.Elec</t>
  </si>
  <si>
    <t>FEC.ktoe.LV.Tr.Rail</t>
  </si>
  <si>
    <t>FEC.ktoe.LV.Tr.Rail.Passenger.CPT.Diesel</t>
  </si>
  <si>
    <t>FEC.ktoe.LV.Tr.Rail.Passenger.CPT.Elc</t>
  </si>
  <si>
    <t>FEC.ktoe.LV.Tr.Rail.Freight.Diesel</t>
  </si>
  <si>
    <t>FEC.ktoe.LV.Tr.Rail.Freight.Elc</t>
  </si>
  <si>
    <t>Eff.kgoe_per_100km.LV.Tr.Rail</t>
  </si>
  <si>
    <t>Eff.kgoe_per_100km.LV.Tr.Rail.Passenger</t>
  </si>
  <si>
    <t>Eff.kgoe_per_100km.LV.Tr.Rail.Passenger.MTU</t>
  </si>
  <si>
    <t>Eff.kgoe_per_100km.LV.Tr.Rail.Passenger.CPT</t>
  </si>
  <si>
    <t>Eff.kgoe_per_100km.LV.Tr.Rail.Passenger.CPT.Diesel</t>
  </si>
  <si>
    <t>Eff.kgoe_per_100km.LV.Tr.Rail.Passenger.CPT.Elc</t>
  </si>
  <si>
    <t>Eff.kgoe_per_100km.LV.Tr.Rail.Passenger.HST</t>
  </si>
  <si>
    <t>Eff.kgoe_per_100km.LV.Tr.Rail.Freight</t>
  </si>
  <si>
    <t>Eff.kgoe_per_100km.LV.Tr.Rail.Freight.Diesel</t>
  </si>
  <si>
    <t>Eff.kgoe_per_100km.LV.Tr.Rail.Freight.Elc</t>
  </si>
  <si>
    <t>Eff.kgoe_per_kpkm.LV.Tr.Rail.Passenger.CPT.Diesel</t>
  </si>
  <si>
    <t>Eff.kgoe_per_kpkm.LV.Tr.Rail.Passenger.CPT.Elc</t>
  </si>
  <si>
    <t>Eff.kgoe_per_ktkm.LV.Tr.Rail.Freight.Diesel</t>
  </si>
  <si>
    <t>Eff.kgoe_per_ktkm.LV.Tr.Rail.Freight.Elc</t>
  </si>
  <si>
    <t>FEC_per_vehicle.kgoe.LV.Tr.Rail</t>
  </si>
  <si>
    <t>FEC_per_vehicle.kgoe.LV.Tr.Rail.Passenger</t>
  </si>
  <si>
    <t>FEC_per_vehicle.kgoe.LV.Tr.Rail.Passenger.MTU</t>
  </si>
  <si>
    <t>FEC_per_vehicle.kgoe.LV.Tr.Rail.Passenger.CPT</t>
  </si>
  <si>
    <t>FEC_per_vehicle.kgoe.LV.Tr.Rail.Passenger.CPT.Diesel</t>
  </si>
  <si>
    <t>FEC_per_vehicle.kgoe.LV.Tr.Rail.Passenger.CPT.Elc</t>
  </si>
  <si>
    <t>FEC_per_vehicle.kgoe.LV.Tr.Rail.Passenger.HST</t>
  </si>
  <si>
    <t>FEC_per_vehicle.kgoe.LV.Tr.Rail.Freight</t>
  </si>
  <si>
    <t>FEC_per_vehicle.kgoe.LV.Tr.Rail.Freight.Diesel</t>
  </si>
  <si>
    <t>FEC_per_vehicle.kgoe.LV.Tr.Rail.Freight.Elc</t>
  </si>
  <si>
    <t>Rail, metro and tram / CO2 emissions - LV - Latvia</t>
  </si>
  <si>
    <t>EMI.ktCO2.LV.ES.Tr.Rail</t>
  </si>
  <si>
    <t>EMI.ktCO2.LV.ES.Tr.Rail.Diesel</t>
  </si>
  <si>
    <t>EMI.ktCO2.LV.ES.Tr.Rail.Elec</t>
  </si>
  <si>
    <t>EMI.ktCO2.LV.Tr.Rail</t>
  </si>
  <si>
    <t>EMI.ktCO2.LV.Tr.Rail.Passenger.CPT.Diesel</t>
  </si>
  <si>
    <t>EMI.ktCO2.LV.Tr.Rail.Passenger.CPT.Elc</t>
  </si>
  <si>
    <t>EMI.ktCO2.LV.Tr.Rail.Freight.Diesel</t>
  </si>
  <si>
    <t>EMI.ktCO2.LV.Tr.Rail.Freight.Elc</t>
  </si>
  <si>
    <t>EMIint.gCO2_per_km.LV.Tr.Rail</t>
  </si>
  <si>
    <t>EMIint.gCO2_per_km.LV.Tr.Rail.Passenger</t>
  </si>
  <si>
    <t>EMIint.gCO2_per_km.LV.Tr.Rail.Passenger.MTU</t>
  </si>
  <si>
    <t>EMIint.gCO2_per_km.LV.Tr.Rail.Passenger.CPT</t>
  </si>
  <si>
    <t>EMIint.gCO2_per_km.LV.Tr.Rail.Passenger.CPT.Diesel</t>
  </si>
  <si>
    <t>EMIint.gCO2_per_km.LV.Tr.Rail.Passenger.CPT.Elc</t>
  </si>
  <si>
    <t>EMIint.gCO2_per_km.LV.Tr.Rail.Passenger.HST</t>
  </si>
  <si>
    <t>EMIint.gCO2_per_km.LV.Tr.Rail.Freight</t>
  </si>
  <si>
    <t>EMIint.gCO2_per_km.LV.Tr.Rail.Freight.Diesel</t>
  </si>
  <si>
    <t>EMIint.gCO2_per_km.LV.Tr.Rail.Freight.Elc</t>
  </si>
  <si>
    <t>EMIint.gCO2_per_pkm.LV.Tr.Rail.Passenger.CPT.Diesel</t>
  </si>
  <si>
    <t>EMIint.gCO2_per_pkm.LV.Tr.Rail.Passenger.CPT.Elc</t>
  </si>
  <si>
    <t>EMIint.gCO2_per_tkm.LV.Tr.Rail.Freight.Diesel</t>
  </si>
  <si>
    <t>EMIint.gCO2_per_tkm.LV.Tr.Rail.Freight.Elc</t>
  </si>
  <si>
    <t>EMI_per_vehicle.tCO2.LV.Tr.Rail</t>
  </si>
  <si>
    <t>EMI_per_vehicle.tCO2.LV.Tr.Rail.Passenger</t>
  </si>
  <si>
    <t>EMI_per_vehicle.tCO2.LV.Tr.Rail.Passenger.MTU</t>
  </si>
  <si>
    <t>EMI_per_vehicle.tCO2.LV.Tr.Rail.Passenger.CPT</t>
  </si>
  <si>
    <t>EMI_per_vehicle.tCO2.LV.Tr.Rail.Passenger.CPT.Diesel</t>
  </si>
  <si>
    <t>EMI_per_vehicle.tCO2.LV.Tr.Rail.Passenger.CPT.Elc</t>
  </si>
  <si>
    <t>EMI_per_vehicle.tCO2.LV.Tr.Rail.Passenger.HST</t>
  </si>
  <si>
    <t>EMI_per_vehicle.tCO2.LV.Tr.Rail.Freight</t>
  </si>
  <si>
    <t>EMI_per_vehicle.tCO2.LV.Tr.Rail.Freight.Diesel</t>
  </si>
  <si>
    <t>EMI_per_vehicle.tCO2.LV.Tr.Rail.Freight.Elc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</si>
</sst>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45432.787152777775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15390.74529030496</v>
      </c>
      <c r="C4" s="28">
        <f t="shared" si="0"/>
        <v>15847.053514528239</v>
      </c>
      <c r="D4" s="28">
        <f t="shared" si="0"/>
        <v>16474.469016093928</v>
      </c>
      <c r="E4" s="28">
        <f t="shared" si="0"/>
        <v>17418.366253040054</v>
      </c>
      <c r="F4" s="28">
        <f t="shared" si="0"/>
        <v>16253.459736703031</v>
      </c>
      <c r="G4" s="28">
        <f t="shared" si="0"/>
        <v>18058.742167440643</v>
      </c>
      <c r="H4" s="28">
        <f t="shared" si="0"/>
        <v>20365.790336460053</v>
      </c>
      <c r="I4" s="28">
        <f t="shared" si="0"/>
        <v>22676.047861514311</v>
      </c>
      <c r="J4" s="28">
        <f t="shared" si="0"/>
        <v>21057.46412890275</v>
      </c>
      <c r="K4" s="28">
        <f t="shared" si="0"/>
        <v>18731.753538530695</v>
      </c>
      <c r="L4" s="28">
        <f t="shared" si="0"/>
        <v>19098.384732730701</v>
      </c>
      <c r="M4" s="28">
        <f t="shared" si="0"/>
        <v>18263.810151339676</v>
      </c>
      <c r="N4" s="28">
        <f t="shared" si="0"/>
        <v>18429.145915341251</v>
      </c>
      <c r="O4" s="28">
        <f t="shared" si="0"/>
        <v>18704.952692819297</v>
      </c>
      <c r="P4" s="28">
        <f t="shared" si="0"/>
        <v>19473.483947767942</v>
      </c>
      <c r="Q4" s="28">
        <f t="shared" si="0"/>
        <v>20390.11949416186</v>
      </c>
      <c r="R4" s="28">
        <f t="shared" ref="R4:V4" si="1">R5+R9+R13</f>
        <v>20784.885787689283</v>
      </c>
      <c r="S4" s="28">
        <f t="shared" si="1"/>
        <v>22269.504585385403</v>
      </c>
      <c r="T4" s="28">
        <f t="shared" si="1"/>
        <v>23233.450765735015</v>
      </c>
      <c r="U4" s="28">
        <f t="shared" si="1"/>
        <v>23912.708173480765</v>
      </c>
      <c r="V4" s="28">
        <f t="shared" si="1"/>
        <v>18383.682759622559</v>
      </c>
      <c r="W4" s="28">
        <f t="shared" ref="W4" si="2">W5+W9+W13</f>
        <v>16966.371706667713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13913.181653045962</v>
      </c>
      <c r="C5" s="137">
        <f t="shared" si="3"/>
        <v>14370.620983163366</v>
      </c>
      <c r="D5" s="137">
        <f t="shared" si="3"/>
        <v>14926.543918647065</v>
      </c>
      <c r="E5" s="137">
        <f t="shared" si="3"/>
        <v>15615.499186383147</v>
      </c>
      <c r="F5" s="137">
        <f t="shared" si="3"/>
        <v>14226.539758109042</v>
      </c>
      <c r="G5" s="137">
        <f t="shared" si="3"/>
        <v>15067.145002662166</v>
      </c>
      <c r="H5" s="137">
        <f t="shared" si="3"/>
        <v>16863.183037440933</v>
      </c>
      <c r="I5" s="137">
        <f t="shared" si="3"/>
        <v>18662.520567367974</v>
      </c>
      <c r="J5" s="137">
        <f t="shared" si="3"/>
        <v>16828.529546990081</v>
      </c>
      <c r="K5" s="137">
        <f t="shared" si="3"/>
        <v>14903.919934233187</v>
      </c>
      <c r="L5" s="137">
        <f t="shared" si="3"/>
        <v>14680.857606878166</v>
      </c>
      <c r="M5" s="137">
        <f t="shared" si="3"/>
        <v>13819.443030857099</v>
      </c>
      <c r="N5" s="137">
        <f t="shared" si="3"/>
        <v>14330.244191138874</v>
      </c>
      <c r="O5" s="137">
        <f t="shared" si="3"/>
        <v>14521.759128932594</v>
      </c>
      <c r="P5" s="137">
        <f t="shared" si="3"/>
        <v>15414.510663122062</v>
      </c>
      <c r="Q5" s="137">
        <f t="shared" si="3"/>
        <v>16277.702903989071</v>
      </c>
      <c r="R5" s="137">
        <f t="shared" ref="R5:V5" si="4">R6+R7+R8</f>
        <v>16567.30772122254</v>
      </c>
      <c r="S5" s="137">
        <f t="shared" si="4"/>
        <v>17592.553532027661</v>
      </c>
      <c r="T5" s="137">
        <f t="shared" si="4"/>
        <v>17897.722914299033</v>
      </c>
      <c r="U5" s="137">
        <f t="shared" si="4"/>
        <v>18155.92638634067</v>
      </c>
      <c r="V5" s="137">
        <f t="shared" si="4"/>
        <v>16516.289292884649</v>
      </c>
      <c r="W5" s="137">
        <f t="shared" ref="W5" si="5">W6+W7+W8</f>
        <v>14895.872560831549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65.181653045962747</v>
      </c>
      <c r="C6" s="102">
        <f>TrRoad_act!C$5</f>
        <v>65.620983163366745</v>
      </c>
      <c r="D6" s="102">
        <f>TrRoad_act!D$5</f>
        <v>65.543918647064814</v>
      </c>
      <c r="E6" s="102">
        <f>TrRoad_act!E$5</f>
        <v>65.499186383147617</v>
      </c>
      <c r="F6" s="102">
        <f>TrRoad_act!F$5</f>
        <v>65.1397581090431</v>
      </c>
      <c r="G6" s="102">
        <f>TrRoad_act!G$5</f>
        <v>64.645002662167045</v>
      </c>
      <c r="H6" s="102">
        <f>TrRoad_act!H$5</f>
        <v>63.583037440929942</v>
      </c>
      <c r="I6" s="102">
        <f>TrRoad_act!I$5</f>
        <v>61.320567367973638</v>
      </c>
      <c r="J6" s="102">
        <f>TrRoad_act!J$5</f>
        <v>59.029546990080213</v>
      </c>
      <c r="K6" s="102">
        <f>TrRoad_act!K$5</f>
        <v>57.229934233188523</v>
      </c>
      <c r="L6" s="102">
        <f>TrRoad_act!L$5</f>
        <v>57.517606878163868</v>
      </c>
      <c r="M6" s="102">
        <f>TrRoad_act!M$5</f>
        <v>57.543030857099929</v>
      </c>
      <c r="N6" s="102">
        <f>TrRoad_act!N$5</f>
        <v>53.044191138874389</v>
      </c>
      <c r="O6" s="102">
        <f>TrRoad_act!O$5</f>
        <v>55.85912893259173</v>
      </c>
      <c r="P6" s="102">
        <f>TrRoad_act!P$5</f>
        <v>68.210663122061518</v>
      </c>
      <c r="Q6" s="102">
        <f>TrRoad_act!Q$5</f>
        <v>87.70290398907018</v>
      </c>
      <c r="R6" s="102">
        <f>TrRoad_act!R$5</f>
        <v>88.507721222543779</v>
      </c>
      <c r="S6" s="102">
        <f>TrRoad_act!S$5</f>
        <v>84.453532027662547</v>
      </c>
      <c r="T6" s="102">
        <f>TrRoad_act!T$5</f>
        <v>81.322914299032959</v>
      </c>
      <c r="U6" s="102">
        <f>TrRoad_act!U$5</f>
        <v>87.126386340672383</v>
      </c>
      <c r="V6" s="102">
        <f>TrRoad_act!V$5</f>
        <v>78.989292884649615</v>
      </c>
      <c r="W6" s="102">
        <f>TrRoad_act!W$5</f>
        <v>83.272560831547082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11500</v>
      </c>
      <c r="C7" s="102">
        <f>TrRoad_act!C$6</f>
        <v>12000</v>
      </c>
      <c r="D7" s="102">
        <f>TrRoad_act!D$6</f>
        <v>12500</v>
      </c>
      <c r="E7" s="102">
        <f>TrRoad_act!E$6</f>
        <v>13000</v>
      </c>
      <c r="F7" s="102">
        <f>TrRoad_act!F$6</f>
        <v>11506.4</v>
      </c>
      <c r="G7" s="102">
        <f>TrRoad_act!G$6</f>
        <v>12111.499999999998</v>
      </c>
      <c r="H7" s="102">
        <f>TrRoad_act!H$6</f>
        <v>14019.6</v>
      </c>
      <c r="I7" s="102">
        <f>TrRoad_act!I$6</f>
        <v>15957.2</v>
      </c>
      <c r="J7" s="102">
        <f>TrRoad_act!J$6</f>
        <v>14252.5</v>
      </c>
      <c r="K7" s="102">
        <f>TrRoad_act!K$6</f>
        <v>12703.689999999999</v>
      </c>
      <c r="L7" s="102">
        <f>TrRoad_act!L$6</f>
        <v>12312.340000000002</v>
      </c>
      <c r="M7" s="102">
        <f>TrRoad_act!M$6</f>
        <v>11349.9</v>
      </c>
      <c r="N7" s="102">
        <f>TrRoad_act!N$6</f>
        <v>11528</v>
      </c>
      <c r="O7" s="102">
        <f>TrRoad_act!O$6</f>
        <v>11733.400000000001</v>
      </c>
      <c r="P7" s="102">
        <f>TrRoad_act!P$6</f>
        <v>12625.800000000001</v>
      </c>
      <c r="Q7" s="102">
        <f>TrRoad_act!Q$6</f>
        <v>13542.600000000002</v>
      </c>
      <c r="R7" s="102">
        <f>TrRoad_act!R$6</f>
        <v>13898.799999999997</v>
      </c>
      <c r="S7" s="102">
        <f>TrRoad_act!S$6</f>
        <v>14978</v>
      </c>
      <c r="T7" s="102">
        <f>TrRoad_act!T$6</f>
        <v>15256.000000000002</v>
      </c>
      <c r="U7" s="102">
        <f>TrRoad_act!U$6</f>
        <v>15499.999999999998</v>
      </c>
      <c r="V7" s="102">
        <f>TrRoad_act!V$6</f>
        <v>14773.999999999998</v>
      </c>
      <c r="W7" s="102">
        <f>TrRoad_act!W$6</f>
        <v>13435.500000000002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2348</v>
      </c>
      <c r="C8" s="102">
        <f>TrRoad_act!C$13</f>
        <v>2305.0000000000005</v>
      </c>
      <c r="D8" s="102">
        <f>TrRoad_act!D$13</f>
        <v>2361</v>
      </c>
      <c r="E8" s="102">
        <f>TrRoad_act!E$13</f>
        <v>2550</v>
      </c>
      <c r="F8" s="102">
        <f>TrRoad_act!F$13</f>
        <v>2655</v>
      </c>
      <c r="G8" s="102">
        <f>TrRoad_act!G$13</f>
        <v>2891</v>
      </c>
      <c r="H8" s="102">
        <f>TrRoad_act!H$13</f>
        <v>2780</v>
      </c>
      <c r="I8" s="102">
        <f>TrRoad_act!I$13</f>
        <v>2644</v>
      </c>
      <c r="J8" s="102">
        <f>TrRoad_act!J$13</f>
        <v>2517</v>
      </c>
      <c r="K8" s="102">
        <f>TrRoad_act!K$13</f>
        <v>2143</v>
      </c>
      <c r="L8" s="102">
        <f>TrRoad_act!L$13</f>
        <v>2311</v>
      </c>
      <c r="M8" s="102">
        <f>TrRoad_act!M$13</f>
        <v>2412</v>
      </c>
      <c r="N8" s="102">
        <f>TrRoad_act!N$13</f>
        <v>2749.1999999999994</v>
      </c>
      <c r="O8" s="102">
        <f>TrRoad_act!O$13</f>
        <v>2732.5</v>
      </c>
      <c r="P8" s="102">
        <f>TrRoad_act!P$13</f>
        <v>2720.5</v>
      </c>
      <c r="Q8" s="102">
        <f>TrRoad_act!Q$13</f>
        <v>2647.3999999999996</v>
      </c>
      <c r="R8" s="102">
        <f>TrRoad_act!R$13</f>
        <v>2580</v>
      </c>
      <c r="S8" s="102">
        <f>TrRoad_act!S$13</f>
        <v>2530.1000000000004</v>
      </c>
      <c r="T8" s="102">
        <f>TrRoad_act!T$13</f>
        <v>2560.3999999999996</v>
      </c>
      <c r="U8" s="102">
        <f>TrRoad_act!U$13</f>
        <v>2568.7999999999997</v>
      </c>
      <c r="V8" s="102">
        <f>TrRoad_act!V$13</f>
        <v>1663.3</v>
      </c>
      <c r="W8" s="102">
        <f>TrRoad_act!W$13</f>
        <v>1377.1000000000001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981.7</v>
      </c>
      <c r="C9" s="110">
        <f t="shared" si="6"/>
        <v>966.7</v>
      </c>
      <c r="D9" s="110">
        <f t="shared" si="6"/>
        <v>1008.6</v>
      </c>
      <c r="E9" s="110">
        <f t="shared" si="6"/>
        <v>1015.8</v>
      </c>
      <c r="F9" s="110">
        <f t="shared" si="6"/>
        <v>1069.7</v>
      </c>
      <c r="G9" s="110">
        <f t="shared" si="6"/>
        <v>1161.7</v>
      </c>
      <c r="H9" s="110">
        <f t="shared" si="6"/>
        <v>1265.3</v>
      </c>
      <c r="I9" s="110">
        <f t="shared" si="6"/>
        <v>1254.5999999999999</v>
      </c>
      <c r="J9" s="110">
        <f t="shared" si="6"/>
        <v>1199.3</v>
      </c>
      <c r="K9" s="110">
        <f t="shared" si="6"/>
        <v>919</v>
      </c>
      <c r="L9" s="110">
        <f t="shared" si="6"/>
        <v>1105.502</v>
      </c>
      <c r="M9" s="110">
        <f t="shared" si="6"/>
        <v>1108.6379999999999</v>
      </c>
      <c r="N9" s="110">
        <f t="shared" si="6"/>
        <v>1069.3720000000001</v>
      </c>
      <c r="O9" s="110">
        <f t="shared" si="6"/>
        <v>1098.008</v>
      </c>
      <c r="P9" s="110">
        <f t="shared" si="6"/>
        <v>1028.71</v>
      </c>
      <c r="Q9" s="110">
        <f t="shared" si="6"/>
        <v>945.69</v>
      </c>
      <c r="R9" s="110">
        <f t="shared" ref="R9:V9" si="7">R10+R11+R12</f>
        <v>921.63900000000001</v>
      </c>
      <c r="S9" s="110">
        <f t="shared" si="7"/>
        <v>937.63900000000001</v>
      </c>
      <c r="T9" s="110">
        <f t="shared" si="7"/>
        <v>980.19299999999998</v>
      </c>
      <c r="U9" s="110">
        <f t="shared" si="7"/>
        <v>979.23099999999999</v>
      </c>
      <c r="V9" s="110">
        <f t="shared" si="7"/>
        <v>614.65700000000004</v>
      </c>
      <c r="W9" s="110">
        <f t="shared" ref="W9" si="8">W10+W11+W12</f>
        <v>419.512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266.70000000000005</v>
      </c>
      <c r="C10" s="102">
        <f>TrRail_act!C$5</f>
        <v>260.70000000000005</v>
      </c>
      <c r="D10" s="102">
        <f>TrRail_act!D$5</f>
        <v>264.60000000000002</v>
      </c>
      <c r="E10" s="102">
        <f>TrRail_act!E$5</f>
        <v>253.79999999999998</v>
      </c>
      <c r="F10" s="102">
        <f>TrRail_act!F$5</f>
        <v>263.70000000000005</v>
      </c>
      <c r="G10" s="102">
        <f>TrRail_act!G$5</f>
        <v>272.7</v>
      </c>
      <c r="H10" s="102">
        <f>TrRail_act!H$5</f>
        <v>279.3</v>
      </c>
      <c r="I10" s="102">
        <f>TrRail_act!I$5</f>
        <v>279.60000000000002</v>
      </c>
      <c r="J10" s="102">
        <f>TrRail_act!J$5</f>
        <v>258.29999999999995</v>
      </c>
      <c r="K10" s="102">
        <f>TrRail_act!K$5</f>
        <v>171</v>
      </c>
      <c r="L10" s="102">
        <f>TrRail_act!L$5</f>
        <v>364.50200000000001</v>
      </c>
      <c r="M10" s="102">
        <f>TrRail_act!M$5</f>
        <v>375.63800000000003</v>
      </c>
      <c r="N10" s="102">
        <f>TrRail_act!N$5</f>
        <v>352.37200000000001</v>
      </c>
      <c r="O10" s="102">
        <f>TrRail_act!O$5</f>
        <v>377.00800000000004</v>
      </c>
      <c r="P10" s="102">
        <f>TrRail_act!P$5</f>
        <v>384.71</v>
      </c>
      <c r="Q10" s="102">
        <f>TrRail_act!Q$5</f>
        <v>355.69</v>
      </c>
      <c r="R10" s="102">
        <f>TrRail_act!R$5</f>
        <v>337.63900000000001</v>
      </c>
      <c r="S10" s="102">
        <f>TrRail_act!S$5</f>
        <v>341.63900000000001</v>
      </c>
      <c r="T10" s="102">
        <f>TrRail_act!T$5</f>
        <v>356.19299999999998</v>
      </c>
      <c r="U10" s="102">
        <f>TrRail_act!U$5</f>
        <v>336.23099999999999</v>
      </c>
      <c r="V10" s="102">
        <f>TrRail_act!V$5</f>
        <v>201.65700000000001</v>
      </c>
      <c r="W10" s="102">
        <f>TrRail_act!W$5</f>
        <v>58.512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715</v>
      </c>
      <c r="C11" s="102">
        <f>TrRail_act!C$6</f>
        <v>706</v>
      </c>
      <c r="D11" s="102">
        <f>TrRail_act!D$6</f>
        <v>744</v>
      </c>
      <c r="E11" s="102">
        <f>TrRail_act!E$6</f>
        <v>762</v>
      </c>
      <c r="F11" s="102">
        <f>TrRail_act!F$6</f>
        <v>806</v>
      </c>
      <c r="G11" s="102">
        <f>TrRail_act!G$6</f>
        <v>889</v>
      </c>
      <c r="H11" s="102">
        <f>TrRail_act!H$6</f>
        <v>986</v>
      </c>
      <c r="I11" s="102">
        <f>TrRail_act!I$6</f>
        <v>975</v>
      </c>
      <c r="J11" s="102">
        <f>TrRail_act!J$6</f>
        <v>941</v>
      </c>
      <c r="K11" s="102">
        <f>TrRail_act!K$6</f>
        <v>748</v>
      </c>
      <c r="L11" s="102">
        <f>TrRail_act!L$6</f>
        <v>741</v>
      </c>
      <c r="M11" s="102">
        <f>TrRail_act!M$6</f>
        <v>733</v>
      </c>
      <c r="N11" s="102">
        <f>TrRail_act!N$6</f>
        <v>717</v>
      </c>
      <c r="O11" s="102">
        <f>TrRail_act!O$6</f>
        <v>721</v>
      </c>
      <c r="P11" s="102">
        <f>TrRail_act!P$6</f>
        <v>644</v>
      </c>
      <c r="Q11" s="102">
        <f>TrRail_act!Q$6</f>
        <v>590</v>
      </c>
      <c r="R11" s="102">
        <f>TrRail_act!R$6</f>
        <v>584</v>
      </c>
      <c r="S11" s="102">
        <f>TrRail_act!S$6</f>
        <v>596</v>
      </c>
      <c r="T11" s="102">
        <f>TrRail_act!T$6</f>
        <v>624</v>
      </c>
      <c r="U11" s="102">
        <f>TrRail_act!U$6</f>
        <v>643</v>
      </c>
      <c r="V11" s="102">
        <f>TrRail_act!V$6</f>
        <v>413</v>
      </c>
      <c r="W11" s="102">
        <f>TrRail_act!W$6</f>
        <v>361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495.86363725899787</v>
      </c>
      <c r="C13" s="110">
        <f t="shared" ref="C13:V13" si="10">C14+C15+C16</f>
        <v>509.73253136487256</v>
      </c>
      <c r="D13" s="110">
        <f t="shared" si="10"/>
        <v>539.32509744686422</v>
      </c>
      <c r="E13" s="110">
        <f t="shared" si="10"/>
        <v>787.06706665690604</v>
      </c>
      <c r="F13" s="110">
        <f t="shared" si="10"/>
        <v>957.21997859398834</v>
      </c>
      <c r="G13" s="110">
        <f t="shared" si="10"/>
        <v>1829.8971647784749</v>
      </c>
      <c r="H13" s="110">
        <f t="shared" si="10"/>
        <v>2237.3072990191199</v>
      </c>
      <c r="I13" s="110">
        <f t="shared" si="10"/>
        <v>2758.9272941463396</v>
      </c>
      <c r="J13" s="110">
        <f t="shared" si="10"/>
        <v>3029.6345819126682</v>
      </c>
      <c r="K13" s="110">
        <f t="shared" si="10"/>
        <v>2908.833604297507</v>
      </c>
      <c r="L13" s="110">
        <f t="shared" si="10"/>
        <v>3312.0251258525341</v>
      </c>
      <c r="M13" s="110">
        <f t="shared" si="10"/>
        <v>3335.7291204825779</v>
      </c>
      <c r="N13" s="110">
        <f t="shared" si="10"/>
        <v>3029.5297242023767</v>
      </c>
      <c r="O13" s="110">
        <f t="shared" si="10"/>
        <v>3085.1855638867046</v>
      </c>
      <c r="P13" s="110">
        <f t="shared" si="10"/>
        <v>3030.2632846458819</v>
      </c>
      <c r="Q13" s="110">
        <f t="shared" si="10"/>
        <v>3166.7265901727869</v>
      </c>
      <c r="R13" s="110">
        <f t="shared" si="10"/>
        <v>3295.9390664667458</v>
      </c>
      <c r="S13" s="110">
        <f t="shared" si="10"/>
        <v>3739.3120533577403</v>
      </c>
      <c r="T13" s="110">
        <f t="shared" si="10"/>
        <v>4355.534851435983</v>
      </c>
      <c r="U13" s="110">
        <f t="shared" si="10"/>
        <v>4777.550787140096</v>
      </c>
      <c r="V13" s="110">
        <f t="shared" si="10"/>
        <v>1252.7364667379111</v>
      </c>
      <c r="W13" s="110">
        <f t="shared" ref="W13" si="11">W14+W15+W16</f>
        <v>1650.9871458361613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354.80850054772617</v>
      </c>
      <c r="C15" s="102">
        <f>TrAvia_act!C$6</f>
        <v>365.22427881128522</v>
      </c>
      <c r="D15" s="102">
        <f>TrAvia_act!D$6</f>
        <v>385.46013974655398</v>
      </c>
      <c r="E15" s="102">
        <f>TrAvia_act!E$6</f>
        <v>558.97173196511358</v>
      </c>
      <c r="F15" s="102">
        <f>TrAvia_act!F$6</f>
        <v>675.79877985746759</v>
      </c>
      <c r="G15" s="102">
        <f>TrAvia_act!G$6</f>
        <v>1298.5428813655128</v>
      </c>
      <c r="H15" s="102">
        <f>TrAvia_act!H$6</f>
        <v>1592.021966298166</v>
      </c>
      <c r="I15" s="102">
        <f>TrAvia_act!I$6</f>
        <v>1829.0155774406714</v>
      </c>
      <c r="J15" s="102">
        <f>TrAvia_act!J$6</f>
        <v>1942.8241157909713</v>
      </c>
      <c r="K15" s="102">
        <f>TrAvia_act!K$6</f>
        <v>1998.2417106481166</v>
      </c>
      <c r="L15" s="102">
        <f>TrAvia_act!L$6</f>
        <v>2307.858205700396</v>
      </c>
      <c r="M15" s="102">
        <f>TrAvia_act!M$6</f>
        <v>2375.6739506522335</v>
      </c>
      <c r="N15" s="102">
        <f>TrAvia_act!N$6</f>
        <v>2148.0815547492448</v>
      </c>
      <c r="O15" s="102">
        <f>TrAvia_act!O$6</f>
        <v>2153.9829300204879</v>
      </c>
      <c r="P15" s="102">
        <f>TrAvia_act!P$6</f>
        <v>2239.2361023474505</v>
      </c>
      <c r="Q15" s="102">
        <f>TrAvia_act!Q$6</f>
        <v>2422.6075000477872</v>
      </c>
      <c r="R15" s="102">
        <f>TrAvia_act!R$6</f>
        <v>2509.8339299749646</v>
      </c>
      <c r="S15" s="102">
        <f>TrAvia_act!S$6</f>
        <v>2813.4449245902179</v>
      </c>
      <c r="T15" s="102">
        <f>TrAvia_act!T$6</f>
        <v>3226.124405018692</v>
      </c>
      <c r="U15" s="102">
        <f>TrAvia_act!U$6</f>
        <v>3448.8432648939329</v>
      </c>
      <c r="V15" s="102">
        <f>TrAvia_act!V$6</f>
        <v>1009.3918668901097</v>
      </c>
      <c r="W15" s="102">
        <f>TrAvia_act!W$6</f>
        <v>1256.5610620393427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141.05513671127173</v>
      </c>
      <c r="C16" s="102">
        <f>TrAvia_act!C$7</f>
        <v>144.50825255358734</v>
      </c>
      <c r="D16" s="102">
        <f>TrAvia_act!D$7</f>
        <v>153.86495770031027</v>
      </c>
      <c r="E16" s="102">
        <f>TrAvia_act!E$7</f>
        <v>228.09533469179243</v>
      </c>
      <c r="F16" s="102">
        <f>TrAvia_act!F$7</f>
        <v>281.42119873652081</v>
      </c>
      <c r="G16" s="102">
        <f>TrAvia_act!G$7</f>
        <v>531.3542834129621</v>
      </c>
      <c r="H16" s="102">
        <f>TrAvia_act!H$7</f>
        <v>645.28533272095387</v>
      </c>
      <c r="I16" s="102">
        <f>TrAvia_act!I$7</f>
        <v>929.91171670566814</v>
      </c>
      <c r="J16" s="102">
        <f>TrAvia_act!J$7</f>
        <v>1086.8104661216967</v>
      </c>
      <c r="K16" s="102">
        <f>TrAvia_act!K$7</f>
        <v>910.59189364939016</v>
      </c>
      <c r="L16" s="102">
        <f>TrAvia_act!L$7</f>
        <v>1004.1669201521379</v>
      </c>
      <c r="M16" s="102">
        <f>TrAvia_act!M$7</f>
        <v>960.05516983034454</v>
      </c>
      <c r="N16" s="102">
        <f>TrAvia_act!N$7</f>
        <v>881.44816945313198</v>
      </c>
      <c r="O16" s="102">
        <f>TrAvia_act!O$7</f>
        <v>931.20263386621684</v>
      </c>
      <c r="P16" s="102">
        <f>TrAvia_act!P$7</f>
        <v>791.02718229843128</v>
      </c>
      <c r="Q16" s="102">
        <f>TrAvia_act!Q$7</f>
        <v>744.11909012499996</v>
      </c>
      <c r="R16" s="102">
        <f>TrAvia_act!R$7</f>
        <v>786.10513649178108</v>
      </c>
      <c r="S16" s="102">
        <f>TrAvia_act!S$7</f>
        <v>925.86712876752244</v>
      </c>
      <c r="T16" s="102">
        <f>TrAvia_act!T$7</f>
        <v>1129.410446417291</v>
      </c>
      <c r="U16" s="102">
        <f>TrAvia_act!U$7</f>
        <v>1328.7075222461629</v>
      </c>
      <c r="V16" s="102">
        <f>TrAvia_act!V$7</f>
        <v>243.34459984780139</v>
      </c>
      <c r="W16" s="102">
        <f>TrAvia_act!W$7</f>
        <v>394.42608379681855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15584.747900286633</v>
      </c>
      <c r="C17" s="28">
        <f t="shared" si="12"/>
        <v>16678.552932152474</v>
      </c>
      <c r="D17" s="28">
        <f t="shared" si="12"/>
        <v>17908.792084700224</v>
      </c>
      <c r="E17" s="28">
        <f t="shared" si="12"/>
        <v>21247.562639869822</v>
      </c>
      <c r="F17" s="28">
        <f t="shared" si="12"/>
        <v>22087.675310619641</v>
      </c>
      <c r="G17" s="28">
        <f t="shared" si="12"/>
        <v>23631.772492078122</v>
      </c>
      <c r="H17" s="28">
        <f t="shared" si="12"/>
        <v>20909.096656867801</v>
      </c>
      <c r="I17" s="28">
        <f t="shared" si="12"/>
        <v>22870.380982105831</v>
      </c>
      <c r="J17" s="28">
        <f t="shared" si="12"/>
        <v>23623.598131534309</v>
      </c>
      <c r="K17" s="28">
        <f t="shared" si="12"/>
        <v>22095.231868895888</v>
      </c>
      <c r="L17" s="28">
        <f t="shared" si="12"/>
        <v>21064.284563397126</v>
      </c>
      <c r="M17" s="28">
        <f t="shared" si="12"/>
        <v>25566.56819803816</v>
      </c>
      <c r="N17" s="28">
        <f t="shared" si="12"/>
        <v>26251.270670765771</v>
      </c>
      <c r="O17" s="28">
        <f t="shared" si="12"/>
        <v>24433.242641261648</v>
      </c>
      <c r="P17" s="28">
        <f t="shared" si="12"/>
        <v>24216.976988126306</v>
      </c>
      <c r="Q17" s="28">
        <f t="shared" si="12"/>
        <v>23921.621671022691</v>
      </c>
      <c r="R17" s="28">
        <f t="shared" ref="R17:V17" si="13">R18+R21+R22+R26</f>
        <v>20949.57021165681</v>
      </c>
      <c r="S17" s="28">
        <f t="shared" si="13"/>
        <v>20524.089650866055</v>
      </c>
      <c r="T17" s="28">
        <f t="shared" si="13"/>
        <v>23770.208626857151</v>
      </c>
      <c r="U17" s="28">
        <f t="shared" si="13"/>
        <v>20651.311503417302</v>
      </c>
      <c r="V17" s="28">
        <f t="shared" si="13"/>
        <v>14363.432833959963</v>
      </c>
      <c r="W17" s="28">
        <f t="shared" ref="W17" si="14">W18+W21+W22+W26</f>
        <v>14024.191510035045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2271.9251329923277</v>
      </c>
      <c r="C18" s="137">
        <f t="shared" si="15"/>
        <v>2495.4143487136403</v>
      </c>
      <c r="D18" s="137">
        <f t="shared" si="15"/>
        <v>2885.435761335174</v>
      </c>
      <c r="E18" s="137">
        <f t="shared" si="15"/>
        <v>3289.516395466715</v>
      </c>
      <c r="F18" s="137">
        <f t="shared" si="15"/>
        <v>3466.4167190555445</v>
      </c>
      <c r="G18" s="137">
        <f t="shared" si="15"/>
        <v>3847.8177994427474</v>
      </c>
      <c r="H18" s="137">
        <f t="shared" si="15"/>
        <v>4072.4365010334432</v>
      </c>
      <c r="I18" s="137">
        <f t="shared" si="15"/>
        <v>4543.979143211187</v>
      </c>
      <c r="J18" s="137">
        <f t="shared" si="15"/>
        <v>4025.6470931445001</v>
      </c>
      <c r="K18" s="137">
        <f t="shared" si="15"/>
        <v>3344.8865592298348</v>
      </c>
      <c r="L18" s="137">
        <f t="shared" si="15"/>
        <v>3857.4301076160195</v>
      </c>
      <c r="M18" s="137">
        <f t="shared" si="15"/>
        <v>4127.4411964883157</v>
      </c>
      <c r="N18" s="137">
        <f t="shared" si="15"/>
        <v>4253.4818797285025</v>
      </c>
      <c r="O18" s="137">
        <f t="shared" si="15"/>
        <v>4688.1185210488766</v>
      </c>
      <c r="P18" s="137">
        <f t="shared" si="15"/>
        <v>4664.3233743571291</v>
      </c>
      <c r="Q18" s="137">
        <f t="shared" si="15"/>
        <v>4975.0807861301528</v>
      </c>
      <c r="R18" s="137">
        <f t="shared" ref="R18:V18" si="16">R19+R20</f>
        <v>5032.8850649307496</v>
      </c>
      <c r="S18" s="137">
        <f t="shared" si="16"/>
        <v>5462.7907371832871</v>
      </c>
      <c r="T18" s="137">
        <f t="shared" si="16"/>
        <v>5877.2869287172362</v>
      </c>
      <c r="U18" s="137">
        <f t="shared" si="16"/>
        <v>5578.4844291173558</v>
      </c>
      <c r="V18" s="137">
        <f t="shared" si="16"/>
        <v>6351.9517378294258</v>
      </c>
      <c r="W18" s="137">
        <f t="shared" ref="W18" si="17">W19+W20</f>
        <v>6626.6851921367625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64.683922696056712</v>
      </c>
      <c r="C19" s="102">
        <f>TrRoad_act!C$20</f>
        <v>75.667119170166401</v>
      </c>
      <c r="D19" s="102">
        <f>TrRoad_act!D$20</f>
        <v>97.978914687905132</v>
      </c>
      <c r="E19" s="102">
        <f>TrRoad_act!E$20</f>
        <v>90.799061708934147</v>
      </c>
      <c r="F19" s="102">
        <f>TrRoad_act!F$20</f>
        <v>118.76644958043323</v>
      </c>
      <c r="G19" s="102">
        <f>TrRoad_act!G$20</f>
        <v>111.79876974737134</v>
      </c>
      <c r="H19" s="102">
        <f>TrRoad_act!H$20</f>
        <v>124.00746618409428</v>
      </c>
      <c r="I19" s="102">
        <f>TrRoad_act!I$20</f>
        <v>136.67038540466925</v>
      </c>
      <c r="J19" s="102">
        <f>TrRoad_act!J$20</f>
        <v>139.85830611577504</v>
      </c>
      <c r="K19" s="102">
        <f>TrRoad_act!K$20</f>
        <v>134.05961384405344</v>
      </c>
      <c r="L19" s="102">
        <f>TrRoad_act!L$20</f>
        <v>115.04013352318664</v>
      </c>
      <c r="M19" s="102">
        <f>TrRoad_act!M$20</f>
        <v>119.76595707293625</v>
      </c>
      <c r="N19" s="102">
        <f>TrRoad_act!N$20</f>
        <v>131.01317383329516</v>
      </c>
      <c r="O19" s="102">
        <f>TrRoad_act!O$20</f>
        <v>152.75631782304376</v>
      </c>
      <c r="P19" s="102">
        <f>TrRoad_act!P$20</f>
        <v>168.29786808828121</v>
      </c>
      <c r="Q19" s="102">
        <f>TrRoad_act!Q$20</f>
        <v>177.81878293633881</v>
      </c>
      <c r="R19" s="102">
        <f>TrRoad_act!R$20</f>
        <v>178.1165048428393</v>
      </c>
      <c r="S19" s="102">
        <f>TrRoad_act!S$20</f>
        <v>186.07935601220535</v>
      </c>
      <c r="T19" s="102">
        <f>TrRoad_act!T$20</f>
        <v>190.2869287172359</v>
      </c>
      <c r="U19" s="102">
        <f>TrRoad_act!U$20</f>
        <v>196.48442911735546</v>
      </c>
      <c r="V19" s="102">
        <f>TrRoad_act!V$20</f>
        <v>202.95173782942558</v>
      </c>
      <c r="W19" s="102">
        <f>TrRoad_act!W$20</f>
        <v>209.68519213676251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2207.2412102962708</v>
      </c>
      <c r="C20" s="102">
        <f>TrRoad_act!C$26</f>
        <v>2419.7472295434741</v>
      </c>
      <c r="D20" s="102">
        <f>TrRoad_act!D$26</f>
        <v>2787.4568466472688</v>
      </c>
      <c r="E20" s="102">
        <f>TrRoad_act!E$26</f>
        <v>3198.717333757781</v>
      </c>
      <c r="F20" s="102">
        <f>TrRoad_act!F$26</f>
        <v>3347.6502694751111</v>
      </c>
      <c r="G20" s="102">
        <f>TrRoad_act!G$26</f>
        <v>3736.019029695376</v>
      </c>
      <c r="H20" s="102">
        <f>TrRoad_act!H$26</f>
        <v>3948.4290348493487</v>
      </c>
      <c r="I20" s="102">
        <f>TrRoad_act!I$26</f>
        <v>4407.3087578065179</v>
      </c>
      <c r="J20" s="102">
        <f>TrRoad_act!J$26</f>
        <v>3885.788787028725</v>
      </c>
      <c r="K20" s="102">
        <f>TrRoad_act!K$26</f>
        <v>3210.8269453857815</v>
      </c>
      <c r="L20" s="102">
        <f>TrRoad_act!L$26</f>
        <v>3742.3899740928327</v>
      </c>
      <c r="M20" s="102">
        <f>TrRoad_act!M$26</f>
        <v>4007.6752394153791</v>
      </c>
      <c r="N20" s="102">
        <f>TrRoad_act!N$26</f>
        <v>4122.4687058952077</v>
      </c>
      <c r="O20" s="102">
        <f>TrRoad_act!O$26</f>
        <v>4535.3622032258327</v>
      </c>
      <c r="P20" s="102">
        <f>TrRoad_act!P$26</f>
        <v>4496.0255062688475</v>
      </c>
      <c r="Q20" s="102">
        <f>TrRoad_act!Q$26</f>
        <v>4797.2620031938141</v>
      </c>
      <c r="R20" s="102">
        <f>TrRoad_act!R$26</f>
        <v>4854.7685600879104</v>
      </c>
      <c r="S20" s="102">
        <f>TrRoad_act!S$26</f>
        <v>5276.7113811710815</v>
      </c>
      <c r="T20" s="102">
        <f>TrRoad_act!T$26</f>
        <v>5687</v>
      </c>
      <c r="U20" s="102">
        <f>TrRoad_act!U$26</f>
        <v>5382</v>
      </c>
      <c r="V20" s="102">
        <f>TrRoad_act!V$26</f>
        <v>6149</v>
      </c>
      <c r="W20" s="102">
        <f>TrRoad_act!W$26</f>
        <v>6417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13309.999999999998</v>
      </c>
      <c r="C21" s="110">
        <f>TrRail_act!C$10</f>
        <v>14179.999999999998</v>
      </c>
      <c r="D21" s="110">
        <f>TrRail_act!D$10</f>
        <v>15020.000000000004</v>
      </c>
      <c r="E21" s="110">
        <f>TrRail_act!E$10</f>
        <v>17955.000000000004</v>
      </c>
      <c r="F21" s="110">
        <f>TrRail_act!F$10</f>
        <v>18618</v>
      </c>
      <c r="G21" s="110">
        <f>TrRail_act!G$10</f>
        <v>19779</v>
      </c>
      <c r="H21" s="110">
        <f>TrRail_act!H$10</f>
        <v>16830.999999999996</v>
      </c>
      <c r="I21" s="110">
        <f>TrRail_act!I$10</f>
        <v>18313</v>
      </c>
      <c r="J21" s="110">
        <f>TrRail_act!J$10</f>
        <v>19581</v>
      </c>
      <c r="K21" s="110">
        <f>TrRail_act!K$10</f>
        <v>18725</v>
      </c>
      <c r="L21" s="110">
        <f>TrRail_act!L$10</f>
        <v>17179</v>
      </c>
      <c r="M21" s="110">
        <f>TrRail_act!M$10</f>
        <v>21410</v>
      </c>
      <c r="N21" s="110">
        <f>TrRail_act!N$10</f>
        <v>21867</v>
      </c>
      <c r="O21" s="110">
        <f>TrRail_act!O$10</f>
        <v>19532</v>
      </c>
      <c r="P21" s="110">
        <f>TrRail_act!P$10</f>
        <v>19440.999999999996</v>
      </c>
      <c r="Q21" s="110">
        <f>TrRail_act!Q$10</f>
        <v>18906</v>
      </c>
      <c r="R21" s="110">
        <f>TrRail_act!R$10</f>
        <v>15873</v>
      </c>
      <c r="S21" s="110">
        <f>TrRail_act!S$10</f>
        <v>15013.999999999998</v>
      </c>
      <c r="T21" s="110">
        <f>TrRail_act!T$10</f>
        <v>17859</v>
      </c>
      <c r="U21" s="110">
        <f>TrRail_act!U$10</f>
        <v>15019</v>
      </c>
      <c r="V21" s="110">
        <f>TrRail_act!V$10</f>
        <v>7979</v>
      </c>
      <c r="W21" s="110">
        <f>TrRail_act!W$10</f>
        <v>7366.9999999999991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2.8227672943073312</v>
      </c>
      <c r="C22" s="110">
        <f t="shared" ref="C22:V22" si="19">C23+C24+C25</f>
        <v>3.1385834388353944</v>
      </c>
      <c r="D22" s="110">
        <f t="shared" si="19"/>
        <v>3.3563233650464888</v>
      </c>
      <c r="E22" s="110">
        <f t="shared" si="19"/>
        <v>3.0462444031022038</v>
      </c>
      <c r="F22" s="110">
        <f t="shared" si="19"/>
        <v>3.2585915640969167</v>
      </c>
      <c r="G22" s="110">
        <f t="shared" si="19"/>
        <v>4.9546926353743013</v>
      </c>
      <c r="H22" s="110">
        <f t="shared" si="19"/>
        <v>5.6601558343600047</v>
      </c>
      <c r="I22" s="110">
        <f t="shared" si="19"/>
        <v>7.0678388946451509</v>
      </c>
      <c r="J22" s="110">
        <f t="shared" si="19"/>
        <v>9.0610383898104772</v>
      </c>
      <c r="K22" s="110">
        <f t="shared" si="19"/>
        <v>12.288309666051779</v>
      </c>
      <c r="L22" s="110">
        <f t="shared" si="19"/>
        <v>19.242455781107495</v>
      </c>
      <c r="M22" s="110">
        <f t="shared" si="19"/>
        <v>18.848001549845833</v>
      </c>
      <c r="N22" s="110">
        <f t="shared" si="19"/>
        <v>118.00979103726814</v>
      </c>
      <c r="O22" s="110">
        <f t="shared" si="19"/>
        <v>190.67812021277061</v>
      </c>
      <c r="P22" s="110">
        <f t="shared" si="19"/>
        <v>103.54161376917948</v>
      </c>
      <c r="Q22" s="110">
        <f t="shared" si="19"/>
        <v>33.206884892540856</v>
      </c>
      <c r="R22" s="110">
        <f t="shared" si="19"/>
        <v>28.795146726062335</v>
      </c>
      <c r="S22" s="110">
        <f t="shared" si="19"/>
        <v>29.18591368276828</v>
      </c>
      <c r="T22" s="110">
        <f t="shared" si="19"/>
        <v>26.809698139913507</v>
      </c>
      <c r="U22" s="110">
        <f t="shared" si="19"/>
        <v>49.760074299945764</v>
      </c>
      <c r="V22" s="110">
        <f t="shared" si="19"/>
        <v>30.481096130537168</v>
      </c>
      <c r="W22" s="110">
        <f t="shared" ref="W22" si="20">W23+W24+W25</f>
        <v>28.506317898284003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1.076904130745808</v>
      </c>
      <c r="C24" s="102">
        <f>TrAvia_act!C$10</f>
        <v>1.04839850026475</v>
      </c>
      <c r="D24" s="102">
        <f>TrAvia_act!D$10</f>
        <v>1.1355549302958019</v>
      </c>
      <c r="E24" s="102">
        <f>TrAvia_act!E$10</f>
        <v>1.0280684802718685</v>
      </c>
      <c r="F24" s="102">
        <f>TrAvia_act!F$10</f>
        <v>1.0819189949100645</v>
      </c>
      <c r="G24" s="102">
        <f>TrAvia_act!G$10</f>
        <v>1.6358014006449226</v>
      </c>
      <c r="H24" s="102">
        <f>TrAvia_act!H$10</f>
        <v>1.7194811086618274</v>
      </c>
      <c r="I24" s="102">
        <f>TrAvia_act!I$10</f>
        <v>1.6791342812110746</v>
      </c>
      <c r="J24" s="102">
        <f>TrAvia_act!J$10</f>
        <v>2.0622375873355265</v>
      </c>
      <c r="K24" s="102">
        <f>TrAvia_act!K$10</f>
        <v>3.7678641721189332</v>
      </c>
      <c r="L24" s="102">
        <f>TrAvia_act!L$10</f>
        <v>5.3005257419866201</v>
      </c>
      <c r="M24" s="102">
        <f>TrAvia_act!M$10</f>
        <v>4.8254379534382021</v>
      </c>
      <c r="N24" s="102">
        <f>TrAvia_act!N$10</f>
        <v>4.9366851965096927</v>
      </c>
      <c r="O24" s="102">
        <f>TrAvia_act!O$10</f>
        <v>5.6457768701186914</v>
      </c>
      <c r="P24" s="102">
        <f>TrAvia_act!P$10</f>
        <v>6.3978557454505021</v>
      </c>
      <c r="Q24" s="102">
        <f>TrAvia_act!Q$10</f>
        <v>5.7775198654861919</v>
      </c>
      <c r="R24" s="102">
        <f>TrAvia_act!R$10</f>
        <v>5.7055395070641337</v>
      </c>
      <c r="S24" s="102">
        <f>TrAvia_act!S$10</f>
        <v>5.7642923267207884</v>
      </c>
      <c r="T24" s="102">
        <f>TrAvia_act!T$10</f>
        <v>5.960057321722835</v>
      </c>
      <c r="U24" s="102">
        <f>TrAvia_act!U$10</f>
        <v>7.715565402280828</v>
      </c>
      <c r="V24" s="102">
        <f>TrAvia_act!V$10</f>
        <v>5.4480258788944873</v>
      </c>
      <c r="W24" s="102">
        <f>TrAvia_act!W$10</f>
        <v>8.496890526724231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1.7458631635615229</v>
      </c>
      <c r="C25" s="102">
        <f>TrAvia_act!C$11</f>
        <v>2.0901849385706441</v>
      </c>
      <c r="D25" s="102">
        <f>TrAvia_act!D$11</f>
        <v>2.2207684347506871</v>
      </c>
      <c r="E25" s="102">
        <f>TrAvia_act!E$11</f>
        <v>2.0181759228303351</v>
      </c>
      <c r="F25" s="102">
        <f>TrAvia_act!F$11</f>
        <v>2.1766725691868523</v>
      </c>
      <c r="G25" s="102">
        <f>TrAvia_act!G$11</f>
        <v>3.3188912347293784</v>
      </c>
      <c r="H25" s="102">
        <f>TrAvia_act!H$11</f>
        <v>3.9406747256981776</v>
      </c>
      <c r="I25" s="102">
        <f>TrAvia_act!I$11</f>
        <v>5.3887046134340766</v>
      </c>
      <c r="J25" s="102">
        <f>TrAvia_act!J$11</f>
        <v>6.9988008024749515</v>
      </c>
      <c r="K25" s="102">
        <f>TrAvia_act!K$11</f>
        <v>8.5204454939328453</v>
      </c>
      <c r="L25" s="102">
        <f>TrAvia_act!L$11</f>
        <v>13.941930039120876</v>
      </c>
      <c r="M25" s="102">
        <f>TrAvia_act!M$11</f>
        <v>14.022563596407631</v>
      </c>
      <c r="N25" s="102">
        <f>TrAvia_act!N$11</f>
        <v>113.07310584075846</v>
      </c>
      <c r="O25" s="102">
        <f>TrAvia_act!O$11</f>
        <v>185.03234334265193</v>
      </c>
      <c r="P25" s="102">
        <f>TrAvia_act!P$11</f>
        <v>97.143758023728978</v>
      </c>
      <c r="Q25" s="102">
        <f>TrAvia_act!Q$11</f>
        <v>27.429365027054665</v>
      </c>
      <c r="R25" s="102">
        <f>TrAvia_act!R$11</f>
        <v>23.0896072189982</v>
      </c>
      <c r="S25" s="102">
        <f>TrAvia_act!S$11</f>
        <v>23.421621356047492</v>
      </c>
      <c r="T25" s="102">
        <f>TrAvia_act!T$11</f>
        <v>20.849640818190672</v>
      </c>
      <c r="U25" s="102">
        <f>TrAvia_act!U$11</f>
        <v>42.044508897664933</v>
      </c>
      <c r="V25" s="102">
        <f>TrAvia_act!V$11</f>
        <v>25.03307025164268</v>
      </c>
      <c r="W25" s="102">
        <f>TrAvia_act!W$11</f>
        <v>20.009427371559774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0</v>
      </c>
      <c r="C26" s="110">
        <f t="shared" si="21"/>
        <v>0</v>
      </c>
      <c r="D26" s="110">
        <f t="shared" si="21"/>
        <v>0</v>
      </c>
      <c r="E26" s="110">
        <f t="shared" si="21"/>
        <v>0</v>
      </c>
      <c r="F26" s="110">
        <f t="shared" si="21"/>
        <v>0</v>
      </c>
      <c r="G26" s="110">
        <f t="shared" si="21"/>
        <v>0</v>
      </c>
      <c r="H26" s="110">
        <f t="shared" si="21"/>
        <v>0</v>
      </c>
      <c r="I26" s="110">
        <f t="shared" si="21"/>
        <v>6.3339999999999996</v>
      </c>
      <c r="J26" s="110">
        <f t="shared" si="21"/>
        <v>7.89</v>
      </c>
      <c r="K26" s="110">
        <f t="shared" si="21"/>
        <v>13.057</v>
      </c>
      <c r="L26" s="110">
        <f t="shared" si="21"/>
        <v>8.6120000000000001</v>
      </c>
      <c r="M26" s="110">
        <f t="shared" si="21"/>
        <v>10.279</v>
      </c>
      <c r="N26" s="110">
        <f t="shared" si="21"/>
        <v>12.779</v>
      </c>
      <c r="O26" s="110">
        <f t="shared" si="21"/>
        <v>22.446000000000002</v>
      </c>
      <c r="P26" s="110">
        <f t="shared" si="21"/>
        <v>8.1120000000000001</v>
      </c>
      <c r="Q26" s="110">
        <f t="shared" si="21"/>
        <v>7.3339999999999996</v>
      </c>
      <c r="R26" s="110">
        <f t="shared" ref="R26:V26" si="22">R27+R28</f>
        <v>14.89</v>
      </c>
      <c r="S26" s="110">
        <f t="shared" si="22"/>
        <v>18.113</v>
      </c>
      <c r="T26" s="110">
        <f t="shared" si="22"/>
        <v>7.1120000000000001</v>
      </c>
      <c r="U26" s="110">
        <f t="shared" si="22"/>
        <v>4.0670000000000002</v>
      </c>
      <c r="V26" s="110">
        <f t="shared" si="22"/>
        <v>2</v>
      </c>
      <c r="W26" s="110">
        <f t="shared" ref="W26" si="23">W27+W28</f>
        <v>2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6.3339999999999996</v>
      </c>
      <c r="J27" s="102">
        <f>TrNavi_act!J4</f>
        <v>7.89</v>
      </c>
      <c r="K27" s="102">
        <f>TrNavi_act!K4</f>
        <v>13.057</v>
      </c>
      <c r="L27" s="102">
        <f>TrNavi_act!L4</f>
        <v>8.6120000000000001</v>
      </c>
      <c r="M27" s="102">
        <f>TrNavi_act!M4</f>
        <v>10.279</v>
      </c>
      <c r="N27" s="102">
        <f>TrNavi_act!N4</f>
        <v>12.779</v>
      </c>
      <c r="O27" s="102">
        <f>TrNavi_act!O4</f>
        <v>22.446000000000002</v>
      </c>
      <c r="P27" s="102">
        <f>TrNavi_act!P4</f>
        <v>8.1120000000000001</v>
      </c>
      <c r="Q27" s="102">
        <f>TrNavi_act!Q4</f>
        <v>7.3339999999999996</v>
      </c>
      <c r="R27" s="102">
        <f>TrNavi_act!R4</f>
        <v>14.89</v>
      </c>
      <c r="S27" s="102">
        <f>TrNavi_act!S4</f>
        <v>18.113</v>
      </c>
      <c r="T27" s="102">
        <f>TrNavi_act!T4</f>
        <v>7.1120000000000001</v>
      </c>
      <c r="U27" s="102">
        <f>TrNavi_act!U4</f>
        <v>4.0670000000000002</v>
      </c>
      <c r="V27" s="102">
        <f>TrNavi_act!V4</f>
        <v>2</v>
      </c>
      <c r="W27" s="102">
        <f>TrNavi_act!W4</f>
        <v>2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4288.4926020000003</v>
      </c>
      <c r="C29" s="28">
        <f t="shared" si="24"/>
        <v>101985.239049</v>
      </c>
      <c r="D29" s="28">
        <f t="shared" si="24"/>
        <v>107530.16257700001</v>
      </c>
      <c r="E29" s="28">
        <f t="shared" si="24"/>
        <v>98245.808151999983</v>
      </c>
      <c r="F29" s="28">
        <f t="shared" si="24"/>
        <v>105851.444636</v>
      </c>
      <c r="G29" s="28">
        <f t="shared" si="24"/>
        <v>119932.13797499999</v>
      </c>
      <c r="H29" s="28">
        <f t="shared" si="24"/>
        <v>100030.949353</v>
      </c>
      <c r="I29" s="28">
        <f t="shared" si="24"/>
        <v>112920.476115</v>
      </c>
      <c r="J29" s="28">
        <f t="shared" si="24"/>
        <v>110948.830952</v>
      </c>
      <c r="K29" s="28">
        <f t="shared" si="24"/>
        <v>101306.87721799999</v>
      </c>
      <c r="L29" s="28">
        <f t="shared" si="24"/>
        <v>107613.172827</v>
      </c>
      <c r="M29" s="28">
        <f t="shared" si="24"/>
        <v>126113.200302</v>
      </c>
      <c r="N29" s="28">
        <f t="shared" si="24"/>
        <v>131476.025872</v>
      </c>
      <c r="O29" s="28">
        <f t="shared" si="24"/>
        <v>119177.62246799999</v>
      </c>
      <c r="P29" s="28">
        <f t="shared" si="24"/>
        <v>134360.13784000001</v>
      </c>
      <c r="Q29" s="28">
        <f t="shared" si="24"/>
        <v>119544.43858399999</v>
      </c>
      <c r="R29" s="28">
        <f t="shared" si="24"/>
        <v>116257.69330399999</v>
      </c>
      <c r="S29" s="28">
        <f t="shared" si="24"/>
        <v>130098.42578800001</v>
      </c>
      <c r="T29" s="28">
        <f t="shared" si="24"/>
        <v>140941.916661</v>
      </c>
      <c r="U29" s="28">
        <f t="shared" si="24"/>
        <v>137193.993212</v>
      </c>
      <c r="V29" s="28">
        <f t="shared" si="24"/>
        <v>82908.205863999989</v>
      </c>
      <c r="W29" s="28">
        <f t="shared" si="24"/>
        <v>80526.92852999999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1370.3728550000001</v>
      </c>
      <c r="C30" s="102">
        <f>MBunk_act!C$4</f>
        <v>32073.064358</v>
      </c>
      <c r="D30" s="102">
        <f>MBunk_act!D$4</f>
        <v>33822.950973999999</v>
      </c>
      <c r="E30" s="102">
        <f>MBunk_act!E$4</f>
        <v>30969.809658999999</v>
      </c>
      <c r="F30" s="102">
        <f>MBunk_act!F$4</f>
        <v>33351.603072999998</v>
      </c>
      <c r="G30" s="102">
        <f>MBunk_act!G$4</f>
        <v>33958.098384000004</v>
      </c>
      <c r="H30" s="102">
        <f>MBunk_act!H$4</f>
        <v>29580.380675999997</v>
      </c>
      <c r="I30" s="102">
        <f>MBunk_act!I$4</f>
        <v>33430.414885999999</v>
      </c>
      <c r="J30" s="102">
        <f>MBunk_act!J$4</f>
        <v>32232.671020999998</v>
      </c>
      <c r="K30" s="102">
        <f>MBunk_act!K$4</f>
        <v>30869.400887</v>
      </c>
      <c r="L30" s="102">
        <f>MBunk_act!L$4</f>
        <v>35418.536215</v>
      </c>
      <c r="M30" s="102">
        <f>MBunk_act!M$4</f>
        <v>37898.372835000002</v>
      </c>
      <c r="N30" s="102">
        <f>MBunk_act!N$4</f>
        <v>47455.024133999999</v>
      </c>
      <c r="O30" s="102">
        <f>MBunk_act!O$4</f>
        <v>47431.141374999999</v>
      </c>
      <c r="P30" s="102">
        <f>MBunk_act!P$4</f>
        <v>47906.953981999999</v>
      </c>
      <c r="Q30" s="102">
        <f>MBunk_act!Q$4</f>
        <v>46130.405790999997</v>
      </c>
      <c r="R30" s="102">
        <f>MBunk_act!R$4</f>
        <v>43183.646614999998</v>
      </c>
      <c r="S30" s="102">
        <f>MBunk_act!S$4</f>
        <v>42537.938781999997</v>
      </c>
      <c r="T30" s="102">
        <f>MBunk_act!T$4</f>
        <v>40847.393658000001</v>
      </c>
      <c r="U30" s="102">
        <f>MBunk_act!U$4</f>
        <v>33178.974581000002</v>
      </c>
      <c r="V30" s="102">
        <f>MBunk_act!V$4</f>
        <v>19757.381932999997</v>
      </c>
      <c r="W30" s="102">
        <f>MBunk_act!W$4</f>
        <v>15998.466157999999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2918.1197470000002</v>
      </c>
      <c r="C31" s="86">
        <f>MBunk_act!C$5</f>
        <v>69912.174690999993</v>
      </c>
      <c r="D31" s="86">
        <f>MBunk_act!D$5</f>
        <v>73707.211603000003</v>
      </c>
      <c r="E31" s="86">
        <f>MBunk_act!E$5</f>
        <v>67275.998492999992</v>
      </c>
      <c r="F31" s="86">
        <f>MBunk_act!F$5</f>
        <v>72499.841563000009</v>
      </c>
      <c r="G31" s="86">
        <f>MBunk_act!G$5</f>
        <v>85974.039590999993</v>
      </c>
      <c r="H31" s="86">
        <f>MBunk_act!H$5</f>
        <v>70450.568677000003</v>
      </c>
      <c r="I31" s="86">
        <f>MBunk_act!I$5</f>
        <v>79490.061228999999</v>
      </c>
      <c r="J31" s="86">
        <f>MBunk_act!J$5</f>
        <v>78716.159931000002</v>
      </c>
      <c r="K31" s="86">
        <f>MBunk_act!K$5</f>
        <v>70437.476330999998</v>
      </c>
      <c r="L31" s="86">
        <f>MBunk_act!L$5</f>
        <v>72194.636612000002</v>
      </c>
      <c r="M31" s="86">
        <f>MBunk_act!M$5</f>
        <v>88214.827466999996</v>
      </c>
      <c r="N31" s="86">
        <f>MBunk_act!N$5</f>
        <v>84021.001737999992</v>
      </c>
      <c r="O31" s="86">
        <f>MBunk_act!O$5</f>
        <v>71746.481092999995</v>
      </c>
      <c r="P31" s="86">
        <f>MBunk_act!P$5</f>
        <v>86453.183858000004</v>
      </c>
      <c r="Q31" s="86">
        <f>MBunk_act!Q$5</f>
        <v>73414.032792999991</v>
      </c>
      <c r="R31" s="86">
        <f>MBunk_act!R$5</f>
        <v>73074.046688999995</v>
      </c>
      <c r="S31" s="86">
        <f>MBunk_act!S$5</f>
        <v>87560.48700600001</v>
      </c>
      <c r="T31" s="86">
        <f>MBunk_act!T$5</f>
        <v>100094.52300300001</v>
      </c>
      <c r="U31" s="86">
        <f>MBunk_act!U$5</f>
        <v>104015.018631</v>
      </c>
      <c r="V31" s="86">
        <f>MBunk_act!V$5</f>
        <v>63150.823930999999</v>
      </c>
      <c r="W31" s="86">
        <f>MBunk_act!W$5</f>
        <v>64528.462371999995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509.56115876991475</v>
      </c>
      <c r="C34" s="28">
        <f t="shared" si="25"/>
        <v>549.6157717690761</v>
      </c>
      <c r="D34" s="28">
        <f t="shared" si="25"/>
        <v>553.57080484496896</v>
      </c>
      <c r="E34" s="28">
        <f t="shared" si="25"/>
        <v>589.26475331849292</v>
      </c>
      <c r="F34" s="28">
        <f t="shared" si="25"/>
        <v>620.68667177182965</v>
      </c>
      <c r="G34" s="28">
        <f t="shared" si="25"/>
        <v>644.31631603766937</v>
      </c>
      <c r="H34" s="28">
        <f t="shared" si="25"/>
        <v>725.77865448981549</v>
      </c>
      <c r="I34" s="28">
        <f t="shared" si="25"/>
        <v>803.25143225660179</v>
      </c>
      <c r="J34" s="28">
        <f t="shared" si="25"/>
        <v>787.82346869818377</v>
      </c>
      <c r="K34" s="28">
        <f t="shared" si="25"/>
        <v>726.41022991553496</v>
      </c>
      <c r="L34" s="28">
        <f t="shared" si="25"/>
        <v>743.79866248356461</v>
      </c>
      <c r="M34" s="28">
        <f t="shared" si="25"/>
        <v>711.89682819040286</v>
      </c>
      <c r="N34" s="28">
        <f t="shared" si="25"/>
        <v>691.5028715216896</v>
      </c>
      <c r="O34" s="28">
        <f t="shared" si="25"/>
        <v>696.65478310554317</v>
      </c>
      <c r="P34" s="28">
        <f t="shared" si="25"/>
        <v>734.63922671143041</v>
      </c>
      <c r="Q34" s="28">
        <f t="shared" si="25"/>
        <v>773.9702691243217</v>
      </c>
      <c r="R34" s="28">
        <f t="shared" ref="R34:V34" si="26">R35+R39+R43</f>
        <v>807.44498935113552</v>
      </c>
      <c r="S34" s="28">
        <f t="shared" si="26"/>
        <v>846.97295528522864</v>
      </c>
      <c r="T34" s="28">
        <f t="shared" si="26"/>
        <v>876.51570418682627</v>
      </c>
      <c r="U34" s="28">
        <f t="shared" si="26"/>
        <v>899.92049755784433</v>
      </c>
      <c r="V34" s="28">
        <f t="shared" si="26"/>
        <v>764.56400940286687</v>
      </c>
      <c r="W34" s="28">
        <f t="shared" ref="W34" si="27">W35+W39+W43</f>
        <v>788.09516967438276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467.35797721011932</v>
      </c>
      <c r="C35" s="137">
        <f t="shared" si="28"/>
        <v>508.32672804944849</v>
      </c>
      <c r="D35" s="137">
        <f t="shared" si="28"/>
        <v>510.77311667129703</v>
      </c>
      <c r="E35" s="137">
        <f t="shared" si="28"/>
        <v>533.80475329935507</v>
      </c>
      <c r="F35" s="137">
        <f t="shared" si="28"/>
        <v>557.09019801241539</v>
      </c>
      <c r="G35" s="137">
        <f t="shared" si="28"/>
        <v>570.36125074942186</v>
      </c>
      <c r="H35" s="137">
        <f t="shared" si="28"/>
        <v>645.19676073775418</v>
      </c>
      <c r="I35" s="137">
        <f t="shared" si="28"/>
        <v>708.21473976458935</v>
      </c>
      <c r="J35" s="137">
        <f t="shared" si="28"/>
        <v>676.80586626207366</v>
      </c>
      <c r="K35" s="137">
        <f t="shared" si="28"/>
        <v>612.71665392678085</v>
      </c>
      <c r="L35" s="137">
        <f t="shared" si="28"/>
        <v>616.41657689287877</v>
      </c>
      <c r="M35" s="137">
        <f t="shared" si="28"/>
        <v>584.49449829874652</v>
      </c>
      <c r="N35" s="137">
        <f t="shared" si="28"/>
        <v>565.95707708784334</v>
      </c>
      <c r="O35" s="137">
        <f t="shared" si="28"/>
        <v>568.96610197838822</v>
      </c>
      <c r="P35" s="137">
        <f t="shared" si="28"/>
        <v>618.63094208581674</v>
      </c>
      <c r="Q35" s="137">
        <f t="shared" si="28"/>
        <v>659.30860904760527</v>
      </c>
      <c r="R35" s="137">
        <f t="shared" ref="R35:V35" si="29">R36+R37+R38</f>
        <v>677.38226077591071</v>
      </c>
      <c r="S35" s="137">
        <f t="shared" si="29"/>
        <v>699.9902364428566</v>
      </c>
      <c r="T35" s="137">
        <f t="shared" si="29"/>
        <v>716.27792606803916</v>
      </c>
      <c r="U35" s="137">
        <f t="shared" si="29"/>
        <v>736.64678450107169</v>
      </c>
      <c r="V35" s="137">
        <f t="shared" si="29"/>
        <v>701.72938726050359</v>
      </c>
      <c r="W35" s="137">
        <f t="shared" ref="W35" si="30">W36+W37+W38</f>
        <v>705.46127289655249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2.8861602953090064</v>
      </c>
      <c r="C36" s="102">
        <f>TrRoad_ene!C$19</f>
        <v>2.8949703485462788</v>
      </c>
      <c r="D36" s="102">
        <f>TrRoad_ene!D$19</f>
        <v>2.8743546965070244</v>
      </c>
      <c r="E36" s="102">
        <f>TrRoad_ene!E$19</f>
        <v>2.8530400028162637</v>
      </c>
      <c r="F36" s="102">
        <f>TrRoad_ene!F$19</f>
        <v>2.8147186164833227</v>
      </c>
      <c r="G36" s="102">
        <f>TrRoad_ene!G$19</f>
        <v>2.7728418199973923</v>
      </c>
      <c r="H36" s="102">
        <f>TrRoad_ene!H$19</f>
        <v>2.6926702619985168</v>
      </c>
      <c r="I36" s="102">
        <f>TrRoad_ene!I$19</f>
        <v>2.5411758872974541</v>
      </c>
      <c r="J36" s="102">
        <f>TrRoad_ene!J$19</f>
        <v>2.3957011614168842</v>
      </c>
      <c r="K36" s="102">
        <f>TrRoad_ene!K$19</f>
        <v>2.3010816723774234</v>
      </c>
      <c r="L36" s="102">
        <f>TrRoad_ene!L$19</f>
        <v>2.2969050718183786</v>
      </c>
      <c r="M36" s="102">
        <f>TrRoad_ene!M$19</f>
        <v>2.231458968225061</v>
      </c>
      <c r="N36" s="102">
        <f>TrRoad_ene!N$19</f>
        <v>2.000571951688987</v>
      </c>
      <c r="O36" s="102">
        <f>TrRoad_ene!O$19</f>
        <v>2.041681397877456</v>
      </c>
      <c r="P36" s="102">
        <f>TrRoad_ene!P$19</f>
        <v>2.4002944443196439</v>
      </c>
      <c r="Q36" s="102">
        <f>TrRoad_ene!Q$19</f>
        <v>2.9772164748282486</v>
      </c>
      <c r="R36" s="102">
        <f>TrRoad_ene!R$19</f>
        <v>2.8997861773682816</v>
      </c>
      <c r="S36" s="102">
        <f>TrRoad_ene!S$19</f>
        <v>2.6861228429964199</v>
      </c>
      <c r="T36" s="102">
        <f>TrRoad_ene!T$19</f>
        <v>2.5242395147248886</v>
      </c>
      <c r="U36" s="102">
        <f>TrRoad_ene!U$19</f>
        <v>2.6323773872329999</v>
      </c>
      <c r="V36" s="102">
        <f>TrRoad_ene!V$19</f>
        <v>2.3488399964799935</v>
      </c>
      <c r="W36" s="102">
        <f>TrRoad_ene!W$19</f>
        <v>2.2314347156710217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383.71069031582084</v>
      </c>
      <c r="C37" s="102">
        <f>TrRoad_ene!C$21</f>
        <v>416.31168588257799</v>
      </c>
      <c r="D37" s="102">
        <f>TrRoad_ene!D$21</f>
        <v>420.57658124768864</v>
      </c>
      <c r="E37" s="102">
        <f>TrRoad_ene!E$21</f>
        <v>438.43516743045865</v>
      </c>
      <c r="F37" s="102">
        <f>TrRoad_ene!F$21</f>
        <v>460.89225935431591</v>
      </c>
      <c r="G37" s="102">
        <f>TrRoad_ene!G$21</f>
        <v>474.322832301885</v>
      </c>
      <c r="H37" s="102">
        <f>TrRoad_ene!H$21</f>
        <v>550.44112246825637</v>
      </c>
      <c r="I37" s="102">
        <f>TrRoad_ene!I$21</f>
        <v>613.89373887019565</v>
      </c>
      <c r="J37" s="102">
        <f>TrRoad_ene!J$21</f>
        <v>588.54321705578593</v>
      </c>
      <c r="K37" s="102">
        <f>TrRoad_ene!K$21</f>
        <v>529.65194693094077</v>
      </c>
      <c r="L37" s="102">
        <f>TrRoad_ene!L$21</f>
        <v>527.73447399622012</v>
      </c>
      <c r="M37" s="102">
        <f>TrRoad_ene!M$21</f>
        <v>504.44844795047067</v>
      </c>
      <c r="N37" s="102">
        <f>TrRoad_ene!N$21</f>
        <v>488.43471971588633</v>
      </c>
      <c r="O37" s="102">
        <f>TrRoad_ene!O$21</f>
        <v>492.28717096437572</v>
      </c>
      <c r="P37" s="102">
        <f>TrRoad_ene!P$21</f>
        <v>544.40014983321635</v>
      </c>
      <c r="Q37" s="102">
        <f>TrRoad_ene!Q$21</f>
        <v>584.69919556932246</v>
      </c>
      <c r="R37" s="102">
        <f>TrRoad_ene!R$21</f>
        <v>602.83824619932113</v>
      </c>
      <c r="S37" s="102">
        <f>TrRoad_ene!S$21</f>
        <v>624.25736671397522</v>
      </c>
      <c r="T37" s="102">
        <f>TrRoad_ene!T$21</f>
        <v>642.50587723195588</v>
      </c>
      <c r="U37" s="102">
        <f>TrRoad_ene!U$21</f>
        <v>666.40981679349829</v>
      </c>
      <c r="V37" s="102">
        <f>TrRoad_ene!V$21</f>
        <v>644.71661705092788</v>
      </c>
      <c r="W37" s="102">
        <f>TrRoad_ene!W$21</f>
        <v>654.04133625227234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80.761126598989421</v>
      </c>
      <c r="C38" s="102">
        <f>TrRoad_ene!C$33</f>
        <v>89.12007181832422</v>
      </c>
      <c r="D38" s="102">
        <f>TrRoad_ene!D$33</f>
        <v>87.322180727101397</v>
      </c>
      <c r="E38" s="102">
        <f>TrRoad_ene!E$33</f>
        <v>92.516545866080094</v>
      </c>
      <c r="F38" s="102">
        <f>TrRoad_ene!F$33</f>
        <v>93.383220041616113</v>
      </c>
      <c r="G38" s="102">
        <f>TrRoad_ene!G$33</f>
        <v>93.26557662753946</v>
      </c>
      <c r="H38" s="102">
        <f>TrRoad_ene!H$33</f>
        <v>92.062968007499279</v>
      </c>
      <c r="I38" s="102">
        <f>TrRoad_ene!I$33</f>
        <v>91.779825007096306</v>
      </c>
      <c r="J38" s="102">
        <f>TrRoad_ene!J$33</f>
        <v>85.866948044870824</v>
      </c>
      <c r="K38" s="102">
        <f>TrRoad_ene!K$33</f>
        <v>80.763625323462676</v>
      </c>
      <c r="L38" s="102">
        <f>TrRoad_ene!L$33</f>
        <v>86.385197824840276</v>
      </c>
      <c r="M38" s="102">
        <f>TrRoad_ene!M$33</f>
        <v>77.814591380050786</v>
      </c>
      <c r="N38" s="102">
        <f>TrRoad_ene!N$33</f>
        <v>75.521785420268017</v>
      </c>
      <c r="O38" s="102">
        <f>TrRoad_ene!O$33</f>
        <v>74.637249616135023</v>
      </c>
      <c r="P38" s="102">
        <f>TrRoad_ene!P$33</f>
        <v>71.830497808280739</v>
      </c>
      <c r="Q38" s="102">
        <f>TrRoad_ene!Q$33</f>
        <v>71.632197003454664</v>
      </c>
      <c r="R38" s="102">
        <f>TrRoad_ene!R$33</f>
        <v>71.64422839922139</v>
      </c>
      <c r="S38" s="102">
        <f>TrRoad_ene!S$33</f>
        <v>73.046746885885014</v>
      </c>
      <c r="T38" s="102">
        <f>TrRoad_ene!T$33</f>
        <v>71.247809321358417</v>
      </c>
      <c r="U38" s="102">
        <f>TrRoad_ene!U$33</f>
        <v>67.604590320340463</v>
      </c>
      <c r="V38" s="102">
        <f>TrRoad_ene!V$33</f>
        <v>54.663930213095639</v>
      </c>
      <c r="W38" s="102">
        <f>TrRoad_ene!W$33</f>
        <v>49.188501928609057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15.620378866693168</v>
      </c>
      <c r="C39" s="110">
        <f t="shared" si="31"/>
        <v>14.691730717499341</v>
      </c>
      <c r="D39" s="110">
        <f t="shared" si="31"/>
        <v>15.20173637443958</v>
      </c>
      <c r="E39" s="110">
        <f t="shared" si="31"/>
        <v>15.446870077149404</v>
      </c>
      <c r="F39" s="110">
        <f t="shared" si="31"/>
        <v>15.36304385871175</v>
      </c>
      <c r="G39" s="110">
        <f t="shared" si="31"/>
        <v>15.486995613477916</v>
      </c>
      <c r="H39" s="110">
        <f t="shared" si="31"/>
        <v>14.898984850922041</v>
      </c>
      <c r="I39" s="110">
        <f t="shared" si="31"/>
        <v>14.910338400278</v>
      </c>
      <c r="J39" s="110">
        <f t="shared" si="31"/>
        <v>14.551115375903873</v>
      </c>
      <c r="K39" s="110">
        <f t="shared" si="31"/>
        <v>12.521797354525157</v>
      </c>
      <c r="L39" s="110">
        <f t="shared" si="31"/>
        <v>10.980887857589098</v>
      </c>
      <c r="M39" s="110">
        <f t="shared" si="31"/>
        <v>10.937784676325244</v>
      </c>
      <c r="N39" s="110">
        <f t="shared" si="31"/>
        <v>10.527712404804321</v>
      </c>
      <c r="O39" s="110">
        <f t="shared" si="31"/>
        <v>10.240249234516313</v>
      </c>
      <c r="P39" s="110">
        <f t="shared" si="31"/>
        <v>9.4138665169191995</v>
      </c>
      <c r="Q39" s="110">
        <f t="shared" si="31"/>
        <v>8.6994180750328987</v>
      </c>
      <c r="R39" s="110">
        <f t="shared" ref="R39:V39" si="32">R40+R41+R42</f>
        <v>8.5501530550271205</v>
      </c>
      <c r="S39" s="110">
        <f t="shared" si="32"/>
        <v>8.5548928754954652</v>
      </c>
      <c r="T39" s="110">
        <f t="shared" si="32"/>
        <v>8.4970183483270514</v>
      </c>
      <c r="U39" s="110">
        <f t="shared" si="32"/>
        <v>8.3944519592629909</v>
      </c>
      <c r="V39" s="110">
        <f t="shared" si="32"/>
        <v>7.4383356680343153</v>
      </c>
      <c r="W39" s="110">
        <f t="shared" ref="W39" si="33">W40+W41+W42</f>
        <v>7.3656279352895142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1.3775999255827618</v>
      </c>
      <c r="C40" s="102">
        <f>TrRail_ene!C$12</f>
        <v>1.3051791587788704</v>
      </c>
      <c r="D40" s="102">
        <f>TrRail_ene!D$12</f>
        <v>1.2632757724056511</v>
      </c>
      <c r="E40" s="102">
        <f>TrRail_ene!E$12</f>
        <v>1.1976202107606553</v>
      </c>
      <c r="F40" s="102">
        <f>TrRail_ene!F$12</f>
        <v>1.2166732916131899</v>
      </c>
      <c r="G40" s="102">
        <f>TrRail_ene!G$12</f>
        <v>1.2227640807953128</v>
      </c>
      <c r="H40" s="102">
        <f>TrRail_ene!H$12</f>
        <v>1.2010651664284575</v>
      </c>
      <c r="I40" s="102">
        <f>TrRail_ene!I$12</f>
        <v>1.2003741068608713</v>
      </c>
      <c r="J40" s="102">
        <f>TrRail_ene!J$12</f>
        <v>1.1183524524615787</v>
      </c>
      <c r="K40" s="102">
        <f>TrRail_ene!K$12</f>
        <v>0.76279432504931344</v>
      </c>
      <c r="L40" s="102">
        <f>TrRail_ene!L$12</f>
        <v>1.5697642180426288</v>
      </c>
      <c r="M40" s="102">
        <f>TrRail_ene!M$12</f>
        <v>1.6226992575053456</v>
      </c>
      <c r="N40" s="102">
        <f>TrRail_ene!N$12</f>
        <v>1.5133648880476496</v>
      </c>
      <c r="O40" s="102">
        <f>TrRail_ene!O$12</f>
        <v>1.600507197807173</v>
      </c>
      <c r="P40" s="102">
        <f>TrRail_ene!P$12</f>
        <v>1.6589641380244542</v>
      </c>
      <c r="Q40" s="102">
        <f>TrRail_ene!Q$12</f>
        <v>1.5491987255623259</v>
      </c>
      <c r="R40" s="102">
        <f>TrRail_ene!R$12</f>
        <v>1.4590821555678652</v>
      </c>
      <c r="S40" s="102">
        <f>TrRail_ene!S$12</f>
        <v>1.4620207678121431</v>
      </c>
      <c r="T40" s="102">
        <f>TrRail_ene!T$12</f>
        <v>1.5024212254823825</v>
      </c>
      <c r="U40" s="102">
        <f>TrRail_ene!U$12</f>
        <v>1.4036392191567251</v>
      </c>
      <c r="V40" s="102">
        <f>TrRail_ene!V$12</f>
        <v>1.2757754153348266</v>
      </c>
      <c r="W40" s="102">
        <f>TrRail_ene!W$12</f>
        <v>0.42807991948100887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14.242778941110405</v>
      </c>
      <c r="C41" s="102">
        <f>TrRail_ene!C$13</f>
        <v>13.386551558720472</v>
      </c>
      <c r="D41" s="102">
        <f>TrRail_ene!D$13</f>
        <v>13.938460602033929</v>
      </c>
      <c r="E41" s="102">
        <f>TrRail_ene!E$13</f>
        <v>14.249249866388748</v>
      </c>
      <c r="F41" s="102">
        <f>TrRail_ene!F$13</f>
        <v>14.146370567098559</v>
      </c>
      <c r="G41" s="102">
        <f>TrRail_ene!G$13</f>
        <v>14.264231532682603</v>
      </c>
      <c r="H41" s="102">
        <f>TrRail_ene!H$13</f>
        <v>13.697919684493582</v>
      </c>
      <c r="I41" s="102">
        <f>TrRail_ene!I$13</f>
        <v>13.70996429341713</v>
      </c>
      <c r="J41" s="102">
        <f>TrRail_ene!J$13</f>
        <v>13.432762923442294</v>
      </c>
      <c r="K41" s="102">
        <f>TrRail_ene!K$13</f>
        <v>11.759003029475844</v>
      </c>
      <c r="L41" s="102">
        <f>TrRail_ene!L$13</f>
        <v>9.411123639546469</v>
      </c>
      <c r="M41" s="102">
        <f>TrRail_ene!M$13</f>
        <v>9.3150854188198977</v>
      </c>
      <c r="N41" s="102">
        <f>TrRail_ene!N$13</f>
        <v>9.014347516756672</v>
      </c>
      <c r="O41" s="102">
        <f>TrRail_ene!O$13</f>
        <v>8.6397420367091389</v>
      </c>
      <c r="P41" s="102">
        <f>TrRail_ene!P$13</f>
        <v>7.7549023788947462</v>
      </c>
      <c r="Q41" s="102">
        <f>TrRail_ene!Q$13</f>
        <v>7.1502193494705732</v>
      </c>
      <c r="R41" s="102">
        <f>TrRail_ene!R$13</f>
        <v>7.0910708994592557</v>
      </c>
      <c r="S41" s="102">
        <f>TrRail_ene!S$13</f>
        <v>7.0928721076833217</v>
      </c>
      <c r="T41" s="102">
        <f>TrRail_ene!T$13</f>
        <v>6.9945971228446684</v>
      </c>
      <c r="U41" s="102">
        <f>TrRail_ene!U$13</f>
        <v>6.9908127401062661</v>
      </c>
      <c r="V41" s="102">
        <f>TrRail_ene!V$13</f>
        <v>6.1625602526994889</v>
      </c>
      <c r="W41" s="102">
        <f>TrRail_ene!W$13</f>
        <v>6.9375480158085052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26.582802693102284</v>
      </c>
      <c r="C43" s="110">
        <f t="shared" si="34"/>
        <v>26.597313002128331</v>
      </c>
      <c r="D43" s="110">
        <f t="shared" si="34"/>
        <v>27.595951799232395</v>
      </c>
      <c r="E43" s="110">
        <f t="shared" si="34"/>
        <v>40.013129941988453</v>
      </c>
      <c r="F43" s="110">
        <f t="shared" si="34"/>
        <v>48.233429900702482</v>
      </c>
      <c r="G43" s="110">
        <f t="shared" si="34"/>
        <v>58.468069674769644</v>
      </c>
      <c r="H43" s="110">
        <f t="shared" si="34"/>
        <v>65.682908901139257</v>
      </c>
      <c r="I43" s="110">
        <f t="shared" si="34"/>
        <v>80.126354091734498</v>
      </c>
      <c r="J43" s="110">
        <f t="shared" si="34"/>
        <v>96.466487060206219</v>
      </c>
      <c r="K43" s="110">
        <f t="shared" si="34"/>
        <v>101.17177863422899</v>
      </c>
      <c r="L43" s="110">
        <f t="shared" si="34"/>
        <v>116.40119773309678</v>
      </c>
      <c r="M43" s="110">
        <f t="shared" si="34"/>
        <v>116.46454521533104</v>
      </c>
      <c r="N43" s="110">
        <f t="shared" si="34"/>
        <v>115.01808202904193</v>
      </c>
      <c r="O43" s="110">
        <f t="shared" si="34"/>
        <v>117.44843189263861</v>
      </c>
      <c r="P43" s="110">
        <f t="shared" si="34"/>
        <v>106.59441810869448</v>
      </c>
      <c r="Q43" s="110">
        <f t="shared" si="34"/>
        <v>105.96224200168348</v>
      </c>
      <c r="R43" s="110">
        <f t="shared" ref="R43:V43" si="35">R44+R45+R46</f>
        <v>121.51257552019771</v>
      </c>
      <c r="S43" s="110">
        <f t="shared" si="35"/>
        <v>138.42782596687655</v>
      </c>
      <c r="T43" s="110">
        <f t="shared" si="35"/>
        <v>151.74075977046004</v>
      </c>
      <c r="U43" s="110">
        <f t="shared" si="35"/>
        <v>154.87926109750967</v>
      </c>
      <c r="V43" s="110">
        <f t="shared" si="35"/>
        <v>55.396286474328932</v>
      </c>
      <c r="W43" s="110">
        <f t="shared" ref="W43" si="36">W44+W45+W46</f>
        <v>75.268268842540834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23.246827459496448</v>
      </c>
      <c r="C45" s="102">
        <f>TrAvia_ene!C$8</f>
        <v>23.258330500646743</v>
      </c>
      <c r="D45" s="102">
        <f>TrAvia_ene!D$8</f>
        <v>24.132725711353487</v>
      </c>
      <c r="E45" s="102">
        <f>TrAvia_ene!E$8</f>
        <v>34.99377760536413</v>
      </c>
      <c r="F45" s="102">
        <f>TrAvia_ene!F$8</f>
        <v>42.181161269114071</v>
      </c>
      <c r="G45" s="102">
        <f>TrAvia_ene!G$8</f>
        <v>52.142416974003162</v>
      </c>
      <c r="H45" s="102">
        <f>TrAvia_ene!H$8</f>
        <v>59.593484486753042</v>
      </c>
      <c r="I45" s="102">
        <f>TrAvia_ene!I$8</f>
        <v>72.929686203674677</v>
      </c>
      <c r="J45" s="102">
        <f>TrAvia_ene!J$8</f>
        <v>87.589056212359367</v>
      </c>
      <c r="K45" s="102">
        <f>TrAvia_ene!K$8</f>
        <v>91.626565623501449</v>
      </c>
      <c r="L45" s="102">
        <f>TrAvia_ene!L$8</f>
        <v>106.25199094763181</v>
      </c>
      <c r="M45" s="102">
        <f>TrAvia_ene!M$8</f>
        <v>106.38271271242738</v>
      </c>
      <c r="N45" s="102">
        <f>TrAvia_ene!N$8</f>
        <v>104.52972816484254</v>
      </c>
      <c r="O45" s="102">
        <f>TrAvia_ene!O$8</f>
        <v>106.92465692334136</v>
      </c>
      <c r="P45" s="102">
        <f>TrAvia_ene!P$8</f>
        <v>97.086604482046724</v>
      </c>
      <c r="Q45" s="102">
        <f>TrAvia_ene!Q$8</f>
        <v>96.891084061052339</v>
      </c>
      <c r="R45" s="102">
        <f>TrAvia_ene!R$8</f>
        <v>111.60852492457856</v>
      </c>
      <c r="S45" s="102">
        <f>TrAvia_ene!S$8</f>
        <v>127.62661321297674</v>
      </c>
      <c r="T45" s="102">
        <f>TrAvia_ene!T$8</f>
        <v>139.95840050263442</v>
      </c>
      <c r="U45" s="102">
        <f>TrAvia_ene!U$8</f>
        <v>142.76489891178031</v>
      </c>
      <c r="V45" s="102">
        <f>TrAvia_ene!V$8</f>
        <v>49.034415434322234</v>
      </c>
      <c r="W45" s="102">
        <f>TrAvia_ene!W$8</f>
        <v>67.588750736027166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3.3359752336058373</v>
      </c>
      <c r="C46" s="102">
        <f>TrAvia_ene!C$9</f>
        <v>3.3389825014815888</v>
      </c>
      <c r="D46" s="102">
        <f>TrAvia_ene!D$9</f>
        <v>3.4632260878789087</v>
      </c>
      <c r="E46" s="102">
        <f>TrAvia_ene!E$9</f>
        <v>5.0193523366243236</v>
      </c>
      <c r="F46" s="102">
        <f>TrAvia_ene!F$9</f>
        <v>6.0522686315884124</v>
      </c>
      <c r="G46" s="102">
        <f>TrAvia_ene!G$9</f>
        <v>6.3256527007664838</v>
      </c>
      <c r="H46" s="102">
        <f>TrAvia_ene!H$9</f>
        <v>6.0894244143862224</v>
      </c>
      <c r="I46" s="102">
        <f>TrAvia_ene!I$9</f>
        <v>7.1966678880598138</v>
      </c>
      <c r="J46" s="102">
        <f>TrAvia_ene!J$9</f>
        <v>8.8774308478468598</v>
      </c>
      <c r="K46" s="102">
        <f>TrAvia_ene!K$9</f>
        <v>9.5452130107275313</v>
      </c>
      <c r="L46" s="102">
        <f>TrAvia_ene!L$9</f>
        <v>10.149206785464971</v>
      </c>
      <c r="M46" s="102">
        <f>TrAvia_ene!M$9</f>
        <v>10.081832502903659</v>
      </c>
      <c r="N46" s="102">
        <f>TrAvia_ene!N$9</f>
        <v>10.488353864199395</v>
      </c>
      <c r="O46" s="102">
        <f>TrAvia_ene!O$9</f>
        <v>10.523774969297243</v>
      </c>
      <c r="P46" s="102">
        <f>TrAvia_ene!P$9</f>
        <v>9.5078136266477618</v>
      </c>
      <c r="Q46" s="102">
        <f>TrAvia_ene!Q$9</f>
        <v>9.0711579406311458</v>
      </c>
      <c r="R46" s="102">
        <f>TrAvia_ene!R$9</f>
        <v>9.9040505956191538</v>
      </c>
      <c r="S46" s="102">
        <f>TrAvia_ene!S$9</f>
        <v>10.80121275389982</v>
      </c>
      <c r="T46" s="102">
        <f>TrAvia_ene!T$9</f>
        <v>11.782359267825635</v>
      </c>
      <c r="U46" s="102">
        <f>TrAvia_ene!U$9</f>
        <v>12.11436218572937</v>
      </c>
      <c r="V46" s="102">
        <f>TrAvia_ene!V$9</f>
        <v>6.3618710400066965</v>
      </c>
      <c r="W46" s="102">
        <f>TrAvia_ene!W$9</f>
        <v>7.6795181065136697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229.74587830565144</v>
      </c>
      <c r="C47" s="28">
        <f t="shared" si="37"/>
        <v>317.04189959553219</v>
      </c>
      <c r="D47" s="28">
        <f t="shared" si="37"/>
        <v>338.27062932222657</v>
      </c>
      <c r="E47" s="28">
        <f t="shared" si="37"/>
        <v>361.79606910195599</v>
      </c>
      <c r="F47" s="28">
        <f t="shared" si="37"/>
        <v>383.50103877499117</v>
      </c>
      <c r="G47" s="28">
        <f t="shared" si="37"/>
        <v>413.88980672745208</v>
      </c>
      <c r="H47" s="28">
        <f t="shared" si="37"/>
        <v>442.89248254909648</v>
      </c>
      <c r="I47" s="28">
        <f t="shared" si="37"/>
        <v>522.14979059211271</v>
      </c>
      <c r="J47" s="28">
        <f t="shared" si="37"/>
        <v>485.07004372145974</v>
      </c>
      <c r="K47" s="28">
        <f t="shared" si="37"/>
        <v>410.9745155452847</v>
      </c>
      <c r="L47" s="28">
        <f t="shared" si="37"/>
        <v>454.24053410329816</v>
      </c>
      <c r="M47" s="28">
        <f t="shared" si="37"/>
        <v>367.51194941995612</v>
      </c>
      <c r="N47" s="28">
        <f t="shared" si="37"/>
        <v>352.20958137297265</v>
      </c>
      <c r="O47" s="28">
        <f t="shared" si="37"/>
        <v>361.25414355449306</v>
      </c>
      <c r="P47" s="28">
        <f t="shared" si="37"/>
        <v>353.46342311206536</v>
      </c>
      <c r="Q47" s="28">
        <f t="shared" si="37"/>
        <v>371.77349439504212</v>
      </c>
      <c r="R47" s="28">
        <f t="shared" ref="R47:V47" si="38">R48+R51+R52+R56</f>
        <v>350.12150919285193</v>
      </c>
      <c r="S47" s="28">
        <f t="shared" si="38"/>
        <v>372.97929045724572</v>
      </c>
      <c r="T47" s="28">
        <f t="shared" si="38"/>
        <v>386.15822071272095</v>
      </c>
      <c r="U47" s="28">
        <f t="shared" si="38"/>
        <v>357.08285309096937</v>
      </c>
      <c r="V47" s="28">
        <f t="shared" si="38"/>
        <v>340.27670327228867</v>
      </c>
      <c r="W47" s="28">
        <f t="shared" ref="W47" si="39">W48+W51+W52+W56</f>
        <v>369.33887727600506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175.88878471497401</v>
      </c>
      <c r="C48" s="137">
        <f t="shared" si="40"/>
        <v>260.32698802711172</v>
      </c>
      <c r="D48" s="137">
        <f t="shared" si="40"/>
        <v>279.15997699718832</v>
      </c>
      <c r="E48" s="137">
        <f t="shared" si="40"/>
        <v>292.5501361890216</v>
      </c>
      <c r="F48" s="137">
        <f t="shared" si="40"/>
        <v>312.10533712597896</v>
      </c>
      <c r="G48" s="137">
        <f t="shared" si="40"/>
        <v>342.3602632452783</v>
      </c>
      <c r="H48" s="137">
        <f t="shared" si="40"/>
        <v>380.99991370442524</v>
      </c>
      <c r="I48" s="137">
        <f t="shared" si="40"/>
        <v>453.15922599040198</v>
      </c>
      <c r="J48" s="137">
        <f t="shared" si="40"/>
        <v>414.18876395636613</v>
      </c>
      <c r="K48" s="137">
        <f t="shared" si="40"/>
        <v>340.91151371804568</v>
      </c>
      <c r="L48" s="137">
        <f t="shared" si="40"/>
        <v>388.47438237670121</v>
      </c>
      <c r="M48" s="137">
        <f t="shared" si="40"/>
        <v>291.87008326690051</v>
      </c>
      <c r="N48" s="137">
        <f t="shared" si="40"/>
        <v>269.61986419890832</v>
      </c>
      <c r="O48" s="137">
        <f t="shared" si="40"/>
        <v>281.71298805224131</v>
      </c>
      <c r="P48" s="137">
        <f t="shared" si="40"/>
        <v>281.78804479700835</v>
      </c>
      <c r="Q48" s="137">
        <f t="shared" si="40"/>
        <v>302.63936771337501</v>
      </c>
      <c r="R48" s="137">
        <f t="shared" ref="R48:V48" si="41">R49+R50</f>
        <v>290.04133149120668</v>
      </c>
      <c r="S48" s="137">
        <f t="shared" si="41"/>
        <v>316.70586140623863</v>
      </c>
      <c r="T48" s="137">
        <f t="shared" si="41"/>
        <v>326.5455259166327</v>
      </c>
      <c r="U48" s="137">
        <f t="shared" si="41"/>
        <v>310.74246468600512</v>
      </c>
      <c r="V48" s="137">
        <f t="shared" si="41"/>
        <v>310.3338533596218</v>
      </c>
      <c r="W48" s="137">
        <f t="shared" ref="W48" si="42">W49+W50</f>
        <v>340.2454309755895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36.601149906674991</v>
      </c>
      <c r="C49" s="102">
        <f>TrRoad_ene!C$43</f>
        <v>43.736525023569932</v>
      </c>
      <c r="D49" s="102">
        <f>TrRoad_ene!D$43</f>
        <v>53.294085890014337</v>
      </c>
      <c r="E49" s="102">
        <f>TrRoad_ene!E$43</f>
        <v>48.120740269290302</v>
      </c>
      <c r="F49" s="102">
        <f>TrRoad_ene!F$43</f>
        <v>62.192698164070052</v>
      </c>
      <c r="G49" s="102">
        <f>TrRoad_ene!G$43</f>
        <v>58.381151688163946</v>
      </c>
      <c r="H49" s="102">
        <f>TrRoad_ene!H$43</f>
        <v>64.610671307883564</v>
      </c>
      <c r="I49" s="102">
        <f>TrRoad_ene!I$43</f>
        <v>72.516819038613875</v>
      </c>
      <c r="J49" s="102">
        <f>TrRoad_ene!J$43</f>
        <v>72.166567061169999</v>
      </c>
      <c r="K49" s="102">
        <f>TrRoad_ene!K$43</f>
        <v>65.879951932061829</v>
      </c>
      <c r="L49" s="102">
        <f>TrRoad_ene!L$43</f>
        <v>60.752144149853166</v>
      </c>
      <c r="M49" s="102">
        <f>TrRoad_ene!M$43</f>
        <v>58.333937011852349</v>
      </c>
      <c r="N49" s="102">
        <f>TrRoad_ene!N$43</f>
        <v>62.76809849424761</v>
      </c>
      <c r="O49" s="102">
        <f>TrRoad_ene!O$43</f>
        <v>71.752295029863078</v>
      </c>
      <c r="P49" s="102">
        <f>TrRoad_ene!P$43</f>
        <v>77.105803468890542</v>
      </c>
      <c r="Q49" s="102">
        <f>TrRoad_ene!Q$43</f>
        <v>80.494754727627267</v>
      </c>
      <c r="R49" s="102">
        <f>TrRoad_ene!R$43</f>
        <v>78.67873416298805</v>
      </c>
      <c r="S49" s="102">
        <f>TrRoad_ene!S$43</f>
        <v>81.884873811230605</v>
      </c>
      <c r="T49" s="102">
        <f>TrRoad_ene!T$43</f>
        <v>82.702368021616167</v>
      </c>
      <c r="U49" s="102">
        <f>TrRoad_ene!U$43</f>
        <v>83.648075933079113</v>
      </c>
      <c r="V49" s="102">
        <f>TrRoad_ene!V$43</f>
        <v>85.294484808136076</v>
      </c>
      <c r="W49" s="102">
        <f>TrRoad_ene!W$43</f>
        <v>88.563415550368177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139.287634808299</v>
      </c>
      <c r="C50" s="102">
        <f>TrRoad_ene!C$52</f>
        <v>216.5904630035418</v>
      </c>
      <c r="D50" s="102">
        <f>TrRoad_ene!D$52</f>
        <v>225.86589110717398</v>
      </c>
      <c r="E50" s="102">
        <f>TrRoad_ene!E$52</f>
        <v>244.42939591973129</v>
      </c>
      <c r="F50" s="102">
        <f>TrRoad_ene!F$52</f>
        <v>249.9126389619089</v>
      </c>
      <c r="G50" s="102">
        <f>TrRoad_ene!G$52</f>
        <v>283.97911155711438</v>
      </c>
      <c r="H50" s="102">
        <f>TrRoad_ene!H$52</f>
        <v>316.3892423965417</v>
      </c>
      <c r="I50" s="102">
        <f>TrRoad_ene!I$52</f>
        <v>380.64240695178808</v>
      </c>
      <c r="J50" s="102">
        <f>TrRoad_ene!J$52</f>
        <v>342.02219689519615</v>
      </c>
      <c r="K50" s="102">
        <f>TrRoad_ene!K$52</f>
        <v>275.03156178598385</v>
      </c>
      <c r="L50" s="102">
        <f>TrRoad_ene!L$52</f>
        <v>327.72223822684805</v>
      </c>
      <c r="M50" s="102">
        <f>TrRoad_ene!M$52</f>
        <v>233.53614625504815</v>
      </c>
      <c r="N50" s="102">
        <f>TrRoad_ene!N$52</f>
        <v>206.85176570466069</v>
      </c>
      <c r="O50" s="102">
        <f>TrRoad_ene!O$52</f>
        <v>209.96069302237822</v>
      </c>
      <c r="P50" s="102">
        <f>TrRoad_ene!P$52</f>
        <v>204.68224132811781</v>
      </c>
      <c r="Q50" s="102">
        <f>TrRoad_ene!Q$52</f>
        <v>222.14461298574776</v>
      </c>
      <c r="R50" s="102">
        <f>TrRoad_ene!R$52</f>
        <v>211.36259732821861</v>
      </c>
      <c r="S50" s="102">
        <f>TrRoad_ene!S$52</f>
        <v>234.82098759500803</v>
      </c>
      <c r="T50" s="102">
        <f>TrRoad_ene!T$52</f>
        <v>243.84315789501653</v>
      </c>
      <c r="U50" s="102">
        <f>TrRoad_ene!U$52</f>
        <v>227.09438875292602</v>
      </c>
      <c r="V50" s="102">
        <f>TrRoad_ene!V$52</f>
        <v>225.03936855148572</v>
      </c>
      <c r="W50" s="102">
        <f>TrRoad_ene!W$52</f>
        <v>251.68201542522132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53.612725174579396</v>
      </c>
      <c r="C51" s="110">
        <f>TrRail_ene!C$17</f>
        <v>56.485053461348457</v>
      </c>
      <c r="D51" s="110">
        <f>TrRail_ene!D$17</f>
        <v>58.847618741639508</v>
      </c>
      <c r="E51" s="110">
        <f>TrRail_ene!E$17</f>
        <v>69.009019862661418</v>
      </c>
      <c r="F51" s="110">
        <f>TrRail_ene!F$17</f>
        <v>71.122596725983001</v>
      </c>
      <c r="G51" s="110">
        <f>TrRail_ene!G$17</f>
        <v>71.170614016788633</v>
      </c>
      <c r="H51" s="110">
        <f>TrRail_ene!H$17</f>
        <v>61.524059001184575</v>
      </c>
      <c r="I51" s="110">
        <f>TrRail_ene!I$17</f>
        <v>67.601871401957595</v>
      </c>
      <c r="J51" s="110">
        <f>TrRail_ene!J$17</f>
        <v>68.305032517475311</v>
      </c>
      <c r="K51" s="110">
        <f>TrRail_ene!K$17</f>
        <v>65.002106342809327</v>
      </c>
      <c r="L51" s="110">
        <f>TrRail_ene!L$17</f>
        <v>59.438974567174441</v>
      </c>
      <c r="M51" s="110">
        <f>TrRail_ene!M$17</f>
        <v>69.378036475867361</v>
      </c>
      <c r="N51" s="110">
        <f>TrRail_ene!N$17</f>
        <v>74.862313390552501</v>
      </c>
      <c r="O51" s="110">
        <f>TrRail_ene!O$17</f>
        <v>66.056397369095023</v>
      </c>
      <c r="P51" s="110">
        <f>TrRail_ene!P$17</f>
        <v>64.81278868514444</v>
      </c>
      <c r="Q51" s="110">
        <f>TrRail_ene!Q$17</f>
        <v>64.718294736660994</v>
      </c>
      <c r="R51" s="110">
        <f>TrRail_ene!R$17</f>
        <v>54.718978501292732</v>
      </c>
      <c r="S51" s="110">
        <f>TrRail_ene!S$17</f>
        <v>50.168494914702308</v>
      </c>
      <c r="T51" s="110">
        <f>TrRail_ene!T$17</f>
        <v>52.629808822782138</v>
      </c>
      <c r="U51" s="110">
        <f>TrRail_ene!U$17</f>
        <v>42.606923793101572</v>
      </c>
      <c r="V51" s="110">
        <f>TrRail_ene!V$17</f>
        <v>24.846531055955367</v>
      </c>
      <c r="W51" s="110">
        <f>TrRail_ene!W$17</f>
        <v>23.575558651124926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0.24436841609805462</v>
      </c>
      <c r="C52" s="110">
        <f t="shared" si="43"/>
        <v>0.22985810707201121</v>
      </c>
      <c r="D52" s="110">
        <f t="shared" si="43"/>
        <v>0.2630335833987405</v>
      </c>
      <c r="E52" s="110">
        <f t="shared" si="43"/>
        <v>0.23691305027294313</v>
      </c>
      <c r="F52" s="110">
        <f t="shared" si="43"/>
        <v>0.27310492302924805</v>
      </c>
      <c r="G52" s="110">
        <f t="shared" si="43"/>
        <v>0.35892946538512593</v>
      </c>
      <c r="H52" s="110">
        <f t="shared" si="43"/>
        <v>0.36850984348668497</v>
      </c>
      <c r="I52" s="110">
        <f t="shared" si="43"/>
        <v>0.3738178773111025</v>
      </c>
      <c r="J52" s="110">
        <f t="shared" si="43"/>
        <v>0.54649660273442424</v>
      </c>
      <c r="K52" s="110">
        <f t="shared" si="43"/>
        <v>1.0014801791846186</v>
      </c>
      <c r="L52" s="110">
        <f t="shared" si="43"/>
        <v>1.2528865317355056</v>
      </c>
      <c r="M52" s="110">
        <f t="shared" si="43"/>
        <v>1.1895390495012506</v>
      </c>
      <c r="N52" s="110">
        <f t="shared" si="43"/>
        <v>3.6679884782667589</v>
      </c>
      <c r="O52" s="110">
        <f t="shared" si="43"/>
        <v>5.3659275226666079</v>
      </c>
      <c r="P52" s="110">
        <f t="shared" si="43"/>
        <v>2.8031743246675065</v>
      </c>
      <c r="Q52" s="110">
        <f t="shared" si="43"/>
        <v>1.3712919622030564</v>
      </c>
      <c r="R52" s="110">
        <f t="shared" si="43"/>
        <v>1.3017838951074725</v>
      </c>
      <c r="S52" s="110">
        <f t="shared" si="43"/>
        <v>1.5011508173022485</v>
      </c>
      <c r="T52" s="110">
        <f t="shared" si="43"/>
        <v>1.5253623275623422</v>
      </c>
      <c r="U52" s="110">
        <f t="shared" si="43"/>
        <v>2.0031120753192715</v>
      </c>
      <c r="V52" s="110">
        <f t="shared" si="43"/>
        <v>2.7289069908473387</v>
      </c>
      <c r="W52" s="110">
        <f t="shared" ref="W52" si="44">W53+W54+W55</f>
        <v>2.9613958178203079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0.21591556447361715</v>
      </c>
      <c r="C54" s="102">
        <f>TrAvia_ene!C$12</f>
        <v>0.19735089184644999</v>
      </c>
      <c r="D54" s="102">
        <f>TrAvia_ene!D$12</f>
        <v>0.22652515682592936</v>
      </c>
      <c r="E54" s="102">
        <f>TrAvia_ene!E$12</f>
        <v>0.20030758688906405</v>
      </c>
      <c r="F54" s="102">
        <f>TrAvia_ene!F$12</f>
        <v>0.23246676090644564</v>
      </c>
      <c r="G54" s="102">
        <f>TrAvia_ene!G$12</f>
        <v>0.31516144091995962</v>
      </c>
      <c r="H54" s="102">
        <f>TrAvia_ene!H$12</f>
        <v>0.32025694439590013</v>
      </c>
      <c r="I54" s="102">
        <f>TrAvia_ene!I$12</f>
        <v>0.300669147028576</v>
      </c>
      <c r="J54" s="102">
        <f>TrAvia_ene!J$12</f>
        <v>0.41942330384926446</v>
      </c>
      <c r="K54" s="102">
        <f>TrAvia_ene!K$12</f>
        <v>0.82441972037465394</v>
      </c>
      <c r="L54" s="102">
        <f>TrAvia_ene!L$12</f>
        <v>0.96865105306631505</v>
      </c>
      <c r="M54" s="102">
        <f>TrAvia_ene!M$12</f>
        <v>0.88612601651622525</v>
      </c>
      <c r="N54" s="102">
        <f>TrAvia_ene!N$12</f>
        <v>1.0053735427285806</v>
      </c>
      <c r="O54" s="102">
        <f>TrAvia_ene!O$12</f>
        <v>1.175307904311045</v>
      </c>
      <c r="P54" s="102">
        <f>TrAvia_ene!P$12</f>
        <v>1.0471172949420655</v>
      </c>
      <c r="Q54" s="102">
        <f>TrAvia_ene!Q$12</f>
        <v>0.88396837993768496</v>
      </c>
      <c r="R54" s="102">
        <f>TrAvia_ene!R$12</f>
        <v>0.94380426066421186</v>
      </c>
      <c r="S54" s="102">
        <f>TrAvia_ene!S$12</f>
        <v>1.1570649966026212</v>
      </c>
      <c r="T54" s="102">
        <f>TrAvia_ene!T$12</f>
        <v>1.244732688810503</v>
      </c>
      <c r="U54" s="102">
        <f>TrAvia_ene!U$12</f>
        <v>1.3474046145443004</v>
      </c>
      <c r="V54" s="102">
        <f>TrAvia_ene!V$12</f>
        <v>1.0450290601348302</v>
      </c>
      <c r="W54" s="102">
        <f>TrAvia_ene!W$12</f>
        <v>1.7451869485702105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2.8452851624437472E-2</v>
      </c>
      <c r="C55" s="102">
        <f>TrAvia_ene!C$13</f>
        <v>3.2507215225561228E-2</v>
      </c>
      <c r="D55" s="102">
        <f>TrAvia_ene!D$13</f>
        <v>3.6508426572811122E-2</v>
      </c>
      <c r="E55" s="102">
        <f>TrAvia_ene!E$13</f>
        <v>3.6605463383879086E-2</v>
      </c>
      <c r="F55" s="102">
        <f>TrAvia_ene!F$13</f>
        <v>4.063816212280242E-2</v>
      </c>
      <c r="G55" s="102">
        <f>TrAvia_ene!G$13</f>
        <v>4.3768024465166304E-2</v>
      </c>
      <c r="H55" s="102">
        <f>TrAvia_ene!H$13</f>
        <v>4.8252899090784826E-2</v>
      </c>
      <c r="I55" s="102">
        <f>TrAvia_ene!I$13</f>
        <v>7.3148730282526511E-2</v>
      </c>
      <c r="J55" s="102">
        <f>TrAvia_ene!J$13</f>
        <v>0.12707329888515984</v>
      </c>
      <c r="K55" s="102">
        <f>TrAvia_ene!K$13</f>
        <v>0.17706045880996477</v>
      </c>
      <c r="L55" s="102">
        <f>TrAvia_ene!L$13</f>
        <v>0.28423547866919052</v>
      </c>
      <c r="M55" s="102">
        <f>TrAvia_ene!M$13</f>
        <v>0.30341303298502537</v>
      </c>
      <c r="N55" s="102">
        <f>TrAvia_ene!N$13</f>
        <v>2.6626149355381781</v>
      </c>
      <c r="O55" s="102">
        <f>TrAvia_ene!O$13</f>
        <v>4.1906196183555631</v>
      </c>
      <c r="P55" s="102">
        <f>TrAvia_ene!P$13</f>
        <v>1.7560570297254412</v>
      </c>
      <c r="Q55" s="102">
        <f>TrAvia_ene!Q$13</f>
        <v>0.48732358226537137</v>
      </c>
      <c r="R55" s="102">
        <f>TrAvia_ene!R$13</f>
        <v>0.35797963444326059</v>
      </c>
      <c r="S55" s="102">
        <f>TrAvia_ene!S$13</f>
        <v>0.34408582069962745</v>
      </c>
      <c r="T55" s="102">
        <f>TrAvia_ene!T$13</f>
        <v>0.28062963875183927</v>
      </c>
      <c r="U55" s="102">
        <f>TrAvia_ene!U$13</f>
        <v>0.65570746077497122</v>
      </c>
      <c r="V55" s="102">
        <f>TrAvia_ene!V$13</f>
        <v>1.6838779307125082</v>
      </c>
      <c r="W55" s="102">
        <f>TrAvia_ene!W$13</f>
        <v>1.2162088692500972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0</v>
      </c>
      <c r="C56" s="110">
        <f t="shared" si="45"/>
        <v>0</v>
      </c>
      <c r="D56" s="110">
        <f t="shared" si="45"/>
        <v>0</v>
      </c>
      <c r="E56" s="110">
        <f t="shared" si="45"/>
        <v>0</v>
      </c>
      <c r="F56" s="110">
        <f t="shared" si="45"/>
        <v>0</v>
      </c>
      <c r="G56" s="110">
        <f t="shared" si="45"/>
        <v>0</v>
      </c>
      <c r="H56" s="110">
        <f t="shared" si="45"/>
        <v>0</v>
      </c>
      <c r="I56" s="110">
        <f t="shared" si="45"/>
        <v>1.01487532244196</v>
      </c>
      <c r="J56" s="110">
        <f t="shared" si="45"/>
        <v>2.0297506448839209</v>
      </c>
      <c r="K56" s="110">
        <f t="shared" si="45"/>
        <v>4.0594153052450546</v>
      </c>
      <c r="L56" s="110">
        <f t="shared" si="45"/>
        <v>5.0742906276870174</v>
      </c>
      <c r="M56" s="110">
        <f t="shared" si="45"/>
        <v>5.0742906276870174</v>
      </c>
      <c r="N56" s="110">
        <f t="shared" si="45"/>
        <v>4.0594153052450546</v>
      </c>
      <c r="O56" s="110">
        <f t="shared" si="45"/>
        <v>8.1188306104901109</v>
      </c>
      <c r="P56" s="110">
        <f t="shared" si="45"/>
        <v>4.0594153052450546</v>
      </c>
      <c r="Q56" s="110">
        <f t="shared" si="45"/>
        <v>3.0445399828030948</v>
      </c>
      <c r="R56" s="110">
        <f t="shared" ref="R56:V56" si="46">R57+R58</f>
        <v>4.0594153052450546</v>
      </c>
      <c r="S56" s="110">
        <f t="shared" si="46"/>
        <v>4.6037833190025799</v>
      </c>
      <c r="T56" s="110">
        <f t="shared" si="46"/>
        <v>5.4575236457437661</v>
      </c>
      <c r="U56" s="110">
        <f t="shared" si="46"/>
        <v>1.730352536543422</v>
      </c>
      <c r="V56" s="110">
        <f t="shared" si="46"/>
        <v>2.3674118658641441</v>
      </c>
      <c r="W56" s="110">
        <f t="shared" ref="W56" si="47">W57+W58</f>
        <v>2.5564918314703355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1.01487532244196</v>
      </c>
      <c r="J57" s="102">
        <f>TrNavi_ene!J4</f>
        <v>2.0297506448839209</v>
      </c>
      <c r="K57" s="102">
        <f>TrNavi_ene!K4</f>
        <v>4.0594153052450546</v>
      </c>
      <c r="L57" s="102">
        <f>TrNavi_ene!L4</f>
        <v>5.0742906276870174</v>
      </c>
      <c r="M57" s="102">
        <f>TrNavi_ene!M4</f>
        <v>5.0742906276870174</v>
      </c>
      <c r="N57" s="102">
        <f>TrNavi_ene!N4</f>
        <v>4.0594153052450546</v>
      </c>
      <c r="O57" s="102">
        <f>TrNavi_ene!O4</f>
        <v>8.1188306104901109</v>
      </c>
      <c r="P57" s="102">
        <f>TrNavi_ene!P4</f>
        <v>4.0594153052450546</v>
      </c>
      <c r="Q57" s="102">
        <f>TrNavi_ene!Q4</f>
        <v>3.0445399828030948</v>
      </c>
      <c r="R57" s="102">
        <f>TrNavi_ene!R4</f>
        <v>4.0594153052450546</v>
      </c>
      <c r="S57" s="102">
        <f>TrNavi_ene!S4</f>
        <v>4.6037833190025799</v>
      </c>
      <c r="T57" s="102">
        <f>TrNavi_ene!T4</f>
        <v>5.4575236457437661</v>
      </c>
      <c r="U57" s="102">
        <f>TrNavi_ene!U4</f>
        <v>1.730352536543422</v>
      </c>
      <c r="V57" s="102">
        <f>TrNavi_ene!V4</f>
        <v>2.3674118658641441</v>
      </c>
      <c r="W57" s="102">
        <f>TrNavi_ene!W4</f>
        <v>2.5564918314703355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8.1188306104901109</v>
      </c>
      <c r="C59" s="28">
        <f t="shared" ref="C59:W59" si="48">C60+C61</f>
        <v>195.54789337919169</v>
      </c>
      <c r="D59" s="28">
        <f t="shared" si="48"/>
        <v>205.53766122098017</v>
      </c>
      <c r="E59" s="28">
        <f t="shared" si="48"/>
        <v>187.54110060189163</v>
      </c>
      <c r="F59" s="28">
        <f t="shared" si="48"/>
        <v>202.17704213241615</v>
      </c>
      <c r="G59" s="28">
        <f t="shared" si="48"/>
        <v>260.06732588134128</v>
      </c>
      <c r="H59" s="28">
        <f t="shared" si="48"/>
        <v>196.87712811693893</v>
      </c>
      <c r="I59" s="28">
        <f t="shared" si="48"/>
        <v>178.18168529664655</v>
      </c>
      <c r="J59" s="28">
        <f t="shared" si="48"/>
        <v>205.67136715391226</v>
      </c>
      <c r="K59" s="28">
        <f t="shared" si="48"/>
        <v>273.30395528804809</v>
      </c>
      <c r="L59" s="28">
        <f t="shared" si="48"/>
        <v>251.36165090283748</v>
      </c>
      <c r="M59" s="28">
        <f t="shared" si="48"/>
        <v>214.78331900257953</v>
      </c>
      <c r="N59" s="28">
        <f t="shared" si="48"/>
        <v>240.53766122098025</v>
      </c>
      <c r="O59" s="28">
        <f t="shared" si="48"/>
        <v>240.22166809974209</v>
      </c>
      <c r="P59" s="28">
        <f t="shared" si="48"/>
        <v>231.96741186586411</v>
      </c>
      <c r="Q59" s="28">
        <f t="shared" si="48"/>
        <v>254.76904557179711</v>
      </c>
      <c r="R59" s="28">
        <f t="shared" si="48"/>
        <v>314.80275150472914</v>
      </c>
      <c r="S59" s="28">
        <f t="shared" si="48"/>
        <v>260.20447119518479</v>
      </c>
      <c r="T59" s="28">
        <f t="shared" si="48"/>
        <v>38.285210662080829</v>
      </c>
      <c r="U59" s="28">
        <f t="shared" si="48"/>
        <v>292.58323301805677</v>
      </c>
      <c r="V59" s="28">
        <f t="shared" si="48"/>
        <v>207.05760963026654</v>
      </c>
      <c r="W59" s="28">
        <f t="shared" si="48"/>
        <v>207.33585554600162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3.5556466759731724</v>
      </c>
      <c r="C60" s="102">
        <f>MBunk_ene!C$4</f>
        <v>85.357707038832672</v>
      </c>
      <c r="D60" s="102">
        <f>MBunk_ene!D$4</f>
        <v>89.451702662014981</v>
      </c>
      <c r="E60" s="102">
        <f>MBunk_ene!E$4</f>
        <v>81.644145273479864</v>
      </c>
      <c r="F60" s="102">
        <f>MBunk_ene!F$4</f>
        <v>88.04724660515889</v>
      </c>
      <c r="G60" s="102">
        <f>MBunk_ene!G$4</f>
        <v>106.29580032680181</v>
      </c>
      <c r="H60" s="102">
        <f>MBunk_ene!H$4</f>
        <v>78.912611041417478</v>
      </c>
      <c r="I60" s="102">
        <f>MBunk_ene!I$4</f>
        <v>73.943701563634278</v>
      </c>
      <c r="J60" s="102">
        <f>MBunk_ene!J$4</f>
        <v>85.778503750869035</v>
      </c>
      <c r="K60" s="102">
        <f>MBunk_ene!K$4</f>
        <v>118.04106704671364</v>
      </c>
      <c r="L60" s="102">
        <f>MBunk_ene!L$4</f>
        <v>116.34675079599376</v>
      </c>
      <c r="M60" s="102">
        <f>MBunk_ene!M$4</f>
        <v>93.056002625053935</v>
      </c>
      <c r="N60" s="102">
        <f>MBunk_ene!N$4</f>
        <v>110.85780810977556</v>
      </c>
      <c r="O60" s="102">
        <f>MBunk_ene!O$4</f>
        <v>113.98021112899839</v>
      </c>
      <c r="P60" s="102">
        <f>MBunk_ene!P$4</f>
        <v>107.97567495301747</v>
      </c>
      <c r="Q60" s="102">
        <f>MBunk_ene!Q$4</f>
        <v>123.64896392349584</v>
      </c>
      <c r="R60" s="102">
        <f>MBunk_ene!R$4</f>
        <v>153.2355618625063</v>
      </c>
      <c r="S60" s="102">
        <f>MBunk_ene!S$4</f>
        <v>123.21748811498028</v>
      </c>
      <c r="T60" s="102">
        <f>MBunk_ene!T$4</f>
        <v>17.170631156953121</v>
      </c>
      <c r="U60" s="102">
        <f>MBunk_ene!U$4</f>
        <v>121.01753857289653</v>
      </c>
      <c r="V60" s="102">
        <f>MBunk_ene!V$4</f>
        <v>75.442869492558742</v>
      </c>
      <c r="W60" s="102">
        <f>MBunk_ene!W$4</f>
        <v>70.17444094788064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4.563183934516938</v>
      </c>
      <c r="C61" s="86">
        <f>MBunk_ene!C$10</f>
        <v>110.19018634035902</v>
      </c>
      <c r="D61" s="86">
        <f>MBunk_ene!D$10</f>
        <v>116.0859585589652</v>
      </c>
      <c r="E61" s="86">
        <f>MBunk_ene!E$10</f>
        <v>105.89695532841175</v>
      </c>
      <c r="F61" s="86">
        <f>MBunk_ene!F$10</f>
        <v>114.12979552725726</v>
      </c>
      <c r="G61" s="86">
        <f>MBunk_ene!G$10</f>
        <v>153.77152555453947</v>
      </c>
      <c r="H61" s="86">
        <f>MBunk_ene!H$10</f>
        <v>117.96451707552146</v>
      </c>
      <c r="I61" s="86">
        <f>MBunk_ene!I$10</f>
        <v>104.23798373301226</v>
      </c>
      <c r="J61" s="86">
        <f>MBunk_ene!J$10</f>
        <v>119.89286340304322</v>
      </c>
      <c r="K61" s="86">
        <f>MBunk_ene!K$10</f>
        <v>155.26288824133445</v>
      </c>
      <c r="L61" s="86">
        <f>MBunk_ene!L$10</f>
        <v>135.01490010684373</v>
      </c>
      <c r="M61" s="86">
        <f>MBunk_ene!M$10</f>
        <v>121.7273163775256</v>
      </c>
      <c r="N61" s="86">
        <f>MBunk_ene!N$10</f>
        <v>129.67985311120469</v>
      </c>
      <c r="O61" s="86">
        <f>MBunk_ene!O$10</f>
        <v>126.24145697074371</v>
      </c>
      <c r="P61" s="86">
        <f>MBunk_ene!P$10</f>
        <v>123.99173691284662</v>
      </c>
      <c r="Q61" s="86">
        <f>MBunk_ene!Q$10</f>
        <v>131.12008164830127</v>
      </c>
      <c r="R61" s="86">
        <f>MBunk_ene!R$10</f>
        <v>161.56718964222284</v>
      </c>
      <c r="S61" s="86">
        <f>MBunk_ene!S$10</f>
        <v>136.98698308020451</v>
      </c>
      <c r="T61" s="86">
        <f>MBunk_ene!T$10</f>
        <v>21.114579505127708</v>
      </c>
      <c r="U61" s="86">
        <f>MBunk_ene!U$10</f>
        <v>171.56569444516026</v>
      </c>
      <c r="V61" s="86">
        <f>MBunk_ene!V$10</f>
        <v>131.6147401377078</v>
      </c>
      <c r="W61" s="86">
        <f>MBunk_ene!W$10</f>
        <v>137.16141459812098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1490.1623953820274</v>
      </c>
      <c r="C64" s="28">
        <f t="shared" si="49"/>
        <v>1609.9402774366479</v>
      </c>
      <c r="D64" s="28">
        <f t="shared" si="49"/>
        <v>1624.5567545540027</v>
      </c>
      <c r="E64" s="28">
        <f t="shared" si="49"/>
        <v>1732.3929308378802</v>
      </c>
      <c r="F64" s="28">
        <f t="shared" si="49"/>
        <v>1827.6074254129464</v>
      </c>
      <c r="G64" s="28">
        <f t="shared" si="49"/>
        <v>1895.885014923309</v>
      </c>
      <c r="H64" s="28">
        <f t="shared" si="49"/>
        <v>2136.6616997979345</v>
      </c>
      <c r="I64" s="28">
        <f t="shared" si="49"/>
        <v>2371.8670538453566</v>
      </c>
      <c r="J64" s="28">
        <f t="shared" si="49"/>
        <v>2327.7230386695505</v>
      </c>
      <c r="K64" s="28">
        <f t="shared" si="49"/>
        <v>2140.1375003570338</v>
      </c>
      <c r="L64" s="28">
        <f t="shared" si="49"/>
        <v>2152.9582513704004</v>
      </c>
      <c r="M64" s="28">
        <f t="shared" si="49"/>
        <v>2059.8731750410789</v>
      </c>
      <c r="N64" s="28">
        <f t="shared" si="49"/>
        <v>2006.3531315276955</v>
      </c>
      <c r="O64" s="28">
        <f t="shared" si="49"/>
        <v>2021.9918366619254</v>
      </c>
      <c r="P64" s="28">
        <f t="shared" si="49"/>
        <v>2131.8972322369204</v>
      </c>
      <c r="Q64" s="28">
        <f t="shared" si="49"/>
        <v>2243.5013604896449</v>
      </c>
      <c r="R64" s="28">
        <f t="shared" ref="R64:V64" si="50">R65+R69+R73</f>
        <v>2366.3891809525421</v>
      </c>
      <c r="S64" s="28">
        <f t="shared" si="50"/>
        <v>2494.3086724836799</v>
      </c>
      <c r="T64" s="28">
        <f t="shared" si="50"/>
        <v>2535.8329622459705</v>
      </c>
      <c r="U64" s="28">
        <f t="shared" si="50"/>
        <v>2615.9480093184884</v>
      </c>
      <c r="V64" s="28">
        <f t="shared" si="50"/>
        <v>2184.5067665968895</v>
      </c>
      <c r="W64" s="28">
        <f t="shared" ref="W64" si="51">W65+W69+W73</f>
        <v>2253.1249674812198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1371.8158628140454</v>
      </c>
      <c r="C65" s="137">
        <f t="shared" si="52"/>
        <v>1494.1643598285539</v>
      </c>
      <c r="D65" s="137">
        <f t="shared" si="52"/>
        <v>1503.6588542493116</v>
      </c>
      <c r="E65" s="137">
        <f t="shared" si="52"/>
        <v>1574.155257524211</v>
      </c>
      <c r="F65" s="137">
        <f t="shared" si="52"/>
        <v>1644.8841715428148</v>
      </c>
      <c r="G65" s="137">
        <f t="shared" si="52"/>
        <v>1682.5013005283377</v>
      </c>
      <c r="H65" s="137">
        <f t="shared" si="52"/>
        <v>1903.1165841476575</v>
      </c>
      <c r="I65" s="137">
        <f t="shared" si="52"/>
        <v>2094.8074787931664</v>
      </c>
      <c r="J65" s="137">
        <f t="shared" si="52"/>
        <v>2003.6561112773575</v>
      </c>
      <c r="K65" s="137">
        <f t="shared" si="52"/>
        <v>1807.4017048315816</v>
      </c>
      <c r="L65" s="137">
        <f t="shared" si="52"/>
        <v>1779.1577420133638</v>
      </c>
      <c r="M65" s="137">
        <f t="shared" si="52"/>
        <v>1686.5534359821659</v>
      </c>
      <c r="N65" s="137">
        <f t="shared" si="52"/>
        <v>1638.599026933555</v>
      </c>
      <c r="O65" s="137">
        <f t="shared" si="52"/>
        <v>1647.3300851296049</v>
      </c>
      <c r="P65" s="137">
        <f t="shared" si="52"/>
        <v>1792.9450294422181</v>
      </c>
      <c r="Q65" s="137">
        <f t="shared" si="52"/>
        <v>1915.3853093009714</v>
      </c>
      <c r="R65" s="137">
        <f t="shared" ref="R65:V65" si="53">R66+R67+R68</f>
        <v>1991.953983888083</v>
      </c>
      <c r="S65" s="137">
        <f t="shared" si="53"/>
        <v>2068.7042881338962</v>
      </c>
      <c r="T65" s="137">
        <f t="shared" si="53"/>
        <v>2071.1580350023391</v>
      </c>
      <c r="U65" s="137">
        <f t="shared" si="53"/>
        <v>2141.9491717602773</v>
      </c>
      <c r="V65" s="137">
        <f t="shared" si="53"/>
        <v>2011.6725129737704</v>
      </c>
      <c r="W65" s="137">
        <f t="shared" ref="W65" si="54">W66+W67+W68</f>
        <v>2021.379000633849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8.3740567156090258</v>
      </c>
      <c r="C66" s="102">
        <f>TrRoad_emi!C$19</f>
        <v>8.3996186657184371</v>
      </c>
      <c r="D66" s="102">
        <f>TrRoad_emi!D$19</f>
        <v>8.3398033326315772</v>
      </c>
      <c r="E66" s="102">
        <f>TrRoad_emi!E$19</f>
        <v>8.2779597634672548</v>
      </c>
      <c r="F66" s="102">
        <f>TrRoad_emi!F$19</f>
        <v>8.1667720851202166</v>
      </c>
      <c r="G66" s="102">
        <f>TrRoad_emi!G$19</f>
        <v>8.0452685534518018</v>
      </c>
      <c r="H66" s="102">
        <f>TrRoad_emi!H$19</f>
        <v>7.7870680515615627</v>
      </c>
      <c r="I66" s="102">
        <f>TrRoad_emi!I$19</f>
        <v>7.3731008770213284</v>
      </c>
      <c r="J66" s="102">
        <f>TrRoad_emi!J$19</f>
        <v>6.9510128844758059</v>
      </c>
      <c r="K66" s="102">
        <f>TrRoad_emi!K$19</f>
        <v>6.6242131721319657</v>
      </c>
      <c r="L66" s="102">
        <f>TrRoad_emi!L$19</f>
        <v>6.4809588065919437</v>
      </c>
      <c r="M66" s="102">
        <f>TrRoad_emi!M$19</f>
        <v>6.2973222313318811</v>
      </c>
      <c r="N66" s="102">
        <f>TrRoad_emi!N$19</f>
        <v>5.6487749266508285</v>
      </c>
      <c r="O66" s="102">
        <f>TrRoad_emi!O$19</f>
        <v>5.7486504677138353</v>
      </c>
      <c r="P66" s="102">
        <f>TrRoad_emi!P$19</f>
        <v>6.7543009925772539</v>
      </c>
      <c r="Q66" s="102">
        <f>TrRoad_emi!Q$19</f>
        <v>8.3259620635195279</v>
      </c>
      <c r="R66" s="102">
        <f>TrRoad_emi!R$19</f>
        <v>8.0767648746795349</v>
      </c>
      <c r="S66" s="102">
        <f>TrRoad_emi!S$19</f>
        <v>7.4848766215874525</v>
      </c>
      <c r="T66" s="102">
        <f>TrRoad_emi!T$19</f>
        <v>7.001846888282973</v>
      </c>
      <c r="U66" s="102">
        <f>TrRoad_emi!U$19</f>
        <v>7.3307977946504508</v>
      </c>
      <c r="V66" s="102">
        <f>TrRoad_emi!V$19</f>
        <v>6.3331069877401154</v>
      </c>
      <c r="W66" s="102">
        <f>TrRoad_emi!W$19</f>
        <v>6.0468963020237867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1115.115855830114</v>
      </c>
      <c r="C67" s="102">
        <f>TrRoad_emi!C$20</f>
        <v>1212.6546196494824</v>
      </c>
      <c r="D67" s="102">
        <f>TrRoad_emi!D$20</f>
        <v>1227.188335262724</v>
      </c>
      <c r="E67" s="102">
        <f>TrRoad_emi!E$20</f>
        <v>1281.5715941166618</v>
      </c>
      <c r="F67" s="102">
        <f>TrRoad_emi!F$20</f>
        <v>1349.7076017488105</v>
      </c>
      <c r="G67" s="102">
        <f>TrRoad_emi!G$20</f>
        <v>1390.5304648044987</v>
      </c>
      <c r="H67" s="102">
        <f>TrRoad_emi!H$20</f>
        <v>1614.646359842691</v>
      </c>
      <c r="I67" s="102">
        <f>TrRoad_emi!I$20</f>
        <v>1808.7159900695601</v>
      </c>
      <c r="J67" s="102">
        <f>TrRoad_emi!J$20</f>
        <v>1738.5247346732042</v>
      </c>
      <c r="K67" s="102">
        <f>TrRoad_emi!K$20</f>
        <v>1561.3482280968785</v>
      </c>
      <c r="L67" s="102">
        <f>TrRoad_emi!L$20</f>
        <v>1525.4312259910796</v>
      </c>
      <c r="M67" s="102">
        <f>TrRoad_emi!M$20</f>
        <v>1458.2460576720955</v>
      </c>
      <c r="N67" s="102">
        <f>TrRoad_emi!N$20</f>
        <v>1416.1032374673919</v>
      </c>
      <c r="O67" s="102">
        <f>TrRoad_emi!O$20</f>
        <v>1426.6286006453727</v>
      </c>
      <c r="P67" s="102">
        <f>TrRoad_emi!P$20</f>
        <v>1580.5186448068148</v>
      </c>
      <c r="Q67" s="102">
        <f>TrRoad_emi!Q$20</f>
        <v>1701.8989739431397</v>
      </c>
      <c r="R67" s="102">
        <f>TrRoad_emi!R$20</f>
        <v>1775.9614471413727</v>
      </c>
      <c r="S67" s="102">
        <f>TrRoad_emi!S$20</f>
        <v>1847.1763915104259</v>
      </c>
      <c r="T67" s="102">
        <f>TrRoad_emi!T$20</f>
        <v>1862.8704163563575</v>
      </c>
      <c r="U67" s="102">
        <f>TrRoad_emi!U$20</f>
        <v>1944.2420723228965</v>
      </c>
      <c r="V67" s="102">
        <f>TrRoad_emi!V$20</f>
        <v>1854.9272792979648</v>
      </c>
      <c r="W67" s="102">
        <f>TrRoad_emi!W$20</f>
        <v>1884.5341351046904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248.32595026832254</v>
      </c>
      <c r="C68" s="102">
        <f>TrRoad_emi!C$27</f>
        <v>273.11012151335314</v>
      </c>
      <c r="D68" s="102">
        <f>TrRoad_emi!D$27</f>
        <v>268.13071565395597</v>
      </c>
      <c r="E68" s="102">
        <f>TrRoad_emi!E$27</f>
        <v>284.30570364408209</v>
      </c>
      <c r="F68" s="102">
        <f>TrRoad_emi!F$27</f>
        <v>287.00979770888404</v>
      </c>
      <c r="G68" s="102">
        <f>TrRoad_emi!G$27</f>
        <v>283.9255671703873</v>
      </c>
      <c r="H68" s="102">
        <f>TrRoad_emi!H$27</f>
        <v>280.68315625340483</v>
      </c>
      <c r="I68" s="102">
        <f>TrRoad_emi!I$27</f>
        <v>278.71838784658502</v>
      </c>
      <c r="J68" s="102">
        <f>TrRoad_emi!J$27</f>
        <v>258.18036371967747</v>
      </c>
      <c r="K68" s="102">
        <f>TrRoad_emi!K$27</f>
        <v>239.42926356257104</v>
      </c>
      <c r="L68" s="102">
        <f>TrRoad_emi!L$27</f>
        <v>247.24555721569226</v>
      </c>
      <c r="M68" s="102">
        <f>TrRoad_emi!M$27</f>
        <v>222.01005607873836</v>
      </c>
      <c r="N68" s="102">
        <f>TrRoad_emi!N$27</f>
        <v>216.84701453951251</v>
      </c>
      <c r="O68" s="102">
        <f>TrRoad_emi!O$27</f>
        <v>214.95283401651852</v>
      </c>
      <c r="P68" s="102">
        <f>TrRoad_emi!P$27</f>
        <v>205.67208364282595</v>
      </c>
      <c r="Q68" s="102">
        <f>TrRoad_emi!Q$27</f>
        <v>205.16037329431219</v>
      </c>
      <c r="R68" s="102">
        <f>TrRoad_emi!R$27</f>
        <v>207.9157718720308</v>
      </c>
      <c r="S68" s="102">
        <f>TrRoad_emi!S$27</f>
        <v>214.04302000188264</v>
      </c>
      <c r="T68" s="102">
        <f>TrRoad_emi!T$27</f>
        <v>201.28577175769874</v>
      </c>
      <c r="U68" s="102">
        <f>TrRoad_emi!U$27</f>
        <v>190.3763016427302</v>
      </c>
      <c r="V68" s="102">
        <f>TrRoad_emi!V$27</f>
        <v>150.41212668806551</v>
      </c>
      <c r="W68" s="102">
        <f>TrRoad_emi!W$27</f>
        <v>130.7979692271349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38.324077059151577</v>
      </c>
      <c r="C69" s="110">
        <f t="shared" si="55"/>
        <v>35.709781582507446</v>
      </c>
      <c r="D69" s="110">
        <f t="shared" si="55"/>
        <v>37.825552720705197</v>
      </c>
      <c r="E69" s="110">
        <f t="shared" si="55"/>
        <v>37.785780128505763</v>
      </c>
      <c r="F69" s="110">
        <f t="shared" si="55"/>
        <v>37.525716092491876</v>
      </c>
      <c r="G69" s="110">
        <f t="shared" si="55"/>
        <v>37.376746346771419</v>
      </c>
      <c r="H69" s="110">
        <f t="shared" si="55"/>
        <v>35.819250702415736</v>
      </c>
      <c r="I69" s="110">
        <f t="shared" si="55"/>
        <v>35.854474167384396</v>
      </c>
      <c r="J69" s="110">
        <f t="shared" si="55"/>
        <v>33.672973903173244</v>
      </c>
      <c r="K69" s="110">
        <f t="shared" si="55"/>
        <v>28.177459522469118</v>
      </c>
      <c r="L69" s="110">
        <f t="shared" si="55"/>
        <v>23.396912930076141</v>
      </c>
      <c r="M69" s="110">
        <f t="shared" si="55"/>
        <v>22.725447123385898</v>
      </c>
      <c r="N69" s="110">
        <f t="shared" si="55"/>
        <v>21.514114095761009</v>
      </c>
      <c r="O69" s="110">
        <f t="shared" si="55"/>
        <v>21.105656480336961</v>
      </c>
      <c r="P69" s="110">
        <f t="shared" si="55"/>
        <v>18.070045293452651</v>
      </c>
      <c r="Q69" s="110">
        <f t="shared" si="55"/>
        <v>9.1369392383792487</v>
      </c>
      <c r="R69" s="110">
        <f t="shared" ref="R69:V69" si="56">R70+R71+R72</f>
        <v>8.6447730603130548</v>
      </c>
      <c r="S69" s="110">
        <f t="shared" si="56"/>
        <v>8.8940766706675625</v>
      </c>
      <c r="T69" s="110">
        <f t="shared" si="56"/>
        <v>7.8883220916252679</v>
      </c>
      <c r="U69" s="110">
        <f t="shared" si="56"/>
        <v>7.7644540191588449</v>
      </c>
      <c r="V69" s="110">
        <f t="shared" si="56"/>
        <v>6.0743028036112499</v>
      </c>
      <c r="W69" s="110">
        <f t="shared" ref="W69" si="57">W70+W71+W72</f>
        <v>5.1652046825968032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38.324077059151577</v>
      </c>
      <c r="C71" s="102">
        <f>TrRail_emi!C$11</f>
        <v>35.709781582507446</v>
      </c>
      <c r="D71" s="102">
        <f>TrRail_emi!D$11</f>
        <v>37.825552720705197</v>
      </c>
      <c r="E71" s="102">
        <f>TrRail_emi!E$11</f>
        <v>37.785780128505763</v>
      </c>
      <c r="F71" s="102">
        <f>TrRail_emi!F$11</f>
        <v>37.525716092491876</v>
      </c>
      <c r="G71" s="102">
        <f>TrRail_emi!G$11</f>
        <v>37.376746346771419</v>
      </c>
      <c r="H71" s="102">
        <f>TrRail_emi!H$11</f>
        <v>35.819250702415736</v>
      </c>
      <c r="I71" s="102">
        <f>TrRail_emi!I$11</f>
        <v>35.854474167384396</v>
      </c>
      <c r="J71" s="102">
        <f>TrRail_emi!J$11</f>
        <v>33.672973903173244</v>
      </c>
      <c r="K71" s="102">
        <f>TrRail_emi!K$11</f>
        <v>28.177459522469118</v>
      </c>
      <c r="L71" s="102">
        <f>TrRail_emi!L$11</f>
        <v>23.396912930076141</v>
      </c>
      <c r="M71" s="102">
        <f>TrRail_emi!M$11</f>
        <v>22.725447123385898</v>
      </c>
      <c r="N71" s="102">
        <f>TrRail_emi!N$11</f>
        <v>21.514114095761009</v>
      </c>
      <c r="O71" s="102">
        <f>TrRail_emi!O$11</f>
        <v>21.105656480336961</v>
      </c>
      <c r="P71" s="102">
        <f>TrRail_emi!P$11</f>
        <v>18.070045293452651</v>
      </c>
      <c r="Q71" s="102">
        <f>TrRail_emi!Q$11</f>
        <v>9.1369392383792487</v>
      </c>
      <c r="R71" s="102">
        <f>TrRail_emi!R$11</f>
        <v>8.6447730603130548</v>
      </c>
      <c r="S71" s="102">
        <f>TrRail_emi!S$11</f>
        <v>8.8940766706675625</v>
      </c>
      <c r="T71" s="102">
        <f>TrRail_emi!T$11</f>
        <v>7.8883220916252679</v>
      </c>
      <c r="U71" s="102">
        <f>TrRail_emi!U$11</f>
        <v>7.7644540191588449</v>
      </c>
      <c r="V71" s="102">
        <f>TrRail_emi!V$11</f>
        <v>6.0743028036112499</v>
      </c>
      <c r="W71" s="102">
        <f>TrRail_emi!W$11</f>
        <v>5.1652046825968032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80.022455508830589</v>
      </c>
      <c r="C73" s="110">
        <f t="shared" si="58"/>
        <v>80.06613602558653</v>
      </c>
      <c r="D73" s="110">
        <f t="shared" si="58"/>
        <v>83.072347583985845</v>
      </c>
      <c r="E73" s="110">
        <f t="shared" si="58"/>
        <v>120.45189318516333</v>
      </c>
      <c r="F73" s="110">
        <f t="shared" si="58"/>
        <v>145.19753777763978</v>
      </c>
      <c r="G73" s="110">
        <f t="shared" si="58"/>
        <v>176.00696804820006</v>
      </c>
      <c r="H73" s="110">
        <f t="shared" si="58"/>
        <v>197.72586494786148</v>
      </c>
      <c r="I73" s="110">
        <f t="shared" si="58"/>
        <v>241.20510088480589</v>
      </c>
      <c r="J73" s="110">
        <f t="shared" si="58"/>
        <v>290.39395348901985</v>
      </c>
      <c r="K73" s="110">
        <f t="shared" si="58"/>
        <v>304.55833600298297</v>
      </c>
      <c r="L73" s="110">
        <f t="shared" si="58"/>
        <v>350.40359642696052</v>
      </c>
      <c r="M73" s="110">
        <f t="shared" si="58"/>
        <v>350.59429193552717</v>
      </c>
      <c r="N73" s="110">
        <f t="shared" si="58"/>
        <v>346.2399904983796</v>
      </c>
      <c r="O73" s="110">
        <f t="shared" si="58"/>
        <v>353.55609505198339</v>
      </c>
      <c r="P73" s="110">
        <f t="shared" si="58"/>
        <v>320.88215750124959</v>
      </c>
      <c r="Q73" s="110">
        <f t="shared" si="58"/>
        <v>318.97911195029411</v>
      </c>
      <c r="R73" s="110">
        <f t="shared" ref="R73:V73" si="59">R74+R75+R76</f>
        <v>365.79042400414613</v>
      </c>
      <c r="S73" s="110">
        <f t="shared" si="59"/>
        <v>416.7103076791164</v>
      </c>
      <c r="T73" s="110">
        <f t="shared" si="59"/>
        <v>456.7866051520059</v>
      </c>
      <c r="U73" s="110">
        <f t="shared" si="59"/>
        <v>466.23438353905266</v>
      </c>
      <c r="V73" s="110">
        <f t="shared" si="59"/>
        <v>166.75995081950796</v>
      </c>
      <c r="W73" s="110">
        <f t="shared" ref="W73" si="60">W74+W75+W76</f>
        <v>226.58076216477406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69.980138572134791</v>
      </c>
      <c r="C75" s="102">
        <f>TrAvia_emi!C$8</f>
        <v>70.014766282737497</v>
      </c>
      <c r="D75" s="102">
        <f>TrAvia_emi!D$8</f>
        <v>72.646966229963951</v>
      </c>
      <c r="E75" s="102">
        <f>TrAvia_emi!E$8</f>
        <v>105.34209066818163</v>
      </c>
      <c r="F75" s="102">
        <f>TrAvia_emi!F$8</f>
        <v>126.97833783509776</v>
      </c>
      <c r="G75" s="102">
        <f>TrAvia_emi!G$8</f>
        <v>156.96479752707788</v>
      </c>
      <c r="H75" s="102">
        <f>TrAvia_emi!H$8</f>
        <v>179.39481461053001</v>
      </c>
      <c r="I75" s="102">
        <f>TrAvia_emi!I$8</f>
        <v>219.54090533203487</v>
      </c>
      <c r="J75" s="102">
        <f>TrAvia_emi!J$8</f>
        <v>263.67014173538263</v>
      </c>
      <c r="K75" s="102">
        <f>TrAvia_emi!K$8</f>
        <v>275.82429346083018</v>
      </c>
      <c r="L75" s="102">
        <f>TrAvia_emi!L$8</f>
        <v>319.8513458679729</v>
      </c>
      <c r="M75" s="102">
        <f>TrAvia_emi!M$8</f>
        <v>320.24485879917722</v>
      </c>
      <c r="N75" s="102">
        <f>TrAvia_emi!N$8</f>
        <v>314.66680236812459</v>
      </c>
      <c r="O75" s="102">
        <f>TrAvia_emi!O$8</f>
        <v>321.87627844317819</v>
      </c>
      <c r="P75" s="102">
        <f>TrAvia_emi!P$8</f>
        <v>292.26069866906647</v>
      </c>
      <c r="Q75" s="102">
        <f>TrAvia_emi!Q$8</f>
        <v>291.67212174695914</v>
      </c>
      <c r="R75" s="102">
        <f>TrAvia_emi!R$8</f>
        <v>335.9761693788883</v>
      </c>
      <c r="S75" s="102">
        <f>TrAvia_emi!S$8</f>
        <v>384.19533709031151</v>
      </c>
      <c r="T75" s="102">
        <f>TrAvia_emi!T$8</f>
        <v>421.31806065036511</v>
      </c>
      <c r="U75" s="102">
        <f>TrAvia_emi!U$8</f>
        <v>429.76641393738748</v>
      </c>
      <c r="V75" s="102">
        <f>TrAvia_emi!V$8</f>
        <v>147.60875189856225</v>
      </c>
      <c r="W75" s="102">
        <f>TrAvia_emi!W$8</f>
        <v>203.46303815716936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10.042316936695803</v>
      </c>
      <c r="C76" s="102">
        <f>TrAvia_emi!C$9</f>
        <v>10.05136974284904</v>
      </c>
      <c r="D76" s="102">
        <f>TrAvia_emi!D$9</f>
        <v>10.425381354021887</v>
      </c>
      <c r="E76" s="102">
        <f>TrAvia_emi!E$9</f>
        <v>15.109802516981702</v>
      </c>
      <c r="F76" s="102">
        <f>TrAvia_emi!F$9</f>
        <v>18.219199942542009</v>
      </c>
      <c r="G76" s="102">
        <f>TrAvia_emi!G$9</f>
        <v>19.042170521122195</v>
      </c>
      <c r="H76" s="102">
        <f>TrAvia_emi!H$9</f>
        <v>18.331050337331465</v>
      </c>
      <c r="I76" s="102">
        <f>TrAvia_emi!I$9</f>
        <v>21.664195552771023</v>
      </c>
      <c r="J76" s="102">
        <f>TrAvia_emi!J$9</f>
        <v>26.723811753637207</v>
      </c>
      <c r="K76" s="102">
        <f>TrAvia_emi!K$9</f>
        <v>28.734042542152789</v>
      </c>
      <c r="L76" s="102">
        <f>TrAvia_emi!L$9</f>
        <v>30.552250558987641</v>
      </c>
      <c r="M76" s="102">
        <f>TrAvia_emi!M$9</f>
        <v>30.349433136349919</v>
      </c>
      <c r="N76" s="102">
        <f>TrAvia_emi!N$9</f>
        <v>31.573188130254994</v>
      </c>
      <c r="O76" s="102">
        <f>TrAvia_emi!O$9</f>
        <v>31.679816608805204</v>
      </c>
      <c r="P76" s="102">
        <f>TrAvia_emi!P$9</f>
        <v>28.621458832183123</v>
      </c>
      <c r="Q76" s="102">
        <f>TrAvia_emi!Q$9</f>
        <v>27.306990203334987</v>
      </c>
      <c r="R76" s="102">
        <f>TrAvia_emi!R$9</f>
        <v>29.814254625257831</v>
      </c>
      <c r="S76" s="102">
        <f>TrAvia_emi!S$9</f>
        <v>32.514970588804871</v>
      </c>
      <c r="T76" s="102">
        <f>TrAvia_emi!T$9</f>
        <v>35.468544501640785</v>
      </c>
      <c r="U76" s="102">
        <f>TrAvia_emi!U$9</f>
        <v>36.46796960166516</v>
      </c>
      <c r="V76" s="102">
        <f>TrAvia_emi!V$9</f>
        <v>19.151198920945728</v>
      </c>
      <c r="W76" s="102">
        <f>TrAvia_emi!W$9</f>
        <v>23.117724007604682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709.96689101797188</v>
      </c>
      <c r="C77" s="28">
        <f t="shared" si="61"/>
        <v>980.78399812335203</v>
      </c>
      <c r="D77" s="28">
        <f t="shared" si="61"/>
        <v>1046.8132604859975</v>
      </c>
      <c r="E77" s="28">
        <f t="shared" si="61"/>
        <v>1119.8527240821195</v>
      </c>
      <c r="F77" s="28">
        <f t="shared" si="61"/>
        <v>1187.2745986270536</v>
      </c>
      <c r="G77" s="28">
        <f t="shared" si="61"/>
        <v>1276.440053516691</v>
      </c>
      <c r="H77" s="28">
        <f t="shared" si="61"/>
        <v>1368.0621081620652</v>
      </c>
      <c r="I77" s="28">
        <f t="shared" si="61"/>
        <v>1614.0942086346431</v>
      </c>
      <c r="J77" s="28">
        <f t="shared" si="61"/>
        <v>1499.6033734904495</v>
      </c>
      <c r="K77" s="28">
        <f t="shared" si="61"/>
        <v>1270.1483708829664</v>
      </c>
      <c r="L77" s="28">
        <f t="shared" si="61"/>
        <v>1375.1102317895993</v>
      </c>
      <c r="M77" s="28">
        <f t="shared" si="61"/>
        <v>1110.1935727189207</v>
      </c>
      <c r="N77" s="28">
        <f t="shared" si="61"/>
        <v>1069.0460437923041</v>
      </c>
      <c r="O77" s="28">
        <f t="shared" si="61"/>
        <v>1099.5735708980742</v>
      </c>
      <c r="P77" s="28">
        <f t="shared" si="61"/>
        <v>1070.8272996430794</v>
      </c>
      <c r="Q77" s="28">
        <f t="shared" si="61"/>
        <v>1129.1527650303549</v>
      </c>
      <c r="R77" s="28">
        <f t="shared" ref="R77:V77" si="62">R78+R81+R82+R86+R92</f>
        <v>1079.1118308874577</v>
      </c>
      <c r="S77" s="28">
        <f t="shared" si="62"/>
        <v>1153.4197905563194</v>
      </c>
      <c r="T77" s="28">
        <f t="shared" si="62"/>
        <v>1156.6451564340296</v>
      </c>
      <c r="U77" s="28">
        <f t="shared" si="62"/>
        <v>1072.0766030015116</v>
      </c>
      <c r="V77" s="28">
        <f t="shared" si="62"/>
        <v>1013.3979351631102</v>
      </c>
      <c r="W77" s="28">
        <f t="shared" ref="W77" si="63">W78+W81+W82+W86+W92</f>
        <v>1098.5058107187804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542.90214002595417</v>
      </c>
      <c r="C78" s="137">
        <f t="shared" si="64"/>
        <v>804.85176237144606</v>
      </c>
      <c r="D78" s="137">
        <f t="shared" si="64"/>
        <v>863.45148935068846</v>
      </c>
      <c r="E78" s="137">
        <f t="shared" si="64"/>
        <v>905.04466195578857</v>
      </c>
      <c r="F78" s="137">
        <f t="shared" si="64"/>
        <v>965.80038717718526</v>
      </c>
      <c r="G78" s="137">
        <f t="shared" si="64"/>
        <v>1054.5585139116624</v>
      </c>
      <c r="H78" s="137">
        <f t="shared" si="64"/>
        <v>1176.0793822923424</v>
      </c>
      <c r="I78" s="137">
        <f t="shared" si="64"/>
        <v>1400.0910162068333</v>
      </c>
      <c r="J78" s="137">
        <f t="shared" si="64"/>
        <v>1279.7502961626426</v>
      </c>
      <c r="K78" s="137">
        <f t="shared" si="64"/>
        <v>1052.8758427684184</v>
      </c>
      <c r="L78" s="137">
        <f t="shared" si="64"/>
        <v>1171.1914891466361</v>
      </c>
      <c r="M78" s="137">
        <f t="shared" si="64"/>
        <v>880.6057802978338</v>
      </c>
      <c r="N78" s="137">
        <f t="shared" si="64"/>
        <v>818.19227962644459</v>
      </c>
      <c r="O78" s="137">
        <f t="shared" si="64"/>
        <v>855.79403395039458</v>
      </c>
      <c r="P78" s="137">
        <f t="shared" si="64"/>
        <v>853.76627547778162</v>
      </c>
      <c r="Q78" s="137">
        <f t="shared" si="64"/>
        <v>920.06304981902815</v>
      </c>
      <c r="R78" s="137">
        <f t="shared" ref="R78:V78" si="65">R79+R80</f>
        <v>898.07577127191689</v>
      </c>
      <c r="S78" s="137">
        <f t="shared" si="65"/>
        <v>981.05654902610377</v>
      </c>
      <c r="T78" s="137">
        <f t="shared" si="65"/>
        <v>977.39207859766066</v>
      </c>
      <c r="U78" s="137">
        <f t="shared" si="65"/>
        <v>932.38261759972295</v>
      </c>
      <c r="V78" s="137">
        <f t="shared" si="65"/>
        <v>923.68612198622941</v>
      </c>
      <c r="W78" s="137">
        <f t="shared" ref="W78" si="66">W79+W80</f>
        <v>1011.2029536861512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110.77356318915298</v>
      </c>
      <c r="C79" s="102">
        <f>TrRoad_emi!C$34</f>
        <v>132.89743804855348</v>
      </c>
      <c r="D79" s="102">
        <f>TrRoad_emi!D$34</f>
        <v>162.72090250103909</v>
      </c>
      <c r="E79" s="102">
        <f>TrRoad_emi!E$34</f>
        <v>146.72230878177083</v>
      </c>
      <c r="F79" s="102">
        <f>TrRoad_emi!F$34</f>
        <v>190.46671770414656</v>
      </c>
      <c r="G79" s="102">
        <f>TrRoad_emi!G$34</f>
        <v>177.94714582288793</v>
      </c>
      <c r="H79" s="102">
        <f>TrRoad_emi!H$34</f>
        <v>197.39247993791841</v>
      </c>
      <c r="I79" s="102">
        <f>TrRoad_emi!I$34</f>
        <v>222.15091243677051</v>
      </c>
      <c r="J79" s="102">
        <f>TrRoad_emi!J$34</f>
        <v>221.44086416037069</v>
      </c>
      <c r="K79" s="102">
        <f>TrRoad_emi!K$34</f>
        <v>202.12910936977613</v>
      </c>
      <c r="L79" s="102">
        <f>TrRoad_emi!L$34</f>
        <v>182.59581472297904</v>
      </c>
      <c r="M79" s="102">
        <f>TrRoad_emi!M$34</f>
        <v>175.51269100658681</v>
      </c>
      <c r="N79" s="102">
        <f>TrRoad_emi!N$34</f>
        <v>189.96776965476377</v>
      </c>
      <c r="O79" s="102">
        <f>TrRoad_emi!O$34</f>
        <v>217.52082923855102</v>
      </c>
      <c r="P79" s="102">
        <f>TrRoad_emi!P$34</f>
        <v>233.29069956239104</v>
      </c>
      <c r="Q79" s="102">
        <f>TrRoad_emi!Q$34</f>
        <v>244.3631851572915</v>
      </c>
      <c r="R79" s="102">
        <f>TrRoad_emi!R$34</f>
        <v>243.18115290579078</v>
      </c>
      <c r="S79" s="102">
        <f>TrRoad_emi!S$34</f>
        <v>253.18335622876651</v>
      </c>
      <c r="T79" s="102">
        <f>TrRoad_emi!T$34</f>
        <v>247.18682623982815</v>
      </c>
      <c r="U79" s="102">
        <f>TrRoad_emi!U$34</f>
        <v>250.639860095073</v>
      </c>
      <c r="V79" s="102">
        <f>TrRoad_emi!V$34</f>
        <v>253.46350954518996</v>
      </c>
      <c r="W79" s="102">
        <f>TrRoad_emi!W$34</f>
        <v>262.79443006117327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432.12857683680124</v>
      </c>
      <c r="C80" s="102">
        <f>TrRoad_emi!C$40</f>
        <v>671.9543243228926</v>
      </c>
      <c r="D80" s="102">
        <f>TrRoad_emi!D$40</f>
        <v>700.7305868496494</v>
      </c>
      <c r="E80" s="102">
        <f>TrRoad_emi!E$40</f>
        <v>758.32235317401774</v>
      </c>
      <c r="F80" s="102">
        <f>TrRoad_emi!F$40</f>
        <v>775.33366947303875</v>
      </c>
      <c r="G80" s="102">
        <f>TrRoad_emi!G$40</f>
        <v>876.61136808877438</v>
      </c>
      <c r="H80" s="102">
        <f>TrRoad_emi!H$40</f>
        <v>978.68690235442409</v>
      </c>
      <c r="I80" s="102">
        <f>TrRoad_emi!I$40</f>
        <v>1177.9401037700627</v>
      </c>
      <c r="J80" s="102">
        <f>TrRoad_emi!J$40</f>
        <v>1058.3094320022719</v>
      </c>
      <c r="K80" s="102">
        <f>TrRoad_emi!K$40</f>
        <v>850.74673339864216</v>
      </c>
      <c r="L80" s="102">
        <f>TrRoad_emi!L$40</f>
        <v>988.5956744236571</v>
      </c>
      <c r="M80" s="102">
        <f>TrRoad_emi!M$40</f>
        <v>705.093089291247</v>
      </c>
      <c r="N80" s="102">
        <f>TrRoad_emi!N$40</f>
        <v>628.22450997168085</v>
      </c>
      <c r="O80" s="102">
        <f>TrRoad_emi!O$40</f>
        <v>638.27320471184362</v>
      </c>
      <c r="P80" s="102">
        <f>TrRoad_emi!P$40</f>
        <v>620.47557591539055</v>
      </c>
      <c r="Q80" s="102">
        <f>TrRoad_emi!Q$40</f>
        <v>675.69986466173668</v>
      </c>
      <c r="R80" s="102">
        <f>TrRoad_emi!R$40</f>
        <v>654.89461836612611</v>
      </c>
      <c r="S80" s="102">
        <f>TrRoad_emi!S$40</f>
        <v>727.87319279733731</v>
      </c>
      <c r="T80" s="102">
        <f>TrRoad_emi!T$40</f>
        <v>730.20525235783248</v>
      </c>
      <c r="U80" s="102">
        <f>TrRoad_emi!U$40</f>
        <v>681.74275750464994</v>
      </c>
      <c r="V80" s="102">
        <f>TrRoad_emi!V$40</f>
        <v>670.22261244103947</v>
      </c>
      <c r="W80" s="102">
        <f>TrRoad_emi!W$40</f>
        <v>748.40852362497799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166.32912650084842</v>
      </c>
      <c r="C81" s="110">
        <f>TrRail_emi!C$15</f>
        <v>175.24029177749253</v>
      </c>
      <c r="D81" s="110">
        <f>TrRail_emi!D$15</f>
        <v>182.56995871929476</v>
      </c>
      <c r="E81" s="110">
        <f>TrRail_emi!E$15</f>
        <v>214.09488059149422</v>
      </c>
      <c r="F81" s="110">
        <f>TrRail_emi!F$15</f>
        <v>220.65208118750812</v>
      </c>
      <c r="G81" s="110">
        <f>TrRail_emi!G$15</f>
        <v>220.80105093322859</v>
      </c>
      <c r="H81" s="110">
        <f>TrRail_emi!H$15</f>
        <v>190.87339729758426</v>
      </c>
      <c r="I81" s="110">
        <f>TrRail_emi!I$15</f>
        <v>209.7293167526156</v>
      </c>
      <c r="J81" s="110">
        <f>TrRail_emi!J$15</f>
        <v>211.91081701682674</v>
      </c>
      <c r="K81" s="110">
        <f>TrRail_emi!K$15</f>
        <v>201.6637567575309</v>
      </c>
      <c r="L81" s="110">
        <f>TrRail_emi!L$15</f>
        <v>184.40459214992384</v>
      </c>
      <c r="M81" s="110">
        <f>TrRail_emi!M$15</f>
        <v>210.26433743661408</v>
      </c>
      <c r="N81" s="110">
        <f>TrRail_emi!N$15</f>
        <v>227.21797834423896</v>
      </c>
      <c r="O81" s="110">
        <f>TrRail_emi!O$15</f>
        <v>202.43842323966302</v>
      </c>
      <c r="P81" s="110">
        <f>TrRail_emi!P$15</f>
        <v>196.02859634654737</v>
      </c>
      <c r="Q81" s="110">
        <f>TrRail_emi!Q$15</f>
        <v>195.51626432162075</v>
      </c>
      <c r="R81" s="110">
        <f>TrRail_emi!R$15</f>
        <v>164.52328121968691</v>
      </c>
      <c r="S81" s="110">
        <f>TrRail_emi!S$15</f>
        <v>153.58783876933248</v>
      </c>
      <c r="T81" s="110">
        <f>TrRail_emi!T$15</f>
        <v>157.7453627483747</v>
      </c>
      <c r="U81" s="110">
        <f>TrRail_emi!U$15</f>
        <v>128.31409014084113</v>
      </c>
      <c r="V81" s="110">
        <f>TrRail_emi!V$15</f>
        <v>74.174841236388758</v>
      </c>
      <c r="W81" s="110">
        <f>TrRail_emi!W$15</f>
        <v>70.499668757403185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0.73562449116940198</v>
      </c>
      <c r="C82" s="110">
        <f t="shared" si="67"/>
        <v>0.69194397441346056</v>
      </c>
      <c r="D82" s="110">
        <f t="shared" si="67"/>
        <v>0.79181241601419561</v>
      </c>
      <c r="E82" s="110">
        <f t="shared" si="67"/>
        <v>0.71318153483670343</v>
      </c>
      <c r="F82" s="110">
        <f t="shared" si="67"/>
        <v>0.82213026236023734</v>
      </c>
      <c r="G82" s="110">
        <f t="shared" si="67"/>
        <v>1.0804886717999262</v>
      </c>
      <c r="H82" s="110">
        <f t="shared" si="67"/>
        <v>1.1093285721385284</v>
      </c>
      <c r="I82" s="110">
        <f t="shared" si="67"/>
        <v>1.1253073951940826</v>
      </c>
      <c r="J82" s="110">
        <f t="shared" si="67"/>
        <v>1.6451237509801828</v>
      </c>
      <c r="K82" s="110">
        <f t="shared" si="67"/>
        <v>3.0147649970171058</v>
      </c>
      <c r="L82" s="110">
        <f t="shared" si="67"/>
        <v>3.7715758530394856</v>
      </c>
      <c r="M82" s="110">
        <f t="shared" si="67"/>
        <v>3.5808803444728703</v>
      </c>
      <c r="N82" s="110">
        <f t="shared" si="67"/>
        <v>11.041779461620424</v>
      </c>
      <c r="O82" s="110">
        <f t="shared" si="67"/>
        <v>16.153100988016501</v>
      </c>
      <c r="P82" s="110">
        <f t="shared" si="67"/>
        <v>8.4384214587503816</v>
      </c>
      <c r="Q82" s="110">
        <f t="shared" si="67"/>
        <v>4.1280128097059121</v>
      </c>
      <c r="R82" s="110">
        <f t="shared" si="67"/>
        <v>3.9187720358538609</v>
      </c>
      <c r="S82" s="110">
        <f t="shared" si="67"/>
        <v>4.5189254008833419</v>
      </c>
      <c r="T82" s="110">
        <f t="shared" si="67"/>
        <v>4.5918122479943335</v>
      </c>
      <c r="U82" s="110">
        <f t="shared" si="67"/>
        <v>6.0299856609474087</v>
      </c>
      <c r="V82" s="110">
        <f t="shared" si="67"/>
        <v>8.2148538204920598</v>
      </c>
      <c r="W82" s="110">
        <f t="shared" ref="W82" si="68">W83+W84+W85</f>
        <v>8.9147170752259974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0.64997261015812291</v>
      </c>
      <c r="C84" s="102">
        <f>TrAvia_emi!C$12</f>
        <v>0.59408720535357351</v>
      </c>
      <c r="D84" s="102">
        <f>TrAvia_emi!D$12</f>
        <v>0.68191076362453784</v>
      </c>
      <c r="E84" s="102">
        <f>TrAvia_emi!E$12</f>
        <v>0.60298777164194906</v>
      </c>
      <c r="F84" s="102">
        <f>TrAvia_emi!F$12</f>
        <v>0.6997968290508737</v>
      </c>
      <c r="G84" s="102">
        <f>TrAvia_emi!G$12</f>
        <v>0.94873338508661109</v>
      </c>
      <c r="H84" s="102">
        <f>TrAvia_emi!H$12</f>
        <v>0.96407242607886712</v>
      </c>
      <c r="I84" s="102">
        <f>TrAvia_emi!I$12</f>
        <v>0.90510709945627466</v>
      </c>
      <c r="J84" s="102">
        <f>TrAvia_emi!J$12</f>
        <v>1.2625938302718365</v>
      </c>
      <c r="K84" s="102">
        <f>TrAvia_emi!K$12</f>
        <v>2.481758268905248</v>
      </c>
      <c r="L84" s="102">
        <f>TrAvia_emi!L$12</f>
        <v>2.9159391766352174</v>
      </c>
      <c r="M84" s="102">
        <f>TrAvia_emi!M$12</f>
        <v>2.667513299878145</v>
      </c>
      <c r="N84" s="102">
        <f>TrAvia_emi!N$12</f>
        <v>3.0264852251124394</v>
      </c>
      <c r="O84" s="102">
        <f>TrAvia_emi!O$12</f>
        <v>3.5380401971802589</v>
      </c>
      <c r="P84" s="102">
        <f>TrAvia_emi!P$12</f>
        <v>3.1521468264432131</v>
      </c>
      <c r="Q84" s="102">
        <f>TrAvia_emi!Q$12</f>
        <v>2.6610181466355081</v>
      </c>
      <c r="R84" s="102">
        <f>TrAvia_emi!R$12</f>
        <v>2.841142648876676</v>
      </c>
      <c r="S84" s="102">
        <f>TrAvia_emi!S$12</f>
        <v>3.4831213115662676</v>
      </c>
      <c r="T84" s="102">
        <f>TrAvia_emi!T$12</f>
        <v>3.7470302646669951</v>
      </c>
      <c r="U84" s="102">
        <f>TrAvia_emi!U$12</f>
        <v>4.0561038023304326</v>
      </c>
      <c r="V84" s="102">
        <f>TrAvia_emi!V$12</f>
        <v>3.145860593991233</v>
      </c>
      <c r="W84" s="102">
        <f>TrAvia_emi!W$12</f>
        <v>5.2535523270008326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8.5651881011279074E-2</v>
      </c>
      <c r="C85" s="102">
        <f>TrAvia_emi!C$13</f>
        <v>9.785676905988705E-2</v>
      </c>
      <c r="D85" s="102">
        <f>TrAvia_emi!D$13</f>
        <v>0.10990165238965778</v>
      </c>
      <c r="E85" s="102">
        <f>TrAvia_emi!E$13</f>
        <v>0.11019376319475437</v>
      </c>
      <c r="F85" s="102">
        <f>TrAvia_emi!F$13</f>
        <v>0.12233343330936365</v>
      </c>
      <c r="G85" s="102">
        <f>TrAvia_emi!G$13</f>
        <v>0.13175528671331521</v>
      </c>
      <c r="H85" s="102">
        <f>TrAvia_emi!H$13</f>
        <v>0.14525614605966125</v>
      </c>
      <c r="I85" s="102">
        <f>TrAvia_emi!I$13</f>
        <v>0.22020029573780808</v>
      </c>
      <c r="J85" s="102">
        <f>TrAvia_emi!J$13</f>
        <v>0.38252992070834646</v>
      </c>
      <c r="K85" s="102">
        <f>TrAvia_emi!K$13</f>
        <v>0.53300672811185801</v>
      </c>
      <c r="L85" s="102">
        <f>TrAvia_emi!L$13</f>
        <v>0.85563667640426833</v>
      </c>
      <c r="M85" s="102">
        <f>TrAvia_emi!M$13</f>
        <v>0.91336704459472551</v>
      </c>
      <c r="N85" s="102">
        <f>TrAvia_emi!N$13</f>
        <v>8.0152942365079838</v>
      </c>
      <c r="O85" s="102">
        <f>TrAvia_emi!O$13</f>
        <v>12.615060790836241</v>
      </c>
      <c r="P85" s="102">
        <f>TrAvia_emi!P$13</f>
        <v>5.286274632307169</v>
      </c>
      <c r="Q85" s="102">
        <f>TrAvia_emi!Q$13</f>
        <v>1.466994663070404</v>
      </c>
      <c r="R85" s="102">
        <f>TrAvia_emi!R$13</f>
        <v>1.0776293869771847</v>
      </c>
      <c r="S85" s="102">
        <f>TrAvia_emi!S$13</f>
        <v>1.0358040893170746</v>
      </c>
      <c r="T85" s="102">
        <f>TrAvia_emi!T$13</f>
        <v>0.84478198332733856</v>
      </c>
      <c r="U85" s="102">
        <f>TrAvia_emi!U$13</f>
        <v>1.9738818586169757</v>
      </c>
      <c r="V85" s="102">
        <f>TrAvia_emi!V$13</f>
        <v>5.068993226500826</v>
      </c>
      <c r="W85" s="102">
        <f>TrAvia_emi!W$13</f>
        <v>3.6611647482251648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0</v>
      </c>
      <c r="C86" s="110">
        <f t="shared" si="69"/>
        <v>0</v>
      </c>
      <c r="D86" s="110">
        <f t="shared" si="69"/>
        <v>0</v>
      </c>
      <c r="E86" s="110">
        <f t="shared" si="69"/>
        <v>0</v>
      </c>
      <c r="F86" s="110">
        <f t="shared" si="69"/>
        <v>0</v>
      </c>
      <c r="G86" s="110">
        <f t="shared" si="69"/>
        <v>0</v>
      </c>
      <c r="H86" s="110">
        <f t="shared" si="69"/>
        <v>0</v>
      </c>
      <c r="I86" s="110">
        <f t="shared" si="69"/>
        <v>3.1485682799999988</v>
      </c>
      <c r="J86" s="110">
        <f t="shared" si="69"/>
        <v>6.2971365600000002</v>
      </c>
      <c r="K86" s="110">
        <f t="shared" si="69"/>
        <v>12.594006359999996</v>
      </c>
      <c r="L86" s="110">
        <f t="shared" si="69"/>
        <v>15.742574640000004</v>
      </c>
      <c r="M86" s="110">
        <f t="shared" si="69"/>
        <v>15.742574640000004</v>
      </c>
      <c r="N86" s="110">
        <f t="shared" si="69"/>
        <v>12.594006359999996</v>
      </c>
      <c r="O86" s="110">
        <f t="shared" si="69"/>
        <v>25.18801272</v>
      </c>
      <c r="P86" s="110">
        <f t="shared" si="69"/>
        <v>12.594006359999996</v>
      </c>
      <c r="Q86" s="110">
        <f t="shared" si="69"/>
        <v>9.4454380799999988</v>
      </c>
      <c r="R86" s="110">
        <f t="shared" ref="R86:V86" si="70">R87+R88</f>
        <v>12.594006359999996</v>
      </c>
      <c r="S86" s="110">
        <f t="shared" si="70"/>
        <v>14.256477360000002</v>
      </c>
      <c r="T86" s="110">
        <f t="shared" si="70"/>
        <v>16.915902840000001</v>
      </c>
      <c r="U86" s="110">
        <f t="shared" si="70"/>
        <v>5.3499096000000002</v>
      </c>
      <c r="V86" s="110">
        <f t="shared" si="70"/>
        <v>7.3221181199999998</v>
      </c>
      <c r="W86" s="110">
        <f t="shared" ref="W86" si="71">W87+W88</f>
        <v>7.8884712000000015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3.1485682799999988</v>
      </c>
      <c r="J87" s="102">
        <f>TrNavi_emi!J$4</f>
        <v>6.2971365600000002</v>
      </c>
      <c r="K87" s="102">
        <f>TrNavi_emi!K$4</f>
        <v>12.594006359999996</v>
      </c>
      <c r="L87" s="102">
        <f>TrNavi_emi!L$4</f>
        <v>15.742574640000004</v>
      </c>
      <c r="M87" s="102">
        <f>TrNavi_emi!M$4</f>
        <v>15.742574640000004</v>
      </c>
      <c r="N87" s="102">
        <f>TrNavi_emi!N$4</f>
        <v>12.594006359999996</v>
      </c>
      <c r="O87" s="102">
        <f>TrNavi_emi!O$4</f>
        <v>25.18801272</v>
      </c>
      <c r="P87" s="102">
        <f>TrNavi_emi!P$4</f>
        <v>12.594006359999996</v>
      </c>
      <c r="Q87" s="102">
        <f>TrNavi_emi!Q$4</f>
        <v>9.4454380799999988</v>
      </c>
      <c r="R87" s="102">
        <f>TrNavi_emi!R$4</f>
        <v>12.594006359999996</v>
      </c>
      <c r="S87" s="102">
        <f>TrNavi_emi!S$4</f>
        <v>14.256477360000002</v>
      </c>
      <c r="T87" s="102">
        <f>TrNavi_emi!T$4</f>
        <v>16.915902840000001</v>
      </c>
      <c r="U87" s="102">
        <f>TrNavi_emi!U$4</f>
        <v>5.3499096000000002</v>
      </c>
      <c r="V87" s="102">
        <f>TrNavi_emi!V$4</f>
        <v>7.3221181199999998</v>
      </c>
      <c r="W87" s="102">
        <f>TrNavi_emi!W$4</f>
        <v>7.8884712000000015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25.188012719999996</v>
      </c>
      <c r="C89" s="28">
        <f t="shared" si="72"/>
        <v>619.66751543999987</v>
      </c>
      <c r="D89" s="28">
        <f t="shared" si="72"/>
        <v>654.14344824</v>
      </c>
      <c r="E89" s="28">
        <f t="shared" si="72"/>
        <v>597.50669627999991</v>
      </c>
      <c r="F89" s="28">
        <f t="shared" si="72"/>
        <v>644.65525512000011</v>
      </c>
      <c r="G89" s="28">
        <f t="shared" si="72"/>
        <v>830.15027711999983</v>
      </c>
      <c r="H89" s="28">
        <f t="shared" si="72"/>
        <v>628.88260356000001</v>
      </c>
      <c r="I89" s="28">
        <f t="shared" si="72"/>
        <v>569.1397715999999</v>
      </c>
      <c r="J89" s="28">
        <f t="shared" si="72"/>
        <v>660.18541212000002</v>
      </c>
      <c r="K89" s="28">
        <f t="shared" si="72"/>
        <v>877.11097427999971</v>
      </c>
      <c r="L89" s="28">
        <f t="shared" si="72"/>
        <v>804.88336608000031</v>
      </c>
      <c r="M89" s="28">
        <f t="shared" si="72"/>
        <v>685.5069441600001</v>
      </c>
      <c r="N89" s="28">
        <f t="shared" si="72"/>
        <v>767.28342096000017</v>
      </c>
      <c r="O89" s="28">
        <f t="shared" si="72"/>
        <v>767.24094456000023</v>
      </c>
      <c r="P89" s="28">
        <f t="shared" si="72"/>
        <v>742.0347208799999</v>
      </c>
      <c r="Q89" s="28">
        <f t="shared" si="72"/>
        <v>808.35359400000016</v>
      </c>
      <c r="R89" s="28">
        <f t="shared" si="72"/>
        <v>997.14891456000009</v>
      </c>
      <c r="S89" s="28">
        <f t="shared" si="72"/>
        <v>824.14472327999988</v>
      </c>
      <c r="T89" s="28">
        <f t="shared" si="72"/>
        <v>119.01523644000002</v>
      </c>
      <c r="U89" s="28">
        <f t="shared" si="72"/>
        <v>913.41402407999999</v>
      </c>
      <c r="V89" s="28">
        <f t="shared" si="72"/>
        <v>642.80252700000005</v>
      </c>
      <c r="W89" s="28">
        <f t="shared" si="72"/>
        <v>644.69232503999979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11.031105093696679</v>
      </c>
      <c r="C90" s="102">
        <f>MBunk_emi!C$4</f>
        <v>265.44472359114468</v>
      </c>
      <c r="D90" s="102">
        <f>MBunk_emi!D$4</f>
        <v>280.39702943951505</v>
      </c>
      <c r="E90" s="102">
        <f>MBunk_emi!E$4</f>
        <v>256.43328612698792</v>
      </c>
      <c r="F90" s="102">
        <f>MBunk_emi!F$4</f>
        <v>276.95888639622899</v>
      </c>
      <c r="G90" s="102">
        <f>MBunk_emi!G$4</f>
        <v>334.65583289772366</v>
      </c>
      <c r="H90" s="102">
        <f>MBunk_emi!H$4</f>
        <v>248.69475545957533</v>
      </c>
      <c r="I90" s="102">
        <f>MBunk_emi!I$4</f>
        <v>233.15012391125333</v>
      </c>
      <c r="J90" s="102">
        <f>MBunk_emi!J$4</f>
        <v>273.03028518900976</v>
      </c>
      <c r="K90" s="102">
        <f>MBunk_emi!K$4</f>
        <v>375.73045201557994</v>
      </c>
      <c r="L90" s="102">
        <f>MBunk_emi!L$4</f>
        <v>369.14775397522516</v>
      </c>
      <c r="M90" s="102">
        <f>MBunk_emi!M$4</f>
        <v>293.18763633678128</v>
      </c>
      <c r="N90" s="102">
        <f>MBunk_emi!N$4</f>
        <v>349.31887581340345</v>
      </c>
      <c r="O90" s="102">
        <f>MBunk_emi!O$4</f>
        <v>360.15196789081403</v>
      </c>
      <c r="P90" s="102">
        <f>MBunk_emi!P$4</f>
        <v>342.00486747855638</v>
      </c>
      <c r="Q90" s="102">
        <f>MBunk_emi!Q$4</f>
        <v>386.40813497530252</v>
      </c>
      <c r="R90" s="102">
        <f>MBunk_emi!R$4</f>
        <v>477.5293037017878</v>
      </c>
      <c r="S90" s="102">
        <f>MBunk_emi!S$4</f>
        <v>383.6415470943079</v>
      </c>
      <c r="T90" s="102">
        <f>MBunk_emi!T$4</f>
        <v>53.270488909197127</v>
      </c>
      <c r="U90" s="102">
        <f>MBunk_emi!U$4</f>
        <v>375.44708679827937</v>
      </c>
      <c r="V90" s="102">
        <f>MBunk_emi!V$4</f>
        <v>234.05537663966072</v>
      </c>
      <c r="W90" s="102">
        <f>MBunk_emi!W$4</f>
        <v>217.71050487619473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14.156907626303317</v>
      </c>
      <c r="C91" s="86">
        <f>MBunk_emi!C$5</f>
        <v>354.22279184885519</v>
      </c>
      <c r="D91" s="86">
        <f>MBunk_emi!D$5</f>
        <v>373.746418800485</v>
      </c>
      <c r="E91" s="86">
        <f>MBunk_emi!E$5</f>
        <v>341.07341015301199</v>
      </c>
      <c r="F91" s="86">
        <f>MBunk_emi!F$5</f>
        <v>367.69636872377112</v>
      </c>
      <c r="G91" s="86">
        <f>MBunk_emi!G$5</f>
        <v>495.49444422227612</v>
      </c>
      <c r="H91" s="86">
        <f>MBunk_emi!H$5</f>
        <v>380.18784810042473</v>
      </c>
      <c r="I91" s="86">
        <f>MBunk_emi!I$5</f>
        <v>335.98964768874657</v>
      </c>
      <c r="J91" s="86">
        <f>MBunk_emi!J$5</f>
        <v>387.15512693099026</v>
      </c>
      <c r="K91" s="86">
        <f>MBunk_emi!K$5</f>
        <v>501.38052226441982</v>
      </c>
      <c r="L91" s="86">
        <f>MBunk_emi!L$5</f>
        <v>435.7356121047751</v>
      </c>
      <c r="M91" s="86">
        <f>MBunk_emi!M$5</f>
        <v>392.31930782321888</v>
      </c>
      <c r="N91" s="86">
        <f>MBunk_emi!N$5</f>
        <v>417.96454514659672</v>
      </c>
      <c r="O91" s="86">
        <f>MBunk_emi!O$5</f>
        <v>407.0889766691862</v>
      </c>
      <c r="P91" s="86">
        <f>MBunk_emi!P$5</f>
        <v>400.02985340144346</v>
      </c>
      <c r="Q91" s="86">
        <f>MBunk_emi!Q$5</f>
        <v>421.9454590246977</v>
      </c>
      <c r="R91" s="86">
        <f>MBunk_emi!R$5</f>
        <v>519.61961085821235</v>
      </c>
      <c r="S91" s="86">
        <f>MBunk_emi!S$5</f>
        <v>440.50317618569198</v>
      </c>
      <c r="T91" s="86">
        <f>MBunk_emi!T$5</f>
        <v>65.744747530802897</v>
      </c>
      <c r="U91" s="86">
        <f>MBunk_emi!U$5</f>
        <v>537.96693728172067</v>
      </c>
      <c r="V91" s="86">
        <f>MBunk_emi!V$5</f>
        <v>408.74715036033933</v>
      </c>
      <c r="W91" s="86">
        <f>MBunk_emi!W$5</f>
        <v>426.98182016380508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0.90399661553818611</v>
      </c>
      <c r="C97" s="139">
        <f t="shared" si="76"/>
        <v>0.90683236287355806</v>
      </c>
      <c r="D97" s="139">
        <f t="shared" si="76"/>
        <v>0.90604097188597132</v>
      </c>
      <c r="E97" s="139">
        <f t="shared" si="76"/>
        <v>0.89649620174094979</v>
      </c>
      <c r="F97" s="139">
        <f t="shared" si="76"/>
        <v>0.87529301383034996</v>
      </c>
      <c r="G97" s="139">
        <f t="shared" si="76"/>
        <v>0.83434077871867318</v>
      </c>
      <c r="H97" s="139">
        <f t="shared" si="76"/>
        <v>0.82801515476919429</v>
      </c>
      <c r="I97" s="139">
        <f t="shared" si="76"/>
        <v>0.82300587304024531</v>
      </c>
      <c r="J97" s="139">
        <f t="shared" si="76"/>
        <v>0.79917170671523652</v>
      </c>
      <c r="K97" s="139">
        <f t="shared" si="76"/>
        <v>0.79565001234808252</v>
      </c>
      <c r="L97" s="139">
        <f t="shared" si="76"/>
        <v>0.76869629616991619</v>
      </c>
      <c r="M97" s="139">
        <f t="shared" si="76"/>
        <v>0.75665717702630764</v>
      </c>
      <c r="N97" s="139">
        <f t="shared" si="76"/>
        <v>0.7775859096763531</v>
      </c>
      <c r="O97" s="139">
        <f t="shared" si="76"/>
        <v>0.7763590406998141</v>
      </c>
      <c r="P97" s="139">
        <f t="shared" si="76"/>
        <v>0.791564093228879</v>
      </c>
      <c r="Q97" s="139">
        <f t="shared" si="76"/>
        <v>0.79831326680796233</v>
      </c>
      <c r="R97" s="139">
        <f t="shared" ref="R97:V97" si="77">IF(R5=0,0,R5/R$4)</f>
        <v>0.79708437614005168</v>
      </c>
      <c r="S97" s="139">
        <f t="shared" si="77"/>
        <v>0.78998405485737477</v>
      </c>
      <c r="T97" s="139">
        <f t="shared" si="77"/>
        <v>0.77034286016155717</v>
      </c>
      <c r="U97" s="139">
        <f t="shared" si="77"/>
        <v>0.75925847689956016</v>
      </c>
      <c r="V97" s="139">
        <f t="shared" si="77"/>
        <v>0.89842114383961169</v>
      </c>
      <c r="W97" s="139">
        <f t="shared" ref="W97" si="78">IF(W5=0,0,W5/W$4)</f>
        <v>0.87796452997534724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4.2351199903894457E-3</v>
      </c>
      <c r="C98" s="140">
        <f t="shared" si="79"/>
        <v>4.1408949053656462E-3</v>
      </c>
      <c r="D98" s="140">
        <f t="shared" si="79"/>
        <v>3.9785147905546988E-3</v>
      </c>
      <c r="E98" s="140">
        <f t="shared" si="79"/>
        <v>3.7603518855688282E-3</v>
      </c>
      <c r="F98" s="140">
        <f t="shared" si="79"/>
        <v>4.0077472220850698E-3</v>
      </c>
      <c r="G98" s="140">
        <f t="shared" si="79"/>
        <v>3.5797068291234589E-3</v>
      </c>
      <c r="H98" s="140">
        <f t="shared" si="79"/>
        <v>3.1220510665426913E-3</v>
      </c>
      <c r="I98" s="140">
        <f t="shared" si="79"/>
        <v>2.7041999444729799E-3</v>
      </c>
      <c r="J98" s="140">
        <f t="shared" si="79"/>
        <v>2.8032600045633364E-3</v>
      </c>
      <c r="K98" s="140">
        <f t="shared" si="79"/>
        <v>3.0552363458908501E-3</v>
      </c>
      <c r="L98" s="140">
        <f t="shared" si="79"/>
        <v>3.0116477222071314E-3</v>
      </c>
      <c r="M98" s="140">
        <f t="shared" si="79"/>
        <v>3.1506586183430662E-3</v>
      </c>
      <c r="N98" s="140">
        <f t="shared" si="79"/>
        <v>2.8782772344711871E-3</v>
      </c>
      <c r="O98" s="140">
        <f t="shared" si="79"/>
        <v>2.986328265563359E-3</v>
      </c>
      <c r="P98" s="140">
        <f t="shared" si="79"/>
        <v>3.5027457492977187E-3</v>
      </c>
      <c r="Q98" s="140">
        <f t="shared" si="79"/>
        <v>4.3012452189984196E-3</v>
      </c>
      <c r="R98" s="140">
        <f t="shared" ref="R98:V98" si="80">IF(R6=0,0,R6/R$4)</f>
        <v>4.2582731570729232E-3</v>
      </c>
      <c r="S98" s="140">
        <f t="shared" si="80"/>
        <v>3.7923399554692415E-3</v>
      </c>
      <c r="T98" s="140">
        <f t="shared" si="80"/>
        <v>3.5002512161890738E-3</v>
      </c>
      <c r="U98" s="140">
        <f t="shared" si="80"/>
        <v>3.6435181539703518E-3</v>
      </c>
      <c r="V98" s="140">
        <f t="shared" si="80"/>
        <v>4.2967067000383424E-3</v>
      </c>
      <c r="W98" s="140">
        <f t="shared" ref="W98" si="81">IF(W6=0,0,W6/W$4)</f>
        <v>4.9080948049028839E-3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0.74720228183128701</v>
      </c>
      <c r="C99" s="140">
        <f t="shared" si="82"/>
        <v>0.75723856103588327</v>
      </c>
      <c r="D99" s="140">
        <f t="shared" si="82"/>
        <v>0.75874979568620604</v>
      </c>
      <c r="E99" s="140">
        <f t="shared" si="82"/>
        <v>0.74633865261221555</v>
      </c>
      <c r="F99" s="140">
        <f t="shared" si="82"/>
        <v>0.7079354295268363</v>
      </c>
      <c r="G99" s="140">
        <f t="shared" si="82"/>
        <v>0.67067240274556106</v>
      </c>
      <c r="H99" s="140">
        <f t="shared" si="82"/>
        <v>0.6883896852704644</v>
      </c>
      <c r="I99" s="140">
        <f t="shared" si="82"/>
        <v>0.70370287174611634</v>
      </c>
      <c r="J99" s="140">
        <f t="shared" si="82"/>
        <v>0.67683838437305044</v>
      </c>
      <c r="K99" s="140">
        <f t="shared" si="82"/>
        <v>0.67819011038496013</v>
      </c>
      <c r="L99" s="140">
        <f t="shared" si="82"/>
        <v>0.6446796507821515</v>
      </c>
      <c r="M99" s="140">
        <f t="shared" si="82"/>
        <v>0.62144207073722069</v>
      </c>
      <c r="N99" s="140">
        <f t="shared" si="82"/>
        <v>0.62553088748424168</v>
      </c>
      <c r="O99" s="140">
        <f t="shared" si="82"/>
        <v>0.62728840819278697</v>
      </c>
      <c r="P99" s="140">
        <f t="shared" si="82"/>
        <v>0.64835855945783005</v>
      </c>
      <c r="Q99" s="140">
        <f t="shared" si="82"/>
        <v>0.66417462653308856</v>
      </c>
      <c r="R99" s="140">
        <f t="shared" ref="R99:V99" si="83">IF(R7=0,0,R7/R$4)</f>
        <v>0.66869744399712516</v>
      </c>
      <c r="S99" s="140">
        <f t="shared" si="83"/>
        <v>0.67257894950341512</v>
      </c>
      <c r="T99" s="140">
        <f t="shared" si="83"/>
        <v>0.656639435692426</v>
      </c>
      <c r="U99" s="140">
        <f t="shared" si="83"/>
        <v>0.64819090700858073</v>
      </c>
      <c r="V99" s="140">
        <f t="shared" si="83"/>
        <v>0.80364746243604823</v>
      </c>
      <c r="W99" s="140">
        <f t="shared" ref="W99" si="84">IF(W7=0,0,W7/W$4)</f>
        <v>0.79188999464864407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0.15255921371650974</v>
      </c>
      <c r="C100" s="140">
        <f t="shared" si="85"/>
        <v>0.14545290693230928</v>
      </c>
      <c r="D100" s="140">
        <f t="shared" si="85"/>
        <v>0.14331266140921059</v>
      </c>
      <c r="E100" s="140">
        <f t="shared" si="85"/>
        <v>0.14639719724316536</v>
      </c>
      <c r="F100" s="140">
        <f t="shared" si="85"/>
        <v>0.16334983708142864</v>
      </c>
      <c r="G100" s="140">
        <f t="shared" si="85"/>
        <v>0.16008866914398856</v>
      </c>
      <c r="H100" s="140">
        <f t="shared" si="85"/>
        <v>0.13650341843218713</v>
      </c>
      <c r="I100" s="140">
        <f t="shared" si="85"/>
        <v>0.11659880134965604</v>
      </c>
      <c r="J100" s="140">
        <f t="shared" si="85"/>
        <v>0.11953006233762273</v>
      </c>
      <c r="K100" s="140">
        <f t="shared" si="85"/>
        <v>0.11440466561723166</v>
      </c>
      <c r="L100" s="140">
        <f t="shared" si="85"/>
        <v>0.12100499766555763</v>
      </c>
      <c r="M100" s="140">
        <f t="shared" si="85"/>
        <v>0.13206444767074391</v>
      </c>
      <c r="N100" s="140">
        <f t="shared" si="85"/>
        <v>0.14917674495764024</v>
      </c>
      <c r="O100" s="140">
        <f t="shared" si="85"/>
        <v>0.14608430424146371</v>
      </c>
      <c r="P100" s="140">
        <f t="shared" si="85"/>
        <v>0.13970278802175123</v>
      </c>
      <c r="Q100" s="140">
        <f t="shared" si="85"/>
        <v>0.12983739505587541</v>
      </c>
      <c r="R100" s="140">
        <f t="shared" ref="R100:V100" si="86">IF(R8=0,0,R8/R$4)</f>
        <v>0.12412865898585369</v>
      </c>
      <c r="S100" s="140">
        <f t="shared" si="86"/>
        <v>0.11361276539849051</v>
      </c>
      <c r="T100" s="140">
        <f t="shared" si="86"/>
        <v>0.11020317325294225</v>
      </c>
      <c r="U100" s="140">
        <f t="shared" si="86"/>
        <v>0.10742405173700917</v>
      </c>
      <c r="V100" s="140">
        <f t="shared" si="86"/>
        <v>9.0476974703525059E-2</v>
      </c>
      <c r="W100" s="140">
        <f t="shared" ref="W100" si="87">IF(W8=0,0,W8/W$4)</f>
        <v>8.116644052180029E-2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6.3785085223806479E-2</v>
      </c>
      <c r="C101" s="124">
        <f t="shared" si="88"/>
        <v>6.100187641278236E-2</v>
      </c>
      <c r="D101" s="124">
        <f t="shared" si="88"/>
        <v>6.1222003514328598E-2</v>
      </c>
      <c r="E101" s="124">
        <f t="shared" si="88"/>
        <v>5.8317754101806812E-2</v>
      </c>
      <c r="F101" s="124">
        <f t="shared" si="88"/>
        <v>6.5813680122788779E-2</v>
      </c>
      <c r="G101" s="124">
        <f t="shared" si="88"/>
        <v>6.4328954321885692E-2</v>
      </c>
      <c r="H101" s="124">
        <f t="shared" si="88"/>
        <v>6.2128696166275678E-2</v>
      </c>
      <c r="I101" s="124">
        <f t="shared" si="88"/>
        <v>5.5327101427109858E-2</v>
      </c>
      <c r="J101" s="124">
        <f t="shared" si="88"/>
        <v>5.695367650437462E-2</v>
      </c>
      <c r="K101" s="124">
        <f t="shared" si="88"/>
        <v>4.9061076855919691E-2</v>
      </c>
      <c r="L101" s="124">
        <f t="shared" si="88"/>
        <v>5.7884581103102246E-2</v>
      </c>
      <c r="M101" s="124">
        <f t="shared" si="88"/>
        <v>6.0701353705140203E-2</v>
      </c>
      <c r="N101" s="124">
        <f t="shared" si="88"/>
        <v>5.8026129095315626E-2</v>
      </c>
      <c r="O101" s="124">
        <f t="shared" si="88"/>
        <v>5.87014582732154E-2</v>
      </c>
      <c r="P101" s="124">
        <f t="shared" si="88"/>
        <v>5.2826191900700502E-2</v>
      </c>
      <c r="Q101" s="124">
        <f t="shared" si="88"/>
        <v>4.6379816472913359E-2</v>
      </c>
      <c r="R101" s="124">
        <f t="shared" ref="R101:V101" si="89">IF(R9=0,0,R9/R$4)</f>
        <v>4.4341788038396591E-2</v>
      </c>
      <c r="S101" s="124">
        <f t="shared" si="89"/>
        <v>4.2104169691109139E-2</v>
      </c>
      <c r="T101" s="124">
        <f t="shared" si="89"/>
        <v>4.2188868536291689E-2</v>
      </c>
      <c r="U101" s="124">
        <f t="shared" si="89"/>
        <v>4.0950234197478681E-2</v>
      </c>
      <c r="V101" s="124">
        <f t="shared" si="89"/>
        <v>3.3434922046741179E-2</v>
      </c>
      <c r="W101" s="124">
        <f t="shared" ref="W101" si="90">IF(W9=0,0,W9/W$4)</f>
        <v>2.4726088008264816E-2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1.7328595527339504E-2</v>
      </c>
      <c r="C102" s="140">
        <f t="shared" si="91"/>
        <v>1.6451007738504567E-2</v>
      </c>
      <c r="D102" s="140">
        <f t="shared" si="91"/>
        <v>1.6061215675085613E-2</v>
      </c>
      <c r="E102" s="140">
        <f t="shared" si="91"/>
        <v>1.4570826925613869E-2</v>
      </c>
      <c r="F102" s="140">
        <f t="shared" si="91"/>
        <v>1.6224238055884271E-2</v>
      </c>
      <c r="G102" s="140">
        <f t="shared" si="91"/>
        <v>1.510071950036862E-2</v>
      </c>
      <c r="H102" s="140">
        <f t="shared" si="91"/>
        <v>1.3714174377017939E-2</v>
      </c>
      <c r="I102" s="140">
        <f t="shared" si="91"/>
        <v>1.2330190944540027E-2</v>
      </c>
      <c r="J102" s="140">
        <f t="shared" si="91"/>
        <v>1.2266434287567718E-2</v>
      </c>
      <c r="K102" s="140">
        <f t="shared" si="91"/>
        <v>9.1288837240068189E-3</v>
      </c>
      <c r="L102" s="140">
        <f t="shared" si="91"/>
        <v>1.9085488385586796E-2</v>
      </c>
      <c r="M102" s="140">
        <f t="shared" si="91"/>
        <v>2.0567340378997889E-2</v>
      </c>
      <c r="N102" s="140">
        <f t="shared" si="91"/>
        <v>1.9120365187768669E-2</v>
      </c>
      <c r="O102" s="140">
        <f t="shared" si="91"/>
        <v>2.0155517428532756E-2</v>
      </c>
      <c r="P102" s="140">
        <f t="shared" si="91"/>
        <v>1.9755581540102155E-2</v>
      </c>
      <c r="Q102" s="140">
        <f t="shared" si="91"/>
        <v>1.7444233227855377E-2</v>
      </c>
      <c r="R102" s="140">
        <f t="shared" ref="R102:V102" si="92">IF(R10=0,0,R10/R$4)</f>
        <v>1.6244448174932036E-2</v>
      </c>
      <c r="S102" s="140">
        <f t="shared" si="92"/>
        <v>1.5341113615262201E-2</v>
      </c>
      <c r="T102" s="140">
        <f t="shared" si="92"/>
        <v>1.5331041591347157E-2</v>
      </c>
      <c r="U102" s="140">
        <f t="shared" si="92"/>
        <v>1.4060766248671105E-2</v>
      </c>
      <c r="V102" s="140">
        <f t="shared" si="92"/>
        <v>1.0969347254126587E-2</v>
      </c>
      <c r="W102" s="140">
        <f t="shared" ref="W102" si="93">IF(W10=0,0,W10/W$4)</f>
        <v>3.4487043553929112E-3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4.6456489696466978E-2</v>
      </c>
      <c r="C103" s="140">
        <f t="shared" si="94"/>
        <v>4.4550868674277794E-2</v>
      </c>
      <c r="D103" s="140">
        <f t="shared" si="94"/>
        <v>4.5160787839242982E-2</v>
      </c>
      <c r="E103" s="140">
        <f t="shared" si="94"/>
        <v>4.374692717619294E-2</v>
      </c>
      <c r="F103" s="140">
        <f t="shared" si="94"/>
        <v>4.9589442066904514E-2</v>
      </c>
      <c r="G103" s="140">
        <f t="shared" si="94"/>
        <v>4.9228234821517065E-2</v>
      </c>
      <c r="H103" s="140">
        <f t="shared" si="94"/>
        <v>4.8414521789257745E-2</v>
      </c>
      <c r="I103" s="140">
        <f t="shared" si="94"/>
        <v>4.2996910482569838E-2</v>
      </c>
      <c r="J103" s="140">
        <f t="shared" si="94"/>
        <v>4.4687242216806908E-2</v>
      </c>
      <c r="K103" s="140">
        <f t="shared" si="94"/>
        <v>3.9932193131912867E-2</v>
      </c>
      <c r="L103" s="140">
        <f t="shared" si="94"/>
        <v>3.879909271751545E-2</v>
      </c>
      <c r="M103" s="140">
        <f t="shared" si="94"/>
        <v>4.0134013326142325E-2</v>
      </c>
      <c r="N103" s="140">
        <f t="shared" si="94"/>
        <v>3.8905763907546957E-2</v>
      </c>
      <c r="O103" s="140">
        <f t="shared" si="94"/>
        <v>3.8545940844682644E-2</v>
      </c>
      <c r="P103" s="140">
        <f t="shared" si="94"/>
        <v>3.3070610360598343E-2</v>
      </c>
      <c r="Q103" s="140">
        <f t="shared" si="94"/>
        <v>2.8935583245057982E-2</v>
      </c>
      <c r="R103" s="140">
        <f t="shared" ref="R103:V103" si="95">IF(R11=0,0,R11/R$4)</f>
        <v>2.8097339863464556E-2</v>
      </c>
      <c r="S103" s="140">
        <f t="shared" si="95"/>
        <v>2.6763056075846937E-2</v>
      </c>
      <c r="T103" s="140">
        <f t="shared" si="95"/>
        <v>2.685782694494453E-2</v>
      </c>
      <c r="U103" s="140">
        <f t="shared" si="95"/>
        <v>2.6889467948807578E-2</v>
      </c>
      <c r="V103" s="140">
        <f t="shared" si="95"/>
        <v>2.2465574792614591E-2</v>
      </c>
      <c r="W103" s="140">
        <f t="shared" ref="W103" si="96">IF(W11=0,0,W11/W$4)</f>
        <v>2.1277383652871906E-2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3.2218299238007377E-2</v>
      </c>
      <c r="C105" s="124">
        <f t="shared" si="100"/>
        <v>3.2165760713659529E-2</v>
      </c>
      <c r="D105" s="124">
        <f t="shared" si="100"/>
        <v>3.2737024599700112E-2</v>
      </c>
      <c r="E105" s="124">
        <f t="shared" si="100"/>
        <v>4.5186044157243394E-2</v>
      </c>
      <c r="F105" s="124">
        <f t="shared" si="100"/>
        <v>5.8893306046861243E-2</v>
      </c>
      <c r="G105" s="124">
        <f t="shared" si="100"/>
        <v>0.10133026695944101</v>
      </c>
      <c r="H105" s="124">
        <f t="shared" si="100"/>
        <v>0.10985614906452998</v>
      </c>
      <c r="I105" s="124">
        <f t="shared" si="100"/>
        <v>0.1216670255326449</v>
      </c>
      <c r="J105" s="124">
        <f t="shared" si="100"/>
        <v>0.14387461678038888</v>
      </c>
      <c r="K105" s="124">
        <f t="shared" si="100"/>
        <v>0.15528891079599769</v>
      </c>
      <c r="L105" s="124">
        <f t="shared" si="100"/>
        <v>0.17341912272698143</v>
      </c>
      <c r="M105" s="124">
        <f t="shared" si="100"/>
        <v>0.18264146926855224</v>
      </c>
      <c r="N105" s="124">
        <f t="shared" si="100"/>
        <v>0.16438796122833124</v>
      </c>
      <c r="O105" s="124">
        <f t="shared" si="100"/>
        <v>0.16493950102697058</v>
      </c>
      <c r="P105" s="124">
        <f t="shared" si="100"/>
        <v>0.15560971487042061</v>
      </c>
      <c r="Q105" s="124">
        <f t="shared" si="100"/>
        <v>0.15530691671912419</v>
      </c>
      <c r="R105" s="124">
        <f t="shared" ref="R105:V105" si="101">IF(R13=0,0,R13/R$4)</f>
        <v>0.1585738358215518</v>
      </c>
      <c r="S105" s="124">
        <f t="shared" si="101"/>
        <v>0.16791177545151603</v>
      </c>
      <c r="T105" s="124">
        <f t="shared" si="101"/>
        <v>0.18746827130215113</v>
      </c>
      <c r="U105" s="124">
        <f t="shared" si="101"/>
        <v>0.19979128890296116</v>
      </c>
      <c r="V105" s="124">
        <f t="shared" si="101"/>
        <v>6.8143934113647164E-2</v>
      </c>
      <c r="W105" s="124">
        <f t="shared" ref="W105" si="102">IF(W13=0,0,W13/W$4)</f>
        <v>9.7309382016387766E-2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2.3053367062817257E-2</v>
      </c>
      <c r="C107" s="140">
        <f t="shared" si="106"/>
        <v>2.3046825611868819E-2</v>
      </c>
      <c r="D107" s="140">
        <f t="shared" si="106"/>
        <v>2.3397424182229939E-2</v>
      </c>
      <c r="E107" s="140">
        <f t="shared" si="106"/>
        <v>3.2090939175627643E-2</v>
      </c>
      <c r="F107" s="140">
        <f t="shared" si="106"/>
        <v>4.1578764817154647E-2</v>
      </c>
      <c r="G107" s="140">
        <f t="shared" si="106"/>
        <v>7.1906607299967201E-2</v>
      </c>
      <c r="H107" s="140">
        <f t="shared" si="106"/>
        <v>7.8171381517565433E-2</v>
      </c>
      <c r="I107" s="140">
        <f t="shared" si="106"/>
        <v>8.0658481081479314E-2</v>
      </c>
      <c r="J107" s="140">
        <f t="shared" si="106"/>
        <v>9.2262966893735213E-2</v>
      </c>
      <c r="K107" s="140">
        <f t="shared" si="106"/>
        <v>0.10667670309337506</v>
      </c>
      <c r="L107" s="140">
        <f t="shared" si="106"/>
        <v>0.12084049190532861</v>
      </c>
      <c r="M107" s="140">
        <f t="shared" si="106"/>
        <v>0.13007548430292759</v>
      </c>
      <c r="N107" s="140">
        <f t="shared" si="106"/>
        <v>0.11655893141315274</v>
      </c>
      <c r="O107" s="140">
        <f t="shared" si="106"/>
        <v>0.11515575395426619</v>
      </c>
      <c r="P107" s="140">
        <f t="shared" si="106"/>
        <v>0.11498898236974758</v>
      </c>
      <c r="Q107" s="140">
        <f t="shared" si="106"/>
        <v>0.11881281523344839</v>
      </c>
      <c r="R107" s="140">
        <f t="shared" ref="R107:V107" si="107">IF(R15=0,0,R15/R$4)</f>
        <v>0.12075283721123541</v>
      </c>
      <c r="S107" s="140">
        <f t="shared" si="107"/>
        <v>0.12633621524012575</v>
      </c>
      <c r="T107" s="140">
        <f t="shared" si="107"/>
        <v>0.13885687655906115</v>
      </c>
      <c r="U107" s="140">
        <f t="shared" si="107"/>
        <v>0.14422637703238925</v>
      </c>
      <c r="V107" s="140">
        <f t="shared" si="107"/>
        <v>5.4906945473793295E-2</v>
      </c>
      <c r="W107" s="140">
        <f t="shared" ref="W107" si="108">IF(W15=0,0,W15/W$4)</f>
        <v>7.4061860942579702E-2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9.16493217519012E-3</v>
      </c>
      <c r="C108" s="140">
        <f t="shared" si="109"/>
        <v>9.118935101790706E-3</v>
      </c>
      <c r="D108" s="140">
        <f t="shared" si="109"/>
        <v>9.339600417470173E-3</v>
      </c>
      <c r="E108" s="140">
        <f t="shared" si="109"/>
        <v>1.3095104981615747E-2</v>
      </c>
      <c r="F108" s="140">
        <f t="shared" si="109"/>
        <v>1.73145412297066E-2</v>
      </c>
      <c r="G108" s="140">
        <f t="shared" si="109"/>
        <v>2.9423659659473821E-2</v>
      </c>
      <c r="H108" s="140">
        <f t="shared" si="109"/>
        <v>3.168476754696456E-2</v>
      </c>
      <c r="I108" s="140">
        <f t="shared" si="109"/>
        <v>4.1008544451165592E-2</v>
      </c>
      <c r="J108" s="140">
        <f t="shared" si="109"/>
        <v>5.1611649886653642E-2</v>
      </c>
      <c r="K108" s="140">
        <f t="shared" si="109"/>
        <v>4.861220770262261E-2</v>
      </c>
      <c r="L108" s="140">
        <f t="shared" si="109"/>
        <v>5.2578630821652809E-2</v>
      </c>
      <c r="M108" s="140">
        <f t="shared" si="109"/>
        <v>5.2565984965624667E-2</v>
      </c>
      <c r="N108" s="140">
        <f t="shared" si="109"/>
        <v>4.782902981517851E-2</v>
      </c>
      <c r="O108" s="140">
        <f t="shared" si="109"/>
        <v>4.9783747072704394E-2</v>
      </c>
      <c r="P108" s="140">
        <f t="shared" si="109"/>
        <v>4.0620732500673003E-2</v>
      </c>
      <c r="Q108" s="140">
        <f t="shared" si="109"/>
        <v>3.6494101485675827E-2</v>
      </c>
      <c r="R108" s="140">
        <f t="shared" ref="R108:V108" si="110">IF(R16=0,0,R16/R$4)</f>
        <v>3.7820998610316382E-2</v>
      </c>
      <c r="S108" s="140">
        <f t="shared" si="110"/>
        <v>4.1575560211390264E-2</v>
      </c>
      <c r="T108" s="140">
        <f t="shared" si="110"/>
        <v>4.8611394743089981E-2</v>
      </c>
      <c r="U108" s="140">
        <f t="shared" si="110"/>
        <v>5.5564911870571894E-2</v>
      </c>
      <c r="V108" s="140">
        <f t="shared" si="110"/>
        <v>1.3236988639853876E-2</v>
      </c>
      <c r="W108" s="140">
        <f t="shared" ref="W108" si="111">IF(W16=0,0,W16/W$4)</f>
        <v>2.3247521073808064E-2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0.145778754172247</v>
      </c>
      <c r="C110" s="139">
        <f t="shared" si="115"/>
        <v>0.14961815685478602</v>
      </c>
      <c r="D110" s="139">
        <f t="shared" si="115"/>
        <v>0.16111839077076837</v>
      </c>
      <c r="E110" s="139">
        <f t="shared" si="115"/>
        <v>0.15481852912833061</v>
      </c>
      <c r="F110" s="139">
        <f t="shared" si="115"/>
        <v>0.15693895669450145</v>
      </c>
      <c r="G110" s="139">
        <f t="shared" si="115"/>
        <v>0.16282391855002068</v>
      </c>
      <c r="H110" s="139">
        <f t="shared" si="115"/>
        <v>0.19476864868266849</v>
      </c>
      <c r="I110" s="139">
        <f t="shared" si="115"/>
        <v>0.19868401609778483</v>
      </c>
      <c r="J110" s="139">
        <f t="shared" si="115"/>
        <v>0.17040787227796622</v>
      </c>
      <c r="K110" s="139">
        <f t="shared" si="115"/>
        <v>0.15138499469374345</v>
      </c>
      <c r="L110" s="139">
        <f t="shared" si="115"/>
        <v>0.18312656648775902</v>
      </c>
      <c r="M110" s="139">
        <f t="shared" si="115"/>
        <v>0.16143899973266782</v>
      </c>
      <c r="N110" s="139">
        <f t="shared" si="115"/>
        <v>0.16202956165719293</v>
      </c>
      <c r="O110" s="139">
        <f t="shared" si="115"/>
        <v>0.19187459437462528</v>
      </c>
      <c r="P110" s="139">
        <f t="shared" si="115"/>
        <v>0.19260551705706572</v>
      </c>
      <c r="Q110" s="139">
        <f t="shared" si="115"/>
        <v>0.20797422743946686</v>
      </c>
      <c r="R110" s="139">
        <f t="shared" ref="R110:V110" si="116">IF(R18=0,0,R18/R$17)</f>
        <v>0.24023810579800534</v>
      </c>
      <c r="S110" s="139">
        <f t="shared" si="116"/>
        <v>0.2661648253399036</v>
      </c>
      <c r="T110" s="139">
        <f t="shared" si="116"/>
        <v>0.24725432666487787</v>
      </c>
      <c r="U110" s="139">
        <f t="shared" si="116"/>
        <v>0.27012736833659445</v>
      </c>
      <c r="V110" s="139">
        <f t="shared" si="116"/>
        <v>0.44223075439259102</v>
      </c>
      <c r="W110" s="139">
        <f t="shared" ref="W110" si="117">IF(W18=0,0,W18/W$17)</f>
        <v>0.47251816173467265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4.1504632035059769E-3</v>
      </c>
      <c r="C111" s="140">
        <f t="shared" si="118"/>
        <v>4.5367916196313003E-3</v>
      </c>
      <c r="D111" s="140">
        <f t="shared" si="118"/>
        <v>5.4709951528004019E-3</v>
      </c>
      <c r="E111" s="140">
        <f t="shared" si="118"/>
        <v>4.2733871761156715E-3</v>
      </c>
      <c r="F111" s="140">
        <f t="shared" si="118"/>
        <v>5.3770461540301132E-3</v>
      </c>
      <c r="G111" s="140">
        <f t="shared" si="118"/>
        <v>4.7308668778378218E-3</v>
      </c>
      <c r="H111" s="140">
        <f t="shared" si="118"/>
        <v>5.9307902306416855E-3</v>
      </c>
      <c r="I111" s="140">
        <f t="shared" si="118"/>
        <v>5.9758683299417897E-3</v>
      </c>
      <c r="J111" s="140">
        <f t="shared" si="118"/>
        <v>5.9202796008065812E-3</v>
      </c>
      <c r="K111" s="140">
        <f t="shared" si="118"/>
        <v>6.0673549225239466E-3</v>
      </c>
      <c r="L111" s="140">
        <f t="shared" si="118"/>
        <v>5.4613833751130086E-3</v>
      </c>
      <c r="M111" s="140">
        <f t="shared" si="118"/>
        <v>4.6844752938771982E-3</v>
      </c>
      <c r="N111" s="140">
        <f t="shared" si="118"/>
        <v>4.9907364666806585E-3</v>
      </c>
      <c r="O111" s="140">
        <f t="shared" si="118"/>
        <v>6.2519871007655969E-3</v>
      </c>
      <c r="P111" s="140">
        <f t="shared" si="118"/>
        <v>6.9495820296149443E-3</v>
      </c>
      <c r="Q111" s="140">
        <f t="shared" si="118"/>
        <v>7.4333916563749727E-3</v>
      </c>
      <c r="R111" s="140">
        <f t="shared" ref="R111:V111" si="119">IF(R19=0,0,R19/R$17)</f>
        <v>8.5021555594363123E-3</v>
      </c>
      <c r="S111" s="140">
        <f t="shared" si="119"/>
        <v>9.0663877997801158E-3</v>
      </c>
      <c r="T111" s="140">
        <f t="shared" si="119"/>
        <v>8.0052696088765991E-3</v>
      </c>
      <c r="U111" s="140">
        <f t="shared" si="119"/>
        <v>9.5143801925045759E-3</v>
      </c>
      <c r="V111" s="140">
        <f t="shared" si="119"/>
        <v>1.4129751583450144E-2</v>
      </c>
      <c r="W111" s="140">
        <f t="shared" ref="W111" si="120">IF(W19=0,0,W19/W$17)</f>
        <v>1.4951677748176909E-2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0.14162829096874102</v>
      </c>
      <c r="C112" s="140">
        <f t="shared" si="121"/>
        <v>0.14508136523515475</v>
      </c>
      <c r="D112" s="140">
        <f t="shared" si="121"/>
        <v>0.15564739561796795</v>
      </c>
      <c r="E112" s="140">
        <f t="shared" si="121"/>
        <v>0.15054514195221494</v>
      </c>
      <c r="F112" s="140">
        <f t="shared" si="121"/>
        <v>0.15156191054047133</v>
      </c>
      <c r="G112" s="140">
        <f t="shared" si="121"/>
        <v>0.15809305167218285</v>
      </c>
      <c r="H112" s="140">
        <f t="shared" si="121"/>
        <v>0.1888378584520268</v>
      </c>
      <c r="I112" s="140">
        <f t="shared" si="121"/>
        <v>0.19270814776784304</v>
      </c>
      <c r="J112" s="140">
        <f t="shared" si="121"/>
        <v>0.16448759267715965</v>
      </c>
      <c r="K112" s="140">
        <f t="shared" si="121"/>
        <v>0.1453176397712195</v>
      </c>
      <c r="L112" s="140">
        <f t="shared" si="121"/>
        <v>0.17766518311264598</v>
      </c>
      <c r="M112" s="140">
        <f t="shared" si="121"/>
        <v>0.15675452443879059</v>
      </c>
      <c r="N112" s="140">
        <f t="shared" si="121"/>
        <v>0.15703882519051227</v>
      </c>
      <c r="O112" s="140">
        <f t="shared" si="121"/>
        <v>0.18562260727385968</v>
      </c>
      <c r="P112" s="140">
        <f t="shared" si="121"/>
        <v>0.18565593502745076</v>
      </c>
      <c r="Q112" s="140">
        <f t="shared" si="121"/>
        <v>0.2005408357830919</v>
      </c>
      <c r="R112" s="140">
        <f t="shared" ref="R112:V112" si="122">IF(R20=0,0,R20/R$17)</f>
        <v>0.23173595023856902</v>
      </c>
      <c r="S112" s="140">
        <f t="shared" si="122"/>
        <v>0.25709843754012351</v>
      </c>
      <c r="T112" s="140">
        <f t="shared" si="122"/>
        <v>0.23924905705600127</v>
      </c>
      <c r="U112" s="140">
        <f t="shared" si="122"/>
        <v>0.26061298814408984</v>
      </c>
      <c r="V112" s="140">
        <f t="shared" si="122"/>
        <v>0.42810100280914082</v>
      </c>
      <c r="W112" s="140">
        <f t="shared" ref="W112" si="123">IF(W20=0,0,W20/W$17)</f>
        <v>0.45756648398649574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0.85404012212191138</v>
      </c>
      <c r="C113" s="124">
        <f t="shared" si="124"/>
        <v>0.85019366234490101</v>
      </c>
      <c r="D113" s="124">
        <f t="shared" si="124"/>
        <v>0.83869419718328386</v>
      </c>
      <c r="E113" s="124">
        <f t="shared" si="124"/>
        <v>0.84503810174953831</v>
      </c>
      <c r="F113" s="124">
        <f t="shared" si="124"/>
        <v>0.84291351344922028</v>
      </c>
      <c r="G113" s="124">
        <f t="shared" si="124"/>
        <v>0.83696641911351954</v>
      </c>
      <c r="H113" s="124">
        <f t="shared" si="124"/>
        <v>0.80496064828662439</v>
      </c>
      <c r="I113" s="124">
        <f t="shared" si="124"/>
        <v>0.80072999283782798</v>
      </c>
      <c r="J113" s="124">
        <f t="shared" si="124"/>
        <v>0.82887458087352128</v>
      </c>
      <c r="K113" s="124">
        <f t="shared" si="124"/>
        <v>0.84746791122657272</v>
      </c>
      <c r="L113" s="124">
        <f t="shared" si="124"/>
        <v>0.8155510788081316</v>
      </c>
      <c r="M113" s="124">
        <f t="shared" si="124"/>
        <v>0.83742173897405936</v>
      </c>
      <c r="N113" s="124">
        <f t="shared" si="124"/>
        <v>0.83298824937841087</v>
      </c>
      <c r="O113" s="124">
        <f t="shared" si="124"/>
        <v>0.79940269438553058</v>
      </c>
      <c r="P113" s="124">
        <f t="shared" si="124"/>
        <v>0.80278393168280282</v>
      </c>
      <c r="Q113" s="124">
        <f t="shared" si="124"/>
        <v>0.79033103440899521</v>
      </c>
      <c r="R113" s="124">
        <f t="shared" ref="R113:V113" si="125">IF(R21=0,0,R21/R$17)</f>
        <v>0.75767664155553449</v>
      </c>
      <c r="S113" s="124">
        <f t="shared" si="125"/>
        <v>0.73153061867308944</v>
      </c>
      <c r="T113" s="124">
        <f t="shared" si="125"/>
        <v>0.75131860558521657</v>
      </c>
      <c r="U113" s="124">
        <f t="shared" si="125"/>
        <v>0.72726615922260973</v>
      </c>
      <c r="V113" s="124">
        <f t="shared" si="125"/>
        <v>0.55550787142854685</v>
      </c>
      <c r="W113" s="124">
        <f t="shared" ref="W113" si="126">IF(W21=0,0,W21/W$17)</f>
        <v>0.52530657433824435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1.8112370584162066E-4</v>
      </c>
      <c r="C114" s="124">
        <f t="shared" si="127"/>
        <v>1.8818080031301253E-4</v>
      </c>
      <c r="D114" s="124">
        <f t="shared" si="127"/>
        <v>1.8741204594774715E-4</v>
      </c>
      <c r="E114" s="124">
        <f t="shared" si="127"/>
        <v>1.4336912213102986E-4</v>
      </c>
      <c r="F114" s="124">
        <f t="shared" si="127"/>
        <v>1.4752985627827491E-4</v>
      </c>
      <c r="G114" s="124">
        <f t="shared" si="127"/>
        <v>2.0966233645974803E-4</v>
      </c>
      <c r="H114" s="124">
        <f t="shared" si="127"/>
        <v>2.7070303070701382E-4</v>
      </c>
      <c r="I114" s="124">
        <f t="shared" si="127"/>
        <v>3.0903896617092417E-4</v>
      </c>
      <c r="J114" s="124">
        <f t="shared" si="127"/>
        <v>3.835587762439633E-4</v>
      </c>
      <c r="K114" s="124">
        <f t="shared" si="127"/>
        <v>5.5615210281410974E-4</v>
      </c>
      <c r="L114" s="124">
        <f t="shared" si="127"/>
        <v>9.1351100594912313E-4</v>
      </c>
      <c r="M114" s="124">
        <f t="shared" si="127"/>
        <v>7.3721280869022254E-4</v>
      </c>
      <c r="N114" s="124">
        <f t="shared" si="127"/>
        <v>4.4953934808453864E-3</v>
      </c>
      <c r="O114" s="124">
        <f t="shared" si="127"/>
        <v>7.8040448012726259E-3</v>
      </c>
      <c r="P114" s="124">
        <f t="shared" si="127"/>
        <v>4.2755796406771336E-3</v>
      </c>
      <c r="Q114" s="124">
        <f t="shared" si="127"/>
        <v>1.38815358545553E-3</v>
      </c>
      <c r="R114" s="124">
        <f t="shared" ref="R114:V114" si="128">IF(R22=0,0,R22/R$17)</f>
        <v>1.3744982085618191E-3</v>
      </c>
      <c r="S114" s="124">
        <f t="shared" si="128"/>
        <v>1.422032069594703E-3</v>
      </c>
      <c r="T114" s="124">
        <f t="shared" si="128"/>
        <v>1.1278697028187688E-3</v>
      </c>
      <c r="U114" s="124">
        <f t="shared" si="128"/>
        <v>2.4095357959087321E-3</v>
      </c>
      <c r="V114" s="124">
        <f t="shared" si="128"/>
        <v>2.1221316994966309E-3</v>
      </c>
      <c r="W114" s="124">
        <f t="shared" ref="W114" si="129">IF(W22=0,0,W22/W$17)</f>
        <v>2.0326532105530816E-3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6.9099874931310355E-5</v>
      </c>
      <c r="C116" s="140">
        <f t="shared" si="133"/>
        <v>6.2859080432791926E-5</v>
      </c>
      <c r="D116" s="140">
        <f t="shared" si="133"/>
        <v>6.3407678470170262E-5</v>
      </c>
      <c r="E116" s="140">
        <f t="shared" si="133"/>
        <v>4.8385242942772052E-5</v>
      </c>
      <c r="F116" s="140">
        <f t="shared" si="133"/>
        <v>4.8982927342737756E-5</v>
      </c>
      <c r="G116" s="140">
        <f t="shared" si="133"/>
        <v>6.9220427760688637E-5</v>
      </c>
      <c r="H116" s="140">
        <f t="shared" si="133"/>
        <v>8.2236030416792135E-5</v>
      </c>
      <c r="I116" s="140">
        <f t="shared" si="133"/>
        <v>7.3419602521044894E-5</v>
      </c>
      <c r="J116" s="140">
        <f t="shared" si="133"/>
        <v>8.7295659867440688E-5</v>
      </c>
      <c r="K116" s="140">
        <f t="shared" si="133"/>
        <v>1.7052838343023082E-4</v>
      </c>
      <c r="L116" s="140">
        <f t="shared" si="133"/>
        <v>2.5163568817320337E-4</v>
      </c>
      <c r="M116" s="140">
        <f t="shared" si="133"/>
        <v>1.887401514376294E-4</v>
      </c>
      <c r="N116" s="140">
        <f t="shared" si="133"/>
        <v>1.8805509487231558E-4</v>
      </c>
      <c r="O116" s="140">
        <f t="shared" si="133"/>
        <v>2.3106948811552273E-4</v>
      </c>
      <c r="P116" s="140">
        <f t="shared" si="133"/>
        <v>2.6418886835410547E-4</v>
      </c>
      <c r="Q116" s="140">
        <f t="shared" si="133"/>
        <v>2.4151873752291446E-4</v>
      </c>
      <c r="R116" s="140">
        <f t="shared" si="131"/>
        <v>2.723463751007858E-4</v>
      </c>
      <c r="S116" s="140">
        <f t="shared" si="131"/>
        <v>2.8085495750490217E-4</v>
      </c>
      <c r="T116" s="140">
        <f t="shared" si="131"/>
        <v>2.5073643295619915E-4</v>
      </c>
      <c r="U116" s="140">
        <f t="shared" si="131"/>
        <v>3.7361139998319645E-4</v>
      </c>
      <c r="V116" s="140">
        <f t="shared" si="131"/>
        <v>3.7929831551225903E-4</v>
      </c>
      <c r="W116" s="140">
        <f t="shared" ref="W116" si="134">IF(W24=0,0,W24/W$17)</f>
        <v>6.0587382314654359E-4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1.1202383091031028E-4</v>
      </c>
      <c r="C117" s="140">
        <f t="shared" si="135"/>
        <v>1.2532171988022058E-4</v>
      </c>
      <c r="D117" s="140">
        <f t="shared" si="135"/>
        <v>1.2400436747757689E-4</v>
      </c>
      <c r="E117" s="140">
        <f t="shared" si="135"/>
        <v>9.4983879188257795E-5</v>
      </c>
      <c r="F117" s="140">
        <f t="shared" si="135"/>
        <v>9.854692893553715E-5</v>
      </c>
      <c r="G117" s="140">
        <f t="shared" si="135"/>
        <v>1.4044190869905938E-4</v>
      </c>
      <c r="H117" s="140">
        <f t="shared" si="135"/>
        <v>1.884670002902217E-4</v>
      </c>
      <c r="I117" s="140">
        <f t="shared" si="135"/>
        <v>2.3561936364987926E-4</v>
      </c>
      <c r="J117" s="140">
        <f t="shared" si="135"/>
        <v>2.9626311637652263E-4</v>
      </c>
      <c r="K117" s="140">
        <f t="shared" si="135"/>
        <v>3.8562371938387889E-4</v>
      </c>
      <c r="L117" s="140">
        <f t="shared" si="135"/>
        <v>6.6187531777591986E-4</v>
      </c>
      <c r="M117" s="140">
        <f t="shared" si="135"/>
        <v>5.4847265725259311E-4</v>
      </c>
      <c r="N117" s="140">
        <f t="shared" si="135"/>
        <v>4.3073383859730712E-3</v>
      </c>
      <c r="O117" s="140">
        <f t="shared" si="135"/>
        <v>7.5729753131571036E-3</v>
      </c>
      <c r="P117" s="140">
        <f t="shared" si="135"/>
        <v>4.0113907723230277E-3</v>
      </c>
      <c r="Q117" s="140">
        <f t="shared" si="135"/>
        <v>1.1466348479326155E-3</v>
      </c>
      <c r="R117" s="140">
        <f t="shared" ref="R117:V117" si="136">IF(R25=0,0,R25/R$17)</f>
        <v>1.1021518334610333E-3</v>
      </c>
      <c r="S117" s="140">
        <f t="shared" si="136"/>
        <v>1.1411771120898007E-3</v>
      </c>
      <c r="T117" s="140">
        <f t="shared" si="136"/>
        <v>8.7713326986256957E-4</v>
      </c>
      <c r="U117" s="140">
        <f t="shared" si="136"/>
        <v>2.0359243959255356E-3</v>
      </c>
      <c r="V117" s="140">
        <f t="shared" si="136"/>
        <v>1.7428333839843719E-3</v>
      </c>
      <c r="W117" s="140">
        <f t="shared" ref="W117" si="137">IF(W25=0,0,W25/W$17)</f>
        <v>1.426779387406538E-3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0</v>
      </c>
      <c r="C118" s="124">
        <f t="shared" si="138"/>
        <v>0</v>
      </c>
      <c r="D118" s="124">
        <f t="shared" si="138"/>
        <v>0</v>
      </c>
      <c r="E118" s="124">
        <f t="shared" si="138"/>
        <v>0</v>
      </c>
      <c r="F118" s="124">
        <f t="shared" si="138"/>
        <v>0</v>
      </c>
      <c r="G118" s="124">
        <f t="shared" si="138"/>
        <v>0</v>
      </c>
      <c r="H118" s="124">
        <f t="shared" si="138"/>
        <v>0</v>
      </c>
      <c r="I118" s="124">
        <f t="shared" si="138"/>
        <v>2.7695209821628364E-4</v>
      </c>
      <c r="J118" s="124">
        <f t="shared" si="138"/>
        <v>3.3398807226863196E-4</v>
      </c>
      <c r="K118" s="124">
        <f t="shared" si="138"/>
        <v>5.9094197686971218E-4</v>
      </c>
      <c r="L118" s="124">
        <f t="shared" si="138"/>
        <v>4.0884369816029042E-4</v>
      </c>
      <c r="M118" s="124">
        <f t="shared" si="138"/>
        <v>4.020484845826416E-4</v>
      </c>
      <c r="N118" s="124">
        <f t="shared" si="138"/>
        <v>4.8679548355086259E-4</v>
      </c>
      <c r="O118" s="124">
        <f t="shared" si="138"/>
        <v>9.1866643857145308E-4</v>
      </c>
      <c r="P118" s="124">
        <f t="shared" si="138"/>
        <v>3.3497161945429237E-4</v>
      </c>
      <c r="Q118" s="124">
        <f t="shared" si="138"/>
        <v>3.0658456608249077E-4</v>
      </c>
      <c r="R118" s="124">
        <f t="shared" ref="R118:V118" si="139">IF(R26=0,0,R26/R$17)</f>
        <v>7.1075443789843818E-4</v>
      </c>
      <c r="S118" s="124">
        <f t="shared" si="139"/>
        <v>8.825239174121267E-4</v>
      </c>
      <c r="T118" s="124">
        <f t="shared" si="139"/>
        <v>2.9919804708673835E-4</v>
      </c>
      <c r="U118" s="124">
        <f t="shared" si="139"/>
        <v>1.9693664488703335E-4</v>
      </c>
      <c r="V118" s="124">
        <f t="shared" si="139"/>
        <v>1.3924247936547107E-4</v>
      </c>
      <c r="W118" s="124">
        <f t="shared" ref="W118" si="140">IF(W26=0,0,W26/W$17)</f>
        <v>1.4261071652999711E-4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2.7695209821628364E-4</v>
      </c>
      <c r="J119" s="140">
        <f t="shared" si="141"/>
        <v>3.3398807226863196E-4</v>
      </c>
      <c r="K119" s="140">
        <f t="shared" si="141"/>
        <v>5.9094197686971218E-4</v>
      </c>
      <c r="L119" s="140">
        <f t="shared" si="141"/>
        <v>4.0884369816029042E-4</v>
      </c>
      <c r="M119" s="140">
        <f t="shared" si="141"/>
        <v>4.020484845826416E-4</v>
      </c>
      <c r="N119" s="140">
        <f t="shared" si="141"/>
        <v>4.8679548355086259E-4</v>
      </c>
      <c r="O119" s="140">
        <f t="shared" si="141"/>
        <v>9.1866643857145308E-4</v>
      </c>
      <c r="P119" s="140">
        <f t="shared" si="141"/>
        <v>3.3497161945429237E-4</v>
      </c>
      <c r="Q119" s="140">
        <f t="shared" si="141"/>
        <v>3.0658456608249077E-4</v>
      </c>
      <c r="R119" s="140">
        <f t="shared" ref="R119:V119" si="142">IF(R27=0,0,R27/R$17)</f>
        <v>7.1075443789843818E-4</v>
      </c>
      <c r="S119" s="140">
        <f t="shared" si="142"/>
        <v>8.825239174121267E-4</v>
      </c>
      <c r="T119" s="140">
        <f t="shared" si="142"/>
        <v>2.9919804708673835E-4</v>
      </c>
      <c r="U119" s="140">
        <f t="shared" si="142"/>
        <v>1.9693664488703335E-4</v>
      </c>
      <c r="V119" s="140">
        <f t="shared" si="142"/>
        <v>1.3924247936547107E-4</v>
      </c>
      <c r="W119" s="140">
        <f t="shared" ref="W119" si="143">IF(W27=0,0,W27/W$17)</f>
        <v>1.4261071652999711E-4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0.31954651253470906</v>
      </c>
      <c r="C122" s="140">
        <f>IF(C30=0,0,C30/C$29)</f>
        <v>0.31448731852842077</v>
      </c>
      <c r="D122" s="140">
        <f t="shared" ref="D122:W122" si="150">IF(D30=0,0,D30/D$29)</f>
        <v>0.3145438467070123</v>
      </c>
      <c r="E122" s="140">
        <f t="shared" si="150"/>
        <v>0.31522779690595426</v>
      </c>
      <c r="F122" s="140">
        <f t="shared" si="150"/>
        <v>0.31507933772362651</v>
      </c>
      <c r="G122" s="140">
        <f t="shared" si="150"/>
        <v>0.28314427606617515</v>
      </c>
      <c r="H122" s="140">
        <f t="shared" si="150"/>
        <v>0.29571228572082786</v>
      </c>
      <c r="I122" s="140">
        <f t="shared" si="150"/>
        <v>0.29605272698242907</v>
      </c>
      <c r="J122" s="140">
        <f t="shared" si="150"/>
        <v>0.29051834746185723</v>
      </c>
      <c r="K122" s="140">
        <f t="shared" si="150"/>
        <v>0.30471179977814172</v>
      </c>
      <c r="L122" s="140">
        <f t="shared" si="150"/>
        <v>0.32912825897196796</v>
      </c>
      <c r="M122" s="140">
        <f t="shared" si="150"/>
        <v>0.30051075338858863</v>
      </c>
      <c r="N122" s="140">
        <f t="shared" si="150"/>
        <v>0.36094051230450475</v>
      </c>
      <c r="O122" s="140">
        <f t="shared" si="150"/>
        <v>0.39798697433937807</v>
      </c>
      <c r="P122" s="140">
        <f t="shared" si="150"/>
        <v>0.35655630272610322</v>
      </c>
      <c r="Q122" s="140">
        <f t="shared" si="150"/>
        <v>0.38588500090353983</v>
      </c>
      <c r="R122" s="140">
        <f t="shared" si="150"/>
        <v>0.37144764692758797</v>
      </c>
      <c r="S122" s="140">
        <f t="shared" si="150"/>
        <v>0.32696735970746543</v>
      </c>
      <c r="T122" s="140">
        <f t="shared" si="150"/>
        <v>0.28981721425179735</v>
      </c>
      <c r="U122" s="140">
        <f t="shared" si="150"/>
        <v>0.24183984884622428</v>
      </c>
      <c r="V122" s="140">
        <f t="shared" si="150"/>
        <v>0.23830429964205696</v>
      </c>
      <c r="W122" s="140">
        <f t="shared" si="150"/>
        <v>0.19867225101029196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0.680453487465291</v>
      </c>
      <c r="C123" s="127">
        <f>IF(C31=0,0,C31/C$29)</f>
        <v>0.68551268147157918</v>
      </c>
      <c r="D123" s="127">
        <f t="shared" ref="D123:W123" si="152">IF(D31=0,0,D31/D$29)</f>
        <v>0.6854561532929877</v>
      </c>
      <c r="E123" s="127">
        <f t="shared" si="152"/>
        <v>0.68477220309404574</v>
      </c>
      <c r="F123" s="127">
        <f t="shared" si="152"/>
        <v>0.6849206622763736</v>
      </c>
      <c r="G123" s="127">
        <f t="shared" si="152"/>
        <v>0.71685572393382491</v>
      </c>
      <c r="H123" s="127">
        <f t="shared" si="152"/>
        <v>0.70428771427917214</v>
      </c>
      <c r="I123" s="127">
        <f t="shared" si="152"/>
        <v>0.70394727301757087</v>
      </c>
      <c r="J123" s="127">
        <f t="shared" si="152"/>
        <v>0.70948165253814277</v>
      </c>
      <c r="K123" s="127">
        <f t="shared" si="152"/>
        <v>0.69528820022185833</v>
      </c>
      <c r="L123" s="127">
        <f t="shared" si="152"/>
        <v>0.67087174102803204</v>
      </c>
      <c r="M123" s="127">
        <f t="shared" si="152"/>
        <v>0.69948924661141132</v>
      </c>
      <c r="N123" s="127">
        <f t="shared" si="152"/>
        <v>0.63905948769549525</v>
      </c>
      <c r="O123" s="127">
        <f t="shared" si="152"/>
        <v>0.60201302566062198</v>
      </c>
      <c r="P123" s="127">
        <f t="shared" si="152"/>
        <v>0.64344369727389672</v>
      </c>
      <c r="Q123" s="127">
        <f t="shared" si="152"/>
        <v>0.61411499909646017</v>
      </c>
      <c r="R123" s="127">
        <f t="shared" si="152"/>
        <v>0.62855235307241208</v>
      </c>
      <c r="S123" s="127">
        <f t="shared" si="152"/>
        <v>0.67303264029253451</v>
      </c>
      <c r="T123" s="127">
        <f t="shared" si="152"/>
        <v>0.71018278574820282</v>
      </c>
      <c r="U123" s="127">
        <f t="shared" si="152"/>
        <v>0.75816015115377566</v>
      </c>
      <c r="V123" s="127">
        <f t="shared" si="152"/>
        <v>0.7616957003579431</v>
      </c>
      <c r="W123" s="127">
        <f t="shared" si="152"/>
        <v>0.80132774898970804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0.91717739699455447</v>
      </c>
      <c r="C127" s="139">
        <f t="shared" ref="C127:W127" si="155">IF(C35=0,0,C35/C$34)</f>
        <v>0.92487653040463436</v>
      </c>
      <c r="D127" s="139">
        <f t="shared" si="155"/>
        <v>0.92268796006021725</v>
      </c>
      <c r="E127" s="139">
        <f t="shared" si="155"/>
        <v>0.90588271280980193</v>
      </c>
      <c r="F127" s="139">
        <f t="shared" si="155"/>
        <v>0.89753852200842332</v>
      </c>
      <c r="G127" s="139">
        <f t="shared" si="155"/>
        <v>0.88521931938174947</v>
      </c>
      <c r="H127" s="139">
        <f t="shared" si="155"/>
        <v>0.88897180531066156</v>
      </c>
      <c r="I127" s="139">
        <f t="shared" si="155"/>
        <v>0.88168500089066437</v>
      </c>
      <c r="J127" s="139">
        <f t="shared" si="155"/>
        <v>0.85908314889431014</v>
      </c>
      <c r="K127" s="139">
        <f t="shared" si="155"/>
        <v>0.84348571742722556</v>
      </c>
      <c r="L127" s="139">
        <f t="shared" si="155"/>
        <v>0.82874117417023385</v>
      </c>
      <c r="M127" s="139">
        <f t="shared" si="155"/>
        <v>0.82103821109091735</v>
      </c>
      <c r="N127" s="139">
        <f t="shared" si="155"/>
        <v>0.81844501360120758</v>
      </c>
      <c r="O127" s="139">
        <f t="shared" si="155"/>
        <v>0.81671168529419236</v>
      </c>
      <c r="P127" s="139">
        <f t="shared" si="155"/>
        <v>0.84208808840099925</v>
      </c>
      <c r="Q127" s="139">
        <f t="shared" si="155"/>
        <v>0.85185262967988951</v>
      </c>
      <c r="R127" s="139">
        <f t="shared" si="155"/>
        <v>0.83892063200522982</v>
      </c>
      <c r="S127" s="139">
        <f t="shared" si="155"/>
        <v>0.82646114267854776</v>
      </c>
      <c r="T127" s="139">
        <f t="shared" si="155"/>
        <v>0.81718778413965187</v>
      </c>
      <c r="U127" s="139">
        <f t="shared" si="155"/>
        <v>0.81856873634964866</v>
      </c>
      <c r="V127" s="139">
        <f t="shared" si="155"/>
        <v>0.91781640075964621</v>
      </c>
      <c r="W127" s="139">
        <f t="shared" si="155"/>
        <v>0.89514731220599653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5.6640115629617918E-3</v>
      </c>
      <c r="C128" s="140">
        <f t="shared" ref="C128:W128" si="156">IF(C36=0,0,C36/C$34)</f>
        <v>5.2672621442941695E-3</v>
      </c>
      <c r="D128" s="140">
        <f t="shared" si="156"/>
        <v>5.1923885279896685E-3</v>
      </c>
      <c r="E128" s="140">
        <f t="shared" si="156"/>
        <v>4.8416946487111851E-3</v>
      </c>
      <c r="F128" s="140">
        <f t="shared" si="156"/>
        <v>4.5348462348133679E-3</v>
      </c>
      <c r="G128" s="140">
        <f t="shared" si="156"/>
        <v>4.3035412125669043E-3</v>
      </c>
      <c r="H128" s="140">
        <f t="shared" si="156"/>
        <v>3.7100433380633431E-3</v>
      </c>
      <c r="I128" s="140">
        <f t="shared" si="156"/>
        <v>3.1636120214046074E-3</v>
      </c>
      <c r="J128" s="140">
        <f t="shared" si="156"/>
        <v>3.0409111388565151E-3</v>
      </c>
      <c r="K128" s="140">
        <f t="shared" si="156"/>
        <v>3.167744034448671E-3</v>
      </c>
      <c r="L128" s="140">
        <f t="shared" si="156"/>
        <v>3.0880736786336078E-3</v>
      </c>
      <c r="M128" s="140">
        <f t="shared" si="156"/>
        <v>3.1345257906223432E-3</v>
      </c>
      <c r="N128" s="140">
        <f t="shared" si="156"/>
        <v>2.8930782995689082E-3</v>
      </c>
      <c r="O128" s="140">
        <f t="shared" si="156"/>
        <v>2.9306931458592186E-3</v>
      </c>
      <c r="P128" s="140">
        <f t="shared" si="156"/>
        <v>3.2673104798179942E-3</v>
      </c>
      <c r="Q128" s="140">
        <f t="shared" si="156"/>
        <v>3.8466806718515214E-3</v>
      </c>
      <c r="R128" s="140">
        <f t="shared" si="156"/>
        <v>3.5913111303081538E-3</v>
      </c>
      <c r="S128" s="140">
        <f t="shared" si="156"/>
        <v>3.1714387410302076E-3</v>
      </c>
      <c r="T128" s="140">
        <f t="shared" si="156"/>
        <v>2.8798565760629609E-3</v>
      </c>
      <c r="U128" s="140">
        <f t="shared" si="156"/>
        <v>2.9251221573201227E-3</v>
      </c>
      <c r="V128" s="140">
        <f t="shared" si="156"/>
        <v>3.0721299558874923E-3</v>
      </c>
      <c r="W128" s="140">
        <f t="shared" si="156"/>
        <v>2.8314279817156897E-3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0.75302185755700435</v>
      </c>
      <c r="C129" s="140">
        <f t="shared" ref="C129:W129" si="157">IF(C37=0,0,C37/C$34)</f>
        <v>0.75745949673637369</v>
      </c>
      <c r="D129" s="140">
        <f t="shared" si="157"/>
        <v>0.7597520995809629</v>
      </c>
      <c r="E129" s="140">
        <f t="shared" si="157"/>
        <v>0.74403765872873773</v>
      </c>
      <c r="F129" s="140">
        <f t="shared" si="157"/>
        <v>0.74255220921473941</v>
      </c>
      <c r="G129" s="140">
        <f t="shared" si="157"/>
        <v>0.73616455224789645</v>
      </c>
      <c r="H129" s="140">
        <f t="shared" si="157"/>
        <v>0.75841459246991461</v>
      </c>
      <c r="I129" s="140">
        <f t="shared" si="157"/>
        <v>0.76426099502314349</v>
      </c>
      <c r="J129" s="140">
        <f t="shared" si="157"/>
        <v>0.74704961255889879</v>
      </c>
      <c r="K129" s="140">
        <f t="shared" si="157"/>
        <v>0.72913613426469404</v>
      </c>
      <c r="L129" s="140">
        <f t="shared" si="157"/>
        <v>0.70951253425772498</v>
      </c>
      <c r="M129" s="140">
        <f t="shared" si="157"/>
        <v>0.70859768996688333</v>
      </c>
      <c r="N129" s="140">
        <f t="shared" si="157"/>
        <v>0.70633794859168009</v>
      </c>
      <c r="O129" s="140">
        <f t="shared" si="157"/>
        <v>0.70664435657767422</v>
      </c>
      <c r="P129" s="140">
        <f t="shared" si="157"/>
        <v>0.7410442160435563</v>
      </c>
      <c r="Q129" s="140">
        <f t="shared" si="157"/>
        <v>0.75545433577294563</v>
      </c>
      <c r="R129" s="140">
        <f t="shared" si="157"/>
        <v>0.74659977354465124</v>
      </c>
      <c r="S129" s="140">
        <f t="shared" si="157"/>
        <v>0.73704521829005609</v>
      </c>
      <c r="T129" s="140">
        <f t="shared" si="157"/>
        <v>0.73302266481127187</v>
      </c>
      <c r="U129" s="140">
        <f t="shared" si="157"/>
        <v>0.74052076666990618</v>
      </c>
      <c r="V129" s="140">
        <f t="shared" si="157"/>
        <v>0.84324740521654795</v>
      </c>
      <c r="W129" s="140">
        <f t="shared" si="157"/>
        <v>0.82990146548227495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0.15849152787458823</v>
      </c>
      <c r="C130" s="140">
        <f t="shared" ref="C130:W130" si="158">IF(C38=0,0,C38/C$34)</f>
        <v>0.16214977152396653</v>
      </c>
      <c r="D130" s="140">
        <f t="shared" si="158"/>
        <v>0.15774347195126473</v>
      </c>
      <c r="E130" s="140">
        <f t="shared" si="158"/>
        <v>0.15700335943235288</v>
      </c>
      <c r="F130" s="140">
        <f t="shared" si="158"/>
        <v>0.15045146655887059</v>
      </c>
      <c r="G130" s="140">
        <f t="shared" si="158"/>
        <v>0.14475122592128611</v>
      </c>
      <c r="H130" s="140">
        <f t="shared" si="158"/>
        <v>0.12684716950268363</v>
      </c>
      <c r="I130" s="140">
        <f t="shared" si="158"/>
        <v>0.11426039384611628</v>
      </c>
      <c r="J130" s="140">
        <f t="shared" si="158"/>
        <v>0.10899262519655474</v>
      </c>
      <c r="K130" s="140">
        <f t="shared" si="158"/>
        <v>0.11118183912808284</v>
      </c>
      <c r="L130" s="140">
        <f t="shared" si="158"/>
        <v>0.11614056623387528</v>
      </c>
      <c r="M130" s="140">
        <f t="shared" si="158"/>
        <v>0.10930599533341173</v>
      </c>
      <c r="N130" s="140">
        <f t="shared" si="158"/>
        <v>0.1092139867099586</v>
      </c>
      <c r="O130" s="140">
        <f t="shared" si="158"/>
        <v>0.10713663557065893</v>
      </c>
      <c r="P130" s="140">
        <f t="shared" si="158"/>
        <v>9.7776561877624971E-2</v>
      </c>
      <c r="Q130" s="140">
        <f t="shared" si="158"/>
        <v>9.2551613235092478E-2</v>
      </c>
      <c r="R130" s="140">
        <f t="shared" si="158"/>
        <v>8.8729547330270567E-2</v>
      </c>
      <c r="S130" s="140">
        <f t="shared" si="158"/>
        <v>8.624448564746158E-2</v>
      </c>
      <c r="T130" s="140">
        <f t="shared" si="158"/>
        <v>8.1285262752317095E-2</v>
      </c>
      <c r="U130" s="140">
        <f t="shared" si="158"/>
        <v>7.5122847522422431E-2</v>
      </c>
      <c r="V130" s="140">
        <f t="shared" si="158"/>
        <v>7.1496865587210662E-2</v>
      </c>
      <c r="W130" s="140">
        <f t="shared" si="158"/>
        <v>6.2414418742005824E-2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3.0654571287185434E-2</v>
      </c>
      <c r="C131" s="124">
        <f t="shared" ref="C131:W131" si="159">IF(C39=0,0,C39/C$34)</f>
        <v>2.6730911797182101E-2</v>
      </c>
      <c r="D131" s="124">
        <f t="shared" si="159"/>
        <v>2.746123213397593E-2</v>
      </c>
      <c r="E131" s="124">
        <f t="shared" si="159"/>
        <v>2.6213802862226333E-2</v>
      </c>
      <c r="F131" s="124">
        <f t="shared" si="159"/>
        <v>2.4751689632477484E-2</v>
      </c>
      <c r="G131" s="124">
        <f t="shared" si="159"/>
        <v>2.4036323817962238E-2</v>
      </c>
      <c r="H131" s="124">
        <f t="shared" si="159"/>
        <v>2.0528276436285176E-2</v>
      </c>
      <c r="I131" s="124">
        <f t="shared" si="159"/>
        <v>1.8562479693798834E-2</v>
      </c>
      <c r="J131" s="124">
        <f t="shared" si="159"/>
        <v>1.8470020193671617E-2</v>
      </c>
      <c r="K131" s="124">
        <f t="shared" si="159"/>
        <v>1.7237914388927533E-2</v>
      </c>
      <c r="L131" s="124">
        <f t="shared" si="159"/>
        <v>1.4763253029957872E-2</v>
      </c>
      <c r="M131" s="124">
        <f t="shared" si="159"/>
        <v>1.5364283479290681E-2</v>
      </c>
      <c r="N131" s="124">
        <f t="shared" si="159"/>
        <v>1.5224394342191984E-2</v>
      </c>
      <c r="O131" s="124">
        <f t="shared" si="159"/>
        <v>1.4699173080915911E-2</v>
      </c>
      <c r="P131" s="124">
        <f t="shared" si="159"/>
        <v>1.2814271515366561E-2</v>
      </c>
      <c r="Q131" s="124">
        <f t="shared" si="159"/>
        <v>1.1239989986793051E-2</v>
      </c>
      <c r="R131" s="124">
        <f t="shared" si="159"/>
        <v>1.0589146217747963E-2</v>
      </c>
      <c r="S131" s="124">
        <f t="shared" si="159"/>
        <v>1.0100550226676953E-2</v>
      </c>
      <c r="T131" s="124">
        <f t="shared" si="159"/>
        <v>9.6940856937754779E-3</v>
      </c>
      <c r="U131" s="124">
        <f t="shared" si="159"/>
        <v>9.327992841638124E-3</v>
      </c>
      <c r="V131" s="124">
        <f t="shared" si="159"/>
        <v>9.7288592930809548E-3</v>
      </c>
      <c r="W131" s="124">
        <f t="shared" si="159"/>
        <v>9.3461148078508981E-3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2.7035026156787549E-3</v>
      </c>
      <c r="C132" s="140">
        <f t="shared" ref="C132:W132" si="160">IF(C40=0,0,C40/C$34)</f>
        <v>2.3747119821140215E-3</v>
      </c>
      <c r="D132" s="140">
        <f t="shared" si="160"/>
        <v>2.2820491278607792E-3</v>
      </c>
      <c r="E132" s="140">
        <f t="shared" si="160"/>
        <v>2.0323974987748014E-3</v>
      </c>
      <c r="F132" s="140">
        <f t="shared" si="160"/>
        <v>1.9602052806129058E-3</v>
      </c>
      <c r="G132" s="140">
        <f t="shared" si="160"/>
        <v>1.8977698536565154E-3</v>
      </c>
      <c r="H132" s="140">
        <f t="shared" si="160"/>
        <v>1.6548642743878209E-3</v>
      </c>
      <c r="I132" s="140">
        <f t="shared" si="160"/>
        <v>1.4943939825773098E-3</v>
      </c>
      <c r="J132" s="140">
        <f t="shared" si="160"/>
        <v>1.4195470138882356E-3</v>
      </c>
      <c r="K132" s="140">
        <f t="shared" si="160"/>
        <v>1.0500875313085955E-3</v>
      </c>
      <c r="L132" s="140">
        <f t="shared" si="160"/>
        <v>2.1104692670475393E-3</v>
      </c>
      <c r="M132" s="140">
        <f t="shared" si="160"/>
        <v>2.2794022859044696E-3</v>
      </c>
      <c r="N132" s="140">
        <f t="shared" si="160"/>
        <v>2.1885156958457858E-3</v>
      </c>
      <c r="O132" s="140">
        <f t="shared" si="160"/>
        <v>2.2974179415986241E-3</v>
      </c>
      <c r="P132" s="140">
        <f t="shared" si="160"/>
        <v>2.2582024995462199E-3</v>
      </c>
      <c r="Q132" s="140">
        <f t="shared" si="160"/>
        <v>2.0016256274483332E-3</v>
      </c>
      <c r="R132" s="140">
        <f t="shared" si="160"/>
        <v>1.8070359898330495E-3</v>
      </c>
      <c r="S132" s="140">
        <f t="shared" si="160"/>
        <v>1.7261717256601061E-3</v>
      </c>
      <c r="T132" s="140">
        <f t="shared" si="160"/>
        <v>1.7140836362723589E-3</v>
      </c>
      <c r="U132" s="140">
        <f t="shared" si="160"/>
        <v>1.5597369133893999E-3</v>
      </c>
      <c r="V132" s="140">
        <f t="shared" si="160"/>
        <v>1.6686312717377602E-3</v>
      </c>
      <c r="W132" s="140">
        <f t="shared" si="160"/>
        <v>5.4318302655995045E-4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2.7951068671506679E-2</v>
      </c>
      <c r="C133" s="140">
        <f t="shared" ref="C133:W133" si="161">IF(C41=0,0,C41/C$34)</f>
        <v>2.4356199815068081E-2</v>
      </c>
      <c r="D133" s="140">
        <f t="shared" si="161"/>
        <v>2.5179183006115151E-2</v>
      </c>
      <c r="E133" s="140">
        <f t="shared" si="161"/>
        <v>2.4181405363451532E-2</v>
      </c>
      <c r="F133" s="140">
        <f t="shared" si="161"/>
        <v>2.2791484351864576E-2</v>
      </c>
      <c r="G133" s="140">
        <f t="shared" si="161"/>
        <v>2.213855396430572E-2</v>
      </c>
      <c r="H133" s="140">
        <f t="shared" si="161"/>
        <v>1.8873412161897356E-2</v>
      </c>
      <c r="I133" s="140">
        <f t="shared" si="161"/>
        <v>1.7068085711221526E-2</v>
      </c>
      <c r="J133" s="140">
        <f t="shared" si="161"/>
        <v>1.7050473179783379E-2</v>
      </c>
      <c r="K133" s="140">
        <f t="shared" si="161"/>
        <v>1.6187826857618937E-2</v>
      </c>
      <c r="L133" s="140">
        <f t="shared" si="161"/>
        <v>1.2652783762910333E-2</v>
      </c>
      <c r="M133" s="140">
        <f t="shared" si="161"/>
        <v>1.3084881193386213E-2</v>
      </c>
      <c r="N133" s="140">
        <f t="shared" si="161"/>
        <v>1.3035878646346198E-2</v>
      </c>
      <c r="O133" s="140">
        <f t="shared" si="161"/>
        <v>1.2401755139317286E-2</v>
      </c>
      <c r="P133" s="140">
        <f t="shared" si="161"/>
        <v>1.0556069015820341E-2</v>
      </c>
      <c r="Q133" s="140">
        <f t="shared" si="161"/>
        <v>9.2383643593447178E-3</v>
      </c>
      <c r="R133" s="140">
        <f t="shared" si="161"/>
        <v>8.7821102279149136E-3</v>
      </c>
      <c r="S133" s="140">
        <f t="shared" si="161"/>
        <v>8.3743785010168461E-3</v>
      </c>
      <c r="T133" s="140">
        <f t="shared" si="161"/>
        <v>7.9800020575031185E-3</v>
      </c>
      <c r="U133" s="140">
        <f t="shared" si="161"/>
        <v>7.7682559282487244E-3</v>
      </c>
      <c r="V133" s="140">
        <f t="shared" si="161"/>
        <v>8.0602280213431937E-3</v>
      </c>
      <c r="W133" s="140">
        <f t="shared" si="161"/>
        <v>8.8029317812909468E-3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5.2168031718260101E-2</v>
      </c>
      <c r="C135" s="124">
        <f t="shared" ref="C135:W135" si="163">IF(C43=0,0,C43/C$34)</f>
        <v>4.8392557798183654E-2</v>
      </c>
      <c r="D135" s="124">
        <f t="shared" si="163"/>
        <v>4.9850807805806918E-2</v>
      </c>
      <c r="E135" s="124">
        <f t="shared" si="163"/>
        <v>6.7903484327971803E-2</v>
      </c>
      <c r="F135" s="124">
        <f t="shared" si="163"/>
        <v>7.7709788359099086E-2</v>
      </c>
      <c r="G135" s="124">
        <f t="shared" si="163"/>
        <v>9.0744356800288389E-2</v>
      </c>
      <c r="H135" s="124">
        <f t="shared" si="163"/>
        <v>9.0499918253053216E-2</v>
      </c>
      <c r="I135" s="124">
        <f t="shared" si="163"/>
        <v>9.9752519415536908E-2</v>
      </c>
      <c r="J135" s="124">
        <f t="shared" si="163"/>
        <v>0.12244683091201826</v>
      </c>
      <c r="K135" s="124">
        <f t="shared" si="163"/>
        <v>0.13927636818384698</v>
      </c>
      <c r="L135" s="124">
        <f t="shared" si="163"/>
        <v>0.15649557279980836</v>
      </c>
      <c r="M135" s="124">
        <f t="shared" si="163"/>
        <v>0.16359750542979187</v>
      </c>
      <c r="N135" s="124">
        <f t="shared" si="163"/>
        <v>0.16633059205660045</v>
      </c>
      <c r="O135" s="124">
        <f t="shared" si="163"/>
        <v>0.16858914162489166</v>
      </c>
      <c r="P135" s="124">
        <f t="shared" si="163"/>
        <v>0.14509764008363421</v>
      </c>
      <c r="Q135" s="124">
        <f t="shared" si="163"/>
        <v>0.13690738033331731</v>
      </c>
      <c r="R135" s="124">
        <f t="shared" si="163"/>
        <v>0.1504902217770222</v>
      </c>
      <c r="S135" s="124">
        <f t="shared" si="163"/>
        <v>0.16343830709477528</v>
      </c>
      <c r="T135" s="124">
        <f t="shared" si="163"/>
        <v>0.17311813016657263</v>
      </c>
      <c r="U135" s="124">
        <f t="shared" si="163"/>
        <v>0.17210327080871327</v>
      </c>
      <c r="V135" s="124">
        <f t="shared" si="163"/>
        <v>7.2454739947272764E-2</v>
      </c>
      <c r="W135" s="124">
        <f t="shared" si="163"/>
        <v>9.5506572986152699E-2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4.5621270497960442E-2</v>
      </c>
      <c r="C137" s="140">
        <f t="shared" ref="C137:W137" si="165">IF(C45=0,0,C45/C$34)</f>
        <v>4.231743646253814E-2</v>
      </c>
      <c r="D137" s="140">
        <f t="shared" si="165"/>
        <v>4.3594650404498864E-2</v>
      </c>
      <c r="E137" s="140">
        <f t="shared" si="165"/>
        <v>5.9385492528263049E-2</v>
      </c>
      <c r="F137" s="140">
        <f t="shared" si="165"/>
        <v>6.7958864250625098E-2</v>
      </c>
      <c r="G137" s="140">
        <f t="shared" si="165"/>
        <v>8.0926736877721256E-2</v>
      </c>
      <c r="H137" s="140">
        <f t="shared" si="165"/>
        <v>8.2109723285598901E-2</v>
      </c>
      <c r="I137" s="140">
        <f t="shared" si="165"/>
        <v>9.0793098244208309E-2</v>
      </c>
      <c r="J137" s="140">
        <f t="shared" si="165"/>
        <v>0.11117853134927978</v>
      </c>
      <c r="K137" s="140">
        <f t="shared" si="165"/>
        <v>0.12613611682500059</v>
      </c>
      <c r="L137" s="140">
        <f t="shared" si="165"/>
        <v>0.14285047326228503</v>
      </c>
      <c r="M137" s="140">
        <f t="shared" si="165"/>
        <v>0.14943557619556413</v>
      </c>
      <c r="N137" s="140">
        <f t="shared" si="165"/>
        <v>0.15116311510727237</v>
      </c>
      <c r="O137" s="140">
        <f t="shared" si="165"/>
        <v>0.15348298686286674</v>
      </c>
      <c r="P137" s="140">
        <f t="shared" si="165"/>
        <v>0.13215548660074855</v>
      </c>
      <c r="Q137" s="140">
        <f t="shared" si="165"/>
        <v>0.12518708783307136</v>
      </c>
      <c r="R137" s="140">
        <f t="shared" si="165"/>
        <v>0.13822430802904281</v>
      </c>
      <c r="S137" s="140">
        <f t="shared" si="165"/>
        <v>0.15068558259926598</v>
      </c>
      <c r="T137" s="140">
        <f t="shared" si="165"/>
        <v>0.15967586186316951</v>
      </c>
      <c r="U137" s="140">
        <f t="shared" si="165"/>
        <v>0.15864167923634143</v>
      </c>
      <c r="V137" s="140">
        <f t="shared" si="165"/>
        <v>6.4133826378537831E-2</v>
      </c>
      <c r="W137" s="140">
        <f t="shared" si="165"/>
        <v>8.5762168500477937E-2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6.546761220299663E-3</v>
      </c>
      <c r="C138" s="140">
        <f t="shared" ref="C138:W138" si="166">IF(C46=0,0,C46/C$34)</f>
        <v>6.0751213356455124E-3</v>
      </c>
      <c r="D138" s="140">
        <f t="shared" si="166"/>
        <v>6.2561574013080537E-3</v>
      </c>
      <c r="E138" s="140">
        <f t="shared" si="166"/>
        <v>8.5179917997087531E-3</v>
      </c>
      <c r="F138" s="140">
        <f t="shared" si="166"/>
        <v>9.7509241084739844E-3</v>
      </c>
      <c r="G138" s="140">
        <f t="shared" si="166"/>
        <v>9.8176199225671335E-3</v>
      </c>
      <c r="H138" s="140">
        <f t="shared" si="166"/>
        <v>8.3901949674543268E-3</v>
      </c>
      <c r="I138" s="140">
        <f t="shared" si="166"/>
        <v>8.9594211713285941E-3</v>
      </c>
      <c r="J138" s="140">
        <f t="shared" si="166"/>
        <v>1.1268299562738483E-2</v>
      </c>
      <c r="K138" s="140">
        <f t="shared" si="166"/>
        <v>1.3140251358846396E-2</v>
      </c>
      <c r="L138" s="140">
        <f t="shared" si="166"/>
        <v>1.3645099537523346E-2</v>
      </c>
      <c r="M138" s="140">
        <f t="shared" si="166"/>
        <v>1.4161929234227726E-2</v>
      </c>
      <c r="N138" s="140">
        <f t="shared" si="166"/>
        <v>1.5167476949328067E-2</v>
      </c>
      <c r="O138" s="140">
        <f t="shared" si="166"/>
        <v>1.5106154762024926E-2</v>
      </c>
      <c r="P138" s="140">
        <f t="shared" si="166"/>
        <v>1.2942153482885653E-2</v>
      </c>
      <c r="Q138" s="140">
        <f t="shared" si="166"/>
        <v>1.1720292500245973E-2</v>
      </c>
      <c r="R138" s="140">
        <f t="shared" si="166"/>
        <v>1.2265913747979376E-2</v>
      </c>
      <c r="S138" s="140">
        <f t="shared" si="166"/>
        <v>1.2752724495509279E-2</v>
      </c>
      <c r="T138" s="140">
        <f t="shared" si="166"/>
        <v>1.3442268303403114E-2</v>
      </c>
      <c r="U138" s="140">
        <f t="shared" si="166"/>
        <v>1.3461591572371862E-2</v>
      </c>
      <c r="V138" s="140">
        <f t="shared" si="166"/>
        <v>8.3209135687349316E-3</v>
      </c>
      <c r="W138" s="140">
        <f t="shared" si="166"/>
        <v>9.7444044856747642E-3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0.76557971795678292</v>
      </c>
      <c r="C140" s="139">
        <f t="shared" ref="C140:W140" si="169">IF(C48=0,0,C48/C$47)</f>
        <v>0.82111225159584644</v>
      </c>
      <c r="D140" s="139">
        <f t="shared" si="169"/>
        <v>0.82525632673615545</v>
      </c>
      <c r="E140" s="139">
        <f t="shared" si="169"/>
        <v>0.80860507112524616</v>
      </c>
      <c r="F140" s="139">
        <f t="shared" si="169"/>
        <v>0.81383179071151956</v>
      </c>
      <c r="G140" s="139">
        <f t="shared" si="169"/>
        <v>0.82717732517322839</v>
      </c>
      <c r="H140" s="139">
        <f t="shared" si="169"/>
        <v>0.86025373813426553</v>
      </c>
      <c r="I140" s="139">
        <f t="shared" si="169"/>
        <v>0.86787208221710455</v>
      </c>
      <c r="J140" s="139">
        <f t="shared" si="169"/>
        <v>0.85387413491607911</v>
      </c>
      <c r="K140" s="139">
        <f t="shared" si="169"/>
        <v>0.82951983839124721</v>
      </c>
      <c r="L140" s="139">
        <f t="shared" si="169"/>
        <v>0.85521734237913438</v>
      </c>
      <c r="M140" s="139">
        <f t="shared" si="169"/>
        <v>0.7941784851555409</v>
      </c>
      <c r="N140" s="139">
        <f t="shared" si="169"/>
        <v>0.76550973754854823</v>
      </c>
      <c r="O140" s="139">
        <f t="shared" si="169"/>
        <v>0.77981939606388651</v>
      </c>
      <c r="P140" s="139">
        <f t="shared" si="169"/>
        <v>0.79721981504057249</v>
      </c>
      <c r="Q140" s="139">
        <f t="shared" si="169"/>
        <v>0.81404234641804241</v>
      </c>
      <c r="R140" s="139">
        <f t="shared" si="169"/>
        <v>0.82840192297768189</v>
      </c>
      <c r="S140" s="139">
        <f t="shared" si="169"/>
        <v>0.84912452114427073</v>
      </c>
      <c r="T140" s="139">
        <f t="shared" si="169"/>
        <v>0.84562624437707723</v>
      </c>
      <c r="U140" s="139">
        <f t="shared" si="169"/>
        <v>0.87022510881204729</v>
      </c>
      <c r="V140" s="139">
        <f t="shared" si="169"/>
        <v>0.91200440810458105</v>
      </c>
      <c r="W140" s="139">
        <f t="shared" si="169"/>
        <v>0.92122831337174893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0.15931145392728749</v>
      </c>
      <c r="C141" s="140">
        <f t="shared" ref="C141:W141" si="170">IF(C49=0,0,C49/C$47)</f>
        <v>0.13795187664269937</v>
      </c>
      <c r="D141" s="140">
        <f t="shared" si="170"/>
        <v>0.15754866450213734</v>
      </c>
      <c r="E141" s="140">
        <f t="shared" si="170"/>
        <v>0.13300514952728695</v>
      </c>
      <c r="F141" s="140">
        <f t="shared" si="170"/>
        <v>0.16217087276407596</v>
      </c>
      <c r="G141" s="140">
        <f t="shared" si="170"/>
        <v>0.14105481879288742</v>
      </c>
      <c r="H141" s="140">
        <f t="shared" si="170"/>
        <v>0.14588342284793962</v>
      </c>
      <c r="I141" s="140">
        <f t="shared" si="170"/>
        <v>0.13888125657654773</v>
      </c>
      <c r="J141" s="140">
        <f t="shared" si="170"/>
        <v>0.14877555931408945</v>
      </c>
      <c r="K141" s="140">
        <f t="shared" si="170"/>
        <v>0.16030179351790635</v>
      </c>
      <c r="L141" s="140">
        <f t="shared" si="170"/>
        <v>0.13374443623747062</v>
      </c>
      <c r="M141" s="140">
        <f t="shared" si="170"/>
        <v>0.15872664032807848</v>
      </c>
      <c r="N141" s="140">
        <f t="shared" si="170"/>
        <v>0.17821235370590124</v>
      </c>
      <c r="O141" s="140">
        <f t="shared" si="170"/>
        <v>0.1986199917982108</v>
      </c>
      <c r="P141" s="140">
        <f t="shared" si="170"/>
        <v>0.2181436562516518</v>
      </c>
      <c r="Q141" s="140">
        <f t="shared" si="170"/>
        <v>0.21651558258237338</v>
      </c>
      <c r="R141" s="140">
        <f t="shared" si="170"/>
        <v>0.22471836804419429</v>
      </c>
      <c r="S141" s="140">
        <f t="shared" si="170"/>
        <v>0.21954268214421679</v>
      </c>
      <c r="T141" s="140">
        <f t="shared" si="170"/>
        <v>0.21416705274064818</v>
      </c>
      <c r="U141" s="140">
        <f t="shared" si="170"/>
        <v>0.2342539699372492</v>
      </c>
      <c r="V141" s="140">
        <f t="shared" si="170"/>
        <v>0.2506621346330713</v>
      </c>
      <c r="W141" s="140">
        <f t="shared" si="170"/>
        <v>0.23978904198646053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0.60626826402949541</v>
      </c>
      <c r="C142" s="140">
        <f t="shared" ref="C142:W142" si="171">IF(C50=0,0,C50/C$47)</f>
        <v>0.68316037495314719</v>
      </c>
      <c r="D142" s="140">
        <f t="shared" si="171"/>
        <v>0.66770766223401801</v>
      </c>
      <c r="E142" s="140">
        <f t="shared" si="171"/>
        <v>0.67559992159795923</v>
      </c>
      <c r="F142" s="140">
        <f t="shared" si="171"/>
        <v>0.65166091794744352</v>
      </c>
      <c r="G142" s="140">
        <f t="shared" si="171"/>
        <v>0.68612250638034111</v>
      </c>
      <c r="H142" s="140">
        <f t="shared" si="171"/>
        <v>0.714370315286326</v>
      </c>
      <c r="I142" s="140">
        <f t="shared" si="171"/>
        <v>0.72899082564055684</v>
      </c>
      <c r="J142" s="140">
        <f t="shared" si="171"/>
        <v>0.70509857560198974</v>
      </c>
      <c r="K142" s="140">
        <f t="shared" si="171"/>
        <v>0.6692180448733408</v>
      </c>
      <c r="L142" s="140">
        <f t="shared" si="171"/>
        <v>0.72147290614166371</v>
      </c>
      <c r="M142" s="140">
        <f t="shared" si="171"/>
        <v>0.63545184482746231</v>
      </c>
      <c r="N142" s="140">
        <f t="shared" si="171"/>
        <v>0.58729738384264685</v>
      </c>
      <c r="O142" s="140">
        <f t="shared" si="171"/>
        <v>0.58119940426567562</v>
      </c>
      <c r="P142" s="140">
        <f t="shared" si="171"/>
        <v>0.57907615878892071</v>
      </c>
      <c r="Q142" s="140">
        <f t="shared" si="171"/>
        <v>0.59752676383566905</v>
      </c>
      <c r="R142" s="140">
        <f t="shared" si="171"/>
        <v>0.60368355493348758</v>
      </c>
      <c r="S142" s="140">
        <f t="shared" si="171"/>
        <v>0.62958183900005393</v>
      </c>
      <c r="T142" s="140">
        <f t="shared" si="171"/>
        <v>0.63145919163642905</v>
      </c>
      <c r="U142" s="140">
        <f t="shared" si="171"/>
        <v>0.63597113887479817</v>
      </c>
      <c r="V142" s="140">
        <f t="shared" si="171"/>
        <v>0.66134227347150976</v>
      </c>
      <c r="W142" s="140">
        <f t="shared" si="171"/>
        <v>0.68143927138528837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0.2333566354703156</v>
      </c>
      <c r="C143" s="124">
        <f t="shared" ref="C143:W143" si="172">IF(C51=0,0,C51/C$47)</f>
        <v>0.17816273979372932</v>
      </c>
      <c r="D143" s="124">
        <f t="shared" si="172"/>
        <v>0.17396608998998553</v>
      </c>
      <c r="E143" s="124">
        <f t="shared" si="172"/>
        <v>0.19074010404246355</v>
      </c>
      <c r="F143" s="124">
        <f t="shared" si="172"/>
        <v>0.18545607321734597</v>
      </c>
      <c r="G143" s="124">
        <f t="shared" si="172"/>
        <v>0.17195546461876202</v>
      </c>
      <c r="H143" s="124">
        <f t="shared" si="172"/>
        <v>0.13891420926153195</v>
      </c>
      <c r="I143" s="124">
        <f t="shared" si="172"/>
        <v>0.12946834915953473</v>
      </c>
      <c r="J143" s="124">
        <f t="shared" si="172"/>
        <v>0.14081478211566884</v>
      </c>
      <c r="K143" s="124">
        <f t="shared" si="172"/>
        <v>0.15816578372642875</v>
      </c>
      <c r="L143" s="124">
        <f t="shared" si="172"/>
        <v>0.13085352385936019</v>
      </c>
      <c r="M143" s="124">
        <f t="shared" si="172"/>
        <v>0.18877763453777943</v>
      </c>
      <c r="N143" s="124">
        <f t="shared" si="172"/>
        <v>0.21255047377963573</v>
      </c>
      <c r="O143" s="124">
        <f t="shared" si="172"/>
        <v>0.18285298189010477</v>
      </c>
      <c r="P143" s="124">
        <f t="shared" si="172"/>
        <v>0.18336490976775152</v>
      </c>
      <c r="Q143" s="124">
        <f t="shared" si="172"/>
        <v>0.17407990540576865</v>
      </c>
      <c r="R143" s="124">
        <f t="shared" si="172"/>
        <v>0.15628568101239601</v>
      </c>
      <c r="S143" s="124">
        <f t="shared" si="172"/>
        <v>0.13450745443051101</v>
      </c>
      <c r="T143" s="124">
        <f t="shared" si="172"/>
        <v>0.13629078962929972</v>
      </c>
      <c r="U143" s="124">
        <f t="shared" si="172"/>
        <v>0.11931943363924886</v>
      </c>
      <c r="V143" s="124">
        <f t="shared" si="172"/>
        <v>7.3018607553844872E-2</v>
      </c>
      <c r="W143" s="124">
        <f t="shared" si="172"/>
        <v>6.3831781871982657E-2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1.0636465729015148E-3</v>
      </c>
      <c r="C144" s="124">
        <f t="shared" ref="C144:W144" si="173">IF(C52=0,0,C52/C$47)</f>
        <v>7.2500861042421798E-4</v>
      </c>
      <c r="D144" s="124">
        <f t="shared" si="173"/>
        <v>7.7758327385905716E-4</v>
      </c>
      <c r="E144" s="124">
        <f t="shared" si="173"/>
        <v>6.5482483229020326E-4</v>
      </c>
      <c r="F144" s="124">
        <f t="shared" si="173"/>
        <v>7.1213607113456855E-4</v>
      </c>
      <c r="G144" s="124">
        <f t="shared" si="173"/>
        <v>8.672102080095011E-4</v>
      </c>
      <c r="H144" s="124">
        <f t="shared" si="173"/>
        <v>8.3205260420249761E-4</v>
      </c>
      <c r="I144" s="124">
        <f t="shared" si="173"/>
        <v>7.1592076458978698E-4</v>
      </c>
      <c r="J144" s="124">
        <f t="shared" si="173"/>
        <v>1.126634410448643E-3</v>
      </c>
      <c r="K144" s="124">
        <f t="shared" si="173"/>
        <v>2.4368425323303702E-3</v>
      </c>
      <c r="L144" s="124">
        <f t="shared" si="173"/>
        <v>2.758200639687053E-3</v>
      </c>
      <c r="M144" s="124">
        <f t="shared" si="173"/>
        <v>3.2367357071755062E-3</v>
      </c>
      <c r="N144" s="124">
        <f t="shared" si="173"/>
        <v>1.0414221169021916E-2</v>
      </c>
      <c r="O144" s="124">
        <f t="shared" si="173"/>
        <v>1.4853608237872542E-2</v>
      </c>
      <c r="P144" s="124">
        <f t="shared" si="173"/>
        <v>7.9305923650797722E-3</v>
      </c>
      <c r="Q144" s="124">
        <f t="shared" si="173"/>
        <v>3.6885146006292147E-3</v>
      </c>
      <c r="R144" s="124">
        <f t="shared" si="173"/>
        <v>3.718091750799667E-3</v>
      </c>
      <c r="S144" s="124">
        <f t="shared" si="173"/>
        <v>4.0247564830260306E-3</v>
      </c>
      <c r="T144" s="124">
        <f t="shared" si="173"/>
        <v>3.9500967368945959E-3</v>
      </c>
      <c r="U144" s="124">
        <f t="shared" si="173"/>
        <v>5.6096562967949759E-3</v>
      </c>
      <c r="V144" s="124">
        <f t="shared" si="173"/>
        <v>8.0196703582838969E-3</v>
      </c>
      <c r="W144" s="124">
        <f t="shared" si="173"/>
        <v>8.0180993662556464E-3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9.3980168900512507E-4</v>
      </c>
      <c r="C146" s="140">
        <f t="shared" ref="C146:W146" si="175">IF(C54=0,0,C54/C$47)</f>
        <v>6.2247574247511572E-4</v>
      </c>
      <c r="D146" s="140">
        <f t="shared" si="175"/>
        <v>6.6965659206004609E-4</v>
      </c>
      <c r="E146" s="140">
        <f t="shared" si="175"/>
        <v>5.5364777009950412E-4</v>
      </c>
      <c r="F146" s="140">
        <f t="shared" si="175"/>
        <v>6.0616983372198689E-4</v>
      </c>
      <c r="G146" s="140">
        <f t="shared" si="175"/>
        <v>7.6146219548599455E-4</v>
      </c>
      <c r="H146" s="140">
        <f t="shared" si="175"/>
        <v>7.2310313905677619E-4</v>
      </c>
      <c r="I146" s="140">
        <f t="shared" si="175"/>
        <v>5.7582929735090034E-4</v>
      </c>
      <c r="J146" s="140">
        <f t="shared" si="175"/>
        <v>8.6466544219355795E-4</v>
      </c>
      <c r="K146" s="140">
        <f t="shared" si="175"/>
        <v>2.0060117822167304E-3</v>
      </c>
      <c r="L146" s="140">
        <f t="shared" si="175"/>
        <v>2.1324628260630646E-3</v>
      </c>
      <c r="M146" s="140">
        <f t="shared" si="175"/>
        <v>2.4111488562883394E-3</v>
      </c>
      <c r="N146" s="140">
        <f t="shared" si="175"/>
        <v>2.8544752780701311E-3</v>
      </c>
      <c r="O146" s="140">
        <f t="shared" si="175"/>
        <v>3.2534101692144515E-3</v>
      </c>
      <c r="P146" s="140">
        <f t="shared" si="175"/>
        <v>2.9624488036774249E-3</v>
      </c>
      <c r="Q146" s="140">
        <f t="shared" si="175"/>
        <v>2.3777068383427856E-3</v>
      </c>
      <c r="R146" s="140">
        <f t="shared" si="175"/>
        <v>2.6956477562318257E-3</v>
      </c>
      <c r="S146" s="140">
        <f t="shared" si="175"/>
        <v>3.1022231695066577E-3</v>
      </c>
      <c r="T146" s="140">
        <f t="shared" si="175"/>
        <v>3.2233748293980023E-3</v>
      </c>
      <c r="U146" s="140">
        <f t="shared" si="175"/>
        <v>3.7733668891713474E-3</v>
      </c>
      <c r="V146" s="140">
        <f t="shared" si="175"/>
        <v>3.0711155071306783E-3</v>
      </c>
      <c r="W146" s="140">
        <f t="shared" si="175"/>
        <v>4.725164492407446E-3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1.2384488389638966E-4</v>
      </c>
      <c r="C147" s="140">
        <f t="shared" ref="C147:W147" si="176">IF(C55=0,0,C55/C$47)</f>
        <v>1.0253286794910223E-4</v>
      </c>
      <c r="D147" s="140">
        <f t="shared" si="176"/>
        <v>1.0792668179901092E-4</v>
      </c>
      <c r="E147" s="140">
        <f t="shared" si="176"/>
        <v>1.0117706219069915E-4</v>
      </c>
      <c r="F147" s="140">
        <f t="shared" si="176"/>
        <v>1.0596623741258171E-4</v>
      </c>
      <c r="G147" s="140">
        <f t="shared" si="176"/>
        <v>1.0574801252350654E-4</v>
      </c>
      <c r="H147" s="140">
        <f t="shared" si="176"/>
        <v>1.0894946514572144E-4</v>
      </c>
      <c r="I147" s="140">
        <f t="shared" si="176"/>
        <v>1.400914672388867E-4</v>
      </c>
      <c r="J147" s="140">
        <f t="shared" si="176"/>
        <v>2.6196896825508511E-4</v>
      </c>
      <c r="K147" s="140">
        <f t="shared" si="176"/>
        <v>4.3083075011363987E-4</v>
      </c>
      <c r="L147" s="140">
        <f t="shared" si="176"/>
        <v>6.257378136239884E-4</v>
      </c>
      <c r="M147" s="140">
        <f t="shared" si="176"/>
        <v>8.2558685088716694E-4</v>
      </c>
      <c r="N147" s="140">
        <f t="shared" si="176"/>
        <v>7.5597458909517842E-3</v>
      </c>
      <c r="O147" s="140">
        <f t="shared" si="176"/>
        <v>1.160019806865809E-2</v>
      </c>
      <c r="P147" s="140">
        <f t="shared" si="176"/>
        <v>4.9681435614023477E-3</v>
      </c>
      <c r="Q147" s="140">
        <f t="shared" si="176"/>
        <v>1.3108077622864288E-3</v>
      </c>
      <c r="R147" s="140">
        <f t="shared" si="176"/>
        <v>1.0224439945678409E-3</v>
      </c>
      <c r="S147" s="140">
        <f t="shared" si="176"/>
        <v>9.2253331351937269E-4</v>
      </c>
      <c r="T147" s="140">
        <f t="shared" si="176"/>
        <v>7.2672190749659387E-4</v>
      </c>
      <c r="U147" s="140">
        <f t="shared" si="176"/>
        <v>1.8362894076236283E-3</v>
      </c>
      <c r="V147" s="140">
        <f t="shared" si="176"/>
        <v>4.9485548511532182E-3</v>
      </c>
      <c r="W147" s="140">
        <f t="shared" si="176"/>
        <v>3.2929348738481991E-3</v>
      </c>
      <c r="DA147" s="175"/>
    </row>
    <row r="148" spans="1:105" ht="11.45" customHeight="1" x14ac:dyDescent="0.25">
      <c r="A148" s="109" t="s">
        <v>142</v>
      </c>
      <c r="B148" s="124">
        <f t="shared" si="167"/>
        <v>0</v>
      </c>
      <c r="C148" s="124">
        <f t="shared" ref="C148:W148" si="177">IF(C56=0,0,C56/C$47)</f>
        <v>0</v>
      </c>
      <c r="D148" s="124">
        <f t="shared" si="177"/>
        <v>0</v>
      </c>
      <c r="E148" s="124">
        <f t="shared" si="177"/>
        <v>0</v>
      </c>
      <c r="F148" s="124">
        <f t="shared" si="177"/>
        <v>0</v>
      </c>
      <c r="G148" s="124">
        <f t="shared" si="177"/>
        <v>0</v>
      </c>
      <c r="H148" s="124">
        <f t="shared" si="177"/>
        <v>0</v>
      </c>
      <c r="I148" s="124">
        <f t="shared" si="177"/>
        <v>1.9436478587707589E-3</v>
      </c>
      <c r="J148" s="124">
        <f t="shared" si="177"/>
        <v>4.1844485578034548E-3</v>
      </c>
      <c r="K148" s="124">
        <f t="shared" si="177"/>
        <v>9.8775353499936259E-3</v>
      </c>
      <c r="L148" s="124">
        <f t="shared" si="177"/>
        <v>1.1170933121818407E-2</v>
      </c>
      <c r="M148" s="124">
        <f t="shared" si="177"/>
        <v>1.3807144599504226E-2</v>
      </c>
      <c r="N148" s="124">
        <f t="shared" si="177"/>
        <v>1.1525567502794119E-2</v>
      </c>
      <c r="O148" s="124">
        <f t="shared" si="177"/>
        <v>2.2474013808136246E-2</v>
      </c>
      <c r="P148" s="124">
        <f t="shared" si="177"/>
        <v>1.1484682826596232E-2</v>
      </c>
      <c r="Q148" s="124">
        <f t="shared" si="177"/>
        <v>8.1892335755598608E-3</v>
      </c>
      <c r="R148" s="124">
        <f t="shared" si="177"/>
        <v>1.1594304259122425E-2</v>
      </c>
      <c r="S148" s="124">
        <f t="shared" si="177"/>
        <v>1.2343267942192376E-2</v>
      </c>
      <c r="T148" s="124">
        <f t="shared" si="177"/>
        <v>1.4132869256728431E-2</v>
      </c>
      <c r="U148" s="124">
        <f t="shared" si="177"/>
        <v>4.845801251908902E-3</v>
      </c>
      <c r="V148" s="124">
        <f t="shared" si="177"/>
        <v>6.9573139832900827E-3</v>
      </c>
      <c r="W148" s="124">
        <f t="shared" si="177"/>
        <v>6.9218053900128203E-3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1.9436478587707589E-3</v>
      </c>
      <c r="J149" s="140">
        <f t="shared" si="178"/>
        <v>4.1844485578034548E-3</v>
      </c>
      <c r="K149" s="140">
        <f t="shared" si="178"/>
        <v>9.8775353499936259E-3</v>
      </c>
      <c r="L149" s="140">
        <f t="shared" si="178"/>
        <v>1.1170933121818407E-2</v>
      </c>
      <c r="M149" s="140">
        <f t="shared" si="178"/>
        <v>1.3807144599504226E-2</v>
      </c>
      <c r="N149" s="140">
        <f t="shared" si="178"/>
        <v>1.1525567502794119E-2</v>
      </c>
      <c r="O149" s="140">
        <f t="shared" si="178"/>
        <v>2.2474013808136246E-2</v>
      </c>
      <c r="P149" s="140">
        <f t="shared" si="178"/>
        <v>1.1484682826596232E-2</v>
      </c>
      <c r="Q149" s="140">
        <f t="shared" si="178"/>
        <v>8.1892335755598608E-3</v>
      </c>
      <c r="R149" s="140">
        <f t="shared" si="178"/>
        <v>1.1594304259122425E-2</v>
      </c>
      <c r="S149" s="140">
        <f t="shared" si="178"/>
        <v>1.2343267942192376E-2</v>
      </c>
      <c r="T149" s="140">
        <f t="shared" si="178"/>
        <v>1.4132869256728431E-2</v>
      </c>
      <c r="U149" s="140">
        <f t="shared" si="178"/>
        <v>4.845801251908902E-3</v>
      </c>
      <c r="V149" s="140">
        <f t="shared" si="178"/>
        <v>6.9573139832900827E-3</v>
      </c>
      <c r="W149" s="140">
        <f t="shared" si="178"/>
        <v>6.9218053900128203E-3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0.43795059246328188</v>
      </c>
      <c r="C152" s="140">
        <f t="shared" ref="C152:W152" si="181">IF(C60=0,0,C60/C$59)</f>
        <v>0.43650537760237312</v>
      </c>
      <c r="D152" s="140">
        <f t="shared" si="181"/>
        <v>0.43520833179979884</v>
      </c>
      <c r="E152" s="140">
        <f t="shared" si="181"/>
        <v>0.43534001353011342</v>
      </c>
      <c r="F152" s="140">
        <f t="shared" si="181"/>
        <v>0.43549576982876331</v>
      </c>
      <c r="G152" s="140">
        <f t="shared" si="181"/>
        <v>0.40872416389323929</v>
      </c>
      <c r="H152" s="140">
        <f t="shared" si="181"/>
        <v>0.40082162817077371</v>
      </c>
      <c r="I152" s="140">
        <f t="shared" si="181"/>
        <v>0.41499047133002914</v>
      </c>
      <c r="J152" s="140">
        <f t="shared" si="181"/>
        <v>0.41706585091486015</v>
      </c>
      <c r="K152" s="140">
        <f t="shared" si="181"/>
        <v>0.43190398368843408</v>
      </c>
      <c r="L152" s="140">
        <f t="shared" si="181"/>
        <v>0.46286595579755713</v>
      </c>
      <c r="M152" s="140">
        <f t="shared" si="181"/>
        <v>0.4332552595666721</v>
      </c>
      <c r="N152" s="140">
        <f t="shared" si="181"/>
        <v>0.46087505610163587</v>
      </c>
      <c r="O152" s="140">
        <f t="shared" si="181"/>
        <v>0.47447930917569364</v>
      </c>
      <c r="P152" s="140">
        <f t="shared" si="181"/>
        <v>0.46547777588454858</v>
      </c>
      <c r="Q152" s="140">
        <f t="shared" si="181"/>
        <v>0.48533746965209718</v>
      </c>
      <c r="R152" s="140">
        <f t="shared" si="181"/>
        <v>0.48676690762724895</v>
      </c>
      <c r="S152" s="140">
        <f t="shared" si="181"/>
        <v>0.4735410100718534</v>
      </c>
      <c r="T152" s="140">
        <f t="shared" si="181"/>
        <v>0.44849253432369346</v>
      </c>
      <c r="U152" s="140">
        <f t="shared" si="181"/>
        <v>0.41361747672474425</v>
      </c>
      <c r="V152" s="140">
        <f t="shared" si="181"/>
        <v>0.36435690350754885</v>
      </c>
      <c r="W152" s="140">
        <f t="shared" si="181"/>
        <v>0.33845781648852835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0.56204940753671806</v>
      </c>
      <c r="C153" s="127">
        <f t="shared" ref="C153:W153" si="182">IF(C61=0,0,C61/C$59)</f>
        <v>0.56349462239762682</v>
      </c>
      <c r="D153" s="127">
        <f t="shared" si="182"/>
        <v>0.56479166820020121</v>
      </c>
      <c r="E153" s="127">
        <f t="shared" si="182"/>
        <v>0.56465998646988647</v>
      </c>
      <c r="F153" s="127">
        <f t="shared" si="182"/>
        <v>0.56450423017123663</v>
      </c>
      <c r="G153" s="127">
        <f t="shared" si="182"/>
        <v>0.59127583610676071</v>
      </c>
      <c r="H153" s="127">
        <f t="shared" si="182"/>
        <v>0.59917837182922629</v>
      </c>
      <c r="I153" s="127">
        <f t="shared" si="182"/>
        <v>0.5850095286699708</v>
      </c>
      <c r="J153" s="127">
        <f t="shared" si="182"/>
        <v>0.58293414908513985</v>
      </c>
      <c r="K153" s="127">
        <f t="shared" si="182"/>
        <v>0.56809601631156592</v>
      </c>
      <c r="L153" s="127">
        <f t="shared" si="182"/>
        <v>0.53713404420244293</v>
      </c>
      <c r="M153" s="127">
        <f t="shared" si="182"/>
        <v>0.5667447404333279</v>
      </c>
      <c r="N153" s="127">
        <f t="shared" si="182"/>
        <v>0.53912494389836407</v>
      </c>
      <c r="O153" s="127">
        <f t="shared" si="182"/>
        <v>0.52552069082430641</v>
      </c>
      <c r="P153" s="127">
        <f t="shared" si="182"/>
        <v>0.53452222411545136</v>
      </c>
      <c r="Q153" s="127">
        <f t="shared" si="182"/>
        <v>0.51466253034790277</v>
      </c>
      <c r="R153" s="127">
        <f t="shared" si="182"/>
        <v>0.51323309237275105</v>
      </c>
      <c r="S153" s="127">
        <f t="shared" si="182"/>
        <v>0.52645898992814666</v>
      </c>
      <c r="T153" s="127">
        <f t="shared" si="182"/>
        <v>0.55150746567630649</v>
      </c>
      <c r="U153" s="127">
        <f t="shared" si="182"/>
        <v>0.58638252327525575</v>
      </c>
      <c r="V153" s="127">
        <f t="shared" si="182"/>
        <v>0.63564309649245121</v>
      </c>
      <c r="W153" s="127">
        <f t="shared" si="182"/>
        <v>0.66154218351147165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0.92058145277673453</v>
      </c>
      <c r="C157" s="139">
        <f t="shared" ref="C157:W157" si="185">IF(C65=0,0,C65/C$64)</f>
        <v>0.92808682456691327</v>
      </c>
      <c r="D157" s="139">
        <f t="shared" si="185"/>
        <v>0.92558099311348352</v>
      </c>
      <c r="E157" s="139">
        <f t="shared" si="185"/>
        <v>0.90865947874935238</v>
      </c>
      <c r="F157" s="139">
        <f t="shared" si="185"/>
        <v>0.90002051243097492</v>
      </c>
      <c r="G157" s="139">
        <f t="shared" si="185"/>
        <v>0.88744902105595103</v>
      </c>
      <c r="H157" s="139">
        <f t="shared" si="185"/>
        <v>0.89069625965010579</v>
      </c>
      <c r="I157" s="139">
        <f t="shared" si="185"/>
        <v>0.88318924764226936</v>
      </c>
      <c r="J157" s="139">
        <f t="shared" si="185"/>
        <v>0.86077943036667326</v>
      </c>
      <c r="K157" s="139">
        <f t="shared" si="185"/>
        <v>0.84452597299475252</v>
      </c>
      <c r="L157" s="139">
        <f t="shared" si="185"/>
        <v>0.8263781895821225</v>
      </c>
      <c r="M157" s="139">
        <f t="shared" si="185"/>
        <v>0.81876566791474037</v>
      </c>
      <c r="N157" s="139">
        <f t="shared" si="185"/>
        <v>0.81670519570295097</v>
      </c>
      <c r="O157" s="139">
        <f t="shared" si="185"/>
        <v>0.81470659537832568</v>
      </c>
      <c r="P157" s="139">
        <f t="shared" si="185"/>
        <v>0.84100912667396621</v>
      </c>
      <c r="Q157" s="139">
        <f t="shared" si="185"/>
        <v>0.85374822722770172</v>
      </c>
      <c r="R157" s="139">
        <f t="shared" si="185"/>
        <v>0.84176939276161766</v>
      </c>
      <c r="S157" s="139">
        <f t="shared" si="185"/>
        <v>0.82936980132214633</v>
      </c>
      <c r="T157" s="139">
        <f t="shared" si="185"/>
        <v>0.81675649218153867</v>
      </c>
      <c r="U157" s="139">
        <f t="shared" si="185"/>
        <v>0.81880418270174327</v>
      </c>
      <c r="V157" s="139">
        <f t="shared" si="185"/>
        <v>0.92088179525652503</v>
      </c>
      <c r="W157" s="139">
        <f t="shared" si="185"/>
        <v>0.89714464568450425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5.619559815467092E-3</v>
      </c>
      <c r="C158" s="140">
        <f t="shared" ref="C158:W158" si="186">IF(C66=0,0,C66/C$64)</f>
        <v>5.2173479870274049E-3</v>
      </c>
      <c r="D158" s="140">
        <f t="shared" si="186"/>
        <v>5.1335869364078591E-3</v>
      </c>
      <c r="E158" s="140">
        <f t="shared" si="186"/>
        <v>4.7783384566592408E-3</v>
      </c>
      <c r="F158" s="140">
        <f t="shared" si="186"/>
        <v>4.468559260353706E-3</v>
      </c>
      <c r="G158" s="140">
        <f t="shared" si="186"/>
        <v>4.2435424564908246E-3</v>
      </c>
      <c r="H158" s="140">
        <f t="shared" si="186"/>
        <v>3.6445020998401344E-3</v>
      </c>
      <c r="I158" s="140">
        <f t="shared" si="186"/>
        <v>3.1085641436217055E-3</v>
      </c>
      <c r="J158" s="140">
        <f t="shared" si="186"/>
        <v>2.9861855422665638E-3</v>
      </c>
      <c r="K158" s="140">
        <f t="shared" si="186"/>
        <v>3.0952278398125657E-3</v>
      </c>
      <c r="L158" s="140">
        <f t="shared" si="186"/>
        <v>3.0102575386525428E-3</v>
      </c>
      <c r="M158" s="140">
        <f t="shared" si="186"/>
        <v>3.0571407539235016E-3</v>
      </c>
      <c r="N158" s="140">
        <f t="shared" si="186"/>
        <v>2.8154440202406879E-3</v>
      </c>
      <c r="O158" s="140">
        <f t="shared" si="186"/>
        <v>2.8430631437188153E-3</v>
      </c>
      <c r="P158" s="140">
        <f t="shared" si="186"/>
        <v>3.1682113426688102E-3</v>
      </c>
      <c r="Q158" s="140">
        <f t="shared" si="186"/>
        <v>3.7111464294821662E-3</v>
      </c>
      <c r="R158" s="140">
        <f t="shared" si="186"/>
        <v>3.4131177321510557E-3</v>
      </c>
      <c r="S158" s="140">
        <f t="shared" si="186"/>
        <v>3.0007820219517863E-3</v>
      </c>
      <c r="T158" s="140">
        <f t="shared" si="186"/>
        <v>2.7611625026285184E-3</v>
      </c>
      <c r="U158" s="140">
        <f t="shared" si="186"/>
        <v>2.802348429149509E-3</v>
      </c>
      <c r="V158" s="140">
        <f t="shared" si="186"/>
        <v>2.8991015658908111E-3</v>
      </c>
      <c r="W158" s="140">
        <f t="shared" si="186"/>
        <v>2.6837820313107817E-3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0.74831834388374552</v>
      </c>
      <c r="C159" s="140">
        <f t="shared" ref="C159:W159" si="187">IF(C67=0,0,C67/C$64)</f>
        <v>0.75322956798141294</v>
      </c>
      <c r="D159" s="140">
        <f t="shared" si="187"/>
        <v>0.75539886915162269</v>
      </c>
      <c r="E159" s="140">
        <f t="shared" si="187"/>
        <v>0.73976958189088404</v>
      </c>
      <c r="F159" s="140">
        <f t="shared" si="187"/>
        <v>0.738510679580898</v>
      </c>
      <c r="G159" s="140">
        <f t="shared" si="187"/>
        <v>0.73344662458906951</v>
      </c>
      <c r="H159" s="140">
        <f t="shared" si="187"/>
        <v>0.75568648045471554</v>
      </c>
      <c r="I159" s="140">
        <f t="shared" si="187"/>
        <v>0.76257056108486532</v>
      </c>
      <c r="J159" s="140">
        <f t="shared" si="187"/>
        <v>0.74687783116452178</v>
      </c>
      <c r="K159" s="140">
        <f t="shared" si="187"/>
        <v>0.72955510000474399</v>
      </c>
      <c r="L159" s="140">
        <f t="shared" si="187"/>
        <v>0.70852801024827705</v>
      </c>
      <c r="M159" s="140">
        <f t="shared" si="187"/>
        <v>0.70793001983872839</v>
      </c>
      <c r="N159" s="140">
        <f t="shared" si="187"/>
        <v>0.70580956822348107</v>
      </c>
      <c r="O159" s="140">
        <f t="shared" si="187"/>
        <v>0.70555606347084543</v>
      </c>
      <c r="P159" s="140">
        <f t="shared" si="187"/>
        <v>0.74136718267063717</v>
      </c>
      <c r="Q159" s="140">
        <f t="shared" si="187"/>
        <v>0.75859056915022316</v>
      </c>
      <c r="R159" s="140">
        <f t="shared" si="187"/>
        <v>0.75049423883289368</v>
      </c>
      <c r="S159" s="140">
        <f t="shared" si="187"/>
        <v>0.74055645633911094</v>
      </c>
      <c r="T159" s="140">
        <f t="shared" si="187"/>
        <v>0.73461874030788898</v>
      </c>
      <c r="U159" s="140">
        <f t="shared" si="187"/>
        <v>0.74322657231609668</v>
      </c>
      <c r="V159" s="140">
        <f t="shared" si="187"/>
        <v>0.84912864892959039</v>
      </c>
      <c r="W159" s="140">
        <f t="shared" si="187"/>
        <v>0.83640905955226308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0.16664354907752194</v>
      </c>
      <c r="C160" s="140">
        <f t="shared" ref="C160:W160" si="188">IF(C68=0,0,C68/C$64)</f>
        <v>0.16963990859847294</v>
      </c>
      <c r="D160" s="140">
        <f t="shared" si="188"/>
        <v>0.16504853702545294</v>
      </c>
      <c r="E160" s="140">
        <f t="shared" si="188"/>
        <v>0.16411155840180916</v>
      </c>
      <c r="F160" s="140">
        <f t="shared" si="188"/>
        <v>0.15704127358972314</v>
      </c>
      <c r="G160" s="140">
        <f t="shared" si="188"/>
        <v>0.14975885401039074</v>
      </c>
      <c r="H160" s="140">
        <f t="shared" si="188"/>
        <v>0.13136527709555013</v>
      </c>
      <c r="I160" s="140">
        <f t="shared" si="188"/>
        <v>0.11751012241378229</v>
      </c>
      <c r="J160" s="140">
        <f t="shared" si="188"/>
        <v>0.11091541365988491</v>
      </c>
      <c r="K160" s="140">
        <f t="shared" si="188"/>
        <v>0.11187564515019603</v>
      </c>
      <c r="L160" s="140">
        <f t="shared" si="188"/>
        <v>0.11483992179519301</v>
      </c>
      <c r="M160" s="140">
        <f t="shared" si="188"/>
        <v>0.10777850732208838</v>
      </c>
      <c r="N160" s="140">
        <f t="shared" si="188"/>
        <v>0.10808018345922929</v>
      </c>
      <c r="O160" s="140">
        <f t="shared" si="188"/>
        <v>0.10630746876376157</v>
      </c>
      <c r="P160" s="140">
        <f t="shared" si="188"/>
        <v>9.6473732660660144E-2</v>
      </c>
      <c r="Q160" s="140">
        <f t="shared" si="188"/>
        <v>9.1446511647996456E-2</v>
      </c>
      <c r="R160" s="140">
        <f t="shared" si="188"/>
        <v>8.7862036196572915E-2</v>
      </c>
      <c r="S160" s="140">
        <f t="shared" si="188"/>
        <v>8.5812562961083597E-2</v>
      </c>
      <c r="T160" s="140">
        <f t="shared" si="188"/>
        <v>7.9376589371021211E-2</v>
      </c>
      <c r="U160" s="140">
        <f t="shared" si="188"/>
        <v>7.2775261956497139E-2</v>
      </c>
      <c r="V160" s="140">
        <f t="shared" si="188"/>
        <v>6.8854044761043898E-2</v>
      </c>
      <c r="W160" s="140">
        <f t="shared" si="188"/>
        <v>5.8051804100930381E-2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2.5718054071097785E-2</v>
      </c>
      <c r="C161" s="124">
        <f t="shared" ref="C161:W161" si="189">IF(C69=0,0,C69/C$64)</f>
        <v>2.2180811352433941E-2</v>
      </c>
      <c r="D161" s="124">
        <f t="shared" si="189"/>
        <v>2.3283614201025329E-2</v>
      </c>
      <c r="E161" s="124">
        <f t="shared" si="189"/>
        <v>2.1811322048185967E-2</v>
      </c>
      <c r="F161" s="124">
        <f t="shared" si="189"/>
        <v>2.0532700606648593E-2</v>
      </c>
      <c r="G161" s="124">
        <f t="shared" si="189"/>
        <v>1.9714669430141236E-2</v>
      </c>
      <c r="H161" s="124">
        <f t="shared" si="189"/>
        <v>1.6764118861588236E-2</v>
      </c>
      <c r="I161" s="124">
        <f t="shared" si="189"/>
        <v>1.5116561490769825E-2</v>
      </c>
      <c r="J161" s="124">
        <f t="shared" si="189"/>
        <v>1.4466056890694178E-2</v>
      </c>
      <c r="K161" s="124">
        <f t="shared" si="189"/>
        <v>1.3166191199288991E-2</v>
      </c>
      <c r="L161" s="124">
        <f t="shared" si="189"/>
        <v>1.0867332385652878E-2</v>
      </c>
      <c r="M161" s="124">
        <f t="shared" si="189"/>
        <v>1.1032449666680424E-2</v>
      </c>
      <c r="N161" s="124">
        <f t="shared" si="189"/>
        <v>1.0722994749872141E-2</v>
      </c>
      <c r="O161" s="124">
        <f t="shared" si="189"/>
        <v>1.0438052269874619E-2</v>
      </c>
      <c r="P161" s="124">
        <f t="shared" si="189"/>
        <v>8.4760395671101014E-3</v>
      </c>
      <c r="Q161" s="124">
        <f t="shared" si="189"/>
        <v>4.0726247816427041E-3</v>
      </c>
      <c r="R161" s="124">
        <f t="shared" si="189"/>
        <v>3.6531493339710401E-3</v>
      </c>
      <c r="S161" s="124">
        <f t="shared" si="189"/>
        <v>3.5657482046163058E-3</v>
      </c>
      <c r="T161" s="124">
        <f t="shared" si="189"/>
        <v>3.1107419964438955E-3</v>
      </c>
      <c r="U161" s="124">
        <f t="shared" si="189"/>
        <v>2.9681224517843744E-3</v>
      </c>
      <c r="V161" s="124">
        <f t="shared" si="189"/>
        <v>2.7806289714881667E-3</v>
      </c>
      <c r="W161" s="124">
        <f t="shared" si="189"/>
        <v>2.2924625829214493E-3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2.5718054071097785E-2</v>
      </c>
      <c r="C163" s="140">
        <f t="shared" ref="C163:W163" si="191">IF(C71=0,0,C71/C$64)</f>
        <v>2.2180811352433941E-2</v>
      </c>
      <c r="D163" s="140">
        <f t="shared" si="191"/>
        <v>2.3283614201025329E-2</v>
      </c>
      <c r="E163" s="140">
        <f t="shared" si="191"/>
        <v>2.1811322048185967E-2</v>
      </c>
      <c r="F163" s="140">
        <f t="shared" si="191"/>
        <v>2.0532700606648593E-2</v>
      </c>
      <c r="G163" s="140">
        <f t="shared" si="191"/>
        <v>1.9714669430141236E-2</v>
      </c>
      <c r="H163" s="140">
        <f t="shared" si="191"/>
        <v>1.6764118861588236E-2</v>
      </c>
      <c r="I163" s="140">
        <f t="shared" si="191"/>
        <v>1.5116561490769825E-2</v>
      </c>
      <c r="J163" s="140">
        <f t="shared" si="191"/>
        <v>1.4466056890694178E-2</v>
      </c>
      <c r="K163" s="140">
        <f t="shared" si="191"/>
        <v>1.3166191199288991E-2</v>
      </c>
      <c r="L163" s="140">
        <f t="shared" si="191"/>
        <v>1.0867332385652878E-2</v>
      </c>
      <c r="M163" s="140">
        <f t="shared" si="191"/>
        <v>1.1032449666680424E-2</v>
      </c>
      <c r="N163" s="140">
        <f t="shared" si="191"/>
        <v>1.0722994749872141E-2</v>
      </c>
      <c r="O163" s="140">
        <f t="shared" si="191"/>
        <v>1.0438052269874619E-2</v>
      </c>
      <c r="P163" s="140">
        <f t="shared" si="191"/>
        <v>8.4760395671101014E-3</v>
      </c>
      <c r="Q163" s="140">
        <f t="shared" si="191"/>
        <v>4.0726247816427041E-3</v>
      </c>
      <c r="R163" s="140">
        <f t="shared" si="191"/>
        <v>3.6531493339710401E-3</v>
      </c>
      <c r="S163" s="140">
        <f t="shared" si="191"/>
        <v>3.5657482046163058E-3</v>
      </c>
      <c r="T163" s="140">
        <f t="shared" si="191"/>
        <v>3.1107419964438955E-3</v>
      </c>
      <c r="U163" s="140">
        <f t="shared" si="191"/>
        <v>2.9681224517843744E-3</v>
      </c>
      <c r="V163" s="140">
        <f t="shared" si="191"/>
        <v>2.7806289714881667E-3</v>
      </c>
      <c r="W163" s="140">
        <f t="shared" si="191"/>
        <v>2.2924625829214493E-3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5.3700493152167843E-2</v>
      </c>
      <c r="C165" s="124">
        <f t="shared" ref="C165:W165" si="193">IF(C73=0,0,C73/C$64)</f>
        <v>4.9732364080652791E-2</v>
      </c>
      <c r="D165" s="124">
        <f t="shared" si="193"/>
        <v>5.1135392685491061E-2</v>
      </c>
      <c r="E165" s="124">
        <f t="shared" si="193"/>
        <v>6.9529199202461645E-2</v>
      </c>
      <c r="F165" s="124">
        <f t="shared" si="193"/>
        <v>7.9446786962376517E-2</v>
      </c>
      <c r="G165" s="124">
        <f t="shared" si="193"/>
        <v>9.2836309513907825E-2</v>
      </c>
      <c r="H165" s="124">
        <f t="shared" si="193"/>
        <v>9.2539621488306051E-2</v>
      </c>
      <c r="I165" s="124">
        <f t="shared" si="193"/>
        <v>0.10169419086696088</v>
      </c>
      <c r="J165" s="124">
        <f t="shared" si="193"/>
        <v>0.12475451274263256</v>
      </c>
      <c r="K165" s="124">
        <f t="shared" si="193"/>
        <v>0.14230783580595838</v>
      </c>
      <c r="L165" s="124">
        <f t="shared" si="193"/>
        <v>0.16275447803222459</v>
      </c>
      <c r="M165" s="124">
        <f t="shared" si="193"/>
        <v>0.17020188241857923</v>
      </c>
      <c r="N165" s="124">
        <f t="shared" si="193"/>
        <v>0.17257180954717699</v>
      </c>
      <c r="O165" s="124">
        <f t="shared" si="193"/>
        <v>0.17485535235179961</v>
      </c>
      <c r="P165" s="124">
        <f t="shared" si="193"/>
        <v>0.15051483375892369</v>
      </c>
      <c r="Q165" s="124">
        <f t="shared" si="193"/>
        <v>0.14217914799065548</v>
      </c>
      <c r="R165" s="124">
        <f t="shared" si="193"/>
        <v>0.15457745790441138</v>
      </c>
      <c r="S165" s="124">
        <f t="shared" si="193"/>
        <v>0.16706445047323745</v>
      </c>
      <c r="T165" s="124">
        <f t="shared" si="193"/>
        <v>0.18013276582201732</v>
      </c>
      <c r="U165" s="124">
        <f t="shared" si="193"/>
        <v>0.17822769484647247</v>
      </c>
      <c r="V165" s="124">
        <f t="shared" si="193"/>
        <v>7.6337575771986813E-2</v>
      </c>
      <c r="W165" s="124">
        <f t="shared" si="193"/>
        <v>0.10056289173257438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4.6961417620657545E-2</v>
      </c>
      <c r="C167" s="140">
        <f t="shared" ref="C167:W167" si="195">IF(C75=0,0,C75/C$64)</f>
        <v>4.3489045689455781E-2</v>
      </c>
      <c r="D167" s="140">
        <f t="shared" si="195"/>
        <v>4.4718022947685857E-2</v>
      </c>
      <c r="E167" s="140">
        <f t="shared" si="195"/>
        <v>6.0807273449928256E-2</v>
      </c>
      <c r="F167" s="140">
        <f t="shared" si="195"/>
        <v>6.9477906507414797E-2</v>
      </c>
      <c r="G167" s="140">
        <f t="shared" si="195"/>
        <v>8.2792361504807455E-2</v>
      </c>
      <c r="H167" s="140">
        <f t="shared" si="195"/>
        <v>8.3960326816124184E-2</v>
      </c>
      <c r="I167" s="140">
        <f t="shared" si="195"/>
        <v>9.2560375580961515E-2</v>
      </c>
      <c r="J167" s="140">
        <f t="shared" si="195"/>
        <v>0.11327384631037882</v>
      </c>
      <c r="K167" s="140">
        <f t="shared" si="195"/>
        <v>0.12888157579352499</v>
      </c>
      <c r="L167" s="140">
        <f t="shared" si="195"/>
        <v>0.14856365452715176</v>
      </c>
      <c r="M167" s="140">
        <f t="shared" si="195"/>
        <v>0.15546824080215071</v>
      </c>
      <c r="N167" s="140">
        <f t="shared" si="195"/>
        <v>0.1568352038449623</v>
      </c>
      <c r="O167" s="140">
        <f t="shared" si="195"/>
        <v>0.15918772400909328</v>
      </c>
      <c r="P167" s="140">
        <f t="shared" si="195"/>
        <v>0.13708948735882931</v>
      </c>
      <c r="Q167" s="140">
        <f t="shared" si="195"/>
        <v>0.13000755287409391</v>
      </c>
      <c r="R167" s="140">
        <f t="shared" si="195"/>
        <v>0.1419784083206668</v>
      </c>
      <c r="S167" s="140">
        <f t="shared" si="195"/>
        <v>0.15402878614367857</v>
      </c>
      <c r="T167" s="140">
        <f t="shared" si="195"/>
        <v>0.16614582542424502</v>
      </c>
      <c r="U167" s="140">
        <f t="shared" si="195"/>
        <v>0.16428706243644001</v>
      </c>
      <c r="V167" s="140">
        <f t="shared" si="195"/>
        <v>6.7570746017194969E-2</v>
      </c>
      <c r="W167" s="140">
        <f t="shared" si="195"/>
        <v>9.0302597988881975E-2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6.7390755315103034E-3</v>
      </c>
      <c r="C168" s="140">
        <f t="shared" ref="C168:W168" si="196">IF(C76=0,0,C76/C$64)</f>
        <v>6.24331839119701E-3</v>
      </c>
      <c r="D168" s="140">
        <f t="shared" si="196"/>
        <v>6.4173697378051998E-3</v>
      </c>
      <c r="E168" s="140">
        <f t="shared" si="196"/>
        <v>8.7219257525333899E-3</v>
      </c>
      <c r="F168" s="140">
        <f t="shared" si="196"/>
        <v>9.9688804549617083E-3</v>
      </c>
      <c r="G168" s="140">
        <f t="shared" si="196"/>
        <v>1.004394800910037E-2</v>
      </c>
      <c r="H168" s="140">
        <f t="shared" si="196"/>
        <v>8.5792946721818635E-3</v>
      </c>
      <c r="I168" s="140">
        <f t="shared" si="196"/>
        <v>9.1338152859993752E-3</v>
      </c>
      <c r="J168" s="140">
        <f t="shared" si="196"/>
        <v>1.1480666432253751E-2</v>
      </c>
      <c r="K168" s="140">
        <f t="shared" si="196"/>
        <v>1.3426260012433388E-2</v>
      </c>
      <c r="L168" s="140">
        <f t="shared" si="196"/>
        <v>1.419082350507286E-2</v>
      </c>
      <c r="M168" s="140">
        <f t="shared" si="196"/>
        <v>1.4733641616428487E-2</v>
      </c>
      <c r="N168" s="140">
        <f t="shared" si="196"/>
        <v>1.5736605702214669E-2</v>
      </c>
      <c r="O168" s="140">
        <f t="shared" si="196"/>
        <v>1.5667628342706328E-2</v>
      </c>
      <c r="P168" s="140">
        <f t="shared" si="196"/>
        <v>1.3425346400094384E-2</v>
      </c>
      <c r="Q168" s="140">
        <f t="shared" si="196"/>
        <v>1.2171595116561565E-2</v>
      </c>
      <c r="R168" s="140">
        <f t="shared" si="196"/>
        <v>1.2599049583744592E-2</v>
      </c>
      <c r="S168" s="140">
        <f t="shared" si="196"/>
        <v>1.3035664329558881E-2</v>
      </c>
      <c r="T168" s="140">
        <f t="shared" si="196"/>
        <v>1.3986940397772308E-2</v>
      </c>
      <c r="U168" s="140">
        <f t="shared" si="196"/>
        <v>1.3940632410032438E-2</v>
      </c>
      <c r="V168" s="140">
        <f t="shared" si="196"/>
        <v>8.7668297547918422E-3</v>
      </c>
      <c r="W168" s="140">
        <f t="shared" si="196"/>
        <v>1.0260293743692391E-2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0.76468656059090978</v>
      </c>
      <c r="C170" s="139">
        <f t="shared" ref="C170:W170" si="199">IF(C78=0,0,C78/C$77)</f>
        <v>0.82062081346296678</v>
      </c>
      <c r="D170" s="139">
        <f t="shared" si="199"/>
        <v>0.82483812724135652</v>
      </c>
      <c r="E170" s="139">
        <f t="shared" si="199"/>
        <v>0.80818186400144976</v>
      </c>
      <c r="F170" s="139">
        <f t="shared" si="199"/>
        <v>0.81345999341182085</v>
      </c>
      <c r="G170" s="139">
        <f t="shared" si="199"/>
        <v>0.8261715941976846</v>
      </c>
      <c r="H170" s="139">
        <f t="shared" si="199"/>
        <v>0.85966812126121694</v>
      </c>
      <c r="I170" s="139">
        <f t="shared" si="199"/>
        <v>0.86741592201806217</v>
      </c>
      <c r="J170" s="139">
        <f t="shared" si="199"/>
        <v>0.85339251617173884</v>
      </c>
      <c r="K170" s="139">
        <f t="shared" si="199"/>
        <v>0.82893925379480893</v>
      </c>
      <c r="L170" s="139">
        <f t="shared" si="199"/>
        <v>0.85170734830648531</v>
      </c>
      <c r="M170" s="139">
        <f t="shared" si="199"/>
        <v>0.79320021475280689</v>
      </c>
      <c r="N170" s="139">
        <f t="shared" si="199"/>
        <v>0.76534802628707377</v>
      </c>
      <c r="O170" s="139">
        <f t="shared" si="199"/>
        <v>0.77829629285417146</v>
      </c>
      <c r="P170" s="139">
        <f t="shared" si="199"/>
        <v>0.7972959559047037</v>
      </c>
      <c r="Q170" s="139">
        <f t="shared" si="199"/>
        <v>0.81482601673857147</v>
      </c>
      <c r="R170" s="139">
        <f t="shared" si="199"/>
        <v>0.83223605336005124</v>
      </c>
      <c r="S170" s="139">
        <f t="shared" si="199"/>
        <v>0.850563304929005</v>
      </c>
      <c r="T170" s="139">
        <f t="shared" si="199"/>
        <v>0.84502327542786648</v>
      </c>
      <c r="U170" s="139">
        <f t="shared" si="199"/>
        <v>0.86969775759429413</v>
      </c>
      <c r="V170" s="139">
        <f t="shared" si="199"/>
        <v>0.91147424909402308</v>
      </c>
      <c r="W170" s="139">
        <f t="shared" si="199"/>
        <v>0.92052581226174424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0.15602637896299998</v>
      </c>
      <c r="C171" s="140">
        <f t="shared" ref="C171:W171" si="200">IF(C79=0,0,C79/C$77)</f>
        <v>0.13550122993731709</v>
      </c>
      <c r="D171" s="140">
        <f t="shared" si="200"/>
        <v>0.15544405926372548</v>
      </c>
      <c r="E171" s="140">
        <f t="shared" si="200"/>
        <v>0.13101928997139412</v>
      </c>
      <c r="F171" s="140">
        <f t="shared" si="200"/>
        <v>0.16042347568490001</v>
      </c>
      <c r="G171" s="140">
        <f t="shared" si="200"/>
        <v>0.13940893294019549</v>
      </c>
      <c r="H171" s="140">
        <f t="shared" si="200"/>
        <v>0.1442861977977791</v>
      </c>
      <c r="I171" s="140">
        <f t="shared" si="200"/>
        <v>0.13763193700117865</v>
      </c>
      <c r="J171" s="140">
        <f t="shared" si="200"/>
        <v>0.14766628834993148</v>
      </c>
      <c r="K171" s="140">
        <f t="shared" si="200"/>
        <v>0.1591381873200077</v>
      </c>
      <c r="L171" s="140">
        <f t="shared" si="200"/>
        <v>0.13278631087294343</v>
      </c>
      <c r="M171" s="140">
        <f t="shared" si="200"/>
        <v>0.15809197181420109</v>
      </c>
      <c r="N171" s="140">
        <f t="shared" si="200"/>
        <v>0.17769839826624997</v>
      </c>
      <c r="O171" s="140">
        <f t="shared" si="200"/>
        <v>0.19782289698077354</v>
      </c>
      <c r="P171" s="140">
        <f t="shared" si="200"/>
        <v>0.21786024659639314</v>
      </c>
      <c r="Q171" s="140">
        <f t="shared" si="200"/>
        <v>0.21641286522530218</v>
      </c>
      <c r="R171" s="140">
        <f t="shared" si="200"/>
        <v>0.22535305975266667</v>
      </c>
      <c r="S171" s="140">
        <f t="shared" si="200"/>
        <v>0.21950668637881676</v>
      </c>
      <c r="T171" s="140">
        <f t="shared" si="200"/>
        <v>0.21371016414568517</v>
      </c>
      <c r="U171" s="140">
        <f t="shared" si="200"/>
        <v>0.23378913353145869</v>
      </c>
      <c r="V171" s="140">
        <f t="shared" si="200"/>
        <v>0.25011251824229747</v>
      </c>
      <c r="W171" s="140">
        <f t="shared" si="200"/>
        <v>0.23922898495113118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0.6086601816279098</v>
      </c>
      <c r="C172" s="140">
        <f t="shared" ref="C172:W172" si="201">IF(C80=0,0,C80/C$77)</f>
        <v>0.68511958352564972</v>
      </c>
      <c r="D172" s="140">
        <f t="shared" si="201"/>
        <v>0.66939406797763101</v>
      </c>
      <c r="E172" s="140">
        <f t="shared" si="201"/>
        <v>0.67716257403005564</v>
      </c>
      <c r="F172" s="140">
        <f t="shared" si="201"/>
        <v>0.65303651772692084</v>
      </c>
      <c r="G172" s="140">
        <f t="shared" si="201"/>
        <v>0.68676266125748897</v>
      </c>
      <c r="H172" s="140">
        <f t="shared" si="201"/>
        <v>0.71538192346343799</v>
      </c>
      <c r="I172" s="140">
        <f t="shared" si="201"/>
        <v>0.72978398501688346</v>
      </c>
      <c r="J172" s="140">
        <f t="shared" si="201"/>
        <v>0.70572622782180738</v>
      </c>
      <c r="K172" s="140">
        <f t="shared" si="201"/>
        <v>0.66980106647480109</v>
      </c>
      <c r="L172" s="140">
        <f t="shared" si="201"/>
        <v>0.71892103743354197</v>
      </c>
      <c r="M172" s="140">
        <f t="shared" si="201"/>
        <v>0.63510824293860579</v>
      </c>
      <c r="N172" s="140">
        <f t="shared" si="201"/>
        <v>0.58764962802082388</v>
      </c>
      <c r="O172" s="140">
        <f t="shared" si="201"/>
        <v>0.58047339587339797</v>
      </c>
      <c r="P172" s="140">
        <f t="shared" si="201"/>
        <v>0.57943570930831056</v>
      </c>
      <c r="Q172" s="140">
        <f t="shared" si="201"/>
        <v>0.59841315151326924</v>
      </c>
      <c r="R172" s="140">
        <f t="shared" si="201"/>
        <v>0.60688299360738462</v>
      </c>
      <c r="S172" s="140">
        <f t="shared" si="201"/>
        <v>0.63105661855018824</v>
      </c>
      <c r="T172" s="140">
        <f t="shared" si="201"/>
        <v>0.63131311128218126</v>
      </c>
      <c r="U172" s="140">
        <f t="shared" si="201"/>
        <v>0.63590862406283544</v>
      </c>
      <c r="V172" s="140">
        <f t="shared" si="201"/>
        <v>0.66136173085172567</v>
      </c>
      <c r="W172" s="140">
        <f t="shared" si="201"/>
        <v>0.68129682731061314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0.2342773002588342</v>
      </c>
      <c r="C173" s="124">
        <f t="shared" ref="C173:W173" si="202">IF(C81=0,0,C81/C$77)</f>
        <v>0.17867368565637301</v>
      </c>
      <c r="D173" s="124">
        <f t="shared" si="202"/>
        <v>0.17440547002101803</v>
      </c>
      <c r="E173" s="124">
        <f t="shared" si="202"/>
        <v>0.19118128302717288</v>
      </c>
      <c r="F173" s="124">
        <f t="shared" si="202"/>
        <v>0.18584755493183031</v>
      </c>
      <c r="G173" s="124">
        <f t="shared" si="202"/>
        <v>0.17298191977359581</v>
      </c>
      <c r="H173" s="124">
        <f t="shared" si="202"/>
        <v>0.13952100285418675</v>
      </c>
      <c r="I173" s="124">
        <f t="shared" si="202"/>
        <v>0.12993623025884277</v>
      </c>
      <c r="J173" s="124">
        <f t="shared" si="202"/>
        <v>0.1413112432013186</v>
      </c>
      <c r="K173" s="124">
        <f t="shared" si="202"/>
        <v>0.15877181074313446</v>
      </c>
      <c r="L173" s="124">
        <f t="shared" si="202"/>
        <v>0.13410167991400629</v>
      </c>
      <c r="M173" s="124">
        <f t="shared" si="202"/>
        <v>0.18939430258244605</v>
      </c>
      <c r="N173" s="124">
        <f t="shared" si="202"/>
        <v>0.21254274281602711</v>
      </c>
      <c r="O173" s="124">
        <f t="shared" si="202"/>
        <v>0.18410630138583806</v>
      </c>
      <c r="P173" s="124">
        <f t="shared" si="202"/>
        <v>0.18306275569542002</v>
      </c>
      <c r="Q173" s="124">
        <f t="shared" si="202"/>
        <v>0.1731530669513657</v>
      </c>
      <c r="R173" s="124">
        <f t="shared" si="202"/>
        <v>0.15246175281424126</v>
      </c>
      <c r="S173" s="124">
        <f t="shared" si="202"/>
        <v>0.13315866437080442</v>
      </c>
      <c r="T173" s="124">
        <f t="shared" si="202"/>
        <v>0.1363818124088361</v>
      </c>
      <c r="U173" s="124">
        <f t="shared" si="202"/>
        <v>0.11968742698198798</v>
      </c>
      <c r="V173" s="124">
        <f t="shared" si="202"/>
        <v>7.3194190221484948E-2</v>
      </c>
      <c r="W173" s="124">
        <f t="shared" si="202"/>
        <v>6.4177784104094499E-2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1.0361391502562063E-3</v>
      </c>
      <c r="C174" s="124">
        <f t="shared" ref="C174:W174" si="203">IF(C82=0,0,C82/C$77)</f>
        <v>7.055008806602038E-4</v>
      </c>
      <c r="D174" s="124">
        <f t="shared" si="203"/>
        <v>7.5640273762541538E-4</v>
      </c>
      <c r="E174" s="124">
        <f t="shared" si="203"/>
        <v>6.3685297137733743E-4</v>
      </c>
      <c r="F174" s="124">
        <f t="shared" si="203"/>
        <v>6.9245165634886519E-4</v>
      </c>
      <c r="G174" s="124">
        <f t="shared" si="203"/>
        <v>8.4648602871955985E-4</v>
      </c>
      <c r="H174" s="124">
        <f t="shared" si="203"/>
        <v>8.1087588459625233E-4</v>
      </c>
      <c r="I174" s="124">
        <f t="shared" si="203"/>
        <v>6.971757839004803E-4</v>
      </c>
      <c r="J174" s="124">
        <f t="shared" si="203"/>
        <v>1.0970392438842164E-3</v>
      </c>
      <c r="K174" s="124">
        <f t="shared" si="203"/>
        <v>2.3735534100802237E-3</v>
      </c>
      <c r="L174" s="124">
        <f t="shared" si="203"/>
        <v>2.7427443748499146E-3</v>
      </c>
      <c r="M174" s="124">
        <f t="shared" si="203"/>
        <v>3.2254558416358976E-3</v>
      </c>
      <c r="N174" s="124">
        <f t="shared" si="203"/>
        <v>1.0328628524222516E-2</v>
      </c>
      <c r="O174" s="124">
        <f t="shared" si="203"/>
        <v>1.4690332157423075E-2</v>
      </c>
      <c r="P174" s="124">
        <f t="shared" si="203"/>
        <v>7.8802823401710222E-3</v>
      </c>
      <c r="Q174" s="124">
        <f t="shared" si="203"/>
        <v>3.6558497109954288E-3</v>
      </c>
      <c r="R174" s="124">
        <f t="shared" si="203"/>
        <v>3.6314790772250887E-3</v>
      </c>
      <c r="S174" s="124">
        <f t="shared" si="203"/>
        <v>3.9178497177543362E-3</v>
      </c>
      <c r="T174" s="124">
        <f t="shared" si="203"/>
        <v>3.9699403247846756E-3</v>
      </c>
      <c r="U174" s="124">
        <f t="shared" si="203"/>
        <v>5.6245847023105927E-3</v>
      </c>
      <c r="V174" s="124">
        <f t="shared" si="203"/>
        <v>8.1062468507692859E-3</v>
      </c>
      <c r="W174" s="124">
        <f t="shared" si="203"/>
        <v>8.1153117154590844E-3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9.1549707230174167E-4</v>
      </c>
      <c r="C176" s="140">
        <f t="shared" ref="C176:W176" si="205">IF(C84=0,0,C84/C$77)</f>
        <v>6.0572685371122444E-4</v>
      </c>
      <c r="D176" s="140">
        <f t="shared" si="205"/>
        <v>6.5141586313871428E-4</v>
      </c>
      <c r="E176" s="140">
        <f t="shared" si="205"/>
        <v>5.3845274353927597E-4</v>
      </c>
      <c r="F176" s="140">
        <f t="shared" si="205"/>
        <v>5.8941447063729673E-4</v>
      </c>
      <c r="G176" s="140">
        <f t="shared" si="205"/>
        <v>7.4326513217191621E-4</v>
      </c>
      <c r="H176" s="140">
        <f t="shared" si="205"/>
        <v>7.0469931176886293E-4</v>
      </c>
      <c r="I176" s="140">
        <f t="shared" si="205"/>
        <v>5.6075233689234396E-4</v>
      </c>
      <c r="J176" s="140">
        <f t="shared" si="205"/>
        <v>8.4195184712944869E-4</v>
      </c>
      <c r="K176" s="140">
        <f t="shared" si="205"/>
        <v>1.9539120986156989E-3</v>
      </c>
      <c r="L176" s="140">
        <f t="shared" si="205"/>
        <v>2.1205130390458578E-3</v>
      </c>
      <c r="M176" s="140">
        <f t="shared" si="205"/>
        <v>2.4027461205213688E-3</v>
      </c>
      <c r="N176" s="140">
        <f t="shared" si="205"/>
        <v>2.8310148498154209E-3</v>
      </c>
      <c r="O176" s="140">
        <f t="shared" si="205"/>
        <v>3.2176475415742964E-3</v>
      </c>
      <c r="P176" s="140">
        <f t="shared" si="205"/>
        <v>2.9436556459607115E-3</v>
      </c>
      <c r="Q176" s="140">
        <f t="shared" si="205"/>
        <v>2.3566502505654955E-3</v>
      </c>
      <c r="R176" s="140">
        <f t="shared" si="205"/>
        <v>2.6328528402289227E-3</v>
      </c>
      <c r="S176" s="140">
        <f t="shared" si="205"/>
        <v>3.0198210054001957E-3</v>
      </c>
      <c r="T176" s="140">
        <f t="shared" si="205"/>
        <v>3.2395676788369542E-3</v>
      </c>
      <c r="U176" s="140">
        <f t="shared" si="205"/>
        <v>3.78340856518507E-3</v>
      </c>
      <c r="V176" s="140">
        <f t="shared" si="205"/>
        <v>3.1042697886343087E-3</v>
      </c>
      <c r="W176" s="140">
        <f t="shared" si="205"/>
        <v>4.7824529244531707E-3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1.2064207795446465E-4</v>
      </c>
      <c r="C177" s="140">
        <f t="shared" ref="C177:W177" si="206">IF(C85=0,0,C85/C$77)</f>
        <v>9.9774026948979368E-5</v>
      </c>
      <c r="D177" s="140">
        <f t="shared" si="206"/>
        <v>1.0498687448670111E-4</v>
      </c>
      <c r="E177" s="140">
        <f t="shared" si="206"/>
        <v>9.8400227838061494E-5</v>
      </c>
      <c r="F177" s="140">
        <f t="shared" si="206"/>
        <v>1.0303718571156849E-4</v>
      </c>
      <c r="G177" s="140">
        <f t="shared" si="206"/>
        <v>1.0322089654764375E-4</v>
      </c>
      <c r="H177" s="140">
        <f t="shared" si="206"/>
        <v>1.0617657282738929E-4</v>
      </c>
      <c r="I177" s="140">
        <f t="shared" si="206"/>
        <v>1.3642344700813639E-4</v>
      </c>
      <c r="J177" s="140">
        <f t="shared" si="206"/>
        <v>2.5508739675476774E-4</v>
      </c>
      <c r="K177" s="140">
        <f t="shared" si="206"/>
        <v>4.1964131146452507E-4</v>
      </c>
      <c r="L177" s="140">
        <f t="shared" si="206"/>
        <v>6.2223133580405665E-4</v>
      </c>
      <c r="M177" s="140">
        <f t="shared" si="206"/>
        <v>8.2270972111452869E-4</v>
      </c>
      <c r="N177" s="140">
        <f t="shared" si="206"/>
        <v>7.4976136744070937E-3</v>
      </c>
      <c r="O177" s="140">
        <f t="shared" si="206"/>
        <v>1.1472684615848777E-2</v>
      </c>
      <c r="P177" s="140">
        <f t="shared" si="206"/>
        <v>4.9366266942103111E-3</v>
      </c>
      <c r="Q177" s="140">
        <f t="shared" si="206"/>
        <v>1.2991994604299331E-3</v>
      </c>
      <c r="R177" s="140">
        <f t="shared" si="206"/>
        <v>9.9862623699616582E-4</v>
      </c>
      <c r="S177" s="140">
        <f t="shared" si="206"/>
        <v>8.9802871235414099E-4</v>
      </c>
      <c r="T177" s="140">
        <f t="shared" si="206"/>
        <v>7.303726459477216E-4</v>
      </c>
      <c r="U177" s="140">
        <f t="shared" si="206"/>
        <v>1.8411761371255229E-3</v>
      </c>
      <c r="V177" s="140">
        <f t="shared" si="206"/>
        <v>5.0019770621349772E-3</v>
      </c>
      <c r="W177" s="140">
        <f t="shared" si="206"/>
        <v>3.3328587910059133E-3</v>
      </c>
      <c r="DA177" s="175"/>
    </row>
    <row r="178" spans="1:105" ht="11.45" customHeight="1" x14ac:dyDescent="0.25">
      <c r="A178" s="109" t="s">
        <v>142</v>
      </c>
      <c r="B178" s="124">
        <f t="shared" si="197"/>
        <v>0</v>
      </c>
      <c r="C178" s="124">
        <f t="shared" ref="C178:W178" si="207">IF(C86=0,0,C86/C$77)</f>
        <v>0</v>
      </c>
      <c r="D178" s="124">
        <f t="shared" si="207"/>
        <v>0</v>
      </c>
      <c r="E178" s="124">
        <f t="shared" si="207"/>
        <v>0</v>
      </c>
      <c r="F178" s="124">
        <f t="shared" si="207"/>
        <v>0</v>
      </c>
      <c r="G178" s="124">
        <f t="shared" si="207"/>
        <v>0</v>
      </c>
      <c r="H178" s="124">
        <f t="shared" si="207"/>
        <v>0</v>
      </c>
      <c r="I178" s="124">
        <f t="shared" si="207"/>
        <v>1.9506719391945296E-3</v>
      </c>
      <c r="J178" s="124">
        <f t="shared" si="207"/>
        <v>4.1992013830583078E-3</v>
      </c>
      <c r="K178" s="124">
        <f t="shared" si="207"/>
        <v>9.9153820519763732E-3</v>
      </c>
      <c r="L178" s="124">
        <f t="shared" si="207"/>
        <v>1.1448227404658508E-2</v>
      </c>
      <c r="M178" s="124">
        <f t="shared" si="207"/>
        <v>1.4180026823111249E-2</v>
      </c>
      <c r="N178" s="124">
        <f t="shared" si="207"/>
        <v>1.1780602372676457E-2</v>
      </c>
      <c r="O178" s="124">
        <f t="shared" si="207"/>
        <v>2.2907073602567354E-2</v>
      </c>
      <c r="P178" s="124">
        <f t="shared" si="207"/>
        <v>1.1761006059705184E-2</v>
      </c>
      <c r="Q178" s="124">
        <f t="shared" si="207"/>
        <v>8.3650665990673799E-3</v>
      </c>
      <c r="R178" s="124">
        <f t="shared" si="207"/>
        <v>1.1670714748482306E-2</v>
      </c>
      <c r="S178" s="124">
        <f t="shared" si="207"/>
        <v>1.2360180982436407E-2</v>
      </c>
      <c r="T178" s="124">
        <f t="shared" si="207"/>
        <v>1.4624971838512874E-2</v>
      </c>
      <c r="U178" s="124">
        <f t="shared" si="207"/>
        <v>4.9902307214071875E-3</v>
      </c>
      <c r="V178" s="124">
        <f t="shared" si="207"/>
        <v>7.2253138337226601E-3</v>
      </c>
      <c r="W178" s="124">
        <f t="shared" si="207"/>
        <v>7.1810919187021626E-3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1.9506719391945296E-3</v>
      </c>
      <c r="J179" s="140">
        <f t="shared" si="208"/>
        <v>4.1992013830583078E-3</v>
      </c>
      <c r="K179" s="140">
        <f t="shared" si="208"/>
        <v>9.9153820519763732E-3</v>
      </c>
      <c r="L179" s="140">
        <f t="shared" si="208"/>
        <v>1.1448227404658508E-2</v>
      </c>
      <c r="M179" s="140">
        <f t="shared" si="208"/>
        <v>1.4180026823111249E-2</v>
      </c>
      <c r="N179" s="140">
        <f t="shared" si="208"/>
        <v>1.1780602372676457E-2</v>
      </c>
      <c r="O179" s="140">
        <f t="shared" si="208"/>
        <v>2.2907073602567354E-2</v>
      </c>
      <c r="P179" s="140">
        <f t="shared" si="208"/>
        <v>1.1761006059705184E-2</v>
      </c>
      <c r="Q179" s="140">
        <f t="shared" si="208"/>
        <v>8.3650665990673799E-3</v>
      </c>
      <c r="R179" s="140">
        <f t="shared" si="208"/>
        <v>1.1670714748482306E-2</v>
      </c>
      <c r="S179" s="140">
        <f t="shared" si="208"/>
        <v>1.2360180982436407E-2</v>
      </c>
      <c r="T179" s="140">
        <f t="shared" si="208"/>
        <v>1.4624971838512874E-2</v>
      </c>
      <c r="U179" s="140">
        <f t="shared" si="208"/>
        <v>4.9902307214071875E-3</v>
      </c>
      <c r="V179" s="140">
        <f t="shared" si="208"/>
        <v>7.2253138337226601E-3</v>
      </c>
      <c r="W179" s="140">
        <f t="shared" si="208"/>
        <v>7.1810919187021626E-3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0.43795059246328188</v>
      </c>
      <c r="C182" s="140">
        <f t="shared" ref="C182:W182" si="211">IF(C90=0,0,C90/C$89)</f>
        <v>0.4283663690239814</v>
      </c>
      <c r="D182" s="140">
        <f t="shared" si="211"/>
        <v>0.42864761573923099</v>
      </c>
      <c r="E182" s="140">
        <f t="shared" si="211"/>
        <v>0.42917223810797217</v>
      </c>
      <c r="F182" s="140">
        <f t="shared" si="211"/>
        <v>0.42962325087177666</v>
      </c>
      <c r="G182" s="140">
        <f t="shared" si="211"/>
        <v>0.4031268098334303</v>
      </c>
      <c r="H182" s="140">
        <f t="shared" si="211"/>
        <v>0.39545497689354997</v>
      </c>
      <c r="I182" s="140">
        <f t="shared" si="211"/>
        <v>0.40965354302302176</v>
      </c>
      <c r="J182" s="140">
        <f t="shared" si="211"/>
        <v>0.41356606822354602</v>
      </c>
      <c r="K182" s="140">
        <f t="shared" si="211"/>
        <v>0.42837276357647724</v>
      </c>
      <c r="L182" s="140">
        <f t="shared" si="211"/>
        <v>0.45863508867511399</v>
      </c>
      <c r="M182" s="140">
        <f t="shared" si="211"/>
        <v>0.4276946263411594</v>
      </c>
      <c r="N182" s="140">
        <f t="shared" si="211"/>
        <v>0.45526707116432541</v>
      </c>
      <c r="O182" s="140">
        <f t="shared" si="211"/>
        <v>0.4694118196433783</v>
      </c>
      <c r="P182" s="140">
        <f t="shared" si="211"/>
        <v>0.4609014347373977</v>
      </c>
      <c r="Q182" s="140">
        <f t="shared" si="211"/>
        <v>0.47801870102813254</v>
      </c>
      <c r="R182" s="140">
        <f t="shared" si="211"/>
        <v>0.4788946733322188</v>
      </c>
      <c r="S182" s="140">
        <f t="shared" si="211"/>
        <v>0.46550264323413887</v>
      </c>
      <c r="T182" s="140">
        <f t="shared" si="211"/>
        <v>0.44759385859013728</v>
      </c>
      <c r="U182" s="140">
        <f t="shared" si="211"/>
        <v>0.41103713858174395</v>
      </c>
      <c r="V182" s="140">
        <f t="shared" si="211"/>
        <v>0.36411707609802335</v>
      </c>
      <c r="W182" s="140">
        <f t="shared" si="211"/>
        <v>0.33769675304058711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0.56204940753671806</v>
      </c>
      <c r="C183" s="127">
        <f t="shared" ref="C183:W183" si="212">IF(C91=0,0,C91/C$89)</f>
        <v>0.5716336309760186</v>
      </c>
      <c r="D183" s="127">
        <f t="shared" si="212"/>
        <v>0.57135238426076906</v>
      </c>
      <c r="E183" s="127">
        <f t="shared" si="212"/>
        <v>0.57082776189202789</v>
      </c>
      <c r="F183" s="127">
        <f t="shared" si="212"/>
        <v>0.57037674912822334</v>
      </c>
      <c r="G183" s="127">
        <f t="shared" si="212"/>
        <v>0.59687319016656959</v>
      </c>
      <c r="H183" s="127">
        <f t="shared" si="212"/>
        <v>0.6045450231064502</v>
      </c>
      <c r="I183" s="127">
        <f t="shared" si="212"/>
        <v>0.5903464569769783</v>
      </c>
      <c r="J183" s="127">
        <f t="shared" si="212"/>
        <v>0.58643393177645398</v>
      </c>
      <c r="K183" s="127">
        <f t="shared" si="212"/>
        <v>0.57162723642352276</v>
      </c>
      <c r="L183" s="127">
        <f t="shared" si="212"/>
        <v>0.54136491132488596</v>
      </c>
      <c r="M183" s="127">
        <f t="shared" si="212"/>
        <v>0.57230537365884071</v>
      </c>
      <c r="N183" s="127">
        <f t="shared" si="212"/>
        <v>0.54473292883567459</v>
      </c>
      <c r="O183" s="127">
        <f t="shared" si="212"/>
        <v>0.5305881803566217</v>
      </c>
      <c r="P183" s="127">
        <f t="shared" si="212"/>
        <v>0.53909856526260225</v>
      </c>
      <c r="Q183" s="127">
        <f t="shared" si="212"/>
        <v>0.52198129897186751</v>
      </c>
      <c r="R183" s="127">
        <f t="shared" si="212"/>
        <v>0.52110532666778131</v>
      </c>
      <c r="S183" s="127">
        <f t="shared" si="212"/>
        <v>0.53449735676586108</v>
      </c>
      <c r="T183" s="127">
        <f t="shared" si="212"/>
        <v>0.55240614140986266</v>
      </c>
      <c r="U183" s="127">
        <f t="shared" si="212"/>
        <v>0.58896286141825605</v>
      </c>
      <c r="V183" s="127">
        <f t="shared" si="212"/>
        <v>0.63588292390197665</v>
      </c>
      <c r="W183" s="127">
        <f t="shared" si="212"/>
        <v>0.66230324695941289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33.108283527432611</v>
      </c>
      <c r="C186" s="32">
        <f t="shared" si="213"/>
        <v>34.682521344753468</v>
      </c>
      <c r="D186" s="32">
        <f t="shared" si="213"/>
        <v>33.601738805917506</v>
      </c>
      <c r="E186" s="32">
        <f t="shared" si="213"/>
        <v>33.830081694122583</v>
      </c>
      <c r="F186" s="32">
        <f t="shared" si="213"/>
        <v>38.187972396437871</v>
      </c>
      <c r="G186" s="32">
        <f t="shared" si="213"/>
        <v>35.678914404091323</v>
      </c>
      <c r="H186" s="32">
        <f t="shared" si="213"/>
        <v>35.637146533443548</v>
      </c>
      <c r="I186" s="32">
        <f t="shared" si="213"/>
        <v>35.422902489982683</v>
      </c>
      <c r="J186" s="32">
        <f t="shared" si="213"/>
        <v>37.413026747928512</v>
      </c>
      <c r="K186" s="32">
        <f t="shared" si="213"/>
        <v>38.779617104257184</v>
      </c>
      <c r="L186" s="32">
        <f t="shared" si="213"/>
        <v>38.945631941786509</v>
      </c>
      <c r="M186" s="32">
        <f t="shared" si="213"/>
        <v>38.978549508092883</v>
      </c>
      <c r="N186" s="32">
        <f t="shared" si="213"/>
        <v>37.522241925820957</v>
      </c>
      <c r="O186" s="32">
        <f t="shared" si="213"/>
        <v>37.244402300626192</v>
      </c>
      <c r="P186" s="32">
        <f t="shared" si="213"/>
        <v>37.725105003392834</v>
      </c>
      <c r="Q186" s="32">
        <f t="shared" si="213"/>
        <v>37.958103646519895</v>
      </c>
      <c r="R186" s="32">
        <f t="shared" si="213"/>
        <v>38.847699121319138</v>
      </c>
      <c r="S186" s="32">
        <f t="shared" si="213"/>
        <v>38.032860229906667</v>
      </c>
      <c r="T186" s="32">
        <f t="shared" si="213"/>
        <v>37.726453682012774</v>
      </c>
      <c r="U186" s="32">
        <f t="shared" si="213"/>
        <v>37.633566680492414</v>
      </c>
      <c r="V186" s="32">
        <f t="shared" si="213"/>
        <v>41.58927345516075</v>
      </c>
      <c r="W186" s="32">
        <f t="shared" ref="W186" si="214">IF(W34=0,0,W34/W4*1000)</f>
        <v>46.450424598717511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33.591021009044496</v>
      </c>
      <c r="C187" s="141">
        <f t="shared" si="215"/>
        <v>35.372634811328233</v>
      </c>
      <c r="D187" s="141">
        <f t="shared" si="215"/>
        <v>34.219114582392443</v>
      </c>
      <c r="E187" s="141">
        <f t="shared" si="215"/>
        <v>34.18429003952928</v>
      </c>
      <c r="F187" s="141">
        <f t="shared" si="215"/>
        <v>39.158516932754317</v>
      </c>
      <c r="G187" s="141">
        <f t="shared" si="215"/>
        <v>37.854633419181042</v>
      </c>
      <c r="H187" s="141">
        <f t="shared" si="215"/>
        <v>38.260674708045265</v>
      </c>
      <c r="I187" s="141">
        <f t="shared" si="215"/>
        <v>37.948504180240583</v>
      </c>
      <c r="J187" s="141">
        <f t="shared" si="215"/>
        <v>40.217766167402658</v>
      </c>
      <c r="K187" s="141">
        <f t="shared" si="215"/>
        <v>41.111107455657795</v>
      </c>
      <c r="L187" s="141">
        <f t="shared" si="215"/>
        <v>41.987777103980619</v>
      </c>
      <c r="M187" s="141">
        <f t="shared" si="215"/>
        <v>42.295083600232147</v>
      </c>
      <c r="N187" s="141">
        <f t="shared" si="215"/>
        <v>39.493889255411553</v>
      </c>
      <c r="O187" s="141">
        <f t="shared" si="215"/>
        <v>39.180246478871979</v>
      </c>
      <c r="P187" s="141">
        <f t="shared" si="215"/>
        <v>40.133025018162911</v>
      </c>
      <c r="Q187" s="141">
        <f t="shared" si="215"/>
        <v>40.503786863319192</v>
      </c>
      <c r="R187" s="141">
        <f t="shared" si="215"/>
        <v>40.886683109542986</v>
      </c>
      <c r="S187" s="141">
        <f t="shared" si="215"/>
        <v>39.789007045992939</v>
      </c>
      <c r="T187" s="141">
        <f t="shared" si="215"/>
        <v>40.020617678452439</v>
      </c>
      <c r="U187" s="141">
        <f t="shared" si="215"/>
        <v>40.573351578208452</v>
      </c>
      <c r="V187" s="141">
        <f t="shared" si="215"/>
        <v>42.487109229965739</v>
      </c>
      <c r="W187" s="141">
        <f t="shared" ref="W187" si="216">IF(W35=0,0,W35/W5*1000)</f>
        <v>47.359513181627996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44.278722008995913</v>
      </c>
      <c r="C188" s="97">
        <f t="shared" si="217"/>
        <v>44.116534208868892</v>
      </c>
      <c r="D188" s="97">
        <f t="shared" si="217"/>
        <v>43.853873186688752</v>
      </c>
      <c r="E188" s="97">
        <f t="shared" si="217"/>
        <v>43.558403704848565</v>
      </c>
      <c r="F188" s="97">
        <f t="shared" si="217"/>
        <v>43.210455460573264</v>
      </c>
      <c r="G188" s="97">
        <f t="shared" si="217"/>
        <v>42.893366939563535</v>
      </c>
      <c r="H188" s="97">
        <f t="shared" si="217"/>
        <v>42.348877473808443</v>
      </c>
      <c r="I188" s="97">
        <f t="shared" si="217"/>
        <v>41.440841081073451</v>
      </c>
      <c r="J188" s="97">
        <f t="shared" si="217"/>
        <v>40.584779717511239</v>
      </c>
      <c r="K188" s="97">
        <f t="shared" si="217"/>
        <v>40.207658862606046</v>
      </c>
      <c r="L188" s="97">
        <f t="shared" si="217"/>
        <v>39.933947124813038</v>
      </c>
      <c r="M188" s="97">
        <f t="shared" si="217"/>
        <v>38.778961326638793</v>
      </c>
      <c r="N188" s="97">
        <f t="shared" si="217"/>
        <v>37.715193855087968</v>
      </c>
      <c r="O188" s="97">
        <f t="shared" si="217"/>
        <v>36.550541279318274</v>
      </c>
      <c r="P188" s="97">
        <f t="shared" si="217"/>
        <v>35.1894313067206</v>
      </c>
      <c r="Q188" s="97">
        <f t="shared" si="217"/>
        <v>33.94661224900009</v>
      </c>
      <c r="R188" s="97">
        <f t="shared" si="217"/>
        <v>32.763087076629851</v>
      </c>
      <c r="S188" s="97">
        <f t="shared" si="217"/>
        <v>31.805926626213655</v>
      </c>
      <c r="T188" s="97">
        <f t="shared" si="217"/>
        <v>31.039708014434812</v>
      </c>
      <c r="U188" s="97">
        <f t="shared" si="217"/>
        <v>30.213319957287752</v>
      </c>
      <c r="V188" s="97">
        <f t="shared" si="217"/>
        <v>29.73618209128766</v>
      </c>
      <c r="W188" s="97">
        <f t="shared" ref="W188" si="218">IF(W36=0,0,W36/W6*1000)</f>
        <v>26.796758660815222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33.366146983984422</v>
      </c>
      <c r="C189" s="97">
        <f t="shared" si="219"/>
        <v>34.692640490214828</v>
      </c>
      <c r="D189" s="97">
        <f t="shared" si="219"/>
        <v>33.64612649981509</v>
      </c>
      <c r="E189" s="97">
        <f t="shared" si="219"/>
        <v>33.725782110035283</v>
      </c>
      <c r="F189" s="97">
        <f t="shared" si="219"/>
        <v>40.055296126878602</v>
      </c>
      <c r="G189" s="97">
        <f t="shared" si="219"/>
        <v>39.163013029095083</v>
      </c>
      <c r="H189" s="97">
        <f t="shared" si="219"/>
        <v>39.26225587522157</v>
      </c>
      <c r="I189" s="97">
        <f t="shared" si="219"/>
        <v>38.471269324831148</v>
      </c>
      <c r="J189" s="97">
        <f t="shared" si="219"/>
        <v>41.294033822542424</v>
      </c>
      <c r="K189" s="97">
        <f t="shared" si="219"/>
        <v>41.692763829323674</v>
      </c>
      <c r="L189" s="97">
        <f t="shared" si="219"/>
        <v>42.862240158752932</v>
      </c>
      <c r="M189" s="97">
        <f t="shared" si="219"/>
        <v>44.445188763819125</v>
      </c>
      <c r="N189" s="97">
        <f t="shared" si="219"/>
        <v>42.369423986457868</v>
      </c>
      <c r="O189" s="97">
        <f t="shared" si="219"/>
        <v>41.956054593244559</v>
      </c>
      <c r="P189" s="97">
        <f t="shared" si="219"/>
        <v>43.118071712938296</v>
      </c>
      <c r="Q189" s="97">
        <f t="shared" si="219"/>
        <v>43.174811008914268</v>
      </c>
      <c r="R189" s="97">
        <f t="shared" si="219"/>
        <v>43.373402466351145</v>
      </c>
      <c r="S189" s="97">
        <f t="shared" si="219"/>
        <v>41.678285933634349</v>
      </c>
      <c r="T189" s="97">
        <f t="shared" si="219"/>
        <v>42.114963111690862</v>
      </c>
      <c r="U189" s="97">
        <f t="shared" si="219"/>
        <v>42.994181728612801</v>
      </c>
      <c r="V189" s="97">
        <f t="shared" si="219"/>
        <v>43.638595982870449</v>
      </c>
      <c r="W189" s="97">
        <f t="shared" ref="W189" si="220">IF(W37=0,0,W37/W7*1000)</f>
        <v>48.680089036676883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34.395709795140299</v>
      </c>
      <c r="C190" s="97">
        <f t="shared" si="221"/>
        <v>38.663805561095096</v>
      </c>
      <c r="D190" s="97">
        <f t="shared" si="221"/>
        <v>36.985252319822699</v>
      </c>
      <c r="E190" s="97">
        <f t="shared" si="221"/>
        <v>36.280998378854939</v>
      </c>
      <c r="F190" s="97">
        <f t="shared" si="221"/>
        <v>35.172587586296089</v>
      </c>
      <c r="G190" s="97">
        <f t="shared" si="221"/>
        <v>32.260662963521085</v>
      </c>
      <c r="H190" s="97">
        <f t="shared" si="221"/>
        <v>33.116175542265921</v>
      </c>
      <c r="I190" s="97">
        <f t="shared" si="221"/>
        <v>34.71249054731328</v>
      </c>
      <c r="J190" s="97">
        <f t="shared" si="221"/>
        <v>34.114798587552968</v>
      </c>
      <c r="K190" s="97">
        <f t="shared" si="221"/>
        <v>37.68717933899331</v>
      </c>
      <c r="L190" s="97">
        <f t="shared" si="221"/>
        <v>37.38000771304209</v>
      </c>
      <c r="M190" s="97">
        <f t="shared" si="221"/>
        <v>32.261439212293027</v>
      </c>
      <c r="N190" s="97">
        <f t="shared" si="221"/>
        <v>27.470458831757615</v>
      </c>
      <c r="O190" s="97">
        <f t="shared" si="221"/>
        <v>27.314638468850877</v>
      </c>
      <c r="P190" s="97">
        <f t="shared" si="221"/>
        <v>26.403417683617256</v>
      </c>
      <c r="Q190" s="97">
        <f t="shared" si="221"/>
        <v>27.057564781844327</v>
      </c>
      <c r="R190" s="97">
        <f t="shared" si="221"/>
        <v>27.769080774892014</v>
      </c>
      <c r="S190" s="97">
        <f t="shared" si="221"/>
        <v>28.871090820870716</v>
      </c>
      <c r="T190" s="97">
        <f t="shared" si="221"/>
        <v>27.826827574347146</v>
      </c>
      <c r="U190" s="97">
        <f t="shared" si="221"/>
        <v>26.317576424922326</v>
      </c>
      <c r="V190" s="97">
        <f t="shared" si="221"/>
        <v>32.864744912580797</v>
      </c>
      <c r="W190" s="97">
        <f t="shared" ref="W190" si="222">IF(W38=0,0,W38/W8*1000)</f>
        <v>35.718903441005779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15.911560422423518</v>
      </c>
      <c r="C191" s="130">
        <f t="shared" si="223"/>
        <v>15.197818058859356</v>
      </c>
      <c r="D191" s="130">
        <f t="shared" si="223"/>
        <v>15.072116175331727</v>
      </c>
      <c r="E191" s="130">
        <f t="shared" si="223"/>
        <v>15.206605706979134</v>
      </c>
      <c r="F191" s="130">
        <f t="shared" si="223"/>
        <v>14.362011646921331</v>
      </c>
      <c r="G191" s="130">
        <f t="shared" si="223"/>
        <v>13.331321006695287</v>
      </c>
      <c r="H191" s="130">
        <f t="shared" si="223"/>
        <v>11.775061132476125</v>
      </c>
      <c r="I191" s="130">
        <f t="shared" si="223"/>
        <v>11.884535629107287</v>
      </c>
      <c r="J191" s="130">
        <f t="shared" si="223"/>
        <v>12.133007067375862</v>
      </c>
      <c r="K191" s="130">
        <f t="shared" si="223"/>
        <v>13.625459580549681</v>
      </c>
      <c r="L191" s="130">
        <f t="shared" si="223"/>
        <v>9.9329425524233308</v>
      </c>
      <c r="M191" s="130">
        <f t="shared" si="223"/>
        <v>9.8659658755384925</v>
      </c>
      <c r="N191" s="130">
        <f t="shared" si="223"/>
        <v>9.8447616028887239</v>
      </c>
      <c r="O191" s="130">
        <f t="shared" si="223"/>
        <v>9.3262063978735235</v>
      </c>
      <c r="P191" s="130">
        <f t="shared" si="223"/>
        <v>9.1511373632211193</v>
      </c>
      <c r="Q191" s="130">
        <f t="shared" si="223"/>
        <v>9.1990166704024556</v>
      </c>
      <c r="R191" s="130">
        <f t="shared" si="223"/>
        <v>9.2771172389917531</v>
      </c>
      <c r="S191" s="130">
        <f t="shared" si="223"/>
        <v>9.1238663019514608</v>
      </c>
      <c r="T191" s="130">
        <f t="shared" si="223"/>
        <v>8.6687196790091861</v>
      </c>
      <c r="U191" s="130">
        <f t="shared" si="223"/>
        <v>8.5724940889973773</v>
      </c>
      <c r="V191" s="130">
        <f t="shared" si="223"/>
        <v>12.10160409469723</v>
      </c>
      <c r="W191" s="130">
        <f t="shared" ref="W191" si="224">IF(W39=0,0,W39/W9*1000)</f>
        <v>17.557609639985301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5.1653540516788956</v>
      </c>
      <c r="C192" s="97">
        <f t="shared" si="225"/>
        <v>5.006440961944266</v>
      </c>
      <c r="D192" s="97">
        <f t="shared" si="225"/>
        <v>4.7742848541407827</v>
      </c>
      <c r="E192" s="97">
        <f t="shared" si="225"/>
        <v>4.7187557555581376</v>
      </c>
      <c r="F192" s="97">
        <f t="shared" si="225"/>
        <v>4.613853968954075</v>
      </c>
      <c r="G192" s="97">
        <f t="shared" si="225"/>
        <v>4.4839166879182732</v>
      </c>
      <c r="H192" s="97">
        <f t="shared" si="225"/>
        <v>4.3002691243410585</v>
      </c>
      <c r="I192" s="97">
        <f t="shared" si="225"/>
        <v>4.293183500933015</v>
      </c>
      <c r="J192" s="97">
        <f t="shared" si="225"/>
        <v>4.3296649340363098</v>
      </c>
      <c r="K192" s="97">
        <f t="shared" si="225"/>
        <v>4.4607855266041714</v>
      </c>
      <c r="L192" s="97">
        <f t="shared" si="225"/>
        <v>4.3065997389386856</v>
      </c>
      <c r="M192" s="97">
        <f t="shared" si="225"/>
        <v>4.3198485177360801</v>
      </c>
      <c r="N192" s="97">
        <f t="shared" si="225"/>
        <v>4.2947932527205612</v>
      </c>
      <c r="O192" s="97">
        <f t="shared" si="225"/>
        <v>4.2452870968445566</v>
      </c>
      <c r="P192" s="97">
        <f t="shared" si="225"/>
        <v>4.3122459463607763</v>
      </c>
      <c r="Q192" s="97">
        <f t="shared" si="225"/>
        <v>4.3554745018480299</v>
      </c>
      <c r="R192" s="97">
        <f t="shared" si="225"/>
        <v>4.3214265993201764</v>
      </c>
      <c r="S192" s="97">
        <f t="shared" si="225"/>
        <v>4.2794317036759351</v>
      </c>
      <c r="T192" s="97">
        <f t="shared" si="225"/>
        <v>4.217997617815012</v>
      </c>
      <c r="U192" s="97">
        <f t="shared" si="225"/>
        <v>4.1746276195732257</v>
      </c>
      <c r="V192" s="97">
        <f t="shared" si="225"/>
        <v>6.3264623362185626</v>
      </c>
      <c r="W192" s="97">
        <f t="shared" ref="W192" si="226">IF(W40=0,0,W40/W10*1000)</f>
        <v>7.3161047217837174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19.919970547007559</v>
      </c>
      <c r="C193" s="97">
        <f t="shared" si="227"/>
        <v>18.961121187989338</v>
      </c>
      <c r="D193" s="97">
        <f t="shared" si="227"/>
        <v>18.734490056497215</v>
      </c>
      <c r="E193" s="97">
        <f t="shared" si="227"/>
        <v>18.699802974263449</v>
      </c>
      <c r="F193" s="97">
        <f t="shared" si="227"/>
        <v>17.551328247020546</v>
      </c>
      <c r="G193" s="97">
        <f t="shared" si="227"/>
        <v>16.045254817415753</v>
      </c>
      <c r="H193" s="97">
        <f t="shared" si="227"/>
        <v>13.892413473117223</v>
      </c>
      <c r="I193" s="97">
        <f t="shared" si="227"/>
        <v>14.061501839402183</v>
      </c>
      <c r="J193" s="97">
        <f t="shared" si="227"/>
        <v>14.27498716625111</v>
      </c>
      <c r="K193" s="97">
        <f t="shared" si="227"/>
        <v>15.720592285395515</v>
      </c>
      <c r="L193" s="97">
        <f t="shared" si="227"/>
        <v>12.700571713288083</v>
      </c>
      <c r="M193" s="97">
        <f t="shared" si="227"/>
        <v>12.708165646411866</v>
      </c>
      <c r="N193" s="97">
        <f t="shared" si="227"/>
        <v>12.572311738851704</v>
      </c>
      <c r="O193" s="97">
        <f t="shared" si="227"/>
        <v>11.982998663951649</v>
      </c>
      <c r="P193" s="97">
        <f t="shared" si="227"/>
        <v>12.041773880271347</v>
      </c>
      <c r="Q193" s="97">
        <f t="shared" si="227"/>
        <v>12.119015846560295</v>
      </c>
      <c r="R193" s="97">
        <f t="shared" si="227"/>
        <v>12.142244690854891</v>
      </c>
      <c r="S193" s="97">
        <f t="shared" si="227"/>
        <v>11.90079212698544</v>
      </c>
      <c r="T193" s="97">
        <f t="shared" si="227"/>
        <v>11.20929026096902</v>
      </c>
      <c r="U193" s="97">
        <f t="shared" si="227"/>
        <v>10.872181555375219</v>
      </c>
      <c r="V193" s="97">
        <f t="shared" si="227"/>
        <v>14.921453396366802</v>
      </c>
      <c r="W193" s="97">
        <f t="shared" ref="W193" si="228">IF(W41=0,0,W41/W11*1000)</f>
        <v>19.2175845313255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53.609098743446765</v>
      </c>
      <c r="C195" s="130">
        <f t="shared" si="231"/>
        <v>52.178959288532553</v>
      </c>
      <c r="D195" s="130">
        <f t="shared" si="231"/>
        <v>51.167564665301384</v>
      </c>
      <c r="E195" s="130">
        <f t="shared" si="231"/>
        <v>50.838272412979457</v>
      </c>
      <c r="F195" s="130">
        <f t="shared" si="231"/>
        <v>50.389075634996786</v>
      </c>
      <c r="G195" s="130">
        <f t="shared" si="231"/>
        <v>31.951560339101196</v>
      </c>
      <c r="H195" s="130">
        <f t="shared" si="231"/>
        <v>29.358018422384781</v>
      </c>
      <c r="I195" s="130">
        <f t="shared" si="231"/>
        <v>29.042575446529479</v>
      </c>
      <c r="J195" s="130">
        <f t="shared" si="231"/>
        <v>31.840964463544321</v>
      </c>
      <c r="K195" s="130">
        <f t="shared" si="231"/>
        <v>34.780875222548978</v>
      </c>
      <c r="L195" s="130">
        <f t="shared" si="231"/>
        <v>35.145022549650626</v>
      </c>
      <c r="M195" s="130">
        <f t="shared" si="231"/>
        <v>34.914269417200813</v>
      </c>
      <c r="N195" s="130">
        <f t="shared" si="231"/>
        <v>37.96565556369454</v>
      </c>
      <c r="O195" s="130">
        <f t="shared" si="231"/>
        <v>38.068514668102345</v>
      </c>
      <c r="P195" s="130">
        <f t="shared" si="231"/>
        <v>35.176619354760511</v>
      </c>
      <c r="Q195" s="130">
        <f t="shared" si="231"/>
        <v>33.461127440086905</v>
      </c>
      <c r="R195" s="130">
        <f t="shared" si="231"/>
        <v>36.867361037247413</v>
      </c>
      <c r="S195" s="130">
        <f t="shared" si="231"/>
        <v>37.019597185684027</v>
      </c>
      <c r="T195" s="130">
        <f t="shared" si="231"/>
        <v>34.838605348418326</v>
      </c>
      <c r="U195" s="130">
        <f t="shared" si="231"/>
        <v>32.418129706627866</v>
      </c>
      <c r="V195" s="130">
        <f t="shared" si="231"/>
        <v>44.220223442987361</v>
      </c>
      <c r="W195" s="130">
        <f t="shared" ref="W195" si="232">IF(W43=0,0,W43/W13*1000)</f>
        <v>45.589857578461256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65.519364456065119</v>
      </c>
      <c r="C197" s="97">
        <f t="shared" si="235"/>
        <v>63.682323027228257</v>
      </c>
      <c r="D197" s="97">
        <f t="shared" si="235"/>
        <v>62.607577860634642</v>
      </c>
      <c r="E197" s="97">
        <f t="shared" si="235"/>
        <v>62.603841311152664</v>
      </c>
      <c r="F197" s="97">
        <f t="shared" si="235"/>
        <v>62.416746709738774</v>
      </c>
      <c r="G197" s="97">
        <f t="shared" si="235"/>
        <v>40.154559177261511</v>
      </c>
      <c r="H197" s="97">
        <f t="shared" si="235"/>
        <v>37.432576778649754</v>
      </c>
      <c r="I197" s="97">
        <f t="shared" si="235"/>
        <v>39.873737054620754</v>
      </c>
      <c r="J197" s="97">
        <f t="shared" si="235"/>
        <v>45.083368844585152</v>
      </c>
      <c r="K197" s="97">
        <f t="shared" si="235"/>
        <v>45.853594755452768</v>
      </c>
      <c r="L197" s="97">
        <f t="shared" si="235"/>
        <v>46.039219690876166</v>
      </c>
      <c r="M197" s="97">
        <f t="shared" si="235"/>
        <v>44.780013975916326</v>
      </c>
      <c r="N197" s="97">
        <f t="shared" si="235"/>
        <v>48.661899234568288</v>
      </c>
      <c r="O197" s="97">
        <f t="shared" si="235"/>
        <v>49.640438386540197</v>
      </c>
      <c r="P197" s="97">
        <f t="shared" si="235"/>
        <v>43.35702000350399</v>
      </c>
      <c r="Q197" s="97">
        <f t="shared" si="235"/>
        <v>39.994544745337869</v>
      </c>
      <c r="R197" s="97">
        <f t="shared" si="235"/>
        <v>44.468489963274919</v>
      </c>
      <c r="S197" s="97">
        <f t="shared" si="235"/>
        <v>45.36311057575287</v>
      </c>
      <c r="T197" s="97">
        <f t="shared" si="235"/>
        <v>43.382828103252741</v>
      </c>
      <c r="U197" s="97">
        <f t="shared" si="235"/>
        <v>41.395009267308922</v>
      </c>
      <c r="V197" s="97">
        <f t="shared" si="235"/>
        <v>48.578175674621825</v>
      </c>
      <c r="W197" s="97">
        <f t="shared" ref="W197" si="236">IF(W45=0,0,W45/W15*1000)</f>
        <v>53.788671937942773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23.650150653033673</v>
      </c>
      <c r="C198" s="97">
        <f t="shared" si="237"/>
        <v>23.105825739906507</v>
      </c>
      <c r="D198" s="97">
        <f t="shared" si="237"/>
        <v>22.508218503035568</v>
      </c>
      <c r="E198" s="97">
        <f t="shared" si="237"/>
        <v>22.005501968756118</v>
      </c>
      <c r="F198" s="97">
        <f t="shared" si="237"/>
        <v>21.506086459587639</v>
      </c>
      <c r="G198" s="97">
        <f t="shared" si="237"/>
        <v>11.904774080554956</v>
      </c>
      <c r="H198" s="97">
        <f t="shared" si="237"/>
        <v>9.4367934704313559</v>
      </c>
      <c r="I198" s="97">
        <f t="shared" si="237"/>
        <v>7.7390872259948882</v>
      </c>
      <c r="J198" s="97">
        <f t="shared" si="237"/>
        <v>8.1683339685954053</v>
      </c>
      <c r="K198" s="97">
        <f t="shared" si="237"/>
        <v>10.482426954706423</v>
      </c>
      <c r="L198" s="97">
        <f t="shared" si="237"/>
        <v>10.107091342868873</v>
      </c>
      <c r="M198" s="97">
        <f t="shared" si="237"/>
        <v>10.501305362154618</v>
      </c>
      <c r="N198" s="97">
        <f t="shared" si="237"/>
        <v>11.899002377764967</v>
      </c>
      <c r="O198" s="97">
        <f t="shared" si="237"/>
        <v>11.301272769820326</v>
      </c>
      <c r="P198" s="97">
        <f t="shared" si="237"/>
        <v>12.019578896165852</v>
      </c>
      <c r="Q198" s="97">
        <f t="shared" si="237"/>
        <v>12.190465291123411</v>
      </c>
      <c r="R198" s="97">
        <f t="shared" si="237"/>
        <v>12.598888031464609</v>
      </c>
      <c r="S198" s="97">
        <f t="shared" si="237"/>
        <v>11.666050579285567</v>
      </c>
      <c r="T198" s="97">
        <f t="shared" si="237"/>
        <v>10.432309445340765</v>
      </c>
      <c r="U198" s="97">
        <f t="shared" si="237"/>
        <v>9.1174031778266738</v>
      </c>
      <c r="V198" s="97">
        <f t="shared" si="237"/>
        <v>26.143465044984335</v>
      </c>
      <c r="W198" s="97">
        <f t="shared" ref="W198" si="238">IF(W46=0,0,W46/W16*1000)</f>
        <v>19.470107130312496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14.741712844865845</v>
      </c>
      <c r="C199" s="32">
        <f t="shared" si="239"/>
        <v>19.008957244986597</v>
      </c>
      <c r="D199" s="32">
        <f t="shared" si="239"/>
        <v>18.888522895478626</v>
      </c>
      <c r="E199" s="32">
        <f t="shared" si="239"/>
        <v>17.027650429092823</v>
      </c>
      <c r="F199" s="32">
        <f t="shared" si="239"/>
        <v>17.362670963865799</v>
      </c>
      <c r="G199" s="32">
        <f t="shared" si="239"/>
        <v>17.514124548473749</v>
      </c>
      <c r="H199" s="32">
        <f t="shared" si="239"/>
        <v>21.181808560037624</v>
      </c>
      <c r="I199" s="32">
        <f t="shared" si="239"/>
        <v>22.830830452743726</v>
      </c>
      <c r="J199" s="32">
        <f t="shared" si="239"/>
        <v>20.533283753839211</v>
      </c>
      <c r="K199" s="32">
        <f t="shared" si="239"/>
        <v>18.600144953618962</v>
      </c>
      <c r="L199" s="32">
        <f t="shared" si="239"/>
        <v>21.56448906375963</v>
      </c>
      <c r="M199" s="32">
        <f t="shared" si="239"/>
        <v>14.374707883092302</v>
      </c>
      <c r="N199" s="32">
        <f t="shared" si="239"/>
        <v>13.416858398599508</v>
      </c>
      <c r="O199" s="32">
        <f t="shared" si="239"/>
        <v>14.785354071032103</v>
      </c>
      <c r="P199" s="32">
        <f t="shared" si="239"/>
        <v>14.595687285220203</v>
      </c>
      <c r="Q199" s="32">
        <f t="shared" si="239"/>
        <v>15.541316533961728</v>
      </c>
      <c r="R199" s="32">
        <f t="shared" si="239"/>
        <v>16.712586733547234</v>
      </c>
      <c r="S199" s="32">
        <f t="shared" si="239"/>
        <v>18.172756833651189</v>
      </c>
      <c r="T199" s="32">
        <f t="shared" si="239"/>
        <v>16.245470402662512</v>
      </c>
      <c r="U199" s="32">
        <f t="shared" si="239"/>
        <v>17.291049676524448</v>
      </c>
      <c r="V199" s="32">
        <f t="shared" si="239"/>
        <v>23.690485916971092</v>
      </c>
      <c r="W199" s="32">
        <f t="shared" ref="W199" si="240">IF(W47=0,0,W47/W17*1000)</f>
        <v>26.335840965357875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77.418389435796598</v>
      </c>
      <c r="C200" s="141">
        <f t="shared" si="241"/>
        <v>104.32214920993282</v>
      </c>
      <c r="D200" s="141">
        <f t="shared" si="241"/>
        <v>96.7479438419426</v>
      </c>
      <c r="E200" s="141">
        <f t="shared" si="241"/>
        <v>88.934086661548534</v>
      </c>
      <c r="F200" s="141">
        <f t="shared" si="241"/>
        <v>90.036877392806588</v>
      </c>
      <c r="G200" s="141">
        <f t="shared" si="241"/>
        <v>88.97517530452194</v>
      </c>
      <c r="H200" s="141">
        <f t="shared" si="241"/>
        <v>93.555765352692589</v>
      </c>
      <c r="I200" s="141">
        <f t="shared" si="241"/>
        <v>99.727400084446387</v>
      </c>
      <c r="J200" s="141">
        <f t="shared" si="241"/>
        <v>102.88749966724887</v>
      </c>
      <c r="K200" s="141">
        <f t="shared" si="241"/>
        <v>101.9202019803449</v>
      </c>
      <c r="L200" s="141">
        <f t="shared" si="241"/>
        <v>100.70808064926608</v>
      </c>
      <c r="M200" s="141">
        <f t="shared" si="241"/>
        <v>70.714534592334743</v>
      </c>
      <c r="N200" s="141">
        <f t="shared" si="241"/>
        <v>63.388036395283301</v>
      </c>
      <c r="O200" s="141">
        <f t="shared" si="241"/>
        <v>60.090841728381356</v>
      </c>
      <c r="P200" s="141">
        <f t="shared" si="241"/>
        <v>60.413488126956125</v>
      </c>
      <c r="Q200" s="141">
        <f t="shared" si="241"/>
        <v>60.831045911272902</v>
      </c>
      <c r="R200" s="141">
        <f t="shared" si="241"/>
        <v>57.629238051196694</v>
      </c>
      <c r="S200" s="141">
        <f t="shared" si="241"/>
        <v>57.975104052683854</v>
      </c>
      <c r="T200" s="141">
        <f t="shared" si="241"/>
        <v>55.56058941432417</v>
      </c>
      <c r="U200" s="141">
        <f t="shared" si="241"/>
        <v>55.703743307780769</v>
      </c>
      <c r="V200" s="141">
        <f t="shared" si="241"/>
        <v>48.856456435493698</v>
      </c>
      <c r="W200" s="141">
        <f t="shared" ref="W200" si="242">IF(W48=0,0,W48/W18*1000)</f>
        <v>51.344740410986383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565.84616982275691</v>
      </c>
      <c r="C201" s="97">
        <f t="shared" si="243"/>
        <v>578.01229256807915</v>
      </c>
      <c r="D201" s="97">
        <f t="shared" si="243"/>
        <v>543.93423380707395</v>
      </c>
      <c r="E201" s="97">
        <f t="shared" si="243"/>
        <v>529.96957637675098</v>
      </c>
      <c r="F201" s="97">
        <f t="shared" si="243"/>
        <v>523.65544632999024</v>
      </c>
      <c r="G201" s="97">
        <f t="shared" si="243"/>
        <v>522.19851631718541</v>
      </c>
      <c r="H201" s="97">
        <f t="shared" si="243"/>
        <v>521.02242950409379</v>
      </c>
      <c r="I201" s="97">
        <f t="shared" si="243"/>
        <v>530.59643333775512</v>
      </c>
      <c r="J201" s="97">
        <f t="shared" si="243"/>
        <v>515.99771987392978</v>
      </c>
      <c r="K201" s="97">
        <f t="shared" si="243"/>
        <v>491.42280842832741</v>
      </c>
      <c r="L201" s="97">
        <f t="shared" si="243"/>
        <v>528.09521589792325</v>
      </c>
      <c r="M201" s="97">
        <f t="shared" si="243"/>
        <v>487.06609488644239</v>
      </c>
      <c r="N201" s="97">
        <f t="shared" si="243"/>
        <v>479.09761024578722</v>
      </c>
      <c r="O201" s="97">
        <f t="shared" si="243"/>
        <v>469.7173645739648</v>
      </c>
      <c r="P201" s="97">
        <f t="shared" si="243"/>
        <v>458.15080336278788</v>
      </c>
      <c r="Q201" s="97">
        <f t="shared" si="243"/>
        <v>452.6785832093189</v>
      </c>
      <c r="R201" s="97">
        <f t="shared" si="243"/>
        <v>441.72624110500061</v>
      </c>
      <c r="S201" s="97">
        <f t="shared" si="243"/>
        <v>440.05351031986373</v>
      </c>
      <c r="T201" s="97">
        <f t="shared" si="243"/>
        <v>434.6192803632398</v>
      </c>
      <c r="U201" s="97">
        <f t="shared" si="243"/>
        <v>425.72368868536711</v>
      </c>
      <c r="V201" s="97">
        <f t="shared" si="243"/>
        <v>420.26979281066002</v>
      </c>
      <c r="W201" s="97">
        <f t="shared" ref="W201" si="244">IF(W49=0,0,W49/W19*1000)</f>
        <v>422.36370936773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63.104854221892175</v>
      </c>
      <c r="C202" s="97">
        <f t="shared" si="245"/>
        <v>89.509540649171541</v>
      </c>
      <c r="D202" s="97">
        <f t="shared" si="245"/>
        <v>81.029376787964878</v>
      </c>
      <c r="E202" s="97">
        <f t="shared" si="245"/>
        <v>76.414815820121603</v>
      </c>
      <c r="F202" s="97">
        <f t="shared" si="245"/>
        <v>74.653150372572668</v>
      </c>
      <c r="G202" s="97">
        <f t="shared" si="245"/>
        <v>76.011152325492617</v>
      </c>
      <c r="H202" s="97">
        <f t="shared" si="245"/>
        <v>80.130411260794887</v>
      </c>
      <c r="I202" s="97">
        <f t="shared" si="245"/>
        <v>86.366176700819736</v>
      </c>
      <c r="J202" s="97">
        <f t="shared" si="245"/>
        <v>88.018730723839468</v>
      </c>
      <c r="K202" s="97">
        <f t="shared" si="245"/>
        <v>85.65754756145499</v>
      </c>
      <c r="L202" s="97">
        <f t="shared" si="245"/>
        <v>87.570306808094998</v>
      </c>
      <c r="M202" s="97">
        <f t="shared" si="245"/>
        <v>58.272223247589118</v>
      </c>
      <c r="N202" s="97">
        <f t="shared" si="245"/>
        <v>50.17667336294361</v>
      </c>
      <c r="O202" s="97">
        <f t="shared" si="245"/>
        <v>46.29414005193258</v>
      </c>
      <c r="P202" s="97">
        <f t="shared" si="245"/>
        <v>45.525151279219301</v>
      </c>
      <c r="Q202" s="97">
        <f t="shared" si="245"/>
        <v>46.306541697712838</v>
      </c>
      <c r="R202" s="97">
        <f t="shared" si="245"/>
        <v>43.537110927568342</v>
      </c>
      <c r="S202" s="97">
        <f t="shared" si="245"/>
        <v>44.501389337480362</v>
      </c>
      <c r="T202" s="97">
        <f t="shared" si="245"/>
        <v>42.877291699492979</v>
      </c>
      <c r="U202" s="97">
        <f t="shared" si="245"/>
        <v>42.195166992368272</v>
      </c>
      <c r="V202" s="97">
        <f t="shared" si="245"/>
        <v>36.597718092614365</v>
      </c>
      <c r="W202" s="97">
        <f t="shared" ref="W202" si="246">IF(W50=0,0,W50/W20*1000)</f>
        <v>39.221133773604691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4.0280033940330133</v>
      </c>
      <c r="C203" s="130">
        <f t="shared" si="247"/>
        <v>3.9834311326761962</v>
      </c>
      <c r="D203" s="130">
        <f t="shared" si="247"/>
        <v>3.9179506485778623</v>
      </c>
      <c r="E203" s="130">
        <f t="shared" si="247"/>
        <v>3.843443044425586</v>
      </c>
      <c r="F203" s="130">
        <f t="shared" si="247"/>
        <v>3.8200986532378884</v>
      </c>
      <c r="G203" s="130">
        <f t="shared" si="247"/>
        <v>3.5982918255113319</v>
      </c>
      <c r="H203" s="130">
        <f t="shared" si="247"/>
        <v>3.6554012834165879</v>
      </c>
      <c r="I203" s="130">
        <f t="shared" si="247"/>
        <v>3.6914689784283072</v>
      </c>
      <c r="J203" s="130">
        <f t="shared" si="247"/>
        <v>3.4883321851527151</v>
      </c>
      <c r="K203" s="130">
        <f t="shared" si="247"/>
        <v>3.4714075483476274</v>
      </c>
      <c r="L203" s="130">
        <f t="shared" si="247"/>
        <v>3.4599787279337821</v>
      </c>
      <c r="M203" s="130">
        <f t="shared" si="247"/>
        <v>3.2404500922871255</v>
      </c>
      <c r="N203" s="130">
        <f t="shared" si="247"/>
        <v>3.4235292171103722</v>
      </c>
      <c r="O203" s="130">
        <f t="shared" si="247"/>
        <v>3.3819576781228253</v>
      </c>
      <c r="P203" s="130">
        <f t="shared" si="247"/>
        <v>3.3338196947247805</v>
      </c>
      <c r="Q203" s="130">
        <f t="shared" si="247"/>
        <v>3.4231616807712362</v>
      </c>
      <c r="R203" s="130">
        <f t="shared" si="247"/>
        <v>3.4472990928805349</v>
      </c>
      <c r="S203" s="130">
        <f t="shared" si="247"/>
        <v>3.341447643179853</v>
      </c>
      <c r="T203" s="130">
        <f t="shared" si="247"/>
        <v>2.9469628099435656</v>
      </c>
      <c r="U203" s="130">
        <f t="shared" si="247"/>
        <v>2.836868219795031</v>
      </c>
      <c r="V203" s="130">
        <f t="shared" si="247"/>
        <v>3.1139906073386849</v>
      </c>
      <c r="W203" s="130">
        <f t="shared" ref="W203" si="248">IF(W51=0,0,W51/W21*1000)</f>
        <v>3.2001572758415811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86.570514186866163</v>
      </c>
      <c r="C204" s="130">
        <f t="shared" si="249"/>
        <v>73.236258188280814</v>
      </c>
      <c r="D204" s="130">
        <f t="shared" si="249"/>
        <v>78.369559422680112</v>
      </c>
      <c r="E204" s="130">
        <f t="shared" si="249"/>
        <v>77.772174166878401</v>
      </c>
      <c r="F204" s="130">
        <f t="shared" si="249"/>
        <v>83.810725479778284</v>
      </c>
      <c r="G204" s="130">
        <f t="shared" si="249"/>
        <v>72.442327264163509</v>
      </c>
      <c r="H204" s="130">
        <f t="shared" si="249"/>
        <v>65.105953664675468</v>
      </c>
      <c r="I204" s="130">
        <f t="shared" si="249"/>
        <v>52.889982763234798</v>
      </c>
      <c r="J204" s="130">
        <f t="shared" si="249"/>
        <v>60.312800721491584</v>
      </c>
      <c r="K204" s="130">
        <f t="shared" si="249"/>
        <v>81.498611802675484</v>
      </c>
      <c r="L204" s="130">
        <f t="shared" si="249"/>
        <v>65.110531939774901</v>
      </c>
      <c r="M204" s="130">
        <f t="shared" si="249"/>
        <v>63.112210934160309</v>
      </c>
      <c r="N204" s="130">
        <f t="shared" si="249"/>
        <v>31.082069089575693</v>
      </c>
      <c r="O204" s="130">
        <f t="shared" si="249"/>
        <v>28.14128604099395</v>
      </c>
      <c r="P204" s="130">
        <f t="shared" si="249"/>
        <v>27.07292481375163</v>
      </c>
      <c r="Q204" s="130">
        <f t="shared" si="249"/>
        <v>41.29541107636642</v>
      </c>
      <c r="R204" s="130">
        <f t="shared" si="249"/>
        <v>45.208448058687431</v>
      </c>
      <c r="S204" s="130">
        <f t="shared" si="249"/>
        <v>51.434086786481053</v>
      </c>
      <c r="T204" s="130">
        <f t="shared" si="249"/>
        <v>56.895915783976193</v>
      </c>
      <c r="U204" s="130">
        <f t="shared" si="249"/>
        <v>40.255407643582537</v>
      </c>
      <c r="V204" s="130">
        <f t="shared" si="249"/>
        <v>89.527849627212447</v>
      </c>
      <c r="W204" s="130">
        <f t="shared" ref="W204" si="250">IF(W52=0,0,W52/W22*1000)</f>
        <v>103.88559576116197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200.49655146562137</v>
      </c>
      <c r="C206" s="97">
        <f t="shared" si="253"/>
        <v>188.24034162259233</v>
      </c>
      <c r="D206" s="97">
        <f t="shared" si="253"/>
        <v>199.48410313089971</v>
      </c>
      <c r="E206" s="97">
        <f t="shared" si="253"/>
        <v>194.83875902517073</v>
      </c>
      <c r="F206" s="97">
        <f t="shared" si="253"/>
        <v>214.8652181910991</v>
      </c>
      <c r="G206" s="97">
        <f t="shared" si="253"/>
        <v>192.66485576776356</v>
      </c>
      <c r="H206" s="97">
        <f t="shared" si="253"/>
        <v>186.25208662230526</v>
      </c>
      <c r="I206" s="97">
        <f t="shared" si="253"/>
        <v>179.06200260036294</v>
      </c>
      <c r="J206" s="97">
        <f t="shared" si="253"/>
        <v>203.3826298313048</v>
      </c>
      <c r="K206" s="97">
        <f t="shared" si="253"/>
        <v>218.80292991321531</v>
      </c>
      <c r="L206" s="97">
        <f t="shared" si="253"/>
        <v>182.74622183105706</v>
      </c>
      <c r="M206" s="97">
        <f t="shared" si="253"/>
        <v>183.63639219210066</v>
      </c>
      <c r="N206" s="97">
        <f t="shared" si="253"/>
        <v>203.6535656434796</v>
      </c>
      <c r="O206" s="97">
        <f t="shared" si="253"/>
        <v>208.17469966473126</v>
      </c>
      <c r="P206" s="97">
        <f t="shared" si="253"/>
        <v>163.66691225988765</v>
      </c>
      <c r="Q206" s="97">
        <f t="shared" si="253"/>
        <v>153.00135707336023</v>
      </c>
      <c r="R206" s="97">
        <f t="shared" si="253"/>
        <v>165.4189335637183</v>
      </c>
      <c r="S206" s="97">
        <f t="shared" si="253"/>
        <v>200.72975675417499</v>
      </c>
      <c r="T206" s="97">
        <f t="shared" si="253"/>
        <v>208.84575795500842</v>
      </c>
      <c r="U206" s="97">
        <f t="shared" si="253"/>
        <v>174.63459180139785</v>
      </c>
      <c r="V206" s="97">
        <f t="shared" si="253"/>
        <v>191.81793247041026</v>
      </c>
      <c r="W206" s="97">
        <f t="shared" ref="W206" si="254">IF(W54=0,0,W54/W24*1000)</f>
        <v>205.39124790195748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16.297297645248598</v>
      </c>
      <c r="C207" s="97">
        <f t="shared" si="255"/>
        <v>15.552315312247453</v>
      </c>
      <c r="D207" s="97">
        <f t="shared" si="255"/>
        <v>16.439546780981562</v>
      </c>
      <c r="E207" s="97">
        <f t="shared" si="255"/>
        <v>18.137895200207701</v>
      </c>
      <c r="F207" s="97">
        <f t="shared" si="255"/>
        <v>18.669855401349487</v>
      </c>
      <c r="G207" s="97">
        <f t="shared" si="255"/>
        <v>13.187544083147738</v>
      </c>
      <c r="H207" s="97">
        <f t="shared" si="255"/>
        <v>12.244831773633832</v>
      </c>
      <c r="I207" s="97">
        <f t="shared" si="255"/>
        <v>13.574455370993288</v>
      </c>
      <c r="J207" s="97">
        <f t="shared" si="255"/>
        <v>18.156438863101169</v>
      </c>
      <c r="K207" s="97">
        <f t="shared" si="255"/>
        <v>20.780657412343547</v>
      </c>
      <c r="L207" s="97">
        <f t="shared" si="255"/>
        <v>20.387096899183213</v>
      </c>
      <c r="M207" s="97">
        <f t="shared" si="255"/>
        <v>21.637486676313252</v>
      </c>
      <c r="N207" s="97">
        <f t="shared" si="255"/>
        <v>23.547729725297852</v>
      </c>
      <c r="O207" s="97">
        <f t="shared" si="255"/>
        <v>22.648038405886528</v>
      </c>
      <c r="P207" s="97">
        <f t="shared" si="255"/>
        <v>18.076890017951488</v>
      </c>
      <c r="Q207" s="97">
        <f t="shared" si="255"/>
        <v>17.766491560584978</v>
      </c>
      <c r="R207" s="97">
        <f t="shared" si="255"/>
        <v>15.503929150804863</v>
      </c>
      <c r="S207" s="97">
        <f t="shared" si="255"/>
        <v>14.690947969354994</v>
      </c>
      <c r="T207" s="97">
        <f t="shared" si="255"/>
        <v>13.459686965302469</v>
      </c>
      <c r="U207" s="97">
        <f t="shared" si="255"/>
        <v>15.595555233406184</v>
      </c>
      <c r="V207" s="97">
        <f t="shared" si="255"/>
        <v>67.266136905520469</v>
      </c>
      <c r="W207" s="97">
        <f t="shared" ref="W207" si="256">IF(W55=0,0,W55/W25*1000)</f>
        <v>60.781792835248503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0</v>
      </c>
      <c r="C208" s="130">
        <f t="shared" si="257"/>
        <v>0</v>
      </c>
      <c r="D208" s="130">
        <f t="shared" si="257"/>
        <v>0</v>
      </c>
      <c r="E208" s="130">
        <f t="shared" si="257"/>
        <v>0</v>
      </c>
      <c r="F208" s="130">
        <f t="shared" si="257"/>
        <v>0</v>
      </c>
      <c r="G208" s="130">
        <f t="shared" si="257"/>
        <v>0</v>
      </c>
      <c r="H208" s="130">
        <f t="shared" si="257"/>
        <v>0</v>
      </c>
      <c r="I208" s="130">
        <f t="shared" si="257"/>
        <v>160.22660600599306</v>
      </c>
      <c r="J208" s="130">
        <f t="shared" si="257"/>
        <v>257.25610201317124</v>
      </c>
      <c r="K208" s="130">
        <f t="shared" si="257"/>
        <v>310.89954087807723</v>
      </c>
      <c r="L208" s="130">
        <f t="shared" si="257"/>
        <v>589.21163814294209</v>
      </c>
      <c r="M208" s="130">
        <f t="shared" si="257"/>
        <v>493.65605873013106</v>
      </c>
      <c r="N208" s="130">
        <f t="shared" si="257"/>
        <v>317.66298655959423</v>
      </c>
      <c r="O208" s="130">
        <f t="shared" si="257"/>
        <v>361.70500804108133</v>
      </c>
      <c r="P208" s="130">
        <f t="shared" si="257"/>
        <v>500.42101889115565</v>
      </c>
      <c r="Q208" s="130">
        <f t="shared" si="257"/>
        <v>415.12680430912121</v>
      </c>
      <c r="R208" s="130">
        <f t="shared" si="257"/>
        <v>272.62695132606143</v>
      </c>
      <c r="S208" s="130">
        <f t="shared" si="257"/>
        <v>254.17011643585158</v>
      </c>
      <c r="T208" s="130">
        <f t="shared" si="257"/>
        <v>767.36834164001209</v>
      </c>
      <c r="U208" s="130">
        <f t="shared" si="257"/>
        <v>425.46165147367151</v>
      </c>
      <c r="V208" s="130">
        <f t="shared" si="257"/>
        <v>1183.7059329320721</v>
      </c>
      <c r="W208" s="130">
        <f t="shared" ref="W208" si="258">IF(W56=0,0,W56/W26*1000)</f>
        <v>1278.2459157351677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160.22660600599306</v>
      </c>
      <c r="J209" s="97">
        <f t="shared" si="259"/>
        <v>257.25610201317124</v>
      </c>
      <c r="K209" s="97">
        <f t="shared" si="259"/>
        <v>310.89954087807723</v>
      </c>
      <c r="L209" s="97">
        <f t="shared" si="259"/>
        <v>589.21163814294209</v>
      </c>
      <c r="M209" s="97">
        <f t="shared" si="259"/>
        <v>493.65605873013106</v>
      </c>
      <c r="N209" s="97">
        <f t="shared" si="259"/>
        <v>317.66298655959423</v>
      </c>
      <c r="O209" s="97">
        <f t="shared" si="259"/>
        <v>361.70500804108133</v>
      </c>
      <c r="P209" s="97">
        <f t="shared" si="259"/>
        <v>500.42101889115565</v>
      </c>
      <c r="Q209" s="97">
        <f t="shared" si="259"/>
        <v>415.12680430912121</v>
      </c>
      <c r="R209" s="97">
        <f t="shared" si="259"/>
        <v>272.62695132606143</v>
      </c>
      <c r="S209" s="97">
        <f t="shared" si="259"/>
        <v>254.17011643585158</v>
      </c>
      <c r="T209" s="97">
        <f t="shared" si="259"/>
        <v>767.36834164001209</v>
      </c>
      <c r="U209" s="97">
        <f t="shared" si="259"/>
        <v>425.46165147367151</v>
      </c>
      <c r="V209" s="97">
        <f t="shared" si="259"/>
        <v>1183.7059329320721</v>
      </c>
      <c r="W209" s="97">
        <f t="shared" ref="W209" si="260">IF(W57=0,0,W57/W27*1000)</f>
        <v>1278.2459157351677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1.8931665188611444</v>
      </c>
      <c r="C211" s="32">
        <f t="shared" si="263"/>
        <v>1.917413688516614</v>
      </c>
      <c r="D211" s="32">
        <f t="shared" si="263"/>
        <v>1.9114419275038212</v>
      </c>
      <c r="E211" s="32">
        <f t="shared" si="263"/>
        <v>1.9088967166084008</v>
      </c>
      <c r="F211" s="32">
        <f t="shared" si="263"/>
        <v>1.9100073960035109</v>
      </c>
      <c r="G211" s="32">
        <f t="shared" si="263"/>
        <v>2.1684540130148653</v>
      </c>
      <c r="H211" s="32">
        <f t="shared" si="263"/>
        <v>1.9681621477186797</v>
      </c>
      <c r="I211" s="32">
        <f t="shared" si="263"/>
        <v>1.5779395502652991</v>
      </c>
      <c r="J211" s="32">
        <f t="shared" si="263"/>
        <v>1.8537497456182503</v>
      </c>
      <c r="K211" s="32">
        <f t="shared" si="263"/>
        <v>2.6977828435075684</v>
      </c>
      <c r="L211" s="32">
        <f t="shared" si="263"/>
        <v>2.3357888658011126</v>
      </c>
      <c r="M211" s="32">
        <f t="shared" si="263"/>
        <v>1.7030994256607834</v>
      </c>
      <c r="N211" s="32">
        <f t="shared" si="263"/>
        <v>1.8295172798663573</v>
      </c>
      <c r="O211" s="32">
        <f t="shared" si="263"/>
        <v>2.0156608524745763</v>
      </c>
      <c r="P211" s="32">
        <f t="shared" si="263"/>
        <v>1.7264600617044448</v>
      </c>
      <c r="Q211" s="32">
        <f t="shared" si="263"/>
        <v>2.1311660215190953</v>
      </c>
      <c r="R211" s="32">
        <f t="shared" si="263"/>
        <v>2.7078014586231083</v>
      </c>
      <c r="S211" s="32">
        <f t="shared" si="263"/>
        <v>2.0000585681120935</v>
      </c>
      <c r="T211" s="32">
        <f t="shared" si="263"/>
        <v>0.27163821501140917</v>
      </c>
      <c r="U211" s="32">
        <f t="shared" si="263"/>
        <v>2.1326242218632738</v>
      </c>
      <c r="V211" s="32">
        <f t="shared" si="263"/>
        <v>2.4974320391146487</v>
      </c>
      <c r="W211" s="32">
        <f t="shared" si="262"/>
        <v>2.5747393987436076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2.594656383479788</v>
      </c>
      <c r="C212" s="97">
        <f t="shared" si="264"/>
        <v>2.6613517837294478</v>
      </c>
      <c r="D212" s="97">
        <f t="shared" si="264"/>
        <v>2.644704264000421</v>
      </c>
      <c r="E212" s="97">
        <f t="shared" si="264"/>
        <v>2.636249501448054</v>
      </c>
      <c r="F212" s="97">
        <f t="shared" si="264"/>
        <v>2.63997045096876</v>
      </c>
      <c r="G212" s="97">
        <f t="shared" si="264"/>
        <v>3.1302047342228407</v>
      </c>
      <c r="H212" s="97">
        <f t="shared" si="264"/>
        <v>2.6677348038811117</v>
      </c>
      <c r="I212" s="97">
        <f t="shared" si="264"/>
        <v>2.2118690963240315</v>
      </c>
      <c r="J212" s="97">
        <f t="shared" si="264"/>
        <v>2.6612285309828416</v>
      </c>
      <c r="K212" s="97">
        <f t="shared" si="264"/>
        <v>3.8238859082109413</v>
      </c>
      <c r="L212" s="97">
        <f t="shared" si="264"/>
        <v>3.2849113269316899</v>
      </c>
      <c r="M212" s="97">
        <f t="shared" si="264"/>
        <v>2.4554089176914378</v>
      </c>
      <c r="N212" s="97">
        <f t="shared" si="264"/>
        <v>2.336060514830705</v>
      </c>
      <c r="O212" s="97">
        <f t="shared" si="264"/>
        <v>2.4030670109295551</v>
      </c>
      <c r="P212" s="97">
        <f t="shared" si="264"/>
        <v>2.2538622470881156</v>
      </c>
      <c r="Q212" s="97">
        <f t="shared" si="264"/>
        <v>2.6804222031712461</v>
      </c>
      <c r="R212" s="97">
        <f t="shared" si="264"/>
        <v>3.5484627601893948</v>
      </c>
      <c r="S212" s="97">
        <f t="shared" si="264"/>
        <v>2.8966492416675345</v>
      </c>
      <c r="T212" s="97">
        <f t="shared" si="264"/>
        <v>0.42036050820564991</v>
      </c>
      <c r="U212" s="97">
        <f t="shared" si="264"/>
        <v>3.6474164768852573</v>
      </c>
      <c r="V212" s="97">
        <f t="shared" si="264"/>
        <v>3.8184649033154243</v>
      </c>
      <c r="W212" s="97">
        <f t="shared" si="262"/>
        <v>4.3863230546504646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1.5637411518866426</v>
      </c>
      <c r="C213" s="98">
        <f t="shared" si="265"/>
        <v>1.5761229975663185</v>
      </c>
      <c r="D213" s="98">
        <f t="shared" si="265"/>
        <v>1.5749606589952767</v>
      </c>
      <c r="E213" s="98">
        <f t="shared" si="265"/>
        <v>1.5740673895673245</v>
      </c>
      <c r="F213" s="98">
        <f t="shared" si="265"/>
        <v>1.5742075164134279</v>
      </c>
      <c r="G213" s="98">
        <f t="shared" si="265"/>
        <v>1.7885809051903234</v>
      </c>
      <c r="H213" s="98">
        <f t="shared" si="265"/>
        <v>1.6744295935546272</v>
      </c>
      <c r="I213" s="98">
        <f t="shared" si="265"/>
        <v>1.3113335443624441</v>
      </c>
      <c r="J213" s="98">
        <f t="shared" si="265"/>
        <v>1.5231035597790512</v>
      </c>
      <c r="K213" s="98">
        <f t="shared" si="265"/>
        <v>2.2042653474937492</v>
      </c>
      <c r="L213" s="98">
        <f t="shared" si="265"/>
        <v>1.8701513913348227</v>
      </c>
      <c r="M213" s="98">
        <f t="shared" si="265"/>
        <v>1.379896326647152</v>
      </c>
      <c r="N213" s="98">
        <f t="shared" si="265"/>
        <v>1.5434218877273236</v>
      </c>
      <c r="O213" s="98">
        <f t="shared" si="265"/>
        <v>1.7595491102498206</v>
      </c>
      <c r="P213" s="98">
        <f t="shared" si="265"/>
        <v>1.4342067160476584</v>
      </c>
      <c r="Q213" s="98">
        <f t="shared" si="265"/>
        <v>1.7860356754683491</v>
      </c>
      <c r="R213" s="98">
        <f t="shared" si="265"/>
        <v>2.2110064648512746</v>
      </c>
      <c r="S213" s="98">
        <f t="shared" si="265"/>
        <v>1.5644840242930307</v>
      </c>
      <c r="T213" s="98">
        <f t="shared" si="265"/>
        <v>0.21094640217721869</v>
      </c>
      <c r="U213" s="98">
        <f t="shared" si="265"/>
        <v>1.6494319445713954</v>
      </c>
      <c r="V213" s="98">
        <f t="shared" si="265"/>
        <v>2.0841333801363069</v>
      </c>
      <c r="W213" s="98">
        <f t="shared" si="262"/>
        <v>2.125595583037442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96.821977576402389</v>
      </c>
      <c r="C216" s="32">
        <f t="shared" si="266"/>
        <v>101.59240491998649</v>
      </c>
      <c r="D216" s="32">
        <f t="shared" si="266"/>
        <v>98.610568447879643</v>
      </c>
      <c r="E216" s="32">
        <f t="shared" si="266"/>
        <v>99.457831215113131</v>
      </c>
      <c r="F216" s="32">
        <f t="shared" si="266"/>
        <v>112.44420911111639</v>
      </c>
      <c r="G216" s="32">
        <f t="shared" si="266"/>
        <v>104.98433375617553</v>
      </c>
      <c r="H216" s="32">
        <f t="shared" si="266"/>
        <v>104.91425397681499</v>
      </c>
      <c r="I216" s="32">
        <f t="shared" si="266"/>
        <v>104.59790296486712</v>
      </c>
      <c r="J216" s="32">
        <f t="shared" si="266"/>
        <v>110.5414699709543</v>
      </c>
      <c r="K216" s="32">
        <f t="shared" si="266"/>
        <v>114.25185025816353</v>
      </c>
      <c r="L216" s="32">
        <f t="shared" si="266"/>
        <v>112.72986074475047</v>
      </c>
      <c r="M216" s="32">
        <f t="shared" si="266"/>
        <v>112.78441672204877</v>
      </c>
      <c r="N216" s="32">
        <f t="shared" si="266"/>
        <v>108.86848152075875</v>
      </c>
      <c r="O216" s="32">
        <f t="shared" si="266"/>
        <v>108.09927562330346</v>
      </c>
      <c r="P216" s="32">
        <f t="shared" si="266"/>
        <v>109.47692965239942</v>
      </c>
      <c r="Q216" s="32">
        <f t="shared" si="266"/>
        <v>110.02884809635415</v>
      </c>
      <c r="R216" s="32">
        <f t="shared" si="266"/>
        <v>113.85144018227587</v>
      </c>
      <c r="S216" s="32">
        <f t="shared" si="266"/>
        <v>112.00557528884572</v>
      </c>
      <c r="T216" s="32">
        <f t="shared" si="266"/>
        <v>109.14577381616719</v>
      </c>
      <c r="U216" s="32">
        <f t="shared" si="266"/>
        <v>109.39572340951241</v>
      </c>
      <c r="V216" s="32">
        <f t="shared" si="266"/>
        <v>118.8285717916588</v>
      </c>
      <c r="W216" s="32">
        <f t="shared" ref="W216" si="267">IF(W4=0,0,W64/W4*1000)</f>
        <v>132.79945803590707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98.598285929352386</v>
      </c>
      <c r="C217" s="141">
        <f t="shared" si="268"/>
        <v>103.97354168474128</v>
      </c>
      <c r="D217" s="141">
        <f t="shared" si="268"/>
        <v>100.73724114869336</v>
      </c>
      <c r="E217" s="141">
        <f t="shared" si="268"/>
        <v>100.80723252810824</v>
      </c>
      <c r="F217" s="141">
        <f t="shared" si="268"/>
        <v>115.62081852020557</v>
      </c>
      <c r="G217" s="141">
        <f t="shared" si="268"/>
        <v>111.66689510395379</v>
      </c>
      <c r="H217" s="141">
        <f t="shared" si="268"/>
        <v>112.85630832104545</v>
      </c>
      <c r="I217" s="141">
        <f t="shared" si="268"/>
        <v>112.24676062546479</v>
      </c>
      <c r="J217" s="141">
        <f t="shared" si="268"/>
        <v>119.06305335130885</v>
      </c>
      <c r="K217" s="141">
        <f t="shared" si="268"/>
        <v>121.27022372685425</v>
      </c>
      <c r="L217" s="141">
        <f t="shared" si="268"/>
        <v>121.18895160319558</v>
      </c>
      <c r="M217" s="141">
        <f t="shared" si="268"/>
        <v>122.04207016276284</v>
      </c>
      <c r="N217" s="141">
        <f t="shared" si="268"/>
        <v>114.34550626477007</v>
      </c>
      <c r="O217" s="141">
        <f t="shared" si="268"/>
        <v>113.43874185652398</v>
      </c>
      <c r="P217" s="141">
        <f t="shared" si="268"/>
        <v>116.31540362365769</v>
      </c>
      <c r="Q217" s="141">
        <f t="shared" si="268"/>
        <v>117.66926332287218</v>
      </c>
      <c r="R217" s="141">
        <f t="shared" si="268"/>
        <v>120.23401855066722</v>
      </c>
      <c r="S217" s="141">
        <f t="shared" si="268"/>
        <v>117.5897679872209</v>
      </c>
      <c r="T217" s="141">
        <f t="shared" si="268"/>
        <v>115.72187394563072</v>
      </c>
      <c r="U217" s="141">
        <f t="shared" si="268"/>
        <v>117.97520689287106</v>
      </c>
      <c r="V217" s="141">
        <f t="shared" si="268"/>
        <v>121.79930233120918</v>
      </c>
      <c r="W217" s="141">
        <f t="shared" ref="W217" si="269">IF(W5=0,0,W65/W5*1000)</f>
        <v>135.70061051334662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128.47260424193402</v>
      </c>
      <c r="C218" s="97">
        <f t="shared" si="270"/>
        <v>128.00202406000474</v>
      </c>
      <c r="D218" s="97">
        <f t="shared" si="270"/>
        <v>127.23992560681371</v>
      </c>
      <c r="E218" s="97">
        <f t="shared" si="270"/>
        <v>126.38263496960175</v>
      </c>
      <c r="F218" s="97">
        <f t="shared" si="270"/>
        <v>125.3730797011734</v>
      </c>
      <c r="G218" s="97">
        <f t="shared" si="270"/>
        <v>124.45306245087725</v>
      </c>
      <c r="H218" s="97">
        <f t="shared" si="270"/>
        <v>122.47084073005985</v>
      </c>
      <c r="I218" s="97">
        <f t="shared" si="270"/>
        <v>120.23862781269918</v>
      </c>
      <c r="J218" s="97">
        <f t="shared" si="270"/>
        <v>117.7548065148443</v>
      </c>
      <c r="K218" s="97">
        <f t="shared" si="270"/>
        <v>115.74734902089897</v>
      </c>
      <c r="L218" s="97">
        <f t="shared" si="270"/>
        <v>112.67782438028367</v>
      </c>
      <c r="M218" s="97">
        <f t="shared" si="270"/>
        <v>109.43674911685483</v>
      </c>
      <c r="N218" s="97">
        <f t="shared" si="270"/>
        <v>106.49186659971562</v>
      </c>
      <c r="O218" s="97">
        <f t="shared" si="270"/>
        <v>102.91335682393198</v>
      </c>
      <c r="P218" s="97">
        <f t="shared" si="270"/>
        <v>99.021189406861168</v>
      </c>
      <c r="Q218" s="97">
        <f t="shared" si="270"/>
        <v>94.933710114743022</v>
      </c>
      <c r="R218" s="97">
        <f t="shared" si="270"/>
        <v>91.254918363238843</v>
      </c>
      <c r="S218" s="97">
        <f t="shared" si="270"/>
        <v>88.627159123857595</v>
      </c>
      <c r="T218" s="97">
        <f t="shared" si="270"/>
        <v>86.099310983082106</v>
      </c>
      <c r="U218" s="97">
        <f t="shared" si="270"/>
        <v>84.139812318008239</v>
      </c>
      <c r="V218" s="97">
        <f t="shared" si="270"/>
        <v>80.17677784492308</v>
      </c>
      <c r="W218" s="97">
        <f t="shared" ref="W218" si="271">IF(W6=0,0,W66/W6*1000)</f>
        <v>72.61571208619506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96.966596159140352</v>
      </c>
      <c r="C219" s="97">
        <f t="shared" si="272"/>
        <v>101.05455163745685</v>
      </c>
      <c r="D219" s="97">
        <f t="shared" si="272"/>
        <v>98.175066821017907</v>
      </c>
      <c r="E219" s="97">
        <f t="shared" si="272"/>
        <v>98.58243031666629</v>
      </c>
      <c r="F219" s="97">
        <f t="shared" si="272"/>
        <v>117.30059808009547</v>
      </c>
      <c r="G219" s="97">
        <f t="shared" si="272"/>
        <v>114.81075546418684</v>
      </c>
      <c r="H219" s="97">
        <f t="shared" si="272"/>
        <v>115.17064394438437</v>
      </c>
      <c r="I219" s="97">
        <f t="shared" si="272"/>
        <v>113.34795515939889</v>
      </c>
      <c r="J219" s="97">
        <f t="shared" si="272"/>
        <v>121.98033570764456</v>
      </c>
      <c r="K219" s="97">
        <f t="shared" si="272"/>
        <v>122.90509514140211</v>
      </c>
      <c r="L219" s="97">
        <f t="shared" si="272"/>
        <v>123.89450145066489</v>
      </c>
      <c r="M219" s="97">
        <f t="shared" si="272"/>
        <v>128.48096086063273</v>
      </c>
      <c r="N219" s="97">
        <f t="shared" si="272"/>
        <v>122.8403224728827</v>
      </c>
      <c r="O219" s="97">
        <f t="shared" si="272"/>
        <v>121.5869739926511</v>
      </c>
      <c r="P219" s="97">
        <f t="shared" si="272"/>
        <v>125.18166332484395</v>
      </c>
      <c r="Q219" s="97">
        <f t="shared" si="272"/>
        <v>125.67003189514122</v>
      </c>
      <c r="R219" s="97">
        <f t="shared" si="272"/>
        <v>127.77804178356212</v>
      </c>
      <c r="S219" s="97">
        <f t="shared" si="272"/>
        <v>123.32597085795339</v>
      </c>
      <c r="T219" s="97">
        <f t="shared" si="272"/>
        <v>122.10739488439678</v>
      </c>
      <c r="U219" s="97">
        <f t="shared" si="272"/>
        <v>125.43497240792884</v>
      </c>
      <c r="V219" s="97">
        <f t="shared" si="272"/>
        <v>125.55349122092629</v>
      </c>
      <c r="W219" s="97">
        <f t="shared" ref="W219" si="273">IF(W7=0,0,W67/W7*1000)</f>
        <v>140.26527744443379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105.76062617901302</v>
      </c>
      <c r="C220" s="97">
        <f t="shared" si="274"/>
        <v>118.48595293420958</v>
      </c>
      <c r="D220" s="97">
        <f t="shared" si="274"/>
        <v>113.56658858702075</v>
      </c>
      <c r="E220" s="97">
        <f t="shared" si="274"/>
        <v>111.49243280160081</v>
      </c>
      <c r="F220" s="97">
        <f t="shared" si="274"/>
        <v>108.10161872274351</v>
      </c>
      <c r="G220" s="97">
        <f t="shared" si="274"/>
        <v>98.210158135727184</v>
      </c>
      <c r="H220" s="97">
        <f t="shared" si="274"/>
        <v>100.9651641199298</v>
      </c>
      <c r="I220" s="97">
        <f t="shared" si="274"/>
        <v>105.41542656829992</v>
      </c>
      <c r="J220" s="97">
        <f t="shared" si="274"/>
        <v>102.57463794981227</v>
      </c>
      <c r="K220" s="97">
        <f t="shared" si="274"/>
        <v>111.7262079153388</v>
      </c>
      <c r="L220" s="97">
        <f t="shared" si="274"/>
        <v>106.98639429497717</v>
      </c>
      <c r="M220" s="97">
        <f t="shared" si="274"/>
        <v>92.043970181898146</v>
      </c>
      <c r="N220" s="97">
        <f t="shared" si="274"/>
        <v>78.87640569602523</v>
      </c>
      <c r="O220" s="97">
        <f t="shared" si="274"/>
        <v>78.665264049961038</v>
      </c>
      <c r="P220" s="97">
        <f t="shared" si="274"/>
        <v>75.600839420263171</v>
      </c>
      <c r="Q220" s="97">
        <f t="shared" si="274"/>
        <v>77.495041661370493</v>
      </c>
      <c r="R220" s="97">
        <f t="shared" si="274"/>
        <v>80.587508477531316</v>
      </c>
      <c r="S220" s="97">
        <f t="shared" si="274"/>
        <v>84.598640370689935</v>
      </c>
      <c r="T220" s="97">
        <f t="shared" si="274"/>
        <v>78.614971003631766</v>
      </c>
      <c r="U220" s="97">
        <f t="shared" si="274"/>
        <v>74.11098631373801</v>
      </c>
      <c r="V220" s="97">
        <f t="shared" si="274"/>
        <v>90.429944500730784</v>
      </c>
      <c r="W220" s="97">
        <f t="shared" ref="W220" si="275">IF(W8=0,0,W68/W8*1000)</f>
        <v>94.980734316414853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39.038481266325327</v>
      </c>
      <c r="C221" s="130">
        <f t="shared" si="276"/>
        <v>36.939879572263827</v>
      </c>
      <c r="D221" s="130">
        <f t="shared" si="276"/>
        <v>37.503026691161203</v>
      </c>
      <c r="E221" s="130">
        <f t="shared" si="276"/>
        <v>37.198050923908013</v>
      </c>
      <c r="F221" s="130">
        <f t="shared" si="276"/>
        <v>35.080598385053641</v>
      </c>
      <c r="G221" s="130">
        <f t="shared" si="276"/>
        <v>32.174181240226751</v>
      </c>
      <c r="H221" s="130">
        <f t="shared" si="276"/>
        <v>28.308899630455812</v>
      </c>
      <c r="I221" s="130">
        <f t="shared" si="276"/>
        <v>28.578410782228914</v>
      </c>
      <c r="J221" s="130">
        <f t="shared" si="276"/>
        <v>28.077189946779992</v>
      </c>
      <c r="K221" s="130">
        <f t="shared" si="276"/>
        <v>30.661000568519171</v>
      </c>
      <c r="L221" s="130">
        <f t="shared" si="276"/>
        <v>21.164062055135261</v>
      </c>
      <c r="M221" s="130">
        <f t="shared" si="276"/>
        <v>20.49852803474705</v>
      </c>
      <c r="N221" s="130">
        <f t="shared" si="276"/>
        <v>20.118456529403247</v>
      </c>
      <c r="O221" s="130">
        <f t="shared" si="276"/>
        <v>19.221769313463071</v>
      </c>
      <c r="P221" s="130">
        <f t="shared" si="276"/>
        <v>17.565733096259052</v>
      </c>
      <c r="Q221" s="130">
        <f t="shared" si="276"/>
        <v>9.6616642222919236</v>
      </c>
      <c r="R221" s="130">
        <f t="shared" si="276"/>
        <v>9.3797821710160427</v>
      </c>
      <c r="S221" s="130">
        <f t="shared" si="276"/>
        <v>9.4856087157931377</v>
      </c>
      <c r="T221" s="130">
        <f t="shared" si="276"/>
        <v>8.0477233479786818</v>
      </c>
      <c r="U221" s="130">
        <f t="shared" si="276"/>
        <v>7.9291342075147178</v>
      </c>
      <c r="V221" s="130">
        <f t="shared" si="276"/>
        <v>9.882426790244395</v>
      </c>
      <c r="W221" s="130">
        <f t="shared" ref="W221" si="277">IF(W9=0,0,W69/W9*1000)</f>
        <v>12.312412237544583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53.600107775037166</v>
      </c>
      <c r="C223" s="97">
        <f t="shared" si="280"/>
        <v>50.580427170690434</v>
      </c>
      <c r="D223" s="97">
        <f t="shared" si="280"/>
        <v>50.840796667614512</v>
      </c>
      <c r="E223" s="97">
        <f t="shared" si="280"/>
        <v>49.587637963918326</v>
      </c>
      <c r="F223" s="97">
        <f t="shared" si="280"/>
        <v>46.557960412520934</v>
      </c>
      <c r="G223" s="97">
        <f t="shared" si="280"/>
        <v>42.043584192093839</v>
      </c>
      <c r="H223" s="97">
        <f t="shared" si="280"/>
        <v>36.327840468981478</v>
      </c>
      <c r="I223" s="97">
        <f t="shared" si="280"/>
        <v>36.773819658855786</v>
      </c>
      <c r="J223" s="97">
        <f t="shared" si="280"/>
        <v>35.784244317931183</v>
      </c>
      <c r="K223" s="97">
        <f t="shared" si="280"/>
        <v>37.670400431108447</v>
      </c>
      <c r="L223" s="97">
        <f t="shared" si="280"/>
        <v>31.574781282154039</v>
      </c>
      <c r="M223" s="97">
        <f t="shared" si="280"/>
        <v>31.003338503937105</v>
      </c>
      <c r="N223" s="97">
        <f t="shared" si="280"/>
        <v>30.005737929931669</v>
      </c>
      <c r="O223" s="97">
        <f t="shared" si="280"/>
        <v>29.27275517383767</v>
      </c>
      <c r="P223" s="97">
        <f t="shared" si="280"/>
        <v>28.05907654262834</v>
      </c>
      <c r="Q223" s="97">
        <f t="shared" si="280"/>
        <v>15.486337692168219</v>
      </c>
      <c r="R223" s="97">
        <f t="shared" si="280"/>
        <v>14.802693596426463</v>
      </c>
      <c r="S223" s="97">
        <f t="shared" si="280"/>
        <v>14.922947434005978</v>
      </c>
      <c r="T223" s="97">
        <f t="shared" si="280"/>
        <v>12.641541813502032</v>
      </c>
      <c r="U223" s="97">
        <f t="shared" si="280"/>
        <v>12.075356172875342</v>
      </c>
      <c r="V223" s="97">
        <f t="shared" si="280"/>
        <v>14.707754972424334</v>
      </c>
      <c r="W223" s="97">
        <f t="shared" ref="W223" si="281">IF(W11=0,0,W71/W11*1000)</f>
        <v>14.30804621217951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161.37996315110627</v>
      </c>
      <c r="C225" s="130">
        <f t="shared" si="284"/>
        <v>157.07480119269502</v>
      </c>
      <c r="D225" s="130">
        <f t="shared" si="284"/>
        <v>154.0301906535517</v>
      </c>
      <c r="E225" s="130">
        <f t="shared" si="284"/>
        <v>153.03891915689829</v>
      </c>
      <c r="F225" s="130">
        <f t="shared" si="284"/>
        <v>151.68669796352668</v>
      </c>
      <c r="G225" s="130">
        <f t="shared" si="284"/>
        <v>96.18407604315145</v>
      </c>
      <c r="H225" s="130">
        <f t="shared" si="284"/>
        <v>88.376712950674431</v>
      </c>
      <c r="I225" s="130">
        <f t="shared" si="284"/>
        <v>87.427132058381758</v>
      </c>
      <c r="J225" s="130">
        <f t="shared" si="284"/>
        <v>95.851148261480574</v>
      </c>
      <c r="K225" s="130">
        <f t="shared" si="284"/>
        <v>104.70118866649122</v>
      </c>
      <c r="L225" s="130">
        <f t="shared" si="284"/>
        <v>105.7973847154208</v>
      </c>
      <c r="M225" s="130">
        <f t="shared" si="284"/>
        <v>105.1027464378783</v>
      </c>
      <c r="N225" s="130">
        <f t="shared" si="284"/>
        <v>114.28836222742085</v>
      </c>
      <c r="O225" s="130">
        <f t="shared" si="284"/>
        <v>114.59799993572342</v>
      </c>
      <c r="P225" s="130">
        <f t="shared" si="284"/>
        <v>105.89250086853362</v>
      </c>
      <c r="Q225" s="130">
        <f t="shared" si="284"/>
        <v>100.72833977526604</v>
      </c>
      <c r="R225" s="130">
        <f t="shared" si="284"/>
        <v>110.98215611014749</v>
      </c>
      <c r="S225" s="130">
        <f t="shared" si="284"/>
        <v>111.44036703353726</v>
      </c>
      <c r="T225" s="130">
        <f t="shared" si="284"/>
        <v>104.87497419551292</v>
      </c>
      <c r="U225" s="130">
        <f t="shared" si="284"/>
        <v>97.588577141666903</v>
      </c>
      <c r="V225" s="130">
        <f t="shared" si="284"/>
        <v>133.11654545648054</v>
      </c>
      <c r="W225" s="130">
        <f t="shared" ref="W225" si="285">IF(W13=0,0,W73/W13*1000)</f>
        <v>137.23956769513165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197.2335456002458</v>
      </c>
      <c r="C227" s="97">
        <f t="shared" si="288"/>
        <v>191.70348288623708</v>
      </c>
      <c r="D227" s="97">
        <f t="shared" si="288"/>
        <v>188.46816762358478</v>
      </c>
      <c r="E227" s="97">
        <f t="shared" si="288"/>
        <v>188.45691945430295</v>
      </c>
      <c r="F227" s="97">
        <f t="shared" si="288"/>
        <v>187.89370685439638</v>
      </c>
      <c r="G227" s="97">
        <f t="shared" si="288"/>
        <v>120.87763891325476</v>
      </c>
      <c r="H227" s="97">
        <f t="shared" si="288"/>
        <v>112.68363025647572</v>
      </c>
      <c r="I227" s="97">
        <f t="shared" si="288"/>
        <v>120.03227749390571</v>
      </c>
      <c r="J227" s="97">
        <f t="shared" si="288"/>
        <v>135.71487999984808</v>
      </c>
      <c r="K227" s="97">
        <f t="shared" si="288"/>
        <v>138.03349814541124</v>
      </c>
      <c r="L227" s="97">
        <f t="shared" si="288"/>
        <v>138.59228659626575</v>
      </c>
      <c r="M227" s="97">
        <f t="shared" si="288"/>
        <v>134.80168804782954</v>
      </c>
      <c r="N227" s="97">
        <f t="shared" si="288"/>
        <v>146.48736295529389</v>
      </c>
      <c r="O227" s="97">
        <f t="shared" si="288"/>
        <v>149.43306836703513</v>
      </c>
      <c r="P227" s="97">
        <f t="shared" si="288"/>
        <v>130.51803620113208</v>
      </c>
      <c r="Q227" s="97">
        <f t="shared" si="288"/>
        <v>120.39594599670221</v>
      </c>
      <c r="R227" s="97">
        <f t="shared" si="288"/>
        <v>133.86390444655422</v>
      </c>
      <c r="S227" s="97">
        <f t="shared" si="288"/>
        <v>136.55690706164083</v>
      </c>
      <c r="T227" s="97">
        <f t="shared" si="288"/>
        <v>130.5957265612403</v>
      </c>
      <c r="U227" s="97">
        <f t="shared" si="288"/>
        <v>124.61175557382272</v>
      </c>
      <c r="V227" s="97">
        <f t="shared" si="288"/>
        <v>146.23532915253031</v>
      </c>
      <c r="W227" s="97">
        <f t="shared" ref="W227" si="289">IF(W15=0,0,W75/W15*1000)</f>
        <v>161.92053399057099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71.194266092213297</v>
      </c>
      <c r="C228" s="97">
        <f t="shared" si="290"/>
        <v>69.555679798437367</v>
      </c>
      <c r="D228" s="97">
        <f t="shared" si="290"/>
        <v>67.756697235298205</v>
      </c>
      <c r="E228" s="97">
        <f t="shared" si="290"/>
        <v>66.243365027164671</v>
      </c>
      <c r="F228" s="97">
        <f t="shared" si="290"/>
        <v>64.739969925292101</v>
      </c>
      <c r="G228" s="97">
        <f t="shared" si="290"/>
        <v>35.83705093861613</v>
      </c>
      <c r="H228" s="97">
        <f t="shared" si="290"/>
        <v>28.407666202539449</v>
      </c>
      <c r="I228" s="97">
        <f t="shared" si="290"/>
        <v>23.297045476014887</v>
      </c>
      <c r="J228" s="97">
        <f t="shared" si="290"/>
        <v>24.589210894335263</v>
      </c>
      <c r="K228" s="97">
        <f t="shared" si="290"/>
        <v>31.555346300080728</v>
      </c>
      <c r="L228" s="97">
        <f t="shared" si="290"/>
        <v>30.425470054678531</v>
      </c>
      <c r="M228" s="97">
        <f t="shared" si="290"/>
        <v>31.612176143703387</v>
      </c>
      <c r="N228" s="97">
        <f t="shared" si="290"/>
        <v>35.819676328607763</v>
      </c>
      <c r="O228" s="97">
        <f t="shared" si="290"/>
        <v>34.020325390699604</v>
      </c>
      <c r="P228" s="97">
        <f t="shared" si="290"/>
        <v>36.182648931253908</v>
      </c>
      <c r="Q228" s="97">
        <f t="shared" si="290"/>
        <v>36.69706981814948</v>
      </c>
      <c r="R228" s="97">
        <f t="shared" si="290"/>
        <v>37.926548550887816</v>
      </c>
      <c r="S228" s="97">
        <f t="shared" si="290"/>
        <v>35.118398286898369</v>
      </c>
      <c r="T228" s="97">
        <f t="shared" si="290"/>
        <v>31.40447710055621</v>
      </c>
      <c r="U228" s="97">
        <f t="shared" si="290"/>
        <v>27.446197896145367</v>
      </c>
      <c r="V228" s="97">
        <f t="shared" si="290"/>
        <v>78.699913344794766</v>
      </c>
      <c r="W228" s="97">
        <f t="shared" ref="W228" si="291">IF(W16=0,0,W76/W16*1000)</f>
        <v>58.611042619365307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45.555237438580207</v>
      </c>
      <c r="C229" s="32">
        <f t="shared" si="292"/>
        <v>58.805101504496982</v>
      </c>
      <c r="D229" s="32">
        <f t="shared" si="292"/>
        <v>58.452477170713671</v>
      </c>
      <c r="E229" s="32">
        <f t="shared" si="292"/>
        <v>52.704996947780764</v>
      </c>
      <c r="F229" s="32">
        <f t="shared" si="292"/>
        <v>53.752809289813221</v>
      </c>
      <c r="G229" s="32">
        <f t="shared" si="292"/>
        <v>54.01372469816139</v>
      </c>
      <c r="H229" s="32">
        <f t="shared" si="292"/>
        <v>65.42903936085213</v>
      </c>
      <c r="I229" s="32">
        <f t="shared" si="292"/>
        <v>70.575746416185083</v>
      </c>
      <c r="J229" s="32">
        <f t="shared" si="292"/>
        <v>63.479041809836822</v>
      </c>
      <c r="K229" s="32">
        <f t="shared" si="292"/>
        <v>57.485179536449756</v>
      </c>
      <c r="L229" s="32">
        <f t="shared" si="292"/>
        <v>65.281601549339754</v>
      </c>
      <c r="M229" s="32">
        <f t="shared" si="292"/>
        <v>43.423644664367231</v>
      </c>
      <c r="N229" s="32">
        <f t="shared" si="292"/>
        <v>40.723592286251758</v>
      </c>
      <c r="O229" s="32">
        <f t="shared" si="292"/>
        <v>45.003178130813012</v>
      </c>
      <c r="P229" s="32">
        <f t="shared" si="292"/>
        <v>44.218041755092344</v>
      </c>
      <c r="Q229" s="32">
        <f t="shared" si="292"/>
        <v>47.202183052587408</v>
      </c>
      <c r="R229" s="32">
        <f t="shared" si="292"/>
        <v>51.509974667022796</v>
      </c>
      <c r="S229" s="32">
        <f t="shared" si="292"/>
        <v>56.198341080021962</v>
      </c>
      <c r="T229" s="32">
        <f t="shared" si="292"/>
        <v>48.659444878711561</v>
      </c>
      <c r="U229" s="32">
        <f t="shared" si="292"/>
        <v>51.913245452915099</v>
      </c>
      <c r="V229" s="32">
        <f t="shared" si="292"/>
        <v>70.554020537980179</v>
      </c>
      <c r="W229" s="32">
        <f t="shared" ref="W229" si="293">IF(W17=0,0,W77/W17*1000)</f>
        <v>78.329350389485327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238.96128096039138</v>
      </c>
      <c r="C230" s="141">
        <f t="shared" si="294"/>
        <v>322.53231323541064</v>
      </c>
      <c r="D230" s="141">
        <f t="shared" si="294"/>
        <v>299.24474525509612</v>
      </c>
      <c r="E230" s="141">
        <f t="shared" si="294"/>
        <v>275.13000488553007</v>
      </c>
      <c r="F230" s="141">
        <f t="shared" si="294"/>
        <v>278.61635384689868</v>
      </c>
      <c r="G230" s="141">
        <f t="shared" si="294"/>
        <v>274.06664475235465</v>
      </c>
      <c r="H230" s="141">
        <f t="shared" si="294"/>
        <v>288.79010931021128</v>
      </c>
      <c r="I230" s="141">
        <f t="shared" si="294"/>
        <v>308.12003578374754</v>
      </c>
      <c r="J230" s="141">
        <f t="shared" si="294"/>
        <v>317.89927595541121</v>
      </c>
      <c r="K230" s="141">
        <f t="shared" si="294"/>
        <v>314.77176404178101</v>
      </c>
      <c r="L230" s="141">
        <f t="shared" si="294"/>
        <v>303.61962666135236</v>
      </c>
      <c r="M230" s="141">
        <f t="shared" si="294"/>
        <v>213.35392519875643</v>
      </c>
      <c r="N230" s="141">
        <f t="shared" si="294"/>
        <v>192.35823797106886</v>
      </c>
      <c r="O230" s="141">
        <f t="shared" si="294"/>
        <v>182.54530684495728</v>
      </c>
      <c r="P230" s="141">
        <f t="shared" si="294"/>
        <v>183.04182771106727</v>
      </c>
      <c r="Q230" s="141">
        <f t="shared" si="294"/>
        <v>184.93429340565453</v>
      </c>
      <c r="R230" s="141">
        <f t="shared" si="294"/>
        <v>178.44154191593367</v>
      </c>
      <c r="S230" s="141">
        <f t="shared" si="294"/>
        <v>179.58889443602484</v>
      </c>
      <c r="T230" s="141">
        <f t="shared" si="294"/>
        <v>166.29987449174686</v>
      </c>
      <c r="U230" s="141">
        <f t="shared" si="294"/>
        <v>167.13905531994953</v>
      </c>
      <c r="V230" s="141">
        <f t="shared" si="294"/>
        <v>145.41768579335417</v>
      </c>
      <c r="W230" s="141">
        <f t="shared" ref="W230" si="295">IF(W18=0,0,W78/W18*1000)</f>
        <v>152.59559257259519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1712.5362620579904</v>
      </c>
      <c r="C231" s="97">
        <f t="shared" si="296"/>
        <v>1756.3433034853999</v>
      </c>
      <c r="D231" s="97">
        <f t="shared" si="296"/>
        <v>1660.7746985089432</v>
      </c>
      <c r="E231" s="97">
        <f t="shared" si="296"/>
        <v>1615.9011560285114</v>
      </c>
      <c r="F231" s="97">
        <f t="shared" si="296"/>
        <v>1603.7081042416373</v>
      </c>
      <c r="G231" s="97">
        <f t="shared" si="296"/>
        <v>1591.6735597805798</v>
      </c>
      <c r="H231" s="97">
        <f t="shared" si="296"/>
        <v>1591.7789953459817</v>
      </c>
      <c r="I231" s="97">
        <f t="shared" si="296"/>
        <v>1625.4502522913124</v>
      </c>
      <c r="J231" s="97">
        <f t="shared" si="296"/>
        <v>1583.3229381246861</v>
      </c>
      <c r="K231" s="97">
        <f t="shared" si="296"/>
        <v>1507.7554199500037</v>
      </c>
      <c r="L231" s="97">
        <f t="shared" si="296"/>
        <v>1587.2357683431962</v>
      </c>
      <c r="M231" s="97">
        <f t="shared" si="296"/>
        <v>1465.4639372998236</v>
      </c>
      <c r="N231" s="97">
        <f t="shared" si="296"/>
        <v>1449.9898300035393</v>
      </c>
      <c r="O231" s="97">
        <f t="shared" si="296"/>
        <v>1423.97271902385</v>
      </c>
      <c r="P231" s="97">
        <f t="shared" si="296"/>
        <v>1386.177390197347</v>
      </c>
      <c r="Q231" s="97">
        <f t="shared" si="296"/>
        <v>1374.2259457752355</v>
      </c>
      <c r="R231" s="97">
        <f t="shared" si="296"/>
        <v>1365.2926387723649</v>
      </c>
      <c r="S231" s="97">
        <f t="shared" si="296"/>
        <v>1360.6203377668594</v>
      </c>
      <c r="T231" s="97">
        <f t="shared" si="296"/>
        <v>1299.021577079237</v>
      </c>
      <c r="U231" s="97">
        <f t="shared" si="296"/>
        <v>1275.6219982468524</v>
      </c>
      <c r="V231" s="97">
        <f t="shared" si="296"/>
        <v>1248.885632889815</v>
      </c>
      <c r="W231" s="97">
        <f t="shared" ref="W231" si="297">IF(W19=0,0,W79/W19*1000)</f>
        <v>1253.2808224711046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195.77768610925764</v>
      </c>
      <c r="C232" s="97">
        <f t="shared" si="298"/>
        <v>277.696081689354</v>
      </c>
      <c r="D232" s="97">
        <f t="shared" si="298"/>
        <v>251.38706189926586</v>
      </c>
      <c r="E232" s="97">
        <f t="shared" si="298"/>
        <v>237.07076119888271</v>
      </c>
      <c r="F232" s="97">
        <f t="shared" si="298"/>
        <v>231.6053371950965</v>
      </c>
      <c r="G232" s="97">
        <f t="shared" si="298"/>
        <v>234.63782200280994</v>
      </c>
      <c r="H232" s="97">
        <f t="shared" si="298"/>
        <v>247.86741605747656</v>
      </c>
      <c r="I232" s="97">
        <f t="shared" si="298"/>
        <v>267.26970323638363</v>
      </c>
      <c r="J232" s="97">
        <f t="shared" si="298"/>
        <v>272.3538231246763</v>
      </c>
      <c r="K232" s="97">
        <f t="shared" si="298"/>
        <v>264.96187675926728</v>
      </c>
      <c r="L232" s="97">
        <f t="shared" si="298"/>
        <v>264.16158691834238</v>
      </c>
      <c r="M232" s="97">
        <f t="shared" si="298"/>
        <v>175.93568519641394</v>
      </c>
      <c r="N232" s="97">
        <f t="shared" si="298"/>
        <v>152.39036480090388</v>
      </c>
      <c r="O232" s="97">
        <f t="shared" si="298"/>
        <v>140.73257572633645</v>
      </c>
      <c r="P232" s="97">
        <f t="shared" si="298"/>
        <v>138.00535051463922</v>
      </c>
      <c r="Q232" s="97">
        <f t="shared" si="298"/>
        <v>140.85114888698686</v>
      </c>
      <c r="R232" s="97">
        <f t="shared" si="298"/>
        <v>134.89718619135724</v>
      </c>
      <c r="S232" s="97">
        <f t="shared" si="298"/>
        <v>137.94068695790551</v>
      </c>
      <c r="T232" s="97">
        <f t="shared" si="298"/>
        <v>128.39902450463029</v>
      </c>
      <c r="U232" s="97">
        <f t="shared" si="298"/>
        <v>126.67089511420474</v>
      </c>
      <c r="V232" s="97">
        <f t="shared" si="298"/>
        <v>108.99700966678151</v>
      </c>
      <c r="W232" s="97">
        <f t="shared" ref="W232" si="299">IF(W20=0,0,W80/W20*1000)</f>
        <v>116.62903593968801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12.49655345611183</v>
      </c>
      <c r="C233" s="130">
        <f t="shared" si="300"/>
        <v>12.358271634519927</v>
      </c>
      <c r="D233" s="130">
        <f t="shared" si="300"/>
        <v>12.155123749620154</v>
      </c>
      <c r="E233" s="130">
        <f t="shared" si="300"/>
        <v>11.923969957755174</v>
      </c>
      <c r="F233" s="130">
        <f t="shared" si="300"/>
        <v>11.851545879659906</v>
      </c>
      <c r="G233" s="130">
        <f t="shared" si="300"/>
        <v>11.163408207352676</v>
      </c>
      <c r="H233" s="130">
        <f t="shared" si="300"/>
        <v>11.340585663215752</v>
      </c>
      <c r="I233" s="130">
        <f t="shared" si="300"/>
        <v>11.452482758292776</v>
      </c>
      <c r="J233" s="130">
        <f t="shared" si="300"/>
        <v>10.822267351862864</v>
      </c>
      <c r="K233" s="130">
        <f t="shared" si="300"/>
        <v>10.769760040455589</v>
      </c>
      <c r="L233" s="130">
        <f t="shared" si="300"/>
        <v>10.734303053141851</v>
      </c>
      <c r="M233" s="130">
        <f t="shared" si="300"/>
        <v>9.8208471479035069</v>
      </c>
      <c r="N233" s="130">
        <f t="shared" si="300"/>
        <v>10.390907684832806</v>
      </c>
      <c r="O233" s="130">
        <f t="shared" si="300"/>
        <v>10.364449275018586</v>
      </c>
      <c r="P233" s="130">
        <f t="shared" si="300"/>
        <v>10.083256846178047</v>
      </c>
      <c r="Q233" s="130">
        <f t="shared" si="300"/>
        <v>10.341492876421281</v>
      </c>
      <c r="R233" s="130">
        <f t="shared" si="300"/>
        <v>10.364977081817358</v>
      </c>
      <c r="S233" s="130">
        <f t="shared" si="300"/>
        <v>10.229641585808745</v>
      </c>
      <c r="T233" s="130">
        <f t="shared" si="300"/>
        <v>8.8328217004521363</v>
      </c>
      <c r="U233" s="130">
        <f t="shared" si="300"/>
        <v>8.5434509714921845</v>
      </c>
      <c r="V233" s="130">
        <f t="shared" si="300"/>
        <v>9.2962578313559039</v>
      </c>
      <c r="W233" s="130">
        <f t="shared" ref="W233" si="301">IF(W21=0,0,W81/W21*1000)</f>
        <v>9.5696577653594677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260.60401530545374</v>
      </c>
      <c r="C234" s="130">
        <f t="shared" si="302"/>
        <v>220.46378179775712</v>
      </c>
      <c r="D234" s="130">
        <f t="shared" si="302"/>
        <v>235.91660573004057</v>
      </c>
      <c r="E234" s="130">
        <f t="shared" si="302"/>
        <v>234.11829139855647</v>
      </c>
      <c r="F234" s="130">
        <f t="shared" si="302"/>
        <v>252.296197970451</v>
      </c>
      <c r="G234" s="130">
        <f t="shared" si="302"/>
        <v>218.0738042327223</v>
      </c>
      <c r="H234" s="130">
        <f t="shared" si="302"/>
        <v>195.98905129154636</v>
      </c>
      <c r="I234" s="130">
        <f t="shared" si="302"/>
        <v>159.21520170000704</v>
      </c>
      <c r="J234" s="130">
        <f t="shared" si="302"/>
        <v>181.56017888967276</v>
      </c>
      <c r="K234" s="130">
        <f t="shared" si="302"/>
        <v>245.33602089682256</v>
      </c>
      <c r="L234" s="130">
        <f t="shared" si="302"/>
        <v>196.00283331519827</v>
      </c>
      <c r="M234" s="130">
        <f t="shared" si="302"/>
        <v>189.98726920744338</v>
      </c>
      <c r="N234" s="130">
        <f t="shared" si="302"/>
        <v>93.566638535385323</v>
      </c>
      <c r="O234" s="130">
        <f t="shared" si="302"/>
        <v>84.713972269035679</v>
      </c>
      <c r="P234" s="130">
        <f t="shared" si="302"/>
        <v>81.497874637744815</v>
      </c>
      <c r="Q234" s="130">
        <f t="shared" si="302"/>
        <v>124.31195588096772</v>
      </c>
      <c r="R234" s="130">
        <f t="shared" si="302"/>
        <v>136.09140710878899</v>
      </c>
      <c r="S234" s="130">
        <f t="shared" si="302"/>
        <v>154.83241162161633</v>
      </c>
      <c r="T234" s="130">
        <f t="shared" si="302"/>
        <v>171.27429872692881</v>
      </c>
      <c r="U234" s="130">
        <f t="shared" si="302"/>
        <v>121.18120291781761</v>
      </c>
      <c r="V234" s="130">
        <f t="shared" si="302"/>
        <v>269.50650938901424</v>
      </c>
      <c r="W234" s="130">
        <f t="shared" ref="W234" si="303">IF(W22=0,0,W82/W22*1000)</f>
        <v>312.72776466730687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603.55661344523355</v>
      </c>
      <c r="C236" s="97">
        <f t="shared" si="306"/>
        <v>566.66163219763268</v>
      </c>
      <c r="D236" s="97">
        <f t="shared" si="306"/>
        <v>600.50883090869615</v>
      </c>
      <c r="E236" s="97">
        <f t="shared" si="306"/>
        <v>586.52490881005463</v>
      </c>
      <c r="F236" s="97">
        <f t="shared" si="306"/>
        <v>646.81074308067298</v>
      </c>
      <c r="G236" s="97">
        <f t="shared" si="306"/>
        <v>579.98078783437177</v>
      </c>
      <c r="H236" s="97">
        <f t="shared" si="306"/>
        <v>560.6763698783227</v>
      </c>
      <c r="I236" s="97">
        <f t="shared" si="306"/>
        <v>539.0319937982963</v>
      </c>
      <c r="J236" s="97">
        <f t="shared" si="306"/>
        <v>612.24460170137138</v>
      </c>
      <c r="K236" s="97">
        <f t="shared" si="306"/>
        <v>658.66447290470717</v>
      </c>
      <c r="L236" s="97">
        <f t="shared" si="306"/>
        <v>550.12263284327196</v>
      </c>
      <c r="M236" s="97">
        <f t="shared" si="306"/>
        <v>552.80232087068885</v>
      </c>
      <c r="N236" s="97">
        <f t="shared" si="306"/>
        <v>613.06020226937051</v>
      </c>
      <c r="O236" s="97">
        <f t="shared" si="306"/>
        <v>626.67021360797753</v>
      </c>
      <c r="P236" s="97">
        <f t="shared" si="306"/>
        <v>492.68801171153257</v>
      </c>
      <c r="Q236" s="97">
        <f t="shared" si="306"/>
        <v>460.58139281042128</v>
      </c>
      <c r="R236" s="97">
        <f t="shared" si="306"/>
        <v>497.96213756105004</v>
      </c>
      <c r="S236" s="97">
        <f t="shared" si="306"/>
        <v>604.2582704246297</v>
      </c>
      <c r="T236" s="97">
        <f t="shared" si="306"/>
        <v>628.69030655293523</v>
      </c>
      <c r="U236" s="97">
        <f t="shared" si="306"/>
        <v>525.70402697012878</v>
      </c>
      <c r="V236" s="97">
        <f t="shared" si="306"/>
        <v>577.43128684065482</v>
      </c>
      <c r="W236" s="97">
        <f t="shared" ref="W236" si="307">IF(W24=0,0,W84/W24*1000)</f>
        <v>618.29116315874342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49.059905036630184</v>
      </c>
      <c r="C237" s="97">
        <f t="shared" si="308"/>
        <v>46.81727786575938</v>
      </c>
      <c r="D237" s="97">
        <f t="shared" si="308"/>
        <v>49.488118918619179</v>
      </c>
      <c r="E237" s="97">
        <f t="shared" si="308"/>
        <v>54.600672789821097</v>
      </c>
      <c r="F237" s="97">
        <f t="shared" si="308"/>
        <v>56.20203747735205</v>
      </c>
      <c r="G237" s="97">
        <f t="shared" si="308"/>
        <v>39.698585278905199</v>
      </c>
      <c r="H237" s="97">
        <f t="shared" si="308"/>
        <v>36.860729740622254</v>
      </c>
      <c r="I237" s="97">
        <f t="shared" si="308"/>
        <v>40.863307888290493</v>
      </c>
      <c r="J237" s="97">
        <f t="shared" si="308"/>
        <v>54.656494948830989</v>
      </c>
      <c r="K237" s="97">
        <f t="shared" si="308"/>
        <v>62.556204190425987</v>
      </c>
      <c r="L237" s="97">
        <f t="shared" si="308"/>
        <v>61.371465356902725</v>
      </c>
      <c r="M237" s="97">
        <f t="shared" si="308"/>
        <v>65.135525206583225</v>
      </c>
      <c r="N237" s="97">
        <f t="shared" si="308"/>
        <v>70.885947431177584</v>
      </c>
      <c r="O237" s="97">
        <f t="shared" si="308"/>
        <v>68.177598375193554</v>
      </c>
      <c r="P237" s="97">
        <f t="shared" si="308"/>
        <v>54.417028328427527</v>
      </c>
      <c r="Q237" s="97">
        <f t="shared" si="308"/>
        <v>53.482632996551303</v>
      </c>
      <c r="R237" s="97">
        <f t="shared" si="308"/>
        <v>46.671620558816088</v>
      </c>
      <c r="S237" s="97">
        <f t="shared" si="308"/>
        <v>44.224269258354681</v>
      </c>
      <c r="T237" s="97">
        <f t="shared" si="308"/>
        <v>40.517819500770116</v>
      </c>
      <c r="U237" s="97">
        <f t="shared" si="308"/>
        <v>46.947435238721532</v>
      </c>
      <c r="V237" s="97">
        <f t="shared" si="308"/>
        <v>202.49187077514779</v>
      </c>
      <c r="W237" s="97">
        <f t="shared" ref="W237" si="309">IF(W25=0,0,W85/W25*1000)</f>
        <v>182.97199016444264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0</v>
      </c>
      <c r="C238" s="130">
        <f t="shared" si="310"/>
        <v>0</v>
      </c>
      <c r="D238" s="130">
        <f t="shared" si="310"/>
        <v>0</v>
      </c>
      <c r="E238" s="130">
        <f t="shared" si="310"/>
        <v>0</v>
      </c>
      <c r="F238" s="130">
        <f t="shared" si="310"/>
        <v>0</v>
      </c>
      <c r="G238" s="130">
        <f t="shared" si="310"/>
        <v>0</v>
      </c>
      <c r="H238" s="130">
        <f t="shared" si="310"/>
        <v>0</v>
      </c>
      <c r="I238" s="130">
        <f t="shared" si="310"/>
        <v>497.0900347331858</v>
      </c>
      <c r="J238" s="130">
        <f t="shared" si="310"/>
        <v>798.11616730038031</v>
      </c>
      <c r="K238" s="130">
        <f t="shared" si="310"/>
        <v>964.54058053151539</v>
      </c>
      <c r="L238" s="130">
        <f t="shared" si="310"/>
        <v>1827.9812633534607</v>
      </c>
      <c r="M238" s="130">
        <f t="shared" si="310"/>
        <v>1531.5278373382628</v>
      </c>
      <c r="N238" s="130">
        <f t="shared" si="310"/>
        <v>985.52362156663241</v>
      </c>
      <c r="O238" s="130">
        <f t="shared" si="310"/>
        <v>1122.160417000802</v>
      </c>
      <c r="P238" s="130">
        <f t="shared" si="310"/>
        <v>1552.5155769230764</v>
      </c>
      <c r="Q238" s="130">
        <f t="shared" si="310"/>
        <v>1287.8972020725387</v>
      </c>
      <c r="R238" s="130">
        <f t="shared" si="310"/>
        <v>845.80297918065787</v>
      </c>
      <c r="S238" s="130">
        <f t="shared" si="310"/>
        <v>787.08537293656502</v>
      </c>
      <c r="T238" s="130">
        <f t="shared" si="310"/>
        <v>2378.5015241844771</v>
      </c>
      <c r="U238" s="130">
        <f t="shared" si="310"/>
        <v>1315.4437177280552</v>
      </c>
      <c r="V238" s="130">
        <f t="shared" si="310"/>
        <v>3661.05906</v>
      </c>
      <c r="W238" s="130">
        <f t="shared" ref="W238" si="311">IF(W26=0,0,W86/W26*1000)</f>
        <v>3944.2356000000009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497.0900347331858</v>
      </c>
      <c r="J239" s="97">
        <f t="shared" si="312"/>
        <v>798.11616730038031</v>
      </c>
      <c r="K239" s="97">
        <f t="shared" si="312"/>
        <v>964.54058053151539</v>
      </c>
      <c r="L239" s="97">
        <f t="shared" si="312"/>
        <v>1827.9812633534607</v>
      </c>
      <c r="M239" s="97">
        <f t="shared" si="312"/>
        <v>1531.5278373382628</v>
      </c>
      <c r="N239" s="97">
        <f t="shared" si="312"/>
        <v>985.52362156663241</v>
      </c>
      <c r="O239" s="97">
        <f t="shared" si="312"/>
        <v>1122.160417000802</v>
      </c>
      <c r="P239" s="97">
        <f t="shared" si="312"/>
        <v>1552.5155769230764</v>
      </c>
      <c r="Q239" s="97">
        <f t="shared" si="312"/>
        <v>1287.8972020725387</v>
      </c>
      <c r="R239" s="97">
        <f t="shared" si="312"/>
        <v>845.80297918065787</v>
      </c>
      <c r="S239" s="97">
        <f t="shared" si="312"/>
        <v>787.08537293656502</v>
      </c>
      <c r="T239" s="97">
        <f t="shared" si="312"/>
        <v>2378.5015241844771</v>
      </c>
      <c r="U239" s="97">
        <f t="shared" si="312"/>
        <v>1315.4437177280552</v>
      </c>
      <c r="V239" s="97">
        <f t="shared" si="312"/>
        <v>3661.05906</v>
      </c>
      <c r="W239" s="97">
        <f t="shared" ref="W239" si="313">IF(W27=0,0,W87/W27*1000)</f>
        <v>3944.2356000000009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5.8733953996453678</v>
      </c>
      <c r="C241" s="32">
        <f t="shared" si="316"/>
        <v>6.0760510169738717</v>
      </c>
      <c r="D241" s="32">
        <f t="shared" si="316"/>
        <v>6.0833484537102054</v>
      </c>
      <c r="E241" s="32">
        <f t="shared" si="316"/>
        <v>6.0817525706091562</v>
      </c>
      <c r="F241" s="32">
        <f t="shared" si="316"/>
        <v>6.0901885405232656</v>
      </c>
      <c r="G241" s="32">
        <f t="shared" si="316"/>
        <v>6.92183338958775</v>
      </c>
      <c r="H241" s="32">
        <f t="shared" si="316"/>
        <v>6.2868802868273423</v>
      </c>
      <c r="I241" s="32">
        <f t="shared" si="316"/>
        <v>5.0401821811340843</v>
      </c>
      <c r="J241" s="32">
        <f t="shared" si="316"/>
        <v>5.9503593364189413</v>
      </c>
      <c r="K241" s="32">
        <f t="shared" si="316"/>
        <v>8.6579608252316795</v>
      </c>
      <c r="L241" s="32">
        <f t="shared" si="316"/>
        <v>7.4794130210614531</v>
      </c>
      <c r="M241" s="32">
        <f t="shared" si="316"/>
        <v>5.4356478347899699</v>
      </c>
      <c r="N241" s="32">
        <f t="shared" si="316"/>
        <v>5.8359188747231974</v>
      </c>
      <c r="O241" s="32">
        <f t="shared" si="316"/>
        <v>6.4377936786413885</v>
      </c>
      <c r="P241" s="32">
        <f t="shared" si="316"/>
        <v>5.5227296786762503</v>
      </c>
      <c r="Q241" s="32">
        <f t="shared" si="316"/>
        <v>6.7619506484360326</v>
      </c>
      <c r="R241" s="32">
        <f t="shared" si="316"/>
        <v>8.5770574507492992</v>
      </c>
      <c r="S241" s="32">
        <f t="shared" si="316"/>
        <v>6.33477859772856</v>
      </c>
      <c r="T241" s="32">
        <f t="shared" si="316"/>
        <v>0.84442754334227599</v>
      </c>
      <c r="U241" s="32">
        <f t="shared" si="316"/>
        <v>6.6578281067199523</v>
      </c>
      <c r="V241" s="32">
        <f t="shared" si="316"/>
        <v>7.7531834189541273</v>
      </c>
      <c r="W241" s="32">
        <f t="shared" si="315"/>
        <v>8.0059222027799333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8.0497107436477044</v>
      </c>
      <c r="C242" s="97">
        <f t="shared" si="317"/>
        <v>8.2762507700619707</v>
      </c>
      <c r="D242" s="97">
        <f t="shared" si="317"/>
        <v>8.2901409062461386</v>
      </c>
      <c r="E242" s="97">
        <f t="shared" si="317"/>
        <v>8.2801053332424015</v>
      </c>
      <c r="F242" s="97">
        <f t="shared" si="317"/>
        <v>8.3042151164374705</v>
      </c>
      <c r="G242" s="97">
        <f t="shared" si="317"/>
        <v>9.8549638767582763</v>
      </c>
      <c r="H242" s="97">
        <f t="shared" si="317"/>
        <v>8.4074224122934798</v>
      </c>
      <c r="I242" s="97">
        <f t="shared" si="317"/>
        <v>6.9741917564083842</v>
      </c>
      <c r="J242" s="97">
        <f t="shared" si="317"/>
        <v>8.4706068886170502</v>
      </c>
      <c r="K242" s="97">
        <f t="shared" si="317"/>
        <v>12.1716146481421</v>
      </c>
      <c r="L242" s="97">
        <f t="shared" si="317"/>
        <v>10.422445234167766</v>
      </c>
      <c r="M242" s="97">
        <f t="shared" si="317"/>
        <v>7.7361536763925622</v>
      </c>
      <c r="N242" s="97">
        <f t="shared" si="317"/>
        <v>7.3610514837590761</v>
      </c>
      <c r="O242" s="97">
        <f t="shared" si="317"/>
        <v>7.5931541483132623</v>
      </c>
      <c r="P242" s="97">
        <f t="shared" si="317"/>
        <v>7.1389399461100638</v>
      </c>
      <c r="Q242" s="97">
        <f t="shared" si="317"/>
        <v>8.376430433453729</v>
      </c>
      <c r="R242" s="97">
        <f t="shared" si="317"/>
        <v>11.058105119263278</v>
      </c>
      <c r="S242" s="97">
        <f t="shared" si="317"/>
        <v>9.0188090462118602</v>
      </c>
      <c r="T242" s="97">
        <f t="shared" si="317"/>
        <v>1.3041343434347628</v>
      </c>
      <c r="U242" s="97">
        <f t="shared" si="317"/>
        <v>11.315813449318586</v>
      </c>
      <c r="V242" s="97">
        <f t="shared" si="317"/>
        <v>11.846477303185955</v>
      </c>
      <c r="W242" s="97">
        <f t="shared" si="315"/>
        <v>13.608211107621031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4.851379947946775</v>
      </c>
      <c r="C243" s="98">
        <f t="shared" si="318"/>
        <v>5.0666824972111106</v>
      </c>
      <c r="D243" s="98">
        <f t="shared" si="318"/>
        <v>5.0706899728285597</v>
      </c>
      <c r="E243" s="98">
        <f t="shared" si="318"/>
        <v>5.0697636273432698</v>
      </c>
      <c r="F243" s="98">
        <f t="shared" si="318"/>
        <v>5.0716851347082583</v>
      </c>
      <c r="G243" s="98">
        <f t="shared" si="318"/>
        <v>5.7633030456573531</v>
      </c>
      <c r="H243" s="98">
        <f t="shared" si="318"/>
        <v>5.3965192224849226</v>
      </c>
      <c r="I243" s="98">
        <f t="shared" si="318"/>
        <v>4.2268132958258313</v>
      </c>
      <c r="J243" s="98">
        <f t="shared" si="318"/>
        <v>4.9183690778406577</v>
      </c>
      <c r="K243" s="98">
        <f t="shared" si="318"/>
        <v>7.1180932137365485</v>
      </c>
      <c r="L243" s="98">
        <f t="shared" si="318"/>
        <v>6.0355676342908309</v>
      </c>
      <c r="M243" s="98">
        <f t="shared" si="318"/>
        <v>4.4473170677568961</v>
      </c>
      <c r="N243" s="98">
        <f t="shared" si="318"/>
        <v>4.9745246605119302</v>
      </c>
      <c r="O243" s="98">
        <f t="shared" si="318"/>
        <v>5.6739922358213635</v>
      </c>
      <c r="P243" s="98">
        <f t="shared" si="318"/>
        <v>4.6271269090389477</v>
      </c>
      <c r="Q243" s="98">
        <f t="shared" si="318"/>
        <v>5.7474769192209543</v>
      </c>
      <c r="R243" s="98">
        <f t="shared" si="318"/>
        <v>7.1108640400016592</v>
      </c>
      <c r="S243" s="98">
        <f t="shared" si="318"/>
        <v>5.0308442911641968</v>
      </c>
      <c r="T243" s="98">
        <f t="shared" si="318"/>
        <v>0.65682662305940964</v>
      </c>
      <c r="U243" s="98">
        <f t="shared" si="318"/>
        <v>5.1720121225012043</v>
      </c>
      <c r="V243" s="98">
        <f t="shared" si="318"/>
        <v>6.4725545118294194</v>
      </c>
      <c r="W243" s="98">
        <f t="shared" si="315"/>
        <v>6.6169532709813925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13913.181653045962</v>
      </c>
      <c r="C4" s="29">
        <f t="shared" si="0"/>
        <v>14370.620983163366</v>
      </c>
      <c r="D4" s="29">
        <f t="shared" si="0"/>
        <v>14926.543918647065</v>
      </c>
      <c r="E4" s="29">
        <f t="shared" si="0"/>
        <v>15615.499186383147</v>
      </c>
      <c r="F4" s="29">
        <f t="shared" si="0"/>
        <v>14226.539758109042</v>
      </c>
      <c r="G4" s="29">
        <f t="shared" si="0"/>
        <v>15067.145002662166</v>
      </c>
      <c r="H4" s="29">
        <f t="shared" si="0"/>
        <v>16863.183037440933</v>
      </c>
      <c r="I4" s="29">
        <f t="shared" si="0"/>
        <v>18662.520567367974</v>
      </c>
      <c r="J4" s="29">
        <f t="shared" si="0"/>
        <v>16828.529546990081</v>
      </c>
      <c r="K4" s="29">
        <f t="shared" si="0"/>
        <v>14903.919934233187</v>
      </c>
      <c r="L4" s="29">
        <f t="shared" ref="L4" si="1">L5+L6+L13</f>
        <v>14680.857606878166</v>
      </c>
      <c r="M4" s="29">
        <f t="shared" ref="M4:V4" si="2">M5+M6+M13</f>
        <v>13819.443030857099</v>
      </c>
      <c r="N4" s="29">
        <f t="shared" si="2"/>
        <v>14330.244191138874</v>
      </c>
      <c r="O4" s="29">
        <f t="shared" si="2"/>
        <v>14521.759128932594</v>
      </c>
      <c r="P4" s="29">
        <f t="shared" si="2"/>
        <v>15414.510663122062</v>
      </c>
      <c r="Q4" s="29">
        <f t="shared" si="2"/>
        <v>16277.702903989071</v>
      </c>
      <c r="R4" s="29">
        <f t="shared" si="2"/>
        <v>16567.30772122254</v>
      </c>
      <c r="S4" s="29">
        <f t="shared" si="2"/>
        <v>17592.553532027661</v>
      </c>
      <c r="T4" s="29">
        <f t="shared" si="2"/>
        <v>17897.722914299033</v>
      </c>
      <c r="U4" s="29">
        <f t="shared" si="2"/>
        <v>18155.92638634067</v>
      </c>
      <c r="V4" s="29">
        <f t="shared" si="2"/>
        <v>16516.289292884649</v>
      </c>
      <c r="W4" s="29">
        <f t="shared" ref="W4" si="3">W5+W6+W13</f>
        <v>14895.872560831549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65.181653045962747</v>
      </c>
      <c r="C5" s="152">
        <f t="shared" si="4"/>
        <v>65.620983163366745</v>
      </c>
      <c r="D5" s="152">
        <f t="shared" si="4"/>
        <v>65.543918647064814</v>
      </c>
      <c r="E5" s="152">
        <f t="shared" si="4"/>
        <v>65.499186383147617</v>
      </c>
      <c r="F5" s="152">
        <f t="shared" si="4"/>
        <v>65.1397581090431</v>
      </c>
      <c r="G5" s="152">
        <f t="shared" si="4"/>
        <v>64.645002662167045</v>
      </c>
      <c r="H5" s="152">
        <f t="shared" si="4"/>
        <v>63.583037440929942</v>
      </c>
      <c r="I5" s="152">
        <f t="shared" si="4"/>
        <v>61.320567367973638</v>
      </c>
      <c r="J5" s="152">
        <f t="shared" si="4"/>
        <v>59.029546990080213</v>
      </c>
      <c r="K5" s="152">
        <f t="shared" si="4"/>
        <v>57.229934233188523</v>
      </c>
      <c r="L5" s="152">
        <f t="shared" ref="L5:L7" si="5">IF(L32=0,0,L32*L142)</f>
        <v>57.517606878163868</v>
      </c>
      <c r="M5" s="152">
        <f t="shared" ref="M5:V5" si="6">IF(M32=0,0,M32*M142)</f>
        <v>57.543030857099929</v>
      </c>
      <c r="N5" s="152">
        <f t="shared" si="6"/>
        <v>53.044191138874389</v>
      </c>
      <c r="O5" s="152">
        <f t="shared" si="6"/>
        <v>55.85912893259173</v>
      </c>
      <c r="P5" s="152">
        <f t="shared" si="6"/>
        <v>68.210663122061518</v>
      </c>
      <c r="Q5" s="152">
        <f t="shared" si="6"/>
        <v>87.70290398907018</v>
      </c>
      <c r="R5" s="152">
        <f t="shared" si="6"/>
        <v>88.507721222543779</v>
      </c>
      <c r="S5" s="152">
        <f t="shared" si="6"/>
        <v>84.453532027662547</v>
      </c>
      <c r="T5" s="152">
        <f t="shared" si="6"/>
        <v>81.322914299032959</v>
      </c>
      <c r="U5" s="152">
        <f t="shared" si="6"/>
        <v>87.126386340672383</v>
      </c>
      <c r="V5" s="152">
        <f t="shared" si="6"/>
        <v>78.989292884649615</v>
      </c>
      <c r="W5" s="152">
        <f t="shared" ref="W5" si="7">IF(W32=0,0,W32*W142)</f>
        <v>83.272560831547082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11500</v>
      </c>
      <c r="C6" s="116">
        <f t="shared" si="8"/>
        <v>12000</v>
      </c>
      <c r="D6" s="116">
        <f t="shared" si="8"/>
        <v>12500</v>
      </c>
      <c r="E6" s="116">
        <f t="shared" si="8"/>
        <v>13000</v>
      </c>
      <c r="F6" s="116">
        <f t="shared" si="8"/>
        <v>11506.4</v>
      </c>
      <c r="G6" s="116">
        <f t="shared" si="8"/>
        <v>12111.499999999998</v>
      </c>
      <c r="H6" s="116">
        <f t="shared" si="8"/>
        <v>14019.6</v>
      </c>
      <c r="I6" s="116">
        <f t="shared" si="8"/>
        <v>15957.2</v>
      </c>
      <c r="J6" s="116">
        <f t="shared" si="8"/>
        <v>14252.5</v>
      </c>
      <c r="K6" s="116">
        <f t="shared" si="8"/>
        <v>12703.689999999999</v>
      </c>
      <c r="L6" s="116">
        <f t="shared" ref="L6" si="9">SUM(L7:L12)</f>
        <v>12312.340000000002</v>
      </c>
      <c r="M6" s="116">
        <f t="shared" ref="M6:V6" si="10">SUM(M7:M12)</f>
        <v>11349.9</v>
      </c>
      <c r="N6" s="116">
        <f t="shared" si="10"/>
        <v>11528</v>
      </c>
      <c r="O6" s="116">
        <f t="shared" si="10"/>
        <v>11733.400000000001</v>
      </c>
      <c r="P6" s="116">
        <f t="shared" si="10"/>
        <v>12625.800000000001</v>
      </c>
      <c r="Q6" s="116">
        <f t="shared" si="10"/>
        <v>13542.600000000002</v>
      </c>
      <c r="R6" s="116">
        <f t="shared" si="10"/>
        <v>13898.799999999997</v>
      </c>
      <c r="S6" s="116">
        <f t="shared" si="10"/>
        <v>14978</v>
      </c>
      <c r="T6" s="116">
        <f t="shared" si="10"/>
        <v>15256.000000000002</v>
      </c>
      <c r="U6" s="116">
        <f t="shared" si="10"/>
        <v>15499.999999999998</v>
      </c>
      <c r="V6" s="116">
        <f t="shared" si="10"/>
        <v>14773.999999999998</v>
      </c>
      <c r="W6" s="116">
        <f t="shared" ref="W6" si="11">SUM(W7:W12)</f>
        <v>13435.500000000002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9685.964532766342</v>
      </c>
      <c r="C7" s="87">
        <f t="shared" si="12"/>
        <v>9788.9184162546462</v>
      </c>
      <c r="D7" s="87">
        <f t="shared" si="12"/>
        <v>9885.1877612500248</v>
      </c>
      <c r="E7" s="87">
        <f t="shared" si="12"/>
        <v>9816.213636599492</v>
      </c>
      <c r="F7" s="87">
        <f t="shared" si="12"/>
        <v>8225.9088536027321</v>
      </c>
      <c r="G7" s="87">
        <f t="shared" si="12"/>
        <v>8182.9261992380107</v>
      </c>
      <c r="H7" s="87">
        <f t="shared" si="12"/>
        <v>9049.2314627377582</v>
      </c>
      <c r="I7" s="87">
        <f t="shared" si="12"/>
        <v>10182.688293157837</v>
      </c>
      <c r="J7" s="87">
        <f t="shared" si="12"/>
        <v>8634.7793648532097</v>
      </c>
      <c r="K7" s="87">
        <f t="shared" si="12"/>
        <v>7081.6765476017026</v>
      </c>
      <c r="L7" s="87">
        <f t="shared" si="5"/>
        <v>6590.4189475543853</v>
      </c>
      <c r="M7" s="87">
        <f t="shared" ref="M7:V7" si="13">IF(M34=0,0,M34*M144)</f>
        <v>5681.8007746532612</v>
      </c>
      <c r="N7" s="87">
        <f t="shared" si="13"/>
        <v>5054.4086069275891</v>
      </c>
      <c r="O7" s="87">
        <f t="shared" si="13"/>
        <v>4749.755240130844</v>
      </c>
      <c r="P7" s="87">
        <f t="shared" si="13"/>
        <v>4411.1360039401598</v>
      </c>
      <c r="Q7" s="87">
        <f t="shared" si="13"/>
        <v>4457.6876526430815</v>
      </c>
      <c r="R7" s="87">
        <f t="shared" si="13"/>
        <v>4024.8465850597263</v>
      </c>
      <c r="S7" s="87">
        <f t="shared" si="13"/>
        <v>4034.6880721198577</v>
      </c>
      <c r="T7" s="87">
        <f t="shared" si="13"/>
        <v>3858.311980446058</v>
      </c>
      <c r="U7" s="87">
        <f t="shared" si="13"/>
        <v>3590.20861219364</v>
      </c>
      <c r="V7" s="87">
        <f t="shared" si="13"/>
        <v>3382.1171834099023</v>
      </c>
      <c r="W7" s="87">
        <f t="shared" ref="W7" si="14">IF(W34=0,0,W34*W144)</f>
        <v>3064.26641476349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1258.428044629436</v>
      </c>
      <c r="C8" s="87">
        <f t="shared" si="15"/>
        <v>1613.8176196712957</v>
      </c>
      <c r="D8" s="87">
        <f t="shared" si="15"/>
        <v>2043.8667934292098</v>
      </c>
      <c r="E8" s="87">
        <f t="shared" si="15"/>
        <v>2580.6097703461255</v>
      </c>
      <c r="F8" s="87">
        <f t="shared" si="15"/>
        <v>2652.1504983421601</v>
      </c>
      <c r="G8" s="87">
        <f t="shared" si="15"/>
        <v>3267.9606709064224</v>
      </c>
      <c r="H8" s="87">
        <f t="shared" si="15"/>
        <v>4251.3626457234423</v>
      </c>
      <c r="I8" s="87">
        <f t="shared" si="15"/>
        <v>5051.6378066233556</v>
      </c>
      <c r="J8" s="87">
        <f t="shared" si="15"/>
        <v>5020.5972927420808</v>
      </c>
      <c r="K8" s="87">
        <f t="shared" si="15"/>
        <v>5065.5302501008246</v>
      </c>
      <c r="L8" s="87">
        <f t="shared" ref="L8" si="16">IF(L35=0,0,L35*L145)</f>
        <v>5127.3261100382115</v>
      </c>
      <c r="M8" s="87">
        <f t="shared" ref="M8:V8" si="17">IF(M35=0,0,M35*M145)</f>
        <v>5005.2857840719262</v>
      </c>
      <c r="N8" s="87">
        <f t="shared" si="17"/>
        <v>5407.1647049968606</v>
      </c>
      <c r="O8" s="87">
        <f t="shared" si="17"/>
        <v>5799.0881557719422</v>
      </c>
      <c r="P8" s="87">
        <f t="shared" si="17"/>
        <v>6901.0161667506045</v>
      </c>
      <c r="Q8" s="87">
        <f t="shared" si="17"/>
        <v>7927.8088040546236</v>
      </c>
      <c r="R8" s="87">
        <f t="shared" si="17"/>
        <v>8612.6677960762536</v>
      </c>
      <c r="S8" s="87">
        <f t="shared" si="17"/>
        <v>9737.6912991359277</v>
      </c>
      <c r="T8" s="87">
        <f t="shared" si="17"/>
        <v>10293.679627446536</v>
      </c>
      <c r="U8" s="87">
        <f t="shared" si="17"/>
        <v>10941.353666731457</v>
      </c>
      <c r="V8" s="87">
        <f t="shared" si="17"/>
        <v>10565.24371519096</v>
      </c>
      <c r="W8" s="87">
        <f t="shared" ref="W8" si="18">IF(W35=0,0,W35*W145)</f>
        <v>9701.4637527347495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552.44973480136946</v>
      </c>
      <c r="C9" s="87">
        <f t="shared" si="19"/>
        <v>594.64764232880259</v>
      </c>
      <c r="D9" s="87">
        <f t="shared" si="19"/>
        <v>568.52271571103608</v>
      </c>
      <c r="E9" s="87">
        <f t="shared" si="19"/>
        <v>600.96540718282586</v>
      </c>
      <c r="F9" s="87">
        <f t="shared" si="19"/>
        <v>626.69900907083468</v>
      </c>
      <c r="G9" s="87">
        <f t="shared" si="19"/>
        <v>658.98170572362881</v>
      </c>
      <c r="H9" s="87">
        <f t="shared" si="19"/>
        <v>717.75909219911944</v>
      </c>
      <c r="I9" s="87">
        <f t="shared" si="19"/>
        <v>721.71363659810606</v>
      </c>
      <c r="J9" s="87">
        <f t="shared" si="19"/>
        <v>596.19004758219728</v>
      </c>
      <c r="K9" s="87">
        <f t="shared" si="19"/>
        <v>555.64483361099406</v>
      </c>
      <c r="L9" s="87">
        <f t="shared" ref="L9" si="20">IF(L36=0,0,L36*L146)</f>
        <v>594.59494240740355</v>
      </c>
      <c r="M9" s="87">
        <f t="shared" ref="M9:V9" si="21">IF(M36=0,0,M36*M146)</f>
        <v>662.8134412748127</v>
      </c>
      <c r="N9" s="87">
        <f t="shared" si="21"/>
        <v>1066.205977219267</v>
      </c>
      <c r="O9" s="87">
        <f t="shared" si="21"/>
        <v>1184.2037317649567</v>
      </c>
      <c r="P9" s="87">
        <f t="shared" si="21"/>
        <v>1310.2991100805616</v>
      </c>
      <c r="Q9" s="87">
        <f t="shared" si="21"/>
        <v>1153.1702845693937</v>
      </c>
      <c r="R9" s="87">
        <f t="shared" si="21"/>
        <v>1256.8683810203459</v>
      </c>
      <c r="S9" s="87">
        <f t="shared" si="21"/>
        <v>1199.5582337056803</v>
      </c>
      <c r="T9" s="87">
        <f t="shared" si="21"/>
        <v>1093.0389831762384</v>
      </c>
      <c r="U9" s="87">
        <f t="shared" si="21"/>
        <v>953.77082730476752</v>
      </c>
      <c r="V9" s="87">
        <f t="shared" si="21"/>
        <v>802.72706655053923</v>
      </c>
      <c r="W9" s="87">
        <f t="shared" ref="W9" si="22">IF(W36=0,0,W36*W146)</f>
        <v>634.94564003324842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3.1576878028519118</v>
      </c>
      <c r="C10" s="87">
        <f t="shared" si="23"/>
        <v>2.6163217452551804</v>
      </c>
      <c r="D10" s="87">
        <f t="shared" si="23"/>
        <v>2.4227296097287967</v>
      </c>
      <c r="E10" s="87">
        <f t="shared" si="23"/>
        <v>2.2111858715570007</v>
      </c>
      <c r="F10" s="87">
        <f t="shared" si="23"/>
        <v>1.6416389842719383</v>
      </c>
      <c r="G10" s="87">
        <f t="shared" si="23"/>
        <v>1.6314241319362373</v>
      </c>
      <c r="H10" s="87">
        <f t="shared" si="23"/>
        <v>1.2467993396799641</v>
      </c>
      <c r="I10" s="87">
        <f t="shared" si="23"/>
        <v>1.1602636207035151</v>
      </c>
      <c r="J10" s="87">
        <f t="shared" si="23"/>
        <v>0.93329482251263796</v>
      </c>
      <c r="K10" s="87">
        <f t="shared" si="23"/>
        <v>0.83836868647874752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0</v>
      </c>
      <c r="R10" s="87">
        <f t="shared" si="25"/>
        <v>0</v>
      </c>
      <c r="S10" s="87">
        <f t="shared" si="25"/>
        <v>0</v>
      </c>
      <c r="T10" s="87">
        <f t="shared" si="25"/>
        <v>2.3574594775338786</v>
      </c>
      <c r="U10" s="87">
        <f t="shared" si="25"/>
        <v>2.5582414058495098</v>
      </c>
      <c r="V10" s="87">
        <f t="shared" si="25"/>
        <v>2.8237394027928362</v>
      </c>
      <c r="W10" s="87">
        <f t="shared" ref="W10" si="26">IF(W37=0,0,W37*W147)</f>
        <v>2.7390346929872176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4.4309925210617329E-2</v>
      </c>
      <c r="O11" s="87">
        <f t="shared" si="29"/>
        <v>8.5634226861688839E-2</v>
      </c>
      <c r="P11" s="87">
        <f t="shared" si="29"/>
        <v>0.13407335028854417</v>
      </c>
      <c r="Q11" s="87">
        <f t="shared" si="29"/>
        <v>0.35837614752677327</v>
      </c>
      <c r="R11" s="87">
        <f t="shared" si="29"/>
        <v>0.40740152745813946</v>
      </c>
      <c r="S11" s="87">
        <f t="shared" si="29"/>
        <v>0.79468576405245028</v>
      </c>
      <c r="T11" s="87">
        <f t="shared" si="29"/>
        <v>1.4427220054325378</v>
      </c>
      <c r="U11" s="87">
        <f t="shared" si="29"/>
        <v>1.9470905905366189</v>
      </c>
      <c r="V11" s="87">
        <f t="shared" si="29"/>
        <v>2.9904450825005076</v>
      </c>
      <c r="W11" s="87">
        <f t="shared" ref="W11" si="30">IF(W38=0,0,W38*W148)</f>
        <v>4.7492298128537156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</v>
      </c>
      <c r="N12" s="87">
        <f t="shared" si="33"/>
        <v>0.17640093107314289</v>
      </c>
      <c r="O12" s="87">
        <f t="shared" si="33"/>
        <v>0.26723810539578835</v>
      </c>
      <c r="P12" s="87">
        <f t="shared" si="33"/>
        <v>3.2146458783855829</v>
      </c>
      <c r="Q12" s="87">
        <f t="shared" si="33"/>
        <v>3.5748825853754376</v>
      </c>
      <c r="R12" s="87">
        <f t="shared" si="33"/>
        <v>4.0098363162150976</v>
      </c>
      <c r="S12" s="87">
        <f t="shared" si="33"/>
        <v>5.2677092744807776</v>
      </c>
      <c r="T12" s="87">
        <f t="shared" si="33"/>
        <v>7.1692274482012941</v>
      </c>
      <c r="U12" s="87">
        <f t="shared" si="33"/>
        <v>10.161561773748828</v>
      </c>
      <c r="V12" s="87">
        <f t="shared" si="33"/>
        <v>18.097850363304829</v>
      </c>
      <c r="W12" s="87">
        <f t="shared" ref="W12" si="34">IF(W39=0,0,W39*W149)</f>
        <v>27.335927962671349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2348</v>
      </c>
      <c r="C13" s="116">
        <f t="shared" si="35"/>
        <v>2305.0000000000005</v>
      </c>
      <c r="D13" s="116">
        <f t="shared" si="35"/>
        <v>2361</v>
      </c>
      <c r="E13" s="116">
        <f t="shared" si="35"/>
        <v>2550</v>
      </c>
      <c r="F13" s="116">
        <f t="shared" si="35"/>
        <v>2655</v>
      </c>
      <c r="G13" s="116">
        <f t="shared" si="35"/>
        <v>2891</v>
      </c>
      <c r="H13" s="116">
        <f t="shared" si="35"/>
        <v>2780</v>
      </c>
      <c r="I13" s="116">
        <f t="shared" si="35"/>
        <v>2644</v>
      </c>
      <c r="J13" s="116">
        <f t="shared" si="35"/>
        <v>2517</v>
      </c>
      <c r="K13" s="116">
        <f t="shared" si="35"/>
        <v>2143</v>
      </c>
      <c r="L13" s="116">
        <f t="shared" ref="L13" si="36">SUM(L14:L18)</f>
        <v>2311</v>
      </c>
      <c r="M13" s="116">
        <f t="shared" ref="M13:V13" si="37">SUM(M14:M18)</f>
        <v>2412</v>
      </c>
      <c r="N13" s="116">
        <f t="shared" si="37"/>
        <v>2749.1999999999994</v>
      </c>
      <c r="O13" s="116">
        <f t="shared" si="37"/>
        <v>2732.5</v>
      </c>
      <c r="P13" s="116">
        <f t="shared" si="37"/>
        <v>2720.5</v>
      </c>
      <c r="Q13" s="116">
        <f t="shared" si="37"/>
        <v>2647.3999999999996</v>
      </c>
      <c r="R13" s="116">
        <f t="shared" si="37"/>
        <v>2580</v>
      </c>
      <c r="S13" s="116">
        <f t="shared" si="37"/>
        <v>2530.1000000000004</v>
      </c>
      <c r="T13" s="116">
        <f t="shared" si="37"/>
        <v>2560.3999999999996</v>
      </c>
      <c r="U13" s="116">
        <f t="shared" si="37"/>
        <v>2568.7999999999997</v>
      </c>
      <c r="V13" s="116">
        <f t="shared" si="37"/>
        <v>1663.3</v>
      </c>
      <c r="W13" s="116">
        <f t="shared" ref="W13" si="38">SUM(W14:W18)</f>
        <v>1377.1000000000001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89.547050201354722</v>
      </c>
      <c r="C14" s="101">
        <f t="shared" si="39"/>
        <v>89.115791198972858</v>
      </c>
      <c r="D14" s="101">
        <f t="shared" si="39"/>
        <v>88.523485780045178</v>
      </c>
      <c r="E14" s="101">
        <f t="shared" si="39"/>
        <v>86.189443459663579</v>
      </c>
      <c r="F14" s="101">
        <f t="shared" si="39"/>
        <v>83.349164976655459</v>
      </c>
      <c r="G14" s="101">
        <f t="shared" si="39"/>
        <v>84.467050881646372</v>
      </c>
      <c r="H14" s="101">
        <f t="shared" si="39"/>
        <v>77.018509919029938</v>
      </c>
      <c r="I14" s="101">
        <f t="shared" si="39"/>
        <v>69.219066065039556</v>
      </c>
      <c r="J14" s="101">
        <f t="shared" si="39"/>
        <v>63.295494723223051</v>
      </c>
      <c r="K14" s="101">
        <f t="shared" si="39"/>
        <v>54.98033249328504</v>
      </c>
      <c r="L14" s="101">
        <f t="shared" ref="L14" si="40">IF(L41=0,0,L41*L151)</f>
        <v>48.535399453243784</v>
      </c>
      <c r="M14" s="101">
        <f t="shared" ref="M14:V14" si="41">IF(M41=0,0,M41*M151)</f>
        <v>30.908163418177995</v>
      </c>
      <c r="N14" s="101">
        <f t="shared" si="41"/>
        <v>27.915827759715416</v>
      </c>
      <c r="O14" s="101">
        <f t="shared" si="41"/>
        <v>20.368143234642176</v>
      </c>
      <c r="P14" s="101">
        <f t="shared" si="41"/>
        <v>13.563836473355506</v>
      </c>
      <c r="Q14" s="101">
        <f t="shared" si="41"/>
        <v>11.080250523755002</v>
      </c>
      <c r="R14" s="101">
        <f t="shared" si="41"/>
        <v>8.0923859793633621</v>
      </c>
      <c r="S14" s="101">
        <f t="shared" si="41"/>
        <v>7.1729046683384219</v>
      </c>
      <c r="T14" s="101">
        <f t="shared" si="41"/>
        <v>6.4344043546986782</v>
      </c>
      <c r="U14" s="101">
        <f t="shared" si="41"/>
        <v>6.0938442812430189</v>
      </c>
      <c r="V14" s="101">
        <f t="shared" si="41"/>
        <v>3.6362183994585942</v>
      </c>
      <c r="W14" s="101">
        <f t="shared" ref="W14" si="42">IF(W41=0,0,W41*W151)</f>
        <v>2.5316322741338984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2191.1495613704742</v>
      </c>
      <c r="C15" s="101">
        <f t="shared" si="43"/>
        <v>2128.6086137054358</v>
      </c>
      <c r="D15" s="101">
        <f t="shared" si="43"/>
        <v>2199.7020261590806</v>
      </c>
      <c r="E15" s="101">
        <f t="shared" si="43"/>
        <v>2391.9514761605137</v>
      </c>
      <c r="F15" s="101">
        <f t="shared" si="43"/>
        <v>2497.1053576024178</v>
      </c>
      <c r="G15" s="101">
        <f t="shared" si="43"/>
        <v>2700.0477219649324</v>
      </c>
      <c r="H15" s="101">
        <f t="shared" si="43"/>
        <v>2600.4771461679852</v>
      </c>
      <c r="I15" s="101">
        <f t="shared" si="43"/>
        <v>2459.1073582570643</v>
      </c>
      <c r="J15" s="101">
        <f t="shared" si="43"/>
        <v>2328.5320394620135</v>
      </c>
      <c r="K15" s="101">
        <f t="shared" si="43"/>
        <v>1950.8726233250477</v>
      </c>
      <c r="L15" s="101">
        <f t="shared" ref="L15" si="44">IF(L42=0,0,L42*L152)</f>
        <v>2063.9128977825985</v>
      </c>
      <c r="M15" s="101">
        <f t="shared" ref="M15:V15" si="45">IF(M42=0,0,M42*M152)</f>
        <v>2173.5685730843356</v>
      </c>
      <c r="N15" s="101">
        <f t="shared" si="45"/>
        <v>2488.767446122587</v>
      </c>
      <c r="O15" s="101">
        <f t="shared" si="45"/>
        <v>2490.1928953075981</v>
      </c>
      <c r="P15" s="101">
        <f t="shared" si="45"/>
        <v>2476.4376992661937</v>
      </c>
      <c r="Q15" s="101">
        <f t="shared" si="45"/>
        <v>2399.8957159614852</v>
      </c>
      <c r="R15" s="101">
        <f t="shared" si="45"/>
        <v>2320.7546088794488</v>
      </c>
      <c r="S15" s="101">
        <f t="shared" si="45"/>
        <v>2307.9393408872425</v>
      </c>
      <c r="T15" s="101">
        <f t="shared" si="45"/>
        <v>2329.2484610613965</v>
      </c>
      <c r="U15" s="101">
        <f t="shared" si="45"/>
        <v>2315.8293794009828</v>
      </c>
      <c r="V15" s="101">
        <f t="shared" si="45"/>
        <v>1459.670956686937</v>
      </c>
      <c r="W15" s="101">
        <f t="shared" ref="W15" si="46">IF(W42=0,0,W42*W152)</f>
        <v>1134.884872190421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6.2251748471305781</v>
      </c>
      <c r="S16" s="101">
        <f t="shared" si="49"/>
        <v>4.5882433408437269</v>
      </c>
      <c r="T16" s="101">
        <f t="shared" si="49"/>
        <v>3.6230236627296986</v>
      </c>
      <c r="U16" s="101">
        <f t="shared" si="49"/>
        <v>2.5944841488794461</v>
      </c>
      <c r="V16" s="101">
        <f t="shared" si="49"/>
        <v>1.41080540068188</v>
      </c>
      <c r="W16" s="101">
        <f t="shared" ref="W16" si="50">IF(W43=0,0,W43*W153)</f>
        <v>1.1333333979011306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60.417416549018263</v>
      </c>
      <c r="C17" s="101">
        <f t="shared" si="51"/>
        <v>71.101546925340969</v>
      </c>
      <c r="D17" s="101">
        <f t="shared" si="51"/>
        <v>56.883760500277653</v>
      </c>
      <c r="E17" s="101">
        <f t="shared" si="51"/>
        <v>56.779843295351846</v>
      </c>
      <c r="F17" s="101">
        <f t="shared" si="51"/>
        <v>58.995992072983718</v>
      </c>
      <c r="G17" s="101">
        <f t="shared" si="51"/>
        <v>66.082553208522654</v>
      </c>
      <c r="H17" s="101">
        <f t="shared" si="51"/>
        <v>61.141269296275624</v>
      </c>
      <c r="I17" s="101">
        <f t="shared" si="51"/>
        <v>55.010484303020512</v>
      </c>
      <c r="J17" s="101">
        <f t="shared" si="51"/>
        <v>19.751768197039624</v>
      </c>
      <c r="K17" s="101">
        <f t="shared" si="51"/>
        <v>0.72193413261465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</v>
      </c>
      <c r="U17" s="101">
        <f t="shared" si="53"/>
        <v>4.743456454157462</v>
      </c>
      <c r="V17" s="101">
        <f t="shared" si="53"/>
        <v>15.353299720749645</v>
      </c>
      <c r="W17" s="101">
        <f t="shared" ref="W17" si="54">IF(W44=0,0,W44*W154)</f>
        <v>34.260192663120719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6.8859718791530025</v>
      </c>
      <c r="C18" s="101">
        <f t="shared" si="55"/>
        <v>16.174048170250565</v>
      </c>
      <c r="D18" s="101">
        <f t="shared" si="55"/>
        <v>15.890727560596526</v>
      </c>
      <c r="E18" s="101">
        <f t="shared" si="55"/>
        <v>15.079237084470966</v>
      </c>
      <c r="F18" s="101">
        <f t="shared" si="55"/>
        <v>15.549485347942783</v>
      </c>
      <c r="G18" s="101">
        <f t="shared" si="55"/>
        <v>40.402673944898623</v>
      </c>
      <c r="H18" s="101">
        <f t="shared" si="55"/>
        <v>41.363074616709191</v>
      </c>
      <c r="I18" s="101">
        <f t="shared" si="55"/>
        <v>60.663091374875691</v>
      </c>
      <c r="J18" s="101">
        <f t="shared" si="55"/>
        <v>105.42069761772393</v>
      </c>
      <c r="K18" s="101">
        <f t="shared" si="55"/>
        <v>136.42511004905259</v>
      </c>
      <c r="L18" s="101">
        <f t="shared" ref="L18" si="56">IF(L45=0,0,L45*L155)</f>
        <v>198.55170276415771</v>
      </c>
      <c r="M18" s="101">
        <f t="shared" ref="M18:V18" si="57">IF(M45=0,0,M45*M155)</f>
        <v>207.52326349748651</v>
      </c>
      <c r="N18" s="101">
        <f t="shared" si="57"/>
        <v>232.51672611769729</v>
      </c>
      <c r="O18" s="101">
        <f t="shared" si="57"/>
        <v>221.93896145775983</v>
      </c>
      <c r="P18" s="101">
        <f t="shared" si="57"/>
        <v>230.49846426045076</v>
      </c>
      <c r="Q18" s="101">
        <f t="shared" si="57"/>
        <v>236.42403351475991</v>
      </c>
      <c r="R18" s="101">
        <f t="shared" si="57"/>
        <v>244.9278302940572</v>
      </c>
      <c r="S18" s="101">
        <f t="shared" si="57"/>
        <v>210.39951110357552</v>
      </c>
      <c r="T18" s="101">
        <f t="shared" si="57"/>
        <v>221.094110921175</v>
      </c>
      <c r="U18" s="101">
        <f t="shared" si="57"/>
        <v>239.53883571473736</v>
      </c>
      <c r="V18" s="101">
        <f t="shared" si="57"/>
        <v>183.22871979217283</v>
      </c>
      <c r="W18" s="101">
        <f t="shared" ref="W18" si="58">IF(W45=0,0,W45*W155)</f>
        <v>204.28996947442326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2271.9251329923277</v>
      </c>
      <c r="C19" s="29">
        <f t="shared" si="59"/>
        <v>2495.4143487136403</v>
      </c>
      <c r="D19" s="29">
        <f t="shared" si="59"/>
        <v>2885.435761335174</v>
      </c>
      <c r="E19" s="29">
        <f t="shared" si="59"/>
        <v>3289.516395466715</v>
      </c>
      <c r="F19" s="29">
        <f t="shared" si="59"/>
        <v>3466.4167190555445</v>
      </c>
      <c r="G19" s="29">
        <f t="shared" si="59"/>
        <v>3847.8177994427474</v>
      </c>
      <c r="H19" s="29">
        <f t="shared" si="59"/>
        <v>4072.4365010334432</v>
      </c>
      <c r="I19" s="29">
        <f t="shared" si="59"/>
        <v>4543.979143211187</v>
      </c>
      <c r="J19" s="29">
        <f t="shared" si="59"/>
        <v>4025.6470931445001</v>
      </c>
      <c r="K19" s="29">
        <f t="shared" si="59"/>
        <v>3344.8865592298348</v>
      </c>
      <c r="L19" s="29">
        <f t="shared" ref="L19" si="60">L20+L26</f>
        <v>3857.4301076160195</v>
      </c>
      <c r="M19" s="29">
        <f t="shared" ref="M19:V19" si="61">M20+M26</f>
        <v>4127.4411964883157</v>
      </c>
      <c r="N19" s="29">
        <f t="shared" si="61"/>
        <v>4253.4818797285025</v>
      </c>
      <c r="O19" s="29">
        <f t="shared" si="61"/>
        <v>4688.1185210488766</v>
      </c>
      <c r="P19" s="29">
        <f t="shared" si="61"/>
        <v>4664.3233743571291</v>
      </c>
      <c r="Q19" s="29">
        <f t="shared" si="61"/>
        <v>4975.0807861301528</v>
      </c>
      <c r="R19" s="29">
        <f t="shared" si="61"/>
        <v>5032.8850649307496</v>
      </c>
      <c r="S19" s="29">
        <f t="shared" si="61"/>
        <v>5462.7907371832871</v>
      </c>
      <c r="T19" s="29">
        <f t="shared" si="61"/>
        <v>5877.2869287172362</v>
      </c>
      <c r="U19" s="29">
        <f t="shared" si="61"/>
        <v>5578.4844291173558</v>
      </c>
      <c r="V19" s="29">
        <f t="shared" si="61"/>
        <v>6351.9517378294258</v>
      </c>
      <c r="W19" s="29">
        <f t="shared" ref="W19" si="62">W20+W26</f>
        <v>6626.6851921367625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64.683922696056712</v>
      </c>
      <c r="C20" s="152">
        <f t="shared" si="63"/>
        <v>75.667119170166401</v>
      </c>
      <c r="D20" s="152">
        <f t="shared" si="63"/>
        <v>97.978914687905132</v>
      </c>
      <c r="E20" s="152">
        <f t="shared" si="63"/>
        <v>90.799061708934147</v>
      </c>
      <c r="F20" s="152">
        <f t="shared" si="63"/>
        <v>118.76644958043323</v>
      </c>
      <c r="G20" s="152">
        <f t="shared" si="63"/>
        <v>111.79876974737134</v>
      </c>
      <c r="H20" s="152">
        <f t="shared" si="63"/>
        <v>124.00746618409428</v>
      </c>
      <c r="I20" s="152">
        <f t="shared" si="63"/>
        <v>136.67038540466925</v>
      </c>
      <c r="J20" s="152">
        <f t="shared" si="63"/>
        <v>139.85830611577504</v>
      </c>
      <c r="K20" s="152">
        <f t="shared" si="63"/>
        <v>134.05961384405344</v>
      </c>
      <c r="L20" s="152">
        <f t="shared" ref="L20" si="64">SUM(L21:L25)</f>
        <v>115.04013352318664</v>
      </c>
      <c r="M20" s="152">
        <f t="shared" ref="M20:V20" si="65">SUM(M21:M25)</f>
        <v>119.76595707293625</v>
      </c>
      <c r="N20" s="152">
        <f t="shared" si="65"/>
        <v>131.01317383329516</v>
      </c>
      <c r="O20" s="152">
        <f t="shared" si="65"/>
        <v>152.75631782304376</v>
      </c>
      <c r="P20" s="152">
        <f t="shared" si="65"/>
        <v>168.29786808828121</v>
      </c>
      <c r="Q20" s="152">
        <f t="shared" si="65"/>
        <v>177.81878293633881</v>
      </c>
      <c r="R20" s="152">
        <f t="shared" si="65"/>
        <v>178.1165048428393</v>
      </c>
      <c r="S20" s="152">
        <f t="shared" si="65"/>
        <v>186.07935601220535</v>
      </c>
      <c r="T20" s="152">
        <f t="shared" si="65"/>
        <v>190.2869287172359</v>
      </c>
      <c r="U20" s="152">
        <f t="shared" si="65"/>
        <v>196.48442911735546</v>
      </c>
      <c r="V20" s="152">
        <f t="shared" si="65"/>
        <v>202.95173782942558</v>
      </c>
      <c r="W20" s="152">
        <f t="shared" ref="W20" si="66">SUM(W21:W25)</f>
        <v>209.68519213676251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22.407054675299097</v>
      </c>
      <c r="C21" s="87">
        <f t="shared" si="67"/>
        <v>22.855583163217478</v>
      </c>
      <c r="D21" s="87">
        <f t="shared" si="67"/>
        <v>21.600423017272444</v>
      </c>
      <c r="E21" s="87">
        <f t="shared" si="67"/>
        <v>21.498615534065156</v>
      </c>
      <c r="F21" s="87">
        <f t="shared" si="67"/>
        <v>20.95400659357426</v>
      </c>
      <c r="G21" s="87">
        <f t="shared" si="67"/>
        <v>20.955087631139161</v>
      </c>
      <c r="H21" s="87">
        <f t="shared" si="67"/>
        <v>21.276686698510183</v>
      </c>
      <c r="I21" s="87">
        <f t="shared" si="67"/>
        <v>20.553893623383548</v>
      </c>
      <c r="J21" s="87">
        <f t="shared" si="67"/>
        <v>17.195168871330175</v>
      </c>
      <c r="K21" s="87">
        <f t="shared" si="67"/>
        <v>13.941453300360656</v>
      </c>
      <c r="L21" s="87">
        <f t="shared" ref="L21" si="68">IF(L48=0,0,L48*L158)</f>
        <v>6.3645953547655489</v>
      </c>
      <c r="M21" s="87">
        <f t="shared" ref="M21:V21" si="69">IF(M48=0,0,M48*M158)</f>
        <v>5.7586967768594022</v>
      </c>
      <c r="N21" s="87">
        <f t="shared" si="69"/>
        <v>5.7708808707956809</v>
      </c>
      <c r="O21" s="87">
        <f t="shared" si="69"/>
        <v>5.029469315079945</v>
      </c>
      <c r="P21" s="87">
        <f t="shared" si="69"/>
        <v>3.8353628535554041</v>
      </c>
      <c r="Q21" s="87">
        <f t="shared" si="69"/>
        <v>3.6694978830796212</v>
      </c>
      <c r="R21" s="87">
        <f t="shared" si="69"/>
        <v>3.1200681812068209</v>
      </c>
      <c r="S21" s="87">
        <f t="shared" si="69"/>
        <v>2.9425313164852769</v>
      </c>
      <c r="T21" s="87">
        <f t="shared" si="69"/>
        <v>2.7677067710128234</v>
      </c>
      <c r="U21" s="87">
        <f t="shared" si="69"/>
        <v>2.5357355418246033</v>
      </c>
      <c r="V21" s="87">
        <f t="shared" si="69"/>
        <v>2.4873468433926682</v>
      </c>
      <c r="W21" s="87">
        <f t="shared" ref="W21" si="70">IF(W48=0,0,W48*W158)</f>
        <v>2.4335748042116769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42.276868020757611</v>
      </c>
      <c r="C22" s="87">
        <f t="shared" si="71"/>
        <v>52.811536006948927</v>
      </c>
      <c r="D22" s="87">
        <f t="shared" si="71"/>
        <v>76.378491670632684</v>
      </c>
      <c r="E22" s="87">
        <f t="shared" si="71"/>
        <v>69.300446174868995</v>
      </c>
      <c r="F22" s="87">
        <f t="shared" si="71"/>
        <v>97.812442986858969</v>
      </c>
      <c r="G22" s="87">
        <f t="shared" si="71"/>
        <v>90.843682116232173</v>
      </c>
      <c r="H22" s="87">
        <f t="shared" si="71"/>
        <v>102.73077948558409</v>
      </c>
      <c r="I22" s="87">
        <f t="shared" si="71"/>
        <v>116.11649178128569</v>
      </c>
      <c r="J22" s="87">
        <f t="shared" si="71"/>
        <v>122.66313724444485</v>
      </c>
      <c r="K22" s="87">
        <f t="shared" si="71"/>
        <v>120.11816054369278</v>
      </c>
      <c r="L22" s="87">
        <f t="shared" ref="L22" si="72">IF(L49=0,0,L49*L159)</f>
        <v>108.67553816842108</v>
      </c>
      <c r="M22" s="87">
        <f t="shared" ref="M22:V22" si="73">IF(M49=0,0,M49*M159)</f>
        <v>114.00328096199792</v>
      </c>
      <c r="N22" s="87">
        <f t="shared" si="73"/>
        <v>125.20384873564038</v>
      </c>
      <c r="O22" s="87">
        <f t="shared" si="73"/>
        <v>147.69091065076864</v>
      </c>
      <c r="P22" s="87">
        <f t="shared" si="73"/>
        <v>164.40452231215792</v>
      </c>
      <c r="Q22" s="87">
        <f t="shared" si="73"/>
        <v>174.08668021575338</v>
      </c>
      <c r="R22" s="87">
        <f t="shared" si="73"/>
        <v>174.66804594171029</v>
      </c>
      <c r="S22" s="87">
        <f t="shared" si="73"/>
        <v>182.56147964588135</v>
      </c>
      <c r="T22" s="87">
        <f t="shared" si="73"/>
        <v>186.7896734692803</v>
      </c>
      <c r="U22" s="87">
        <f t="shared" si="73"/>
        <v>193.05612180405376</v>
      </c>
      <c r="V22" s="87">
        <f t="shared" si="73"/>
        <v>199.48258910799228</v>
      </c>
      <c r="W22" s="87">
        <f t="shared" ref="W22" si="74">IF(W49=0,0,W49*W159)</f>
        <v>206.187661115129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3.4464013272130757E-2</v>
      </c>
      <c r="O23" s="87">
        <f t="shared" si="77"/>
        <v>3.1957166196407691E-2</v>
      </c>
      <c r="P23" s="87">
        <f t="shared" si="77"/>
        <v>4.6038150115990502E-2</v>
      </c>
      <c r="Q23" s="87">
        <f t="shared" si="77"/>
        <v>4.86655409569893E-2</v>
      </c>
      <c r="R23" s="87">
        <f t="shared" si="77"/>
        <v>0.30649470040315813</v>
      </c>
      <c r="S23" s="87">
        <f t="shared" si="77"/>
        <v>0.55145856026637996</v>
      </c>
      <c r="T23" s="87">
        <f t="shared" si="77"/>
        <v>0.70567024316076055</v>
      </c>
      <c r="U23" s="87">
        <f t="shared" si="77"/>
        <v>0.86472297680359922</v>
      </c>
      <c r="V23" s="87">
        <f t="shared" si="77"/>
        <v>0.9501573878738232</v>
      </c>
      <c r="W23" s="87">
        <f t="shared" ref="W23" si="78">IF(W50=0,0,W50*W160)</f>
        <v>0.98638199198956955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3.9793340789192203E-3</v>
      </c>
      <c r="N25" s="87">
        <f t="shared" si="85"/>
        <v>3.9802135869807399E-3</v>
      </c>
      <c r="O25" s="87">
        <f t="shared" si="85"/>
        <v>3.9806909987562342E-3</v>
      </c>
      <c r="P25" s="87">
        <f t="shared" si="85"/>
        <v>1.1944772451863246E-2</v>
      </c>
      <c r="Q25" s="87">
        <f t="shared" si="85"/>
        <v>1.3939296548799489E-2</v>
      </c>
      <c r="R25" s="87">
        <f t="shared" si="85"/>
        <v>2.1896019519034551E-2</v>
      </c>
      <c r="S25" s="87">
        <f t="shared" si="85"/>
        <v>2.3886489572340536E-2</v>
      </c>
      <c r="T25" s="87">
        <f t="shared" si="85"/>
        <v>2.3878233782000994E-2</v>
      </c>
      <c r="U25" s="87">
        <f t="shared" si="85"/>
        <v>2.7848794673507715E-2</v>
      </c>
      <c r="V25" s="87">
        <f t="shared" si="85"/>
        <v>3.1644490166815684E-2</v>
      </c>
      <c r="W25" s="87">
        <f t="shared" ref="W25" si="86">IF(W52=0,0,W52*W162)</f>
        <v>7.7574225432271979E-2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2207.2412102962708</v>
      </c>
      <c r="C26" s="116">
        <f t="shared" si="87"/>
        <v>2419.7472295434741</v>
      </c>
      <c r="D26" s="116">
        <f t="shared" si="87"/>
        <v>2787.4568466472688</v>
      </c>
      <c r="E26" s="116">
        <f t="shared" si="87"/>
        <v>3198.717333757781</v>
      </c>
      <c r="F26" s="116">
        <f t="shared" si="87"/>
        <v>3347.6502694751111</v>
      </c>
      <c r="G26" s="116">
        <f t="shared" si="87"/>
        <v>3736.019029695376</v>
      </c>
      <c r="H26" s="116">
        <f t="shared" si="87"/>
        <v>3948.4290348493487</v>
      </c>
      <c r="I26" s="116">
        <f t="shared" si="87"/>
        <v>4407.3087578065179</v>
      </c>
      <c r="J26" s="116">
        <f t="shared" si="87"/>
        <v>3885.788787028725</v>
      </c>
      <c r="K26" s="116">
        <f t="shared" si="87"/>
        <v>3210.8269453857815</v>
      </c>
      <c r="L26" s="116">
        <f t="shared" ref="L26" si="88">SUM(L27:L28)</f>
        <v>3742.3899740928327</v>
      </c>
      <c r="M26" s="116">
        <f t="shared" ref="M26:V26" si="89">SUM(M27:M28)</f>
        <v>4007.6752394153791</v>
      </c>
      <c r="N26" s="116">
        <f t="shared" si="89"/>
        <v>4122.4687058952077</v>
      </c>
      <c r="O26" s="116">
        <f t="shared" si="89"/>
        <v>4535.3622032258327</v>
      </c>
      <c r="P26" s="116">
        <f t="shared" si="89"/>
        <v>4496.0255062688475</v>
      </c>
      <c r="Q26" s="116">
        <f t="shared" si="89"/>
        <v>4797.2620031938141</v>
      </c>
      <c r="R26" s="116">
        <f t="shared" si="89"/>
        <v>4854.7685600879104</v>
      </c>
      <c r="S26" s="116">
        <f t="shared" si="89"/>
        <v>5276.7113811710815</v>
      </c>
      <c r="T26" s="116">
        <f t="shared" si="89"/>
        <v>5687</v>
      </c>
      <c r="U26" s="116">
        <f t="shared" si="89"/>
        <v>5382</v>
      </c>
      <c r="V26" s="116">
        <f t="shared" si="89"/>
        <v>6149</v>
      </c>
      <c r="W26" s="116">
        <f t="shared" ref="W26" si="90">SUM(W27:W28)</f>
        <v>6417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1484</v>
      </c>
      <c r="C27" s="101">
        <f t="shared" si="91"/>
        <v>1645</v>
      </c>
      <c r="D27" s="101">
        <f t="shared" si="91"/>
        <v>1967</v>
      </c>
      <c r="E27" s="101">
        <f t="shared" si="91"/>
        <v>2365</v>
      </c>
      <c r="F27" s="101">
        <f t="shared" si="91"/>
        <v>2380</v>
      </c>
      <c r="G27" s="101">
        <f t="shared" si="91"/>
        <v>2734</v>
      </c>
      <c r="H27" s="101">
        <f t="shared" si="91"/>
        <v>2718</v>
      </c>
      <c r="I27" s="101">
        <f t="shared" si="91"/>
        <v>3006</v>
      </c>
      <c r="J27" s="101">
        <f t="shared" si="91"/>
        <v>2536</v>
      </c>
      <c r="K27" s="101">
        <f t="shared" si="91"/>
        <v>2149</v>
      </c>
      <c r="L27" s="101">
        <f t="shared" ref="L27:V27" si="92">IF(L54=0,0,L54*L164)</f>
        <v>2561</v>
      </c>
      <c r="M27" s="101">
        <f t="shared" si="92"/>
        <v>2646</v>
      </c>
      <c r="N27" s="101">
        <f t="shared" si="92"/>
        <v>2615.9999999999995</v>
      </c>
      <c r="O27" s="101">
        <f t="shared" si="92"/>
        <v>2803</v>
      </c>
      <c r="P27" s="101">
        <f t="shared" si="92"/>
        <v>2740</v>
      </c>
      <c r="Q27" s="101">
        <f t="shared" si="92"/>
        <v>2753</v>
      </c>
      <c r="R27" s="101">
        <f t="shared" si="92"/>
        <v>2807</v>
      </c>
      <c r="S27" s="101">
        <f t="shared" si="92"/>
        <v>3240</v>
      </c>
      <c r="T27" s="101">
        <f t="shared" si="92"/>
        <v>3459</v>
      </c>
      <c r="U27" s="101">
        <f t="shared" si="92"/>
        <v>3349.9999999999995</v>
      </c>
      <c r="V27" s="101">
        <f t="shared" si="92"/>
        <v>3716</v>
      </c>
      <c r="W27" s="101">
        <f t="shared" ref="W27" si="93">IF(W54=0,0,W54*W164)</f>
        <v>4064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723.24121029627076</v>
      </c>
      <c r="C28" s="88">
        <f t="shared" si="94"/>
        <v>774.74722954347408</v>
      </c>
      <c r="D28" s="88">
        <f t="shared" si="94"/>
        <v>820.45684664726878</v>
      </c>
      <c r="E28" s="88">
        <f t="shared" si="94"/>
        <v>833.71733375778103</v>
      </c>
      <c r="F28" s="88">
        <f t="shared" si="94"/>
        <v>967.65026947511114</v>
      </c>
      <c r="G28" s="88">
        <f t="shared" si="94"/>
        <v>1002.019029695376</v>
      </c>
      <c r="H28" s="88">
        <f t="shared" si="94"/>
        <v>1230.4290348493487</v>
      </c>
      <c r="I28" s="88">
        <f t="shared" si="94"/>
        <v>1401.3087578065179</v>
      </c>
      <c r="J28" s="88">
        <f t="shared" si="94"/>
        <v>1349.788787028725</v>
      </c>
      <c r="K28" s="88">
        <f t="shared" si="94"/>
        <v>1061.8269453857815</v>
      </c>
      <c r="L28" s="88">
        <f t="shared" ref="L28:V28" si="95">IF(L55=0,0,L55*L165)</f>
        <v>1181.3899740928327</v>
      </c>
      <c r="M28" s="88">
        <f t="shared" si="95"/>
        <v>1361.6752394153791</v>
      </c>
      <c r="N28" s="88">
        <f t="shared" si="95"/>
        <v>1506.4687058952077</v>
      </c>
      <c r="O28" s="88">
        <f t="shared" si="95"/>
        <v>1732.3622032258327</v>
      </c>
      <c r="P28" s="88">
        <f t="shared" si="95"/>
        <v>1756.0255062688475</v>
      </c>
      <c r="Q28" s="88">
        <f t="shared" si="95"/>
        <v>2044.2620031938141</v>
      </c>
      <c r="R28" s="88">
        <f t="shared" si="95"/>
        <v>2047.7685600879104</v>
      </c>
      <c r="S28" s="88">
        <f t="shared" si="95"/>
        <v>2036.7113811710815</v>
      </c>
      <c r="T28" s="88">
        <f t="shared" si="95"/>
        <v>2228</v>
      </c>
      <c r="U28" s="88">
        <f t="shared" si="95"/>
        <v>2032</v>
      </c>
      <c r="V28" s="88">
        <f t="shared" si="95"/>
        <v>2433</v>
      </c>
      <c r="W28" s="88">
        <f t="shared" ref="W28" si="96">IF(W55=0,0,W55*W165)</f>
        <v>2353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5074.4826594327242</v>
      </c>
      <c r="C30" s="62">
        <f t="shared" ref="C30:V30" si="98">C31+C46</f>
        <v>5883.7240692721371</v>
      </c>
      <c r="D30" s="62">
        <f t="shared" si="98"/>
        <v>6148.1124658267163</v>
      </c>
      <c r="E30" s="62">
        <f t="shared" si="98"/>
        <v>6443.7942887122827</v>
      </c>
      <c r="F30" s="62">
        <f t="shared" si="98"/>
        <v>6947.5464368765897</v>
      </c>
      <c r="G30" s="62">
        <f t="shared" si="98"/>
        <v>7220.0567051941853</v>
      </c>
      <c r="H30" s="62">
        <f t="shared" si="98"/>
        <v>8366.0700130636906</v>
      </c>
      <c r="I30" s="62">
        <f t="shared" si="98"/>
        <v>9418.4926766481349</v>
      </c>
      <c r="J30" s="62">
        <f t="shared" si="98"/>
        <v>9159.8801480306684</v>
      </c>
      <c r="K30" s="62">
        <f t="shared" si="98"/>
        <v>8316.1111092446499</v>
      </c>
      <c r="L30" s="62">
        <f t="shared" si="98"/>
        <v>8121.7678225585796</v>
      </c>
      <c r="M30" s="62">
        <f t="shared" si="98"/>
        <v>7911.2247049529469</v>
      </c>
      <c r="N30" s="62">
        <f t="shared" si="98"/>
        <v>7828.4708669739357</v>
      </c>
      <c r="O30" s="62">
        <f t="shared" si="98"/>
        <v>8028.9495605329375</v>
      </c>
      <c r="P30" s="62">
        <f t="shared" si="98"/>
        <v>8944.3987785288573</v>
      </c>
      <c r="Q30" s="62">
        <f t="shared" si="98"/>
        <v>9671.4249834853399</v>
      </c>
      <c r="R30" s="62">
        <f t="shared" si="98"/>
        <v>10034.657971038538</v>
      </c>
      <c r="S30" s="62">
        <f t="shared" si="98"/>
        <v>10628.214479442491</v>
      </c>
      <c r="T30" s="62">
        <f t="shared" si="98"/>
        <v>11188.37019577508</v>
      </c>
      <c r="U30" s="62">
        <f t="shared" si="98"/>
        <v>11838.047943579702</v>
      </c>
      <c r="V30" s="62">
        <f t="shared" si="98"/>
        <v>11648.614920322056</v>
      </c>
      <c r="W30" s="62">
        <f t="shared" ref="W30" si="99">W31+W46</f>
        <v>12230.91640790414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4395.6010272636813</v>
      </c>
      <c r="C31" s="29">
        <f t="shared" ref="C31:V31" si="101">C32+C33+C40</f>
        <v>5084.092752765192</v>
      </c>
      <c r="D31" s="29">
        <f t="shared" si="101"/>
        <v>5173.1448375452201</v>
      </c>
      <c r="E31" s="29">
        <f t="shared" si="101"/>
        <v>5448.1883208406707</v>
      </c>
      <c r="F31" s="29">
        <f t="shared" si="101"/>
        <v>5830.3056284911609</v>
      </c>
      <c r="G31" s="29">
        <f t="shared" si="101"/>
        <v>6079.343322549712</v>
      </c>
      <c r="H31" s="29">
        <f t="shared" si="101"/>
        <v>7151.3356784050584</v>
      </c>
      <c r="I31" s="29">
        <f t="shared" si="101"/>
        <v>8035.4262897633407</v>
      </c>
      <c r="J31" s="29">
        <f t="shared" si="101"/>
        <v>7808.585210511379</v>
      </c>
      <c r="K31" s="29">
        <f t="shared" si="101"/>
        <v>7047.4927887927315</v>
      </c>
      <c r="L31" s="29">
        <f t="shared" si="101"/>
        <v>7028.6982583449926</v>
      </c>
      <c r="M31" s="29">
        <f t="shared" si="101"/>
        <v>6867.3883413406511</v>
      </c>
      <c r="N31" s="29">
        <f t="shared" si="101"/>
        <v>6782.6907141453103</v>
      </c>
      <c r="O31" s="29">
        <f t="shared" si="101"/>
        <v>6844.6908144521149</v>
      </c>
      <c r="P31" s="29">
        <f t="shared" si="101"/>
        <v>7692.1438655342399</v>
      </c>
      <c r="Q31" s="29">
        <f t="shared" si="101"/>
        <v>8351.0025944996032</v>
      </c>
      <c r="R31" s="29">
        <f t="shared" si="101"/>
        <v>8706.1197149799009</v>
      </c>
      <c r="S31" s="29">
        <f t="shared" si="101"/>
        <v>9221.5954902404337</v>
      </c>
      <c r="T31" s="29">
        <f t="shared" si="101"/>
        <v>9739.9171848922251</v>
      </c>
      <c r="U31" s="29">
        <f t="shared" si="101"/>
        <v>10373.081705090859</v>
      </c>
      <c r="V31" s="29">
        <f t="shared" si="101"/>
        <v>10114.738023956272</v>
      </c>
      <c r="W31" s="29">
        <f t="shared" ref="W31" si="102">W32+W33+W40</f>
        <v>10625.277846349962</v>
      </c>
      <c r="DA31" s="173" t="s">
        <v>474</v>
      </c>
    </row>
    <row r="32" spans="1:105" ht="11.45" customHeight="1" x14ac:dyDescent="0.25">
      <c r="A32" s="136" t="s">
        <v>180</v>
      </c>
      <c r="B32" s="152">
        <v>56.436908263596187</v>
      </c>
      <c r="C32" s="152">
        <v>56.81838781590595</v>
      </c>
      <c r="D32" s="152">
        <v>56.761524025653941</v>
      </c>
      <c r="E32" s="152">
        <v>56.698973708848236</v>
      </c>
      <c r="F32" s="152">
        <v>56.380286455185647</v>
      </c>
      <c r="G32" s="152">
        <v>56.002773749752244</v>
      </c>
      <c r="H32" s="152">
        <v>55.067419232047136</v>
      </c>
      <c r="I32" s="152">
        <v>53.022854422979634</v>
      </c>
      <c r="J32" s="152">
        <v>51.015000000000001</v>
      </c>
      <c r="K32" s="152">
        <v>49.435999999999993</v>
      </c>
      <c r="L32" s="152">
        <v>49.769999999999996</v>
      </c>
      <c r="M32" s="152">
        <v>49.8356555196006</v>
      </c>
      <c r="N32" s="152">
        <v>46.224684616506174</v>
      </c>
      <c r="O32" s="152">
        <v>48.70278084782786</v>
      </c>
      <c r="P32" s="152">
        <v>59.343057759837833</v>
      </c>
      <c r="Q32" s="152">
        <v>76.169598872851637</v>
      </c>
      <c r="R32" s="152">
        <v>76.802030051510656</v>
      </c>
      <c r="S32" s="152">
        <v>73.3718068723648</v>
      </c>
      <c r="T32" s="152">
        <v>70.723837277843771</v>
      </c>
      <c r="U32" s="152">
        <v>75.698418335882494</v>
      </c>
      <c r="V32" s="152">
        <v>68.701732937875846</v>
      </c>
      <c r="W32" s="152">
        <v>72.414585455229258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4201.5028085519007</v>
      </c>
      <c r="C33" s="116">
        <f t="shared" ref="C33:V33" si="104">SUM(C34:C39)</f>
        <v>4886.8811248057973</v>
      </c>
      <c r="D33" s="116">
        <f t="shared" si="104"/>
        <v>4970.3563617708587</v>
      </c>
      <c r="E33" s="116">
        <f t="shared" si="104"/>
        <v>5233.6276083917546</v>
      </c>
      <c r="F33" s="116">
        <f t="shared" si="104"/>
        <v>5614.6179487681029</v>
      </c>
      <c r="G33" s="116">
        <f t="shared" si="104"/>
        <v>5864.3615177555112</v>
      </c>
      <c r="H33" s="116">
        <f t="shared" si="104"/>
        <v>6941.2316492035325</v>
      </c>
      <c r="I33" s="116">
        <f t="shared" si="104"/>
        <v>7829.9213803934526</v>
      </c>
      <c r="J33" s="116">
        <f t="shared" si="104"/>
        <v>7610.8132105113791</v>
      </c>
      <c r="K33" s="116">
        <f t="shared" si="104"/>
        <v>6852.5627442402247</v>
      </c>
      <c r="L33" s="116">
        <f t="shared" si="104"/>
        <v>6835.0271138796861</v>
      </c>
      <c r="M33" s="116">
        <f t="shared" si="104"/>
        <v>6678.7086608182217</v>
      </c>
      <c r="N33" s="116">
        <f t="shared" si="104"/>
        <v>6600.8384370097865</v>
      </c>
      <c r="O33" s="116">
        <f t="shared" si="104"/>
        <v>6661.6286477347712</v>
      </c>
      <c r="P33" s="116">
        <f t="shared" si="104"/>
        <v>7502.3737939335469</v>
      </c>
      <c r="Q33" s="116">
        <f t="shared" si="104"/>
        <v>8145.4593447288908</v>
      </c>
      <c r="R33" s="116">
        <f t="shared" si="104"/>
        <v>8498.4713042041967</v>
      </c>
      <c r="S33" s="116">
        <f t="shared" si="104"/>
        <v>9017.0374419147211</v>
      </c>
      <c r="T33" s="116">
        <f t="shared" si="104"/>
        <v>9541.5190003622902</v>
      </c>
      <c r="U33" s="116">
        <f t="shared" si="104"/>
        <v>10175.259998079064</v>
      </c>
      <c r="V33" s="116">
        <f t="shared" si="104"/>
        <v>9945.7207324631818</v>
      </c>
      <c r="W33" s="116">
        <f t="shared" ref="W33" si="105">SUM(W34:W39)</f>
        <v>10462.403663484976</v>
      </c>
      <c r="DA33" s="176" t="s">
        <v>476</v>
      </c>
    </row>
    <row r="34" spans="1:105" ht="11.45" customHeight="1" x14ac:dyDescent="0.25">
      <c r="A34" s="111" t="s">
        <v>110</v>
      </c>
      <c r="B34" s="87">
        <v>3559.2686029073056</v>
      </c>
      <c r="C34" s="87">
        <v>4016.1702988713623</v>
      </c>
      <c r="D34" s="87">
        <v>3968.0823391088165</v>
      </c>
      <c r="E34" s="87">
        <v>3998.8930045075558</v>
      </c>
      <c r="F34" s="87">
        <v>4069.8289443378817</v>
      </c>
      <c r="G34" s="87">
        <v>4028.2039768681971</v>
      </c>
      <c r="H34" s="87">
        <v>4565.6693698326226</v>
      </c>
      <c r="I34" s="87">
        <v>5096.6010371459715</v>
      </c>
      <c r="J34" s="87">
        <v>4714.9503929749344</v>
      </c>
      <c r="K34" s="87">
        <v>3918.4512353762889</v>
      </c>
      <c r="L34" s="87">
        <v>3757.3643882522751</v>
      </c>
      <c r="M34" s="87">
        <v>3439.3820633436035</v>
      </c>
      <c r="N34" s="87">
        <v>2982.9981681961435</v>
      </c>
      <c r="O34" s="87">
        <v>2784.610804546639</v>
      </c>
      <c r="P34" s="87">
        <v>2716.9388700540285</v>
      </c>
      <c r="Q34" s="87">
        <v>2786.6456515132222</v>
      </c>
      <c r="R34" s="87">
        <v>2564.3465584776604</v>
      </c>
      <c r="S34" s="87">
        <v>2536.1803659493075</v>
      </c>
      <c r="T34" s="87">
        <v>2523.7272911751907</v>
      </c>
      <c r="U34" s="87">
        <v>2469.8886868874233</v>
      </c>
      <c r="V34" s="87">
        <v>2386.9639595300805</v>
      </c>
      <c r="W34" s="87">
        <v>2502.1015360030024</v>
      </c>
      <c r="DA34" s="171" t="s">
        <v>477</v>
      </c>
    </row>
    <row r="35" spans="1:105" ht="11.45" customHeight="1" x14ac:dyDescent="0.25">
      <c r="A35" s="111" t="s">
        <v>111</v>
      </c>
      <c r="B35" s="87">
        <v>433.03100153222869</v>
      </c>
      <c r="C35" s="87">
        <v>620.01839705174928</v>
      </c>
      <c r="D35" s="87">
        <v>768.28269728739372</v>
      </c>
      <c r="E35" s="87">
        <v>984.44358176512799</v>
      </c>
      <c r="F35" s="87">
        <v>1228.7488942882735</v>
      </c>
      <c r="G35" s="87">
        <v>1506.4417832491831</v>
      </c>
      <c r="H35" s="87">
        <v>2008.6007745029026</v>
      </c>
      <c r="I35" s="87">
        <v>2367.680545369667</v>
      </c>
      <c r="J35" s="87">
        <v>2567.1661787859352</v>
      </c>
      <c r="K35" s="87">
        <v>2624.6777222514611</v>
      </c>
      <c r="L35" s="87">
        <v>2737.3727792247723</v>
      </c>
      <c r="M35" s="87">
        <v>2837.2395932338959</v>
      </c>
      <c r="N35" s="87">
        <v>2988.3051915134151</v>
      </c>
      <c r="O35" s="87">
        <v>3183.6527819822513</v>
      </c>
      <c r="P35" s="87">
        <v>3980.2942196354074</v>
      </c>
      <c r="Q35" s="87">
        <v>4640.8549300607247</v>
      </c>
      <c r="R35" s="87">
        <v>5138.5169655030977</v>
      </c>
      <c r="S35" s="87">
        <v>5731.9037143280511</v>
      </c>
      <c r="T35" s="87">
        <v>6305.0486544462929</v>
      </c>
      <c r="U35" s="87">
        <v>7048.5772687928265</v>
      </c>
      <c r="V35" s="87">
        <v>6982.4758539929262</v>
      </c>
      <c r="W35" s="87">
        <v>7418.0265912342711</v>
      </c>
      <c r="DA35" s="171" t="s">
        <v>478</v>
      </c>
    </row>
    <row r="36" spans="1:105" ht="11.45" customHeight="1" x14ac:dyDescent="0.25">
      <c r="A36" s="111" t="s">
        <v>112</v>
      </c>
      <c r="B36" s="87">
        <v>208.07880881682709</v>
      </c>
      <c r="C36" s="87">
        <v>249.65398103152012</v>
      </c>
      <c r="D36" s="87">
        <v>233.05241211097677</v>
      </c>
      <c r="E36" s="87">
        <v>249.42340576688576</v>
      </c>
      <c r="F36" s="87">
        <v>315.25937916436038</v>
      </c>
      <c r="G36" s="87">
        <v>328.9458605160159</v>
      </c>
      <c r="H36" s="87">
        <v>366.35985961892851</v>
      </c>
      <c r="I36" s="87">
        <v>365.0849161791956</v>
      </c>
      <c r="J36" s="87">
        <v>328.21090097154195</v>
      </c>
      <c r="K36" s="87">
        <v>308.99302760683037</v>
      </c>
      <c r="L36" s="87">
        <v>340.28994640263875</v>
      </c>
      <c r="M36" s="87">
        <v>402.08700424072231</v>
      </c>
      <c r="N36" s="87">
        <v>629.38228358371884</v>
      </c>
      <c r="O36" s="87">
        <v>693.12447418848353</v>
      </c>
      <c r="P36" s="87">
        <v>802.6727228049366</v>
      </c>
      <c r="Q36" s="87">
        <v>715.04806828802168</v>
      </c>
      <c r="R36" s="87">
        <v>792.28525471330431</v>
      </c>
      <c r="S36" s="87">
        <v>744.49133692172643</v>
      </c>
      <c r="T36" s="87">
        <v>704.75920416052327</v>
      </c>
      <c r="U36" s="87">
        <v>645.48494488919005</v>
      </c>
      <c r="V36" s="87">
        <v>557.10151354643983</v>
      </c>
      <c r="W36" s="87">
        <v>509.73264707613509</v>
      </c>
      <c r="DA36" s="171" t="s">
        <v>479</v>
      </c>
    </row>
    <row r="37" spans="1:105" ht="11.45" customHeight="1" x14ac:dyDescent="0.25">
      <c r="A37" s="111" t="s">
        <v>113</v>
      </c>
      <c r="B37" s="87">
        <v>1.1243952955393</v>
      </c>
      <c r="C37" s="87">
        <v>1.0384478511664026</v>
      </c>
      <c r="D37" s="87">
        <v>0.93891326367182248</v>
      </c>
      <c r="E37" s="87">
        <v>0.86761635218465916</v>
      </c>
      <c r="F37" s="87">
        <v>0.78073097758738264</v>
      </c>
      <c r="G37" s="87">
        <v>0.76989712211473482</v>
      </c>
      <c r="H37" s="87">
        <v>0.60164524907881856</v>
      </c>
      <c r="I37" s="87">
        <v>0.55488169861835213</v>
      </c>
      <c r="J37" s="87">
        <v>0.48573777896793791</v>
      </c>
      <c r="K37" s="87">
        <v>0.44075900564309589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1.4370242210612196</v>
      </c>
      <c r="U37" s="87">
        <v>1.6368103149265598</v>
      </c>
      <c r="V37" s="87">
        <v>1.852702946767055</v>
      </c>
      <c r="W37" s="87">
        <v>2.0788262127960269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2.6730708613027083E-2</v>
      </c>
      <c r="O38" s="87">
        <v>5.1223381343619249E-2</v>
      </c>
      <c r="P38" s="87">
        <v>8.3935672470152475E-2</v>
      </c>
      <c r="Q38" s="87">
        <v>0.2270999012379617</v>
      </c>
      <c r="R38" s="87">
        <v>0.26245235811341261</v>
      </c>
      <c r="S38" s="87">
        <v>0.50404556691546787</v>
      </c>
      <c r="T38" s="87">
        <v>0.95065692245029132</v>
      </c>
      <c r="U38" s="87">
        <v>1.3466796409064778</v>
      </c>
      <c r="V38" s="87">
        <v>2.1209885137272342</v>
      </c>
      <c r="W38" s="87">
        <v>3.896414436226479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0.12606300789580493</v>
      </c>
      <c r="O39" s="87">
        <v>0.18936363605410328</v>
      </c>
      <c r="P39" s="87">
        <v>2.3840457667036916</v>
      </c>
      <c r="Q39" s="87">
        <v>2.6835949656841809</v>
      </c>
      <c r="R39" s="87">
        <v>3.060073152021233</v>
      </c>
      <c r="S39" s="87">
        <v>3.9579791487212002</v>
      </c>
      <c r="T39" s="87">
        <v>5.59616943677121</v>
      </c>
      <c r="U39" s="87">
        <v>8.3256075537891157</v>
      </c>
      <c r="V39" s="87">
        <v>15.205713933238576</v>
      </c>
      <c r="W39" s="87">
        <v>26.567648522545944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137.66131044818471</v>
      </c>
      <c r="C40" s="116">
        <f t="shared" ref="C40:V40" si="107">SUM(C41:C45)</f>
        <v>140.39324014348833</v>
      </c>
      <c r="D40" s="116">
        <f t="shared" si="107"/>
        <v>146.02695174870797</v>
      </c>
      <c r="E40" s="116">
        <f t="shared" si="107"/>
        <v>157.8617387400684</v>
      </c>
      <c r="F40" s="116">
        <f t="shared" si="107"/>
        <v>159.30739326787301</v>
      </c>
      <c r="G40" s="116">
        <f t="shared" si="107"/>
        <v>158.97903104444907</v>
      </c>
      <c r="H40" s="116">
        <f t="shared" si="107"/>
        <v>155.03660996947809</v>
      </c>
      <c r="I40" s="116">
        <f t="shared" si="107"/>
        <v>152.48205494690848</v>
      </c>
      <c r="J40" s="116">
        <f t="shared" si="107"/>
        <v>146.75700000000001</v>
      </c>
      <c r="K40" s="116">
        <f t="shared" si="107"/>
        <v>145.49404455250689</v>
      </c>
      <c r="L40" s="116">
        <f t="shared" si="107"/>
        <v>143.90114446530592</v>
      </c>
      <c r="M40" s="116">
        <f t="shared" si="107"/>
        <v>138.84402500282914</v>
      </c>
      <c r="N40" s="116">
        <f t="shared" si="107"/>
        <v>135.62759251901707</v>
      </c>
      <c r="O40" s="116">
        <f t="shared" si="107"/>
        <v>134.35938586951605</v>
      </c>
      <c r="P40" s="116">
        <f t="shared" si="107"/>
        <v>130.42701384085589</v>
      </c>
      <c r="Q40" s="116">
        <f t="shared" si="107"/>
        <v>129.37365089786044</v>
      </c>
      <c r="R40" s="116">
        <f t="shared" si="107"/>
        <v>130.84638072419335</v>
      </c>
      <c r="S40" s="116">
        <f t="shared" si="107"/>
        <v>131.18624145334707</v>
      </c>
      <c r="T40" s="116">
        <f t="shared" si="107"/>
        <v>127.67434725209171</v>
      </c>
      <c r="U40" s="116">
        <f t="shared" si="107"/>
        <v>122.1232886759138</v>
      </c>
      <c r="V40" s="116">
        <f t="shared" si="107"/>
        <v>100.31555855521491</v>
      </c>
      <c r="W40" s="116">
        <f t="shared" ref="W40" si="108">SUM(W41:W45)</f>
        <v>90.459597409756185</v>
      </c>
      <c r="DA40" s="176" t="s">
        <v>483</v>
      </c>
    </row>
    <row r="41" spans="1:105" ht="11.45" customHeight="1" x14ac:dyDescent="0.25">
      <c r="A41" s="111" t="s">
        <v>110</v>
      </c>
      <c r="B41" s="101">
        <v>13.45355576743605</v>
      </c>
      <c r="C41" s="101">
        <v>13.43832021397971</v>
      </c>
      <c r="D41" s="101">
        <v>13.368380373980221</v>
      </c>
      <c r="E41" s="101">
        <v>13.017029255096432</v>
      </c>
      <c r="F41" s="101">
        <v>12.550702685990675</v>
      </c>
      <c r="G41" s="101">
        <v>12.076815548703019</v>
      </c>
      <c r="H41" s="101">
        <v>11.167550566597937</v>
      </c>
      <c r="I41" s="101">
        <v>10.379020473248081</v>
      </c>
      <c r="J41" s="101">
        <v>9.5043329856307306</v>
      </c>
      <c r="K41" s="101">
        <v>8.3728458342399055</v>
      </c>
      <c r="L41" s="101">
        <v>7.3342035071447134</v>
      </c>
      <c r="M41" s="101">
        <v>4.6259021216853604</v>
      </c>
      <c r="N41" s="101">
        <v>3.5806805368059593</v>
      </c>
      <c r="O41" s="101">
        <v>2.6039499221969029</v>
      </c>
      <c r="P41" s="101">
        <v>1.6907317725999467</v>
      </c>
      <c r="Q41" s="101">
        <v>1.4078266994465884</v>
      </c>
      <c r="R41" s="101">
        <v>1.0670676293564134</v>
      </c>
      <c r="S41" s="101">
        <v>0.96698337999701978</v>
      </c>
      <c r="T41" s="101">
        <v>0.83421409836339722</v>
      </c>
      <c r="U41" s="101">
        <v>0.75323917439707233</v>
      </c>
      <c r="V41" s="101">
        <v>0.54781148935037405</v>
      </c>
      <c r="W41" s="101">
        <v>0.38442438548861901</v>
      </c>
      <c r="DA41" s="175" t="s">
        <v>484</v>
      </c>
    </row>
    <row r="42" spans="1:105" ht="11.45" customHeight="1" x14ac:dyDescent="0.25">
      <c r="A42" s="111" t="s">
        <v>111</v>
      </c>
      <c r="B42" s="101">
        <v>120.5062816171567</v>
      </c>
      <c r="C42" s="101">
        <v>121.95462878471264</v>
      </c>
      <c r="D42" s="101">
        <v>128.41027241178043</v>
      </c>
      <c r="E42" s="101">
        <v>140.6201932802488</v>
      </c>
      <c r="F42" s="101">
        <v>142.50259534657707</v>
      </c>
      <c r="G42" s="101">
        <v>141.32846451187842</v>
      </c>
      <c r="H42" s="101">
        <v>138.41315687539793</v>
      </c>
      <c r="I42" s="101">
        <v>135.71897053423754</v>
      </c>
      <c r="J42" s="101">
        <v>130.25090509361047</v>
      </c>
      <c r="K42" s="101">
        <v>128.11469011515928</v>
      </c>
      <c r="L42" s="101">
        <v>124.58195844750347</v>
      </c>
      <c r="M42" s="101">
        <v>122.52038722354455</v>
      </c>
      <c r="N42" s="101">
        <v>120.76432856763914</v>
      </c>
      <c r="O42" s="101">
        <v>120.9736354431808</v>
      </c>
      <c r="P42" s="101">
        <v>117.77425211307812</v>
      </c>
      <c r="Q42" s="101">
        <v>116.48990352716741</v>
      </c>
      <c r="R42" s="101">
        <v>117.10604897320202</v>
      </c>
      <c r="S42" s="101">
        <v>119.12280351054883</v>
      </c>
      <c r="T42" s="101">
        <v>115.67978263015559</v>
      </c>
      <c r="U42" s="101">
        <v>109.67793782667691</v>
      </c>
      <c r="V42" s="101">
        <v>87.745532812489571</v>
      </c>
      <c r="W42" s="101">
        <v>74.368764497542216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0.31412439200834397</v>
      </c>
      <c r="S43" s="101">
        <v>0.23681922668721236</v>
      </c>
      <c r="T43" s="101">
        <v>0.17993382705832098</v>
      </c>
      <c r="U43" s="101">
        <v>0.1228750588036425</v>
      </c>
      <c r="V43" s="101">
        <v>8.4808066510101615E-2</v>
      </c>
      <c r="W43" s="101">
        <v>7.4267096717072545E-2</v>
      </c>
      <c r="DA43" s="175" t="s">
        <v>486</v>
      </c>
    </row>
    <row r="44" spans="1:105" ht="11.45" customHeight="1" x14ac:dyDescent="0.25">
      <c r="A44" s="111" t="s">
        <v>113</v>
      </c>
      <c r="B44" s="101">
        <v>3.322766433471247</v>
      </c>
      <c r="C44" s="101">
        <v>4.073629461737549</v>
      </c>
      <c r="D44" s="101">
        <v>3.3206584777309631</v>
      </c>
      <c r="E44" s="101">
        <v>3.3380244616964032</v>
      </c>
      <c r="F44" s="101">
        <v>3.3667309870810906</v>
      </c>
      <c r="G44" s="101">
        <v>3.4589558177099167</v>
      </c>
      <c r="H44" s="101">
        <v>3.2543089683125688</v>
      </c>
      <c r="I44" s="101">
        <v>3.0360473173840661</v>
      </c>
      <c r="J44" s="101">
        <v>1.1048530324100663</v>
      </c>
      <c r="K44" s="101">
        <v>4.7409741967593212E-2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0.22465062698064617</v>
      </c>
      <c r="V44" s="101">
        <v>0.92293640443786829</v>
      </c>
      <c r="W44" s="101">
        <v>2.2450631444988911</v>
      </c>
      <c r="DA44" s="175" t="s">
        <v>487</v>
      </c>
    </row>
    <row r="45" spans="1:105" ht="11.45" customHeight="1" x14ac:dyDescent="0.25">
      <c r="A45" s="111" t="s">
        <v>115</v>
      </c>
      <c r="B45" s="101">
        <v>0.37870663012068684</v>
      </c>
      <c r="C45" s="101">
        <v>0.92666168305843843</v>
      </c>
      <c r="D45" s="101">
        <v>0.92764048521634501</v>
      </c>
      <c r="E45" s="101">
        <v>0.88649174302677569</v>
      </c>
      <c r="F45" s="101">
        <v>0.88736424822417115</v>
      </c>
      <c r="G45" s="101">
        <v>2.1147951661577191</v>
      </c>
      <c r="H45" s="101">
        <v>2.2015935591696696</v>
      </c>
      <c r="I45" s="101">
        <v>3.3480166220387755</v>
      </c>
      <c r="J45" s="101">
        <v>5.8969088883487402</v>
      </c>
      <c r="K45" s="101">
        <v>8.9590988611401201</v>
      </c>
      <c r="L45" s="101">
        <v>11.984982510657732</v>
      </c>
      <c r="M45" s="101">
        <v>11.697735657599232</v>
      </c>
      <c r="N45" s="101">
        <v>11.282583414571976</v>
      </c>
      <c r="O45" s="101">
        <v>10.781800504138346</v>
      </c>
      <c r="P45" s="101">
        <v>10.962029955177819</v>
      </c>
      <c r="Q45" s="101">
        <v>11.475920671246437</v>
      </c>
      <c r="R45" s="101">
        <v>12.359139729626575</v>
      </c>
      <c r="S45" s="101">
        <v>10.859635336114005</v>
      </c>
      <c r="T45" s="101">
        <v>10.9804166965144</v>
      </c>
      <c r="U45" s="101">
        <v>11.344585989055526</v>
      </c>
      <c r="V45" s="101">
        <v>11.014469782426987</v>
      </c>
      <c r="W45" s="101">
        <v>13.387078285509382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678.88163216904286</v>
      </c>
      <c r="C46" s="29">
        <f t="shared" ref="C46:V46" si="110">C47+C53</f>
        <v>799.6313165069455</v>
      </c>
      <c r="D46" s="29">
        <f t="shared" si="110"/>
        <v>974.96762828149576</v>
      </c>
      <c r="E46" s="29">
        <f t="shared" si="110"/>
        <v>995.60596787161171</v>
      </c>
      <c r="F46" s="29">
        <f t="shared" si="110"/>
        <v>1117.2408083854284</v>
      </c>
      <c r="G46" s="29">
        <f t="shared" si="110"/>
        <v>1140.7133826444729</v>
      </c>
      <c r="H46" s="29">
        <f t="shared" si="110"/>
        <v>1214.7343346586317</v>
      </c>
      <c r="I46" s="29">
        <f t="shared" si="110"/>
        <v>1383.0663868847942</v>
      </c>
      <c r="J46" s="29">
        <f t="shared" si="110"/>
        <v>1351.2949375192893</v>
      </c>
      <c r="K46" s="29">
        <f t="shared" si="110"/>
        <v>1268.618320451918</v>
      </c>
      <c r="L46" s="29">
        <f t="shared" si="110"/>
        <v>1093.0695642135872</v>
      </c>
      <c r="M46" s="29">
        <f t="shared" si="110"/>
        <v>1043.8363636122958</v>
      </c>
      <c r="N46" s="29">
        <f t="shared" si="110"/>
        <v>1045.780152828625</v>
      </c>
      <c r="O46" s="29">
        <f t="shared" si="110"/>
        <v>1184.2587460808222</v>
      </c>
      <c r="P46" s="29">
        <f t="shared" si="110"/>
        <v>1252.2549129946171</v>
      </c>
      <c r="Q46" s="29">
        <f t="shared" si="110"/>
        <v>1320.4223889857369</v>
      </c>
      <c r="R46" s="29">
        <f t="shared" si="110"/>
        <v>1328.5382560586363</v>
      </c>
      <c r="S46" s="29">
        <f t="shared" si="110"/>
        <v>1406.6189892020579</v>
      </c>
      <c r="T46" s="29">
        <f t="shared" si="110"/>
        <v>1448.4530108828549</v>
      </c>
      <c r="U46" s="29">
        <f t="shared" si="110"/>
        <v>1464.9662384888441</v>
      </c>
      <c r="V46" s="29">
        <f t="shared" si="110"/>
        <v>1533.8768963657835</v>
      </c>
      <c r="W46" s="29">
        <f t="shared" ref="W46" si="111">W47+W53</f>
        <v>1605.638561554179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352.60268244137558</v>
      </c>
      <c r="C47" s="152">
        <f t="shared" ref="C47:V47" si="113">SUM(C48:C52)</f>
        <v>406.54316191333601</v>
      </c>
      <c r="D47" s="152">
        <f t="shared" si="113"/>
        <v>512.74749273652401</v>
      </c>
      <c r="E47" s="152">
        <f t="shared" si="113"/>
        <v>476.11653231261846</v>
      </c>
      <c r="F47" s="152">
        <f t="shared" si="113"/>
        <v>611.08903727814936</v>
      </c>
      <c r="G47" s="152">
        <f t="shared" si="113"/>
        <v>578.13754626301045</v>
      </c>
      <c r="H47" s="152">
        <f t="shared" si="113"/>
        <v>632.40079664523284</v>
      </c>
      <c r="I47" s="152">
        <f t="shared" si="113"/>
        <v>696.79024523896169</v>
      </c>
      <c r="J47" s="152">
        <f t="shared" si="113"/>
        <v>705.29563244740973</v>
      </c>
      <c r="K47" s="152">
        <f t="shared" si="113"/>
        <v>670.29219968986604</v>
      </c>
      <c r="L47" s="152">
        <f t="shared" si="113"/>
        <v>563.74810604972788</v>
      </c>
      <c r="M47" s="152">
        <f t="shared" si="113"/>
        <v>584.49053352553756</v>
      </c>
      <c r="N47" s="152">
        <f t="shared" si="113"/>
        <v>637.83544687081746</v>
      </c>
      <c r="O47" s="152">
        <f t="shared" si="113"/>
        <v>740.44117908863336</v>
      </c>
      <c r="P47" s="152">
        <f t="shared" si="113"/>
        <v>812.05069541225373</v>
      </c>
      <c r="Q47" s="152">
        <f t="shared" si="113"/>
        <v>854.46160336491823</v>
      </c>
      <c r="R47" s="152">
        <f t="shared" si="113"/>
        <v>855.54507809366237</v>
      </c>
      <c r="S47" s="152">
        <f t="shared" si="113"/>
        <v>893.65382767766823</v>
      </c>
      <c r="T47" s="152">
        <f t="shared" si="113"/>
        <v>912.06360186047209</v>
      </c>
      <c r="U47" s="152">
        <f t="shared" si="113"/>
        <v>939.87353115971905</v>
      </c>
      <c r="V47" s="152">
        <f t="shared" si="113"/>
        <v>972.67442219589873</v>
      </c>
      <c r="W47" s="152">
        <f t="shared" ref="W47" si="114">SUM(W48:W52)</f>
        <v>1003.0552156609846</v>
      </c>
      <c r="DA47" s="174" t="s">
        <v>490</v>
      </c>
    </row>
    <row r="48" spans="1:105" ht="11.45" customHeight="1" x14ac:dyDescent="0.25">
      <c r="A48" s="111" t="s">
        <v>110</v>
      </c>
      <c r="B48" s="87">
        <v>146.41397069888683</v>
      </c>
      <c r="C48" s="87">
        <v>149.20745848356336</v>
      </c>
      <c r="D48" s="87">
        <v>140.69016663415053</v>
      </c>
      <c r="E48" s="87">
        <v>139.39422487330725</v>
      </c>
      <c r="F48" s="87">
        <v>135.85580560767778</v>
      </c>
      <c r="G48" s="87">
        <v>136.07465507694724</v>
      </c>
      <c r="H48" s="87">
        <v>138.03905505494492</v>
      </c>
      <c r="I48" s="87">
        <v>133.13994448138746</v>
      </c>
      <c r="J48" s="87">
        <v>111.14444826603916</v>
      </c>
      <c r="K48" s="87">
        <v>90.047787583171896</v>
      </c>
      <c r="L48" s="87">
        <v>41.016046809041192</v>
      </c>
      <c r="M48" s="87">
        <v>37.048031386275603</v>
      </c>
      <c r="N48" s="87">
        <v>37.083366731711706</v>
      </c>
      <c r="O48" s="87">
        <v>32.298752095004794</v>
      </c>
      <c r="P48" s="87">
        <v>24.601109912500217</v>
      </c>
      <c r="Q48" s="87">
        <v>23.457440775703979</v>
      </c>
      <c r="R48" s="87">
        <v>20.026109410157765</v>
      </c>
      <c r="S48" s="87">
        <v>18.886271428357404</v>
      </c>
      <c r="T48" s="87">
        <v>17.731971733040481</v>
      </c>
      <c r="U48" s="87">
        <v>16.217814690158022</v>
      </c>
      <c r="V48" s="87">
        <v>15.94042187622188</v>
      </c>
      <c r="W48" s="87">
        <v>15.5692284379186</v>
      </c>
      <c r="DA48" s="171" t="s">
        <v>491</v>
      </c>
    </row>
    <row r="49" spans="1:105" ht="11.45" customHeight="1" x14ac:dyDescent="0.25">
      <c r="A49" s="111" t="s">
        <v>111</v>
      </c>
      <c r="B49" s="87">
        <v>206.18871174248878</v>
      </c>
      <c r="C49" s="87">
        <v>257.33570342977265</v>
      </c>
      <c r="D49" s="87">
        <v>372.05732610237351</v>
      </c>
      <c r="E49" s="87">
        <v>336.72230743931118</v>
      </c>
      <c r="F49" s="87">
        <v>475.23323167047153</v>
      </c>
      <c r="G49" s="87">
        <v>442.06289118606321</v>
      </c>
      <c r="H49" s="87">
        <v>494.36174159028792</v>
      </c>
      <c r="I49" s="87">
        <v>563.6503007575742</v>
      </c>
      <c r="J49" s="87">
        <v>594.15118418137058</v>
      </c>
      <c r="K49" s="87">
        <v>580.24441210669409</v>
      </c>
      <c r="L49" s="87">
        <v>522.73205924068668</v>
      </c>
      <c r="M49" s="87">
        <v>547.42245623080612</v>
      </c>
      <c r="N49" s="87">
        <v>600.50836333452241</v>
      </c>
      <c r="O49" s="87">
        <v>707.91592598766931</v>
      </c>
      <c r="P49" s="87">
        <v>787.09352087667082</v>
      </c>
      <c r="Q49" s="87">
        <v>830.62283188759943</v>
      </c>
      <c r="R49" s="87">
        <v>833.43754354690611</v>
      </c>
      <c r="S49" s="87">
        <v>871.08669165345668</v>
      </c>
      <c r="T49" s="87">
        <v>889.64535452054361</v>
      </c>
      <c r="U49" s="87">
        <v>917.9077819518584</v>
      </c>
      <c r="V49" s="87">
        <v>950.37621120194115</v>
      </c>
      <c r="W49" s="87">
        <v>980.64577397037635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0.22366535781853025</v>
      </c>
      <c r="O50" s="87">
        <v>0.2064465527790402</v>
      </c>
      <c r="P50" s="87">
        <v>0.29588426346754498</v>
      </c>
      <c r="Q50" s="87">
        <v>0.31109679885088598</v>
      </c>
      <c r="R50" s="87">
        <v>1.9711116698019224</v>
      </c>
      <c r="S50" s="87">
        <v>3.5605231180956216</v>
      </c>
      <c r="T50" s="87">
        <v>4.5659861183030754</v>
      </c>
      <c r="U50" s="87">
        <v>5.6076543633159632</v>
      </c>
      <c r="V50" s="87">
        <v>6.1986185104498457</v>
      </c>
      <c r="W50" s="87">
        <v>6.4494615327814584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2.0045908455850327E-2</v>
      </c>
      <c r="N52" s="87">
        <v>2.0051446764772159E-2</v>
      </c>
      <c r="O52" s="87">
        <v>2.0054453180167766E-2</v>
      </c>
      <c r="P52" s="87">
        <v>6.0180359615181984E-2</v>
      </c>
      <c r="Q52" s="87">
        <v>7.0233902763865041E-2</v>
      </c>
      <c r="R52" s="87">
        <v>0.1103134667966148</v>
      </c>
      <c r="S52" s="87">
        <v>0.12034147775855099</v>
      </c>
      <c r="T52" s="87">
        <v>0.12028948858493357</v>
      </c>
      <c r="U52" s="87">
        <v>0.14028015438664862</v>
      </c>
      <c r="V52" s="87">
        <v>0.15917060728587729</v>
      </c>
      <c r="W52" s="87">
        <v>0.39075171990820401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326.27894972766728</v>
      </c>
      <c r="C53" s="116">
        <f t="shared" ref="C53:V53" si="116">SUM(C54:C55)</f>
        <v>393.08815459360943</v>
      </c>
      <c r="D53" s="116">
        <f t="shared" si="116"/>
        <v>462.22013554497181</v>
      </c>
      <c r="E53" s="116">
        <f t="shared" si="116"/>
        <v>519.48943555899325</v>
      </c>
      <c r="F53" s="116">
        <f t="shared" si="116"/>
        <v>506.15177110727893</v>
      </c>
      <c r="G53" s="116">
        <f t="shared" si="116"/>
        <v>562.5758363814623</v>
      </c>
      <c r="H53" s="116">
        <f t="shared" si="116"/>
        <v>582.33353801339877</v>
      </c>
      <c r="I53" s="116">
        <f t="shared" si="116"/>
        <v>686.27614164583258</v>
      </c>
      <c r="J53" s="116">
        <f t="shared" si="116"/>
        <v>645.99930507187946</v>
      </c>
      <c r="K53" s="116">
        <f t="shared" si="116"/>
        <v>598.32612076205191</v>
      </c>
      <c r="L53" s="116">
        <f t="shared" si="116"/>
        <v>529.32145816385935</v>
      </c>
      <c r="M53" s="116">
        <f t="shared" si="116"/>
        <v>459.34583008675816</v>
      </c>
      <c r="N53" s="116">
        <f t="shared" si="116"/>
        <v>407.94470595780746</v>
      </c>
      <c r="O53" s="116">
        <f t="shared" si="116"/>
        <v>443.81756699218897</v>
      </c>
      <c r="P53" s="116">
        <f t="shared" si="116"/>
        <v>440.20421758236347</v>
      </c>
      <c r="Q53" s="116">
        <f t="shared" si="116"/>
        <v>465.96078562081874</v>
      </c>
      <c r="R53" s="116">
        <f t="shared" si="116"/>
        <v>472.99317796497382</v>
      </c>
      <c r="S53" s="116">
        <f t="shared" si="116"/>
        <v>512.96516152438983</v>
      </c>
      <c r="T53" s="116">
        <f t="shared" si="116"/>
        <v>536.38940902238267</v>
      </c>
      <c r="U53" s="116">
        <f t="shared" si="116"/>
        <v>525.09270732912501</v>
      </c>
      <c r="V53" s="116">
        <f t="shared" si="116"/>
        <v>561.20247416988491</v>
      </c>
      <c r="W53" s="116">
        <f t="shared" ref="W53" si="117">SUM(W54:W55)</f>
        <v>602.58334589319452</v>
      </c>
      <c r="DA53" s="176" t="s">
        <v>496</v>
      </c>
    </row>
    <row r="54" spans="1:105" ht="11.45" customHeight="1" x14ac:dyDescent="0.25">
      <c r="A54" s="128" t="s">
        <v>27</v>
      </c>
      <c r="B54" s="101">
        <v>275.55160142348757</v>
      </c>
      <c r="C54" s="101">
        <v>338.70106761565836</v>
      </c>
      <c r="D54" s="101">
        <v>405</v>
      </c>
      <c r="E54" s="101">
        <v>461</v>
      </c>
      <c r="F54" s="101">
        <v>437</v>
      </c>
      <c r="G54" s="101">
        <v>491</v>
      </c>
      <c r="H54" s="101">
        <v>495</v>
      </c>
      <c r="I54" s="101">
        <v>587</v>
      </c>
      <c r="J54" s="101">
        <v>549</v>
      </c>
      <c r="K54" s="101">
        <v>521</v>
      </c>
      <c r="L54" s="101">
        <v>446</v>
      </c>
      <c r="M54" s="101">
        <v>363</v>
      </c>
      <c r="N54" s="101">
        <v>301</v>
      </c>
      <c r="O54" s="101">
        <v>321</v>
      </c>
      <c r="P54" s="101">
        <v>316</v>
      </c>
      <c r="Q54" s="101">
        <v>320</v>
      </c>
      <c r="R54" s="101">
        <v>326</v>
      </c>
      <c r="S54" s="101">
        <v>368</v>
      </c>
      <c r="T54" s="101">
        <v>379</v>
      </c>
      <c r="U54" s="101">
        <v>381</v>
      </c>
      <c r="V54" s="101">
        <v>386</v>
      </c>
      <c r="W54" s="101">
        <v>435</v>
      </c>
      <c r="DA54" s="175" t="s">
        <v>497</v>
      </c>
    </row>
    <row r="55" spans="1:105" ht="11.45" customHeight="1" x14ac:dyDescent="0.25">
      <c r="A55" s="138" t="s">
        <v>116</v>
      </c>
      <c r="B55" s="88">
        <v>50.727348304179685</v>
      </c>
      <c r="C55" s="88">
        <v>54.387086977951078</v>
      </c>
      <c r="D55" s="88">
        <v>57.220135544971797</v>
      </c>
      <c r="E55" s="88">
        <v>58.48943555899325</v>
      </c>
      <c r="F55" s="88">
        <v>69.151771107278904</v>
      </c>
      <c r="G55" s="88">
        <v>71.575836381462338</v>
      </c>
      <c r="H55" s="88">
        <v>87.333538013398808</v>
      </c>
      <c r="I55" s="88">
        <v>99.276141645832595</v>
      </c>
      <c r="J55" s="88">
        <v>96.999305071879462</v>
      </c>
      <c r="K55" s="88">
        <v>77.326120762051886</v>
      </c>
      <c r="L55" s="88">
        <v>83.32145816385939</v>
      </c>
      <c r="M55" s="88">
        <v>96.345830086758184</v>
      </c>
      <c r="N55" s="88">
        <v>106.94470595780744</v>
      </c>
      <c r="O55" s="88">
        <v>122.817566992189</v>
      </c>
      <c r="P55" s="88">
        <v>124.20421758236346</v>
      </c>
      <c r="Q55" s="88">
        <v>145.96078562081874</v>
      </c>
      <c r="R55" s="88">
        <v>146.99317796497382</v>
      </c>
      <c r="S55" s="88">
        <v>144.96516152438986</v>
      </c>
      <c r="T55" s="88">
        <v>157.38940902238269</v>
      </c>
      <c r="U55" s="88">
        <v>144.09270732912498</v>
      </c>
      <c r="V55" s="88">
        <v>175.20247416988497</v>
      </c>
      <c r="W55" s="88">
        <v>167.58334589319452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688610</v>
      </c>
      <c r="C57" s="54">
        <f t="shared" si="118"/>
        <v>696395</v>
      </c>
      <c r="D57" s="54">
        <f t="shared" si="118"/>
        <v>711167</v>
      </c>
      <c r="E57" s="54">
        <f t="shared" si="118"/>
        <v>725191</v>
      </c>
      <c r="F57" s="54">
        <f t="shared" si="118"/>
        <v>759852</v>
      </c>
      <c r="G57" s="54">
        <f t="shared" si="118"/>
        <v>776766</v>
      </c>
      <c r="H57" s="54">
        <f t="shared" si="118"/>
        <v>804829</v>
      </c>
      <c r="I57" s="54">
        <f t="shared" si="118"/>
        <v>819156</v>
      </c>
      <c r="J57" s="54">
        <f t="shared" si="118"/>
        <v>816064</v>
      </c>
      <c r="K57" s="54">
        <f t="shared" si="118"/>
        <v>795288</v>
      </c>
      <c r="L57" s="54">
        <f t="shared" ref="L57" si="119">L58+L73</f>
        <v>745191</v>
      </c>
      <c r="M57" s="54">
        <f t="shared" ref="M57:V57" si="120">M58+M73</f>
        <v>722412</v>
      </c>
      <c r="N57" s="54">
        <f t="shared" si="120"/>
        <v>733955</v>
      </c>
      <c r="O57" s="54">
        <f t="shared" si="120"/>
        <v>756759</v>
      </c>
      <c r="P57" s="54">
        <f t="shared" si="120"/>
        <v>783466</v>
      </c>
      <c r="Q57" s="54">
        <f t="shared" si="120"/>
        <v>809442</v>
      </c>
      <c r="R57" s="54">
        <f t="shared" si="120"/>
        <v>793540</v>
      </c>
      <c r="S57" s="54">
        <f t="shared" si="120"/>
        <v>824440</v>
      </c>
      <c r="T57" s="54">
        <f t="shared" si="120"/>
        <v>847656</v>
      </c>
      <c r="U57" s="54">
        <f t="shared" si="120"/>
        <v>873441</v>
      </c>
      <c r="V57" s="54">
        <f t="shared" si="120"/>
        <v>891798</v>
      </c>
      <c r="W57" s="54">
        <f t="shared" ref="W57" si="121">W58+W73</f>
        <v>917175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609255</v>
      </c>
      <c r="C58" s="28">
        <f t="shared" si="122"/>
        <v>612490</v>
      </c>
      <c r="D58" s="28">
        <f t="shared" si="122"/>
        <v>620514</v>
      </c>
      <c r="E58" s="28">
        <f t="shared" si="122"/>
        <v>635593</v>
      </c>
      <c r="F58" s="28">
        <f t="shared" si="122"/>
        <v>662960</v>
      </c>
      <c r="G58" s="28">
        <f t="shared" si="122"/>
        <v>684512</v>
      </c>
      <c r="H58" s="28">
        <f t="shared" si="122"/>
        <v>709611</v>
      </c>
      <c r="I58" s="28">
        <f t="shared" si="122"/>
        <v>723845</v>
      </c>
      <c r="J58" s="28">
        <f t="shared" si="122"/>
        <v>723130</v>
      </c>
      <c r="K58" s="28">
        <f t="shared" si="122"/>
        <v>704678</v>
      </c>
      <c r="L58" s="28">
        <f t="shared" ref="L58" si="123">L59+L60+L67</f>
        <v>677013</v>
      </c>
      <c r="M58" s="28">
        <f t="shared" ref="M58:V58" si="124">M59+M60+M67</f>
        <v>654431</v>
      </c>
      <c r="N58" s="28">
        <f t="shared" si="124"/>
        <v>662704</v>
      </c>
      <c r="O58" s="28">
        <f t="shared" si="124"/>
        <v>681436</v>
      </c>
      <c r="P58" s="28">
        <f t="shared" si="124"/>
        <v>707323</v>
      </c>
      <c r="Q58" s="28">
        <f t="shared" si="124"/>
        <v>731402</v>
      </c>
      <c r="R58" s="28">
        <f t="shared" si="124"/>
        <v>716796</v>
      </c>
      <c r="S58" s="28">
        <f t="shared" si="124"/>
        <v>745338</v>
      </c>
      <c r="T58" s="28">
        <f t="shared" si="124"/>
        <v>766698</v>
      </c>
      <c r="U58" s="28">
        <f t="shared" si="124"/>
        <v>790506</v>
      </c>
      <c r="V58" s="28">
        <f t="shared" si="124"/>
        <v>806285</v>
      </c>
      <c r="W58" s="28">
        <f t="shared" ref="W58" si="125">W59+W60+W67</f>
        <v>830580</v>
      </c>
      <c r="DA58" s="173" t="s">
        <v>500</v>
      </c>
    </row>
    <row r="59" spans="1:105" ht="11.45" customHeight="1" x14ac:dyDescent="0.25">
      <c r="A59" s="136" t="s">
        <v>180</v>
      </c>
      <c r="B59" s="137">
        <v>32648.000000000004</v>
      </c>
      <c r="C59" s="137">
        <v>32485</v>
      </c>
      <c r="D59" s="137">
        <v>32539</v>
      </c>
      <c r="E59" s="137">
        <v>32598.999999999996</v>
      </c>
      <c r="F59" s="137">
        <v>32809</v>
      </c>
      <c r="G59" s="137">
        <v>33046</v>
      </c>
      <c r="H59" s="137">
        <v>33655</v>
      </c>
      <c r="I59" s="137">
        <v>35017</v>
      </c>
      <c r="J59" s="137">
        <v>36411</v>
      </c>
      <c r="K59" s="137">
        <v>36578</v>
      </c>
      <c r="L59" s="137">
        <v>36674</v>
      </c>
      <c r="M59" s="137">
        <v>38623</v>
      </c>
      <c r="N59" s="137">
        <v>41088</v>
      </c>
      <c r="O59" s="137">
        <v>43588</v>
      </c>
      <c r="P59" s="137">
        <v>46422</v>
      </c>
      <c r="Q59" s="137">
        <v>49288</v>
      </c>
      <c r="R59" s="137">
        <v>49581</v>
      </c>
      <c r="S59" s="137">
        <v>52800</v>
      </c>
      <c r="T59" s="137">
        <v>55898</v>
      </c>
      <c r="U59" s="137">
        <v>60416</v>
      </c>
      <c r="V59" s="137">
        <v>64421.000000000007</v>
      </c>
      <c r="W59" s="137">
        <v>69115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572800</v>
      </c>
      <c r="C60" s="110">
        <f t="shared" si="126"/>
        <v>576200</v>
      </c>
      <c r="D60" s="110">
        <f t="shared" si="126"/>
        <v>584100</v>
      </c>
      <c r="E60" s="110">
        <f t="shared" si="126"/>
        <v>598900</v>
      </c>
      <c r="F60" s="110">
        <f t="shared" si="126"/>
        <v>626100</v>
      </c>
      <c r="G60" s="110">
        <f t="shared" si="126"/>
        <v>647500</v>
      </c>
      <c r="H60" s="110">
        <f t="shared" si="126"/>
        <v>672010</v>
      </c>
      <c r="I60" s="110">
        <f t="shared" si="126"/>
        <v>684870</v>
      </c>
      <c r="J60" s="110">
        <f t="shared" si="126"/>
        <v>682830</v>
      </c>
      <c r="K60" s="110">
        <f t="shared" si="126"/>
        <v>664310</v>
      </c>
      <c r="L60" s="110">
        <f t="shared" ref="L60" si="127">SUM(L61:L66)</f>
        <v>636660</v>
      </c>
      <c r="M60" s="110">
        <f t="shared" ref="M60:V60" si="128">SUM(M61:M66)</f>
        <v>612320</v>
      </c>
      <c r="N60" s="110">
        <f t="shared" si="128"/>
        <v>618270</v>
      </c>
      <c r="O60" s="110">
        <f t="shared" si="128"/>
        <v>634595</v>
      </c>
      <c r="P60" s="110">
        <f t="shared" si="128"/>
        <v>657799</v>
      </c>
      <c r="Q60" s="110">
        <f t="shared" si="128"/>
        <v>679048</v>
      </c>
      <c r="R60" s="110">
        <f t="shared" si="128"/>
        <v>664177</v>
      </c>
      <c r="S60" s="110">
        <f t="shared" si="128"/>
        <v>689536</v>
      </c>
      <c r="T60" s="110">
        <f t="shared" si="128"/>
        <v>707841</v>
      </c>
      <c r="U60" s="110">
        <f t="shared" si="128"/>
        <v>727164</v>
      </c>
      <c r="V60" s="110">
        <f t="shared" si="128"/>
        <v>739124</v>
      </c>
      <c r="W60" s="110">
        <f t="shared" ref="W60" si="129">SUM(W61:W66)</f>
        <v>758688</v>
      </c>
      <c r="DA60" s="176" t="s">
        <v>502</v>
      </c>
    </row>
    <row r="61" spans="1:105" ht="11.45" customHeight="1" x14ac:dyDescent="0.25">
      <c r="A61" s="111" t="s">
        <v>110</v>
      </c>
      <c r="B61" s="84">
        <v>506900</v>
      </c>
      <c r="C61" s="84">
        <v>500712</v>
      </c>
      <c r="D61" s="84">
        <v>495101</v>
      </c>
      <c r="E61" s="84">
        <v>492319</v>
      </c>
      <c r="F61" s="84">
        <v>496648</v>
      </c>
      <c r="G61" s="84">
        <v>493840</v>
      </c>
      <c r="H61" s="84">
        <v>491907</v>
      </c>
      <c r="I61" s="84">
        <v>485255</v>
      </c>
      <c r="J61" s="84">
        <v>465836</v>
      </c>
      <c r="K61" s="84">
        <v>438195</v>
      </c>
      <c r="L61" s="84">
        <v>411064</v>
      </c>
      <c r="M61" s="84">
        <v>374564</v>
      </c>
      <c r="N61" s="84">
        <v>347845</v>
      </c>
      <c r="O61" s="84">
        <v>334080</v>
      </c>
      <c r="P61" s="84">
        <v>297946</v>
      </c>
      <c r="Q61" s="84">
        <v>288127</v>
      </c>
      <c r="R61" s="84">
        <v>256498</v>
      </c>
      <c r="S61" s="84">
        <v>249098</v>
      </c>
      <c r="T61" s="84">
        <v>238356</v>
      </c>
      <c r="U61" s="84">
        <v>230298</v>
      </c>
      <c r="V61" s="84">
        <v>223367</v>
      </c>
      <c r="W61" s="84">
        <v>219792</v>
      </c>
      <c r="DA61" s="171" t="s">
        <v>503</v>
      </c>
    </row>
    <row r="62" spans="1:105" ht="11.45" customHeight="1" x14ac:dyDescent="0.25">
      <c r="A62" s="111" t="s">
        <v>111</v>
      </c>
      <c r="B62" s="84">
        <v>49700</v>
      </c>
      <c r="C62" s="84">
        <v>59329</v>
      </c>
      <c r="D62" s="84">
        <v>72862</v>
      </c>
      <c r="E62" s="84">
        <v>88588</v>
      </c>
      <c r="F62" s="84">
        <v>105614</v>
      </c>
      <c r="G62" s="84">
        <v>126869</v>
      </c>
      <c r="H62" s="84">
        <v>150870</v>
      </c>
      <c r="I62" s="84">
        <v>171651</v>
      </c>
      <c r="J62" s="84">
        <v>190342</v>
      </c>
      <c r="K62" s="84">
        <v>200974</v>
      </c>
      <c r="L62" s="84">
        <v>202425</v>
      </c>
      <c r="M62" s="84">
        <v>211665</v>
      </c>
      <c r="N62" s="84">
        <v>227340</v>
      </c>
      <c r="O62" s="84">
        <v>252126</v>
      </c>
      <c r="P62" s="84">
        <v>303288</v>
      </c>
      <c r="Q62" s="84">
        <v>338304</v>
      </c>
      <c r="R62" s="84">
        <v>355033</v>
      </c>
      <c r="S62" s="84">
        <v>388034</v>
      </c>
      <c r="T62" s="84">
        <v>418192</v>
      </c>
      <c r="U62" s="84">
        <v>446705</v>
      </c>
      <c r="V62" s="84">
        <v>466314</v>
      </c>
      <c r="W62" s="84">
        <v>488293</v>
      </c>
      <c r="DA62" s="171" t="s">
        <v>504</v>
      </c>
    </row>
    <row r="63" spans="1:105" ht="11.45" customHeight="1" x14ac:dyDescent="0.25">
      <c r="A63" s="111" t="s">
        <v>112</v>
      </c>
      <c r="B63" s="84">
        <v>16000</v>
      </c>
      <c r="C63" s="84">
        <v>16005</v>
      </c>
      <c r="D63" s="84">
        <v>15999</v>
      </c>
      <c r="E63" s="84">
        <v>17872</v>
      </c>
      <c r="F63" s="84">
        <v>23734</v>
      </c>
      <c r="G63" s="84">
        <v>26691</v>
      </c>
      <c r="H63" s="84">
        <v>29164</v>
      </c>
      <c r="I63" s="84">
        <v>27909</v>
      </c>
      <c r="J63" s="84">
        <v>26602</v>
      </c>
      <c r="K63" s="84">
        <v>25091</v>
      </c>
      <c r="L63" s="84">
        <v>23171</v>
      </c>
      <c r="M63" s="84">
        <v>26091</v>
      </c>
      <c r="N63" s="84">
        <v>43072</v>
      </c>
      <c r="O63" s="84">
        <v>48368</v>
      </c>
      <c r="P63" s="84">
        <v>56368</v>
      </c>
      <c r="Q63" s="84">
        <v>52383</v>
      </c>
      <c r="R63" s="84">
        <v>52379</v>
      </c>
      <c r="S63" s="84">
        <v>52043</v>
      </c>
      <c r="T63" s="84">
        <v>50611</v>
      </c>
      <c r="U63" s="84">
        <v>49213</v>
      </c>
      <c r="V63" s="84">
        <v>47842</v>
      </c>
      <c r="W63" s="84">
        <v>47940</v>
      </c>
      <c r="DA63" s="171" t="s">
        <v>505</v>
      </c>
    </row>
    <row r="64" spans="1:105" ht="11.45" customHeight="1" x14ac:dyDescent="0.25">
      <c r="A64" s="111" t="s">
        <v>113</v>
      </c>
      <c r="B64" s="84">
        <v>200</v>
      </c>
      <c r="C64" s="84">
        <v>154</v>
      </c>
      <c r="D64" s="84">
        <v>138</v>
      </c>
      <c r="E64" s="84">
        <v>121</v>
      </c>
      <c r="F64" s="84">
        <v>104</v>
      </c>
      <c r="G64" s="84">
        <v>100</v>
      </c>
      <c r="H64" s="84">
        <v>69</v>
      </c>
      <c r="I64" s="84">
        <v>55</v>
      </c>
      <c r="J64" s="84">
        <v>50</v>
      </c>
      <c r="K64" s="84">
        <v>50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151</v>
      </c>
      <c r="U64" s="84">
        <v>166</v>
      </c>
      <c r="V64" s="84">
        <v>200</v>
      </c>
      <c r="W64" s="84">
        <v>219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3</v>
      </c>
      <c r="O65" s="84">
        <v>6</v>
      </c>
      <c r="P65" s="84">
        <v>9</v>
      </c>
      <c r="Q65" s="84">
        <v>23</v>
      </c>
      <c r="R65" s="84">
        <v>26</v>
      </c>
      <c r="S65" s="84">
        <v>49</v>
      </c>
      <c r="T65" s="84">
        <v>89</v>
      </c>
      <c r="U65" s="84">
        <v>124</v>
      </c>
      <c r="V65" s="84">
        <v>196</v>
      </c>
      <c r="W65" s="84">
        <v>338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10</v>
      </c>
      <c r="O66" s="84">
        <v>15</v>
      </c>
      <c r="P66" s="84">
        <v>188</v>
      </c>
      <c r="Q66" s="84">
        <v>211</v>
      </c>
      <c r="R66" s="84">
        <v>241</v>
      </c>
      <c r="S66" s="84">
        <v>312</v>
      </c>
      <c r="T66" s="84">
        <v>442</v>
      </c>
      <c r="U66" s="84">
        <v>658</v>
      </c>
      <c r="V66" s="84">
        <v>1205</v>
      </c>
      <c r="W66" s="84">
        <v>2106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3807</v>
      </c>
      <c r="C67" s="110">
        <f t="shared" si="130"/>
        <v>3805</v>
      </c>
      <c r="D67" s="110">
        <f t="shared" si="130"/>
        <v>3875</v>
      </c>
      <c r="E67" s="110">
        <f t="shared" si="130"/>
        <v>4094</v>
      </c>
      <c r="F67" s="110">
        <f t="shared" si="130"/>
        <v>4051</v>
      </c>
      <c r="G67" s="110">
        <f t="shared" si="130"/>
        <v>3966</v>
      </c>
      <c r="H67" s="110">
        <f t="shared" si="130"/>
        <v>3946</v>
      </c>
      <c r="I67" s="110">
        <f t="shared" si="130"/>
        <v>3958</v>
      </c>
      <c r="J67" s="110">
        <f t="shared" si="130"/>
        <v>3889</v>
      </c>
      <c r="K67" s="110">
        <f t="shared" si="130"/>
        <v>3790</v>
      </c>
      <c r="L67" s="110">
        <f t="shared" ref="L67" si="131">SUM(L68:L72)</f>
        <v>3679</v>
      </c>
      <c r="M67" s="110">
        <f t="shared" ref="M67:V67" si="132">SUM(M68:M72)</f>
        <v>3488</v>
      </c>
      <c r="N67" s="110">
        <f t="shared" si="132"/>
        <v>3346</v>
      </c>
      <c r="O67" s="110">
        <f t="shared" si="132"/>
        <v>3253</v>
      </c>
      <c r="P67" s="110">
        <f t="shared" si="132"/>
        <v>3102</v>
      </c>
      <c r="Q67" s="110">
        <f t="shared" si="132"/>
        <v>3066</v>
      </c>
      <c r="R67" s="110">
        <f t="shared" si="132"/>
        <v>3038</v>
      </c>
      <c r="S67" s="110">
        <f t="shared" si="132"/>
        <v>3002</v>
      </c>
      <c r="T67" s="110">
        <f t="shared" si="132"/>
        <v>2959</v>
      </c>
      <c r="U67" s="110">
        <f t="shared" si="132"/>
        <v>2926</v>
      </c>
      <c r="V67" s="110">
        <f t="shared" si="132"/>
        <v>2740</v>
      </c>
      <c r="W67" s="110">
        <f t="shared" ref="W67" si="133">SUM(W68:W72)</f>
        <v>2777</v>
      </c>
      <c r="DA67" s="176" t="s">
        <v>509</v>
      </c>
    </row>
    <row r="68" spans="1:105" ht="11.45" customHeight="1" x14ac:dyDescent="0.25">
      <c r="A68" s="111" t="s">
        <v>110</v>
      </c>
      <c r="B68" s="102">
        <v>398</v>
      </c>
      <c r="C68" s="102">
        <v>397</v>
      </c>
      <c r="D68" s="102">
        <v>394</v>
      </c>
      <c r="E68" s="102">
        <v>382</v>
      </c>
      <c r="F68" s="102">
        <v>368</v>
      </c>
      <c r="G68" s="102">
        <v>354</v>
      </c>
      <c r="H68" s="102">
        <v>341</v>
      </c>
      <c r="I68" s="102">
        <v>330</v>
      </c>
      <c r="J68" s="102">
        <v>315</v>
      </c>
      <c r="K68" s="102">
        <v>278</v>
      </c>
      <c r="L68" s="102">
        <v>234</v>
      </c>
      <c r="M68" s="102">
        <v>142</v>
      </c>
      <c r="N68" s="102">
        <v>110</v>
      </c>
      <c r="O68" s="102">
        <v>80</v>
      </c>
      <c r="P68" s="102">
        <v>52</v>
      </c>
      <c r="Q68" s="102">
        <v>44</v>
      </c>
      <c r="R68" s="102">
        <v>32</v>
      </c>
      <c r="S68" s="102">
        <v>28</v>
      </c>
      <c r="T68" s="102">
        <v>24</v>
      </c>
      <c r="U68" s="102">
        <v>22</v>
      </c>
      <c r="V68" s="102">
        <v>18</v>
      </c>
      <c r="W68" s="102">
        <v>14</v>
      </c>
      <c r="DA68" s="175" t="s">
        <v>510</v>
      </c>
    </row>
    <row r="69" spans="1:105" ht="11.45" customHeight="1" x14ac:dyDescent="0.25">
      <c r="A69" s="111" t="s">
        <v>111</v>
      </c>
      <c r="B69" s="102">
        <v>3300</v>
      </c>
      <c r="C69" s="102">
        <v>3266</v>
      </c>
      <c r="D69" s="102">
        <v>3357</v>
      </c>
      <c r="E69" s="102">
        <v>3593</v>
      </c>
      <c r="F69" s="102">
        <v>3562</v>
      </c>
      <c r="G69" s="102">
        <v>3457</v>
      </c>
      <c r="H69" s="102">
        <v>3448</v>
      </c>
      <c r="I69" s="102">
        <v>3439</v>
      </c>
      <c r="J69" s="102">
        <v>3390</v>
      </c>
      <c r="K69" s="102">
        <v>3299</v>
      </c>
      <c r="L69" s="102">
        <v>3163</v>
      </c>
      <c r="M69" s="102">
        <v>3071</v>
      </c>
      <c r="N69" s="102">
        <v>2971</v>
      </c>
      <c r="O69" s="102">
        <v>2920</v>
      </c>
      <c r="P69" s="102">
        <v>2793</v>
      </c>
      <c r="Q69" s="102">
        <v>2753</v>
      </c>
      <c r="R69" s="102">
        <v>2704</v>
      </c>
      <c r="S69" s="102">
        <v>2710</v>
      </c>
      <c r="T69" s="102">
        <v>2670</v>
      </c>
      <c r="U69" s="102">
        <v>2618</v>
      </c>
      <c r="V69" s="102">
        <v>2372</v>
      </c>
      <c r="W69" s="102">
        <v>2290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12</v>
      </c>
      <c r="S70" s="102">
        <v>9</v>
      </c>
      <c r="T70" s="102">
        <v>7</v>
      </c>
      <c r="U70" s="102">
        <v>5</v>
      </c>
      <c r="V70" s="102">
        <v>4</v>
      </c>
      <c r="W70" s="102">
        <v>4</v>
      </c>
      <c r="DA70" s="175" t="s">
        <v>512</v>
      </c>
    </row>
    <row r="71" spans="1:105" ht="11.45" customHeight="1" x14ac:dyDescent="0.25">
      <c r="A71" s="111" t="s">
        <v>113</v>
      </c>
      <c r="B71" s="102">
        <v>100</v>
      </c>
      <c r="C71" s="102">
        <v>120</v>
      </c>
      <c r="D71" s="102">
        <v>102</v>
      </c>
      <c r="E71" s="102">
        <v>98</v>
      </c>
      <c r="F71" s="102">
        <v>100</v>
      </c>
      <c r="G71" s="102">
        <v>105</v>
      </c>
      <c r="H71" s="102">
        <v>105</v>
      </c>
      <c r="I71" s="102">
        <v>110</v>
      </c>
      <c r="J71" s="102">
        <v>45</v>
      </c>
      <c r="K71" s="102">
        <v>2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14</v>
      </c>
      <c r="V71" s="102">
        <v>60</v>
      </c>
      <c r="W71" s="102">
        <v>150</v>
      </c>
      <c r="DA71" s="175" t="s">
        <v>513</v>
      </c>
    </row>
    <row r="72" spans="1:105" ht="11.45" customHeight="1" x14ac:dyDescent="0.25">
      <c r="A72" s="111" t="s">
        <v>115</v>
      </c>
      <c r="B72" s="102">
        <v>9</v>
      </c>
      <c r="C72" s="102">
        <v>22</v>
      </c>
      <c r="D72" s="102">
        <v>22</v>
      </c>
      <c r="E72" s="102">
        <v>21</v>
      </c>
      <c r="F72" s="102">
        <v>21</v>
      </c>
      <c r="G72" s="102">
        <v>50</v>
      </c>
      <c r="H72" s="102">
        <v>52</v>
      </c>
      <c r="I72" s="102">
        <v>79</v>
      </c>
      <c r="J72" s="102">
        <v>139</v>
      </c>
      <c r="K72" s="102">
        <v>211</v>
      </c>
      <c r="L72" s="102">
        <v>282</v>
      </c>
      <c r="M72" s="102">
        <v>275</v>
      </c>
      <c r="N72" s="102">
        <v>265</v>
      </c>
      <c r="O72" s="102">
        <v>253</v>
      </c>
      <c r="P72" s="102">
        <v>257</v>
      </c>
      <c r="Q72" s="102">
        <v>269</v>
      </c>
      <c r="R72" s="102">
        <v>290</v>
      </c>
      <c r="S72" s="102">
        <v>255</v>
      </c>
      <c r="T72" s="102">
        <v>258</v>
      </c>
      <c r="U72" s="102">
        <v>267</v>
      </c>
      <c r="V72" s="102">
        <v>286</v>
      </c>
      <c r="W72" s="102">
        <v>319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79355</v>
      </c>
      <c r="C73" s="28">
        <f t="shared" si="134"/>
        <v>83905</v>
      </c>
      <c r="D73" s="28">
        <f t="shared" si="134"/>
        <v>90653</v>
      </c>
      <c r="E73" s="28">
        <f t="shared" si="134"/>
        <v>89598</v>
      </c>
      <c r="F73" s="28">
        <f t="shared" si="134"/>
        <v>96892</v>
      </c>
      <c r="G73" s="28">
        <f t="shared" si="134"/>
        <v>92254</v>
      </c>
      <c r="H73" s="28">
        <f t="shared" si="134"/>
        <v>95218</v>
      </c>
      <c r="I73" s="28">
        <f t="shared" si="134"/>
        <v>95311</v>
      </c>
      <c r="J73" s="28">
        <f t="shared" si="134"/>
        <v>92934</v>
      </c>
      <c r="K73" s="28">
        <f t="shared" si="134"/>
        <v>90610</v>
      </c>
      <c r="L73" s="28">
        <f t="shared" ref="L73" si="135">L74+L80</f>
        <v>68178</v>
      </c>
      <c r="M73" s="28">
        <f t="shared" ref="M73:V73" si="136">M74+M80</f>
        <v>67981</v>
      </c>
      <c r="N73" s="28">
        <f t="shared" si="136"/>
        <v>71251</v>
      </c>
      <c r="O73" s="28">
        <f t="shared" si="136"/>
        <v>75323</v>
      </c>
      <c r="P73" s="28">
        <f t="shared" si="136"/>
        <v>76143</v>
      </c>
      <c r="Q73" s="28">
        <f t="shared" si="136"/>
        <v>78040</v>
      </c>
      <c r="R73" s="28">
        <f t="shared" si="136"/>
        <v>76744</v>
      </c>
      <c r="S73" s="28">
        <f t="shared" si="136"/>
        <v>79102</v>
      </c>
      <c r="T73" s="28">
        <f t="shared" si="136"/>
        <v>80958</v>
      </c>
      <c r="U73" s="28">
        <f t="shared" si="136"/>
        <v>82935</v>
      </c>
      <c r="V73" s="28">
        <f t="shared" si="136"/>
        <v>85513</v>
      </c>
      <c r="W73" s="28">
        <f t="shared" ref="W73" si="137">W74+W80</f>
        <v>86595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26899</v>
      </c>
      <c r="C74" s="137">
        <f t="shared" si="138"/>
        <v>30126</v>
      </c>
      <c r="D74" s="137">
        <f t="shared" si="138"/>
        <v>35707</v>
      </c>
      <c r="E74" s="137">
        <f t="shared" si="138"/>
        <v>34209</v>
      </c>
      <c r="F74" s="137">
        <f t="shared" si="138"/>
        <v>41530</v>
      </c>
      <c r="G74" s="137">
        <f t="shared" si="138"/>
        <v>39401</v>
      </c>
      <c r="H74" s="137">
        <f t="shared" si="138"/>
        <v>44138</v>
      </c>
      <c r="I74" s="137">
        <f t="shared" si="138"/>
        <v>46358</v>
      </c>
      <c r="J74" s="137">
        <f t="shared" si="138"/>
        <v>46100</v>
      </c>
      <c r="K74" s="137">
        <f t="shared" si="138"/>
        <v>43420</v>
      </c>
      <c r="L74" s="137">
        <f t="shared" ref="L74" si="139">SUM(L75:L79)</f>
        <v>35274</v>
      </c>
      <c r="M74" s="137">
        <f t="shared" ref="M74:V74" si="140">SUM(M75:M79)</f>
        <v>36577</v>
      </c>
      <c r="N74" s="137">
        <f t="shared" si="140"/>
        <v>39962</v>
      </c>
      <c r="O74" s="137">
        <f t="shared" si="140"/>
        <v>45923</v>
      </c>
      <c r="P74" s="137">
        <f t="shared" si="140"/>
        <v>50047</v>
      </c>
      <c r="Q74" s="137">
        <f t="shared" si="140"/>
        <v>53421</v>
      </c>
      <c r="R74" s="137">
        <f t="shared" si="140"/>
        <v>53266</v>
      </c>
      <c r="S74" s="137">
        <f t="shared" si="140"/>
        <v>55559</v>
      </c>
      <c r="T74" s="137">
        <f t="shared" si="140"/>
        <v>57146</v>
      </c>
      <c r="U74" s="137">
        <f t="shared" si="140"/>
        <v>59291</v>
      </c>
      <c r="V74" s="137">
        <f t="shared" si="140"/>
        <v>60696</v>
      </c>
      <c r="W74" s="137">
        <f t="shared" ref="W74" si="141">SUM(W75:W79)</f>
        <v>63078</v>
      </c>
      <c r="DA74" s="174" t="s">
        <v>516</v>
      </c>
    </row>
    <row r="75" spans="1:105" ht="11.45" customHeight="1" x14ac:dyDescent="0.25">
      <c r="A75" s="111" t="s">
        <v>110</v>
      </c>
      <c r="B75" s="84">
        <v>15645</v>
      </c>
      <c r="C75" s="84">
        <v>16017</v>
      </c>
      <c r="D75" s="84">
        <v>15277</v>
      </c>
      <c r="E75" s="84">
        <v>15483</v>
      </c>
      <c r="F75" s="84">
        <v>15094</v>
      </c>
      <c r="G75" s="84">
        <v>15001</v>
      </c>
      <c r="H75" s="84">
        <v>15286</v>
      </c>
      <c r="I75" s="84">
        <v>14860</v>
      </c>
      <c r="J75" s="84">
        <v>12539</v>
      </c>
      <c r="K75" s="84">
        <v>10196</v>
      </c>
      <c r="L75" s="84">
        <v>4697</v>
      </c>
      <c r="M75" s="84">
        <v>4279</v>
      </c>
      <c r="N75" s="84">
        <v>4308</v>
      </c>
      <c r="O75" s="84">
        <v>3764</v>
      </c>
      <c r="P75" s="84">
        <v>2884</v>
      </c>
      <c r="Q75" s="84">
        <v>2797</v>
      </c>
      <c r="R75" s="84">
        <v>2340</v>
      </c>
      <c r="S75" s="84">
        <v>2207</v>
      </c>
      <c r="T75" s="84">
        <v>2091</v>
      </c>
      <c r="U75" s="84">
        <v>1929</v>
      </c>
      <c r="V75" s="84">
        <v>1877</v>
      </c>
      <c r="W75" s="84">
        <v>1849</v>
      </c>
      <c r="DA75" s="171" t="s">
        <v>517</v>
      </c>
    </row>
    <row r="76" spans="1:105" ht="11.45" customHeight="1" x14ac:dyDescent="0.25">
      <c r="A76" s="111" t="s">
        <v>111</v>
      </c>
      <c r="B76" s="84">
        <v>11254</v>
      </c>
      <c r="C76" s="84">
        <v>14109</v>
      </c>
      <c r="D76" s="84">
        <v>20430</v>
      </c>
      <c r="E76" s="84">
        <v>18726</v>
      </c>
      <c r="F76" s="84">
        <v>26436</v>
      </c>
      <c r="G76" s="84">
        <v>24400</v>
      </c>
      <c r="H76" s="84">
        <v>28852</v>
      </c>
      <c r="I76" s="84">
        <v>31498</v>
      </c>
      <c r="J76" s="84">
        <v>33561</v>
      </c>
      <c r="K76" s="84">
        <v>33224</v>
      </c>
      <c r="L76" s="84">
        <v>30577</v>
      </c>
      <c r="M76" s="84">
        <v>32296</v>
      </c>
      <c r="N76" s="84">
        <v>35634</v>
      </c>
      <c r="O76" s="84">
        <v>42140</v>
      </c>
      <c r="P76" s="84">
        <v>47132</v>
      </c>
      <c r="Q76" s="84">
        <v>50590</v>
      </c>
      <c r="R76" s="84">
        <v>50749</v>
      </c>
      <c r="S76" s="84">
        <v>53046</v>
      </c>
      <c r="T76" s="84">
        <v>54670</v>
      </c>
      <c r="U76" s="84">
        <v>56895</v>
      </c>
      <c r="V76" s="84">
        <v>58317</v>
      </c>
      <c r="W76" s="84">
        <v>60690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18</v>
      </c>
      <c r="O77" s="84">
        <v>17</v>
      </c>
      <c r="P77" s="84">
        <v>25</v>
      </c>
      <c r="Q77" s="84">
        <v>27</v>
      </c>
      <c r="R77" s="84">
        <v>166</v>
      </c>
      <c r="S77" s="84">
        <v>294</v>
      </c>
      <c r="T77" s="84">
        <v>373</v>
      </c>
      <c r="U77" s="84">
        <v>453</v>
      </c>
      <c r="V77" s="84">
        <v>486</v>
      </c>
      <c r="W77" s="84">
        <v>500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2</v>
      </c>
      <c r="N79" s="84">
        <v>2</v>
      </c>
      <c r="O79" s="84">
        <v>2</v>
      </c>
      <c r="P79" s="84">
        <v>6</v>
      </c>
      <c r="Q79" s="84">
        <v>7</v>
      </c>
      <c r="R79" s="84">
        <v>11</v>
      </c>
      <c r="S79" s="84">
        <v>12</v>
      </c>
      <c r="T79" s="84">
        <v>12</v>
      </c>
      <c r="U79" s="84">
        <v>14</v>
      </c>
      <c r="V79" s="84">
        <v>16</v>
      </c>
      <c r="W79" s="84">
        <v>39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52456</v>
      </c>
      <c r="C80" s="110">
        <f t="shared" si="142"/>
        <v>53779</v>
      </c>
      <c r="D80" s="110">
        <f t="shared" si="142"/>
        <v>54946</v>
      </c>
      <c r="E80" s="110">
        <f t="shared" si="142"/>
        <v>55389</v>
      </c>
      <c r="F80" s="110">
        <f t="shared" si="142"/>
        <v>55362</v>
      </c>
      <c r="G80" s="110">
        <f t="shared" si="142"/>
        <v>52853</v>
      </c>
      <c r="H80" s="110">
        <f t="shared" si="142"/>
        <v>51080</v>
      </c>
      <c r="I80" s="110">
        <f t="shared" si="142"/>
        <v>48953</v>
      </c>
      <c r="J80" s="110">
        <f t="shared" si="142"/>
        <v>46834</v>
      </c>
      <c r="K80" s="110">
        <f t="shared" si="142"/>
        <v>47190</v>
      </c>
      <c r="L80" s="110">
        <f t="shared" ref="L80" si="143">SUM(L81:L82)</f>
        <v>32904</v>
      </c>
      <c r="M80" s="110">
        <f t="shared" ref="M80:V80" si="144">SUM(M81:M82)</f>
        <v>31404</v>
      </c>
      <c r="N80" s="110">
        <f t="shared" si="144"/>
        <v>31289</v>
      </c>
      <c r="O80" s="110">
        <f t="shared" si="144"/>
        <v>29400</v>
      </c>
      <c r="P80" s="110">
        <f t="shared" si="144"/>
        <v>26096</v>
      </c>
      <c r="Q80" s="110">
        <f t="shared" si="144"/>
        <v>24619</v>
      </c>
      <c r="R80" s="110">
        <f t="shared" si="144"/>
        <v>23478</v>
      </c>
      <c r="S80" s="110">
        <f t="shared" si="144"/>
        <v>23543</v>
      </c>
      <c r="T80" s="110">
        <f t="shared" si="144"/>
        <v>23812</v>
      </c>
      <c r="U80" s="110">
        <f t="shared" si="144"/>
        <v>23644</v>
      </c>
      <c r="V80" s="110">
        <f t="shared" si="144"/>
        <v>24817</v>
      </c>
      <c r="W80" s="110">
        <f t="shared" ref="W80" si="145">SUM(W81:W82)</f>
        <v>23517</v>
      </c>
      <c r="DA80" s="176" t="s">
        <v>522</v>
      </c>
    </row>
    <row r="81" spans="1:105" ht="11.45" customHeight="1" x14ac:dyDescent="0.25">
      <c r="A81" s="128" t="s">
        <v>27</v>
      </c>
      <c r="B81" s="102">
        <v>51859</v>
      </c>
      <c r="C81" s="102">
        <v>53139</v>
      </c>
      <c r="D81" s="102">
        <v>54273</v>
      </c>
      <c r="E81" s="102">
        <v>54701</v>
      </c>
      <c r="F81" s="102">
        <v>54548</v>
      </c>
      <c r="G81" s="102">
        <v>52011</v>
      </c>
      <c r="H81" s="102">
        <v>50053</v>
      </c>
      <c r="I81" s="102">
        <v>47785</v>
      </c>
      <c r="J81" s="102">
        <v>45693</v>
      </c>
      <c r="K81" s="102">
        <v>46280</v>
      </c>
      <c r="L81" s="102">
        <v>31924</v>
      </c>
      <c r="M81" s="102">
        <v>30271</v>
      </c>
      <c r="N81" s="102">
        <v>30031</v>
      </c>
      <c r="O81" s="102">
        <v>27955</v>
      </c>
      <c r="P81" s="102">
        <v>24635</v>
      </c>
      <c r="Q81" s="102">
        <v>22902</v>
      </c>
      <c r="R81" s="102">
        <v>21749</v>
      </c>
      <c r="S81" s="102">
        <v>21838</v>
      </c>
      <c r="T81" s="102">
        <v>21960</v>
      </c>
      <c r="U81" s="102">
        <v>21949</v>
      </c>
      <c r="V81" s="102">
        <v>22756</v>
      </c>
      <c r="W81" s="102">
        <v>21545</v>
      </c>
      <c r="DA81" s="175" t="s">
        <v>523</v>
      </c>
    </row>
    <row r="82" spans="1:105" ht="11.45" customHeight="1" x14ac:dyDescent="0.25">
      <c r="A82" s="138" t="s">
        <v>116</v>
      </c>
      <c r="B82" s="86">
        <v>597</v>
      </c>
      <c r="C82" s="86">
        <v>640</v>
      </c>
      <c r="D82" s="86">
        <v>673</v>
      </c>
      <c r="E82" s="86">
        <v>688</v>
      </c>
      <c r="F82" s="86">
        <v>814</v>
      </c>
      <c r="G82" s="86">
        <v>842</v>
      </c>
      <c r="H82" s="86">
        <v>1027</v>
      </c>
      <c r="I82" s="86">
        <v>1168</v>
      </c>
      <c r="J82" s="86">
        <v>1141</v>
      </c>
      <c r="K82" s="86">
        <v>910</v>
      </c>
      <c r="L82" s="86">
        <v>980</v>
      </c>
      <c r="M82" s="86">
        <v>1133</v>
      </c>
      <c r="N82" s="86">
        <v>1258</v>
      </c>
      <c r="O82" s="86">
        <v>1445</v>
      </c>
      <c r="P82" s="86">
        <v>1461</v>
      </c>
      <c r="Q82" s="86">
        <v>1717</v>
      </c>
      <c r="R82" s="86">
        <v>1729</v>
      </c>
      <c r="S82" s="86">
        <v>1705</v>
      </c>
      <c r="T82" s="86">
        <v>1852</v>
      </c>
      <c r="U82" s="86">
        <v>1695</v>
      </c>
      <c r="V82" s="86">
        <v>2061</v>
      </c>
      <c r="W82" s="86">
        <v>1972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688610</v>
      </c>
      <c r="C84" s="54">
        <f t="shared" si="146"/>
        <v>696395</v>
      </c>
      <c r="D84" s="54">
        <f t="shared" ref="D84:V84" si="147">D85+D100</f>
        <v>711167</v>
      </c>
      <c r="E84" s="54">
        <f t="shared" si="147"/>
        <v>725191</v>
      </c>
      <c r="F84" s="54">
        <f t="shared" si="147"/>
        <v>759852</v>
      </c>
      <c r="G84" s="54">
        <f t="shared" si="147"/>
        <v>776766</v>
      </c>
      <c r="H84" s="54">
        <f t="shared" si="147"/>
        <v>804829</v>
      </c>
      <c r="I84" s="54">
        <f t="shared" si="147"/>
        <v>819156</v>
      </c>
      <c r="J84" s="54">
        <f t="shared" si="147"/>
        <v>816064</v>
      </c>
      <c r="K84" s="54">
        <f t="shared" si="147"/>
        <v>795288</v>
      </c>
      <c r="L84" s="54">
        <f t="shared" si="147"/>
        <v>745191</v>
      </c>
      <c r="M84" s="54">
        <f t="shared" si="147"/>
        <v>722412</v>
      </c>
      <c r="N84" s="54">
        <f t="shared" si="147"/>
        <v>733955</v>
      </c>
      <c r="O84" s="54">
        <f t="shared" si="147"/>
        <v>756759</v>
      </c>
      <c r="P84" s="54">
        <f t="shared" si="147"/>
        <v>783466</v>
      </c>
      <c r="Q84" s="54">
        <f t="shared" si="147"/>
        <v>809442</v>
      </c>
      <c r="R84" s="54">
        <f t="shared" si="147"/>
        <v>793540</v>
      </c>
      <c r="S84" s="54">
        <f t="shared" si="147"/>
        <v>824440</v>
      </c>
      <c r="T84" s="54">
        <f t="shared" si="147"/>
        <v>847656</v>
      </c>
      <c r="U84" s="54">
        <f t="shared" si="147"/>
        <v>873441</v>
      </c>
      <c r="V84" s="54">
        <f t="shared" si="147"/>
        <v>891798</v>
      </c>
      <c r="W84" s="54">
        <f t="shared" ref="W84" si="148">W85+W100</f>
        <v>917175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609255</v>
      </c>
      <c r="C85" s="28">
        <f t="shared" si="149"/>
        <v>612490</v>
      </c>
      <c r="D85" s="28">
        <f t="shared" ref="D85:V85" si="150">D86+D87+D94</f>
        <v>620514</v>
      </c>
      <c r="E85" s="28">
        <f t="shared" si="150"/>
        <v>635593</v>
      </c>
      <c r="F85" s="28">
        <f t="shared" si="150"/>
        <v>662960</v>
      </c>
      <c r="G85" s="28">
        <f t="shared" si="150"/>
        <v>684512</v>
      </c>
      <c r="H85" s="28">
        <f t="shared" si="150"/>
        <v>709611</v>
      </c>
      <c r="I85" s="28">
        <f t="shared" si="150"/>
        <v>723845</v>
      </c>
      <c r="J85" s="28">
        <f t="shared" si="150"/>
        <v>723130</v>
      </c>
      <c r="K85" s="28">
        <f t="shared" si="150"/>
        <v>704678</v>
      </c>
      <c r="L85" s="28">
        <f t="shared" si="150"/>
        <v>677013</v>
      </c>
      <c r="M85" s="28">
        <f t="shared" si="150"/>
        <v>654431</v>
      </c>
      <c r="N85" s="28">
        <f t="shared" si="150"/>
        <v>662704</v>
      </c>
      <c r="O85" s="28">
        <f t="shared" si="150"/>
        <v>681436</v>
      </c>
      <c r="P85" s="28">
        <f t="shared" si="150"/>
        <v>707323</v>
      </c>
      <c r="Q85" s="28">
        <f t="shared" si="150"/>
        <v>731402</v>
      </c>
      <c r="R85" s="28">
        <f t="shared" si="150"/>
        <v>716796</v>
      </c>
      <c r="S85" s="28">
        <f t="shared" si="150"/>
        <v>745338</v>
      </c>
      <c r="T85" s="28">
        <f t="shared" si="150"/>
        <v>766698</v>
      </c>
      <c r="U85" s="28">
        <f t="shared" si="150"/>
        <v>790506</v>
      </c>
      <c r="V85" s="28">
        <f t="shared" si="150"/>
        <v>806285</v>
      </c>
      <c r="W85" s="28">
        <f t="shared" ref="W85" si="151">W86+W87+W94</f>
        <v>830580</v>
      </c>
      <c r="DA85" s="173"/>
    </row>
    <row r="86" spans="1:105" ht="11.45" hidden="1" customHeight="1" x14ac:dyDescent="0.25">
      <c r="A86" s="136" t="s">
        <v>180</v>
      </c>
      <c r="B86" s="137">
        <v>32648.000000000004</v>
      </c>
      <c r="C86" s="137">
        <v>32485</v>
      </c>
      <c r="D86" s="137">
        <v>32539</v>
      </c>
      <c r="E86" s="137">
        <v>32598.999999999996</v>
      </c>
      <c r="F86" s="137">
        <v>32809</v>
      </c>
      <c r="G86" s="137">
        <v>33046</v>
      </c>
      <c r="H86" s="137">
        <v>33655</v>
      </c>
      <c r="I86" s="137">
        <v>35017</v>
      </c>
      <c r="J86" s="137">
        <v>36411</v>
      </c>
      <c r="K86" s="137">
        <v>36578</v>
      </c>
      <c r="L86" s="137">
        <v>36674</v>
      </c>
      <c r="M86" s="137">
        <v>38623</v>
      </c>
      <c r="N86" s="137">
        <v>41088</v>
      </c>
      <c r="O86" s="137">
        <v>43588</v>
      </c>
      <c r="P86" s="137">
        <v>46422</v>
      </c>
      <c r="Q86" s="137">
        <v>49288</v>
      </c>
      <c r="R86" s="137">
        <v>49581</v>
      </c>
      <c r="S86" s="137">
        <v>52800</v>
      </c>
      <c r="T86" s="137">
        <v>55898</v>
      </c>
      <c r="U86" s="137">
        <v>60416</v>
      </c>
      <c r="V86" s="137">
        <v>64421.000000000007</v>
      </c>
      <c r="W86" s="137">
        <v>69115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572800</v>
      </c>
      <c r="C87" s="110">
        <f t="shared" si="152"/>
        <v>576200</v>
      </c>
      <c r="D87" s="110">
        <f t="shared" ref="D87:V87" si="153">SUM(D88:D93)</f>
        <v>584100</v>
      </c>
      <c r="E87" s="110">
        <f t="shared" si="153"/>
        <v>598900</v>
      </c>
      <c r="F87" s="110">
        <f t="shared" si="153"/>
        <v>626100</v>
      </c>
      <c r="G87" s="110">
        <f t="shared" si="153"/>
        <v>647500</v>
      </c>
      <c r="H87" s="110">
        <f t="shared" si="153"/>
        <v>672010</v>
      </c>
      <c r="I87" s="110">
        <f t="shared" si="153"/>
        <v>684870</v>
      </c>
      <c r="J87" s="110">
        <f t="shared" si="153"/>
        <v>682830</v>
      </c>
      <c r="K87" s="110">
        <f t="shared" si="153"/>
        <v>664310</v>
      </c>
      <c r="L87" s="110">
        <f t="shared" si="153"/>
        <v>636660</v>
      </c>
      <c r="M87" s="110">
        <f t="shared" si="153"/>
        <v>612320</v>
      </c>
      <c r="N87" s="110">
        <f t="shared" si="153"/>
        <v>618270</v>
      </c>
      <c r="O87" s="110">
        <f t="shared" si="153"/>
        <v>634595</v>
      </c>
      <c r="P87" s="110">
        <f t="shared" si="153"/>
        <v>657799</v>
      </c>
      <c r="Q87" s="110">
        <f t="shared" si="153"/>
        <v>679048</v>
      </c>
      <c r="R87" s="110">
        <f t="shared" si="153"/>
        <v>664177</v>
      </c>
      <c r="S87" s="110">
        <f t="shared" si="153"/>
        <v>689536</v>
      </c>
      <c r="T87" s="110">
        <f t="shared" si="153"/>
        <v>707841</v>
      </c>
      <c r="U87" s="110">
        <f t="shared" si="153"/>
        <v>727164</v>
      </c>
      <c r="V87" s="110">
        <f t="shared" si="153"/>
        <v>739124</v>
      </c>
      <c r="W87" s="110">
        <f t="shared" ref="W87" si="154">SUM(W88:W93)</f>
        <v>758688</v>
      </c>
      <c r="DA87" s="176"/>
    </row>
    <row r="88" spans="1:105" ht="11.45" hidden="1" customHeight="1" x14ac:dyDescent="0.25">
      <c r="A88" s="111" t="s">
        <v>110</v>
      </c>
      <c r="B88" s="84">
        <v>506900</v>
      </c>
      <c r="C88" s="84">
        <v>500712</v>
      </c>
      <c r="D88" s="84">
        <v>495101</v>
      </c>
      <c r="E88" s="84">
        <v>492319</v>
      </c>
      <c r="F88" s="84">
        <v>496648</v>
      </c>
      <c r="G88" s="84">
        <v>493840</v>
      </c>
      <c r="H88" s="84">
        <v>491907</v>
      </c>
      <c r="I88" s="84">
        <v>485255</v>
      </c>
      <c r="J88" s="84">
        <v>465836</v>
      </c>
      <c r="K88" s="84">
        <v>438195</v>
      </c>
      <c r="L88" s="84">
        <v>411064</v>
      </c>
      <c r="M88" s="84">
        <v>374564</v>
      </c>
      <c r="N88" s="84">
        <v>347845</v>
      </c>
      <c r="O88" s="84">
        <v>334080</v>
      </c>
      <c r="P88" s="84">
        <v>297946</v>
      </c>
      <c r="Q88" s="84">
        <v>288127</v>
      </c>
      <c r="R88" s="84">
        <v>256498</v>
      </c>
      <c r="S88" s="84">
        <v>249098</v>
      </c>
      <c r="T88" s="84">
        <v>238356</v>
      </c>
      <c r="U88" s="84">
        <v>230298</v>
      </c>
      <c r="V88" s="84">
        <v>223367</v>
      </c>
      <c r="W88" s="84">
        <v>219792</v>
      </c>
      <c r="DA88" s="171"/>
    </row>
    <row r="89" spans="1:105" ht="11.45" hidden="1" customHeight="1" x14ac:dyDescent="0.25">
      <c r="A89" s="111" t="s">
        <v>111</v>
      </c>
      <c r="B89" s="84">
        <v>49700</v>
      </c>
      <c r="C89" s="84">
        <v>59329</v>
      </c>
      <c r="D89" s="84">
        <v>72862</v>
      </c>
      <c r="E89" s="84">
        <v>88588</v>
      </c>
      <c r="F89" s="84">
        <v>105614</v>
      </c>
      <c r="G89" s="84">
        <v>126869</v>
      </c>
      <c r="H89" s="84">
        <v>150870</v>
      </c>
      <c r="I89" s="84">
        <v>171651</v>
      </c>
      <c r="J89" s="84">
        <v>190342</v>
      </c>
      <c r="K89" s="84">
        <v>200974</v>
      </c>
      <c r="L89" s="84">
        <v>202425</v>
      </c>
      <c r="M89" s="84">
        <v>211665</v>
      </c>
      <c r="N89" s="84">
        <v>227340</v>
      </c>
      <c r="O89" s="84">
        <v>252126</v>
      </c>
      <c r="P89" s="84">
        <v>303288</v>
      </c>
      <c r="Q89" s="84">
        <v>338304</v>
      </c>
      <c r="R89" s="84">
        <v>355033</v>
      </c>
      <c r="S89" s="84">
        <v>388034</v>
      </c>
      <c r="T89" s="84">
        <v>418192</v>
      </c>
      <c r="U89" s="84">
        <v>446705</v>
      </c>
      <c r="V89" s="84">
        <v>466314</v>
      </c>
      <c r="W89" s="84">
        <v>488293</v>
      </c>
      <c r="DA89" s="171"/>
    </row>
    <row r="90" spans="1:105" ht="11.45" hidden="1" customHeight="1" x14ac:dyDescent="0.25">
      <c r="A90" s="111" t="s">
        <v>112</v>
      </c>
      <c r="B90" s="84">
        <v>16000</v>
      </c>
      <c r="C90" s="84">
        <v>16005</v>
      </c>
      <c r="D90" s="84">
        <v>15999</v>
      </c>
      <c r="E90" s="84">
        <v>17872</v>
      </c>
      <c r="F90" s="84">
        <v>23734</v>
      </c>
      <c r="G90" s="84">
        <v>26691</v>
      </c>
      <c r="H90" s="84">
        <v>29164</v>
      </c>
      <c r="I90" s="84">
        <v>27909</v>
      </c>
      <c r="J90" s="84">
        <v>26602</v>
      </c>
      <c r="K90" s="84">
        <v>25091</v>
      </c>
      <c r="L90" s="84">
        <v>23171</v>
      </c>
      <c r="M90" s="84">
        <v>26091</v>
      </c>
      <c r="N90" s="84">
        <v>43072</v>
      </c>
      <c r="O90" s="84">
        <v>48368</v>
      </c>
      <c r="P90" s="84">
        <v>56368</v>
      </c>
      <c r="Q90" s="84">
        <v>52383</v>
      </c>
      <c r="R90" s="84">
        <v>52379</v>
      </c>
      <c r="S90" s="84">
        <v>52043</v>
      </c>
      <c r="T90" s="84">
        <v>50611</v>
      </c>
      <c r="U90" s="84">
        <v>49213</v>
      </c>
      <c r="V90" s="84">
        <v>47842</v>
      </c>
      <c r="W90" s="84">
        <v>47940</v>
      </c>
      <c r="DA90" s="171"/>
    </row>
    <row r="91" spans="1:105" ht="11.45" hidden="1" customHeight="1" x14ac:dyDescent="0.25">
      <c r="A91" s="111" t="s">
        <v>113</v>
      </c>
      <c r="B91" s="84">
        <v>200</v>
      </c>
      <c r="C91" s="84">
        <v>154</v>
      </c>
      <c r="D91" s="84">
        <v>138</v>
      </c>
      <c r="E91" s="84">
        <v>121</v>
      </c>
      <c r="F91" s="84">
        <v>104</v>
      </c>
      <c r="G91" s="84">
        <v>100</v>
      </c>
      <c r="H91" s="84">
        <v>69</v>
      </c>
      <c r="I91" s="84">
        <v>55</v>
      </c>
      <c r="J91" s="84">
        <v>50</v>
      </c>
      <c r="K91" s="84">
        <v>50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0</v>
      </c>
      <c r="T91" s="84">
        <v>151</v>
      </c>
      <c r="U91" s="84">
        <v>166</v>
      </c>
      <c r="V91" s="84">
        <v>200</v>
      </c>
      <c r="W91" s="84">
        <v>219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3</v>
      </c>
      <c r="O92" s="84">
        <v>6</v>
      </c>
      <c r="P92" s="84">
        <v>9</v>
      </c>
      <c r="Q92" s="84">
        <v>23</v>
      </c>
      <c r="R92" s="84">
        <v>26</v>
      </c>
      <c r="S92" s="84">
        <v>49</v>
      </c>
      <c r="T92" s="84">
        <v>89</v>
      </c>
      <c r="U92" s="84">
        <v>124</v>
      </c>
      <c r="V92" s="84">
        <v>196</v>
      </c>
      <c r="W92" s="84">
        <v>338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10</v>
      </c>
      <c r="O93" s="84">
        <v>15</v>
      </c>
      <c r="P93" s="84">
        <v>188</v>
      </c>
      <c r="Q93" s="84">
        <v>211</v>
      </c>
      <c r="R93" s="84">
        <v>241</v>
      </c>
      <c r="S93" s="84">
        <v>312</v>
      </c>
      <c r="T93" s="84">
        <v>442</v>
      </c>
      <c r="U93" s="84">
        <v>658</v>
      </c>
      <c r="V93" s="84">
        <v>1205</v>
      </c>
      <c r="W93" s="84">
        <v>2106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3807</v>
      </c>
      <c r="C94" s="110">
        <f t="shared" si="155"/>
        <v>3805</v>
      </c>
      <c r="D94" s="110">
        <f t="shared" ref="D94:V94" si="156">SUM(D95:D99)</f>
        <v>3875</v>
      </c>
      <c r="E94" s="110">
        <f t="shared" si="156"/>
        <v>4094</v>
      </c>
      <c r="F94" s="110">
        <f t="shared" si="156"/>
        <v>4051</v>
      </c>
      <c r="G94" s="110">
        <f t="shared" si="156"/>
        <v>3966</v>
      </c>
      <c r="H94" s="110">
        <f t="shared" si="156"/>
        <v>3946</v>
      </c>
      <c r="I94" s="110">
        <f t="shared" si="156"/>
        <v>3958</v>
      </c>
      <c r="J94" s="110">
        <f t="shared" si="156"/>
        <v>3889</v>
      </c>
      <c r="K94" s="110">
        <f t="shared" si="156"/>
        <v>3790</v>
      </c>
      <c r="L94" s="110">
        <f t="shared" si="156"/>
        <v>3679</v>
      </c>
      <c r="M94" s="110">
        <f t="shared" si="156"/>
        <v>3488</v>
      </c>
      <c r="N94" s="110">
        <f t="shared" si="156"/>
        <v>3346</v>
      </c>
      <c r="O94" s="110">
        <f t="shared" si="156"/>
        <v>3253</v>
      </c>
      <c r="P94" s="110">
        <f t="shared" si="156"/>
        <v>3102</v>
      </c>
      <c r="Q94" s="110">
        <f t="shared" si="156"/>
        <v>3066</v>
      </c>
      <c r="R94" s="110">
        <f t="shared" si="156"/>
        <v>3038</v>
      </c>
      <c r="S94" s="110">
        <f t="shared" si="156"/>
        <v>3002</v>
      </c>
      <c r="T94" s="110">
        <f t="shared" si="156"/>
        <v>2959</v>
      </c>
      <c r="U94" s="110">
        <f t="shared" si="156"/>
        <v>2926</v>
      </c>
      <c r="V94" s="110">
        <f t="shared" si="156"/>
        <v>2740</v>
      </c>
      <c r="W94" s="110">
        <f t="shared" ref="W94" si="157">SUM(W95:W99)</f>
        <v>2777</v>
      </c>
      <c r="DA94" s="176"/>
    </row>
    <row r="95" spans="1:105" ht="11.45" hidden="1" customHeight="1" x14ac:dyDescent="0.25">
      <c r="A95" s="111" t="s">
        <v>110</v>
      </c>
      <c r="B95" s="102">
        <v>398</v>
      </c>
      <c r="C95" s="102">
        <v>397</v>
      </c>
      <c r="D95" s="102">
        <v>394</v>
      </c>
      <c r="E95" s="102">
        <v>382</v>
      </c>
      <c r="F95" s="102">
        <v>368</v>
      </c>
      <c r="G95" s="102">
        <v>354</v>
      </c>
      <c r="H95" s="102">
        <v>341</v>
      </c>
      <c r="I95" s="102">
        <v>330</v>
      </c>
      <c r="J95" s="102">
        <v>315</v>
      </c>
      <c r="K95" s="102">
        <v>278</v>
      </c>
      <c r="L95" s="102">
        <v>234</v>
      </c>
      <c r="M95" s="102">
        <v>142</v>
      </c>
      <c r="N95" s="102">
        <v>110</v>
      </c>
      <c r="O95" s="102">
        <v>80</v>
      </c>
      <c r="P95" s="102">
        <v>52</v>
      </c>
      <c r="Q95" s="102">
        <v>44</v>
      </c>
      <c r="R95" s="102">
        <v>32</v>
      </c>
      <c r="S95" s="102">
        <v>28</v>
      </c>
      <c r="T95" s="102">
        <v>24</v>
      </c>
      <c r="U95" s="102">
        <v>22</v>
      </c>
      <c r="V95" s="102">
        <v>18</v>
      </c>
      <c r="W95" s="102">
        <v>14</v>
      </c>
      <c r="DA95" s="175"/>
    </row>
    <row r="96" spans="1:105" ht="11.45" hidden="1" customHeight="1" x14ac:dyDescent="0.25">
      <c r="A96" s="111" t="s">
        <v>111</v>
      </c>
      <c r="B96" s="102">
        <v>3300</v>
      </c>
      <c r="C96" s="102">
        <v>3266</v>
      </c>
      <c r="D96" s="102">
        <v>3357</v>
      </c>
      <c r="E96" s="102">
        <v>3593</v>
      </c>
      <c r="F96" s="102">
        <v>3562</v>
      </c>
      <c r="G96" s="102">
        <v>3457</v>
      </c>
      <c r="H96" s="102">
        <v>3448</v>
      </c>
      <c r="I96" s="102">
        <v>3439</v>
      </c>
      <c r="J96" s="102">
        <v>3390</v>
      </c>
      <c r="K96" s="102">
        <v>3299</v>
      </c>
      <c r="L96" s="102">
        <v>3163</v>
      </c>
      <c r="M96" s="102">
        <v>3071</v>
      </c>
      <c r="N96" s="102">
        <v>2971</v>
      </c>
      <c r="O96" s="102">
        <v>2920</v>
      </c>
      <c r="P96" s="102">
        <v>2793</v>
      </c>
      <c r="Q96" s="102">
        <v>2753</v>
      </c>
      <c r="R96" s="102">
        <v>2704</v>
      </c>
      <c r="S96" s="102">
        <v>2710</v>
      </c>
      <c r="T96" s="102">
        <v>2670</v>
      </c>
      <c r="U96" s="102">
        <v>2618</v>
      </c>
      <c r="V96" s="102">
        <v>2372</v>
      </c>
      <c r="W96" s="102">
        <v>2290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12</v>
      </c>
      <c r="S97" s="102">
        <v>9</v>
      </c>
      <c r="T97" s="102">
        <v>7</v>
      </c>
      <c r="U97" s="102">
        <v>5</v>
      </c>
      <c r="V97" s="102">
        <v>4</v>
      </c>
      <c r="W97" s="102">
        <v>4</v>
      </c>
      <c r="DA97" s="175"/>
    </row>
    <row r="98" spans="1:105" ht="11.45" hidden="1" customHeight="1" x14ac:dyDescent="0.25">
      <c r="A98" s="111" t="s">
        <v>113</v>
      </c>
      <c r="B98" s="102">
        <v>100</v>
      </c>
      <c r="C98" s="102">
        <v>120</v>
      </c>
      <c r="D98" s="102">
        <v>102</v>
      </c>
      <c r="E98" s="102">
        <v>98</v>
      </c>
      <c r="F98" s="102">
        <v>100</v>
      </c>
      <c r="G98" s="102">
        <v>105</v>
      </c>
      <c r="H98" s="102">
        <v>105</v>
      </c>
      <c r="I98" s="102">
        <v>110</v>
      </c>
      <c r="J98" s="102">
        <v>45</v>
      </c>
      <c r="K98" s="102">
        <v>2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14</v>
      </c>
      <c r="V98" s="102">
        <v>60</v>
      </c>
      <c r="W98" s="102">
        <v>150</v>
      </c>
      <c r="DA98" s="175"/>
    </row>
    <row r="99" spans="1:105" ht="11.45" hidden="1" customHeight="1" x14ac:dyDescent="0.25">
      <c r="A99" s="111" t="s">
        <v>115</v>
      </c>
      <c r="B99" s="102">
        <v>9</v>
      </c>
      <c r="C99" s="102">
        <v>22</v>
      </c>
      <c r="D99" s="102">
        <v>22</v>
      </c>
      <c r="E99" s="102">
        <v>21</v>
      </c>
      <c r="F99" s="102">
        <v>21</v>
      </c>
      <c r="G99" s="102">
        <v>50</v>
      </c>
      <c r="H99" s="102">
        <v>52</v>
      </c>
      <c r="I99" s="102">
        <v>79</v>
      </c>
      <c r="J99" s="102">
        <v>139</v>
      </c>
      <c r="K99" s="102">
        <v>211</v>
      </c>
      <c r="L99" s="102">
        <v>282</v>
      </c>
      <c r="M99" s="102">
        <v>275</v>
      </c>
      <c r="N99" s="102">
        <v>265</v>
      </c>
      <c r="O99" s="102">
        <v>253</v>
      </c>
      <c r="P99" s="102">
        <v>257</v>
      </c>
      <c r="Q99" s="102">
        <v>269</v>
      </c>
      <c r="R99" s="102">
        <v>290</v>
      </c>
      <c r="S99" s="102">
        <v>255</v>
      </c>
      <c r="T99" s="102">
        <v>258</v>
      </c>
      <c r="U99" s="102">
        <v>267</v>
      </c>
      <c r="V99" s="102">
        <v>286</v>
      </c>
      <c r="W99" s="102">
        <v>319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79355</v>
      </c>
      <c r="C100" s="28">
        <f t="shared" si="158"/>
        <v>83905</v>
      </c>
      <c r="D100" s="28">
        <f t="shared" ref="D100:V100" si="159">D101+D107</f>
        <v>90653</v>
      </c>
      <c r="E100" s="28">
        <f t="shared" si="159"/>
        <v>89598</v>
      </c>
      <c r="F100" s="28">
        <f t="shared" si="159"/>
        <v>96892</v>
      </c>
      <c r="G100" s="28">
        <f t="shared" si="159"/>
        <v>92254</v>
      </c>
      <c r="H100" s="28">
        <f t="shared" si="159"/>
        <v>95218</v>
      </c>
      <c r="I100" s="28">
        <f t="shared" si="159"/>
        <v>95311</v>
      </c>
      <c r="J100" s="28">
        <f t="shared" si="159"/>
        <v>92934</v>
      </c>
      <c r="K100" s="28">
        <f t="shared" si="159"/>
        <v>90610</v>
      </c>
      <c r="L100" s="28">
        <f t="shared" si="159"/>
        <v>68178</v>
      </c>
      <c r="M100" s="28">
        <f t="shared" si="159"/>
        <v>67981</v>
      </c>
      <c r="N100" s="28">
        <f t="shared" si="159"/>
        <v>71251</v>
      </c>
      <c r="O100" s="28">
        <f t="shared" si="159"/>
        <v>75323</v>
      </c>
      <c r="P100" s="28">
        <f t="shared" si="159"/>
        <v>76143</v>
      </c>
      <c r="Q100" s="28">
        <f t="shared" si="159"/>
        <v>78040</v>
      </c>
      <c r="R100" s="28">
        <f t="shared" si="159"/>
        <v>76744</v>
      </c>
      <c r="S100" s="28">
        <f t="shared" si="159"/>
        <v>79102</v>
      </c>
      <c r="T100" s="28">
        <f t="shared" si="159"/>
        <v>80958</v>
      </c>
      <c r="U100" s="28">
        <f t="shared" si="159"/>
        <v>82935</v>
      </c>
      <c r="V100" s="28">
        <f t="shared" si="159"/>
        <v>85513</v>
      </c>
      <c r="W100" s="28">
        <f t="shared" ref="W100" si="160">W101+W107</f>
        <v>86595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26899</v>
      </c>
      <c r="C101" s="137">
        <f t="shared" si="161"/>
        <v>30126</v>
      </c>
      <c r="D101" s="137">
        <f t="shared" ref="D101:V101" si="162">SUM(D102:D106)</f>
        <v>35707</v>
      </c>
      <c r="E101" s="137">
        <f t="shared" si="162"/>
        <v>34209</v>
      </c>
      <c r="F101" s="137">
        <f t="shared" si="162"/>
        <v>41530</v>
      </c>
      <c r="G101" s="137">
        <f t="shared" si="162"/>
        <v>39401</v>
      </c>
      <c r="H101" s="137">
        <f t="shared" si="162"/>
        <v>44138</v>
      </c>
      <c r="I101" s="137">
        <f t="shared" si="162"/>
        <v>46358</v>
      </c>
      <c r="J101" s="137">
        <f t="shared" si="162"/>
        <v>46100</v>
      </c>
      <c r="K101" s="137">
        <f t="shared" si="162"/>
        <v>43420</v>
      </c>
      <c r="L101" s="137">
        <f t="shared" si="162"/>
        <v>35274</v>
      </c>
      <c r="M101" s="137">
        <f t="shared" si="162"/>
        <v>36577</v>
      </c>
      <c r="N101" s="137">
        <f t="shared" si="162"/>
        <v>39962</v>
      </c>
      <c r="O101" s="137">
        <f t="shared" si="162"/>
        <v>45923</v>
      </c>
      <c r="P101" s="137">
        <f t="shared" si="162"/>
        <v>50047</v>
      </c>
      <c r="Q101" s="137">
        <f t="shared" si="162"/>
        <v>53421</v>
      </c>
      <c r="R101" s="137">
        <f t="shared" si="162"/>
        <v>53266</v>
      </c>
      <c r="S101" s="137">
        <f t="shared" si="162"/>
        <v>55559</v>
      </c>
      <c r="T101" s="137">
        <f t="shared" si="162"/>
        <v>57146</v>
      </c>
      <c r="U101" s="137">
        <f t="shared" si="162"/>
        <v>59291</v>
      </c>
      <c r="V101" s="137">
        <f t="shared" si="162"/>
        <v>60696</v>
      </c>
      <c r="W101" s="137">
        <f t="shared" ref="W101" si="163">SUM(W102:W106)</f>
        <v>63078</v>
      </c>
      <c r="DA101" s="174"/>
    </row>
    <row r="102" spans="1:105" ht="11.45" hidden="1" customHeight="1" x14ac:dyDescent="0.25">
      <c r="A102" s="111" t="s">
        <v>110</v>
      </c>
      <c r="B102" s="84">
        <v>15645</v>
      </c>
      <c r="C102" s="84">
        <v>16017</v>
      </c>
      <c r="D102" s="84">
        <v>15277</v>
      </c>
      <c r="E102" s="84">
        <v>15483</v>
      </c>
      <c r="F102" s="84">
        <v>15094</v>
      </c>
      <c r="G102" s="84">
        <v>15001</v>
      </c>
      <c r="H102" s="84">
        <v>15286</v>
      </c>
      <c r="I102" s="84">
        <v>14860</v>
      </c>
      <c r="J102" s="84">
        <v>12539</v>
      </c>
      <c r="K102" s="84">
        <v>10196</v>
      </c>
      <c r="L102" s="84">
        <v>4697</v>
      </c>
      <c r="M102" s="84">
        <v>4279</v>
      </c>
      <c r="N102" s="84">
        <v>4308</v>
      </c>
      <c r="O102" s="84">
        <v>3764</v>
      </c>
      <c r="P102" s="84">
        <v>2884</v>
      </c>
      <c r="Q102" s="84">
        <v>2797</v>
      </c>
      <c r="R102" s="84">
        <v>2340</v>
      </c>
      <c r="S102" s="84">
        <v>2207</v>
      </c>
      <c r="T102" s="84">
        <v>2091</v>
      </c>
      <c r="U102" s="84">
        <v>1929</v>
      </c>
      <c r="V102" s="84">
        <v>1877</v>
      </c>
      <c r="W102" s="84">
        <v>1849</v>
      </c>
      <c r="DA102" s="171"/>
    </row>
    <row r="103" spans="1:105" ht="11.45" hidden="1" customHeight="1" x14ac:dyDescent="0.25">
      <c r="A103" s="111" t="s">
        <v>111</v>
      </c>
      <c r="B103" s="84">
        <v>11254</v>
      </c>
      <c r="C103" s="84">
        <v>14109</v>
      </c>
      <c r="D103" s="84">
        <v>20430</v>
      </c>
      <c r="E103" s="84">
        <v>18726</v>
      </c>
      <c r="F103" s="84">
        <v>26436</v>
      </c>
      <c r="G103" s="84">
        <v>24400</v>
      </c>
      <c r="H103" s="84">
        <v>28852</v>
      </c>
      <c r="I103" s="84">
        <v>31498</v>
      </c>
      <c r="J103" s="84">
        <v>33561</v>
      </c>
      <c r="K103" s="84">
        <v>33224</v>
      </c>
      <c r="L103" s="84">
        <v>30577</v>
      </c>
      <c r="M103" s="84">
        <v>32296</v>
      </c>
      <c r="N103" s="84">
        <v>35634</v>
      </c>
      <c r="O103" s="84">
        <v>42140</v>
      </c>
      <c r="P103" s="84">
        <v>47132</v>
      </c>
      <c r="Q103" s="84">
        <v>50590</v>
      </c>
      <c r="R103" s="84">
        <v>50749</v>
      </c>
      <c r="S103" s="84">
        <v>53046</v>
      </c>
      <c r="T103" s="84">
        <v>54670</v>
      </c>
      <c r="U103" s="84">
        <v>56895</v>
      </c>
      <c r="V103" s="84">
        <v>58317</v>
      </c>
      <c r="W103" s="84">
        <v>60690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18</v>
      </c>
      <c r="O104" s="84">
        <v>17</v>
      </c>
      <c r="P104" s="84">
        <v>25</v>
      </c>
      <c r="Q104" s="84">
        <v>27</v>
      </c>
      <c r="R104" s="84">
        <v>166</v>
      </c>
      <c r="S104" s="84">
        <v>294</v>
      </c>
      <c r="T104" s="84">
        <v>373</v>
      </c>
      <c r="U104" s="84">
        <v>453</v>
      </c>
      <c r="V104" s="84">
        <v>486</v>
      </c>
      <c r="W104" s="84">
        <v>500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2</v>
      </c>
      <c r="N106" s="84">
        <v>2</v>
      </c>
      <c r="O106" s="84">
        <v>2</v>
      </c>
      <c r="P106" s="84">
        <v>6</v>
      </c>
      <c r="Q106" s="84">
        <v>7</v>
      </c>
      <c r="R106" s="84">
        <v>11</v>
      </c>
      <c r="S106" s="84">
        <v>12</v>
      </c>
      <c r="T106" s="84">
        <v>12</v>
      </c>
      <c r="U106" s="84">
        <v>14</v>
      </c>
      <c r="V106" s="84">
        <v>16</v>
      </c>
      <c r="W106" s="84">
        <v>39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52456</v>
      </c>
      <c r="C107" s="110">
        <f t="shared" si="164"/>
        <v>53779</v>
      </c>
      <c r="D107" s="110">
        <f t="shared" ref="D107:V107" si="165">SUM(D108:D109)</f>
        <v>54946</v>
      </c>
      <c r="E107" s="110">
        <f t="shared" si="165"/>
        <v>55389</v>
      </c>
      <c r="F107" s="110">
        <f t="shared" si="165"/>
        <v>55362</v>
      </c>
      <c r="G107" s="110">
        <f t="shared" si="165"/>
        <v>52853</v>
      </c>
      <c r="H107" s="110">
        <f t="shared" si="165"/>
        <v>51080</v>
      </c>
      <c r="I107" s="110">
        <f t="shared" si="165"/>
        <v>48953</v>
      </c>
      <c r="J107" s="110">
        <f t="shared" si="165"/>
        <v>46834</v>
      </c>
      <c r="K107" s="110">
        <f t="shared" si="165"/>
        <v>47190</v>
      </c>
      <c r="L107" s="110">
        <f t="shared" si="165"/>
        <v>32904</v>
      </c>
      <c r="M107" s="110">
        <f t="shared" si="165"/>
        <v>31404</v>
      </c>
      <c r="N107" s="110">
        <f t="shared" si="165"/>
        <v>31289</v>
      </c>
      <c r="O107" s="110">
        <f t="shared" si="165"/>
        <v>29400</v>
      </c>
      <c r="P107" s="110">
        <f t="shared" si="165"/>
        <v>26096</v>
      </c>
      <c r="Q107" s="110">
        <f t="shared" si="165"/>
        <v>24619</v>
      </c>
      <c r="R107" s="110">
        <f t="shared" si="165"/>
        <v>23478</v>
      </c>
      <c r="S107" s="110">
        <f t="shared" si="165"/>
        <v>23543</v>
      </c>
      <c r="T107" s="110">
        <f t="shared" si="165"/>
        <v>23812</v>
      </c>
      <c r="U107" s="110">
        <f t="shared" si="165"/>
        <v>23644</v>
      </c>
      <c r="V107" s="110">
        <f t="shared" si="165"/>
        <v>24817</v>
      </c>
      <c r="W107" s="110">
        <f t="shared" ref="W107" si="166">SUM(W108:W109)</f>
        <v>23517</v>
      </c>
      <c r="DA107" s="176"/>
    </row>
    <row r="108" spans="1:105" ht="11.45" hidden="1" customHeight="1" x14ac:dyDescent="0.25">
      <c r="A108" s="128" t="s">
        <v>27</v>
      </c>
      <c r="B108" s="102">
        <v>51859</v>
      </c>
      <c r="C108" s="102">
        <v>53139</v>
      </c>
      <c r="D108" s="102">
        <v>54273</v>
      </c>
      <c r="E108" s="102">
        <v>54701</v>
      </c>
      <c r="F108" s="102">
        <v>54548</v>
      </c>
      <c r="G108" s="102">
        <v>52011</v>
      </c>
      <c r="H108" s="102">
        <v>50053</v>
      </c>
      <c r="I108" s="102">
        <v>47785</v>
      </c>
      <c r="J108" s="102">
        <v>45693</v>
      </c>
      <c r="K108" s="102">
        <v>46280</v>
      </c>
      <c r="L108" s="102">
        <v>31924</v>
      </c>
      <c r="M108" s="102">
        <v>30271</v>
      </c>
      <c r="N108" s="102">
        <v>30031</v>
      </c>
      <c r="O108" s="102">
        <v>27955</v>
      </c>
      <c r="P108" s="102">
        <v>24635</v>
      </c>
      <c r="Q108" s="102">
        <v>22902</v>
      </c>
      <c r="R108" s="102">
        <v>21749</v>
      </c>
      <c r="S108" s="102">
        <v>21838</v>
      </c>
      <c r="T108" s="102">
        <v>21960</v>
      </c>
      <c r="U108" s="102">
        <v>21949</v>
      </c>
      <c r="V108" s="102">
        <v>22756</v>
      </c>
      <c r="W108" s="102">
        <v>21545</v>
      </c>
      <c r="DA108" s="175"/>
    </row>
    <row r="109" spans="1:105" ht="11.45" hidden="1" customHeight="1" x14ac:dyDescent="0.25">
      <c r="A109" s="138" t="s">
        <v>116</v>
      </c>
      <c r="B109" s="86">
        <v>597</v>
      </c>
      <c r="C109" s="86">
        <v>640</v>
      </c>
      <c r="D109" s="86">
        <v>673</v>
      </c>
      <c r="E109" s="86">
        <v>688</v>
      </c>
      <c r="F109" s="86">
        <v>814</v>
      </c>
      <c r="G109" s="86">
        <v>842</v>
      </c>
      <c r="H109" s="86">
        <v>1027</v>
      </c>
      <c r="I109" s="86">
        <v>1168</v>
      </c>
      <c r="J109" s="86">
        <v>1141</v>
      </c>
      <c r="K109" s="86">
        <v>910</v>
      </c>
      <c r="L109" s="86">
        <v>980</v>
      </c>
      <c r="M109" s="86">
        <v>1133</v>
      </c>
      <c r="N109" s="86">
        <v>1258</v>
      </c>
      <c r="O109" s="86">
        <v>1445</v>
      </c>
      <c r="P109" s="86">
        <v>1461</v>
      </c>
      <c r="Q109" s="86">
        <v>1717</v>
      </c>
      <c r="R109" s="86">
        <v>1729</v>
      </c>
      <c r="S109" s="86">
        <v>1705</v>
      </c>
      <c r="T109" s="86">
        <v>1852</v>
      </c>
      <c r="U109" s="86">
        <v>1695</v>
      </c>
      <c r="V109" s="86">
        <v>2061</v>
      </c>
      <c r="W109" s="86">
        <v>1972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40639</v>
      </c>
      <c r="C111" s="54">
        <f t="shared" si="167"/>
        <v>79406</v>
      </c>
      <c r="D111" s="54">
        <f t="shared" si="167"/>
        <v>71092</v>
      </c>
      <c r="E111" s="54">
        <f t="shared" si="167"/>
        <v>75168</v>
      </c>
      <c r="F111" s="54">
        <f t="shared" si="167"/>
        <v>94139</v>
      </c>
      <c r="G111" s="54">
        <f t="shared" si="167"/>
        <v>89288</v>
      </c>
      <c r="H111" s="54">
        <f t="shared" si="167"/>
        <v>113687</v>
      </c>
      <c r="I111" s="54">
        <f t="shared" si="167"/>
        <v>121781</v>
      </c>
      <c r="J111" s="54">
        <f t="shared" si="167"/>
        <v>64004</v>
      </c>
      <c r="K111" s="54">
        <f t="shared" si="167"/>
        <v>23123</v>
      </c>
      <c r="L111" s="54">
        <f t="shared" ref="L111" si="168">L112+L127</f>
        <v>32957</v>
      </c>
      <c r="M111" s="54">
        <f t="shared" ref="M111:V111" si="169">M112+M127</f>
        <v>58024</v>
      </c>
      <c r="N111" s="54">
        <f t="shared" si="169"/>
        <v>81115</v>
      </c>
      <c r="O111" s="54">
        <f t="shared" si="169"/>
        <v>83317</v>
      </c>
      <c r="P111" s="54">
        <f t="shared" si="169"/>
        <v>77663</v>
      </c>
      <c r="Q111" s="54">
        <f t="shared" si="169"/>
        <v>84789</v>
      </c>
      <c r="R111" s="54">
        <f t="shared" si="169"/>
        <v>61283</v>
      </c>
      <c r="S111" s="54">
        <f t="shared" si="169"/>
        <v>89843</v>
      </c>
      <c r="T111" s="54">
        <f t="shared" si="169"/>
        <v>91865</v>
      </c>
      <c r="U111" s="54">
        <f t="shared" si="169"/>
        <v>95658</v>
      </c>
      <c r="V111" s="54">
        <f t="shared" si="169"/>
        <v>88883</v>
      </c>
      <c r="W111" s="54">
        <f t="shared" ref="W111" si="170">W112+W127</f>
        <v>97371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35846</v>
      </c>
      <c r="C112" s="28">
        <f t="shared" si="171"/>
        <v>72040</v>
      </c>
      <c r="D112" s="28">
        <f t="shared" si="171"/>
        <v>60663</v>
      </c>
      <c r="E112" s="28">
        <f t="shared" si="171"/>
        <v>68211</v>
      </c>
      <c r="F112" s="28">
        <f t="shared" si="171"/>
        <v>82656</v>
      </c>
      <c r="G112" s="28">
        <f t="shared" si="171"/>
        <v>81370</v>
      </c>
      <c r="H112" s="28">
        <f t="shared" si="171"/>
        <v>103732</v>
      </c>
      <c r="I112" s="28">
        <f t="shared" si="171"/>
        <v>110882</v>
      </c>
      <c r="J112" s="28">
        <f t="shared" si="171"/>
        <v>58725</v>
      </c>
      <c r="K112" s="28">
        <f t="shared" si="171"/>
        <v>21386</v>
      </c>
      <c r="L112" s="28">
        <f t="shared" ref="L112" si="172">L113+L114+L121</f>
        <v>30534</v>
      </c>
      <c r="M112" s="28">
        <f t="shared" ref="M112:V112" si="173">M113+M114+M121</f>
        <v>52613</v>
      </c>
      <c r="N112" s="28">
        <f t="shared" si="173"/>
        <v>74293</v>
      </c>
      <c r="O112" s="28">
        <f t="shared" si="173"/>
        <v>73659</v>
      </c>
      <c r="P112" s="28">
        <f t="shared" si="173"/>
        <v>72205</v>
      </c>
      <c r="Q112" s="28">
        <f t="shared" si="173"/>
        <v>77775</v>
      </c>
      <c r="R112" s="28">
        <f t="shared" si="173"/>
        <v>55915</v>
      </c>
      <c r="S112" s="28">
        <f t="shared" si="173"/>
        <v>81331</v>
      </c>
      <c r="T112" s="28">
        <f t="shared" si="173"/>
        <v>83787</v>
      </c>
      <c r="U112" s="28">
        <f t="shared" si="173"/>
        <v>87582</v>
      </c>
      <c r="V112" s="28">
        <f t="shared" si="173"/>
        <v>81354</v>
      </c>
      <c r="W112" s="28">
        <f t="shared" ref="W112" si="174">W113+W114+W121</f>
        <v>89268</v>
      </c>
      <c r="DA112" s="173" t="s">
        <v>526</v>
      </c>
    </row>
    <row r="113" spans="1:105" ht="11.45" customHeight="1" x14ac:dyDescent="0.25">
      <c r="A113" s="136" t="s">
        <v>180</v>
      </c>
      <c r="B113" s="137">
        <v>0</v>
      </c>
      <c r="C113" s="137">
        <v>491</v>
      </c>
      <c r="D113" s="137">
        <v>813</v>
      </c>
      <c r="E113" s="137">
        <v>821</v>
      </c>
      <c r="F113" s="137">
        <v>1050</v>
      </c>
      <c r="G113" s="137">
        <v>1094</v>
      </c>
      <c r="H113" s="137">
        <v>1656</v>
      </c>
      <c r="I113" s="137">
        <v>2801</v>
      </c>
      <c r="J113" s="137">
        <v>2879</v>
      </c>
      <c r="K113" s="137">
        <v>1070</v>
      </c>
      <c r="L113" s="137">
        <v>968</v>
      </c>
      <c r="M113" s="137">
        <v>3749</v>
      </c>
      <c r="N113" s="137">
        <v>4566</v>
      </c>
      <c r="O113" s="137">
        <v>4674</v>
      </c>
      <c r="P113" s="137">
        <v>5232</v>
      </c>
      <c r="Q113" s="137">
        <v>5343</v>
      </c>
      <c r="R113" s="137">
        <v>4128</v>
      </c>
      <c r="S113" s="137">
        <v>5945</v>
      </c>
      <c r="T113" s="137">
        <v>5835</v>
      </c>
      <c r="U113" s="137">
        <v>8034</v>
      </c>
      <c r="V113" s="137">
        <v>7367</v>
      </c>
      <c r="W113" s="137">
        <v>8490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35745</v>
      </c>
      <c r="C114" s="110">
        <f t="shared" si="175"/>
        <v>70970</v>
      </c>
      <c r="D114" s="110">
        <f t="shared" si="175"/>
        <v>59230</v>
      </c>
      <c r="E114" s="110">
        <f t="shared" si="175"/>
        <v>66657</v>
      </c>
      <c r="F114" s="110">
        <f t="shared" si="175"/>
        <v>81178</v>
      </c>
      <c r="G114" s="110">
        <f t="shared" si="175"/>
        <v>79930</v>
      </c>
      <c r="H114" s="110">
        <f t="shared" si="175"/>
        <v>101709</v>
      </c>
      <c r="I114" s="110">
        <f t="shared" si="175"/>
        <v>107712</v>
      </c>
      <c r="J114" s="110">
        <f t="shared" si="175"/>
        <v>55534</v>
      </c>
      <c r="K114" s="110">
        <f t="shared" si="175"/>
        <v>20056</v>
      </c>
      <c r="L114" s="110">
        <f t="shared" ref="L114" si="176">SUM(L115:L120)</f>
        <v>29362</v>
      </c>
      <c r="M114" s="110">
        <f t="shared" ref="M114:V114" si="177">SUM(M115:M120)</f>
        <v>48695</v>
      </c>
      <c r="N114" s="110">
        <f t="shared" si="177"/>
        <v>69563</v>
      </c>
      <c r="O114" s="110">
        <f t="shared" si="177"/>
        <v>68761</v>
      </c>
      <c r="P114" s="110">
        <f t="shared" si="177"/>
        <v>66814</v>
      </c>
      <c r="Q114" s="110">
        <f t="shared" si="177"/>
        <v>72165</v>
      </c>
      <c r="R114" s="110">
        <f t="shared" si="177"/>
        <v>51515</v>
      </c>
      <c r="S114" s="110">
        <f t="shared" si="177"/>
        <v>75095</v>
      </c>
      <c r="T114" s="110">
        <f t="shared" si="177"/>
        <v>77705</v>
      </c>
      <c r="U114" s="110">
        <f t="shared" si="177"/>
        <v>79300</v>
      </c>
      <c r="V114" s="110">
        <f t="shared" si="177"/>
        <v>73874</v>
      </c>
      <c r="W114" s="110">
        <f t="shared" ref="W114" si="178">SUM(W115:W120)</f>
        <v>80478</v>
      </c>
      <c r="DA114" s="176" t="s">
        <v>528</v>
      </c>
    </row>
    <row r="115" spans="1:105" ht="11.45" customHeight="1" x14ac:dyDescent="0.25">
      <c r="A115" s="111" t="s">
        <v>110</v>
      </c>
      <c r="B115" s="84">
        <v>28638</v>
      </c>
      <c r="C115" s="84">
        <v>53375</v>
      </c>
      <c r="D115" s="84">
        <v>41085</v>
      </c>
      <c r="E115" s="84">
        <v>43870</v>
      </c>
      <c r="F115" s="84">
        <v>52238</v>
      </c>
      <c r="G115" s="84">
        <v>49426</v>
      </c>
      <c r="H115" s="84">
        <v>59962</v>
      </c>
      <c r="I115" s="84">
        <v>62475</v>
      </c>
      <c r="J115" s="84">
        <v>31542</v>
      </c>
      <c r="K115" s="84">
        <v>8757</v>
      </c>
      <c r="L115" s="84">
        <v>13425</v>
      </c>
      <c r="M115" s="84">
        <v>14502</v>
      </c>
      <c r="N115" s="84">
        <v>14055</v>
      </c>
      <c r="O115" s="84">
        <v>21330</v>
      </c>
      <c r="P115" s="84">
        <v>6785</v>
      </c>
      <c r="Q115" s="84">
        <v>23628</v>
      </c>
      <c r="R115" s="84">
        <v>9381</v>
      </c>
      <c r="S115" s="84">
        <v>19920</v>
      </c>
      <c r="T115" s="84">
        <v>20808</v>
      </c>
      <c r="U115" s="84">
        <v>21611</v>
      </c>
      <c r="V115" s="84">
        <v>21005</v>
      </c>
      <c r="W115" s="84">
        <v>23380</v>
      </c>
      <c r="DA115" s="171" t="s">
        <v>529</v>
      </c>
    </row>
    <row r="116" spans="1:105" ht="11.45" customHeight="1" x14ac:dyDescent="0.25">
      <c r="A116" s="111" t="s">
        <v>111</v>
      </c>
      <c r="B116" s="84">
        <v>7104</v>
      </c>
      <c r="C116" s="84">
        <v>14514</v>
      </c>
      <c r="D116" s="84">
        <v>16768</v>
      </c>
      <c r="E116" s="84">
        <v>19408</v>
      </c>
      <c r="F116" s="84">
        <v>21470</v>
      </c>
      <c r="G116" s="84">
        <v>25834</v>
      </c>
      <c r="H116" s="84">
        <v>37437</v>
      </c>
      <c r="I116" s="84">
        <v>44528</v>
      </c>
      <c r="J116" s="84">
        <v>23217</v>
      </c>
      <c r="K116" s="84">
        <v>10632</v>
      </c>
      <c r="L116" s="84">
        <v>15609</v>
      </c>
      <c r="M116" s="84">
        <v>28976</v>
      </c>
      <c r="N116" s="84">
        <v>36165</v>
      </c>
      <c r="O116" s="84">
        <v>41502</v>
      </c>
      <c r="P116" s="84">
        <v>51162</v>
      </c>
      <c r="Q116" s="84">
        <v>48474</v>
      </c>
      <c r="R116" s="84">
        <v>41258</v>
      </c>
      <c r="S116" s="84">
        <v>54498</v>
      </c>
      <c r="T116" s="84">
        <v>56518</v>
      </c>
      <c r="U116" s="84">
        <v>57299</v>
      </c>
      <c r="V116" s="84">
        <v>52086</v>
      </c>
      <c r="W116" s="84">
        <v>54872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3081</v>
      </c>
      <c r="D117" s="84">
        <v>1377</v>
      </c>
      <c r="E117" s="84">
        <v>3379</v>
      </c>
      <c r="F117" s="84">
        <v>7470</v>
      </c>
      <c r="G117" s="84">
        <v>4670</v>
      </c>
      <c r="H117" s="84">
        <v>4310</v>
      </c>
      <c r="I117" s="84">
        <v>709</v>
      </c>
      <c r="J117" s="84">
        <v>775</v>
      </c>
      <c r="K117" s="84">
        <v>664</v>
      </c>
      <c r="L117" s="84">
        <v>328</v>
      </c>
      <c r="M117" s="84">
        <v>5217</v>
      </c>
      <c r="N117" s="84">
        <v>19330</v>
      </c>
      <c r="O117" s="84">
        <v>5921</v>
      </c>
      <c r="P117" s="84">
        <v>8690</v>
      </c>
      <c r="Q117" s="84">
        <v>26</v>
      </c>
      <c r="R117" s="84">
        <v>830</v>
      </c>
      <c r="S117" s="84">
        <v>575</v>
      </c>
      <c r="T117" s="84">
        <v>56</v>
      </c>
      <c r="U117" s="84">
        <v>120</v>
      </c>
      <c r="V117" s="84">
        <v>106</v>
      </c>
      <c r="W117" s="84">
        <v>1149</v>
      </c>
      <c r="DA117" s="171" t="s">
        <v>531</v>
      </c>
    </row>
    <row r="118" spans="1:105" ht="11.45" customHeight="1" x14ac:dyDescent="0.25">
      <c r="A118" s="111" t="s">
        <v>113</v>
      </c>
      <c r="B118" s="84">
        <v>3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3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151</v>
      </c>
      <c r="U118" s="84">
        <v>15</v>
      </c>
      <c r="V118" s="84">
        <v>35</v>
      </c>
      <c r="W118" s="84">
        <v>25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3</v>
      </c>
      <c r="O119" s="84">
        <v>3</v>
      </c>
      <c r="P119" s="84">
        <v>3</v>
      </c>
      <c r="Q119" s="84">
        <v>14</v>
      </c>
      <c r="R119" s="84">
        <v>15</v>
      </c>
      <c r="S119" s="84">
        <v>29</v>
      </c>
      <c r="T119" s="84">
        <v>40</v>
      </c>
      <c r="U119" s="84">
        <v>36</v>
      </c>
      <c r="V119" s="84">
        <v>90</v>
      </c>
      <c r="W119" s="84">
        <v>144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10</v>
      </c>
      <c r="O120" s="84">
        <v>5</v>
      </c>
      <c r="P120" s="84">
        <v>174</v>
      </c>
      <c r="Q120" s="84">
        <v>23</v>
      </c>
      <c r="R120" s="84">
        <v>31</v>
      </c>
      <c r="S120" s="84">
        <v>73</v>
      </c>
      <c r="T120" s="84">
        <v>132</v>
      </c>
      <c r="U120" s="84">
        <v>219</v>
      </c>
      <c r="V120" s="84">
        <v>552</v>
      </c>
      <c r="W120" s="84">
        <v>908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101</v>
      </c>
      <c r="C121" s="110">
        <f t="shared" si="179"/>
        <v>579</v>
      </c>
      <c r="D121" s="110">
        <f t="shared" si="179"/>
        <v>620</v>
      </c>
      <c r="E121" s="110">
        <f t="shared" si="179"/>
        <v>733</v>
      </c>
      <c r="F121" s="110">
        <f t="shared" si="179"/>
        <v>428</v>
      </c>
      <c r="G121" s="110">
        <f t="shared" si="179"/>
        <v>346</v>
      </c>
      <c r="H121" s="110">
        <f t="shared" si="179"/>
        <v>367</v>
      </c>
      <c r="I121" s="110">
        <f t="shared" si="179"/>
        <v>369</v>
      </c>
      <c r="J121" s="110">
        <f t="shared" si="179"/>
        <v>312</v>
      </c>
      <c r="K121" s="110">
        <f t="shared" si="179"/>
        <v>260</v>
      </c>
      <c r="L121" s="110">
        <f t="shared" ref="L121" si="180">SUM(L122:L126)</f>
        <v>204</v>
      </c>
      <c r="M121" s="110">
        <f t="shared" ref="M121:V121" si="181">SUM(M122:M126)</f>
        <v>169</v>
      </c>
      <c r="N121" s="110">
        <f t="shared" si="181"/>
        <v>164</v>
      </c>
      <c r="O121" s="110">
        <f t="shared" si="181"/>
        <v>224</v>
      </c>
      <c r="P121" s="110">
        <f t="shared" si="181"/>
        <v>159</v>
      </c>
      <c r="Q121" s="110">
        <f t="shared" si="181"/>
        <v>267</v>
      </c>
      <c r="R121" s="110">
        <f t="shared" si="181"/>
        <v>272</v>
      </c>
      <c r="S121" s="110">
        <f t="shared" si="181"/>
        <v>291</v>
      </c>
      <c r="T121" s="110">
        <f t="shared" si="181"/>
        <v>247</v>
      </c>
      <c r="U121" s="110">
        <f t="shared" si="181"/>
        <v>248</v>
      </c>
      <c r="V121" s="110">
        <f t="shared" si="181"/>
        <v>113</v>
      </c>
      <c r="W121" s="110">
        <f t="shared" ref="W121" si="182">SUM(W122:W126)</f>
        <v>300</v>
      </c>
      <c r="DA121" s="176" t="s">
        <v>535</v>
      </c>
    </row>
    <row r="122" spans="1:105" ht="11.45" customHeight="1" x14ac:dyDescent="0.25">
      <c r="A122" s="111" t="s">
        <v>110</v>
      </c>
      <c r="B122" s="102">
        <v>92</v>
      </c>
      <c r="C122" s="102">
        <v>21</v>
      </c>
      <c r="D122" s="102">
        <v>12</v>
      </c>
      <c r="E122" s="102">
        <v>7</v>
      </c>
      <c r="F122" s="102">
        <v>4</v>
      </c>
      <c r="G122" s="102">
        <v>5</v>
      </c>
      <c r="H122" s="102">
        <v>5</v>
      </c>
      <c r="I122" s="102">
        <v>14</v>
      </c>
      <c r="J122" s="102">
        <v>7</v>
      </c>
      <c r="K122" s="102">
        <v>2</v>
      </c>
      <c r="L122" s="102">
        <v>1</v>
      </c>
      <c r="M122" s="102">
        <v>0</v>
      </c>
      <c r="N122" s="102">
        <v>0</v>
      </c>
      <c r="O122" s="102">
        <v>4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0</v>
      </c>
      <c r="C123" s="102">
        <v>509</v>
      </c>
      <c r="D123" s="102">
        <v>608</v>
      </c>
      <c r="E123" s="102">
        <v>717</v>
      </c>
      <c r="F123" s="102">
        <v>409</v>
      </c>
      <c r="G123" s="102">
        <v>293</v>
      </c>
      <c r="H123" s="102">
        <v>348</v>
      </c>
      <c r="I123" s="102">
        <v>312</v>
      </c>
      <c r="J123" s="102">
        <v>243</v>
      </c>
      <c r="K123" s="102">
        <v>182</v>
      </c>
      <c r="L123" s="102">
        <v>127</v>
      </c>
      <c r="M123" s="102">
        <v>169</v>
      </c>
      <c r="N123" s="102">
        <v>164</v>
      </c>
      <c r="O123" s="102">
        <v>220</v>
      </c>
      <c r="P123" s="102">
        <v>151</v>
      </c>
      <c r="Q123" s="102">
        <v>242</v>
      </c>
      <c r="R123" s="102">
        <v>234</v>
      </c>
      <c r="S123" s="102">
        <v>289</v>
      </c>
      <c r="T123" s="102">
        <v>238</v>
      </c>
      <c r="U123" s="102">
        <v>219</v>
      </c>
      <c r="V123" s="102">
        <v>17</v>
      </c>
      <c r="W123" s="102">
        <v>171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12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36</v>
      </c>
      <c r="D125" s="102">
        <v>0</v>
      </c>
      <c r="E125" s="102">
        <v>9</v>
      </c>
      <c r="F125" s="102">
        <v>15</v>
      </c>
      <c r="G125" s="102">
        <v>18</v>
      </c>
      <c r="H125" s="102">
        <v>11</v>
      </c>
      <c r="I125" s="102">
        <v>14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102">
        <v>14</v>
      </c>
      <c r="V125" s="102">
        <v>46</v>
      </c>
      <c r="W125" s="102">
        <v>90</v>
      </c>
      <c r="DA125" s="175" t="s">
        <v>539</v>
      </c>
    </row>
    <row r="126" spans="1:105" ht="11.45" customHeight="1" x14ac:dyDescent="0.25">
      <c r="A126" s="111" t="s">
        <v>115</v>
      </c>
      <c r="B126" s="102">
        <v>9</v>
      </c>
      <c r="C126" s="102">
        <v>13</v>
      </c>
      <c r="D126" s="102">
        <v>0</v>
      </c>
      <c r="E126" s="102">
        <v>0</v>
      </c>
      <c r="F126" s="102">
        <v>0</v>
      </c>
      <c r="G126" s="102">
        <v>30</v>
      </c>
      <c r="H126" s="102">
        <v>3</v>
      </c>
      <c r="I126" s="102">
        <v>29</v>
      </c>
      <c r="J126" s="102">
        <v>62</v>
      </c>
      <c r="K126" s="102">
        <v>76</v>
      </c>
      <c r="L126" s="102">
        <v>76</v>
      </c>
      <c r="M126" s="102">
        <v>0</v>
      </c>
      <c r="N126" s="102">
        <v>0</v>
      </c>
      <c r="O126" s="102">
        <v>0</v>
      </c>
      <c r="P126" s="102">
        <v>8</v>
      </c>
      <c r="Q126" s="102">
        <v>25</v>
      </c>
      <c r="R126" s="102">
        <v>26</v>
      </c>
      <c r="S126" s="102">
        <v>2</v>
      </c>
      <c r="T126" s="102">
        <v>9</v>
      </c>
      <c r="U126" s="102">
        <v>15</v>
      </c>
      <c r="V126" s="102">
        <v>50</v>
      </c>
      <c r="W126" s="102">
        <v>39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4793</v>
      </c>
      <c r="C127" s="28">
        <f t="shared" si="183"/>
        <v>7366</v>
      </c>
      <c r="D127" s="28">
        <f t="shared" si="183"/>
        <v>10429</v>
      </c>
      <c r="E127" s="28">
        <f t="shared" si="183"/>
        <v>6957</v>
      </c>
      <c r="F127" s="28">
        <f t="shared" si="183"/>
        <v>11483</v>
      </c>
      <c r="G127" s="28">
        <f t="shared" si="183"/>
        <v>7918</v>
      </c>
      <c r="H127" s="28">
        <f t="shared" si="183"/>
        <v>9955</v>
      </c>
      <c r="I127" s="28">
        <f t="shared" si="183"/>
        <v>10899</v>
      </c>
      <c r="J127" s="28">
        <f t="shared" si="183"/>
        <v>5279</v>
      </c>
      <c r="K127" s="28">
        <f t="shared" si="183"/>
        <v>1737</v>
      </c>
      <c r="L127" s="28">
        <f t="shared" ref="L127" si="184">L128+L134</f>
        <v>2423</v>
      </c>
      <c r="M127" s="28">
        <f t="shared" ref="M127:V127" si="185">M128+M134</f>
        <v>5411</v>
      </c>
      <c r="N127" s="28">
        <f t="shared" si="185"/>
        <v>6822</v>
      </c>
      <c r="O127" s="28">
        <f t="shared" si="185"/>
        <v>9658</v>
      </c>
      <c r="P127" s="28">
        <f t="shared" si="185"/>
        <v>5458</v>
      </c>
      <c r="Q127" s="28">
        <f t="shared" si="185"/>
        <v>7014</v>
      </c>
      <c r="R127" s="28">
        <f t="shared" si="185"/>
        <v>5368</v>
      </c>
      <c r="S127" s="28">
        <f t="shared" si="185"/>
        <v>8512</v>
      </c>
      <c r="T127" s="28">
        <f t="shared" si="185"/>
        <v>8078</v>
      </c>
      <c r="U127" s="28">
        <f t="shared" si="185"/>
        <v>8076</v>
      </c>
      <c r="V127" s="28">
        <f t="shared" si="185"/>
        <v>7529</v>
      </c>
      <c r="W127" s="28">
        <f t="shared" ref="W127" si="186">W128+W134</f>
        <v>8103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2864</v>
      </c>
      <c r="C128" s="137">
        <f t="shared" si="187"/>
        <v>4327</v>
      </c>
      <c r="D128" s="137">
        <f t="shared" si="187"/>
        <v>7307</v>
      </c>
      <c r="E128" s="137">
        <f t="shared" si="187"/>
        <v>3726</v>
      </c>
      <c r="F128" s="137">
        <f t="shared" si="187"/>
        <v>8673</v>
      </c>
      <c r="G128" s="137">
        <f t="shared" si="187"/>
        <v>4742</v>
      </c>
      <c r="H128" s="137">
        <f t="shared" si="187"/>
        <v>6241</v>
      </c>
      <c r="I128" s="137">
        <f t="shared" si="187"/>
        <v>7382</v>
      </c>
      <c r="J128" s="137">
        <f t="shared" si="187"/>
        <v>3527</v>
      </c>
      <c r="K128" s="137">
        <f t="shared" si="187"/>
        <v>1096</v>
      </c>
      <c r="L128" s="137">
        <f t="shared" ref="L128" si="188">SUM(L129:L133)</f>
        <v>1672</v>
      </c>
      <c r="M128" s="137">
        <f t="shared" ref="M128:V128" si="189">SUM(M129:M133)</f>
        <v>4085</v>
      </c>
      <c r="N128" s="137">
        <f t="shared" si="189"/>
        <v>5407</v>
      </c>
      <c r="O128" s="137">
        <f t="shared" si="189"/>
        <v>6720</v>
      </c>
      <c r="P128" s="137">
        <f t="shared" si="189"/>
        <v>5102</v>
      </c>
      <c r="Q128" s="137">
        <f t="shared" si="189"/>
        <v>5969</v>
      </c>
      <c r="R128" s="137">
        <f t="shared" si="189"/>
        <v>3966</v>
      </c>
      <c r="S128" s="137">
        <f t="shared" si="189"/>
        <v>6055</v>
      </c>
      <c r="T128" s="137">
        <f t="shared" si="189"/>
        <v>5683</v>
      </c>
      <c r="U128" s="137">
        <f t="shared" si="189"/>
        <v>6314</v>
      </c>
      <c r="V128" s="137">
        <f t="shared" si="189"/>
        <v>5671</v>
      </c>
      <c r="W128" s="137">
        <f t="shared" ref="W128" si="190">SUM(W129:W133)</f>
        <v>6681</v>
      </c>
      <c r="DA128" s="174" t="s">
        <v>542</v>
      </c>
    </row>
    <row r="129" spans="1:105" ht="11.45" customHeight="1" x14ac:dyDescent="0.25">
      <c r="A129" s="111" t="s">
        <v>110</v>
      </c>
      <c r="B129" s="84">
        <v>672</v>
      </c>
      <c r="C129" s="84">
        <v>1060</v>
      </c>
      <c r="D129" s="84">
        <v>486</v>
      </c>
      <c r="E129" s="84">
        <v>1218</v>
      </c>
      <c r="F129" s="84">
        <v>963</v>
      </c>
      <c r="G129" s="84">
        <v>1206</v>
      </c>
      <c r="H129" s="84">
        <v>1592</v>
      </c>
      <c r="I129" s="84">
        <v>1118</v>
      </c>
      <c r="J129" s="84">
        <v>227</v>
      </c>
      <c r="K129" s="84">
        <v>49</v>
      </c>
      <c r="L129" s="84">
        <v>136</v>
      </c>
      <c r="M129" s="84">
        <v>166</v>
      </c>
      <c r="N129" s="84">
        <v>330</v>
      </c>
      <c r="O129" s="84">
        <v>214</v>
      </c>
      <c r="P129" s="84">
        <v>98</v>
      </c>
      <c r="Q129" s="84">
        <v>108</v>
      </c>
      <c r="R129" s="84">
        <v>52</v>
      </c>
      <c r="S129" s="84">
        <v>65</v>
      </c>
      <c r="T129" s="84">
        <v>142</v>
      </c>
      <c r="U129" s="84">
        <v>86</v>
      </c>
      <c r="V129" s="84">
        <v>99</v>
      </c>
      <c r="W129" s="84">
        <v>117</v>
      </c>
      <c r="DA129" s="171" t="s">
        <v>543</v>
      </c>
    </row>
    <row r="130" spans="1:105" ht="11.45" customHeight="1" x14ac:dyDescent="0.25">
      <c r="A130" s="111" t="s">
        <v>111</v>
      </c>
      <c r="B130" s="84">
        <v>2192</v>
      </c>
      <c r="C130" s="84">
        <v>3267</v>
      </c>
      <c r="D130" s="84">
        <v>6821</v>
      </c>
      <c r="E130" s="84">
        <v>2508</v>
      </c>
      <c r="F130" s="84">
        <v>7710</v>
      </c>
      <c r="G130" s="84">
        <v>3536</v>
      </c>
      <c r="H130" s="84">
        <v>4649</v>
      </c>
      <c r="I130" s="84">
        <v>6264</v>
      </c>
      <c r="J130" s="84">
        <v>3300</v>
      </c>
      <c r="K130" s="84">
        <v>1047</v>
      </c>
      <c r="L130" s="84">
        <v>1536</v>
      </c>
      <c r="M130" s="84">
        <v>3917</v>
      </c>
      <c r="N130" s="84">
        <v>5059</v>
      </c>
      <c r="O130" s="84">
        <v>6506</v>
      </c>
      <c r="P130" s="84">
        <v>4992</v>
      </c>
      <c r="Q130" s="84">
        <v>5857</v>
      </c>
      <c r="R130" s="84">
        <v>3765</v>
      </c>
      <c r="S130" s="84">
        <v>5852</v>
      </c>
      <c r="T130" s="84">
        <v>5461</v>
      </c>
      <c r="U130" s="84">
        <v>6146</v>
      </c>
      <c r="V130" s="84">
        <v>5523</v>
      </c>
      <c r="W130" s="84">
        <v>6525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18</v>
      </c>
      <c r="O131" s="84">
        <v>0</v>
      </c>
      <c r="P131" s="84">
        <v>8</v>
      </c>
      <c r="Q131" s="84">
        <v>3</v>
      </c>
      <c r="R131" s="84">
        <v>139</v>
      </c>
      <c r="S131" s="84">
        <v>128</v>
      </c>
      <c r="T131" s="84">
        <v>79</v>
      </c>
      <c r="U131" s="84">
        <v>80</v>
      </c>
      <c r="V131" s="84">
        <v>33</v>
      </c>
      <c r="W131" s="84">
        <v>14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2</v>
      </c>
      <c r="N133" s="84">
        <v>0</v>
      </c>
      <c r="O133" s="84">
        <v>0</v>
      </c>
      <c r="P133" s="84">
        <v>4</v>
      </c>
      <c r="Q133" s="84">
        <v>1</v>
      </c>
      <c r="R133" s="84">
        <v>10</v>
      </c>
      <c r="S133" s="84">
        <v>10</v>
      </c>
      <c r="T133" s="84">
        <v>1</v>
      </c>
      <c r="U133" s="84">
        <v>2</v>
      </c>
      <c r="V133" s="84">
        <v>16</v>
      </c>
      <c r="W133" s="84">
        <v>25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1929</v>
      </c>
      <c r="C134" s="110">
        <f t="shared" si="191"/>
        <v>3039</v>
      </c>
      <c r="D134" s="110">
        <f t="shared" si="191"/>
        <v>3122</v>
      </c>
      <c r="E134" s="110">
        <f t="shared" si="191"/>
        <v>3231</v>
      </c>
      <c r="F134" s="110">
        <f t="shared" si="191"/>
        <v>2810</v>
      </c>
      <c r="G134" s="110">
        <f t="shared" si="191"/>
        <v>3176</v>
      </c>
      <c r="H134" s="110">
        <f t="shared" si="191"/>
        <v>3714</v>
      </c>
      <c r="I134" s="110">
        <f t="shared" si="191"/>
        <v>3517</v>
      </c>
      <c r="J134" s="110">
        <f t="shared" si="191"/>
        <v>1752</v>
      </c>
      <c r="K134" s="110">
        <f t="shared" si="191"/>
        <v>641</v>
      </c>
      <c r="L134" s="110">
        <f t="shared" ref="L134" si="192">SUM(L135:L136)</f>
        <v>751</v>
      </c>
      <c r="M134" s="110">
        <f t="shared" ref="M134:V134" si="193">SUM(M135:M136)</f>
        <v>1326</v>
      </c>
      <c r="N134" s="110">
        <f t="shared" si="193"/>
        <v>1415</v>
      </c>
      <c r="O134" s="110">
        <f t="shared" si="193"/>
        <v>2938</v>
      </c>
      <c r="P134" s="110">
        <f t="shared" si="193"/>
        <v>356</v>
      </c>
      <c r="Q134" s="110">
        <f t="shared" si="193"/>
        <v>1045</v>
      </c>
      <c r="R134" s="110">
        <f t="shared" si="193"/>
        <v>1402</v>
      </c>
      <c r="S134" s="110">
        <f t="shared" si="193"/>
        <v>2457</v>
      </c>
      <c r="T134" s="110">
        <f t="shared" si="193"/>
        <v>2395</v>
      </c>
      <c r="U134" s="110">
        <f t="shared" si="193"/>
        <v>1762</v>
      </c>
      <c r="V134" s="110">
        <f t="shared" si="193"/>
        <v>1858</v>
      </c>
      <c r="W134" s="110">
        <f t="shared" ref="W134" si="194">SUM(W135:W136)</f>
        <v>1422</v>
      </c>
      <c r="DA134" s="176" t="s">
        <v>548</v>
      </c>
    </row>
    <row r="135" spans="1:105" ht="11.45" customHeight="1" x14ac:dyDescent="0.25">
      <c r="A135" s="128" t="s">
        <v>27</v>
      </c>
      <c r="B135" s="102">
        <v>1869</v>
      </c>
      <c r="C135" s="102">
        <v>2980</v>
      </c>
      <c r="D135" s="102">
        <v>3069</v>
      </c>
      <c r="E135" s="102">
        <v>3193</v>
      </c>
      <c r="F135" s="102">
        <v>2657</v>
      </c>
      <c r="G135" s="102">
        <v>3117</v>
      </c>
      <c r="H135" s="102">
        <v>3492</v>
      </c>
      <c r="I135" s="102">
        <v>3334</v>
      </c>
      <c r="J135" s="102">
        <v>1732</v>
      </c>
      <c r="K135" s="102">
        <v>641</v>
      </c>
      <c r="L135" s="102">
        <v>640</v>
      </c>
      <c r="M135" s="102">
        <v>1127</v>
      </c>
      <c r="N135" s="102">
        <v>1239</v>
      </c>
      <c r="O135" s="102">
        <v>2695</v>
      </c>
      <c r="P135" s="102">
        <v>280</v>
      </c>
      <c r="Q135" s="102">
        <v>724</v>
      </c>
      <c r="R135" s="102">
        <v>1321</v>
      </c>
      <c r="S135" s="102">
        <v>2406</v>
      </c>
      <c r="T135" s="102">
        <v>2167</v>
      </c>
      <c r="U135" s="102">
        <v>1762</v>
      </c>
      <c r="V135" s="102">
        <v>1406</v>
      </c>
      <c r="W135" s="102">
        <v>1416</v>
      </c>
      <c r="DA135" s="175" t="s">
        <v>549</v>
      </c>
    </row>
    <row r="136" spans="1:105" ht="11.45" customHeight="1" x14ac:dyDescent="0.25">
      <c r="A136" s="138" t="s">
        <v>116</v>
      </c>
      <c r="B136" s="86">
        <v>60</v>
      </c>
      <c r="C136" s="86">
        <v>59</v>
      </c>
      <c r="D136" s="86">
        <v>53</v>
      </c>
      <c r="E136" s="86">
        <v>38</v>
      </c>
      <c r="F136" s="86">
        <v>153</v>
      </c>
      <c r="G136" s="86">
        <v>59</v>
      </c>
      <c r="H136" s="86">
        <v>222</v>
      </c>
      <c r="I136" s="86">
        <v>183</v>
      </c>
      <c r="J136" s="86">
        <v>20</v>
      </c>
      <c r="K136" s="86">
        <v>0</v>
      </c>
      <c r="L136" s="86">
        <v>111</v>
      </c>
      <c r="M136" s="86">
        <v>199</v>
      </c>
      <c r="N136" s="86">
        <v>176</v>
      </c>
      <c r="O136" s="86">
        <v>243</v>
      </c>
      <c r="P136" s="86">
        <v>76</v>
      </c>
      <c r="Q136" s="86">
        <v>321</v>
      </c>
      <c r="R136" s="86">
        <v>81</v>
      </c>
      <c r="S136" s="86">
        <v>51</v>
      </c>
      <c r="T136" s="86">
        <v>228</v>
      </c>
      <c r="U136" s="86">
        <v>0</v>
      </c>
      <c r="V136" s="86">
        <v>452</v>
      </c>
      <c r="W136" s="86">
        <v>6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3.165251251592117</v>
      </c>
      <c r="C141" s="32">
        <f t="shared" si="195"/>
        <v>2.8265851317026653</v>
      </c>
      <c r="D141" s="32">
        <f t="shared" si="195"/>
        <v>2.8853906834996068</v>
      </c>
      <c r="E141" s="32">
        <f t="shared" si="195"/>
        <v>2.8661819795490535</v>
      </c>
      <c r="F141" s="32">
        <f t="shared" si="195"/>
        <v>2.4401018856692018</v>
      </c>
      <c r="G141" s="32">
        <f t="shared" si="195"/>
        <v>2.4784165333736929</v>
      </c>
      <c r="H141" s="32">
        <f t="shared" si="195"/>
        <v>2.358046635730275</v>
      </c>
      <c r="I141" s="32">
        <f t="shared" si="195"/>
        <v>2.3225302422527259</v>
      </c>
      <c r="J141" s="32">
        <f t="shared" si="195"/>
        <v>2.1551317035430024</v>
      </c>
      <c r="K141" s="32">
        <f t="shared" si="195"/>
        <v>2.1147832826355111</v>
      </c>
      <c r="L141" s="32">
        <f t="shared" ref="L141" si="196">IF(L4=0,0,L4/L31)</f>
        <v>2.0887022130232951</v>
      </c>
      <c r="M141" s="32">
        <f t="shared" ref="M141:V141" si="197">IF(M4=0,0,M4/M31)</f>
        <v>2.0123287549745976</v>
      </c>
      <c r="N141" s="32">
        <f t="shared" si="197"/>
        <v>2.1127668642258937</v>
      </c>
      <c r="O141" s="32">
        <f t="shared" si="197"/>
        <v>2.121609218384394</v>
      </c>
      <c r="P141" s="32">
        <f t="shared" si="197"/>
        <v>2.0039290648461479</v>
      </c>
      <c r="Q141" s="32">
        <f t="shared" si="197"/>
        <v>1.949191455731363</v>
      </c>
      <c r="R141" s="32">
        <f t="shared" si="197"/>
        <v>1.9029496794899963</v>
      </c>
      <c r="S141" s="32">
        <f t="shared" si="197"/>
        <v>1.9077559355804028</v>
      </c>
      <c r="T141" s="32">
        <f t="shared" si="197"/>
        <v>1.8375641778618548</v>
      </c>
      <c r="U141" s="32">
        <f t="shared" si="197"/>
        <v>1.7502924302071368</v>
      </c>
      <c r="V141" s="32">
        <f t="shared" si="197"/>
        <v>1.6328934327084508</v>
      </c>
      <c r="W141" s="32">
        <f t="shared" ref="W141" si="198">IF(W4=0,0,W4/W31)</f>
        <v>1.4019278155581258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1.1549472685768514</v>
      </c>
      <c r="C142" s="141">
        <v>1.1549251164250134</v>
      </c>
      <c r="D142" s="141">
        <v>1.1547244330057378</v>
      </c>
      <c r="E142" s="141">
        <v>1.1552093820866822</v>
      </c>
      <c r="F142" s="141">
        <v>1.1553640856511078</v>
      </c>
      <c r="G142" s="141">
        <v>1.1543178727366701</v>
      </c>
      <c r="H142" s="141">
        <v>1.1546398637822315</v>
      </c>
      <c r="I142" s="141">
        <v>1.156493139331968</v>
      </c>
      <c r="J142" s="141">
        <v>1.1571017737935942</v>
      </c>
      <c r="K142" s="141">
        <v>1.157657056258365</v>
      </c>
      <c r="L142" s="141">
        <v>1.1556682113354204</v>
      </c>
      <c r="M142" s="141">
        <v>1.1546558434345864</v>
      </c>
      <c r="N142" s="141">
        <v>1.1475295413899496</v>
      </c>
      <c r="O142" s="141">
        <v>1.1469392088128176</v>
      </c>
      <c r="P142" s="141">
        <v>1.1494295322312342</v>
      </c>
      <c r="Q142" s="141">
        <v>1.1514161199072461</v>
      </c>
      <c r="R142" s="141">
        <v>1.1524138250405906</v>
      </c>
      <c r="S142" s="141">
        <v>1.1510351949567652</v>
      </c>
      <c r="T142" s="141">
        <v>1.1498656949219248</v>
      </c>
      <c r="U142" s="141">
        <v>1.1509670645175529</v>
      </c>
      <c r="V142" s="141">
        <v>1.1497423646660614</v>
      </c>
      <c r="W142" s="141">
        <v>1.1499418288188756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2.7371158663972466</v>
      </c>
      <c r="C143" s="130">
        <f t="shared" si="199"/>
        <v>2.4555538990068793</v>
      </c>
      <c r="D143" s="130">
        <f t="shared" si="199"/>
        <v>2.5149102177346596</v>
      </c>
      <c r="E143" s="130">
        <f t="shared" si="199"/>
        <v>2.4839367591143495</v>
      </c>
      <c r="F143" s="130">
        <f t="shared" si="199"/>
        <v>2.0493647306001659</v>
      </c>
      <c r="G143" s="130">
        <f t="shared" si="199"/>
        <v>2.0652717202597493</v>
      </c>
      <c r="H143" s="130">
        <f t="shared" si="199"/>
        <v>2.0197568253767573</v>
      </c>
      <c r="I143" s="130">
        <f t="shared" si="199"/>
        <v>2.0379770402238897</v>
      </c>
      <c r="J143" s="130">
        <f t="shared" si="199"/>
        <v>1.8726645373868476</v>
      </c>
      <c r="K143" s="130">
        <f t="shared" si="199"/>
        <v>1.8538597126568179</v>
      </c>
      <c r="L143" s="130">
        <f t="shared" ref="L143" si="200">IF(L6=0,0,L6/L33)</f>
        <v>1.8013593501330374</v>
      </c>
      <c r="M143" s="130">
        <f t="shared" ref="M143:V143" si="201">IF(M6=0,0,M6/M33)</f>
        <v>1.6994153475485636</v>
      </c>
      <c r="N143" s="130">
        <f t="shared" si="201"/>
        <v>1.7464448054605382</v>
      </c>
      <c r="O143" s="130">
        <f t="shared" si="201"/>
        <v>1.7613410504336415</v>
      </c>
      <c r="P143" s="130">
        <f t="shared" si="201"/>
        <v>1.6829073499655909</v>
      </c>
      <c r="Q143" s="130">
        <f t="shared" si="201"/>
        <v>1.6625950025474896</v>
      </c>
      <c r="R143" s="130">
        <f t="shared" si="201"/>
        <v>1.6354470707130888</v>
      </c>
      <c r="S143" s="130">
        <f t="shared" si="201"/>
        <v>1.6610777205356153</v>
      </c>
      <c r="T143" s="130">
        <f t="shared" si="201"/>
        <v>1.5989068406634974</v>
      </c>
      <c r="U143" s="130">
        <f t="shared" si="201"/>
        <v>1.5233025989435323</v>
      </c>
      <c r="V143" s="130">
        <f t="shared" si="201"/>
        <v>1.4854629842739444</v>
      </c>
      <c r="W143" s="130">
        <f t="shared" ref="W143" si="202">IF(W6=0,0,W6/W33)</f>
        <v>1.2841695304580421</v>
      </c>
      <c r="DA143" s="176" t="s">
        <v>553</v>
      </c>
    </row>
    <row r="144" spans="1:105" ht="11.45" customHeight="1" x14ac:dyDescent="0.25">
      <c r="A144" s="111" t="s">
        <v>110</v>
      </c>
      <c r="B144" s="96">
        <v>2.7213356488056526</v>
      </c>
      <c r="C144" s="96">
        <v>2.4373763281416529</v>
      </c>
      <c r="D144" s="96">
        <v>2.491175060513013</v>
      </c>
      <c r="E144" s="96">
        <v>2.4547327536732411</v>
      </c>
      <c r="F144" s="96">
        <v>2.021192773973207</v>
      </c>
      <c r="G144" s="96">
        <v>2.0314081030226232</v>
      </c>
      <c r="H144" s="96">
        <v>1.9820163769479222</v>
      </c>
      <c r="I144" s="96">
        <v>1.9979370994399055</v>
      </c>
      <c r="J144" s="96">
        <v>1.8313616571064344</v>
      </c>
      <c r="K144" s="96">
        <v>1.8072641771492275</v>
      </c>
      <c r="L144" s="96">
        <v>1.7540004818696586</v>
      </c>
      <c r="M144" s="96">
        <v>1.6519830219529856</v>
      </c>
      <c r="N144" s="96">
        <v>1.6944055349467591</v>
      </c>
      <c r="O144" s="96">
        <v>1.7057160133026739</v>
      </c>
      <c r="P144" s="96">
        <v>1.6235683667967256</v>
      </c>
      <c r="Q144" s="96">
        <v>1.5996607427365008</v>
      </c>
      <c r="R144" s="96">
        <v>1.5695408141125435</v>
      </c>
      <c r="S144" s="96">
        <v>1.5908521831843965</v>
      </c>
      <c r="T144" s="96">
        <v>1.5288149373102071</v>
      </c>
      <c r="U144" s="96">
        <v>1.4535912615228237</v>
      </c>
      <c r="V144" s="96">
        <v>1.4169117090799044</v>
      </c>
      <c r="W144" s="96">
        <v>1.224677084711167</v>
      </c>
      <c r="DA144" s="171" t="s">
        <v>554</v>
      </c>
    </row>
    <row r="145" spans="1:105" ht="11.45" customHeight="1" x14ac:dyDescent="0.25">
      <c r="A145" s="111" t="s">
        <v>111</v>
      </c>
      <c r="B145" s="96">
        <v>2.9060922663195892</v>
      </c>
      <c r="C145" s="96">
        <v>2.6028544110064527</v>
      </c>
      <c r="D145" s="96">
        <v>2.6603056409386436</v>
      </c>
      <c r="E145" s="96">
        <v>2.621389197051839</v>
      </c>
      <c r="F145" s="96">
        <v>2.1584153692185915</v>
      </c>
      <c r="G145" s="96">
        <v>2.1693242362528546</v>
      </c>
      <c r="H145" s="96">
        <v>2.1165792125991727</v>
      </c>
      <c r="I145" s="96">
        <v>2.1335808230137063</v>
      </c>
      <c r="J145" s="96">
        <v>1.9556962592567431</v>
      </c>
      <c r="K145" s="96">
        <v>1.929962755867638</v>
      </c>
      <c r="L145" s="96">
        <v>1.8730828877060277</v>
      </c>
      <c r="M145" s="96">
        <v>1.7641392697353711</v>
      </c>
      <c r="N145" s="96">
        <v>1.8094419272679521</v>
      </c>
      <c r="O145" s="96">
        <v>1.8215202953637524</v>
      </c>
      <c r="P145" s="96">
        <v>1.7337954899682599</v>
      </c>
      <c r="Q145" s="96">
        <v>1.7082647321516016</v>
      </c>
      <c r="R145" s="96">
        <v>1.67609990467999</v>
      </c>
      <c r="S145" s="96">
        <v>1.6988581428530631</v>
      </c>
      <c r="T145" s="96">
        <v>1.6326090711746495</v>
      </c>
      <c r="U145" s="96">
        <v>1.5522783179484567</v>
      </c>
      <c r="V145" s="96">
        <v>1.5131085214063762</v>
      </c>
      <c r="W145" s="96">
        <v>1.3078227252782795</v>
      </c>
      <c r="DA145" s="171" t="s">
        <v>555</v>
      </c>
    </row>
    <row r="146" spans="1:105" ht="11.45" customHeight="1" x14ac:dyDescent="0.25">
      <c r="A146" s="111" t="s">
        <v>112</v>
      </c>
      <c r="B146" s="96">
        <v>2.6550023904053295</v>
      </c>
      <c r="C146" s="96">
        <v>2.381887282036673</v>
      </c>
      <c r="D146" s="96">
        <v>2.4394629112026198</v>
      </c>
      <c r="E146" s="96">
        <v>2.4094186563409195</v>
      </c>
      <c r="F146" s="96">
        <v>1.9878837886821612</v>
      </c>
      <c r="G146" s="96">
        <v>2.0033135686519574</v>
      </c>
      <c r="H146" s="96">
        <v>1.9591641206154544</v>
      </c>
      <c r="I146" s="96">
        <v>1.9768377290171733</v>
      </c>
      <c r="J146" s="96">
        <v>1.8164846012652422</v>
      </c>
      <c r="K146" s="96">
        <v>1.7982439212771135</v>
      </c>
      <c r="L146" s="96">
        <v>1.7473185696290463</v>
      </c>
      <c r="M146" s="96">
        <v>1.6484328871221068</v>
      </c>
      <c r="N146" s="96">
        <v>1.6940514612967223</v>
      </c>
      <c r="O146" s="96">
        <v>1.7085008189206323</v>
      </c>
      <c r="P146" s="96">
        <v>1.6324201294666232</v>
      </c>
      <c r="Q146" s="96">
        <v>1.6127171524710646</v>
      </c>
      <c r="R146" s="96">
        <v>1.5863836585916966</v>
      </c>
      <c r="S146" s="96">
        <v>1.6112453889195466</v>
      </c>
      <c r="T146" s="96">
        <v>1.5509396354435925</v>
      </c>
      <c r="U146" s="96">
        <v>1.477603520975227</v>
      </c>
      <c r="V146" s="96">
        <v>1.4408990947457265</v>
      </c>
      <c r="W146" s="96">
        <v>1.2456444445443009</v>
      </c>
      <c r="DA146" s="171" t="s">
        <v>556</v>
      </c>
    </row>
    <row r="147" spans="1:105" ht="11.45" customHeight="1" x14ac:dyDescent="0.25">
      <c r="A147" s="111" t="s">
        <v>113</v>
      </c>
      <c r="B147" s="96">
        <v>2.808343129306115</v>
      </c>
      <c r="C147" s="96">
        <v>2.5194541471836862</v>
      </c>
      <c r="D147" s="96">
        <v>2.5803550801425374</v>
      </c>
      <c r="E147" s="96">
        <v>2.5485756071669599</v>
      </c>
      <c r="F147" s="96">
        <v>2.1026948224149327</v>
      </c>
      <c r="G147" s="96">
        <v>2.1190157555792402</v>
      </c>
      <c r="H147" s="96">
        <v>2.072316438281435</v>
      </c>
      <c r="I147" s="96">
        <v>2.0910107930979804</v>
      </c>
      <c r="J147" s="96">
        <v>1.9213964054754777</v>
      </c>
      <c r="K147" s="96">
        <v>1.902102227623264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1.6405147825503819</v>
      </c>
      <c r="U147" s="96">
        <v>1.5629431110741092</v>
      </c>
      <c r="V147" s="96">
        <v>1.5241188058345934</v>
      </c>
      <c r="W147" s="96">
        <v>1.3175871441909559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1.6576412489500223</v>
      </c>
      <c r="O148" s="96">
        <v>1.6717800468351169</v>
      </c>
      <c r="P148" s="96">
        <v>1.5973345580357463</v>
      </c>
      <c r="Q148" s="96">
        <v>1.5780550567094109</v>
      </c>
      <c r="R148" s="96">
        <v>1.5522875480588765</v>
      </c>
      <c r="S148" s="96">
        <v>1.5766149257408804</v>
      </c>
      <c r="T148" s="96">
        <v>1.5176053225531274</v>
      </c>
      <c r="U148" s="96">
        <v>1.44584541964709</v>
      </c>
      <c r="V148" s="96">
        <v>1.4099298808768035</v>
      </c>
      <c r="W148" s="96">
        <v>1.2188718347561494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1.3993076479576296</v>
      </c>
      <c r="O149" s="96">
        <v>1.4112429976758341</v>
      </c>
      <c r="P149" s="96">
        <v>1.3483993987373502</v>
      </c>
      <c r="Q149" s="96">
        <v>1.3321244938555858</v>
      </c>
      <c r="R149" s="96">
        <v>1.3103726992822147</v>
      </c>
      <c r="S149" s="96">
        <v>1.3309087987951487</v>
      </c>
      <c r="T149" s="96">
        <v>1.2810954938379568</v>
      </c>
      <c r="U149" s="96">
        <v>1.2205189480885561</v>
      </c>
      <c r="V149" s="96">
        <v>1.1902006339698563</v>
      </c>
      <c r="W149" s="96">
        <v>1.0289178562217662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17.056353686853647</v>
      </c>
      <c r="C150" s="130">
        <f t="shared" si="203"/>
        <v>16.418169405052442</v>
      </c>
      <c r="D150" s="130">
        <f t="shared" si="203"/>
        <v>16.168248201626177</v>
      </c>
      <c r="E150" s="130">
        <f t="shared" si="203"/>
        <v>16.153375861384454</v>
      </c>
      <c r="F150" s="130">
        <f t="shared" si="203"/>
        <v>16.665893186361146</v>
      </c>
      <c r="G150" s="130">
        <f t="shared" si="203"/>
        <v>18.184788151034226</v>
      </c>
      <c r="H150" s="130">
        <f t="shared" si="203"/>
        <v>17.931248629257926</v>
      </c>
      <c r="I150" s="130">
        <f t="shared" si="203"/>
        <v>17.339745328855869</v>
      </c>
      <c r="J150" s="130">
        <f t="shared" si="203"/>
        <v>17.150800302540933</v>
      </c>
      <c r="K150" s="130">
        <f t="shared" si="203"/>
        <v>14.729125213277163</v>
      </c>
      <c r="L150" s="130">
        <f t="shared" ref="L150" si="204">IF(L13=0,0,L13/L40)</f>
        <v>16.059635999331292</v>
      </c>
      <c r="M150" s="130">
        <f t="shared" ref="M150:V150" si="205">IF(M13=0,0,M13/M40)</f>
        <v>17.372011506803062</v>
      </c>
      <c r="N150" s="130">
        <f t="shared" si="205"/>
        <v>20.270211606200409</v>
      </c>
      <c r="O150" s="130">
        <f t="shared" si="205"/>
        <v>20.337246872010002</v>
      </c>
      <c r="P150" s="130">
        <f t="shared" si="205"/>
        <v>20.858409005050849</v>
      </c>
      <c r="Q150" s="130">
        <f t="shared" si="205"/>
        <v>20.463208556200541</v>
      </c>
      <c r="R150" s="130">
        <f t="shared" si="205"/>
        <v>19.717778861902911</v>
      </c>
      <c r="S150" s="130">
        <f t="shared" si="205"/>
        <v>19.286321278590513</v>
      </c>
      <c r="T150" s="130">
        <f t="shared" si="205"/>
        <v>20.054145998056413</v>
      </c>
      <c r="U150" s="130">
        <f t="shared" si="205"/>
        <v>21.034481038395427</v>
      </c>
      <c r="V150" s="130">
        <f t="shared" si="205"/>
        <v>16.580678251265475</v>
      </c>
      <c r="W150" s="130">
        <f t="shared" ref="W150" si="206">IF(W13=0,0,W13/W40)</f>
        <v>15.223370868677756</v>
      </c>
      <c r="DA150" s="176" t="s">
        <v>560</v>
      </c>
    </row>
    <row r="151" spans="1:105" ht="11.45" customHeight="1" x14ac:dyDescent="0.25">
      <c r="A151" s="111" t="s">
        <v>110</v>
      </c>
      <c r="B151" s="97">
        <v>6.6560136033405248</v>
      </c>
      <c r="C151" s="97">
        <v>6.6314680540404787</v>
      </c>
      <c r="D151" s="97">
        <v>6.6218557000625449</v>
      </c>
      <c r="E151" s="97">
        <v>6.6212836869763239</v>
      </c>
      <c r="F151" s="97">
        <v>6.6409958917831213</v>
      </c>
      <c r="G151" s="97">
        <v>6.994149288859318</v>
      </c>
      <c r="H151" s="97">
        <v>6.8966340881761257</v>
      </c>
      <c r="I151" s="97">
        <v>6.6691328187907191</v>
      </c>
      <c r="J151" s="97">
        <v>6.6596461654823438</v>
      </c>
      <c r="K151" s="97">
        <v>6.5665048158952759</v>
      </c>
      <c r="L151" s="97">
        <v>6.6176783076665879</v>
      </c>
      <c r="M151" s="97">
        <v>6.6815428872319478</v>
      </c>
      <c r="N151" s="97">
        <v>7.7962352331540048</v>
      </c>
      <c r="O151" s="97">
        <v>7.8220180276961555</v>
      </c>
      <c r="P151" s="97">
        <v>8.0224650019426349</v>
      </c>
      <c r="Q151" s="97">
        <v>7.8704648293079025</v>
      </c>
      <c r="R151" s="97">
        <v>7.5837611007318895</v>
      </c>
      <c r="S151" s="97">
        <v>7.4178158763809661</v>
      </c>
      <c r="T151" s="97">
        <v>7.7131330761755441</v>
      </c>
      <c r="U151" s="97">
        <v>8.0901850147674743</v>
      </c>
      <c r="V151" s="97">
        <v>6.6377183942794415</v>
      </c>
      <c r="W151" s="97">
        <v>6.5855142641799134</v>
      </c>
      <c r="DA151" s="175" t="s">
        <v>561</v>
      </c>
    </row>
    <row r="152" spans="1:105" ht="11.45" customHeight="1" x14ac:dyDescent="0.25">
      <c r="A152" s="111" t="s">
        <v>111</v>
      </c>
      <c r="B152" s="97">
        <v>18.182865921725661</v>
      </c>
      <c r="C152" s="97">
        <v>17.454102684885243</v>
      </c>
      <c r="D152" s="97">
        <v>17.130265241593545</v>
      </c>
      <c r="E152" s="97">
        <v>17.010014140668101</v>
      </c>
      <c r="F152" s="97">
        <v>17.523227219330771</v>
      </c>
      <c r="G152" s="97">
        <v>19.10476938450002</v>
      </c>
      <c r="H152" s="97">
        <v>18.787788710786955</v>
      </c>
      <c r="I152" s="97">
        <v>18.119112962448462</v>
      </c>
      <c r="J152" s="97">
        <v>17.877281066020331</v>
      </c>
      <c r="K152" s="97">
        <v>15.227548234878094</v>
      </c>
      <c r="L152" s="97">
        <v>16.566707760115147</v>
      </c>
      <c r="M152" s="97">
        <v>17.740464443020013</v>
      </c>
      <c r="N152" s="97">
        <v>20.608465062832259</v>
      </c>
      <c r="O152" s="97">
        <v>20.584591726824627</v>
      </c>
      <c r="P152" s="97">
        <v>21.026987264487161</v>
      </c>
      <c r="Q152" s="97">
        <v>20.601748677745181</v>
      </c>
      <c r="R152" s="97">
        <v>19.817546823823925</v>
      </c>
      <c r="S152" s="97">
        <v>19.374454536598147</v>
      </c>
      <c r="T152" s="97">
        <v>20.135311530696153</v>
      </c>
      <c r="U152" s="97">
        <v>21.114815114965673</v>
      </c>
      <c r="V152" s="97">
        <v>16.635273727338625</v>
      </c>
      <c r="W152" s="97">
        <v>15.260235662889457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19.817546823823925</v>
      </c>
      <c r="S153" s="97">
        <v>19.374454536598147</v>
      </c>
      <c r="T153" s="97">
        <v>20.135311530696157</v>
      </c>
      <c r="U153" s="97">
        <v>21.114815114965669</v>
      </c>
      <c r="V153" s="97">
        <v>16.635273727338625</v>
      </c>
      <c r="W153" s="97">
        <v>15.260235662889453</v>
      </c>
      <c r="DA153" s="175" t="s">
        <v>563</v>
      </c>
    </row>
    <row r="154" spans="1:105" ht="11.45" customHeight="1" x14ac:dyDescent="0.25">
      <c r="A154" s="111" t="s">
        <v>113</v>
      </c>
      <c r="B154" s="97">
        <v>18.182865921725664</v>
      </c>
      <c r="C154" s="97">
        <v>17.454102684885239</v>
      </c>
      <c r="D154" s="97">
        <v>17.130265241593545</v>
      </c>
      <c r="E154" s="97">
        <v>17.010014140668101</v>
      </c>
      <c r="F154" s="97">
        <v>17.523227219330771</v>
      </c>
      <c r="G154" s="97">
        <v>19.10476938450002</v>
      </c>
      <c r="H154" s="97">
        <v>18.787788710786955</v>
      </c>
      <c r="I154" s="97">
        <v>18.119112962448462</v>
      </c>
      <c r="J154" s="97">
        <v>17.877281066020331</v>
      </c>
      <c r="K154" s="97">
        <v>15.227548234878096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0</v>
      </c>
      <c r="U154" s="97">
        <v>21.114815114965669</v>
      </c>
      <c r="V154" s="97">
        <v>16.635273727338625</v>
      </c>
      <c r="W154" s="97">
        <v>15.260235662889455</v>
      </c>
      <c r="DA154" s="175" t="s">
        <v>564</v>
      </c>
    </row>
    <row r="155" spans="1:105" ht="11.45" customHeight="1" x14ac:dyDescent="0.25">
      <c r="A155" s="111" t="s">
        <v>115</v>
      </c>
      <c r="B155" s="97">
        <v>18.182865921725664</v>
      </c>
      <c r="C155" s="97">
        <v>17.454102684885239</v>
      </c>
      <c r="D155" s="97">
        <v>17.130265241593545</v>
      </c>
      <c r="E155" s="97">
        <v>17.010014140668101</v>
      </c>
      <c r="F155" s="97">
        <v>17.523227219330771</v>
      </c>
      <c r="G155" s="97">
        <v>19.10476938450002</v>
      </c>
      <c r="H155" s="97">
        <v>18.787788710786955</v>
      </c>
      <c r="I155" s="97">
        <v>18.119112962448462</v>
      </c>
      <c r="J155" s="97">
        <v>17.877281066020331</v>
      </c>
      <c r="K155" s="97">
        <v>15.227548234878096</v>
      </c>
      <c r="L155" s="97">
        <v>16.566707760115143</v>
      </c>
      <c r="M155" s="97">
        <v>17.740464443020013</v>
      </c>
      <c r="N155" s="97">
        <v>20.608465062832263</v>
      </c>
      <c r="O155" s="97">
        <v>20.58459172682463</v>
      </c>
      <c r="P155" s="97">
        <v>21.026987264487161</v>
      </c>
      <c r="Q155" s="97">
        <v>20.601748677745185</v>
      </c>
      <c r="R155" s="97">
        <v>19.817546823823925</v>
      </c>
      <c r="S155" s="97">
        <v>19.374454536598147</v>
      </c>
      <c r="T155" s="97">
        <v>20.135311530696157</v>
      </c>
      <c r="U155" s="97">
        <v>21.114815114965669</v>
      </c>
      <c r="V155" s="97">
        <v>16.635273727338625</v>
      </c>
      <c r="W155" s="97">
        <v>15.260235662889452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3.3465703376499865</v>
      </c>
      <c r="C156" s="32">
        <f t="shared" si="207"/>
        <v>3.120706126936645</v>
      </c>
      <c r="D156" s="32">
        <f t="shared" si="207"/>
        <v>2.9595195549426814</v>
      </c>
      <c r="E156" s="32">
        <f t="shared" si="207"/>
        <v>3.3040344289006054</v>
      </c>
      <c r="F156" s="32">
        <f t="shared" si="207"/>
        <v>3.1026585253943675</v>
      </c>
      <c r="G156" s="32">
        <f t="shared" si="207"/>
        <v>3.3731679298111645</v>
      </c>
      <c r="H156" s="32">
        <f t="shared" si="207"/>
        <v>3.3525326360169867</v>
      </c>
      <c r="I156" s="32">
        <f t="shared" si="207"/>
        <v>3.2854382018827044</v>
      </c>
      <c r="J156" s="32">
        <f t="shared" si="207"/>
        <v>2.9791032152720067</v>
      </c>
      <c r="K156" s="32">
        <f t="shared" si="207"/>
        <v>2.6366374387832354</v>
      </c>
      <c r="L156" s="32">
        <f t="shared" ref="L156" si="208">IF(L19=0,0,L19/L46)</f>
        <v>3.5289886699857584</v>
      </c>
      <c r="M156" s="32">
        <f t="shared" ref="M156:V156" si="209">IF(M19=0,0,M19/M46)</f>
        <v>3.9541075022572594</v>
      </c>
      <c r="N156" s="32">
        <f t="shared" si="209"/>
        <v>4.0672811280876671</v>
      </c>
      <c r="O156" s="32">
        <f t="shared" si="209"/>
        <v>3.958694446263288</v>
      </c>
      <c r="P156" s="32">
        <f t="shared" si="209"/>
        <v>3.7247395286339584</v>
      </c>
      <c r="Q156" s="32">
        <f t="shared" si="209"/>
        <v>3.7677949326137132</v>
      </c>
      <c r="R156" s="32">
        <f t="shared" si="209"/>
        <v>3.7882876477052072</v>
      </c>
      <c r="S156" s="32">
        <f t="shared" si="209"/>
        <v>3.8836321556288675</v>
      </c>
      <c r="T156" s="32">
        <f t="shared" si="209"/>
        <v>4.0576303715471846</v>
      </c>
      <c r="U156" s="32">
        <f t="shared" si="209"/>
        <v>3.8079269559629765</v>
      </c>
      <c r="V156" s="32">
        <f t="shared" si="209"/>
        <v>4.1411092069246971</v>
      </c>
      <c r="W156" s="32">
        <f t="shared" ref="W156" si="210">IF(W19=0,0,W19/W46)</f>
        <v>4.1271338088208704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0.18344705221240393</v>
      </c>
      <c r="C157" s="141">
        <f t="shared" si="211"/>
        <v>0.18612321214320801</v>
      </c>
      <c r="D157" s="141">
        <f t="shared" si="211"/>
        <v>0.19108609223029732</v>
      </c>
      <c r="E157" s="141">
        <f t="shared" si="211"/>
        <v>0.19070764308036128</v>
      </c>
      <c r="F157" s="141">
        <f t="shared" si="211"/>
        <v>0.19435211947088868</v>
      </c>
      <c r="G157" s="141">
        <f t="shared" si="211"/>
        <v>0.19337745917043597</v>
      </c>
      <c r="H157" s="141">
        <f t="shared" si="211"/>
        <v>0.19608999046479786</v>
      </c>
      <c r="I157" s="141">
        <f t="shared" si="211"/>
        <v>0.1961427938156606</v>
      </c>
      <c r="J157" s="141">
        <f t="shared" si="211"/>
        <v>0.19829742264312625</v>
      </c>
      <c r="K157" s="141">
        <f t="shared" si="211"/>
        <v>0.20000175133483691</v>
      </c>
      <c r="L157" s="141">
        <f t="shared" ref="L157" si="212">IF(L20=0,0,L20/L47)</f>
        <v>0.20406300666673818</v>
      </c>
      <c r="M157" s="141">
        <f t="shared" ref="M157:V157" si="213">IF(M20=0,0,M20/M47)</f>
        <v>0.2049065813787101</v>
      </c>
      <c r="N157" s="141">
        <f t="shared" si="213"/>
        <v>0.20540277978597449</v>
      </c>
      <c r="O157" s="141">
        <f t="shared" si="213"/>
        <v>0.2063044602828043</v>
      </c>
      <c r="P157" s="141">
        <f t="shared" si="213"/>
        <v>0.2072504451250318</v>
      </c>
      <c r="Q157" s="141">
        <f t="shared" si="213"/>
        <v>0.20810622997695666</v>
      </c>
      <c r="R157" s="141">
        <f t="shared" si="213"/>
        <v>0.20819067212650094</v>
      </c>
      <c r="S157" s="141">
        <f t="shared" si="213"/>
        <v>0.20822308398294273</v>
      </c>
      <c r="T157" s="141">
        <f t="shared" si="213"/>
        <v>0.20863339829489883</v>
      </c>
      <c r="U157" s="141">
        <f t="shared" si="213"/>
        <v>0.20905411483916503</v>
      </c>
      <c r="V157" s="141">
        <f t="shared" si="213"/>
        <v>0.20865331008832744</v>
      </c>
      <c r="W157" s="141">
        <f t="shared" ref="W157" si="214">IF(W20=0,0,W20/W47)</f>
        <v>0.20904650996564131</v>
      </c>
      <c r="DA157" s="174" t="s">
        <v>567</v>
      </c>
    </row>
    <row r="158" spans="1:105" ht="11.45" customHeight="1" x14ac:dyDescent="0.25">
      <c r="A158" s="111" t="s">
        <v>110</v>
      </c>
      <c r="B158" s="96">
        <v>0.1530390479019326</v>
      </c>
      <c r="C158" s="96">
        <v>0.15317989727527756</v>
      </c>
      <c r="D158" s="96">
        <v>0.15353186035696434</v>
      </c>
      <c r="E158" s="96">
        <v>0.15422888253516123</v>
      </c>
      <c r="F158" s="96">
        <v>0.15423710823286349</v>
      </c>
      <c r="G158" s="96">
        <v>0.15399699245454282</v>
      </c>
      <c r="H158" s="96">
        <v>0.15413526766059962</v>
      </c>
      <c r="I158" s="96">
        <v>0.15437811472316573</v>
      </c>
      <c r="J158" s="96">
        <v>0.15471010149037071</v>
      </c>
      <c r="K158" s="96">
        <v>0.15482282990555152</v>
      </c>
      <c r="L158" s="96">
        <v>0.15517330044987654</v>
      </c>
      <c r="M158" s="96">
        <v>0.15543867140516146</v>
      </c>
      <c r="N158" s="96">
        <v>0.15561911928187289</v>
      </c>
      <c r="O158" s="96">
        <v>0.15571714041106202</v>
      </c>
      <c r="P158" s="96">
        <v>0.15590202503857742</v>
      </c>
      <c r="Q158" s="96">
        <v>0.15643214953271031</v>
      </c>
      <c r="R158" s="96">
        <v>0.15580001673336713</v>
      </c>
      <c r="S158" s="96">
        <v>0.15580265949514618</v>
      </c>
      <c r="T158" s="96">
        <v>0.15608567466051604</v>
      </c>
      <c r="U158" s="96">
        <v>0.15635494610525086</v>
      </c>
      <c r="V158" s="96">
        <v>0.15604021416164721</v>
      </c>
      <c r="W158" s="96">
        <v>0.15630670549381531</v>
      </c>
      <c r="DA158" s="171" t="s">
        <v>568</v>
      </c>
    </row>
    <row r="159" spans="1:105" ht="11.45" customHeight="1" x14ac:dyDescent="0.25">
      <c r="A159" s="111" t="s">
        <v>111</v>
      </c>
      <c r="B159" s="96">
        <v>0.20503968264546718</v>
      </c>
      <c r="C159" s="96">
        <v>0.20522428603212178</v>
      </c>
      <c r="D159" s="96">
        <v>0.20528689078848228</v>
      </c>
      <c r="E159" s="96">
        <v>0.20580889547200343</v>
      </c>
      <c r="F159" s="96">
        <v>0.20581987215633624</v>
      </c>
      <c r="G159" s="96">
        <v>0.20549945251567447</v>
      </c>
      <c r="H159" s="96">
        <v>0.20780487412944723</v>
      </c>
      <c r="I159" s="96">
        <v>0.20600803658796832</v>
      </c>
      <c r="J159" s="96">
        <v>0.20645105237558645</v>
      </c>
      <c r="K159" s="96">
        <v>0.2070130414657155</v>
      </c>
      <c r="L159" s="96">
        <v>0.20789912584715325</v>
      </c>
      <c r="M159" s="96">
        <v>0.2082546663265335</v>
      </c>
      <c r="N159" s="96">
        <v>0.2084964279937824</v>
      </c>
      <c r="O159" s="96">
        <v>0.20862775540006875</v>
      </c>
      <c r="P159" s="96">
        <v>0.20887546136708493</v>
      </c>
      <c r="Q159" s="96">
        <v>0.20958571511950796</v>
      </c>
      <c r="R159" s="96">
        <v>0.20957544724751162</v>
      </c>
      <c r="S159" s="96">
        <v>0.20957900217640973</v>
      </c>
      <c r="T159" s="96">
        <v>0.20995970194206975</v>
      </c>
      <c r="U159" s="96">
        <v>0.21032191424887495</v>
      </c>
      <c r="V159" s="96">
        <v>0.20989855044425679</v>
      </c>
      <c r="W159" s="96">
        <v>0.21025702306382202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0.15408739917646505</v>
      </c>
      <c r="O160" s="96">
        <v>0.15479631781796549</v>
      </c>
      <c r="P160" s="96">
        <v>0.15559512890769314</v>
      </c>
      <c r="Q160" s="96">
        <v>0.15643214953271031</v>
      </c>
      <c r="R160" s="96">
        <v>0.1554933214077911</v>
      </c>
      <c r="S160" s="96">
        <v>0.15488133119083147</v>
      </c>
      <c r="T160" s="96">
        <v>0.15454936236709785</v>
      </c>
      <c r="U160" s="96">
        <v>0.15420404339832819</v>
      </c>
      <c r="V160" s="96">
        <v>0.15328534677073852</v>
      </c>
      <c r="W160" s="96">
        <v>0.15294020857027621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0.19851103718663674</v>
      </c>
      <c r="N162" s="96">
        <v>0.19850007002853623</v>
      </c>
      <c r="O162" s="96">
        <v>0.1984941181389486</v>
      </c>
      <c r="P162" s="96">
        <v>0.19848290253237172</v>
      </c>
      <c r="Q162" s="96">
        <v>0.19846962791837308</v>
      </c>
      <c r="R162" s="96">
        <v>0.1984890889106431</v>
      </c>
      <c r="S162" s="96">
        <v>0.19848924923678907</v>
      </c>
      <c r="T162" s="96">
        <v>0.19850640370077835</v>
      </c>
      <c r="U162" s="96">
        <v>0.19852269763511371</v>
      </c>
      <c r="V162" s="96">
        <v>0.19880862871862273</v>
      </c>
      <c r="W162" s="96">
        <v>0.19852561480854347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6.7648900186131273</v>
      </c>
      <c r="C163" s="130">
        <f t="shared" si="215"/>
        <v>6.1557368271376873</v>
      </c>
      <c r="D163" s="130">
        <f t="shared" si="215"/>
        <v>6.0305829025833573</v>
      </c>
      <c r="E163" s="130">
        <f t="shared" si="215"/>
        <v>6.1574251848179005</v>
      </c>
      <c r="F163" s="130">
        <f t="shared" si="215"/>
        <v>6.6139258233783327</v>
      </c>
      <c r="G163" s="130">
        <f t="shared" si="215"/>
        <v>6.640916278462619</v>
      </c>
      <c r="H163" s="130">
        <f t="shared" si="215"/>
        <v>6.7803565776397035</v>
      </c>
      <c r="I163" s="130">
        <f t="shared" si="215"/>
        <v>6.4220632051070243</v>
      </c>
      <c r="J163" s="130">
        <f t="shared" si="215"/>
        <v>6.0151593918454118</v>
      </c>
      <c r="K163" s="130">
        <f t="shared" si="215"/>
        <v>5.366349276706063</v>
      </c>
      <c r="L163" s="130">
        <f t="shared" ref="L163" si="216">IF(L26=0,0,L26/L53)</f>
        <v>7.0701648617735051</v>
      </c>
      <c r="M163" s="130">
        <f t="shared" ref="M163:V163" si="217">IF(M26=0,0,M26/M53)</f>
        <v>8.7247450110920486</v>
      </c>
      <c r="N163" s="130">
        <f t="shared" si="217"/>
        <v>10.105459503920079</v>
      </c>
      <c r="O163" s="130">
        <f t="shared" si="217"/>
        <v>10.218978563562928</v>
      </c>
      <c r="P163" s="130">
        <f t="shared" si="217"/>
        <v>10.213499386628726</v>
      </c>
      <c r="Q163" s="130">
        <f t="shared" si="217"/>
        <v>10.295420025104097</v>
      </c>
      <c r="R163" s="130">
        <f t="shared" si="217"/>
        <v>10.263929346666849</v>
      </c>
      <c r="S163" s="130">
        <f t="shared" si="217"/>
        <v>10.286685679569667</v>
      </c>
      <c r="T163" s="130">
        <f t="shared" si="217"/>
        <v>10.60237190433171</v>
      </c>
      <c r="U163" s="130">
        <f t="shared" si="217"/>
        <v>10.249618638536136</v>
      </c>
      <c r="V163" s="130">
        <f t="shared" si="217"/>
        <v>10.95682981279694</v>
      </c>
      <c r="W163" s="130">
        <f t="shared" ref="W163" si="218">IF(W26=0,0,W26/W53)</f>
        <v>10.649149273264827</v>
      </c>
      <c r="DA163" s="176" t="s">
        <v>573</v>
      </c>
    </row>
    <row r="164" spans="1:105" ht="11.45" customHeight="1" x14ac:dyDescent="0.25">
      <c r="A164" s="128" t="s">
        <v>27</v>
      </c>
      <c r="B164" s="97">
        <v>5.3855611520082647</v>
      </c>
      <c r="C164" s="97">
        <v>4.8567901234567898</v>
      </c>
      <c r="D164" s="97">
        <v>4.8567901234567898</v>
      </c>
      <c r="E164" s="97">
        <v>5.1301518438177878</v>
      </c>
      <c r="F164" s="97">
        <v>5.446224256292906</v>
      </c>
      <c r="G164" s="97">
        <v>5.5682281059063135</v>
      </c>
      <c r="H164" s="97">
        <v>5.4909090909090912</v>
      </c>
      <c r="I164" s="97">
        <v>5.1209540034071548</v>
      </c>
      <c r="J164" s="97">
        <v>4.6193078324225869</v>
      </c>
      <c r="K164" s="97">
        <v>4.1247600767754315</v>
      </c>
      <c r="L164" s="97">
        <v>5.7421524663677133</v>
      </c>
      <c r="M164" s="97">
        <v>7.2892561983471076</v>
      </c>
      <c r="N164" s="97">
        <v>8.6910299003322251</v>
      </c>
      <c r="O164" s="97">
        <v>8.7320872274143309</v>
      </c>
      <c r="P164" s="97">
        <v>8.6708860759493671</v>
      </c>
      <c r="Q164" s="97">
        <v>8.6031250000000004</v>
      </c>
      <c r="R164" s="97">
        <v>8.610429447852761</v>
      </c>
      <c r="S164" s="97">
        <v>8.804347826086957</v>
      </c>
      <c r="T164" s="97">
        <v>9.1266490765171504</v>
      </c>
      <c r="U164" s="97">
        <v>8.7926509186351698</v>
      </c>
      <c r="V164" s="97">
        <v>9.6269430051813476</v>
      </c>
      <c r="W164" s="97">
        <v>9.3425287356321842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14.257421972058399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14.088849058887032</v>
      </c>
      <c r="I165" s="98">
        <v>14.115262081857328</v>
      </c>
      <c r="J165" s="98">
        <v>13.915448013039784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14.005556317739057</v>
      </c>
      <c r="R165" s="98">
        <v>13.931044885469866</v>
      </c>
      <c r="S165" s="98">
        <v>14.049661034098957</v>
      </c>
      <c r="T165" s="98">
        <v>14.155971572922999</v>
      </c>
      <c r="U165" s="98">
        <v>14.10203221012892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7369.1678300238509</v>
      </c>
      <c r="C167" s="54">
        <f t="shared" si="219"/>
        <v>8448.8315816054637</v>
      </c>
      <c r="D167" s="54">
        <f t="shared" si="219"/>
        <v>8645.1037039495877</v>
      </c>
      <c r="E167" s="54">
        <f t="shared" si="219"/>
        <v>8885.6512128698268</v>
      </c>
      <c r="F167" s="54">
        <f t="shared" si="219"/>
        <v>9143.2890048017107</v>
      </c>
      <c r="G167" s="54">
        <f t="shared" si="219"/>
        <v>9295.0215447048213</v>
      </c>
      <c r="H167" s="54">
        <f t="shared" si="219"/>
        <v>10394.841653399282</v>
      </c>
      <c r="I167" s="54">
        <f t="shared" si="219"/>
        <v>11497.801000844936</v>
      </c>
      <c r="J167" s="54">
        <f t="shared" si="219"/>
        <v>11224.462968628279</v>
      </c>
      <c r="K167" s="54">
        <f t="shared" si="219"/>
        <v>10456.729020486478</v>
      </c>
      <c r="L167" s="54">
        <f t="shared" si="219"/>
        <v>10898.90755867768</v>
      </c>
      <c r="M167" s="54">
        <f>IF(M30=0,0,M30*1000000/M57)</f>
        <v>10951.125818719715</v>
      </c>
      <c r="N167" s="54">
        <f t="shared" ref="N167:V167" si="220">IF(N30=0,0,N30*1000000/N57)</f>
        <v>10666.145563384589</v>
      </c>
      <c r="O167" s="54">
        <f t="shared" si="220"/>
        <v>10609.651897807542</v>
      </c>
      <c r="P167" s="54">
        <f t="shared" si="220"/>
        <v>11416.447910348194</v>
      </c>
      <c r="Q167" s="54">
        <f t="shared" si="220"/>
        <v>11948.261868651911</v>
      </c>
      <c r="R167" s="54">
        <f t="shared" si="220"/>
        <v>12645.43434614328</v>
      </c>
      <c r="S167" s="54">
        <f t="shared" si="220"/>
        <v>12891.434767166187</v>
      </c>
      <c r="T167" s="54">
        <f t="shared" si="220"/>
        <v>13199.187165282945</v>
      </c>
      <c r="U167" s="54">
        <f t="shared" si="220"/>
        <v>13553.345839707206</v>
      </c>
      <c r="V167" s="54">
        <f t="shared" si="220"/>
        <v>13061.943310393224</v>
      </c>
      <c r="W167" s="54">
        <f t="shared" ref="W167:W191" si="221">IF(W30=0,0,W30*1000000/W57)</f>
        <v>13335.422801432813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7214.714737283537</v>
      </c>
      <c r="C168" s="28">
        <f t="shared" si="219"/>
        <v>8300.695117904279</v>
      </c>
      <c r="D168" s="28">
        <f t="shared" si="219"/>
        <v>8336.8704614967919</v>
      </c>
      <c r="E168" s="28">
        <f t="shared" si="219"/>
        <v>8571.8192630199992</v>
      </c>
      <c r="F168" s="28">
        <f t="shared" si="219"/>
        <v>8794.3550568528426</v>
      </c>
      <c r="G168" s="28">
        <f t="shared" si="219"/>
        <v>8881.2808578223794</v>
      </c>
      <c r="H168" s="28">
        <f t="shared" si="219"/>
        <v>10077.825285128132</v>
      </c>
      <c r="I168" s="28">
        <f t="shared" si="219"/>
        <v>11101.031698448343</v>
      </c>
      <c r="J168" s="28">
        <f t="shared" si="219"/>
        <v>10798.314563787118</v>
      </c>
      <c r="K168" s="28">
        <f t="shared" si="219"/>
        <v>10001.011509927557</v>
      </c>
      <c r="L168" s="28">
        <f t="shared" si="219"/>
        <v>10381.925100913857</v>
      </c>
      <c r="M168" s="28">
        <f t="shared" ref="M168:M192" si="222">IF(M31=0,0,M31*1000000/M58)</f>
        <v>10493.678235506342</v>
      </c>
      <c r="N168" s="28">
        <f t="shared" si="219"/>
        <v>10234.872151285204</v>
      </c>
      <c r="O168" s="28">
        <f t="shared" si="219"/>
        <v>10044.510143949125</v>
      </c>
      <c r="P168" s="28">
        <f t="shared" si="219"/>
        <v>10875.008822750342</v>
      </c>
      <c r="Q168" s="28">
        <f t="shared" si="219"/>
        <v>11417.801146974718</v>
      </c>
      <c r="R168" s="28">
        <f t="shared" si="219"/>
        <v>12145.882112874375</v>
      </c>
      <c r="S168" s="28">
        <f t="shared" si="219"/>
        <v>12372.367288720599</v>
      </c>
      <c r="T168" s="28">
        <f t="shared" si="219"/>
        <v>12703.720610843155</v>
      </c>
      <c r="U168" s="28">
        <f t="shared" si="219"/>
        <v>13122.078396736848</v>
      </c>
      <c r="V168" s="28">
        <f t="shared" si="219"/>
        <v>12544.866919211287</v>
      </c>
      <c r="W168" s="28">
        <f t="shared" si="221"/>
        <v>12792.600166570302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1728.6482560523211</v>
      </c>
      <c r="C169" s="137">
        <f t="shared" si="219"/>
        <v>1749.0653475729091</v>
      </c>
      <c r="D169" s="137">
        <f t="shared" si="219"/>
        <v>1744.4151333985046</v>
      </c>
      <c r="E169" s="137">
        <f t="shared" si="219"/>
        <v>1739.2856746786172</v>
      </c>
      <c r="F169" s="137">
        <f t="shared" si="219"/>
        <v>1718.4396493396825</v>
      </c>
      <c r="G169" s="137">
        <f t="shared" si="219"/>
        <v>1694.69145281584</v>
      </c>
      <c r="H169" s="137">
        <f t="shared" si="219"/>
        <v>1636.2329291946853</v>
      </c>
      <c r="I169" s="137">
        <f t="shared" si="219"/>
        <v>1514.2032276602688</v>
      </c>
      <c r="J169" s="137">
        <f t="shared" si="219"/>
        <v>1401.0875834225922</v>
      </c>
      <c r="K169" s="137">
        <f t="shared" si="219"/>
        <v>1351.5227732516812</v>
      </c>
      <c r="L169" s="137">
        <f t="shared" si="219"/>
        <v>1357.0922179200522</v>
      </c>
      <c r="M169" s="137">
        <f t="shared" si="222"/>
        <v>1290.3103207829688</v>
      </c>
      <c r="N169" s="137">
        <f t="shared" si="219"/>
        <v>1125.0166622007928</v>
      </c>
      <c r="O169" s="137">
        <f t="shared" si="219"/>
        <v>1117.3437837897554</v>
      </c>
      <c r="P169" s="137">
        <f t="shared" si="219"/>
        <v>1278.3391012846891</v>
      </c>
      <c r="Q169" s="137">
        <f t="shared" si="219"/>
        <v>1545.3984514050405</v>
      </c>
      <c r="R169" s="137">
        <f t="shared" si="219"/>
        <v>1549.0214003652743</v>
      </c>
      <c r="S169" s="137">
        <f t="shared" si="219"/>
        <v>1389.6175544008486</v>
      </c>
      <c r="T169" s="137">
        <f t="shared" si="219"/>
        <v>1265.2301920971013</v>
      </c>
      <c r="U169" s="137">
        <f t="shared" si="219"/>
        <v>1252.9531636633094</v>
      </c>
      <c r="V169" s="137">
        <f t="shared" si="219"/>
        <v>1066.4493400890369</v>
      </c>
      <c r="W169" s="137">
        <f t="shared" si="221"/>
        <v>1047.7405115420568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7335.0258529188213</v>
      </c>
      <c r="C170" s="110">
        <f t="shared" si="219"/>
        <v>8481.2237500968367</v>
      </c>
      <c r="D170" s="110">
        <f t="shared" si="219"/>
        <v>8509.4270874351296</v>
      </c>
      <c r="E170" s="110">
        <f t="shared" si="219"/>
        <v>8738.7336924223655</v>
      </c>
      <c r="F170" s="110">
        <f t="shared" si="219"/>
        <v>8967.6057319407482</v>
      </c>
      <c r="G170" s="110">
        <f t="shared" si="219"/>
        <v>9056.9289849505967</v>
      </c>
      <c r="H170" s="110">
        <f t="shared" si="219"/>
        <v>10329.060057444878</v>
      </c>
      <c r="I170" s="110">
        <f t="shared" si="219"/>
        <v>11432.711872900627</v>
      </c>
      <c r="J170" s="110">
        <f t="shared" si="219"/>
        <v>11145.985399750127</v>
      </c>
      <c r="K170" s="110">
        <f t="shared" si="219"/>
        <v>10315.30873273054</v>
      </c>
      <c r="L170" s="110">
        <f t="shared" si="219"/>
        <v>10735.757097791107</v>
      </c>
      <c r="M170" s="110">
        <f t="shared" si="222"/>
        <v>10907.219527074441</v>
      </c>
      <c r="N170" s="110">
        <f t="shared" si="219"/>
        <v>10676.303940042031</v>
      </c>
      <c r="O170" s="110">
        <f t="shared" si="219"/>
        <v>10497.448999337799</v>
      </c>
      <c r="P170" s="110">
        <f t="shared" si="219"/>
        <v>11405.267861358176</v>
      </c>
      <c r="Q170" s="110">
        <f t="shared" si="219"/>
        <v>11995.410257785739</v>
      </c>
      <c r="R170" s="110">
        <f t="shared" si="219"/>
        <v>12795.49172013514</v>
      </c>
      <c r="S170" s="110">
        <f t="shared" si="219"/>
        <v>13076.963990153843</v>
      </c>
      <c r="T170" s="110">
        <f t="shared" si="219"/>
        <v>13479.748983687423</v>
      </c>
      <c r="U170" s="110">
        <f t="shared" si="219"/>
        <v>13993.07446199078</v>
      </c>
      <c r="V170" s="110">
        <f t="shared" si="219"/>
        <v>13456.092255782767</v>
      </c>
      <c r="W170" s="110">
        <f t="shared" si="221"/>
        <v>13790.126723350015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7021.6385932280646</v>
      </c>
      <c r="C171" s="84">
        <f t="shared" si="219"/>
        <v>8020.9188093581979</v>
      </c>
      <c r="D171" s="84">
        <f t="shared" si="219"/>
        <v>8014.6926366717425</v>
      </c>
      <c r="E171" s="84">
        <f t="shared" si="219"/>
        <v>8122.5648502445692</v>
      </c>
      <c r="F171" s="84">
        <f t="shared" si="219"/>
        <v>8194.5944498676763</v>
      </c>
      <c r="G171" s="84">
        <f t="shared" si="219"/>
        <v>8156.9009737327815</v>
      </c>
      <c r="H171" s="84">
        <f t="shared" si="219"/>
        <v>9281.5702354969999</v>
      </c>
      <c r="I171" s="84">
        <f t="shared" si="219"/>
        <v>10502.933585735276</v>
      </c>
      <c r="J171" s="84">
        <f t="shared" si="219"/>
        <v>10121.481364632476</v>
      </c>
      <c r="K171" s="84">
        <f t="shared" si="219"/>
        <v>8942.2545564789398</v>
      </c>
      <c r="L171" s="84">
        <f t="shared" si="219"/>
        <v>9140.5824597928186</v>
      </c>
      <c r="M171" s="84">
        <f t="shared" si="222"/>
        <v>9182.3615279194037</v>
      </c>
      <c r="N171" s="84">
        <f t="shared" si="219"/>
        <v>8575.653432408526</v>
      </c>
      <c r="O171" s="84">
        <f t="shared" si="219"/>
        <v>8335.1616515404658</v>
      </c>
      <c r="P171" s="84">
        <f t="shared" si="219"/>
        <v>9118.8969479503958</v>
      </c>
      <c r="Q171" s="84">
        <f t="shared" si="219"/>
        <v>9671.588054966116</v>
      </c>
      <c r="R171" s="84">
        <f t="shared" si="219"/>
        <v>9997.5304231520731</v>
      </c>
      <c r="S171" s="84">
        <f t="shared" si="219"/>
        <v>10181.4561576139</v>
      </c>
      <c r="T171" s="84">
        <f t="shared" si="219"/>
        <v>10588.058581177695</v>
      </c>
      <c r="U171" s="84">
        <f t="shared" si="219"/>
        <v>10724.750917886493</v>
      </c>
      <c r="V171" s="84">
        <f t="shared" si="219"/>
        <v>10686.287408301496</v>
      </c>
      <c r="W171" s="84">
        <f t="shared" si="221"/>
        <v>11383.951808996697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8712.8974151353868</v>
      </c>
      <c r="C172" s="84">
        <f t="shared" si="219"/>
        <v>10450.511504521384</v>
      </c>
      <c r="D172" s="84">
        <f t="shared" si="219"/>
        <v>10544.353672523313</v>
      </c>
      <c r="E172" s="84">
        <f t="shared" si="219"/>
        <v>11112.606467751028</v>
      </c>
      <c r="F172" s="84">
        <f t="shared" si="219"/>
        <v>11634.337249685397</v>
      </c>
      <c r="G172" s="84">
        <f t="shared" si="219"/>
        <v>11873.994303172431</v>
      </c>
      <c r="H172" s="84">
        <f t="shared" si="219"/>
        <v>13313.453797991002</v>
      </c>
      <c r="I172" s="84">
        <f t="shared" si="219"/>
        <v>13793.572687427786</v>
      </c>
      <c r="J172" s="84">
        <f t="shared" si="219"/>
        <v>13487.124117566987</v>
      </c>
      <c r="K172" s="84">
        <f t="shared" si="219"/>
        <v>13059.787446393369</v>
      </c>
      <c r="L172" s="84">
        <f t="shared" si="219"/>
        <v>13522.898748794727</v>
      </c>
      <c r="M172" s="84">
        <f t="shared" si="222"/>
        <v>13404.387089192336</v>
      </c>
      <c r="N172" s="84">
        <f t="shared" si="219"/>
        <v>13144.652025659432</v>
      </c>
      <c r="O172" s="84">
        <f t="shared" si="219"/>
        <v>12627.229171058325</v>
      </c>
      <c r="P172" s="84">
        <f t="shared" si="219"/>
        <v>13123.810436401729</v>
      </c>
      <c r="Q172" s="84">
        <f t="shared" si="219"/>
        <v>13718.001945175713</v>
      </c>
      <c r="R172" s="84">
        <f t="shared" si="219"/>
        <v>14473.350267448654</v>
      </c>
      <c r="S172" s="84">
        <f t="shared" si="219"/>
        <v>14771.653294113536</v>
      </c>
      <c r="T172" s="84">
        <f t="shared" si="219"/>
        <v>15076.923170329163</v>
      </c>
      <c r="U172" s="84">
        <f t="shared" si="219"/>
        <v>15779.0426988568</v>
      </c>
      <c r="V172" s="84">
        <f t="shared" si="219"/>
        <v>14973.764146032345</v>
      </c>
      <c r="W172" s="84">
        <f t="shared" si="221"/>
        <v>15191.752884506373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13004.925551051692</v>
      </c>
      <c r="C173" s="84">
        <f t="shared" si="219"/>
        <v>15598.499283443933</v>
      </c>
      <c r="D173" s="84">
        <f t="shared" si="219"/>
        <v>14566.686174821976</v>
      </c>
      <c r="E173" s="84">
        <f t="shared" si="219"/>
        <v>13956.099248370958</v>
      </c>
      <c r="F173" s="84">
        <f t="shared" si="219"/>
        <v>13283.027688731794</v>
      </c>
      <c r="G173" s="84">
        <f t="shared" si="219"/>
        <v>12324.223915028133</v>
      </c>
      <c r="H173" s="84">
        <f t="shared" si="219"/>
        <v>12562.058003666454</v>
      </c>
      <c r="I173" s="84">
        <f t="shared" si="219"/>
        <v>13081.261104991063</v>
      </c>
      <c r="J173" s="84">
        <f t="shared" si="219"/>
        <v>12337.828019379818</v>
      </c>
      <c r="K173" s="84">
        <f t="shared" si="219"/>
        <v>12314.894886884953</v>
      </c>
      <c r="L173" s="84">
        <f t="shared" si="219"/>
        <v>14686.027638109652</v>
      </c>
      <c r="M173" s="84">
        <f t="shared" si="222"/>
        <v>15410.946465858813</v>
      </c>
      <c r="N173" s="84">
        <f t="shared" si="219"/>
        <v>14612.330135208927</v>
      </c>
      <c r="O173" s="84">
        <f t="shared" si="219"/>
        <v>14330.228129930605</v>
      </c>
      <c r="P173" s="84">
        <f t="shared" si="219"/>
        <v>14239.865221489792</v>
      </c>
      <c r="Q173" s="84">
        <f t="shared" si="219"/>
        <v>13650.384061394378</v>
      </c>
      <c r="R173" s="84">
        <f t="shared" si="219"/>
        <v>15126.009559428479</v>
      </c>
      <c r="S173" s="84">
        <f t="shared" si="219"/>
        <v>14305.311702279394</v>
      </c>
      <c r="T173" s="84">
        <f t="shared" si="219"/>
        <v>13925.020334720186</v>
      </c>
      <c r="U173" s="84">
        <f t="shared" si="219"/>
        <v>13116.147052388395</v>
      </c>
      <c r="V173" s="84">
        <f t="shared" si="219"/>
        <v>11644.611712437605</v>
      </c>
      <c r="W173" s="84">
        <f t="shared" si="221"/>
        <v>10632.721048730395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5621.9764776964994</v>
      </c>
      <c r="C174" s="84">
        <f t="shared" si="219"/>
        <v>6743.1678647169001</v>
      </c>
      <c r="D174" s="84">
        <f t="shared" si="219"/>
        <v>6803.7193019697279</v>
      </c>
      <c r="E174" s="84">
        <f t="shared" si="219"/>
        <v>7170.3830759062739</v>
      </c>
      <c r="F174" s="84">
        <f t="shared" si="219"/>
        <v>7507.0286306479102</v>
      </c>
      <c r="G174" s="84">
        <f t="shared" si="219"/>
        <v>7698.9712211473488</v>
      </c>
      <c r="H174" s="84">
        <f t="shared" si="219"/>
        <v>8719.4963634611395</v>
      </c>
      <c r="I174" s="84">
        <f t="shared" si="219"/>
        <v>10088.758156697313</v>
      </c>
      <c r="J174" s="84">
        <f t="shared" si="219"/>
        <v>9714.755579358758</v>
      </c>
      <c r="K174" s="84">
        <f t="shared" si="219"/>
        <v>8815.1801128619172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0</v>
      </c>
      <c r="R174" s="84">
        <f t="shared" si="219"/>
        <v>0</v>
      </c>
      <c r="S174" s="84">
        <f t="shared" si="219"/>
        <v>0</v>
      </c>
      <c r="T174" s="84">
        <f t="shared" si="219"/>
        <v>9516.7166957696663</v>
      </c>
      <c r="U174" s="84">
        <f t="shared" si="219"/>
        <v>9860.3031019672271</v>
      </c>
      <c r="V174" s="84">
        <f t="shared" si="219"/>
        <v>9263.5147338352745</v>
      </c>
      <c r="W174" s="84">
        <f t="shared" si="221"/>
        <v>9492.3571360549176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8910.2362043423618</v>
      </c>
      <c r="O175" s="84">
        <f t="shared" si="219"/>
        <v>8537.2302239365417</v>
      </c>
      <c r="P175" s="84">
        <f t="shared" si="219"/>
        <v>9326.1858300169424</v>
      </c>
      <c r="Q175" s="84">
        <f t="shared" si="219"/>
        <v>9873.9087494765954</v>
      </c>
      <c r="R175" s="84">
        <f t="shared" si="219"/>
        <v>10094.321465900486</v>
      </c>
      <c r="S175" s="84">
        <f t="shared" si="219"/>
        <v>10286.644222764649</v>
      </c>
      <c r="T175" s="84">
        <f t="shared" si="219"/>
        <v>10681.538454497655</v>
      </c>
      <c r="U175" s="84">
        <f t="shared" si="219"/>
        <v>10860.31968472966</v>
      </c>
      <c r="V175" s="84">
        <f t="shared" si="219"/>
        <v>10821.369967996094</v>
      </c>
      <c r="W175" s="84">
        <f t="shared" si="221"/>
        <v>11527.853361616801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0</v>
      </c>
      <c r="N176" s="84">
        <f t="shared" si="219"/>
        <v>12606.300789580495</v>
      </c>
      <c r="O176" s="84">
        <f t="shared" si="219"/>
        <v>12624.242403606886</v>
      </c>
      <c r="P176" s="84">
        <f t="shared" si="219"/>
        <v>12681.094503743041</v>
      </c>
      <c r="Q176" s="84">
        <f t="shared" si="219"/>
        <v>12718.459553005598</v>
      </c>
      <c r="R176" s="84">
        <f t="shared" si="219"/>
        <v>12697.398971042461</v>
      </c>
      <c r="S176" s="84">
        <f t="shared" si="219"/>
        <v>12685.83060487564</v>
      </c>
      <c r="T176" s="84">
        <f t="shared" si="219"/>
        <v>12661.016825274231</v>
      </c>
      <c r="U176" s="84">
        <f t="shared" si="219"/>
        <v>12652.899017916588</v>
      </c>
      <c r="V176" s="84">
        <f t="shared" si="219"/>
        <v>12618.849737127448</v>
      </c>
      <c r="W176" s="84">
        <f t="shared" si="221"/>
        <v>12615.217722006622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36160.050025790573</v>
      </c>
      <c r="C177" s="110">
        <f t="shared" si="219"/>
        <v>36897.040773584318</v>
      </c>
      <c r="D177" s="110">
        <f t="shared" si="219"/>
        <v>37684.374644827869</v>
      </c>
      <c r="E177" s="110">
        <f t="shared" si="219"/>
        <v>38559.291338560921</v>
      </c>
      <c r="F177" s="110">
        <f t="shared" si="219"/>
        <v>39325.448844204642</v>
      </c>
      <c r="G177" s="110">
        <f t="shared" si="219"/>
        <v>40085.484378328052</v>
      </c>
      <c r="H177" s="110">
        <f t="shared" si="219"/>
        <v>39289.561573613304</v>
      </c>
      <c r="I177" s="110">
        <f t="shared" si="219"/>
        <v>38525.026515136044</v>
      </c>
      <c r="J177" s="110">
        <f t="shared" si="219"/>
        <v>37736.43610182566</v>
      </c>
      <c r="K177" s="110">
        <f t="shared" si="219"/>
        <v>38388.92996108361</v>
      </c>
      <c r="L177" s="110">
        <f t="shared" si="219"/>
        <v>39114.200724464783</v>
      </c>
      <c r="M177" s="110">
        <f t="shared" si="222"/>
        <v>39806.199828792756</v>
      </c>
      <c r="N177" s="110">
        <f t="shared" si="219"/>
        <v>40534.247614768996</v>
      </c>
      <c r="O177" s="110">
        <f t="shared" si="219"/>
        <v>41303.223445901029</v>
      </c>
      <c r="P177" s="110">
        <f t="shared" si="219"/>
        <v>42046.103752693714</v>
      </c>
      <c r="Q177" s="110">
        <f t="shared" si="219"/>
        <v>42196.233169556566</v>
      </c>
      <c r="R177" s="110">
        <f t="shared" si="219"/>
        <v>43069.90807247971</v>
      </c>
      <c r="S177" s="110">
        <f t="shared" si="219"/>
        <v>43699.614075065649</v>
      </c>
      <c r="T177" s="110">
        <f t="shared" si="219"/>
        <v>43147.802383268572</v>
      </c>
      <c r="U177" s="110">
        <f t="shared" si="219"/>
        <v>41737.282527653384</v>
      </c>
      <c r="V177" s="110">
        <f t="shared" si="219"/>
        <v>36611.517720881355</v>
      </c>
      <c r="W177" s="110">
        <f t="shared" si="221"/>
        <v>32574.575948777885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33802.903938281532</v>
      </c>
      <c r="C178" s="102">
        <f t="shared" si="219"/>
        <v>33849.673083072317</v>
      </c>
      <c r="D178" s="102">
        <f t="shared" si="219"/>
        <v>33929.899426345735</v>
      </c>
      <c r="E178" s="102">
        <f t="shared" si="219"/>
        <v>34075.992814388563</v>
      </c>
      <c r="F178" s="102">
        <f t="shared" si="219"/>
        <v>34105.170342365964</v>
      </c>
      <c r="G178" s="102">
        <f t="shared" si="219"/>
        <v>34115.298160178019</v>
      </c>
      <c r="H178" s="102">
        <f t="shared" si="219"/>
        <v>32749.415151313598</v>
      </c>
      <c r="I178" s="102">
        <f t="shared" si="219"/>
        <v>31451.577191660854</v>
      </c>
      <c r="J178" s="102">
        <f t="shared" si="219"/>
        <v>30172.485668668985</v>
      </c>
      <c r="K178" s="102">
        <f t="shared" si="219"/>
        <v>30118.150482877358</v>
      </c>
      <c r="L178" s="102">
        <f t="shared" si="219"/>
        <v>31342.750030532963</v>
      </c>
      <c r="M178" s="102">
        <f t="shared" si="222"/>
        <v>32576.775504826484</v>
      </c>
      <c r="N178" s="102">
        <f t="shared" si="219"/>
        <v>32551.641243690541</v>
      </c>
      <c r="O178" s="102">
        <f t="shared" si="219"/>
        <v>32549.374027461286</v>
      </c>
      <c r="P178" s="102">
        <f t="shared" si="219"/>
        <v>32514.072549998975</v>
      </c>
      <c r="Q178" s="102">
        <f t="shared" si="219"/>
        <v>31996.06135105883</v>
      </c>
      <c r="R178" s="102">
        <f t="shared" si="219"/>
        <v>33345.863417387918</v>
      </c>
      <c r="S178" s="102">
        <f t="shared" si="219"/>
        <v>34535.120714179277</v>
      </c>
      <c r="T178" s="102">
        <f t="shared" si="219"/>
        <v>34758.920765141549</v>
      </c>
      <c r="U178" s="102">
        <f t="shared" si="219"/>
        <v>34238.144290776014</v>
      </c>
      <c r="V178" s="102">
        <f t="shared" si="219"/>
        <v>30433.97163057634</v>
      </c>
      <c r="W178" s="102">
        <f t="shared" si="221"/>
        <v>27458.884677758502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36517.055035502031</v>
      </c>
      <c r="C179" s="102">
        <f t="shared" si="219"/>
        <v>37340.670172906503</v>
      </c>
      <c r="D179" s="102">
        <f t="shared" si="219"/>
        <v>38251.496101215496</v>
      </c>
      <c r="E179" s="102">
        <f t="shared" si="219"/>
        <v>39137.265037642304</v>
      </c>
      <c r="F179" s="102">
        <f t="shared" si="219"/>
        <v>40006.343443733036</v>
      </c>
      <c r="G179" s="102">
        <f t="shared" si="219"/>
        <v>40881.823694497667</v>
      </c>
      <c r="H179" s="102">
        <f t="shared" si="219"/>
        <v>40143.02693602028</v>
      </c>
      <c r="I179" s="102">
        <f t="shared" si="219"/>
        <v>39464.661394078954</v>
      </c>
      <c r="J179" s="102">
        <f t="shared" si="219"/>
        <v>38422.095897820196</v>
      </c>
      <c r="K179" s="102">
        <f t="shared" si="219"/>
        <v>38834.401368644823</v>
      </c>
      <c r="L179" s="102">
        <f t="shared" si="219"/>
        <v>39387.277409896764</v>
      </c>
      <c r="M179" s="102">
        <f t="shared" si="222"/>
        <v>39895.925504247658</v>
      </c>
      <c r="N179" s="102">
        <f t="shared" si="219"/>
        <v>40647.703994493146</v>
      </c>
      <c r="O179" s="102">
        <f t="shared" si="219"/>
        <v>41429.327206568763</v>
      </c>
      <c r="P179" s="102">
        <f t="shared" si="219"/>
        <v>42167.652027596894</v>
      </c>
      <c r="Q179" s="102">
        <f t="shared" si="219"/>
        <v>42313.804405073526</v>
      </c>
      <c r="R179" s="102">
        <f t="shared" si="219"/>
        <v>43308.450064053999</v>
      </c>
      <c r="S179" s="102">
        <f t="shared" si="219"/>
        <v>43956.754062933149</v>
      </c>
      <c r="T179" s="102">
        <f t="shared" si="219"/>
        <v>43325.761284702472</v>
      </c>
      <c r="U179" s="102">
        <f t="shared" si="219"/>
        <v>41893.788321878113</v>
      </c>
      <c r="V179" s="102">
        <f t="shared" si="219"/>
        <v>36992.214507794924</v>
      </c>
      <c r="W179" s="102">
        <f t="shared" si="221"/>
        <v>32475.443012027168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26177.032667361997</v>
      </c>
      <c r="S180" s="102">
        <f t="shared" si="223"/>
        <v>26313.247409690262</v>
      </c>
      <c r="T180" s="102">
        <f t="shared" si="223"/>
        <v>25704.832436902998</v>
      </c>
      <c r="U180" s="102">
        <f t="shared" si="223"/>
        <v>24575.011760728499</v>
      </c>
      <c r="V180" s="102">
        <f t="shared" si="223"/>
        <v>21202.016627525405</v>
      </c>
      <c r="W180" s="102">
        <f t="shared" si="221"/>
        <v>18566.774179268137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33227.66433471247</v>
      </c>
      <c r="C181" s="102">
        <f t="shared" si="223"/>
        <v>33946.912181146239</v>
      </c>
      <c r="D181" s="102">
        <f t="shared" si="223"/>
        <v>32555.475271872187</v>
      </c>
      <c r="E181" s="102">
        <f t="shared" si="223"/>
        <v>34061.47409894289</v>
      </c>
      <c r="F181" s="102">
        <f t="shared" si="223"/>
        <v>33667.309870810903</v>
      </c>
      <c r="G181" s="102">
        <f t="shared" si="223"/>
        <v>32942.436359142062</v>
      </c>
      <c r="H181" s="102">
        <f t="shared" si="223"/>
        <v>30993.418745833991</v>
      </c>
      <c r="I181" s="102">
        <f t="shared" si="223"/>
        <v>27600.430158036965</v>
      </c>
      <c r="J181" s="102">
        <f t="shared" si="223"/>
        <v>24552.289609112584</v>
      </c>
      <c r="K181" s="102">
        <f t="shared" si="223"/>
        <v>23704.870983796605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0</v>
      </c>
      <c r="U181" s="102">
        <f t="shared" si="223"/>
        <v>16046.47335576044</v>
      </c>
      <c r="V181" s="102">
        <f t="shared" si="223"/>
        <v>15382.273407297804</v>
      </c>
      <c r="W181" s="102">
        <f t="shared" si="221"/>
        <v>14967.087629992608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42078.514457854093</v>
      </c>
      <c r="C182" s="102">
        <f t="shared" si="223"/>
        <v>42120.985593565383</v>
      </c>
      <c r="D182" s="102">
        <f t="shared" si="223"/>
        <v>42165.476600742957</v>
      </c>
      <c r="E182" s="102">
        <f t="shared" si="223"/>
        <v>42213.892525084557</v>
      </c>
      <c r="F182" s="102">
        <f t="shared" si="223"/>
        <v>42255.440391627199</v>
      </c>
      <c r="G182" s="102">
        <f t="shared" si="223"/>
        <v>42295.903323154387</v>
      </c>
      <c r="H182" s="102">
        <f t="shared" si="223"/>
        <v>42338.337676339797</v>
      </c>
      <c r="I182" s="102">
        <f t="shared" si="223"/>
        <v>42379.957240997159</v>
      </c>
      <c r="J182" s="102">
        <f t="shared" si="223"/>
        <v>42423.804952149214</v>
      </c>
      <c r="K182" s="102">
        <f t="shared" si="223"/>
        <v>42460.184176019531</v>
      </c>
      <c r="L182" s="102">
        <f t="shared" si="223"/>
        <v>42499.937981055788</v>
      </c>
      <c r="M182" s="102">
        <f t="shared" si="222"/>
        <v>42537.220573088111</v>
      </c>
      <c r="N182" s="102">
        <f t="shared" si="223"/>
        <v>42575.78647008293</v>
      </c>
      <c r="O182" s="102">
        <f t="shared" si="223"/>
        <v>42615.812269321519</v>
      </c>
      <c r="P182" s="102">
        <f t="shared" si="223"/>
        <v>42653.813055166611</v>
      </c>
      <c r="Q182" s="102">
        <f t="shared" si="223"/>
        <v>42661.415134745119</v>
      </c>
      <c r="R182" s="102">
        <f t="shared" si="223"/>
        <v>42617.723205608883</v>
      </c>
      <c r="S182" s="102">
        <f t="shared" si="223"/>
        <v>42586.805239662761</v>
      </c>
      <c r="T182" s="102">
        <f t="shared" si="223"/>
        <v>42559.75463765271</v>
      </c>
      <c r="U182" s="102">
        <f t="shared" si="223"/>
        <v>42489.086101331559</v>
      </c>
      <c r="V182" s="102">
        <f t="shared" si="223"/>
        <v>38512.132106388068</v>
      </c>
      <c r="W182" s="102">
        <f t="shared" si="221"/>
        <v>41965.76265049963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8554.9950497012524</v>
      </c>
      <c r="C183" s="28">
        <f t="shared" si="223"/>
        <v>9530.1986354441979</v>
      </c>
      <c r="D183" s="28">
        <f t="shared" si="223"/>
        <v>10754.94057870667</v>
      </c>
      <c r="E183" s="28">
        <f t="shared" si="223"/>
        <v>11111.921782535455</v>
      </c>
      <c r="F183" s="28">
        <f t="shared" si="223"/>
        <v>11530.784877858114</v>
      </c>
      <c r="G183" s="28">
        <f t="shared" si="223"/>
        <v>12364.920574115733</v>
      </c>
      <c r="H183" s="28">
        <f t="shared" si="223"/>
        <v>12757.402325806379</v>
      </c>
      <c r="I183" s="28">
        <f t="shared" si="223"/>
        <v>14511.088823795724</v>
      </c>
      <c r="J183" s="28">
        <f t="shared" si="223"/>
        <v>14540.372065329042</v>
      </c>
      <c r="K183" s="28">
        <f t="shared" si="223"/>
        <v>14000.864368744265</v>
      </c>
      <c r="L183" s="28">
        <f t="shared" si="223"/>
        <v>16032.584766546206</v>
      </c>
      <c r="M183" s="28">
        <f t="shared" si="222"/>
        <v>15354.825077776082</v>
      </c>
      <c r="N183" s="28">
        <f t="shared" si="223"/>
        <v>14677.41018131149</v>
      </c>
      <c r="O183" s="28">
        <f t="shared" si="223"/>
        <v>15722.405454918448</v>
      </c>
      <c r="P183" s="28">
        <f t="shared" si="223"/>
        <v>16446.093705194402</v>
      </c>
      <c r="Q183" s="28">
        <f t="shared" si="223"/>
        <v>16919.815338105291</v>
      </c>
      <c r="R183" s="28">
        <f t="shared" si="223"/>
        <v>17311.298030577454</v>
      </c>
      <c r="S183" s="28">
        <f t="shared" si="223"/>
        <v>17782.344178428582</v>
      </c>
      <c r="T183" s="28">
        <f t="shared" si="223"/>
        <v>17891.412965770585</v>
      </c>
      <c r="U183" s="28">
        <f t="shared" si="223"/>
        <v>17664.028920104229</v>
      </c>
      <c r="V183" s="28">
        <f t="shared" si="223"/>
        <v>17937.353342366463</v>
      </c>
      <c r="W183" s="28">
        <f t="shared" si="221"/>
        <v>18541.931538243305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13108.39371134152</v>
      </c>
      <c r="C184" s="137">
        <f t="shared" si="223"/>
        <v>13494.760735356038</v>
      </c>
      <c r="D184" s="137">
        <f t="shared" si="223"/>
        <v>14359.859207901083</v>
      </c>
      <c r="E184" s="137">
        <f t="shared" si="223"/>
        <v>13917.873434260529</v>
      </c>
      <c r="F184" s="137">
        <f t="shared" si="223"/>
        <v>14714.400127092447</v>
      </c>
      <c r="G184" s="137">
        <f t="shared" si="223"/>
        <v>14673.169367858951</v>
      </c>
      <c r="H184" s="137">
        <f t="shared" si="223"/>
        <v>14327.808161793302</v>
      </c>
      <c r="I184" s="137">
        <f t="shared" si="223"/>
        <v>15030.63646488118</v>
      </c>
      <c r="J184" s="137">
        <f t="shared" si="223"/>
        <v>15299.254499943812</v>
      </c>
      <c r="K184" s="137">
        <f t="shared" si="223"/>
        <v>15437.406717868864</v>
      </c>
      <c r="L184" s="137">
        <f t="shared" si="223"/>
        <v>15981.972729197934</v>
      </c>
      <c r="M184" s="137">
        <f t="shared" si="222"/>
        <v>15979.728614307833</v>
      </c>
      <c r="N184" s="137">
        <f t="shared" si="223"/>
        <v>15961.049168480493</v>
      </c>
      <c r="O184" s="137">
        <f t="shared" si="223"/>
        <v>16123.536769998333</v>
      </c>
      <c r="P184" s="137">
        <f t="shared" si="223"/>
        <v>16225.761692254355</v>
      </c>
      <c r="Q184" s="137">
        <f t="shared" si="223"/>
        <v>15994.863506203894</v>
      </c>
      <c r="R184" s="137">
        <f t="shared" si="223"/>
        <v>16061.748171322464</v>
      </c>
      <c r="S184" s="137">
        <f t="shared" si="223"/>
        <v>16084.771642356201</v>
      </c>
      <c r="T184" s="137">
        <f t="shared" si="223"/>
        <v>15960.235219621181</v>
      </c>
      <c r="U184" s="137">
        <f t="shared" si="223"/>
        <v>15851.875177678216</v>
      </c>
      <c r="V184" s="137">
        <f t="shared" si="223"/>
        <v>16025.346352245597</v>
      </c>
      <c r="W184" s="137">
        <f t="shared" si="221"/>
        <v>15901.823387884595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9358.5152252404496</v>
      </c>
      <c r="C185" s="84">
        <f t="shared" si="223"/>
        <v>9315.5683638361352</v>
      </c>
      <c r="D185" s="84">
        <f t="shared" si="223"/>
        <v>9209.2797430222254</v>
      </c>
      <c r="E185" s="84">
        <f t="shared" si="223"/>
        <v>9003.0501113031878</v>
      </c>
      <c r="F185" s="84">
        <f t="shared" si="223"/>
        <v>9000.6496361254667</v>
      </c>
      <c r="G185" s="84">
        <f t="shared" si="223"/>
        <v>9071.0389358674256</v>
      </c>
      <c r="H185" s="84">
        <f t="shared" si="223"/>
        <v>9030.423593807729</v>
      </c>
      <c r="I185" s="84">
        <f t="shared" si="223"/>
        <v>8959.6194132831406</v>
      </c>
      <c r="J185" s="84">
        <f t="shared" si="223"/>
        <v>8863.9004917488764</v>
      </c>
      <c r="K185" s="84">
        <f t="shared" si="223"/>
        <v>8831.6778720254897</v>
      </c>
      <c r="L185" s="84">
        <f t="shared" si="223"/>
        <v>8732.3923374582064</v>
      </c>
      <c r="M185" s="84">
        <f t="shared" si="222"/>
        <v>8658.1050213310591</v>
      </c>
      <c r="N185" s="84">
        <f t="shared" si="223"/>
        <v>8608.0238467297368</v>
      </c>
      <c r="O185" s="84">
        <f t="shared" si="223"/>
        <v>8580.9649561649294</v>
      </c>
      <c r="P185" s="84">
        <f t="shared" si="223"/>
        <v>8530.2045466366908</v>
      </c>
      <c r="Q185" s="84">
        <f t="shared" si="223"/>
        <v>8386.6431089395701</v>
      </c>
      <c r="R185" s="84">
        <f t="shared" si="223"/>
        <v>8558.1664145973355</v>
      </c>
      <c r="S185" s="84">
        <f t="shared" si="223"/>
        <v>8557.4406109458105</v>
      </c>
      <c r="T185" s="84">
        <f t="shared" si="223"/>
        <v>8480.1395184316025</v>
      </c>
      <c r="U185" s="84">
        <f t="shared" si="223"/>
        <v>8407.3689425391512</v>
      </c>
      <c r="V185" s="84">
        <f t="shared" si="223"/>
        <v>8492.4996676728188</v>
      </c>
      <c r="W185" s="84">
        <f t="shared" si="221"/>
        <v>8420.3506965487286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18321.371222897527</v>
      </c>
      <c r="C186" s="84">
        <f t="shared" si="223"/>
        <v>18239.117118844188</v>
      </c>
      <c r="D186" s="84">
        <f t="shared" si="223"/>
        <v>18211.322863552301</v>
      </c>
      <c r="E186" s="84">
        <f t="shared" si="223"/>
        <v>17981.539433905331</v>
      </c>
      <c r="F186" s="84">
        <f t="shared" si="223"/>
        <v>17976.745032170962</v>
      </c>
      <c r="G186" s="84">
        <f t="shared" si="223"/>
        <v>18117.331605986197</v>
      </c>
      <c r="H186" s="84">
        <f t="shared" si="223"/>
        <v>17134.401136499651</v>
      </c>
      <c r="I186" s="84">
        <f t="shared" si="223"/>
        <v>17894.796519067058</v>
      </c>
      <c r="J186" s="84">
        <f t="shared" si="223"/>
        <v>17703.619802192145</v>
      </c>
      <c r="K186" s="84">
        <f t="shared" si="223"/>
        <v>17464.616304680174</v>
      </c>
      <c r="L186" s="84">
        <f t="shared" si="223"/>
        <v>17095.596665489964</v>
      </c>
      <c r="M186" s="84">
        <f t="shared" si="222"/>
        <v>16950.162751758922</v>
      </c>
      <c r="N186" s="84">
        <f t="shared" si="223"/>
        <v>16852.11773403273</v>
      </c>
      <c r="O186" s="84">
        <f t="shared" si="223"/>
        <v>16799.143948449677</v>
      </c>
      <c r="P186" s="84">
        <f t="shared" si="223"/>
        <v>16699.769177558152</v>
      </c>
      <c r="Q186" s="84">
        <f t="shared" si="223"/>
        <v>16418.715791413313</v>
      </c>
      <c r="R186" s="84">
        <f t="shared" si="223"/>
        <v>16422.738251924296</v>
      </c>
      <c r="S186" s="84">
        <f t="shared" si="223"/>
        <v>16421.345467206891</v>
      </c>
      <c r="T186" s="84">
        <f t="shared" si="223"/>
        <v>16273.008130977567</v>
      </c>
      <c r="U186" s="84">
        <f t="shared" si="223"/>
        <v>16133.36465334139</v>
      </c>
      <c r="V186" s="84">
        <f t="shared" si="223"/>
        <v>16296.726704081848</v>
      </c>
      <c r="W186" s="84">
        <f t="shared" si="221"/>
        <v>16158.276058170644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12425.85321214057</v>
      </c>
      <c r="O187" s="84">
        <f t="shared" si="223"/>
        <v>12143.914869355307</v>
      </c>
      <c r="P187" s="84">
        <f t="shared" si="223"/>
        <v>11835.3705387018</v>
      </c>
      <c r="Q187" s="84">
        <f t="shared" si="223"/>
        <v>11522.103661143927</v>
      </c>
      <c r="R187" s="84">
        <f t="shared" si="223"/>
        <v>11874.16668555375</v>
      </c>
      <c r="S187" s="84">
        <f t="shared" si="223"/>
        <v>12110.622850665379</v>
      </c>
      <c r="T187" s="84">
        <f t="shared" si="223"/>
        <v>12241.249646925135</v>
      </c>
      <c r="U187" s="84">
        <f t="shared" si="223"/>
        <v>12378.927954339875</v>
      </c>
      <c r="V187" s="84">
        <f t="shared" si="223"/>
        <v>12754.359074999682</v>
      </c>
      <c r="W187" s="84">
        <f t="shared" si="221"/>
        <v>12898.923065562916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10022.954227925164</v>
      </c>
      <c r="N189" s="84">
        <f t="shared" si="223"/>
        <v>10025.723382386079</v>
      </c>
      <c r="O189" s="84">
        <f t="shared" si="223"/>
        <v>10027.226590083883</v>
      </c>
      <c r="P189" s="84">
        <f t="shared" si="223"/>
        <v>10030.059935863665</v>
      </c>
      <c r="Q189" s="84">
        <f t="shared" si="223"/>
        <v>10033.414680552149</v>
      </c>
      <c r="R189" s="84">
        <f t="shared" si="223"/>
        <v>10028.496981510436</v>
      </c>
      <c r="S189" s="84">
        <f t="shared" si="223"/>
        <v>10028.456479879249</v>
      </c>
      <c r="T189" s="84">
        <f t="shared" si="223"/>
        <v>10024.124048744465</v>
      </c>
      <c r="U189" s="84">
        <f t="shared" si="223"/>
        <v>10020.011027617758</v>
      </c>
      <c r="V189" s="84">
        <f t="shared" si="223"/>
        <v>9948.1629553673301</v>
      </c>
      <c r="W189" s="84">
        <f t="shared" si="221"/>
        <v>10019.274869441128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6220.0501320662515</v>
      </c>
      <c r="C190" s="110">
        <f t="shared" si="223"/>
        <v>7309.3243569722281</v>
      </c>
      <c r="D190" s="110">
        <f t="shared" si="223"/>
        <v>8412.2617760159392</v>
      </c>
      <c r="E190" s="110">
        <f t="shared" si="223"/>
        <v>9378.9278658035582</v>
      </c>
      <c r="F190" s="110">
        <f t="shared" si="223"/>
        <v>9142.5846448336215</v>
      </c>
      <c r="G190" s="110">
        <f t="shared" si="223"/>
        <v>10644.160906314917</v>
      </c>
      <c r="H190" s="110">
        <f t="shared" si="223"/>
        <v>11400.421652572411</v>
      </c>
      <c r="I190" s="110">
        <f t="shared" si="223"/>
        <v>14019.082418765602</v>
      </c>
      <c r="J190" s="110">
        <f t="shared" si="223"/>
        <v>13793.383120636279</v>
      </c>
      <c r="K190" s="110">
        <f t="shared" si="223"/>
        <v>12679.087110872048</v>
      </c>
      <c r="L190" s="110">
        <f t="shared" si="223"/>
        <v>16086.842273397137</v>
      </c>
      <c r="M190" s="110">
        <f t="shared" si="222"/>
        <v>14626.984781771689</v>
      </c>
      <c r="N190" s="110">
        <f t="shared" si="223"/>
        <v>13037.959217546342</v>
      </c>
      <c r="O190" s="110">
        <f t="shared" si="223"/>
        <v>15095.835611979217</v>
      </c>
      <c r="P190" s="110">
        <f t="shared" si="223"/>
        <v>16868.647209624596</v>
      </c>
      <c r="Q190" s="110">
        <f t="shared" si="223"/>
        <v>18926.877030781867</v>
      </c>
      <c r="R190" s="110">
        <f t="shared" si="223"/>
        <v>20146.229575133053</v>
      </c>
      <c r="S190" s="110">
        <f t="shared" si="223"/>
        <v>21788.436542683168</v>
      </c>
      <c r="T190" s="110">
        <f t="shared" si="223"/>
        <v>22526.012473642815</v>
      </c>
      <c r="U190" s="110">
        <f t="shared" si="223"/>
        <v>22208.285710079723</v>
      </c>
      <c r="V190" s="110">
        <f t="shared" si="223"/>
        <v>22613.630743840309</v>
      </c>
      <c r="W190" s="110">
        <f t="shared" si="221"/>
        <v>25623.308495692247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5313.4769552727112</v>
      </c>
      <c r="C191" s="102">
        <f t="shared" si="223"/>
        <v>6373.8698058988375</v>
      </c>
      <c r="D191" s="102">
        <f t="shared" si="223"/>
        <v>7462.2740589243267</v>
      </c>
      <c r="E191" s="102">
        <f t="shared" si="223"/>
        <v>8427.6338640975482</v>
      </c>
      <c r="F191" s="102">
        <f t="shared" si="223"/>
        <v>8011.292806335704</v>
      </c>
      <c r="G191" s="102">
        <f t="shared" si="223"/>
        <v>9440.310703505027</v>
      </c>
      <c r="H191" s="102">
        <f t="shared" si="223"/>
        <v>9889.5171118614271</v>
      </c>
      <c r="I191" s="102">
        <f t="shared" si="223"/>
        <v>12284.189599246625</v>
      </c>
      <c r="J191" s="102">
        <f t="shared" si="223"/>
        <v>12014.969470159544</v>
      </c>
      <c r="K191" s="102">
        <f t="shared" si="223"/>
        <v>11257.562662057044</v>
      </c>
      <c r="L191" s="102">
        <f t="shared" si="223"/>
        <v>13970.680365868939</v>
      </c>
      <c r="M191" s="102">
        <f t="shared" si="222"/>
        <v>11991.675200687127</v>
      </c>
      <c r="N191" s="102">
        <f t="shared" si="223"/>
        <v>10022.976257866871</v>
      </c>
      <c r="O191" s="102">
        <f t="shared" si="223"/>
        <v>11482.740118046861</v>
      </c>
      <c r="P191" s="102">
        <f t="shared" si="223"/>
        <v>12827.278262634463</v>
      </c>
      <c r="Q191" s="102">
        <f t="shared" si="223"/>
        <v>13972.578814077373</v>
      </c>
      <c r="R191" s="102">
        <f t="shared" si="223"/>
        <v>14989.194905512897</v>
      </c>
      <c r="S191" s="102">
        <f t="shared" si="223"/>
        <v>16851.360014653357</v>
      </c>
      <c r="T191" s="102">
        <f t="shared" si="223"/>
        <v>17258.652094717669</v>
      </c>
      <c r="U191" s="102">
        <f t="shared" si="223"/>
        <v>17358.421795981594</v>
      </c>
      <c r="V191" s="102">
        <f t="shared" si="223"/>
        <v>16962.559325013182</v>
      </c>
      <c r="W191" s="102">
        <f t="shared" si="221"/>
        <v>20190.299373404501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84970.432670317721</v>
      </c>
      <c r="C192" s="86">
        <f t="shared" si="223"/>
        <v>84979.823403048562</v>
      </c>
      <c r="D192" s="86">
        <f t="shared" si="223"/>
        <v>85022.489665634173</v>
      </c>
      <c r="E192" s="86">
        <f t="shared" si="223"/>
        <v>85013.714475280882</v>
      </c>
      <c r="F192" s="86">
        <f t="shared" si="223"/>
        <v>84953.035758327882</v>
      </c>
      <c r="G192" s="86">
        <f t="shared" si="223"/>
        <v>85006.931569432709</v>
      </c>
      <c r="H192" s="86">
        <f t="shared" si="223"/>
        <v>85037.524842647326</v>
      </c>
      <c r="I192" s="86">
        <f t="shared" si="223"/>
        <v>84996.696614582703</v>
      </c>
      <c r="J192" s="86">
        <f t="shared" si="223"/>
        <v>85012.537311024949</v>
      </c>
      <c r="K192" s="86">
        <f t="shared" si="223"/>
        <v>84973.759079177893</v>
      </c>
      <c r="L192" s="86">
        <f t="shared" si="223"/>
        <v>85021.896085570814</v>
      </c>
      <c r="M192" s="86">
        <f t="shared" si="222"/>
        <v>85036.037146300252</v>
      </c>
      <c r="N192" s="86">
        <f t="shared" si="223"/>
        <v>85011.689950562344</v>
      </c>
      <c r="O192" s="86">
        <f t="shared" si="223"/>
        <v>84994.856049957787</v>
      </c>
      <c r="P192" s="86">
        <f t="shared" si="223"/>
        <v>85013.153718250134</v>
      </c>
      <c r="Q192" s="86">
        <f t="shared" si="223"/>
        <v>85009.193722084296</v>
      </c>
      <c r="R192" s="86">
        <f t="shared" si="223"/>
        <v>85016.297261407657</v>
      </c>
      <c r="S192" s="86">
        <f t="shared" si="223"/>
        <v>85023.555146269719</v>
      </c>
      <c r="T192" s="86">
        <f t="shared" si="223"/>
        <v>84983.482193511183</v>
      </c>
      <c r="U192" s="86">
        <f t="shared" si="223"/>
        <v>85010.446801843646</v>
      </c>
      <c r="V192" s="86">
        <f t="shared" ref="V192:W192" si="224">IF(V55=0,0,V55*1000000/V82)</f>
        <v>85008.478490967973</v>
      </c>
      <c r="W192" s="86">
        <f t="shared" si="224"/>
        <v>84981.41272474367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22836.384852066803</v>
      </c>
      <c r="C195" s="28">
        <f t="shared" si="225"/>
        <v>23462.621403065139</v>
      </c>
      <c r="D195" s="28">
        <f t="shared" si="225"/>
        <v>24055.128359145907</v>
      </c>
      <c r="E195" s="28">
        <f t="shared" si="225"/>
        <v>24568.393903619373</v>
      </c>
      <c r="F195" s="28">
        <f t="shared" si="225"/>
        <v>21459.1223574711</v>
      </c>
      <c r="G195" s="28">
        <f t="shared" si="225"/>
        <v>22011.513315562279</v>
      </c>
      <c r="H195" s="28">
        <f t="shared" si="225"/>
        <v>23763.98200907389</v>
      </c>
      <c r="I195" s="28">
        <f t="shared" si="225"/>
        <v>25782.481839852418</v>
      </c>
      <c r="J195" s="28">
        <f t="shared" si="225"/>
        <v>23271.790061247746</v>
      </c>
      <c r="K195" s="28">
        <f t="shared" si="225"/>
        <v>21149.971950640131</v>
      </c>
      <c r="L195" s="28">
        <f t="shared" si="225"/>
        <v>21684.749933720868</v>
      </c>
      <c r="M195" s="28">
        <f>IF(M4=0,0,M4*1000000/M58)</f>
        <v>21116.73045876051</v>
      </c>
      <c r="N195" s="28">
        <f t="shared" ref="N195:V195" si="226">IF(N4=0,0,N4*1000000/N58)</f>
        <v>21623.898740823766</v>
      </c>
      <c r="O195" s="28">
        <f t="shared" si="226"/>
        <v>21310.525315558018</v>
      </c>
      <c r="P195" s="28">
        <f t="shared" si="226"/>
        <v>21792.746260367701</v>
      </c>
      <c r="Q195" s="28">
        <f t="shared" si="226"/>
        <v>22255.480438922878</v>
      </c>
      <c r="R195" s="28">
        <f t="shared" si="226"/>
        <v>23113.002473817571</v>
      </c>
      <c r="S195" s="28">
        <f t="shared" si="226"/>
        <v>23603.457132237534</v>
      </c>
      <c r="T195" s="28">
        <f t="shared" si="226"/>
        <v>23343.901920050703</v>
      </c>
      <c r="U195" s="28">
        <f t="shared" si="226"/>
        <v>22967.474486393108</v>
      </c>
      <c r="V195" s="28">
        <f t="shared" si="226"/>
        <v>20484.430806581604</v>
      </c>
      <c r="W195" s="28">
        <f t="shared" ref="W195" si="227">IF(W4=0,0,W4*1000000/W58)</f>
        <v>17934.30200682842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1996.497581657766</v>
      </c>
      <c r="C196" s="137">
        <f t="shared" si="228"/>
        <v>2020.0395001805985</v>
      </c>
      <c r="D196" s="137">
        <f t="shared" si="228"/>
        <v>2014.3187758402166</v>
      </c>
      <c r="E196" s="137">
        <f t="shared" si="228"/>
        <v>2009.2391295177038</v>
      </c>
      <c r="F196" s="137">
        <f t="shared" si="228"/>
        <v>1985.4234542059526</v>
      </c>
      <c r="G196" s="137">
        <f t="shared" si="228"/>
        <v>1956.2126327593974</v>
      </c>
      <c r="H196" s="137">
        <f t="shared" si="228"/>
        <v>1889.2597664813532</v>
      </c>
      <c r="I196" s="137">
        <f t="shared" si="228"/>
        <v>1751.1656443434229</v>
      </c>
      <c r="J196" s="137">
        <f t="shared" si="228"/>
        <v>1621.2009280184618</v>
      </c>
      <c r="K196" s="137">
        <f t="shared" si="228"/>
        <v>1564.5998751486829</v>
      </c>
      <c r="L196" s="137">
        <f t="shared" si="228"/>
        <v>1568.3483361008853</v>
      </c>
      <c r="M196" s="137">
        <f>IF(M5=0,0,M5*1000000/M59)</f>
        <v>1489.8643517360103</v>
      </c>
      <c r="N196" s="137">
        <f t="shared" ref="N196:V196" si="229">IF(N5=0,0,N5*1000000/N59)</f>
        <v>1290.9898544313276</v>
      </c>
      <c r="O196" s="137">
        <f t="shared" si="229"/>
        <v>1281.525395351742</v>
      </c>
      <c r="P196" s="137">
        <f t="shared" si="229"/>
        <v>1469.3607152225566</v>
      </c>
      <c r="Q196" s="137">
        <f t="shared" si="229"/>
        <v>1779.3966886274586</v>
      </c>
      <c r="R196" s="137">
        <f t="shared" si="229"/>
        <v>1785.1136770646776</v>
      </c>
      <c r="S196" s="137">
        <f t="shared" si="229"/>
        <v>1599.498712645124</v>
      </c>
      <c r="T196" s="137">
        <f t="shared" si="229"/>
        <v>1454.8447940719338</v>
      </c>
      <c r="U196" s="137">
        <f t="shared" si="229"/>
        <v>1442.1078247595403</v>
      </c>
      <c r="V196" s="137">
        <f t="shared" si="229"/>
        <v>1226.14198607053</v>
      </c>
      <c r="W196" s="137">
        <f t="shared" ref="W196" si="230">IF(W5=0,0,W5*1000000/W59)</f>
        <v>1204.8406399702972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20076.815642458099</v>
      </c>
      <c r="C197" s="110">
        <f t="shared" si="231"/>
        <v>20826.102047900036</v>
      </c>
      <c r="D197" s="110">
        <f t="shared" si="231"/>
        <v>21400.445129258689</v>
      </c>
      <c r="E197" s="110">
        <f t="shared" si="231"/>
        <v>21706.461846718983</v>
      </c>
      <c r="F197" s="110">
        <f t="shared" si="231"/>
        <v>18377.894904967259</v>
      </c>
      <c r="G197" s="110">
        <f t="shared" si="231"/>
        <v>18705.019305019301</v>
      </c>
      <c r="H197" s="110">
        <f t="shared" si="231"/>
        <v>20862.189550750732</v>
      </c>
      <c r="I197" s="110">
        <f t="shared" si="231"/>
        <v>23299.604304466542</v>
      </c>
      <c r="J197" s="110">
        <f t="shared" si="231"/>
        <v>20872.691592343628</v>
      </c>
      <c r="K197" s="110">
        <f t="shared" si="231"/>
        <v>19123.135283226202</v>
      </c>
      <c r="L197" s="110">
        <f t="shared" si="231"/>
        <v>19338.956428863134</v>
      </c>
      <c r="M197" s="110">
        <f>IF(M6=0,0,M6*1000000/M60)</f>
        <v>18535.896263391689</v>
      </c>
      <c r="N197" s="110">
        <f t="shared" ref="N197:V197" si="232">IF(N6=0,0,N6*1000000/N60)</f>
        <v>18645.575557604283</v>
      </c>
      <c r="O197" s="110">
        <f t="shared" si="232"/>
        <v>18489.58784736722</v>
      </c>
      <c r="P197" s="110">
        <f t="shared" si="232"/>
        <v>19194.009112206011</v>
      </c>
      <c r="Q197" s="110">
        <f t="shared" si="232"/>
        <v>19943.509148101464</v>
      </c>
      <c r="R197" s="110">
        <f t="shared" si="232"/>
        <v>20926.349452028597</v>
      </c>
      <c r="S197" s="110">
        <f t="shared" si="232"/>
        <v>21721.85353629107</v>
      </c>
      <c r="T197" s="110">
        <f t="shared" si="232"/>
        <v>21552.862860444649</v>
      </c>
      <c r="U197" s="110">
        <f t="shared" si="232"/>
        <v>21315.686695160923</v>
      </c>
      <c r="V197" s="110">
        <f t="shared" si="232"/>
        <v>19988.52695894058</v>
      </c>
      <c r="W197" s="110">
        <f t="shared" ref="W197:W209" si="233">IF(W6=0,0,W6*1000000/W60)</f>
        <v>17708.860559281289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19108.235416781106</v>
      </c>
      <c r="C198" s="84">
        <f t="shared" si="231"/>
        <v>19549.997635875807</v>
      </c>
      <c r="D198" s="84">
        <f t="shared" si="231"/>
        <v>19966.002414153929</v>
      </c>
      <c r="E198" s="84">
        <f t="shared" si="231"/>
        <v>19938.725981730324</v>
      </c>
      <c r="F198" s="84">
        <f t="shared" si="231"/>
        <v>16562.855087713495</v>
      </c>
      <c r="G198" s="84">
        <f t="shared" si="231"/>
        <v>16569.994733593896</v>
      </c>
      <c r="H198" s="84">
        <f t="shared" si="231"/>
        <v>18396.22421054744</v>
      </c>
      <c r="I198" s="84">
        <f t="shared" si="231"/>
        <v>20984.200663893906</v>
      </c>
      <c r="J198" s="84">
        <f t="shared" si="231"/>
        <v>18536.092884305228</v>
      </c>
      <c r="K198" s="84">
        <f t="shared" si="231"/>
        <v>16161.01632287384</v>
      </c>
      <c r="L198" s="84">
        <f t="shared" si="231"/>
        <v>16032.586039045951</v>
      </c>
      <c r="M198" s="84">
        <f t="shared" ref="M198:M219" si="234">IF(M7=0,0,M7*1000000/M61)</f>
        <v>15169.105345557131</v>
      </c>
      <c r="N198" s="84">
        <f t="shared" si="231"/>
        <v>14530.63464165818</v>
      </c>
      <c r="O198" s="84">
        <f t="shared" si="231"/>
        <v>14217.418702498935</v>
      </c>
      <c r="P198" s="84">
        <f t="shared" si="231"/>
        <v>14805.152624771468</v>
      </c>
      <c r="Q198" s="84">
        <f t="shared" si="231"/>
        <v>15471.259731448568</v>
      </c>
      <c r="R198" s="84">
        <f t="shared" si="231"/>
        <v>15691.532039469026</v>
      </c>
      <c r="S198" s="84">
        <f t="shared" si="231"/>
        <v>16197.191756336293</v>
      </c>
      <c r="T198" s="84">
        <f t="shared" si="231"/>
        <v>16187.182116019978</v>
      </c>
      <c r="U198" s="84">
        <f t="shared" si="231"/>
        <v>15589.404216248686</v>
      </c>
      <c r="V198" s="84">
        <f t="shared" si="231"/>
        <v>15141.525755415536</v>
      </c>
      <c r="W198" s="84">
        <f t="shared" si="233"/>
        <v>13941.664913934494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25320.483795360884</v>
      </c>
      <c r="C199" s="84">
        <f t="shared" si="231"/>
        <v>27201.159966817166</v>
      </c>
      <c r="D199" s="84">
        <f t="shared" si="231"/>
        <v>28051.203555065873</v>
      </c>
      <c r="E199" s="84">
        <f t="shared" si="231"/>
        <v>29130.466545650943</v>
      </c>
      <c r="F199" s="84">
        <f t="shared" si="231"/>
        <v>25111.732330393323</v>
      </c>
      <c r="G199" s="84">
        <f t="shared" si="231"/>
        <v>25758.543623000278</v>
      </c>
      <c r="H199" s="84">
        <f t="shared" si="231"/>
        <v>28178.979556727263</v>
      </c>
      <c r="I199" s="84">
        <f t="shared" si="231"/>
        <v>29429.702166741561</v>
      </c>
      <c r="J199" s="84">
        <f t="shared" si="231"/>
        <v>26376.718184857156</v>
      </c>
      <c r="K199" s="84">
        <f t="shared" si="231"/>
        <v>25204.90337108693</v>
      </c>
      <c r="L199" s="84">
        <f t="shared" si="231"/>
        <v>25329.510238548657</v>
      </c>
      <c r="M199" s="84">
        <f t="shared" si="234"/>
        <v>23647.205650778003</v>
      </c>
      <c r="N199" s="84">
        <f t="shared" si="231"/>
        <v>23784.48449457579</v>
      </c>
      <c r="O199" s="84">
        <f t="shared" si="231"/>
        <v>23000.75420929195</v>
      </c>
      <c r="P199" s="84">
        <f t="shared" si="231"/>
        <v>22754.003345831701</v>
      </c>
      <c r="Q199" s="84">
        <f t="shared" si="231"/>
        <v>23433.978918530742</v>
      </c>
      <c r="R199" s="84">
        <f t="shared" si="231"/>
        <v>24258.781003670796</v>
      </c>
      <c r="S199" s="84">
        <f t="shared" si="231"/>
        <v>25094.94348210705</v>
      </c>
      <c r="T199" s="84">
        <f t="shared" si="231"/>
        <v>24614.721533282642</v>
      </c>
      <c r="U199" s="84">
        <f t="shared" si="231"/>
        <v>24493.465859418313</v>
      </c>
      <c r="V199" s="84">
        <f t="shared" si="231"/>
        <v>22656.930126890806</v>
      </c>
      <c r="W199" s="84">
        <f t="shared" si="233"/>
        <v>19868.119659169286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34528.108425085593</v>
      </c>
      <c r="C200" s="84">
        <f t="shared" si="231"/>
        <v>37153.867062093261</v>
      </c>
      <c r="D200" s="84">
        <f t="shared" si="231"/>
        <v>35534.890662606165</v>
      </c>
      <c r="E200" s="84">
        <f t="shared" si="231"/>
        <v>33626.085898770471</v>
      </c>
      <c r="F200" s="84">
        <f t="shared" si="231"/>
        <v>26405.115407046207</v>
      </c>
      <c r="G200" s="84">
        <f t="shared" si="231"/>
        <v>24689.284992080804</v>
      </c>
      <c r="H200" s="84">
        <f t="shared" si="231"/>
        <v>24611.133321873524</v>
      </c>
      <c r="I200" s="84">
        <f t="shared" si="231"/>
        <v>25859.530495471212</v>
      </c>
      <c r="J200" s="84">
        <f t="shared" si="231"/>
        <v>22411.474610262285</v>
      </c>
      <c r="K200" s="84">
        <f t="shared" si="231"/>
        <v>22145.184871507478</v>
      </c>
      <c r="L200" s="84">
        <f t="shared" si="231"/>
        <v>25661.168806154401</v>
      </c>
      <c r="M200" s="84">
        <f t="shared" si="234"/>
        <v>25403.910975999872</v>
      </c>
      <c r="N200" s="84">
        <f t="shared" si="231"/>
        <v>24754.039218500813</v>
      </c>
      <c r="O200" s="84">
        <f t="shared" si="231"/>
        <v>24483.20649530592</v>
      </c>
      <c r="P200" s="84">
        <f t="shared" si="231"/>
        <v>23245.442628451634</v>
      </c>
      <c r="Q200" s="84">
        <f t="shared" si="231"/>
        <v>22014.208513628346</v>
      </c>
      <c r="R200" s="84">
        <f t="shared" si="231"/>
        <v>23995.654384779129</v>
      </c>
      <c r="S200" s="84">
        <f t="shared" si="231"/>
        <v>23049.367517354502</v>
      </c>
      <c r="T200" s="84">
        <f t="shared" si="231"/>
        <v>21596.865961475534</v>
      </c>
      <c r="U200" s="84">
        <f t="shared" si="231"/>
        <v>19380.465066237935</v>
      </c>
      <c r="V200" s="84">
        <f t="shared" si="231"/>
        <v>16778.710475116826</v>
      </c>
      <c r="W200" s="84">
        <f t="shared" si="233"/>
        <v>13244.589904740267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15788.439014259558</v>
      </c>
      <c r="C201" s="84">
        <f t="shared" si="231"/>
        <v>16989.102241916753</v>
      </c>
      <c r="D201" s="84">
        <f t="shared" si="231"/>
        <v>17556.011664701426</v>
      </c>
      <c r="E201" s="84">
        <f t="shared" si="231"/>
        <v>18274.263401297525</v>
      </c>
      <c r="F201" s="84">
        <f t="shared" si="231"/>
        <v>15784.990233384022</v>
      </c>
      <c r="G201" s="84">
        <f t="shared" si="231"/>
        <v>16314.241319362372</v>
      </c>
      <c r="H201" s="84">
        <f t="shared" si="231"/>
        <v>18069.555647535712</v>
      </c>
      <c r="I201" s="84">
        <f t="shared" si="231"/>
        <v>21095.702194609366</v>
      </c>
      <c r="J201" s="84">
        <f t="shared" si="231"/>
        <v>18665.89645025276</v>
      </c>
      <c r="K201" s="84">
        <f t="shared" si="231"/>
        <v>16767.373729574949</v>
      </c>
      <c r="L201" s="84">
        <f t="shared" si="231"/>
        <v>0</v>
      </c>
      <c r="M201" s="84">
        <f t="shared" si="234"/>
        <v>0</v>
      </c>
      <c r="N201" s="84">
        <f t="shared" si="231"/>
        <v>0</v>
      </c>
      <c r="O201" s="84">
        <f t="shared" si="231"/>
        <v>0</v>
      </c>
      <c r="P201" s="84">
        <f t="shared" si="231"/>
        <v>0</v>
      </c>
      <c r="Q201" s="84">
        <f t="shared" si="231"/>
        <v>0</v>
      </c>
      <c r="R201" s="84">
        <f t="shared" si="231"/>
        <v>0</v>
      </c>
      <c r="S201" s="84">
        <f t="shared" si="231"/>
        <v>0</v>
      </c>
      <c r="T201" s="84">
        <f t="shared" si="231"/>
        <v>15612.314420754165</v>
      </c>
      <c r="U201" s="84">
        <f t="shared" si="231"/>
        <v>15411.092806322349</v>
      </c>
      <c r="V201" s="84">
        <f t="shared" si="231"/>
        <v>14118.69701396418</v>
      </c>
      <c r="W201" s="84">
        <f t="shared" si="233"/>
        <v>12507.007730535241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14769.975070205777</v>
      </c>
      <c r="O202" s="84">
        <f t="shared" si="231"/>
        <v>14272.371143614806</v>
      </c>
      <c r="P202" s="84">
        <f t="shared" si="231"/>
        <v>14897.038920949351</v>
      </c>
      <c r="Q202" s="84">
        <f t="shared" si="231"/>
        <v>15581.571631598837</v>
      </c>
      <c r="R202" s="84">
        <f t="shared" si="231"/>
        <v>15669.289517620749</v>
      </c>
      <c r="S202" s="84">
        <f t="shared" si="231"/>
        <v>16218.076817396945</v>
      </c>
      <c r="T202" s="84">
        <f t="shared" si="231"/>
        <v>16210.359611601547</v>
      </c>
      <c r="U202" s="84">
        <f t="shared" si="231"/>
        <v>15702.343472069506</v>
      </c>
      <c r="V202" s="84">
        <f t="shared" si="231"/>
        <v>15257.37286990055</v>
      </c>
      <c r="W202" s="84">
        <f t="shared" si="233"/>
        <v>14050.975777673713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0</v>
      </c>
      <c r="M203" s="84">
        <f t="shared" si="234"/>
        <v>0</v>
      </c>
      <c r="N203" s="84">
        <f t="shared" si="231"/>
        <v>17640.093107314289</v>
      </c>
      <c r="O203" s="84">
        <f t="shared" si="231"/>
        <v>17815.873693052556</v>
      </c>
      <c r="P203" s="84">
        <f t="shared" si="231"/>
        <v>17099.180204178632</v>
      </c>
      <c r="Q203" s="84">
        <f t="shared" si="231"/>
        <v>16942.571494670319</v>
      </c>
      <c r="R203" s="84">
        <f t="shared" si="231"/>
        <v>16638.324963548122</v>
      </c>
      <c r="S203" s="84">
        <f t="shared" si="231"/>
        <v>16883.683572053775</v>
      </c>
      <c r="T203" s="84">
        <f t="shared" si="231"/>
        <v>16219.971602265372</v>
      </c>
      <c r="U203" s="84">
        <f t="shared" si="231"/>
        <v>15443.102999618281</v>
      </c>
      <c r="V203" s="84">
        <f t="shared" si="231"/>
        <v>15018.962957099442</v>
      </c>
      <c r="W203" s="84">
        <f t="shared" si="233"/>
        <v>12980.022774297886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616758.60257420538</v>
      </c>
      <c r="C204" s="110">
        <f t="shared" si="231"/>
        <v>605781.86596583459</v>
      </c>
      <c r="D204" s="110">
        <f t="shared" si="231"/>
        <v>609290.32258064521</v>
      </c>
      <c r="E204" s="110">
        <f t="shared" si="231"/>
        <v>622862.72594040062</v>
      </c>
      <c r="F204" s="110">
        <f t="shared" si="231"/>
        <v>655393.72994322388</v>
      </c>
      <c r="G204" s="110">
        <f t="shared" si="231"/>
        <v>728946.04135148763</v>
      </c>
      <c r="H204" s="110">
        <f t="shared" si="231"/>
        <v>704510.89711099851</v>
      </c>
      <c r="I204" s="110">
        <f t="shared" si="231"/>
        <v>668014.1485598787</v>
      </c>
      <c r="J204" s="110">
        <f t="shared" si="231"/>
        <v>647210.07971200824</v>
      </c>
      <c r="K204" s="110">
        <f t="shared" si="231"/>
        <v>565435.35620052775</v>
      </c>
      <c r="L204" s="110">
        <f t="shared" si="231"/>
        <v>628159.8260396847</v>
      </c>
      <c r="M204" s="110">
        <f t="shared" si="234"/>
        <v>691513.76146788988</v>
      </c>
      <c r="N204" s="110">
        <f t="shared" si="231"/>
        <v>821637.77644949174</v>
      </c>
      <c r="O204" s="110">
        <f t="shared" si="231"/>
        <v>839993.85182908084</v>
      </c>
      <c r="P204" s="110">
        <f t="shared" si="231"/>
        <v>877014.82914248877</v>
      </c>
      <c r="Q204" s="110">
        <f t="shared" si="231"/>
        <v>863470.31963470299</v>
      </c>
      <c r="R204" s="110">
        <f t="shared" si="231"/>
        <v>849242.92297564191</v>
      </c>
      <c r="S204" s="110">
        <f t="shared" si="231"/>
        <v>842804.79680213204</v>
      </c>
      <c r="T204" s="110">
        <f t="shared" si="231"/>
        <v>865292.32848935435</v>
      </c>
      <c r="U204" s="110">
        <f t="shared" si="231"/>
        <v>877922.07792207773</v>
      </c>
      <c r="V204" s="110">
        <f t="shared" si="231"/>
        <v>607043.79562043794</v>
      </c>
      <c r="W204" s="110">
        <f t="shared" si="233"/>
        <v>495894.85055815638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224992.58844561488</v>
      </c>
      <c r="C205" s="102">
        <f t="shared" si="231"/>
        <v>224473.02569010793</v>
      </c>
      <c r="D205" s="102">
        <f t="shared" si="231"/>
        <v>224678.8979188964</v>
      </c>
      <c r="E205" s="102">
        <f t="shared" si="231"/>
        <v>225626.81533943347</v>
      </c>
      <c r="F205" s="102">
        <f t="shared" si="231"/>
        <v>226492.29613221591</v>
      </c>
      <c r="G205" s="102">
        <f t="shared" si="231"/>
        <v>238607.48836623266</v>
      </c>
      <c r="H205" s="102">
        <f t="shared" si="231"/>
        <v>225860.73290038103</v>
      </c>
      <c r="I205" s="102">
        <f t="shared" si="231"/>
        <v>209754.74565163502</v>
      </c>
      <c r="J205" s="102">
        <f t="shared" si="231"/>
        <v>200938.0784864224</v>
      </c>
      <c r="K205" s="102">
        <f t="shared" si="231"/>
        <v>197770.9801916728</v>
      </c>
      <c r="L205" s="102">
        <f t="shared" si="231"/>
        <v>207416.23697967429</v>
      </c>
      <c r="M205" s="102">
        <f t="shared" si="234"/>
        <v>217663.12266322531</v>
      </c>
      <c r="N205" s="102">
        <f t="shared" si="231"/>
        <v>253780.25236104924</v>
      </c>
      <c r="O205" s="102">
        <f t="shared" si="231"/>
        <v>254601.79043302717</v>
      </c>
      <c r="P205" s="102">
        <f t="shared" si="231"/>
        <v>260843.0091029905</v>
      </c>
      <c r="Q205" s="102">
        <f t="shared" si="231"/>
        <v>251823.87553988639</v>
      </c>
      <c r="R205" s="102">
        <f t="shared" si="231"/>
        <v>252887.06185510507</v>
      </c>
      <c r="S205" s="102">
        <f t="shared" si="231"/>
        <v>256175.1667263722</v>
      </c>
      <c r="T205" s="102">
        <f t="shared" si="231"/>
        <v>268100.18144577829</v>
      </c>
      <c r="U205" s="102">
        <f t="shared" si="231"/>
        <v>276992.92187468265</v>
      </c>
      <c r="V205" s="102">
        <f t="shared" si="231"/>
        <v>202012.13330325522</v>
      </c>
      <c r="W205" s="102">
        <f t="shared" si="233"/>
        <v>180830.87672384988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663984.71556681045</v>
      </c>
      <c r="C206" s="102">
        <f t="shared" si="231"/>
        <v>651747.89152034163</v>
      </c>
      <c r="D206" s="102">
        <f t="shared" si="231"/>
        <v>655258.27410160273</v>
      </c>
      <c r="E206" s="102">
        <f t="shared" si="231"/>
        <v>665725.43171737099</v>
      </c>
      <c r="F206" s="102">
        <f t="shared" si="231"/>
        <v>701040.24637911795</v>
      </c>
      <c r="G206" s="102">
        <f t="shared" si="231"/>
        <v>781037.81370116642</v>
      </c>
      <c r="H206" s="102">
        <f t="shared" si="231"/>
        <v>754198.70828537864</v>
      </c>
      <c r="I206" s="102">
        <f t="shared" si="231"/>
        <v>715064.65782409545</v>
      </c>
      <c r="J206" s="102">
        <f t="shared" si="231"/>
        <v>686882.6075109184</v>
      </c>
      <c r="K206" s="102">
        <f t="shared" si="231"/>
        <v>591352.72001365502</v>
      </c>
      <c r="L206" s="102">
        <f t="shared" si="231"/>
        <v>652517.51431634475</v>
      </c>
      <c r="M206" s="102">
        <f t="shared" si="234"/>
        <v>707772.24782948091</v>
      </c>
      <c r="N206" s="102">
        <f t="shared" si="231"/>
        <v>837686.78765485936</v>
      </c>
      <c r="O206" s="102">
        <f t="shared" si="231"/>
        <v>852805.78606424597</v>
      </c>
      <c r="P206" s="102">
        <f t="shared" si="231"/>
        <v>886658.68215760612</v>
      </c>
      <c r="Q206" s="102">
        <f t="shared" si="231"/>
        <v>871738.3639525919</v>
      </c>
      <c r="R206" s="102">
        <f t="shared" si="231"/>
        <v>858267.23701163055</v>
      </c>
      <c r="S206" s="102">
        <f t="shared" si="231"/>
        <v>851638.13316872413</v>
      </c>
      <c r="T206" s="102">
        <f t="shared" si="231"/>
        <v>872377.70077205868</v>
      </c>
      <c r="U206" s="102">
        <f t="shared" si="231"/>
        <v>884579.59488196438</v>
      </c>
      <c r="V206" s="102">
        <f t="shared" si="231"/>
        <v>615375.6141175956</v>
      </c>
      <c r="W206" s="102">
        <f t="shared" si="233"/>
        <v>495582.9136202712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518764.57059421483</v>
      </c>
      <c r="S207" s="102">
        <f t="shared" si="231"/>
        <v>509804.81564930297</v>
      </c>
      <c r="T207" s="102">
        <f t="shared" si="231"/>
        <v>517574.80896138551</v>
      </c>
      <c r="U207" s="102">
        <f t="shared" si="231"/>
        <v>518896.82977588923</v>
      </c>
      <c r="V207" s="102">
        <f t="shared" si="231"/>
        <v>352701.35017047002</v>
      </c>
      <c r="W207" s="102">
        <f t="shared" si="233"/>
        <v>283333.34947528265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604174.16549018258</v>
      </c>
      <c r="C208" s="102">
        <f t="shared" si="231"/>
        <v>592512.89104450808</v>
      </c>
      <c r="D208" s="102">
        <f t="shared" si="231"/>
        <v>557683.92647331033</v>
      </c>
      <c r="E208" s="102">
        <f t="shared" si="231"/>
        <v>579386.15607501881</v>
      </c>
      <c r="F208" s="102">
        <f t="shared" si="231"/>
        <v>589959.92072983715</v>
      </c>
      <c r="G208" s="102">
        <f t="shared" si="231"/>
        <v>629357.64960497769</v>
      </c>
      <c r="H208" s="102">
        <f t="shared" si="231"/>
        <v>582297.80282167264</v>
      </c>
      <c r="I208" s="102">
        <f t="shared" si="231"/>
        <v>500095.31184564106</v>
      </c>
      <c r="J208" s="102">
        <f t="shared" si="231"/>
        <v>438928.18215643609</v>
      </c>
      <c r="K208" s="102">
        <f t="shared" si="231"/>
        <v>360967.06630732497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0</v>
      </c>
      <c r="R208" s="102">
        <f t="shared" si="231"/>
        <v>0</v>
      </c>
      <c r="S208" s="102">
        <f t="shared" si="231"/>
        <v>0</v>
      </c>
      <c r="T208" s="102">
        <f t="shared" si="231"/>
        <v>0</v>
      </c>
      <c r="U208" s="102">
        <f t="shared" si="231"/>
        <v>338818.31815410446</v>
      </c>
      <c r="V208" s="102">
        <f t="shared" si="231"/>
        <v>255888.32867916074</v>
      </c>
      <c r="W208" s="102">
        <f t="shared" si="233"/>
        <v>228401.28442080479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765107.98657255573</v>
      </c>
      <c r="C209" s="102">
        <f t="shared" si="231"/>
        <v>735184.00773866207</v>
      </c>
      <c r="D209" s="102">
        <f t="shared" si="231"/>
        <v>722305.79820893297</v>
      </c>
      <c r="E209" s="102">
        <f t="shared" si="231"/>
        <v>718058.90878433175</v>
      </c>
      <c r="F209" s="102">
        <f t="shared" si="231"/>
        <v>740451.68323537055</v>
      </c>
      <c r="G209" s="102">
        <f t="shared" si="231"/>
        <v>808053.47889797238</v>
      </c>
      <c r="H209" s="102">
        <f t="shared" si="231"/>
        <v>795443.74262902304</v>
      </c>
      <c r="I209" s="102">
        <f t="shared" si="231"/>
        <v>767887.23259336327</v>
      </c>
      <c r="J209" s="102">
        <f t="shared" si="231"/>
        <v>758422.28501959657</v>
      </c>
      <c r="K209" s="102">
        <f t="shared" si="231"/>
        <v>646564.50260214496</v>
      </c>
      <c r="L209" s="102">
        <f t="shared" si="231"/>
        <v>704084.0523551692</v>
      </c>
      <c r="M209" s="102">
        <f t="shared" si="234"/>
        <v>754630.04908176907</v>
      </c>
      <c r="N209" s="102">
        <f t="shared" si="231"/>
        <v>877421.60799131053</v>
      </c>
      <c r="O209" s="102">
        <f t="shared" si="231"/>
        <v>877229.09667098743</v>
      </c>
      <c r="P209" s="102">
        <f t="shared" si="231"/>
        <v>896881.18389280443</v>
      </c>
      <c r="Q209" s="102">
        <f t="shared" si="231"/>
        <v>878899.75284297357</v>
      </c>
      <c r="R209" s="102">
        <f t="shared" si="231"/>
        <v>844578.72515192139</v>
      </c>
      <c r="S209" s="102">
        <f t="shared" si="231"/>
        <v>825096.12197480595</v>
      </c>
      <c r="T209" s="102">
        <f t="shared" si="231"/>
        <v>856953.91829912795</v>
      </c>
      <c r="U209" s="102">
        <f t="shared" si="231"/>
        <v>897149.19743347319</v>
      </c>
      <c r="V209" s="102">
        <f t="shared" si="231"/>
        <v>640659.85941319168</v>
      </c>
      <c r="W209" s="102">
        <f t="shared" si="233"/>
        <v>640407.42781950859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28629.892672072681</v>
      </c>
      <c r="C210" s="28">
        <f t="shared" si="231"/>
        <v>29740.949272553964</v>
      </c>
      <c r="D210" s="28">
        <f t="shared" si="231"/>
        <v>31829.456954928948</v>
      </c>
      <c r="E210" s="28">
        <f t="shared" si="231"/>
        <v>36714.172140747731</v>
      </c>
      <c r="F210" s="28">
        <f t="shared" ref="B210:V219" si="235">IF(F19=0,0,F19*1000000/F73)</f>
        <v>35776.088005774931</v>
      </c>
      <c r="G210" s="28">
        <f t="shared" si="235"/>
        <v>41708.953535269444</v>
      </c>
      <c r="H210" s="28">
        <f t="shared" si="235"/>
        <v>42769.607648064892</v>
      </c>
      <c r="I210" s="28">
        <f t="shared" si="235"/>
        <v>47675.285572611632</v>
      </c>
      <c r="J210" s="28">
        <f t="shared" si="235"/>
        <v>43317.269171073021</v>
      </c>
      <c r="K210" s="28">
        <f t="shared" si="235"/>
        <v>36915.203169957342</v>
      </c>
      <c r="L210" s="28">
        <f t="shared" si="235"/>
        <v>56578.809991727823</v>
      </c>
      <c r="M210" s="28">
        <f t="shared" si="234"/>
        <v>60714.629035882317</v>
      </c>
      <c r="N210" s="28">
        <f t="shared" si="235"/>
        <v>59697.153439649999</v>
      </c>
      <c r="O210" s="28">
        <f t="shared" si="235"/>
        <v>62240.199156285285</v>
      </c>
      <c r="P210" s="28">
        <f t="shared" si="235"/>
        <v>61257.415315355698</v>
      </c>
      <c r="Q210" s="28">
        <f t="shared" si="235"/>
        <v>63750.394491672894</v>
      </c>
      <c r="R210" s="28">
        <f t="shared" si="235"/>
        <v>65580.176494980056</v>
      </c>
      <c r="S210" s="28">
        <f t="shared" si="235"/>
        <v>69060.08365380505</v>
      </c>
      <c r="T210" s="28">
        <f t="shared" si="235"/>
        <v>72596.7406398038</v>
      </c>
      <c r="U210" s="28">
        <f t="shared" si="235"/>
        <v>67263.331875774471</v>
      </c>
      <c r="V210" s="28">
        <f t="shared" si="235"/>
        <v>74280.539073935259</v>
      </c>
      <c r="W210" s="28">
        <f t="shared" ref="W210" si="236">IF(W19=0,0,W19*1000000/W73)</f>
        <v>76525.032532325917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2404.6961855852155</v>
      </c>
      <c r="C211" s="137">
        <f t="shared" si="235"/>
        <v>2511.6882151685058</v>
      </c>
      <c r="D211" s="137">
        <f t="shared" si="235"/>
        <v>2743.9693810150707</v>
      </c>
      <c r="E211" s="137">
        <f t="shared" si="235"/>
        <v>2654.2448393385994</v>
      </c>
      <c r="F211" s="137">
        <f t="shared" si="235"/>
        <v>2859.774851443131</v>
      </c>
      <c r="G211" s="137">
        <f t="shared" si="235"/>
        <v>2837.4602103340353</v>
      </c>
      <c r="H211" s="137">
        <f t="shared" si="235"/>
        <v>2809.5397658275019</v>
      </c>
      <c r="I211" s="137">
        <f t="shared" si="235"/>
        <v>2948.1510290493388</v>
      </c>
      <c r="J211" s="137">
        <f t="shared" si="235"/>
        <v>3033.8027357001097</v>
      </c>
      <c r="K211" s="137">
        <f t="shared" si="235"/>
        <v>3087.5083796419494</v>
      </c>
      <c r="L211" s="137">
        <f t="shared" si="235"/>
        <v>3261.3294075859453</v>
      </c>
      <c r="M211" s="137">
        <f t="shared" si="234"/>
        <v>3274.3515617173703</v>
      </c>
      <c r="N211" s="137">
        <f t="shared" si="235"/>
        <v>3278.4438675065098</v>
      </c>
      <c r="O211" s="137">
        <f t="shared" si="235"/>
        <v>3326.3575511844556</v>
      </c>
      <c r="P211" s="137">
        <f t="shared" si="235"/>
        <v>3362.7963332124045</v>
      </c>
      <c r="Q211" s="137">
        <f t="shared" si="235"/>
        <v>3328.6307432720992</v>
      </c>
      <c r="R211" s="137">
        <f t="shared" si="235"/>
        <v>3343.906147314221</v>
      </c>
      <c r="S211" s="137">
        <f t="shared" si="235"/>
        <v>3349.2207565327917</v>
      </c>
      <c r="T211" s="137">
        <f t="shared" si="235"/>
        <v>3329.8381114554982</v>
      </c>
      <c r="U211" s="137">
        <f t="shared" si="235"/>
        <v>3313.8997338104514</v>
      </c>
      <c r="V211" s="137">
        <f t="shared" si="235"/>
        <v>3343.7415617079473</v>
      </c>
      <c r="W211" s="137">
        <f t="shared" ref="W211" si="237">IF(W20=0,0,W20*1000000/W74)</f>
        <v>3324.2206813272851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1432.2182598465386</v>
      </c>
      <c r="C212" s="84">
        <f t="shared" si="235"/>
        <v>1426.9578050332445</v>
      </c>
      <c r="D212" s="84">
        <f t="shared" si="235"/>
        <v>1413.9178514939088</v>
      </c>
      <c r="E212" s="84">
        <f t="shared" si="235"/>
        <v>1388.5303580743498</v>
      </c>
      <c r="F212" s="84">
        <f t="shared" si="235"/>
        <v>1388.2341720931668</v>
      </c>
      <c r="G212" s="84">
        <f t="shared" si="235"/>
        <v>1396.9127145616401</v>
      </c>
      <c r="H212" s="84">
        <f t="shared" si="235"/>
        <v>1391.9067577201479</v>
      </c>
      <c r="I212" s="84">
        <f t="shared" si="235"/>
        <v>1383.1691536597273</v>
      </c>
      <c r="J212" s="84">
        <f t="shared" si="235"/>
        <v>1371.3349446790155</v>
      </c>
      <c r="K212" s="84">
        <f t="shared" si="235"/>
        <v>1367.3453609612257</v>
      </c>
      <c r="L212" s="84">
        <f t="shared" si="235"/>
        <v>1355.0341398266019</v>
      </c>
      <c r="M212" s="84">
        <f t="shared" si="234"/>
        <v>1345.8043414020569</v>
      </c>
      <c r="N212" s="84">
        <f t="shared" si="235"/>
        <v>1339.5730897854412</v>
      </c>
      <c r="O212" s="84">
        <f t="shared" si="235"/>
        <v>1336.2033249415369</v>
      </c>
      <c r="P212" s="84">
        <f t="shared" si="235"/>
        <v>1329.8761628139405</v>
      </c>
      <c r="Q212" s="84">
        <f t="shared" si="235"/>
        <v>1311.9406088951093</v>
      </c>
      <c r="R212" s="84">
        <f t="shared" si="235"/>
        <v>1333.3624706012056</v>
      </c>
      <c r="S212" s="84">
        <f t="shared" si="235"/>
        <v>1333.2720056571259</v>
      </c>
      <c r="T212" s="84">
        <f t="shared" si="235"/>
        <v>1323.6282979497005</v>
      </c>
      <c r="U212" s="84">
        <f t="shared" si="235"/>
        <v>1314.533717897669</v>
      </c>
      <c r="V212" s="84">
        <f t="shared" si="235"/>
        <v>1325.1714669113842</v>
      </c>
      <c r="W212" s="84">
        <f t="shared" ref="W212" si="238">IF(W21=0,0,W21*1000000/W75)</f>
        <v>1316.1572764800849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3756.6081411727037</v>
      </c>
      <c r="C213" s="84">
        <f t="shared" si="235"/>
        <v>3743.1097885710487</v>
      </c>
      <c r="D213" s="84">
        <f t="shared" si="235"/>
        <v>3738.5458478038518</v>
      </c>
      <c r="E213" s="84">
        <f t="shared" si="235"/>
        <v>3700.7607697783296</v>
      </c>
      <c r="F213" s="84">
        <f t="shared" si="235"/>
        <v>3699.9713643084797</v>
      </c>
      <c r="G213" s="84">
        <f t="shared" si="235"/>
        <v>3723.1017260750891</v>
      </c>
      <c r="H213" s="84">
        <f t="shared" si="235"/>
        <v>3560.6120714537674</v>
      </c>
      <c r="I213" s="84">
        <f t="shared" si="235"/>
        <v>3686.4718960342143</v>
      </c>
      <c r="J213" s="84">
        <f t="shared" si="235"/>
        <v>3654.93093901984</v>
      </c>
      <c r="K213" s="84">
        <f t="shared" si="235"/>
        <v>3615.4033392635679</v>
      </c>
      <c r="L213" s="84">
        <f t="shared" si="235"/>
        <v>3554.1596025908721</v>
      </c>
      <c r="M213" s="84">
        <f t="shared" si="234"/>
        <v>3529.9504880479908</v>
      </c>
      <c r="N213" s="84">
        <f t="shared" si="235"/>
        <v>3513.6063516764993</v>
      </c>
      <c r="O213" s="84">
        <f t="shared" si="235"/>
        <v>3504.767694607704</v>
      </c>
      <c r="P213" s="84">
        <f t="shared" si="235"/>
        <v>3488.1719916862839</v>
      </c>
      <c r="Q213" s="84">
        <f t="shared" si="235"/>
        <v>3441.1282904873174</v>
      </c>
      <c r="R213" s="84">
        <f t="shared" si="235"/>
        <v>3441.8027141758516</v>
      </c>
      <c r="S213" s="84">
        <f t="shared" si="235"/>
        <v>3441.5691974113288</v>
      </c>
      <c r="T213" s="84">
        <f t="shared" si="235"/>
        <v>3416.6759368809276</v>
      </c>
      <c r="U213" s="84">
        <f t="shared" si="235"/>
        <v>3393.2001371658976</v>
      </c>
      <c r="V213" s="84">
        <f t="shared" si="235"/>
        <v>3420.6593121729907</v>
      </c>
      <c r="W213" s="84">
        <f t="shared" ref="W213" si="239">IF(W22=0,0,W22*1000000/W76)</f>
        <v>3397.3910218343876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1914.6674040072644</v>
      </c>
      <c r="O214" s="84">
        <f t="shared" si="235"/>
        <v>1879.8333056710408</v>
      </c>
      <c r="P214" s="84">
        <f t="shared" si="235"/>
        <v>1841.5260046396202</v>
      </c>
      <c r="Q214" s="84">
        <f t="shared" si="235"/>
        <v>1802.4274428514557</v>
      </c>
      <c r="R214" s="84">
        <f t="shared" si="235"/>
        <v>1846.3536168864948</v>
      </c>
      <c r="S214" s="84">
        <f t="shared" si="235"/>
        <v>1875.7093886611563</v>
      </c>
      <c r="T214" s="84">
        <f t="shared" si="235"/>
        <v>1891.8773275087412</v>
      </c>
      <c r="U214" s="84">
        <f t="shared" si="235"/>
        <v>1908.8807434958042</v>
      </c>
      <c r="V214" s="84">
        <f t="shared" si="235"/>
        <v>1955.0563536498419</v>
      </c>
      <c r="W214" s="84">
        <f t="shared" ref="W214" si="240">IF(W23=0,0,W23*1000000/W77)</f>
        <v>1972.7639839791391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1989.6670394596101</v>
      </c>
      <c r="N216" s="84">
        <f t="shared" si="235"/>
        <v>1990.1067934903699</v>
      </c>
      <c r="O216" s="84">
        <f t="shared" si="235"/>
        <v>1990.3454993781172</v>
      </c>
      <c r="P216" s="84">
        <f t="shared" si="235"/>
        <v>1990.7954086438742</v>
      </c>
      <c r="Q216" s="84">
        <f t="shared" si="235"/>
        <v>1991.3280783999269</v>
      </c>
      <c r="R216" s="84">
        <f t="shared" si="235"/>
        <v>1990.547229003141</v>
      </c>
      <c r="S216" s="84">
        <f t="shared" si="235"/>
        <v>1990.5407976950446</v>
      </c>
      <c r="T216" s="84">
        <f t="shared" si="235"/>
        <v>1989.8528151667495</v>
      </c>
      <c r="U216" s="84">
        <f t="shared" si="235"/>
        <v>1989.1996195362651</v>
      </c>
      <c r="V216" s="84">
        <f t="shared" si="235"/>
        <v>1977.7806354259803</v>
      </c>
      <c r="W216" s="84">
        <f t="shared" ref="W216" si="242">IF(W25=0,0,W25*1000000/W79)</f>
        <v>1989.0827033915893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42077.955053688253</v>
      </c>
      <c r="C217" s="110">
        <f t="shared" si="235"/>
        <v>44994.277125708439</v>
      </c>
      <c r="D217" s="110">
        <f t="shared" si="235"/>
        <v>50730.842038497227</v>
      </c>
      <c r="E217" s="110">
        <f t="shared" si="235"/>
        <v>57750.046647489231</v>
      </c>
      <c r="F217" s="110">
        <f t="shared" si="235"/>
        <v>60468.376674887302</v>
      </c>
      <c r="G217" s="110">
        <f t="shared" si="235"/>
        <v>70686.981433322158</v>
      </c>
      <c r="H217" s="110">
        <f t="shared" si="235"/>
        <v>77298.923939885441</v>
      </c>
      <c r="I217" s="110">
        <f t="shared" si="235"/>
        <v>90031.433370917366</v>
      </c>
      <c r="J217" s="110">
        <f t="shared" si="235"/>
        <v>82969.398023417292</v>
      </c>
      <c r="K217" s="110">
        <f t="shared" si="235"/>
        <v>68040.409946721382</v>
      </c>
      <c r="L217" s="110">
        <f t="shared" si="235"/>
        <v>113736.62697826503</v>
      </c>
      <c r="M217" s="110">
        <f t="shared" si="234"/>
        <v>127616.71250208186</v>
      </c>
      <c r="N217" s="110">
        <f t="shared" si="235"/>
        <v>131754.56888667608</v>
      </c>
      <c r="O217" s="110">
        <f t="shared" si="235"/>
        <v>154264.02051788548</v>
      </c>
      <c r="P217" s="110">
        <f t="shared" si="235"/>
        <v>172287.91792875718</v>
      </c>
      <c r="Q217" s="110">
        <f t="shared" si="235"/>
        <v>194860.14879539437</v>
      </c>
      <c r="R217" s="110">
        <f t="shared" si="235"/>
        <v>206779.47696089576</v>
      </c>
      <c r="S217" s="110">
        <f t="shared" si="235"/>
        <v>224130.79816383135</v>
      </c>
      <c r="T217" s="110">
        <f t="shared" si="235"/>
        <v>238829.16176717621</v>
      </c>
      <c r="U217" s="110">
        <f t="shared" si="235"/>
        <v>227626.45914396888</v>
      </c>
      <c r="V217" s="110">
        <f t="shared" si="235"/>
        <v>247773.70350969094</v>
      </c>
      <c r="W217" s="110">
        <f t="shared" ref="W217" si="243">IF(W26=0,0,W26*1000000/W80)</f>
        <v>272866.43704554153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28616.055072407875</v>
      </c>
      <c r="C218" s="163">
        <f t="shared" si="235"/>
        <v>30956.547921488924</v>
      </c>
      <c r="D218" s="163">
        <f t="shared" si="235"/>
        <v>36242.698947911485</v>
      </c>
      <c r="E218" s="163">
        <f t="shared" si="235"/>
        <v>43235.041406921264</v>
      </c>
      <c r="F218" s="163">
        <f t="shared" si="235"/>
        <v>43631.297206130381</v>
      </c>
      <c r="G218" s="163">
        <f t="shared" si="235"/>
        <v>52565.803387744898</v>
      </c>
      <c r="H218" s="163">
        <f t="shared" si="235"/>
        <v>54302.439414220928</v>
      </c>
      <c r="I218" s="163">
        <f t="shared" si="235"/>
        <v>62906.769906874542</v>
      </c>
      <c r="J218" s="163">
        <f t="shared" si="235"/>
        <v>55500.842579826232</v>
      </c>
      <c r="K218" s="163">
        <f t="shared" si="235"/>
        <v>46434.745030250648</v>
      </c>
      <c r="L218" s="163">
        <f t="shared" si="235"/>
        <v>80221.776719709305</v>
      </c>
      <c r="M218" s="163">
        <f t="shared" si="234"/>
        <v>87410.392785173928</v>
      </c>
      <c r="N218" s="163">
        <f t="shared" si="235"/>
        <v>87109.986347440965</v>
      </c>
      <c r="O218" s="163">
        <f t="shared" si="235"/>
        <v>100268.28832051512</v>
      </c>
      <c r="P218" s="163">
        <f t="shared" si="235"/>
        <v>111223.86847980515</v>
      </c>
      <c r="Q218" s="163">
        <f t="shared" si="235"/>
        <v>120207.8421098594</v>
      </c>
      <c r="R218" s="163">
        <f t="shared" si="235"/>
        <v>129063.40521403283</v>
      </c>
      <c r="S218" s="163">
        <f t="shared" si="235"/>
        <v>148365.23491162196</v>
      </c>
      <c r="T218" s="163">
        <f t="shared" si="235"/>
        <v>157513.66120218579</v>
      </c>
      <c r="U218" s="163">
        <f t="shared" si="235"/>
        <v>152626.54335049429</v>
      </c>
      <c r="V218" s="163">
        <f t="shared" si="235"/>
        <v>163297.59184390929</v>
      </c>
      <c r="W218" s="163">
        <f t="shared" ref="W218" si="244">IF(W27=0,0,W27*1000000/W81)</f>
        <v>188628.45207704804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1211459.3137290967</v>
      </c>
      <c r="C219" s="86">
        <f t="shared" si="235"/>
        <v>1210542.5461616782</v>
      </c>
      <c r="D219" s="86">
        <f t="shared" si="235"/>
        <v>1219103.7840226877</v>
      </c>
      <c r="E219" s="86">
        <f t="shared" si="235"/>
        <v>1211798.4502293328</v>
      </c>
      <c r="F219" s="86">
        <f t="shared" si="235"/>
        <v>1188759.5448097188</v>
      </c>
      <c r="G219" s="86">
        <f t="shared" si="235"/>
        <v>1190046.3535574537</v>
      </c>
      <c r="H219" s="86">
        <f t="shared" si="235"/>
        <v>1198080.8518494146</v>
      </c>
      <c r="I219" s="86">
        <f t="shared" si="235"/>
        <v>1199750.6488069503</v>
      </c>
      <c r="J219" s="86">
        <f t="shared" si="235"/>
        <v>1182987.5434081727</v>
      </c>
      <c r="K219" s="86">
        <f t="shared" si="235"/>
        <v>1166842.7971272324</v>
      </c>
      <c r="L219" s="86">
        <f t="shared" si="235"/>
        <v>1205499.9735641151</v>
      </c>
      <c r="M219" s="86">
        <f t="shared" si="234"/>
        <v>1201831.6323171924</v>
      </c>
      <c r="N219" s="86">
        <f t="shared" si="235"/>
        <v>1197510.8949882414</v>
      </c>
      <c r="O219" s="86">
        <f t="shared" si="235"/>
        <v>1198866.5766268738</v>
      </c>
      <c r="P219" s="86">
        <f t="shared" si="235"/>
        <v>1201933.9536405527</v>
      </c>
      <c r="Q219" s="86">
        <f t="shared" si="235"/>
        <v>1190601.0502002412</v>
      </c>
      <c r="R219" s="86">
        <f t="shared" si="235"/>
        <v>1184365.8531451188</v>
      </c>
      <c r="S219" s="86">
        <f t="shared" si="235"/>
        <v>1194552.1297191095</v>
      </c>
      <c r="T219" s="86">
        <f t="shared" si="235"/>
        <v>1203023.758099352</v>
      </c>
      <c r="U219" s="86">
        <f t="shared" si="235"/>
        <v>1198820.0589970502</v>
      </c>
      <c r="V219" s="86">
        <f t="shared" si="235"/>
        <v>1180494.905385735</v>
      </c>
      <c r="W219" s="86">
        <f t="shared" ref="W219" si="245">IF(W28=0,0,W28*1000000/W82)</f>
        <v>1193204.8681541581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4.6848847856229038E-3</v>
      </c>
      <c r="C223" s="154">
        <f t="shared" si="250"/>
        <v>4.5663289874702251E-3</v>
      </c>
      <c r="D223" s="154">
        <f t="shared" si="250"/>
        <v>4.3910981004238849E-3</v>
      </c>
      <c r="E223" s="154">
        <f t="shared" si="250"/>
        <v>4.1944984019635749E-3</v>
      </c>
      <c r="F223" s="154">
        <f t="shared" si="250"/>
        <v>4.5787492402651056E-3</v>
      </c>
      <c r="G223" s="154">
        <f t="shared" si="250"/>
        <v>4.2904613084127829E-3</v>
      </c>
      <c r="H223" s="154">
        <f t="shared" si="250"/>
        <v>3.7705240641555042E-3</v>
      </c>
      <c r="I223" s="154">
        <f t="shared" si="250"/>
        <v>3.2857602030025167E-3</v>
      </c>
      <c r="J223" s="154">
        <f t="shared" si="250"/>
        <v>3.5077067681553989E-3</v>
      </c>
      <c r="K223" s="154">
        <f t="shared" si="250"/>
        <v>3.8399249650916101E-3</v>
      </c>
      <c r="L223" s="154">
        <f t="shared" ref="L223" si="251">IF(L5=0,0,L5/L$4)</f>
        <v>3.9178642296221269E-3</v>
      </c>
      <c r="M223" s="154">
        <f t="shared" ref="M223:V223" si="252">IF(M5=0,0,M5/M$4)</f>
        <v>4.1639182366911233E-3</v>
      </c>
      <c r="N223" s="154">
        <f t="shared" si="252"/>
        <v>3.7015552862437848E-3</v>
      </c>
      <c r="O223" s="154">
        <f t="shared" si="252"/>
        <v>3.8465814256139364E-3</v>
      </c>
      <c r="P223" s="154">
        <f t="shared" si="252"/>
        <v>4.4250942902293918E-3</v>
      </c>
      <c r="Q223" s="154">
        <f t="shared" si="252"/>
        <v>5.3879164957346282E-3</v>
      </c>
      <c r="R223" s="154">
        <f t="shared" si="252"/>
        <v>5.3423116605220266E-3</v>
      </c>
      <c r="S223" s="154">
        <f t="shared" si="252"/>
        <v>4.8005272158992088E-3</v>
      </c>
      <c r="T223" s="154">
        <f t="shared" si="252"/>
        <v>4.5437575879589479E-3</v>
      </c>
      <c r="U223" s="154">
        <f t="shared" si="252"/>
        <v>4.7987849524561066E-3</v>
      </c>
      <c r="V223" s="154">
        <f t="shared" si="252"/>
        <v>4.7825084366062082E-3</v>
      </c>
      <c r="W223" s="154">
        <f t="shared" ref="W223" si="253">IF(W5=0,0,W5/W$4)</f>
        <v>5.5903110402884962E-3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0.82655429123088797</v>
      </c>
      <c r="C224" s="156">
        <f t="shared" si="254"/>
        <v>0.83503698372249968</v>
      </c>
      <c r="D224" s="156">
        <f t="shared" si="254"/>
        <v>0.83743430951784548</v>
      </c>
      <c r="E224" s="156">
        <f t="shared" si="254"/>
        <v>0.83250620712376033</v>
      </c>
      <c r="F224" s="156">
        <f t="shared" si="254"/>
        <v>0.80879821767210969</v>
      </c>
      <c r="G224" s="156">
        <f t="shared" si="254"/>
        <v>0.80383509934098696</v>
      </c>
      <c r="H224" s="156">
        <f t="shared" si="254"/>
        <v>0.83137329227065904</v>
      </c>
      <c r="I224" s="156">
        <f t="shared" si="254"/>
        <v>0.8550399150210013</v>
      </c>
      <c r="J224" s="156">
        <f t="shared" si="254"/>
        <v>0.84692485818222751</v>
      </c>
      <c r="K224" s="156">
        <f t="shared" si="254"/>
        <v>0.85237239974837598</v>
      </c>
      <c r="L224" s="156">
        <f t="shared" ref="L224" si="255">IF(L6=0,0,L6/L$4)</f>
        <v>0.83866626389942756</v>
      </c>
      <c r="M224" s="156">
        <f t="shared" ref="M224:V224" si="256">IF(M6=0,0,M6/M$4)</f>
        <v>0.82129938049291007</v>
      </c>
      <c r="N224" s="156">
        <f t="shared" si="256"/>
        <v>0.80445244660438897</v>
      </c>
      <c r="O224" s="156">
        <f t="shared" si="256"/>
        <v>0.80798751004090319</v>
      </c>
      <c r="P224" s="156">
        <f t="shared" si="256"/>
        <v>0.81908535897971646</v>
      </c>
      <c r="Q224" s="156">
        <f t="shared" si="256"/>
        <v>0.83197242755187562</v>
      </c>
      <c r="R224" s="156">
        <f t="shared" si="256"/>
        <v>0.83892930787998743</v>
      </c>
      <c r="S224" s="156">
        <f t="shared" si="256"/>
        <v>0.85138294294413797</v>
      </c>
      <c r="T224" s="156">
        <f t="shared" si="256"/>
        <v>0.85239893773366671</v>
      </c>
      <c r="U224" s="156">
        <f t="shared" si="256"/>
        <v>0.85371573282326052</v>
      </c>
      <c r="V224" s="156">
        <f t="shared" si="256"/>
        <v>0.89451085156063215</v>
      </c>
      <c r="W224" s="156">
        <f t="shared" ref="W224" si="257">IF(W6=0,0,W6/W$4)</f>
        <v>0.90196126108976171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0.69617178689288728</v>
      </c>
      <c r="C225" s="103">
        <f t="shared" si="258"/>
        <v>0.68117574235124234</v>
      </c>
      <c r="D225" s="103">
        <f t="shared" si="258"/>
        <v>0.66225563098373363</v>
      </c>
      <c r="E225" s="103">
        <f t="shared" si="258"/>
        <v>0.62861990637861365</v>
      </c>
      <c r="F225" s="103">
        <f t="shared" si="258"/>
        <v>0.57820868555995941</v>
      </c>
      <c r="G225" s="103">
        <f t="shared" si="258"/>
        <v>0.543097328511287</v>
      </c>
      <c r="H225" s="103">
        <f t="shared" si="258"/>
        <v>0.53662653383088832</v>
      </c>
      <c r="I225" s="103">
        <f t="shared" si="258"/>
        <v>0.54562234808531707</v>
      </c>
      <c r="J225" s="103">
        <f t="shared" si="258"/>
        <v>0.51310361613844091</v>
      </c>
      <c r="K225" s="103">
        <f t="shared" si="258"/>
        <v>0.47515530000504247</v>
      </c>
      <c r="L225" s="103">
        <f t="shared" ref="L225" si="259">IF(L7=0,0,L7/L$4)</f>
        <v>0.44891239490441565</v>
      </c>
      <c r="M225" s="103">
        <f t="shared" ref="M225:V225" si="260">IF(M7=0,0,M7/M$4)</f>
        <v>0.41114542474443477</v>
      </c>
      <c r="N225" s="103">
        <f t="shared" si="260"/>
        <v>0.35270917505041466</v>
      </c>
      <c r="O225" s="103">
        <f t="shared" si="260"/>
        <v>0.32707850322813953</v>
      </c>
      <c r="P225" s="103">
        <f t="shared" si="260"/>
        <v>0.28616776103658204</v>
      </c>
      <c r="Q225" s="103">
        <f t="shared" si="260"/>
        <v>0.27385237824623676</v>
      </c>
      <c r="R225" s="103">
        <f t="shared" si="260"/>
        <v>0.24293908538343512</v>
      </c>
      <c r="S225" s="103">
        <f t="shared" si="260"/>
        <v>0.22934067330104252</v>
      </c>
      <c r="T225" s="103">
        <f t="shared" si="260"/>
        <v>0.21557557902315808</v>
      </c>
      <c r="U225" s="103">
        <f t="shared" si="260"/>
        <v>0.19774306944175968</v>
      </c>
      <c r="V225" s="103">
        <f t="shared" si="260"/>
        <v>0.20477463935358325</v>
      </c>
      <c r="W225" s="103">
        <f t="shared" ref="W225" si="261">IF(W7=0,0,W7/W$4)</f>
        <v>0.205712448347667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9.0448617434239639E-2</v>
      </c>
      <c r="C226" s="103">
        <f t="shared" si="262"/>
        <v>0.11229978311737858</v>
      </c>
      <c r="D226" s="103">
        <f t="shared" si="262"/>
        <v>0.13692833415214745</v>
      </c>
      <c r="E226" s="103">
        <f t="shared" si="262"/>
        <v>0.16525951169056702</v>
      </c>
      <c r="F226" s="103">
        <f t="shared" si="262"/>
        <v>0.18642273830714529</v>
      </c>
      <c r="G226" s="103">
        <f t="shared" si="262"/>
        <v>0.2168931586129301</v>
      </c>
      <c r="H226" s="103">
        <f t="shared" si="262"/>
        <v>0.25210914429881004</v>
      </c>
      <c r="I226" s="103">
        <f t="shared" si="262"/>
        <v>0.27068357612188298</v>
      </c>
      <c r="J226" s="103">
        <f t="shared" si="262"/>
        <v>0.29833844238875018</v>
      </c>
      <c r="K226" s="103">
        <f t="shared" si="262"/>
        <v>0.33987905681549463</v>
      </c>
      <c r="L226" s="103">
        <f t="shared" ref="L226" si="263">IF(L8=0,0,L8/L$4)</f>
        <v>0.34925249241815376</v>
      </c>
      <c r="M226" s="103">
        <f t="shared" ref="M226:V226" si="264">IF(M8=0,0,M8/M$4)</f>
        <v>0.36219157117227846</v>
      </c>
      <c r="N226" s="103">
        <f t="shared" si="264"/>
        <v>0.37732537093404089</v>
      </c>
      <c r="O226" s="103">
        <f t="shared" si="264"/>
        <v>0.39933785599143168</v>
      </c>
      <c r="P226" s="103">
        <f t="shared" si="264"/>
        <v>0.44769609088277534</v>
      </c>
      <c r="Q226" s="103">
        <f t="shared" si="264"/>
        <v>0.4870348630157027</v>
      </c>
      <c r="R226" s="103">
        <f t="shared" si="264"/>
        <v>0.51985922764285475</v>
      </c>
      <c r="S226" s="103">
        <f t="shared" si="264"/>
        <v>0.55351210280009833</v>
      </c>
      <c r="T226" s="103">
        <f t="shared" si="264"/>
        <v>0.57513906527308023</v>
      </c>
      <c r="U226" s="103">
        <f t="shared" si="264"/>
        <v>0.60263262991432998</v>
      </c>
      <c r="V226" s="103">
        <f t="shared" si="264"/>
        <v>0.6396862835130015</v>
      </c>
      <c r="W226" s="103">
        <f t="shared" ref="W226" si="265">IF(W8=0,0,W8/W$4)</f>
        <v>0.65128536197634967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3.970693034690765E-2</v>
      </c>
      <c r="C227" s="103">
        <f t="shared" si="266"/>
        <v>4.1379397802328265E-2</v>
      </c>
      <c r="D227" s="103">
        <f t="shared" si="266"/>
        <v>3.808803423013455E-2</v>
      </c>
      <c r="E227" s="103">
        <f t="shared" si="266"/>
        <v>3.8485187057412357E-2</v>
      </c>
      <c r="F227" s="103">
        <f t="shared" si="266"/>
        <v>4.4051401094466418E-2</v>
      </c>
      <c r="G227" s="103">
        <f t="shared" si="266"/>
        <v>4.3736335291602715E-2</v>
      </c>
      <c r="H227" s="103">
        <f t="shared" si="266"/>
        <v>4.2563677960767883E-2</v>
      </c>
      <c r="I227" s="103">
        <f t="shared" si="266"/>
        <v>3.8671820025213847E-2</v>
      </c>
      <c r="J227" s="103">
        <f t="shared" si="266"/>
        <v>3.5427340571703762E-2</v>
      </c>
      <c r="K227" s="103">
        <f t="shared" si="266"/>
        <v>3.7281791371860468E-2</v>
      </c>
      <c r="L227" s="103">
        <f t="shared" ref="L227" si="267">IF(L9=0,0,L9/L$4)</f>
        <v>4.0501376576858039E-2</v>
      </c>
      <c r="M227" s="103">
        <f t="shared" ref="M227:V227" si="268">IF(M9=0,0,M9/M$4)</f>
        <v>4.7962384576196934E-2</v>
      </c>
      <c r="N227" s="103">
        <f t="shared" si="268"/>
        <v>7.4402498868690381E-2</v>
      </c>
      <c r="O227" s="103">
        <f t="shared" si="268"/>
        <v>8.1546851263053582E-2</v>
      </c>
      <c r="P227" s="103">
        <f t="shared" si="268"/>
        <v>8.500426245870675E-2</v>
      </c>
      <c r="Q227" s="103">
        <f t="shared" si="268"/>
        <v>7.0843551536181049E-2</v>
      </c>
      <c r="R227" s="103">
        <f t="shared" si="268"/>
        <v>7.5864371095752101E-2</v>
      </c>
      <c r="S227" s="103">
        <f t="shared" si="268"/>
        <v>6.8185566780959689E-2</v>
      </c>
      <c r="T227" s="103">
        <f t="shared" si="268"/>
        <v>6.1071399328848502E-2</v>
      </c>
      <c r="U227" s="103">
        <f t="shared" si="268"/>
        <v>5.253220392115724E-2</v>
      </c>
      <c r="V227" s="103">
        <f t="shared" si="268"/>
        <v>4.8602143757336617E-2</v>
      </c>
      <c r="W227" s="103">
        <f t="shared" ref="W227" si="269">IF(W9=0,0,W9/W$4)</f>
        <v>4.2625609036346587E-2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2.2695655685345061E-4</v>
      </c>
      <c r="C228" s="103">
        <f t="shared" si="270"/>
        <v>1.8206045155045599E-4</v>
      </c>
      <c r="D228" s="103">
        <f t="shared" si="270"/>
        <v>1.6231015182973393E-4</v>
      </c>
      <c r="E228" s="103">
        <f t="shared" si="270"/>
        <v>1.4160199716735115E-4</v>
      </c>
      <c r="F228" s="103">
        <f t="shared" si="270"/>
        <v>1.1539271053849999E-4</v>
      </c>
      <c r="G228" s="103">
        <f t="shared" si="270"/>
        <v>1.0827692516717574E-4</v>
      </c>
      <c r="H228" s="103">
        <f t="shared" si="270"/>
        <v>7.3936180192774078E-5</v>
      </c>
      <c r="I228" s="103">
        <f t="shared" si="270"/>
        <v>6.2170788587489833E-5</v>
      </c>
      <c r="J228" s="103">
        <f t="shared" si="270"/>
        <v>5.545908333265905E-5</v>
      </c>
      <c r="K228" s="103">
        <f t="shared" si="270"/>
        <v>5.6251555978442789E-5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0</v>
      </c>
      <c r="O228" s="103">
        <f t="shared" si="272"/>
        <v>0</v>
      </c>
      <c r="P228" s="103">
        <f t="shared" si="272"/>
        <v>0</v>
      </c>
      <c r="Q228" s="103">
        <f t="shared" si="272"/>
        <v>0</v>
      </c>
      <c r="R228" s="103">
        <f t="shared" si="272"/>
        <v>0</v>
      </c>
      <c r="S228" s="103">
        <f t="shared" si="272"/>
        <v>0</v>
      </c>
      <c r="T228" s="103">
        <f t="shared" si="272"/>
        <v>1.3171840288411397E-4</v>
      </c>
      <c r="U228" s="103">
        <f t="shared" si="272"/>
        <v>1.4090393138926598E-4</v>
      </c>
      <c r="V228" s="103">
        <f t="shared" si="272"/>
        <v>1.7096693771338371E-4</v>
      </c>
      <c r="W228" s="103">
        <f t="shared" ref="W228" si="273">IF(W10=0,0,W10/W$4)</f>
        <v>1.8387876788026933E-4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3.0920565357857916E-6</v>
      </c>
      <c r="O229" s="103">
        <f t="shared" si="276"/>
        <v>5.8969595970693732E-6</v>
      </c>
      <c r="P229" s="103">
        <f t="shared" si="276"/>
        <v>8.697866135271069E-6</v>
      </c>
      <c r="Q229" s="103">
        <f t="shared" si="276"/>
        <v>2.2016383370589002E-5</v>
      </c>
      <c r="R229" s="103">
        <f t="shared" si="276"/>
        <v>2.4590689948751455E-5</v>
      </c>
      <c r="S229" s="103">
        <f t="shared" si="276"/>
        <v>4.5171712145465751E-5</v>
      </c>
      <c r="T229" s="103">
        <f t="shared" si="276"/>
        <v>8.0609249139727349E-5</v>
      </c>
      <c r="U229" s="103">
        <f t="shared" si="276"/>
        <v>1.072427013144029E-4</v>
      </c>
      <c r="V229" s="103">
        <f t="shared" si="276"/>
        <v>1.8106034772524937E-4</v>
      </c>
      <c r="W229" s="103">
        <f t="shared" ref="W229" si="277">IF(W11=0,0,W11/W$4)</f>
        <v>3.1882857438923968E-4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0</v>
      </c>
      <c r="M230" s="103">
        <f t="shared" ref="M230:V230" si="280">IF(M12=0,0,M12/M$4)</f>
        <v>0</v>
      </c>
      <c r="N230" s="103">
        <f t="shared" si="280"/>
        <v>1.2309694707241671E-5</v>
      </c>
      <c r="O230" s="103">
        <f t="shared" si="280"/>
        <v>1.8402598681268129E-5</v>
      </c>
      <c r="P230" s="103">
        <f t="shared" si="280"/>
        <v>2.085467355169669E-4</v>
      </c>
      <c r="Q230" s="103">
        <f t="shared" si="280"/>
        <v>2.1961837038439645E-4</v>
      </c>
      <c r="R230" s="103">
        <f t="shared" si="280"/>
        <v>2.4203306799683218E-4</v>
      </c>
      <c r="S230" s="103">
        <f t="shared" si="280"/>
        <v>2.9942834989194649E-4</v>
      </c>
      <c r="T230" s="103">
        <f t="shared" si="280"/>
        <v>4.0056645655596674E-4</v>
      </c>
      <c r="U230" s="103">
        <f t="shared" si="280"/>
        <v>5.596829133099879E-4</v>
      </c>
      <c r="V230" s="103">
        <f t="shared" si="280"/>
        <v>1.0957576512722824E-3</v>
      </c>
      <c r="W230" s="103">
        <f t="shared" ref="W230" si="281">IF(W12=0,0,W12/W$4)</f>
        <v>1.8351343871288695E-3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0.16876082398348913</v>
      </c>
      <c r="C231" s="156">
        <f t="shared" si="282"/>
        <v>0.16039668729003018</v>
      </c>
      <c r="D231" s="156">
        <f t="shared" si="282"/>
        <v>0.15817459238173065</v>
      </c>
      <c r="E231" s="156">
        <f t="shared" si="282"/>
        <v>0.16329929447427607</v>
      </c>
      <c r="F231" s="156">
        <f t="shared" si="282"/>
        <v>0.18662303308762526</v>
      </c>
      <c r="G231" s="156">
        <f t="shared" si="282"/>
        <v>0.19187443935060017</v>
      </c>
      <c r="H231" s="156">
        <f t="shared" si="282"/>
        <v>0.16485618366518531</v>
      </c>
      <c r="I231" s="156">
        <f t="shared" si="282"/>
        <v>0.14167432477599623</v>
      </c>
      <c r="J231" s="156">
        <f t="shared" si="282"/>
        <v>0.14956743504961703</v>
      </c>
      <c r="K231" s="156">
        <f t="shared" si="282"/>
        <v>0.1437876752865325</v>
      </c>
      <c r="L231" s="156">
        <f t="shared" ref="L231" si="283">IF(L13=0,0,L13/L$4)</f>
        <v>0.15741587187095035</v>
      </c>
      <c r="M231" s="156">
        <f t="shared" ref="M231:V231" si="284">IF(M13=0,0,M13/M$4)</f>
        <v>0.1745367012703988</v>
      </c>
      <c r="N231" s="156">
        <f t="shared" si="284"/>
        <v>0.19184599810936726</v>
      </c>
      <c r="O231" s="156">
        <f t="shared" si="284"/>
        <v>0.18816590853348286</v>
      </c>
      <c r="P231" s="156">
        <f t="shared" si="284"/>
        <v>0.17648954673005421</v>
      </c>
      <c r="Q231" s="156">
        <f t="shared" si="284"/>
        <v>0.16263965595238986</v>
      </c>
      <c r="R231" s="156">
        <f t="shared" si="284"/>
        <v>0.15572838045949061</v>
      </c>
      <c r="S231" s="156">
        <f t="shared" si="284"/>
        <v>0.14381652983996288</v>
      </c>
      <c r="T231" s="156">
        <f t="shared" si="284"/>
        <v>0.14305730467837441</v>
      </c>
      <c r="U231" s="156">
        <f t="shared" si="284"/>
        <v>0.14148548222428334</v>
      </c>
      <c r="V231" s="156">
        <f t="shared" si="284"/>
        <v>0.10070664000276158</v>
      </c>
      <c r="W231" s="156">
        <f t="shared" ref="W231" si="285">IF(W13=0,0,W13/W$4)</f>
        <v>9.244842786994982E-2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6.4361303139997827E-3</v>
      </c>
      <c r="C232" s="103">
        <f t="shared" si="286"/>
        <v>6.2012484570695319E-3</v>
      </c>
      <c r="D232" s="103">
        <f t="shared" si="286"/>
        <v>5.9306083352259958E-3</v>
      </c>
      <c r="E232" s="103">
        <f t="shared" si="286"/>
        <v>5.5194805129778705E-3</v>
      </c>
      <c r="F232" s="103">
        <f t="shared" si="286"/>
        <v>5.8587095944498332E-3</v>
      </c>
      <c r="G232" s="103">
        <f t="shared" si="286"/>
        <v>5.6060422108317239E-3</v>
      </c>
      <c r="H232" s="103">
        <f t="shared" si="286"/>
        <v>4.5672581355505381E-3</v>
      </c>
      <c r="I232" s="103">
        <f t="shared" si="286"/>
        <v>3.7089880659567148E-3</v>
      </c>
      <c r="J232" s="103">
        <f t="shared" si="286"/>
        <v>3.7612017465033934E-3</v>
      </c>
      <c r="K232" s="103">
        <f t="shared" si="286"/>
        <v>3.6889846923425385E-3</v>
      </c>
      <c r="L232" s="103">
        <f t="shared" ref="L232" si="287">IF(L14=0,0,L14/L$4)</f>
        <v>3.30603298205851E-3</v>
      </c>
      <c r="M232" s="103">
        <f t="shared" ref="M232:V232" si="288">IF(M14=0,0,M14/M$4)</f>
        <v>2.236570847983085E-3</v>
      </c>
      <c r="N232" s="103">
        <f t="shared" si="288"/>
        <v>1.9480357338905088E-3</v>
      </c>
      <c r="O232" s="103">
        <f t="shared" si="288"/>
        <v>1.4025947582384474E-3</v>
      </c>
      <c r="P232" s="103">
        <f t="shared" si="288"/>
        <v>8.7993947844259885E-4</v>
      </c>
      <c r="Q232" s="103">
        <f t="shared" si="288"/>
        <v>6.8070111545282203E-4</v>
      </c>
      <c r="R232" s="103">
        <f t="shared" si="288"/>
        <v>4.8845510179044386E-4</v>
      </c>
      <c r="S232" s="103">
        <f t="shared" si="288"/>
        <v>4.0772390746346052E-4</v>
      </c>
      <c r="T232" s="103">
        <f t="shared" si="288"/>
        <v>3.5950966419074672E-4</v>
      </c>
      <c r="U232" s="103">
        <f t="shared" si="288"/>
        <v>3.3563940234014323E-4</v>
      </c>
      <c r="V232" s="103">
        <f t="shared" si="288"/>
        <v>2.201595246351798E-4</v>
      </c>
      <c r="W232" s="103">
        <f t="shared" ref="W232" si="289">IF(W14=0,0,W14/W$4)</f>
        <v>1.6995528551921044E-4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0.15748731066777769</v>
      </c>
      <c r="C233" s="103">
        <f t="shared" si="290"/>
        <v>0.14812224302619323</v>
      </c>
      <c r="D233" s="103">
        <f t="shared" si="290"/>
        <v>0.14736847579372281</v>
      </c>
      <c r="E233" s="103">
        <f t="shared" si="290"/>
        <v>0.15317803469557453</v>
      </c>
      <c r="F233" s="103">
        <f t="shared" si="290"/>
        <v>0.17552443532019674</v>
      </c>
      <c r="G233" s="103">
        <f t="shared" si="290"/>
        <v>0.17920101794254117</v>
      </c>
      <c r="H233" s="103">
        <f t="shared" si="290"/>
        <v>0.15421033741934759</v>
      </c>
      <c r="I233" s="103">
        <f t="shared" si="290"/>
        <v>0.13176716132101116</v>
      </c>
      <c r="J233" s="103">
        <f t="shared" si="290"/>
        <v>0.13836812259562453</v>
      </c>
      <c r="K233" s="103">
        <f t="shared" si="290"/>
        <v>0.13089661189362939</v>
      </c>
      <c r="L233" s="103">
        <f t="shared" ref="L233" si="291">IF(L15=0,0,L15/L$4)</f>
        <v>0.14058530864134458</v>
      </c>
      <c r="M233" s="103">
        <f t="shared" ref="M233:V233" si="292">IF(M15=0,0,M15/M$4)</f>
        <v>0.15728337012070798</v>
      </c>
      <c r="N233" s="103">
        <f t="shared" si="292"/>
        <v>0.17367236823930185</v>
      </c>
      <c r="O233" s="103">
        <f t="shared" si="292"/>
        <v>0.17148011292559134</v>
      </c>
      <c r="P233" s="103">
        <f t="shared" si="292"/>
        <v>0.160656264307557</v>
      </c>
      <c r="Q233" s="103">
        <f t="shared" si="292"/>
        <v>0.14743454467235412</v>
      </c>
      <c r="R233" s="103">
        <f t="shared" si="292"/>
        <v>0.14008037080802135</v>
      </c>
      <c r="S233" s="103">
        <f t="shared" si="292"/>
        <v>0.13118842223134827</v>
      </c>
      <c r="T233" s="103">
        <f t="shared" si="292"/>
        <v>0.13014216792911065</v>
      </c>
      <c r="U233" s="103">
        <f t="shared" si="292"/>
        <v>0.12755225649864174</v>
      </c>
      <c r="V233" s="103">
        <f t="shared" si="292"/>
        <v>8.8377657402487805E-2</v>
      </c>
      <c r="W233" s="103">
        <f t="shared" ref="W233" si="293">IF(W15=0,0,W15/W$4)</f>
        <v>7.6187874698564625E-2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3.75750541480931E-4</v>
      </c>
      <c r="S234" s="103">
        <f t="shared" si="296"/>
        <v>2.6080599001678298E-4</v>
      </c>
      <c r="T234" s="103">
        <f t="shared" si="296"/>
        <v>2.0242930791129611E-4</v>
      </c>
      <c r="U234" s="103">
        <f t="shared" si="296"/>
        <v>1.4290012493283548E-4</v>
      </c>
      <c r="V234" s="103">
        <f t="shared" si="296"/>
        <v>8.5419029399640413E-5</v>
      </c>
      <c r="W234" s="103">
        <f t="shared" ref="W234" si="297">IF(W16=0,0,W16/W$4)</f>
        <v>7.6083720055528139E-5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4.3424586881456624E-3</v>
      </c>
      <c r="C235" s="103">
        <f t="shared" si="298"/>
        <v>4.9477017735450411E-3</v>
      </c>
      <c r="D235" s="103">
        <f t="shared" si="298"/>
        <v>3.8109130157862807E-3</v>
      </c>
      <c r="E235" s="103">
        <f t="shared" si="298"/>
        <v>3.6361209217611414E-3</v>
      </c>
      <c r="F235" s="103">
        <f t="shared" si="298"/>
        <v>4.1468967912142067E-3</v>
      </c>
      <c r="G235" s="103">
        <f t="shared" si="298"/>
        <v>4.3858709262336523E-3</v>
      </c>
      <c r="H235" s="103">
        <f t="shared" si="298"/>
        <v>3.6257252951904209E-3</v>
      </c>
      <c r="I235" s="103">
        <f t="shared" si="298"/>
        <v>2.9476449391947698E-3</v>
      </c>
      <c r="J235" s="103">
        <f t="shared" si="298"/>
        <v>1.1737073130416429E-3</v>
      </c>
      <c r="K235" s="103">
        <f t="shared" si="298"/>
        <v>4.8439211683928966E-5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0</v>
      </c>
      <c r="R235" s="103">
        <f t="shared" si="300"/>
        <v>0</v>
      </c>
      <c r="S235" s="103">
        <f t="shared" si="300"/>
        <v>0</v>
      </c>
      <c r="T235" s="103">
        <f t="shared" si="300"/>
        <v>0</v>
      </c>
      <c r="U235" s="103">
        <f t="shared" si="300"/>
        <v>2.6126215502427505E-4</v>
      </c>
      <c r="V235" s="103">
        <f t="shared" si="300"/>
        <v>9.2958529900320709E-4</v>
      </c>
      <c r="W235" s="103">
        <f t="shared" ref="W235" si="301">IF(W17=0,0,W17/W$4)</f>
        <v>2.2999789051100861E-3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4.949243135660118E-4</v>
      </c>
      <c r="C236" s="103">
        <f t="shared" si="302"/>
        <v>1.1254940332223705E-3</v>
      </c>
      <c r="D236" s="103">
        <f t="shared" si="302"/>
        <v>1.064595236995548E-3</v>
      </c>
      <c r="E236" s="103">
        <f t="shared" si="302"/>
        <v>9.656583439625288E-4</v>
      </c>
      <c r="F236" s="103">
        <f t="shared" si="302"/>
        <v>1.0929913817644709E-3</v>
      </c>
      <c r="G236" s="103">
        <f t="shared" si="302"/>
        <v>2.681508270993609E-3</v>
      </c>
      <c r="H236" s="103">
        <f t="shared" si="302"/>
        <v>2.4528628150967536E-3</v>
      </c>
      <c r="I236" s="103">
        <f t="shared" si="302"/>
        <v>3.2505304498336137E-3</v>
      </c>
      <c r="J236" s="103">
        <f t="shared" si="302"/>
        <v>6.2644033944474539E-3</v>
      </c>
      <c r="K236" s="103">
        <f t="shared" si="302"/>
        <v>9.153639488876637E-3</v>
      </c>
      <c r="L236" s="103">
        <f t="shared" ref="L236" si="303">IF(L18=0,0,L18/L$4)</f>
        <v>1.3524530247547238E-2</v>
      </c>
      <c r="M236" s="103">
        <f t="shared" ref="M236:V236" si="304">IF(M18=0,0,M18/M$4)</f>
        <v>1.5016760301707736E-2</v>
      </c>
      <c r="N236" s="103">
        <f t="shared" si="304"/>
        <v>1.6225594136174897E-2</v>
      </c>
      <c r="O236" s="103">
        <f t="shared" si="304"/>
        <v>1.5283200849653069E-2</v>
      </c>
      <c r="P236" s="103">
        <f t="shared" si="304"/>
        <v>1.4953342944054605E-2</v>
      </c>
      <c r="Q236" s="103">
        <f t="shared" si="304"/>
        <v>1.4524410164582929E-2</v>
      </c>
      <c r="R236" s="103">
        <f t="shared" si="304"/>
        <v>1.4783804008197864E-2</v>
      </c>
      <c r="S236" s="103">
        <f t="shared" si="304"/>
        <v>1.1959577711134328E-2</v>
      </c>
      <c r="T236" s="103">
        <f t="shared" si="304"/>
        <v>1.235319777716171E-2</v>
      </c>
      <c r="U236" s="103">
        <f t="shared" si="304"/>
        <v>1.3193424043344365E-2</v>
      </c>
      <c r="V236" s="103">
        <f t="shared" si="304"/>
        <v>1.1093818747235751E-2</v>
      </c>
      <c r="W236" s="103">
        <f t="shared" ref="W236" si="305">IF(W18=0,0,W18/W$4)</f>
        <v>1.3714535260700361E-2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2.8470974574264347E-2</v>
      </c>
      <c r="C238" s="154">
        <f t="shared" si="310"/>
        <v>3.0322466971936746E-2</v>
      </c>
      <c r="D238" s="154">
        <f t="shared" si="310"/>
        <v>3.3956366660738785E-2</v>
      </c>
      <c r="E238" s="154">
        <f t="shared" si="310"/>
        <v>2.7602556361799684E-2</v>
      </c>
      <c r="F238" s="154">
        <f t="shared" si="310"/>
        <v>3.4262023064783792E-2</v>
      </c>
      <c r="G238" s="154">
        <f t="shared" si="310"/>
        <v>2.9055110084360642E-2</v>
      </c>
      <c r="H238" s="154">
        <f t="shared" si="310"/>
        <v>3.0450435790128461E-2</v>
      </c>
      <c r="I238" s="154">
        <f t="shared" si="310"/>
        <v>3.007724751748873E-2</v>
      </c>
      <c r="J238" s="154">
        <f t="shared" si="310"/>
        <v>3.4741819856476633E-2</v>
      </c>
      <c r="K238" s="154">
        <f t="shared" si="310"/>
        <v>4.0078971728990678E-2</v>
      </c>
      <c r="L238" s="154">
        <f t="shared" ref="L238" si="311">IF(L20=0,0,L20/L$19)</f>
        <v>2.9822998813654224E-2</v>
      </c>
      <c r="M238" s="154">
        <f t="shared" ref="M238:V238" si="312">IF(M20=0,0,M20/M$19)</f>
        <v>2.9016999000454517E-2</v>
      </c>
      <c r="N238" s="154">
        <f t="shared" si="312"/>
        <v>3.0801394607482765E-2</v>
      </c>
      <c r="O238" s="154">
        <f t="shared" si="312"/>
        <v>3.258371501001802E-2</v>
      </c>
      <c r="P238" s="154">
        <f t="shared" si="312"/>
        <v>3.6081946850753513E-2</v>
      </c>
      <c r="Q238" s="154">
        <f t="shared" si="312"/>
        <v>3.5741888540196845E-2</v>
      </c>
      <c r="R238" s="154">
        <f t="shared" si="312"/>
        <v>3.5390536947477486E-2</v>
      </c>
      <c r="S238" s="154">
        <f t="shared" si="312"/>
        <v>3.4063057686912458E-2</v>
      </c>
      <c r="T238" s="154">
        <f t="shared" si="312"/>
        <v>3.2376661378818797E-2</v>
      </c>
      <c r="U238" s="154">
        <f t="shared" si="312"/>
        <v>3.5221829802336437E-2</v>
      </c>
      <c r="V238" s="154">
        <f t="shared" si="312"/>
        <v>3.1951083101078123E-2</v>
      </c>
      <c r="W238" s="154">
        <f t="shared" ref="W238" si="313">IF(W20=0,0,W20/W$19)</f>
        <v>3.1642546168569374E-2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9.8625849725017169E-3</v>
      </c>
      <c r="C239" s="103">
        <f t="shared" si="314"/>
        <v>9.1590333184544247E-3</v>
      </c>
      <c r="D239" s="103">
        <f t="shared" si="314"/>
        <v>7.4860176430603699E-3</v>
      </c>
      <c r="E239" s="103">
        <f t="shared" si="314"/>
        <v>6.5354942640481785E-3</v>
      </c>
      <c r="F239" s="103">
        <f t="shared" si="314"/>
        <v>6.0448608150272714E-3</v>
      </c>
      <c r="G239" s="103">
        <f t="shared" si="314"/>
        <v>5.4459667072006218E-3</v>
      </c>
      <c r="H239" s="103">
        <f t="shared" si="314"/>
        <v>5.2245594727163697E-3</v>
      </c>
      <c r="I239" s="103">
        <f t="shared" si="314"/>
        <v>4.5233248163323008E-3</v>
      </c>
      <c r="J239" s="103">
        <f t="shared" si="314"/>
        <v>4.2714049377584017E-3</v>
      </c>
      <c r="K239" s="103">
        <f t="shared" si="314"/>
        <v>4.1679898715520853E-3</v>
      </c>
      <c r="L239" s="103">
        <f t="shared" ref="L239" si="315">IF(L21=0,0,L21/L$19)</f>
        <v>1.6499574009648137E-3</v>
      </c>
      <c r="M239" s="103">
        <f t="shared" ref="M239:V239" si="316">IF(M21=0,0,M21/M$19)</f>
        <v>1.3952220038310858E-3</v>
      </c>
      <c r="N239" s="103">
        <f t="shared" si="316"/>
        <v>1.356742789548226E-3</v>
      </c>
      <c r="O239" s="103">
        <f t="shared" si="316"/>
        <v>1.0728118951128175E-3</v>
      </c>
      <c r="P239" s="103">
        <f t="shared" si="316"/>
        <v>8.2227636159210797E-4</v>
      </c>
      <c r="Q239" s="103">
        <f t="shared" si="316"/>
        <v>7.3757553712689068E-4</v>
      </c>
      <c r="R239" s="103">
        <f t="shared" si="316"/>
        <v>6.1993630709898835E-4</v>
      </c>
      <c r="S239" s="103">
        <f t="shared" si="316"/>
        <v>5.3864983266821952E-4</v>
      </c>
      <c r="T239" s="103">
        <f t="shared" si="316"/>
        <v>4.7091571410091032E-4</v>
      </c>
      <c r="U239" s="103">
        <f t="shared" si="316"/>
        <v>4.5455635379909354E-4</v>
      </c>
      <c r="V239" s="103">
        <f t="shared" si="316"/>
        <v>3.9158780577300777E-4</v>
      </c>
      <c r="W239" s="103">
        <f t="shared" ref="W239" si="317">IF(W21=0,0,W21/W$19)</f>
        <v>3.6723863193310609E-4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1.8608389601762629E-2</v>
      </c>
      <c r="C240" s="103">
        <f t="shared" si="318"/>
        <v>2.1163433653482323E-2</v>
      </c>
      <c r="D240" s="103">
        <f t="shared" si="318"/>
        <v>2.6470349017678411E-2</v>
      </c>
      <c r="E240" s="103">
        <f t="shared" si="318"/>
        <v>2.1067062097751509E-2</v>
      </c>
      <c r="F240" s="103">
        <f t="shared" si="318"/>
        <v>2.8217162249756522E-2</v>
      </c>
      <c r="G240" s="103">
        <f t="shared" si="318"/>
        <v>2.3609143377160018E-2</v>
      </c>
      <c r="H240" s="103">
        <f t="shared" si="318"/>
        <v>2.5225876317412091E-2</v>
      </c>
      <c r="I240" s="103">
        <f t="shared" si="318"/>
        <v>2.5553922701156428E-2</v>
      </c>
      <c r="J240" s="103">
        <f t="shared" si="318"/>
        <v>3.0470414918718231E-2</v>
      </c>
      <c r="K240" s="103">
        <f t="shared" si="318"/>
        <v>3.5910981857438587E-2</v>
      </c>
      <c r="L240" s="103">
        <f t="shared" ref="L240" si="319">IF(L22=0,0,L22/L$19)</f>
        <v>2.817304141268941E-2</v>
      </c>
      <c r="M240" s="103">
        <f t="shared" ref="M240:V240" si="320">IF(M22=0,0,M22/M$19)</f>
        <v>2.7620812880143147E-2</v>
      </c>
      <c r="N240" s="103">
        <f t="shared" si="320"/>
        <v>2.9435613522263804E-2</v>
      </c>
      <c r="O240" s="103">
        <f t="shared" si="320"/>
        <v>3.1503237383539023E-2</v>
      </c>
      <c r="P240" s="103">
        <f t="shared" si="320"/>
        <v>3.5247239335076626E-2</v>
      </c>
      <c r="Q240" s="103">
        <f t="shared" si="320"/>
        <v>3.499172932047321E-2</v>
      </c>
      <c r="R240" s="103">
        <f t="shared" si="320"/>
        <v>3.470535163991742E-2</v>
      </c>
      <c r="S240" s="103">
        <f t="shared" si="320"/>
        <v>3.3419087134941822E-2</v>
      </c>
      <c r="T240" s="103">
        <f t="shared" si="320"/>
        <v>3.1781615520011477E-2</v>
      </c>
      <c r="U240" s="103">
        <f t="shared" si="320"/>
        <v>3.4607270891782282E-2</v>
      </c>
      <c r="V240" s="103">
        <f t="shared" si="320"/>
        <v>3.1404928334068077E-2</v>
      </c>
      <c r="W240" s="103">
        <f t="shared" ref="W240" si="321">IF(W22=0,0,W22/W$19)</f>
        <v>3.1114751212233786E-2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8.1025414581830957E-6</v>
      </c>
      <c r="O241" s="103">
        <f t="shared" si="324"/>
        <v>6.8166293264398718E-6</v>
      </c>
      <c r="P241" s="103">
        <f t="shared" si="324"/>
        <v>9.8702740828589769E-6</v>
      </c>
      <c r="Q241" s="103">
        <f t="shared" si="324"/>
        <v>9.7818594408883162E-6</v>
      </c>
      <c r="R241" s="103">
        <f t="shared" si="324"/>
        <v>6.089841044430355E-5</v>
      </c>
      <c r="S241" s="103">
        <f t="shared" si="324"/>
        <v>1.0094813929312655E-4</v>
      </c>
      <c r="T241" s="103">
        <f t="shared" si="324"/>
        <v>1.2006734599135499E-4</v>
      </c>
      <c r="U241" s="103">
        <f t="shared" si="324"/>
        <v>1.5501037742260369E-4</v>
      </c>
      <c r="V241" s="103">
        <f t="shared" si="324"/>
        <v>1.4958510818259283E-4</v>
      </c>
      <c r="W241" s="103">
        <f t="shared" ref="W241" si="325">IF(W23=0,0,W23/W$19)</f>
        <v>1.4884998508153251E-4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9.6411648027957198E-7</v>
      </c>
      <c r="N243" s="103">
        <f t="shared" si="332"/>
        <v>9.357542125546318E-7</v>
      </c>
      <c r="O243" s="103">
        <f t="shared" si="332"/>
        <v>8.4910203973802927E-7</v>
      </c>
      <c r="P243" s="103">
        <f t="shared" si="332"/>
        <v>2.5608800019165825E-6</v>
      </c>
      <c r="Q243" s="103">
        <f t="shared" si="332"/>
        <v>2.8018231558491165E-6</v>
      </c>
      <c r="R243" s="103">
        <f t="shared" si="332"/>
        <v>4.3505900167692047E-6</v>
      </c>
      <c r="S243" s="103">
        <f t="shared" si="332"/>
        <v>4.3725800092896913E-6</v>
      </c>
      <c r="T243" s="103">
        <f t="shared" si="332"/>
        <v>4.0627987150548403E-6</v>
      </c>
      <c r="U243" s="103">
        <f t="shared" si="332"/>
        <v>4.9921793324632502E-6</v>
      </c>
      <c r="V243" s="103">
        <f t="shared" si="332"/>
        <v>4.9818530544486105E-6</v>
      </c>
      <c r="W243" s="103">
        <f t="shared" ref="W243" si="333">IF(W25=0,0,W25/W$19)</f>
        <v>1.1706339320950648E-5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0.9715290254257356</v>
      </c>
      <c r="C244" s="156">
        <f t="shared" si="334"/>
        <v>0.96967753302806337</v>
      </c>
      <c r="D244" s="156">
        <f t="shared" si="334"/>
        <v>0.96604363333926113</v>
      </c>
      <c r="E244" s="156">
        <f t="shared" si="334"/>
        <v>0.97239744363820035</v>
      </c>
      <c r="F244" s="156">
        <f t="shared" si="334"/>
        <v>0.96573797693521612</v>
      </c>
      <c r="G244" s="156">
        <f t="shared" si="334"/>
        <v>0.97094488991563932</v>
      </c>
      <c r="H244" s="156">
        <f t="shared" si="334"/>
        <v>0.96954956420987148</v>
      </c>
      <c r="I244" s="156">
        <f t="shared" si="334"/>
        <v>0.96992275248251125</v>
      </c>
      <c r="J244" s="156">
        <f t="shared" si="334"/>
        <v>0.96525818014352338</v>
      </c>
      <c r="K244" s="156">
        <f t="shared" si="334"/>
        <v>0.95992102827100934</v>
      </c>
      <c r="L244" s="156">
        <f t="shared" ref="L244" si="335">IF(L26=0,0,L26/L$19)</f>
        <v>0.97017700118634576</v>
      </c>
      <c r="M244" s="156">
        <f t="shared" ref="M244:V244" si="336">IF(M26=0,0,M26/M$19)</f>
        <v>0.97098300099954538</v>
      </c>
      <c r="N244" s="156">
        <f t="shared" si="336"/>
        <v>0.96919860539251734</v>
      </c>
      <c r="O244" s="156">
        <f t="shared" si="336"/>
        <v>0.967416284989982</v>
      </c>
      <c r="P244" s="156">
        <f t="shared" si="336"/>
        <v>0.96391805314924639</v>
      </c>
      <c r="Q244" s="156">
        <f t="shared" si="336"/>
        <v>0.96425811145980322</v>
      </c>
      <c r="R244" s="156">
        <f t="shared" si="336"/>
        <v>0.96460946305252249</v>
      </c>
      <c r="S244" s="156">
        <f t="shared" si="336"/>
        <v>0.96593694231308747</v>
      </c>
      <c r="T244" s="156">
        <f t="shared" si="336"/>
        <v>0.96762333862118111</v>
      </c>
      <c r="U244" s="156">
        <f t="shared" si="336"/>
        <v>0.96477817019766354</v>
      </c>
      <c r="V244" s="156">
        <f t="shared" si="336"/>
        <v>0.96804891689892181</v>
      </c>
      <c r="W244" s="156">
        <f t="shared" ref="W244" si="337">IF(W26=0,0,W26/W$19)</f>
        <v>0.96835745383143068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0.653190538037422</v>
      </c>
      <c r="C245" s="103">
        <f t="shared" si="338"/>
        <v>0.65920916133546326</v>
      </c>
      <c r="D245" s="103">
        <f t="shared" si="338"/>
        <v>0.68169945987285219</v>
      </c>
      <c r="E245" s="103">
        <f t="shared" si="338"/>
        <v>0.71895066498504412</v>
      </c>
      <c r="F245" s="103">
        <f t="shared" si="338"/>
        <v>0.68658796471777106</v>
      </c>
      <c r="G245" s="103">
        <f t="shared" si="338"/>
        <v>0.71053260380362759</v>
      </c>
      <c r="H245" s="103">
        <f t="shared" si="338"/>
        <v>0.66741372132144128</v>
      </c>
      <c r="I245" s="103">
        <f t="shared" si="338"/>
        <v>0.66153472656031787</v>
      </c>
      <c r="J245" s="103">
        <f t="shared" si="338"/>
        <v>0.62996083395355162</v>
      </c>
      <c r="K245" s="103">
        <f t="shared" si="338"/>
        <v>0.64247320856669365</v>
      </c>
      <c r="L245" s="103">
        <f t="shared" ref="L245" si="339">IF(L27=0,0,L27/L$19)</f>
        <v>0.66391351976633917</v>
      </c>
      <c r="M245" s="103">
        <f t="shared" ref="M245:V245" si="340">IF(M27=0,0,M27/M$19)</f>
        <v>0.64107515383895808</v>
      </c>
      <c r="N245" s="103">
        <f t="shared" si="340"/>
        <v>0.61502554236036322</v>
      </c>
      <c r="O245" s="103">
        <f t="shared" si="340"/>
        <v>0.59789444047009344</v>
      </c>
      <c r="P245" s="103">
        <f t="shared" si="340"/>
        <v>0.58743782968899461</v>
      </c>
      <c r="Q245" s="103">
        <f t="shared" si="340"/>
        <v>0.55335784851473946</v>
      </c>
      <c r="R245" s="103">
        <f t="shared" si="340"/>
        <v>0.55773179076932156</v>
      </c>
      <c r="S245" s="103">
        <f t="shared" si="340"/>
        <v>0.59310344398632453</v>
      </c>
      <c r="T245" s="103">
        <f t="shared" si="340"/>
        <v>0.5885368609619599</v>
      </c>
      <c r="U245" s="103">
        <f t="shared" si="340"/>
        <v>0.60052152920144408</v>
      </c>
      <c r="V245" s="103">
        <f t="shared" si="340"/>
        <v>0.58501703938793193</v>
      </c>
      <c r="W245" s="103">
        <f t="shared" ref="W245" si="341">IF(W27=0,0,W27/W$19)</f>
        <v>0.6132779635921668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0.31833848738831361</v>
      </c>
      <c r="C246" s="105">
        <f t="shared" si="342"/>
        <v>0.31046837169260011</v>
      </c>
      <c r="D246" s="105">
        <f t="shared" si="342"/>
        <v>0.28434417346640906</v>
      </c>
      <c r="E246" s="105">
        <f t="shared" si="342"/>
        <v>0.25344677865315629</v>
      </c>
      <c r="F246" s="105">
        <f t="shared" si="342"/>
        <v>0.27915001221744506</v>
      </c>
      <c r="G246" s="105">
        <f t="shared" si="342"/>
        <v>0.26041228611201173</v>
      </c>
      <c r="H246" s="105">
        <f t="shared" si="342"/>
        <v>0.30213584288843015</v>
      </c>
      <c r="I246" s="105">
        <f t="shared" si="342"/>
        <v>0.30838802592219344</v>
      </c>
      <c r="J246" s="105">
        <f t="shared" si="342"/>
        <v>0.33529734618997176</v>
      </c>
      <c r="K246" s="105">
        <f t="shared" si="342"/>
        <v>0.31744781970431574</v>
      </c>
      <c r="L246" s="105">
        <f t="shared" ref="L246" si="343">IF(L28=0,0,L28/L$19)</f>
        <v>0.30626348142000659</v>
      </c>
      <c r="M246" s="105">
        <f t="shared" ref="M246:V246" si="344">IF(M28=0,0,M28/M$19)</f>
        <v>0.32990784716058735</v>
      </c>
      <c r="N246" s="105">
        <f t="shared" si="344"/>
        <v>0.35417306303215396</v>
      </c>
      <c r="O246" s="105">
        <f t="shared" si="344"/>
        <v>0.36952184451988851</v>
      </c>
      <c r="P246" s="105">
        <f t="shared" si="344"/>
        <v>0.37648022346025178</v>
      </c>
      <c r="Q246" s="105">
        <f t="shared" si="344"/>
        <v>0.41090026294506371</v>
      </c>
      <c r="R246" s="105">
        <f t="shared" si="344"/>
        <v>0.40687767228320099</v>
      </c>
      <c r="S246" s="105">
        <f t="shared" si="344"/>
        <v>0.37283349832676299</v>
      </c>
      <c r="T246" s="105">
        <f t="shared" si="344"/>
        <v>0.37908647765922132</v>
      </c>
      <c r="U246" s="105">
        <f t="shared" si="344"/>
        <v>0.36425664099621929</v>
      </c>
      <c r="V246" s="105">
        <f t="shared" si="344"/>
        <v>0.38303187751098988</v>
      </c>
      <c r="W246" s="105">
        <f t="shared" ref="W246" si="345">IF(W28=0,0,W28/W$19)</f>
        <v>0.35507949023926388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1.2839406468773372E-2</v>
      </c>
      <c r="C250" s="154">
        <f t="shared" si="350"/>
        <v>1.1175718181971196E-2</v>
      </c>
      <c r="D250" s="154">
        <f t="shared" si="350"/>
        <v>1.0972343865900463E-2</v>
      </c>
      <c r="E250" s="154">
        <f t="shared" si="350"/>
        <v>1.0406940870960831E-2</v>
      </c>
      <c r="F250" s="154">
        <f t="shared" si="350"/>
        <v>9.6702111429064902E-3</v>
      </c>
      <c r="G250" s="154">
        <f t="shared" si="350"/>
        <v>9.2119774749395717E-3</v>
      </c>
      <c r="H250" s="154">
        <f t="shared" si="350"/>
        <v>7.7002984768753946E-3</v>
      </c>
      <c r="I250" s="154">
        <f t="shared" si="350"/>
        <v>6.5986361533211533E-3</v>
      </c>
      <c r="J250" s="154">
        <f t="shared" si="350"/>
        <v>6.533193738006102E-3</v>
      </c>
      <c r="K250" s="154">
        <f t="shared" si="350"/>
        <v>7.014693236524561E-3</v>
      </c>
      <c r="L250" s="154">
        <f t="shared" ref="L250" si="351">IF(L32=0,0,L32/L$31)</f>
        <v>7.0809697856796389E-3</v>
      </c>
      <c r="M250" s="154">
        <f t="shared" ref="M250:V250" si="352">IF(M32=0,0,M32/M$31)</f>
        <v>7.2568570528620622E-3</v>
      </c>
      <c r="N250" s="154">
        <f t="shared" si="352"/>
        <v>6.8150954487876817E-3</v>
      </c>
      <c r="O250" s="154">
        <f t="shared" si="352"/>
        <v>7.115409909384824E-3</v>
      </c>
      <c r="P250" s="154">
        <f t="shared" si="352"/>
        <v>7.714761813768586E-3</v>
      </c>
      <c r="Q250" s="154">
        <f t="shared" si="352"/>
        <v>9.121012478552076E-3</v>
      </c>
      <c r="R250" s="154">
        <f t="shared" si="352"/>
        <v>8.8216142857952835E-3</v>
      </c>
      <c r="S250" s="154">
        <f t="shared" si="352"/>
        <v>7.956519774698096E-3</v>
      </c>
      <c r="T250" s="154">
        <f t="shared" si="352"/>
        <v>7.2612359977295175E-3</v>
      </c>
      <c r="U250" s="154">
        <f t="shared" si="352"/>
        <v>7.2975823856406656E-3</v>
      </c>
      <c r="V250" s="154">
        <f t="shared" si="352"/>
        <v>6.792240468824708E-3</v>
      </c>
      <c r="W250" s="154">
        <f t="shared" ref="W250" si="353">IF(W32=0,0,W32/W$31)</f>
        <v>6.8153121737052182E-3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0.95584262140538057</v>
      </c>
      <c r="C251" s="156">
        <f t="shared" si="354"/>
        <v>0.96121006489267269</v>
      </c>
      <c r="D251" s="156">
        <f t="shared" si="354"/>
        <v>0.9607997683918339</v>
      </c>
      <c r="E251" s="156">
        <f t="shared" si="354"/>
        <v>0.96061797063288579</v>
      </c>
      <c r="F251" s="156">
        <f t="shared" si="354"/>
        <v>0.96300576788478298</v>
      </c>
      <c r="G251" s="156">
        <f t="shared" si="354"/>
        <v>0.96463733114121342</v>
      </c>
      <c r="H251" s="156">
        <f t="shared" si="354"/>
        <v>0.97062030945687827</v>
      </c>
      <c r="I251" s="156">
        <f t="shared" si="354"/>
        <v>0.97442513913273165</v>
      </c>
      <c r="J251" s="156">
        <f t="shared" si="354"/>
        <v>0.97467249256193389</v>
      </c>
      <c r="K251" s="156">
        <f t="shared" si="354"/>
        <v>0.97234051166927138</v>
      </c>
      <c r="L251" s="156">
        <f t="shared" ref="L251" si="355">IF(L33=0,0,L33/L$31)</f>
        <v>0.97244565958776708</v>
      </c>
      <c r="M251" s="156">
        <f t="shared" ref="M251:V251" si="356">IF(M33=0,0,M33/M$31)</f>
        <v>0.97252526416969809</v>
      </c>
      <c r="N251" s="156">
        <f t="shared" si="356"/>
        <v>0.9731887705337543</v>
      </c>
      <c r="O251" s="156">
        <f t="shared" si="356"/>
        <v>0.97325486692096885</v>
      </c>
      <c r="P251" s="156">
        <f t="shared" si="356"/>
        <v>0.97532936526954661</v>
      </c>
      <c r="Q251" s="156">
        <f t="shared" si="356"/>
        <v>0.97538699725634215</v>
      </c>
      <c r="R251" s="156">
        <f t="shared" si="356"/>
        <v>0.97614914363991334</v>
      </c>
      <c r="S251" s="156">
        <f t="shared" si="356"/>
        <v>0.97781749930994</v>
      </c>
      <c r="T251" s="156">
        <f t="shared" si="356"/>
        <v>0.97963040334288731</v>
      </c>
      <c r="U251" s="156">
        <f t="shared" si="356"/>
        <v>0.98092932142675504</v>
      </c>
      <c r="V251" s="156">
        <f t="shared" si="356"/>
        <v>0.98328999811040285</v>
      </c>
      <c r="W251" s="156">
        <f t="shared" ref="W251" si="357">IF(W33=0,0,W33/W$31)</f>
        <v>0.98467106599749421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0.80973422765873648</v>
      </c>
      <c r="C252" s="103">
        <f t="shared" si="358"/>
        <v>0.7899482747805896</v>
      </c>
      <c r="D252" s="103">
        <f t="shared" si="358"/>
        <v>0.76705417376091978</v>
      </c>
      <c r="E252" s="103">
        <f t="shared" si="358"/>
        <v>0.73398582593241113</v>
      </c>
      <c r="F252" s="103">
        <f t="shared" si="358"/>
        <v>0.69804727293363567</v>
      </c>
      <c r="G252" s="103">
        <f t="shared" si="358"/>
        <v>0.66260511426072</v>
      </c>
      <c r="H252" s="103">
        <f t="shared" si="358"/>
        <v>0.63843589158031111</v>
      </c>
      <c r="I252" s="103">
        <f t="shared" si="358"/>
        <v>0.63426641641137826</v>
      </c>
      <c r="J252" s="103">
        <f t="shared" si="358"/>
        <v>0.60381621841405964</v>
      </c>
      <c r="K252" s="103">
        <f t="shared" si="358"/>
        <v>0.55600641998635347</v>
      </c>
      <c r="L252" s="103">
        <f t="shared" ref="L252" si="359">IF(L34=0,0,L34/L$31)</f>
        <v>0.53457471784213428</v>
      </c>
      <c r="M252" s="103">
        <f t="shared" ref="M252:V252" si="360">IF(M34=0,0,M34/M$31)</f>
        <v>0.50082824683716187</v>
      </c>
      <c r="N252" s="103">
        <f t="shared" si="360"/>
        <v>0.4397956937613412</v>
      </c>
      <c r="O252" s="103">
        <f t="shared" si="360"/>
        <v>0.4068278436576151</v>
      </c>
      <c r="P252" s="103">
        <f t="shared" si="360"/>
        <v>0.35320957558108929</v>
      </c>
      <c r="Q252" s="103">
        <f t="shared" si="360"/>
        <v>0.33368995159319548</v>
      </c>
      <c r="R252" s="103">
        <f t="shared" si="360"/>
        <v>0.29454529025891996</v>
      </c>
      <c r="S252" s="103">
        <f t="shared" si="360"/>
        <v>0.27502620003593131</v>
      </c>
      <c r="T252" s="103">
        <f t="shared" si="360"/>
        <v>0.25911178126748274</v>
      </c>
      <c r="U252" s="103">
        <f t="shared" si="360"/>
        <v>0.23810558492711587</v>
      </c>
      <c r="V252" s="103">
        <f t="shared" si="360"/>
        <v>0.23598870814811723</v>
      </c>
      <c r="W252" s="103">
        <f t="shared" ref="W252" si="361">IF(W34=0,0,W34/W$31)</f>
        <v>0.23548575126085144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9.8514628340096666E-2</v>
      </c>
      <c r="C253" s="103">
        <f t="shared" si="362"/>
        <v>0.12195261321983689</v>
      </c>
      <c r="D253" s="103">
        <f t="shared" si="362"/>
        <v>0.14851366459168425</v>
      </c>
      <c r="E253" s="103">
        <f t="shared" si="362"/>
        <v>0.18069191514533139</v>
      </c>
      <c r="F253" s="103">
        <f t="shared" si="362"/>
        <v>0.21075205530970842</v>
      </c>
      <c r="G253" s="103">
        <f t="shared" si="362"/>
        <v>0.24779679371971589</v>
      </c>
      <c r="H253" s="103">
        <f t="shared" si="362"/>
        <v>0.28087071630105259</v>
      </c>
      <c r="I253" s="103">
        <f t="shared" si="362"/>
        <v>0.2946552503861497</v>
      </c>
      <c r="J253" s="103">
        <f t="shared" si="362"/>
        <v>0.32876201124503235</v>
      </c>
      <c r="K253" s="103">
        <f t="shared" si="362"/>
        <v>0.37242715968796053</v>
      </c>
      <c r="L253" s="103">
        <f t="shared" ref="L253" si="363">IF(L35=0,0,L35/L$31)</f>
        <v>0.38945657910051268</v>
      </c>
      <c r="M253" s="103">
        <f t="shared" ref="M253:V253" si="364">IF(M35=0,0,M35/M$31)</f>
        <v>0.41314681101607981</v>
      </c>
      <c r="N253" s="103">
        <f t="shared" si="364"/>
        <v>0.44057813004524898</v>
      </c>
      <c r="O253" s="103">
        <f t="shared" si="364"/>
        <v>0.46512733274382206</v>
      </c>
      <c r="P253" s="103">
        <f t="shared" si="364"/>
        <v>0.51744926891834275</v>
      </c>
      <c r="Q253" s="103">
        <f t="shared" si="364"/>
        <v>0.55572428310792632</v>
      </c>
      <c r="R253" s="103">
        <f t="shared" si="364"/>
        <v>0.59021896478883429</v>
      </c>
      <c r="S253" s="103">
        <f t="shared" si="364"/>
        <v>0.62157396953643684</v>
      </c>
      <c r="T253" s="103">
        <f t="shared" si="364"/>
        <v>0.6473410948735967</v>
      </c>
      <c r="U253" s="103">
        <f t="shared" si="364"/>
        <v>0.67950657954747951</v>
      </c>
      <c r="V253" s="103">
        <f t="shared" si="364"/>
        <v>0.69032691083597686</v>
      </c>
      <c r="W253" s="103">
        <f t="shared" ref="W253" si="365">IF(W35=0,0,W35/W$31)</f>
        <v>0.69814895182082615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4.7337965280793204E-2</v>
      </c>
      <c r="C254" s="103">
        <f t="shared" si="366"/>
        <v>4.9104922583431541E-2</v>
      </c>
      <c r="D254" s="103">
        <f t="shared" si="366"/>
        <v>4.5050432460260609E-2</v>
      </c>
      <c r="E254" s="103">
        <f t="shared" si="366"/>
        <v>4.5780980957060423E-2</v>
      </c>
      <c r="F254" s="103">
        <f t="shared" si="366"/>
        <v>5.407253054175603E-2</v>
      </c>
      <c r="G254" s="103">
        <f t="shared" si="366"/>
        <v>5.4108781666578766E-2</v>
      </c>
      <c r="H254" s="103">
        <f t="shared" si="366"/>
        <v>5.122957110309171E-2</v>
      </c>
      <c r="I254" s="103">
        <f t="shared" si="366"/>
        <v>4.5434417915611057E-2</v>
      </c>
      <c r="J254" s="103">
        <f t="shared" si="366"/>
        <v>4.2032057296336738E-2</v>
      </c>
      <c r="K254" s="103">
        <f t="shared" si="366"/>
        <v>4.3844390745345102E-2</v>
      </c>
      <c r="L254" s="103">
        <f t="shared" ref="L254" si="367">IF(L36=0,0,L36/L$31)</f>
        <v>4.8414362645120133E-2</v>
      </c>
      <c r="M254" s="103">
        <f t="shared" ref="M254:V254" si="368">IF(M36=0,0,M36/M$31)</f>
        <v>5.8550206316456382E-2</v>
      </c>
      <c r="N254" s="103">
        <f t="shared" si="368"/>
        <v>9.2792419720855224E-2</v>
      </c>
      <c r="O254" s="103">
        <f t="shared" si="368"/>
        <v>0.10126454108416362</v>
      </c>
      <c r="P254" s="103">
        <f t="shared" si="368"/>
        <v>0.10434967634984409</v>
      </c>
      <c r="Q254" s="103">
        <f t="shared" si="368"/>
        <v>8.5624218193751836E-2</v>
      </c>
      <c r="R254" s="103">
        <f t="shared" si="368"/>
        <v>9.1003257553429293E-2</v>
      </c>
      <c r="S254" s="103">
        <f t="shared" si="368"/>
        <v>8.0733462849205434E-2</v>
      </c>
      <c r="T254" s="103">
        <f t="shared" si="368"/>
        <v>7.2357823047375494E-2</v>
      </c>
      <c r="U254" s="103">
        <f t="shared" si="368"/>
        <v>6.2226921877266382E-2</v>
      </c>
      <c r="V254" s="103">
        <f t="shared" si="368"/>
        <v>5.5078195028578261E-2</v>
      </c>
      <c r="W254" s="103">
        <f t="shared" ref="W254" si="369">IF(W36=0,0,W36/W$31)</f>
        <v>4.7973582850940742E-2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2.5580012575419079E-4</v>
      </c>
      <c r="C255" s="103">
        <f t="shared" si="370"/>
        <v>2.0425430881480284E-4</v>
      </c>
      <c r="D255" s="103">
        <f t="shared" si="370"/>
        <v>1.8149757896926758E-4</v>
      </c>
      <c r="E255" s="103">
        <f t="shared" si="370"/>
        <v>1.5924859808274459E-4</v>
      </c>
      <c r="F255" s="103">
        <f t="shared" si="370"/>
        <v>1.3390909968289774E-4</v>
      </c>
      <c r="G255" s="103">
        <f t="shared" si="370"/>
        <v>1.2664149419872465E-4</v>
      </c>
      <c r="H255" s="103">
        <f t="shared" si="370"/>
        <v>8.4130472422880556E-5</v>
      </c>
      <c r="I255" s="103">
        <f t="shared" si="370"/>
        <v>6.9054419592553377E-5</v>
      </c>
      <c r="J255" s="103">
        <f t="shared" si="370"/>
        <v>6.2205606505269501E-5</v>
      </c>
      <c r="K255" s="103">
        <f t="shared" si="370"/>
        <v>6.2541249612062393E-5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0</v>
      </c>
      <c r="O255" s="103">
        <f t="shared" si="372"/>
        <v>0</v>
      </c>
      <c r="P255" s="103">
        <f t="shared" si="372"/>
        <v>0</v>
      </c>
      <c r="Q255" s="103">
        <f t="shared" si="372"/>
        <v>0</v>
      </c>
      <c r="R255" s="103">
        <f t="shared" si="372"/>
        <v>0</v>
      </c>
      <c r="S255" s="103">
        <f t="shared" si="372"/>
        <v>0</v>
      </c>
      <c r="T255" s="103">
        <f t="shared" si="372"/>
        <v>1.4753967552108305E-4</v>
      </c>
      <c r="U255" s="103">
        <f t="shared" si="372"/>
        <v>1.577940250989494E-4</v>
      </c>
      <c r="V255" s="103">
        <f t="shared" si="372"/>
        <v>1.8316865373863535E-4</v>
      </c>
      <c r="W255" s="103">
        <f t="shared" ref="W255" si="373">IF(W37=0,0,W37/W$31)</f>
        <v>1.956491155203206E-4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3.9410183568123124E-6</v>
      </c>
      <c r="O256" s="103">
        <f t="shared" si="376"/>
        <v>7.4836662067283514E-6</v>
      </c>
      <c r="P256" s="103">
        <f t="shared" si="376"/>
        <v>1.0911869816454988E-5</v>
      </c>
      <c r="Q256" s="103">
        <f t="shared" si="376"/>
        <v>2.7194327707135582E-5</v>
      </c>
      <c r="R256" s="103">
        <f t="shared" si="376"/>
        <v>3.0145732738068433E-5</v>
      </c>
      <c r="S256" s="103">
        <f t="shared" si="376"/>
        <v>5.4659257982950838E-5</v>
      </c>
      <c r="T256" s="103">
        <f t="shared" si="376"/>
        <v>9.7604210015755962E-5</v>
      </c>
      <c r="U256" s="103">
        <f t="shared" si="376"/>
        <v>1.2982445132438895E-4</v>
      </c>
      <c r="V256" s="103">
        <f t="shared" si="376"/>
        <v>2.0969287674122401E-4</v>
      </c>
      <c r="W256" s="103">
        <f t="shared" ref="W256" si="377">IF(W38=0,0,W38/W$31)</f>
        <v>3.667117691011714E-4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0</v>
      </c>
      <c r="M257" s="103">
        <f t="shared" ref="M257:V257" si="380">IF(M39=0,0,M39/M$31)</f>
        <v>0</v>
      </c>
      <c r="N257" s="103">
        <f t="shared" si="380"/>
        <v>1.8585987952082257E-5</v>
      </c>
      <c r="O257" s="103">
        <f t="shared" si="380"/>
        <v>2.7665769161446184E-5</v>
      </c>
      <c r="P257" s="103">
        <f t="shared" si="380"/>
        <v>3.0993255045394465E-4</v>
      </c>
      <c r="Q257" s="103">
        <f t="shared" si="380"/>
        <v>3.2135003376142327E-4</v>
      </c>
      <c r="R257" s="103">
        <f t="shared" si="380"/>
        <v>3.5148530599183215E-4</v>
      </c>
      <c r="S257" s="103">
        <f t="shared" si="380"/>
        <v>4.2920763038349277E-4</v>
      </c>
      <c r="T257" s="103">
        <f t="shared" si="380"/>
        <v>5.7456026889546221E-4</v>
      </c>
      <c r="U257" s="103">
        <f t="shared" si="380"/>
        <v>8.0261659846977854E-4</v>
      </c>
      <c r="V257" s="103">
        <f t="shared" si="380"/>
        <v>1.5033225672503403E-3</v>
      </c>
      <c r="W257" s="103">
        <f t="shared" ref="W257" si="381">IF(W39=0,0,W39/W$31)</f>
        <v>2.5004191802544319E-3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3.1317972125846159E-2</v>
      </c>
      <c r="C258" s="156">
        <f t="shared" si="382"/>
        <v>2.7614216925355997E-2</v>
      </c>
      <c r="D258" s="156">
        <f t="shared" si="382"/>
        <v>2.8227887742265732E-2</v>
      </c>
      <c r="E258" s="156">
        <f t="shared" si="382"/>
        <v>2.8975088496153507E-2</v>
      </c>
      <c r="F258" s="156">
        <f t="shared" si="382"/>
        <v>2.7324020972310601E-2</v>
      </c>
      <c r="G258" s="156">
        <f t="shared" si="382"/>
        <v>2.6150691383847086E-2</v>
      </c>
      <c r="H258" s="156">
        <f t="shared" si="382"/>
        <v>2.1679392066246212E-2</v>
      </c>
      <c r="I258" s="156">
        <f t="shared" si="382"/>
        <v>1.8976224713947238E-2</v>
      </c>
      <c r="J258" s="156">
        <f t="shared" si="382"/>
        <v>1.8794313700060013E-2</v>
      </c>
      <c r="K258" s="156">
        <f t="shared" si="382"/>
        <v>2.0644795094204089E-2</v>
      </c>
      <c r="L258" s="156">
        <f t="shared" ref="L258" si="383">IF(L40=0,0,L40/L$31)</f>
        <v>2.0473370626553189E-2</v>
      </c>
      <c r="M258" s="156">
        <f t="shared" ref="M258:V258" si="384">IF(M40=0,0,M40/M$31)</f>
        <v>2.0217878777439871E-2</v>
      </c>
      <c r="N258" s="156">
        <f t="shared" si="384"/>
        <v>1.9996134017457933E-2</v>
      </c>
      <c r="O258" s="156">
        <f t="shared" si="384"/>
        <v>1.9629723169646323E-2</v>
      </c>
      <c r="P258" s="156">
        <f t="shared" si="384"/>
        <v>1.6955872916684898E-2</v>
      </c>
      <c r="Q258" s="156">
        <f t="shared" si="384"/>
        <v>1.5491990265105718E-2</v>
      </c>
      <c r="R258" s="156">
        <f t="shared" si="384"/>
        <v>1.5029242074291351E-2</v>
      </c>
      <c r="S258" s="156">
        <f t="shared" si="384"/>
        <v>1.4225980915361824E-2</v>
      </c>
      <c r="T258" s="156">
        <f t="shared" si="384"/>
        <v>1.3108360659383211E-2</v>
      </c>
      <c r="U258" s="156">
        <f t="shared" si="384"/>
        <v>1.1773096187604366E-2</v>
      </c>
      <c r="V258" s="156">
        <f t="shared" si="384"/>
        <v>9.9177614207725719E-3</v>
      </c>
      <c r="W258" s="156">
        <f t="shared" ref="W258" si="385">IF(W40=0,0,W40/W$31)</f>
        <v>8.513621828800574E-3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3.0606862824879861E-3</v>
      </c>
      <c r="C259" s="103">
        <f t="shared" si="386"/>
        <v>2.6432090969761967E-3</v>
      </c>
      <c r="D259" s="103">
        <f t="shared" si="386"/>
        <v>2.5841883020472E-3</v>
      </c>
      <c r="E259" s="103">
        <f t="shared" si="386"/>
        <v>2.3892399617140743E-3</v>
      </c>
      <c r="F259" s="103">
        <f t="shared" si="386"/>
        <v>2.1526663413078575E-3</v>
      </c>
      <c r="G259" s="103">
        <f t="shared" si="386"/>
        <v>1.9865329046160748E-3</v>
      </c>
      <c r="H259" s="103">
        <f t="shared" si="386"/>
        <v>1.5616034638565035E-3</v>
      </c>
      <c r="I259" s="103">
        <f t="shared" si="386"/>
        <v>1.2916577290330374E-3</v>
      </c>
      <c r="J259" s="103">
        <f t="shared" si="386"/>
        <v>1.2171645348553863E-3</v>
      </c>
      <c r="K259" s="103">
        <f t="shared" si="386"/>
        <v>1.1880602201615326E-3</v>
      </c>
      <c r="L259" s="103">
        <f t="shared" ref="L259" si="387">IF(L41=0,0,L41/L$31)</f>
        <v>1.0434654096065374E-3</v>
      </c>
      <c r="M259" s="103">
        <f t="shared" ref="M259:V259" si="388">IF(M41=0,0,M41/M$31)</f>
        <v>6.7360427163236445E-4</v>
      </c>
      <c r="N259" s="103">
        <f t="shared" si="388"/>
        <v>5.2791446458533709E-4</v>
      </c>
      <c r="O259" s="103">
        <f t="shared" si="388"/>
        <v>3.8043353495220467E-4</v>
      </c>
      <c r="P259" s="103">
        <f t="shared" si="388"/>
        <v>2.1979981162020568E-4</v>
      </c>
      <c r="Q259" s="103">
        <f t="shared" si="388"/>
        <v>1.6858175812013937E-4</v>
      </c>
      <c r="R259" s="103">
        <f t="shared" si="388"/>
        <v>1.2256523736061179E-4</v>
      </c>
      <c r="S259" s="103">
        <f t="shared" si="388"/>
        <v>1.0486074573759119E-4</v>
      </c>
      <c r="T259" s="103">
        <f t="shared" si="388"/>
        <v>8.5648992956260744E-5</v>
      </c>
      <c r="U259" s="103">
        <f t="shared" si="388"/>
        <v>7.2614792383964412E-5</v>
      </c>
      <c r="V259" s="103">
        <f t="shared" si="388"/>
        <v>5.4159730885061858E-5</v>
      </c>
      <c r="W259" s="103">
        <f t="shared" ref="W259" si="389">IF(W41=0,0,W41/W$31)</f>
        <v>3.6180172513858358E-5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2.7415200076102774E-2</v>
      </c>
      <c r="C260" s="103">
        <f t="shared" si="390"/>
        <v>2.398749092812727E-2</v>
      </c>
      <c r="D260" s="103">
        <f t="shared" si="390"/>
        <v>2.4822477708301347E-2</v>
      </c>
      <c r="E260" s="103">
        <f t="shared" si="390"/>
        <v>2.581045018989922E-2</v>
      </c>
      <c r="F260" s="103">
        <f t="shared" si="390"/>
        <v>2.4441702446987443E-2</v>
      </c>
      <c r="G260" s="103">
        <f t="shared" si="390"/>
        <v>2.3247324096281576E-2</v>
      </c>
      <c r="H260" s="103">
        <f t="shared" si="390"/>
        <v>1.9354867831664672E-2</v>
      </c>
      <c r="I260" s="103">
        <f t="shared" si="390"/>
        <v>1.6890077220562089E-2</v>
      </c>
      <c r="J260" s="103">
        <f t="shared" si="390"/>
        <v>1.668047432181129E-2</v>
      </c>
      <c r="K260" s="103">
        <f t="shared" si="390"/>
        <v>1.8178761433980256E-2</v>
      </c>
      <c r="L260" s="103">
        <f t="shared" ref="L260" si="391">IF(L42=0,0,L42/L$31)</f>
        <v>1.7724755547670654E-2</v>
      </c>
      <c r="M260" s="103">
        <f t="shared" ref="M260:V260" si="392">IF(M42=0,0,M42/M$31)</f>
        <v>1.78408997909715E-2</v>
      </c>
      <c r="N260" s="103">
        <f t="shared" si="392"/>
        <v>1.7804781856820478E-2</v>
      </c>
      <c r="O260" s="103">
        <f t="shared" si="392"/>
        <v>1.7674083274550972E-2</v>
      </c>
      <c r="P260" s="103">
        <f t="shared" si="392"/>
        <v>1.5310978859974608E-2</v>
      </c>
      <c r="Q260" s="103">
        <f t="shared" si="392"/>
        <v>1.3949211751400199E-2</v>
      </c>
      <c r="R260" s="103">
        <f t="shared" si="392"/>
        <v>1.345100375448632E-2</v>
      </c>
      <c r="S260" s="103">
        <f t="shared" si="392"/>
        <v>1.2917808381057383E-2</v>
      </c>
      <c r="T260" s="103">
        <f t="shared" si="392"/>
        <v>1.1876875381403524E-2</v>
      </c>
      <c r="U260" s="103">
        <f t="shared" si="392"/>
        <v>1.0573322465285279E-2</v>
      </c>
      <c r="V260" s="103">
        <f t="shared" si="392"/>
        <v>8.675017840765473E-3</v>
      </c>
      <c r="W260" s="103">
        <f t="shared" ref="W260" si="393">IF(W42=0,0,W42/W$31)</f>
        <v>6.999230097600664E-3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3.6080872109747822E-5</v>
      </c>
      <c r="S261" s="103">
        <f t="shared" si="396"/>
        <v>2.5680938503304247E-5</v>
      </c>
      <c r="T261" s="103">
        <f t="shared" si="396"/>
        <v>1.8473855952021834E-5</v>
      </c>
      <c r="U261" s="103">
        <f t="shared" si="396"/>
        <v>1.1845569358943578E-5</v>
      </c>
      <c r="V261" s="103">
        <f t="shared" si="396"/>
        <v>8.3846033687909446E-6</v>
      </c>
      <c r="W261" s="103">
        <f t="shared" ref="W261" si="397">IF(W43=0,0,W43/W$31)</f>
        <v>6.989661615539313E-6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7.5592994288194355E-4</v>
      </c>
      <c r="C262" s="103">
        <f t="shared" si="398"/>
        <v>8.0125002824190002E-4</v>
      </c>
      <c r="D262" s="103">
        <f t="shared" si="398"/>
        <v>6.4190324879956275E-4</v>
      </c>
      <c r="E262" s="103">
        <f t="shared" si="398"/>
        <v>6.1268522031950187E-4</v>
      </c>
      <c r="F262" s="103">
        <f t="shared" si="398"/>
        <v>5.7745360219690152E-4</v>
      </c>
      <c r="G262" s="103">
        <f t="shared" si="398"/>
        <v>5.6896865897996542E-4</v>
      </c>
      <c r="H262" s="103">
        <f t="shared" si="398"/>
        <v>4.5506309795240488E-4</v>
      </c>
      <c r="I262" s="103">
        <f t="shared" si="398"/>
        <v>3.7783276305475061E-4</v>
      </c>
      <c r="J262" s="103">
        <f t="shared" si="398"/>
        <v>1.4149208885148482E-4</v>
      </c>
      <c r="K262" s="103">
        <f t="shared" si="398"/>
        <v>6.7271784999888904E-6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0</v>
      </c>
      <c r="R262" s="103">
        <f t="shared" si="400"/>
        <v>0</v>
      </c>
      <c r="S262" s="103">
        <f t="shared" si="400"/>
        <v>0</v>
      </c>
      <c r="T262" s="103">
        <f t="shared" si="400"/>
        <v>0</v>
      </c>
      <c r="U262" s="103">
        <f t="shared" si="400"/>
        <v>2.1657076784654365E-5</v>
      </c>
      <c r="V262" s="103">
        <f t="shared" si="400"/>
        <v>9.1246693908624991E-5</v>
      </c>
      <c r="W262" s="103">
        <f t="shared" ref="W262" si="401">IF(W44=0,0,W44/W$31)</f>
        <v>2.11294535254918E-4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8.6155824373450164E-5</v>
      </c>
      <c r="C263" s="103">
        <f t="shared" si="402"/>
        <v>1.8226687201063269E-4</v>
      </c>
      <c r="D263" s="103">
        <f t="shared" si="402"/>
        <v>1.7931848311761797E-4</v>
      </c>
      <c r="E263" s="103">
        <f t="shared" si="402"/>
        <v>1.6271312422071115E-4</v>
      </c>
      <c r="F263" s="103">
        <f t="shared" si="402"/>
        <v>1.5219858181839677E-4</v>
      </c>
      <c r="G263" s="103">
        <f t="shared" si="402"/>
        <v>3.4786572396947008E-4</v>
      </c>
      <c r="H263" s="103">
        <f t="shared" si="402"/>
        <v>3.0785767277263158E-4</v>
      </c>
      <c r="I263" s="103">
        <f t="shared" si="402"/>
        <v>4.1665700129736133E-4</v>
      </c>
      <c r="J263" s="103">
        <f t="shared" si="402"/>
        <v>7.5518275454185063E-4</v>
      </c>
      <c r="K263" s="103">
        <f t="shared" si="402"/>
        <v>1.271246261562313E-3</v>
      </c>
      <c r="L263" s="103">
        <f t="shared" ref="L263" si="403">IF(L45=0,0,L45/L$31)</f>
        <v>1.7051496692759957E-3</v>
      </c>
      <c r="M263" s="103">
        <f t="shared" ref="M263:V263" si="404">IF(M45=0,0,M45/M$31)</f>
        <v>1.7033747148360043E-3</v>
      </c>
      <c r="N263" s="103">
        <f t="shared" si="404"/>
        <v>1.663437696052119E-3</v>
      </c>
      <c r="O263" s="103">
        <f t="shared" si="404"/>
        <v>1.5752063601431466E-3</v>
      </c>
      <c r="P263" s="103">
        <f t="shared" si="404"/>
        <v>1.4250942450900815E-3</v>
      </c>
      <c r="Q263" s="103">
        <f t="shared" si="404"/>
        <v>1.3741967555853788E-3</v>
      </c>
      <c r="R263" s="103">
        <f t="shared" si="404"/>
        <v>1.4195922103346712E-3</v>
      </c>
      <c r="S263" s="103">
        <f t="shared" si="404"/>
        <v>1.1776308500635461E-3</v>
      </c>
      <c r="T263" s="103">
        <f t="shared" si="404"/>
        <v>1.127362429071403E-3</v>
      </c>
      <c r="U263" s="103">
        <f t="shared" si="404"/>
        <v>1.0936562837915251E-3</v>
      </c>
      <c r="V263" s="103">
        <f t="shared" si="404"/>
        <v>1.0889525518446197E-3</v>
      </c>
      <c r="W263" s="103">
        <f t="shared" ref="W263" si="405">IF(W45=0,0,W45/W$31)</f>
        <v>1.2599273618155939E-3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0.51938757175503725</v>
      </c>
      <c r="C265" s="154">
        <f t="shared" si="410"/>
        <v>0.50841325686098837</v>
      </c>
      <c r="D265" s="154">
        <f t="shared" si="410"/>
        <v>0.52591232556131795</v>
      </c>
      <c r="E265" s="154">
        <f t="shared" si="410"/>
        <v>0.478217836852115</v>
      </c>
      <c r="F265" s="154">
        <f t="shared" si="410"/>
        <v>0.54696268941452275</v>
      </c>
      <c r="G265" s="154">
        <f t="shared" si="410"/>
        <v>0.5068210429185428</v>
      </c>
      <c r="H265" s="154">
        <f t="shared" si="410"/>
        <v>0.52060831623974146</v>
      </c>
      <c r="I265" s="154">
        <f t="shared" si="410"/>
        <v>0.50380101190110294</v>
      </c>
      <c r="J265" s="154">
        <f t="shared" si="410"/>
        <v>0.52194055706461329</v>
      </c>
      <c r="K265" s="154">
        <f t="shared" si="410"/>
        <v>0.52836396013190856</v>
      </c>
      <c r="L265" s="154">
        <f t="shared" ref="L265" si="411">IF(L47=0,0,L47/L$46)</f>
        <v>0.51574769301651757</v>
      </c>
      <c r="M265" s="154">
        <f t="shared" ref="M265:V265" si="412">IF(M47=0,0,M47/M$46)</f>
        <v>0.55994459850282663</v>
      </c>
      <c r="N265" s="154">
        <f t="shared" si="412"/>
        <v>0.60991351303197028</v>
      </c>
      <c r="O265" s="154">
        <f t="shared" si="412"/>
        <v>0.62523598118995893</v>
      </c>
      <c r="P265" s="154">
        <f t="shared" si="412"/>
        <v>0.64847076021473304</v>
      </c>
      <c r="Q265" s="154">
        <f t="shared" si="412"/>
        <v>0.64711232594386736</v>
      </c>
      <c r="R265" s="154">
        <f t="shared" si="412"/>
        <v>0.64397474005137123</v>
      </c>
      <c r="S265" s="154">
        <f t="shared" si="412"/>
        <v>0.63532046313736823</v>
      </c>
      <c r="T265" s="154">
        <f t="shared" si="412"/>
        <v>0.6296811805476209</v>
      </c>
      <c r="U265" s="154">
        <f t="shared" si="412"/>
        <v>0.64156668356345625</v>
      </c>
      <c r="V265" s="154">
        <f t="shared" si="412"/>
        <v>0.63412808713688662</v>
      </c>
      <c r="W265" s="154">
        <f t="shared" ref="W265" si="413">IF(W47=0,0,W47/W$46)</f>
        <v>0.6247079758037678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0.21566936526341232</v>
      </c>
      <c r="C266" s="103">
        <f t="shared" si="414"/>
        <v>0.18659531637073817</v>
      </c>
      <c r="D266" s="103">
        <f t="shared" si="414"/>
        <v>0.14430239789821003</v>
      </c>
      <c r="E266" s="103">
        <f t="shared" si="414"/>
        <v>0.14000943081056624</v>
      </c>
      <c r="F266" s="103">
        <f t="shared" si="414"/>
        <v>0.12159939431858804</v>
      </c>
      <c r="G266" s="103">
        <f t="shared" si="414"/>
        <v>0.11928908448631548</v>
      </c>
      <c r="H266" s="103">
        <f t="shared" si="414"/>
        <v>0.11363723829683062</v>
      </c>
      <c r="I266" s="103">
        <f t="shared" si="414"/>
        <v>9.6264319445482749E-2</v>
      </c>
      <c r="J266" s="103">
        <f t="shared" si="414"/>
        <v>8.2250325358339926E-2</v>
      </c>
      <c r="K266" s="103">
        <f t="shared" si="414"/>
        <v>7.0980992573947937E-2</v>
      </c>
      <c r="L266" s="103">
        <f t="shared" ref="L266" si="415">IF(L48=0,0,L48/L$46)</f>
        <v>3.7523729643456252E-2</v>
      </c>
      <c r="M266" s="103">
        <f t="shared" ref="M266:V266" si="416">IF(M48=0,0,M48/M$46)</f>
        <v>3.5492183140724602E-2</v>
      </c>
      <c r="N266" s="103">
        <f t="shared" si="416"/>
        <v>3.5460002402425271E-2</v>
      </c>
      <c r="O266" s="103">
        <f t="shared" si="416"/>
        <v>2.7273391226278938E-2</v>
      </c>
      <c r="P266" s="103">
        <f t="shared" si="416"/>
        <v>1.9645448907578744E-2</v>
      </c>
      <c r="Q266" s="103">
        <f t="shared" si="416"/>
        <v>1.776510378146683E-2</v>
      </c>
      <c r="R266" s="103">
        <f t="shared" si="416"/>
        <v>1.5073792055916449E-2</v>
      </c>
      <c r="S266" s="103">
        <f t="shared" si="416"/>
        <v>1.3426714393405953E-2</v>
      </c>
      <c r="T266" s="103">
        <f t="shared" si="416"/>
        <v>1.2242006885837854E-2</v>
      </c>
      <c r="U266" s="103">
        <f t="shared" si="416"/>
        <v>1.1070435798498111E-2</v>
      </c>
      <c r="V266" s="103">
        <f t="shared" si="416"/>
        <v>1.039224328496605E-2</v>
      </c>
      <c r="W266" s="103">
        <f t="shared" ref="W266" si="417">IF(W48=0,0,W48/W$46)</f>
        <v>9.6965959903506267E-3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0.30371820649162501</v>
      </c>
      <c r="C267" s="103">
        <f t="shared" si="418"/>
        <v>0.32181794049025025</v>
      </c>
      <c r="D267" s="103">
        <f t="shared" si="418"/>
        <v>0.38160992766310792</v>
      </c>
      <c r="E267" s="103">
        <f t="shared" si="418"/>
        <v>0.33820840604154873</v>
      </c>
      <c r="F267" s="103">
        <f t="shared" si="418"/>
        <v>0.42536329509593462</v>
      </c>
      <c r="G267" s="103">
        <f t="shared" si="418"/>
        <v>0.38753195843222726</v>
      </c>
      <c r="H267" s="103">
        <f t="shared" si="418"/>
        <v>0.40697107794291082</v>
      </c>
      <c r="I267" s="103">
        <f t="shared" si="418"/>
        <v>0.40753669245562024</v>
      </c>
      <c r="J267" s="103">
        <f t="shared" si="418"/>
        <v>0.43969023170627342</v>
      </c>
      <c r="K267" s="103">
        <f t="shared" si="418"/>
        <v>0.45738296755796065</v>
      </c>
      <c r="L267" s="103">
        <f t="shared" ref="L267" si="419">IF(L49=0,0,L49/L$46)</f>
        <v>0.47822396337306133</v>
      </c>
      <c r="M267" s="103">
        <f t="shared" ref="M267:V267" si="420">IF(M49=0,0,M49/M$46)</f>
        <v>0.52443321129031972</v>
      </c>
      <c r="N267" s="103">
        <f t="shared" si="420"/>
        <v>0.57422046279064298</v>
      </c>
      <c r="O267" s="103">
        <f t="shared" si="420"/>
        <v>0.59777133023542484</v>
      </c>
      <c r="P267" s="103">
        <f t="shared" si="420"/>
        <v>0.62854097253604002</v>
      </c>
      <c r="Q267" s="103">
        <f t="shared" si="420"/>
        <v>0.62905842767906273</v>
      </c>
      <c r="R267" s="103">
        <f t="shared" si="420"/>
        <v>0.62733424479582434</v>
      </c>
      <c r="S267" s="103">
        <f t="shared" si="420"/>
        <v>0.61927693166406339</v>
      </c>
      <c r="T267" s="103">
        <f t="shared" si="420"/>
        <v>0.61420380767360261</v>
      </c>
      <c r="U267" s="103">
        <f t="shared" si="420"/>
        <v>0.62657265255389594</v>
      </c>
      <c r="V267" s="103">
        <f t="shared" si="420"/>
        <v>0.61959092900719004</v>
      </c>
      <c r="W267" s="103">
        <f t="shared" ref="W267" si="421">IF(W49=0,0,W49/W$46)</f>
        <v>0.6107512596241832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2.1387416582114362E-4</v>
      </c>
      <c r="O268" s="103">
        <f t="shared" si="424"/>
        <v>1.7432554622227026E-4</v>
      </c>
      <c r="P268" s="103">
        <f t="shared" si="424"/>
        <v>2.3628117597875766E-4</v>
      </c>
      <c r="Q268" s="103">
        <f t="shared" si="424"/>
        <v>2.3560400175420414E-4</v>
      </c>
      <c r="R268" s="103">
        <f t="shared" si="424"/>
        <v>1.483669484723461E-3</v>
      </c>
      <c r="S268" s="103">
        <f t="shared" si="424"/>
        <v>2.5312633665747846E-3</v>
      </c>
      <c r="T268" s="103">
        <f t="shared" si="424"/>
        <v>3.1523191183951732E-3</v>
      </c>
      <c r="U268" s="103">
        <f t="shared" si="424"/>
        <v>3.8278386327185426E-3</v>
      </c>
      <c r="V268" s="103">
        <f t="shared" si="424"/>
        <v>4.0411447132010659E-3</v>
      </c>
      <c r="W268" s="103">
        <f t="shared" ref="W268" si="425">IF(W50=0,0,W50/W$46)</f>
        <v>4.0167579972286522E-3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0</v>
      </c>
      <c r="S269" s="103">
        <f t="shared" si="428"/>
        <v>0</v>
      </c>
      <c r="T269" s="103">
        <f t="shared" si="428"/>
        <v>0</v>
      </c>
      <c r="U269" s="103">
        <f t="shared" si="428"/>
        <v>0</v>
      </c>
      <c r="V269" s="103">
        <f t="shared" si="428"/>
        <v>0</v>
      </c>
      <c r="W269" s="103">
        <f t="shared" ref="W269" si="429">IF(W51=0,0,W51/W$46)</f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1.9204071782362072E-5</v>
      </c>
      <c r="N270" s="103">
        <f t="shared" si="432"/>
        <v>1.9173673080844984E-5</v>
      </c>
      <c r="O270" s="103">
        <f t="shared" si="432"/>
        <v>1.6934182032884145E-5</v>
      </c>
      <c r="P270" s="103">
        <f t="shared" si="432"/>
        <v>4.8057595135536647E-5</v>
      </c>
      <c r="Q270" s="103">
        <f t="shared" si="432"/>
        <v>5.3190481583559168E-5</v>
      </c>
      <c r="R270" s="103">
        <f t="shared" si="432"/>
        <v>8.3033714906999271E-5</v>
      </c>
      <c r="S270" s="103">
        <f t="shared" si="432"/>
        <v>8.5553713324187315E-5</v>
      </c>
      <c r="T270" s="103">
        <f t="shared" si="432"/>
        <v>8.3046869785313398E-5</v>
      </c>
      <c r="U270" s="103">
        <f t="shared" si="432"/>
        <v>9.5756578343642748E-5</v>
      </c>
      <c r="V270" s="103">
        <f t="shared" si="432"/>
        <v>1.0377013152946003E-4</v>
      </c>
      <c r="W270" s="103">
        <f t="shared" ref="W270" si="433">IF(W52=0,0,W52/W$46)</f>
        <v>2.4336219200538856E-4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0.4806124282449627</v>
      </c>
      <c r="C271" s="156">
        <f t="shared" si="434"/>
        <v>0.49158674313901152</v>
      </c>
      <c r="D271" s="156">
        <f t="shared" si="434"/>
        <v>0.47408767443868211</v>
      </c>
      <c r="E271" s="156">
        <f t="shared" si="434"/>
        <v>0.52178216314788495</v>
      </c>
      <c r="F271" s="156">
        <f t="shared" si="434"/>
        <v>0.45303731058547719</v>
      </c>
      <c r="G271" s="156">
        <f t="shared" si="434"/>
        <v>0.49317895708145715</v>
      </c>
      <c r="H271" s="156">
        <f t="shared" si="434"/>
        <v>0.47939168376025848</v>
      </c>
      <c r="I271" s="156">
        <f t="shared" si="434"/>
        <v>0.49619898809889712</v>
      </c>
      <c r="J271" s="156">
        <f t="shared" si="434"/>
        <v>0.4780594429353866</v>
      </c>
      <c r="K271" s="156">
        <f t="shared" si="434"/>
        <v>0.47163603986809138</v>
      </c>
      <c r="L271" s="156">
        <f t="shared" ref="L271" si="435">IF(L53=0,0,L53/L$46)</f>
        <v>0.48425230698348237</v>
      </c>
      <c r="M271" s="156">
        <f t="shared" ref="M271:V271" si="436">IF(M53=0,0,M53/M$46)</f>
        <v>0.44005540149717326</v>
      </c>
      <c r="N271" s="156">
        <f t="shared" si="436"/>
        <v>0.39008648696802961</v>
      </c>
      <c r="O271" s="156">
        <f t="shared" si="436"/>
        <v>0.37476401881004112</v>
      </c>
      <c r="P271" s="156">
        <f t="shared" si="436"/>
        <v>0.35152923978526701</v>
      </c>
      <c r="Q271" s="156">
        <f t="shared" si="436"/>
        <v>0.35288767405613264</v>
      </c>
      <c r="R271" s="156">
        <f t="shared" si="436"/>
        <v>0.35602525994862871</v>
      </c>
      <c r="S271" s="156">
        <f t="shared" si="436"/>
        <v>0.36467953686263183</v>
      </c>
      <c r="T271" s="156">
        <f t="shared" si="436"/>
        <v>0.37031881945237899</v>
      </c>
      <c r="U271" s="156">
        <f t="shared" si="436"/>
        <v>0.35843331643654369</v>
      </c>
      <c r="V271" s="156">
        <f t="shared" si="436"/>
        <v>0.36587191286311349</v>
      </c>
      <c r="W271" s="156">
        <f t="shared" ref="W271" si="437">IF(W53=0,0,W53/W$46)</f>
        <v>0.37529202419623225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0.40589049455218534</v>
      </c>
      <c r="C272" s="104">
        <f t="shared" si="438"/>
        <v>0.42357153931291341</v>
      </c>
      <c r="D272" s="104">
        <f t="shared" si="438"/>
        <v>0.41539840734390732</v>
      </c>
      <c r="E272" s="104">
        <f t="shared" si="438"/>
        <v>0.46303458886000592</v>
      </c>
      <c r="F272" s="104">
        <f t="shared" si="438"/>
        <v>0.39114217518739497</v>
      </c>
      <c r="G272" s="104">
        <f t="shared" si="438"/>
        <v>0.43043240087333173</v>
      </c>
      <c r="H272" s="104">
        <f t="shared" si="438"/>
        <v>0.40749650839424606</v>
      </c>
      <c r="I272" s="104">
        <f t="shared" si="438"/>
        <v>0.42441925099644229</v>
      </c>
      <c r="J272" s="104">
        <f t="shared" si="438"/>
        <v>0.40627696053376444</v>
      </c>
      <c r="K272" s="104">
        <f t="shared" si="438"/>
        <v>0.41068301757963338</v>
      </c>
      <c r="L272" s="104">
        <f t="shared" ref="L272" si="439">IF(L54=0,0,L54/L$46)</f>
        <v>0.40802526627925667</v>
      </c>
      <c r="M272" s="104">
        <f t="shared" ref="M272:V272" si="440">IF(M54=0,0,M54/M$46)</f>
        <v>0.34775565658950958</v>
      </c>
      <c r="N272" s="104">
        <f t="shared" si="440"/>
        <v>0.28782340072706059</v>
      </c>
      <c r="O272" s="104">
        <f t="shared" si="440"/>
        <v>0.27105562957615065</v>
      </c>
      <c r="P272" s="104">
        <f t="shared" si="440"/>
        <v>0.25234478756751211</v>
      </c>
      <c r="Q272" s="104">
        <f t="shared" si="440"/>
        <v>0.24234669350449542</v>
      </c>
      <c r="R272" s="104">
        <f t="shared" si="440"/>
        <v>0.24538247093248303</v>
      </c>
      <c r="S272" s="104">
        <f t="shared" si="440"/>
        <v>0.26162024174631526</v>
      </c>
      <c r="T272" s="104">
        <f t="shared" si="440"/>
        <v>0.26165847090130562</v>
      </c>
      <c r="U272" s="104">
        <f t="shared" si="440"/>
        <v>0.26007425290088104</v>
      </c>
      <c r="V272" s="104">
        <f t="shared" si="440"/>
        <v>0.25164992113418638</v>
      </c>
      <c r="W272" s="104">
        <f t="shared" ref="W272" si="441">IF(W54=0,0,W54/W$46)</f>
        <v>0.27092024968492379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7.4721933692777354E-2</v>
      </c>
      <c r="C273" s="105">
        <f t="shared" si="442"/>
        <v>6.8015203826098117E-2</v>
      </c>
      <c r="D273" s="105">
        <f t="shared" si="442"/>
        <v>5.8689267094774775E-2</v>
      </c>
      <c r="E273" s="105">
        <f t="shared" si="442"/>
        <v>5.8747574287879072E-2</v>
      </c>
      <c r="F273" s="105">
        <f t="shared" si="442"/>
        <v>6.1895135398082203E-2</v>
      </c>
      <c r="G273" s="105">
        <f t="shared" si="442"/>
        <v>6.2746556208125456E-2</v>
      </c>
      <c r="H273" s="105">
        <f t="shared" si="442"/>
        <v>7.1895175366012476E-2</v>
      </c>
      <c r="I273" s="105">
        <f t="shared" si="442"/>
        <v>7.1779737102454819E-2</v>
      </c>
      <c r="J273" s="105">
        <f t="shared" si="442"/>
        <v>7.1782482401622133E-2</v>
      </c>
      <c r="K273" s="105">
        <f t="shared" si="442"/>
        <v>6.0953022288457982E-2</v>
      </c>
      <c r="L273" s="105">
        <f t="shared" ref="L273" si="443">IF(L55=0,0,L55/L$46)</f>
        <v>7.6227040704225729E-2</v>
      </c>
      <c r="M273" s="105">
        <f t="shared" ref="M273:V273" si="444">IF(M55=0,0,M55/M$46)</f>
        <v>9.2299744907663683E-2</v>
      </c>
      <c r="N273" s="105">
        <f t="shared" si="444"/>
        <v>0.10226308624096903</v>
      </c>
      <c r="O273" s="105">
        <f t="shared" si="444"/>
        <v>0.10370838923389049</v>
      </c>
      <c r="P273" s="105">
        <f t="shared" si="444"/>
        <v>9.9184452217754931E-2</v>
      </c>
      <c r="Q273" s="105">
        <f t="shared" si="444"/>
        <v>0.11054098055163725</v>
      </c>
      <c r="R273" s="105">
        <f t="shared" si="444"/>
        <v>0.11064278901614569</v>
      </c>
      <c r="S273" s="105">
        <f t="shared" si="444"/>
        <v>0.1030592951163166</v>
      </c>
      <c r="T273" s="105">
        <f t="shared" si="444"/>
        <v>0.10866034855107339</v>
      </c>
      <c r="U273" s="105">
        <f t="shared" si="444"/>
        <v>9.8359063535662677E-2</v>
      </c>
      <c r="V273" s="105">
        <f t="shared" si="444"/>
        <v>0.11422199172892715</v>
      </c>
      <c r="W273" s="105">
        <f t="shared" ref="W273" si="445">IF(W55=0,0,W55/W$46)</f>
        <v>0.10437177451130851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643.24676192509344</v>
      </c>
      <c r="C4" s="145">
        <f t="shared" si="0"/>
        <v>768.65371607656027</v>
      </c>
      <c r="D4" s="145">
        <f t="shared" si="0"/>
        <v>789.93309366848541</v>
      </c>
      <c r="E4" s="145">
        <f t="shared" si="0"/>
        <v>826.35488948837667</v>
      </c>
      <c r="F4" s="145">
        <f t="shared" si="0"/>
        <v>869.19553513839435</v>
      </c>
      <c r="G4" s="145">
        <f t="shared" si="0"/>
        <v>912.72151399470022</v>
      </c>
      <c r="H4" s="145">
        <f t="shared" si="0"/>
        <v>1026.1966744421795</v>
      </c>
      <c r="I4" s="145">
        <f t="shared" si="0"/>
        <v>1161.3739657549916</v>
      </c>
      <c r="J4" s="145">
        <f t="shared" si="0"/>
        <v>1090.9946302184399</v>
      </c>
      <c r="K4" s="145">
        <f t="shared" si="0"/>
        <v>953.62816764482659</v>
      </c>
      <c r="L4" s="145">
        <f t="shared" ref="L4" si="1">L5+L9+L10+L15</f>
        <v>1004.8909592695799</v>
      </c>
      <c r="M4" s="145">
        <f t="shared" ref="M4:V4" si="2">M5+M9+M10+M15</f>
        <v>876.36458156564709</v>
      </c>
      <c r="N4" s="145">
        <f t="shared" si="2"/>
        <v>835.57694128675178</v>
      </c>
      <c r="O4" s="145">
        <f t="shared" si="2"/>
        <v>850.67909003062948</v>
      </c>
      <c r="P4" s="145">
        <f t="shared" si="2"/>
        <v>900.41898688282515</v>
      </c>
      <c r="Q4" s="145">
        <f t="shared" si="2"/>
        <v>961.9479767609804</v>
      </c>
      <c r="R4" s="145">
        <f t="shared" si="2"/>
        <v>967.42359226711767</v>
      </c>
      <c r="S4" s="145">
        <f t="shared" si="2"/>
        <v>1016.6960978490953</v>
      </c>
      <c r="T4" s="145">
        <f t="shared" si="2"/>
        <v>1042.8234519846719</v>
      </c>
      <c r="U4" s="145">
        <f t="shared" si="2"/>
        <v>1047.389249187077</v>
      </c>
      <c r="V4" s="145">
        <f t="shared" si="2"/>
        <v>1012.0632406201253</v>
      </c>
      <c r="W4" s="145">
        <f t="shared" ref="W4" si="3">W5+W9+W10+W15</f>
        <v>1045.7067038721418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641.48177128116936</v>
      </c>
      <c r="C5" s="97">
        <f t="shared" si="4"/>
        <v>765.90739466895957</v>
      </c>
      <c r="D5" s="97">
        <f t="shared" si="4"/>
        <v>787.98177128116936</v>
      </c>
      <c r="E5" s="97">
        <f t="shared" si="4"/>
        <v>824.41865864144461</v>
      </c>
      <c r="F5" s="97">
        <f t="shared" si="4"/>
        <v>867.25898538263118</v>
      </c>
      <c r="G5" s="97">
        <f t="shared" si="4"/>
        <v>907.67867583834914</v>
      </c>
      <c r="H5" s="97">
        <f t="shared" si="4"/>
        <v>1020.7311263972485</v>
      </c>
      <c r="I5" s="97">
        <f t="shared" si="4"/>
        <v>1156.7985382631125</v>
      </c>
      <c r="J5" s="97">
        <f t="shared" si="4"/>
        <v>1086.297162510748</v>
      </c>
      <c r="K5" s="97">
        <f t="shared" si="4"/>
        <v>945.97472055030084</v>
      </c>
      <c r="L5" s="97">
        <f t="shared" ref="L5" si="5">SUM(L6:L8)</f>
        <v>973.58409286328447</v>
      </c>
      <c r="M5" s="97">
        <f t="shared" ref="M5:V5" si="6">SUM(M6:M8)</f>
        <v>849.3560619088563</v>
      </c>
      <c r="N5" s="97">
        <f t="shared" si="6"/>
        <v>813.55012897678409</v>
      </c>
      <c r="O5" s="97">
        <f t="shared" si="6"/>
        <v>828.832072226999</v>
      </c>
      <c r="P5" s="97">
        <f t="shared" si="6"/>
        <v>875.81109200343928</v>
      </c>
      <c r="Q5" s="97">
        <f t="shared" si="6"/>
        <v>936.73998280309536</v>
      </c>
      <c r="R5" s="97">
        <f t="shared" si="6"/>
        <v>953.67007738607049</v>
      </c>
      <c r="S5" s="97">
        <f t="shared" si="6"/>
        <v>1004.1018916595012</v>
      </c>
      <c r="T5" s="97">
        <f t="shared" si="6"/>
        <v>1002.7052450558898</v>
      </c>
      <c r="U5" s="97">
        <f t="shared" si="6"/>
        <v>1009.3014617368874</v>
      </c>
      <c r="V5" s="97">
        <f t="shared" si="6"/>
        <v>963.09819432502138</v>
      </c>
      <c r="W5" s="97">
        <f t="shared" ref="W5" si="7">SUM(W6:W8)</f>
        <v>993.10223559759231</v>
      </c>
      <c r="DA5" s="175"/>
    </row>
    <row r="6" spans="1:105" ht="11.45" customHeight="1" x14ac:dyDescent="0.25">
      <c r="A6" s="128" t="s">
        <v>52</v>
      </c>
      <c r="B6" s="97">
        <v>20.666380051590711</v>
      </c>
      <c r="C6" s="97">
        <v>20.666380051590711</v>
      </c>
      <c r="D6" s="97">
        <v>20.666380051590711</v>
      </c>
      <c r="E6" s="97">
        <v>22.841788478073941</v>
      </c>
      <c r="F6" s="97">
        <v>25.017196904557181</v>
      </c>
      <c r="G6" s="97">
        <v>26.1049011177988</v>
      </c>
      <c r="H6" s="97">
        <v>28.28030954428203</v>
      </c>
      <c r="I6" s="97">
        <v>26.1049011177988</v>
      </c>
      <c r="J6" s="97">
        <v>22.841788478073941</v>
      </c>
      <c r="K6" s="97">
        <v>20.666380051590711</v>
      </c>
      <c r="L6" s="97">
        <v>23.929492691315559</v>
      </c>
      <c r="M6" s="97">
        <v>28.28030954428203</v>
      </c>
      <c r="N6" s="97">
        <v>44.595872742906273</v>
      </c>
      <c r="O6" s="97">
        <v>56.560619088564053</v>
      </c>
      <c r="P6" s="97">
        <v>63.086844368013757</v>
      </c>
      <c r="Q6" s="97">
        <v>64.174548581255365</v>
      </c>
      <c r="R6" s="97">
        <v>61.999140154772142</v>
      </c>
      <c r="S6" s="97">
        <v>58.28357695614789</v>
      </c>
      <c r="T6" s="97">
        <v>55.224935511607903</v>
      </c>
      <c r="U6" s="97">
        <v>48.432244196044707</v>
      </c>
      <c r="V6" s="97">
        <v>43.771367153912287</v>
      </c>
      <c r="W6" s="97">
        <v>39.479277730008597</v>
      </c>
      <c r="DA6" s="175" t="s">
        <v>629</v>
      </c>
    </row>
    <row r="7" spans="1:105" ht="11.45" customHeight="1" x14ac:dyDescent="0.25">
      <c r="A7" s="128" t="s">
        <v>53</v>
      </c>
      <c r="B7" s="97">
        <v>346.80421324161648</v>
      </c>
      <c r="C7" s="97">
        <v>364.66990541702489</v>
      </c>
      <c r="D7" s="97">
        <v>357.31349957007728</v>
      </c>
      <c r="E7" s="97">
        <v>357.06981943250207</v>
      </c>
      <c r="F7" s="97">
        <v>359.17024935511603</v>
      </c>
      <c r="G7" s="97">
        <v>351.81883061049012</v>
      </c>
      <c r="H7" s="97">
        <v>389.62622527944973</v>
      </c>
      <c r="I7" s="97">
        <v>426.38340498710232</v>
      </c>
      <c r="J7" s="97">
        <v>388.57601031814272</v>
      </c>
      <c r="K7" s="97">
        <v>324.51349957007739</v>
      </c>
      <c r="L7" s="97">
        <v>294.05752364574369</v>
      </c>
      <c r="M7" s="97">
        <v>273.05339638865001</v>
      </c>
      <c r="N7" s="97">
        <v>232.09535683576951</v>
      </c>
      <c r="O7" s="97">
        <v>210.0411006018916</v>
      </c>
      <c r="P7" s="97">
        <v>205.8402407566638</v>
      </c>
      <c r="Q7" s="97">
        <v>204.7900257953568</v>
      </c>
      <c r="R7" s="97">
        <v>199.53903697334479</v>
      </c>
      <c r="S7" s="97">
        <v>191.78013757523641</v>
      </c>
      <c r="T7" s="97">
        <v>183.9024935511608</v>
      </c>
      <c r="U7" s="97">
        <v>174.52312983662941</v>
      </c>
      <c r="V7" s="97">
        <v>167.54978503869299</v>
      </c>
      <c r="W7" s="97">
        <v>165.83370593293199</v>
      </c>
      <c r="DA7" s="175" t="s">
        <v>630</v>
      </c>
    </row>
    <row r="8" spans="1:105" ht="11.45" customHeight="1" x14ac:dyDescent="0.25">
      <c r="A8" s="128" t="s">
        <v>54</v>
      </c>
      <c r="B8" s="97">
        <v>274.01117798796213</v>
      </c>
      <c r="C8" s="97">
        <v>380.57110920034393</v>
      </c>
      <c r="D8" s="97">
        <v>410.00189165950133</v>
      </c>
      <c r="E8" s="97">
        <v>444.50705073086851</v>
      </c>
      <c r="F8" s="97">
        <v>483.07153912295792</v>
      </c>
      <c r="G8" s="97">
        <v>529.75494411006014</v>
      </c>
      <c r="H8" s="97">
        <v>602.82459157351673</v>
      </c>
      <c r="I8" s="97">
        <v>704.31023215821142</v>
      </c>
      <c r="J8" s="97">
        <v>674.87936371453134</v>
      </c>
      <c r="K8" s="97">
        <v>600.79484092863277</v>
      </c>
      <c r="L8" s="97">
        <v>655.59707652622524</v>
      </c>
      <c r="M8" s="97">
        <v>548.02235597592426</v>
      </c>
      <c r="N8" s="97">
        <v>536.85889939810829</v>
      </c>
      <c r="O8" s="97">
        <v>562.23035253654336</v>
      </c>
      <c r="P8" s="97">
        <v>606.88400687876174</v>
      </c>
      <c r="Q8" s="97">
        <v>667.77540842648318</v>
      </c>
      <c r="R8" s="97">
        <v>692.13190025795348</v>
      </c>
      <c r="S8" s="97">
        <v>754.0381771281169</v>
      </c>
      <c r="T8" s="97">
        <v>763.57781599312113</v>
      </c>
      <c r="U8" s="97">
        <v>786.34608770421323</v>
      </c>
      <c r="V8" s="97">
        <v>751.77704213241611</v>
      </c>
      <c r="W8" s="97">
        <v>787.7892519346517</v>
      </c>
      <c r="DA8" s="175" t="s">
        <v>631</v>
      </c>
    </row>
    <row r="9" spans="1:105" ht="11.45" customHeight="1" x14ac:dyDescent="0.25">
      <c r="A9" s="92" t="s">
        <v>55</v>
      </c>
      <c r="B9" s="97">
        <v>1.612209802235598</v>
      </c>
      <c r="C9" s="97">
        <v>2.407566638005159</v>
      </c>
      <c r="D9" s="97">
        <v>1.612209802235598</v>
      </c>
      <c r="E9" s="97">
        <v>1.612209802235598</v>
      </c>
      <c r="F9" s="97">
        <v>1.612209802235598</v>
      </c>
      <c r="G9" s="97">
        <v>1.612209802235598</v>
      </c>
      <c r="H9" s="97">
        <v>1.612209802235598</v>
      </c>
      <c r="I9" s="97">
        <v>1.590713671539123</v>
      </c>
      <c r="J9" s="97">
        <v>0.7953568357695614</v>
      </c>
      <c r="K9" s="97">
        <v>8.5984522785898534E-2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5.5546001719690451E-2</v>
      </c>
      <c r="U9" s="97">
        <v>0.18503869303525369</v>
      </c>
      <c r="V9" s="97">
        <v>0.53447979363714526</v>
      </c>
      <c r="W9" s="97">
        <v>1.307910576096303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2.6655202063628551</v>
      </c>
      <c r="H10" s="97">
        <f t="shared" si="8"/>
        <v>3.0572656921754078</v>
      </c>
      <c r="I10" s="97">
        <f t="shared" si="8"/>
        <v>1.7770421324161649</v>
      </c>
      <c r="J10" s="97">
        <f t="shared" si="8"/>
        <v>1.7770421324161649</v>
      </c>
      <c r="K10" s="97">
        <f t="shared" si="8"/>
        <v>4.3374892519346524</v>
      </c>
      <c r="L10" s="97">
        <f t="shared" si="8"/>
        <v>26.980051590713671</v>
      </c>
      <c r="M10" s="97">
        <f t="shared" si="8"/>
        <v>22.785898538263112</v>
      </c>
      <c r="N10" s="97">
        <f t="shared" si="8"/>
        <v>17.951590713671543</v>
      </c>
      <c r="O10" s="97">
        <f t="shared" si="8"/>
        <v>17.951590713671543</v>
      </c>
      <c r="P10" s="97">
        <f t="shared" si="8"/>
        <v>20.617110920034392</v>
      </c>
      <c r="Q10" s="97">
        <f t="shared" si="8"/>
        <v>21.008856405846942</v>
      </c>
      <c r="R10" s="97">
        <f t="shared" si="8"/>
        <v>9.2098882201203782</v>
      </c>
      <c r="S10" s="97">
        <f t="shared" si="8"/>
        <v>8.5745485812553728</v>
      </c>
      <c r="T10" s="97">
        <f t="shared" si="8"/>
        <v>35.960533104041268</v>
      </c>
      <c r="U10" s="97">
        <f t="shared" si="8"/>
        <v>33.604127257093722</v>
      </c>
      <c r="V10" s="97">
        <f t="shared" si="8"/>
        <v>44.094325021496132</v>
      </c>
      <c r="W10" s="97">
        <f t="shared" si="8"/>
        <v>45.844282029234733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1.2802235597592431</v>
      </c>
      <c r="I12" s="97">
        <v>0</v>
      </c>
      <c r="J12" s="97">
        <v>0</v>
      </c>
      <c r="K12" s="97">
        <v>2.560447119518487</v>
      </c>
      <c r="L12" s="97">
        <v>8.3214101461736885</v>
      </c>
      <c r="M12" s="97">
        <v>7.6812553740326726</v>
      </c>
      <c r="N12" s="97">
        <v>6.4010318142734306</v>
      </c>
      <c r="O12" s="97">
        <v>6.4010318142734306</v>
      </c>
      <c r="P12" s="97">
        <v>6.4010318142734306</v>
      </c>
      <c r="Q12" s="97">
        <v>7.6812553740326726</v>
      </c>
      <c r="R12" s="97">
        <v>8.3214101461736885</v>
      </c>
      <c r="S12" s="97">
        <v>7.9116938950988818</v>
      </c>
      <c r="T12" s="97">
        <v>8.4602751504729152</v>
      </c>
      <c r="U12" s="97">
        <v>7.3067927773000854</v>
      </c>
      <c r="V12" s="97">
        <v>12.75030094582975</v>
      </c>
      <c r="W12" s="97">
        <v>11.72416165090284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2.6655202063628551</v>
      </c>
      <c r="H13" s="97">
        <v>1.7770421324161649</v>
      </c>
      <c r="I13" s="97">
        <v>1.7770421324161649</v>
      </c>
      <c r="J13" s="97">
        <v>1.7770421324161649</v>
      </c>
      <c r="K13" s="97">
        <v>1.7770421324161649</v>
      </c>
      <c r="L13" s="97">
        <v>18.658641444539981</v>
      </c>
      <c r="M13" s="97">
        <v>15.10464316423044</v>
      </c>
      <c r="N13" s="97">
        <v>11.55055889939811</v>
      </c>
      <c r="O13" s="97">
        <v>11.55055889939811</v>
      </c>
      <c r="P13" s="97">
        <v>14.21607910576096</v>
      </c>
      <c r="Q13" s="97">
        <v>13.32760103181427</v>
      </c>
      <c r="R13" s="97">
        <v>0.88847807394668954</v>
      </c>
      <c r="S13" s="97">
        <v>0.66285468615649179</v>
      </c>
      <c r="T13" s="97">
        <v>27.500257953568351</v>
      </c>
      <c r="U13" s="97">
        <v>26.297334479793641</v>
      </c>
      <c r="V13" s="97">
        <v>31.344024075666379</v>
      </c>
      <c r="W13" s="97">
        <v>34.120120378331897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0.15278084168842507</v>
      </c>
      <c r="C15" s="98">
        <v>0.33875476959553025</v>
      </c>
      <c r="D15" s="98">
        <v>0.33911258508045122</v>
      </c>
      <c r="E15" s="98">
        <v>0.3240210446964944</v>
      </c>
      <c r="F15" s="98">
        <v>0.32433995352761097</v>
      </c>
      <c r="G15" s="98">
        <v>0.76510814775261782</v>
      </c>
      <c r="H15" s="98">
        <v>0.79607255052003179</v>
      </c>
      <c r="I15" s="98">
        <v>1.2076716879236671</v>
      </c>
      <c r="J15" s="98">
        <v>2.1250687395061276</v>
      </c>
      <c r="K15" s="98">
        <v>3.2299733198051377</v>
      </c>
      <c r="L15" s="98">
        <v>4.3268148155817769</v>
      </c>
      <c r="M15" s="98">
        <v>4.2226211185276652</v>
      </c>
      <c r="N15" s="98">
        <v>4.0752215962961111</v>
      </c>
      <c r="O15" s="98">
        <v>3.8954270899589685</v>
      </c>
      <c r="P15" s="98">
        <v>3.9907839593514418</v>
      </c>
      <c r="Q15" s="98">
        <v>4.1991375520381036</v>
      </c>
      <c r="R15" s="98">
        <v>4.5436266609267442</v>
      </c>
      <c r="S15" s="98">
        <v>4.0196576083386715</v>
      </c>
      <c r="T15" s="98">
        <v>4.1021278230211013</v>
      </c>
      <c r="U15" s="98">
        <v>4.2986215000605217</v>
      </c>
      <c r="V15" s="98">
        <v>4.3362414799705524</v>
      </c>
      <c r="W15" s="98">
        <v>5.4522756692184036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643.24676192509332</v>
      </c>
      <c r="C17" s="79">
        <f t="shared" si="9"/>
        <v>768.65371607656016</v>
      </c>
      <c r="D17" s="79">
        <f t="shared" si="9"/>
        <v>789.9330936684853</v>
      </c>
      <c r="E17" s="79">
        <f t="shared" si="9"/>
        <v>826.35488948837667</v>
      </c>
      <c r="F17" s="79">
        <f t="shared" si="9"/>
        <v>869.19553513839435</v>
      </c>
      <c r="G17" s="79">
        <f t="shared" si="9"/>
        <v>912.72151399470022</v>
      </c>
      <c r="H17" s="79">
        <f t="shared" si="9"/>
        <v>1026.1966744421793</v>
      </c>
      <c r="I17" s="79">
        <f t="shared" si="9"/>
        <v>1161.3739657549913</v>
      </c>
      <c r="J17" s="79">
        <f t="shared" si="9"/>
        <v>1090.9946302184399</v>
      </c>
      <c r="K17" s="79">
        <f t="shared" si="9"/>
        <v>953.62816764482659</v>
      </c>
      <c r="L17" s="79">
        <f t="shared" ref="L17" si="10">L18+L42</f>
        <v>1004.89095926958</v>
      </c>
      <c r="M17" s="79">
        <f t="shared" ref="M17:V17" si="11">M18+M42</f>
        <v>876.36458156564709</v>
      </c>
      <c r="N17" s="79">
        <f t="shared" si="11"/>
        <v>835.57694128675166</v>
      </c>
      <c r="O17" s="79">
        <f t="shared" si="11"/>
        <v>850.6790900306296</v>
      </c>
      <c r="P17" s="79">
        <f t="shared" si="11"/>
        <v>900.41898688282504</v>
      </c>
      <c r="Q17" s="79">
        <f t="shared" si="11"/>
        <v>961.94797676098028</v>
      </c>
      <c r="R17" s="79">
        <f t="shared" si="11"/>
        <v>967.42359226711733</v>
      </c>
      <c r="S17" s="79">
        <f t="shared" si="11"/>
        <v>1016.6960978490952</v>
      </c>
      <c r="T17" s="79">
        <f t="shared" si="11"/>
        <v>1042.8234519846719</v>
      </c>
      <c r="U17" s="79">
        <f t="shared" si="11"/>
        <v>1047.3892491870768</v>
      </c>
      <c r="V17" s="79">
        <f t="shared" si="11"/>
        <v>1012.0632406201254</v>
      </c>
      <c r="W17" s="79">
        <f t="shared" ref="W17" si="12">W18+W42</f>
        <v>1045.706703872142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467.35797721011932</v>
      </c>
      <c r="C18" s="32">
        <f t="shared" si="13"/>
        <v>508.32672804944849</v>
      </c>
      <c r="D18" s="32">
        <f t="shared" si="13"/>
        <v>510.77311667129703</v>
      </c>
      <c r="E18" s="32">
        <f t="shared" si="13"/>
        <v>533.80475329935507</v>
      </c>
      <c r="F18" s="32">
        <f t="shared" si="13"/>
        <v>557.09019801241539</v>
      </c>
      <c r="G18" s="32">
        <f t="shared" si="13"/>
        <v>570.36125074942186</v>
      </c>
      <c r="H18" s="32">
        <f t="shared" si="13"/>
        <v>645.19676073775418</v>
      </c>
      <c r="I18" s="32">
        <f t="shared" si="13"/>
        <v>708.21473976458935</v>
      </c>
      <c r="J18" s="32">
        <f t="shared" si="13"/>
        <v>676.80586626207366</v>
      </c>
      <c r="K18" s="32">
        <f t="shared" si="13"/>
        <v>612.71665392678085</v>
      </c>
      <c r="L18" s="32">
        <f t="shared" ref="L18" si="14">L19+L21+L33</f>
        <v>616.41657689287877</v>
      </c>
      <c r="M18" s="32">
        <f t="shared" ref="M18:V18" si="15">M19+M21+M33</f>
        <v>584.49449829874652</v>
      </c>
      <c r="N18" s="32">
        <f t="shared" si="15"/>
        <v>565.95707708784334</v>
      </c>
      <c r="O18" s="32">
        <f t="shared" si="15"/>
        <v>568.96610197838822</v>
      </c>
      <c r="P18" s="32">
        <f t="shared" si="15"/>
        <v>618.63094208581674</v>
      </c>
      <c r="Q18" s="32">
        <f t="shared" si="15"/>
        <v>659.30860904760527</v>
      </c>
      <c r="R18" s="32">
        <f t="shared" si="15"/>
        <v>677.38226077591071</v>
      </c>
      <c r="S18" s="32">
        <f t="shared" si="15"/>
        <v>699.9902364428566</v>
      </c>
      <c r="T18" s="32">
        <f t="shared" si="15"/>
        <v>716.27792606803916</v>
      </c>
      <c r="U18" s="32">
        <f t="shared" si="15"/>
        <v>736.64678450107169</v>
      </c>
      <c r="V18" s="32">
        <f t="shared" si="15"/>
        <v>701.72938726050359</v>
      </c>
      <c r="W18" s="32">
        <f t="shared" ref="W18" si="16">W19+W21+W33</f>
        <v>705.46127289655249</v>
      </c>
      <c r="DA18" s="173" t="s">
        <v>390</v>
      </c>
    </row>
    <row r="19" spans="1:105" ht="11.45" customHeight="1" x14ac:dyDescent="0.25">
      <c r="A19" s="107" t="s">
        <v>181</v>
      </c>
      <c r="B19" s="129">
        <v>2.8861602953090064</v>
      </c>
      <c r="C19" s="129">
        <v>2.8949703485462788</v>
      </c>
      <c r="D19" s="129">
        <v>2.8743546965070244</v>
      </c>
      <c r="E19" s="129">
        <v>2.8530400028162637</v>
      </c>
      <c r="F19" s="129">
        <v>2.8147186164833227</v>
      </c>
      <c r="G19" s="129">
        <v>2.7728418199973923</v>
      </c>
      <c r="H19" s="129">
        <v>2.6926702619985168</v>
      </c>
      <c r="I19" s="129">
        <v>2.5411758872974541</v>
      </c>
      <c r="J19" s="129">
        <v>2.3957011614168842</v>
      </c>
      <c r="K19" s="129">
        <v>2.3010816723774234</v>
      </c>
      <c r="L19" s="129">
        <v>2.2969050718183786</v>
      </c>
      <c r="M19" s="129">
        <v>2.231458968225061</v>
      </c>
      <c r="N19" s="129">
        <v>2.000571951688987</v>
      </c>
      <c r="O19" s="129">
        <v>2.041681397877456</v>
      </c>
      <c r="P19" s="129">
        <v>2.4002944443196439</v>
      </c>
      <c r="Q19" s="129">
        <v>2.9772164748282486</v>
      </c>
      <c r="R19" s="129">
        <v>2.8997861773682816</v>
      </c>
      <c r="S19" s="129">
        <v>2.6861228429964199</v>
      </c>
      <c r="T19" s="129">
        <v>2.5242395147248886</v>
      </c>
      <c r="U19" s="129">
        <v>2.6323773872329999</v>
      </c>
      <c r="V19" s="129">
        <v>2.3488399964799935</v>
      </c>
      <c r="W19" s="129">
        <v>2.2314347156710217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8.8185291348097852E-3</v>
      </c>
      <c r="I20" s="97">
        <v>0</v>
      </c>
      <c r="J20" s="97">
        <v>0</v>
      </c>
      <c r="K20" s="97">
        <v>1.8013657154438749E-2</v>
      </c>
      <c r="L20" s="97">
        <v>6.3210386152694906E-2</v>
      </c>
      <c r="M20" s="97">
        <v>6.1055541537144077E-2</v>
      </c>
      <c r="N20" s="97">
        <v>5.3693579101924023E-2</v>
      </c>
      <c r="O20" s="97">
        <v>6.0380423333178147E-2</v>
      </c>
      <c r="P20" s="97">
        <v>7.2391014789918329E-2</v>
      </c>
      <c r="Q20" s="97">
        <v>0.10763224056008457</v>
      </c>
      <c r="R20" s="97">
        <v>0.1160889936131613</v>
      </c>
      <c r="S20" s="97">
        <v>0.10642288941887655</v>
      </c>
      <c r="T20" s="97">
        <v>0.11101816107353323</v>
      </c>
      <c r="U20" s="97">
        <v>0.10578146766856002</v>
      </c>
      <c r="V20" s="97">
        <v>0.16610317552090589</v>
      </c>
      <c r="W20" s="97">
        <v>0.14734183100960646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383.71069031582084</v>
      </c>
      <c r="C21" s="130">
        <f t="shared" si="17"/>
        <v>416.31168588257799</v>
      </c>
      <c r="D21" s="130">
        <f t="shared" si="17"/>
        <v>420.57658124768864</v>
      </c>
      <c r="E21" s="130">
        <f t="shared" si="17"/>
        <v>438.43516743045865</v>
      </c>
      <c r="F21" s="130">
        <f t="shared" si="17"/>
        <v>460.89225935431591</v>
      </c>
      <c r="G21" s="130">
        <f t="shared" si="17"/>
        <v>474.322832301885</v>
      </c>
      <c r="H21" s="130">
        <f t="shared" si="17"/>
        <v>550.44112246825637</v>
      </c>
      <c r="I21" s="130">
        <f t="shared" si="17"/>
        <v>613.89373887019565</v>
      </c>
      <c r="J21" s="130">
        <f t="shared" si="17"/>
        <v>588.54321705578593</v>
      </c>
      <c r="K21" s="130">
        <f t="shared" si="17"/>
        <v>529.65194693094077</v>
      </c>
      <c r="L21" s="130">
        <f t="shared" ref="L21" si="18">L22+L24+L26+L27+L29+L32</f>
        <v>527.73447399622012</v>
      </c>
      <c r="M21" s="130">
        <f t="shared" ref="M21:V21" si="19">M22+M24+M26+M27+M29+M32</f>
        <v>504.44844795047067</v>
      </c>
      <c r="N21" s="130">
        <f t="shared" si="19"/>
        <v>488.43471971588633</v>
      </c>
      <c r="O21" s="130">
        <f t="shared" si="19"/>
        <v>492.28717096437572</v>
      </c>
      <c r="P21" s="130">
        <f t="shared" si="19"/>
        <v>544.40014983321635</v>
      </c>
      <c r="Q21" s="130">
        <f t="shared" si="19"/>
        <v>584.69919556932246</v>
      </c>
      <c r="R21" s="130">
        <f t="shared" si="19"/>
        <v>602.83824619932113</v>
      </c>
      <c r="S21" s="130">
        <f t="shared" si="19"/>
        <v>624.25736671397522</v>
      </c>
      <c r="T21" s="130">
        <f t="shared" si="19"/>
        <v>642.50587723195588</v>
      </c>
      <c r="U21" s="130">
        <f t="shared" si="19"/>
        <v>666.40981679349829</v>
      </c>
      <c r="V21" s="130">
        <f t="shared" si="19"/>
        <v>644.71661705092788</v>
      </c>
      <c r="W21" s="130">
        <f t="shared" ref="W21" si="20">W22+W24+W26+W27+W29+W32</f>
        <v>654.04133625227234</v>
      </c>
      <c r="DA21" s="176" t="s">
        <v>392</v>
      </c>
    </row>
    <row r="22" spans="1:105" ht="11.45" customHeight="1" x14ac:dyDescent="0.25">
      <c r="A22" s="111" t="s">
        <v>110</v>
      </c>
      <c r="B22" s="96">
        <v>327.06360847525309</v>
      </c>
      <c r="C22" s="96">
        <v>345.01925138752375</v>
      </c>
      <c r="D22" s="96">
        <v>338.56971927668042</v>
      </c>
      <c r="E22" s="96">
        <v>338.68931908628446</v>
      </c>
      <c r="F22" s="96">
        <v>341.37001939194312</v>
      </c>
      <c r="G22" s="96">
        <v>334.28141530133581</v>
      </c>
      <c r="H22" s="96">
        <v>373.62995114276447</v>
      </c>
      <c r="I22" s="96">
        <v>409.99491265670969</v>
      </c>
      <c r="J22" s="96">
        <v>374.57260747338881</v>
      </c>
      <c r="K22" s="96">
        <v>315.35078513866813</v>
      </c>
      <c r="L22" s="96">
        <v>295.1786269042542</v>
      </c>
      <c r="M22" s="96">
        <v>274.50407279083947</v>
      </c>
      <c r="N22" s="96">
        <v>232.72858733530694</v>
      </c>
      <c r="O22" s="96">
        <v>211.24804315924172</v>
      </c>
      <c r="P22" s="96">
        <v>207.51679728584219</v>
      </c>
      <c r="Q22" s="96">
        <v>207.33295690572038</v>
      </c>
      <c r="R22" s="96">
        <v>203.15814375831479</v>
      </c>
      <c r="S22" s="96">
        <v>195.31668575444556</v>
      </c>
      <c r="T22" s="96">
        <v>188.23817886937883</v>
      </c>
      <c r="U22" s="96">
        <v>177.72397786123568</v>
      </c>
      <c r="V22" s="96">
        <v>176.52252613369419</v>
      </c>
      <c r="W22" s="96">
        <v>173.93445960650661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1.2236428114835547</v>
      </c>
      <c r="I23" s="96">
        <v>0</v>
      </c>
      <c r="J23" s="96">
        <v>0</v>
      </c>
      <c r="K23" s="96">
        <v>2.4686741870408979</v>
      </c>
      <c r="L23" s="96">
        <v>8.1232590843943768</v>
      </c>
      <c r="M23" s="96">
        <v>7.5107788478528459</v>
      </c>
      <c r="N23" s="96">
        <v>6.2462291360315918</v>
      </c>
      <c r="O23" s="96">
        <v>6.2474224859573741</v>
      </c>
      <c r="P23" s="96">
        <v>6.2585453118164951</v>
      </c>
      <c r="Q23" s="96">
        <v>7.4954948296117792</v>
      </c>
      <c r="R23" s="96">
        <v>8.1331598299516354</v>
      </c>
      <c r="S23" s="96">
        <v>7.7383527353944341</v>
      </c>
      <c r="T23" s="96">
        <v>8.2788722464741511</v>
      </c>
      <c r="U23" s="96">
        <v>7.1417963507951008</v>
      </c>
      <c r="V23" s="96">
        <v>12.48316283174653</v>
      </c>
      <c r="W23" s="96">
        <v>11.484907702703055</v>
      </c>
      <c r="DA23" s="171" t="s">
        <v>641</v>
      </c>
    </row>
    <row r="24" spans="1:105" ht="11.45" customHeight="1" x14ac:dyDescent="0.25">
      <c r="A24" s="111" t="s">
        <v>111</v>
      </c>
      <c r="B24" s="96">
        <v>35.889479109782116</v>
      </c>
      <c r="C24" s="96">
        <v>50.541868682027314</v>
      </c>
      <c r="D24" s="96">
        <v>61.264370214127126</v>
      </c>
      <c r="E24" s="96">
        <v>76.833734709896817</v>
      </c>
      <c r="F24" s="96">
        <v>94.44176935452839</v>
      </c>
      <c r="G24" s="96">
        <v>113.87412302450232</v>
      </c>
      <c r="H24" s="96">
        <v>148.48212658619317</v>
      </c>
      <c r="I24" s="96">
        <v>177.74899423893362</v>
      </c>
      <c r="J24" s="96">
        <v>191.08949593245094</v>
      </c>
      <c r="K24" s="96">
        <v>193.5987988411506</v>
      </c>
      <c r="L24" s="96">
        <v>208.62635440065034</v>
      </c>
      <c r="M24" s="96">
        <v>201.66406561534916</v>
      </c>
      <c r="N24" s="96">
        <v>211.12736183800229</v>
      </c>
      <c r="O24" s="96">
        <v>224.49208551613788</v>
      </c>
      <c r="P24" s="96">
        <v>273.7902554074314</v>
      </c>
      <c r="Q24" s="96">
        <v>313.1775413009309</v>
      </c>
      <c r="R24" s="96">
        <v>337.98456345586169</v>
      </c>
      <c r="S24" s="96">
        <v>371.04400149783601</v>
      </c>
      <c r="T24" s="96">
        <v>399.384212623309</v>
      </c>
      <c r="U24" s="96">
        <v>440.5475367961389</v>
      </c>
      <c r="V24" s="96">
        <v>424.59074464236664</v>
      </c>
      <c r="W24" s="96">
        <v>440.5547698571126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0.57010163253842805</v>
      </c>
      <c r="H25" s="96">
        <v>0.43641793231202508</v>
      </c>
      <c r="I25" s="96">
        <v>0.44734902222182132</v>
      </c>
      <c r="J25" s="96">
        <v>0.50184123345303966</v>
      </c>
      <c r="K25" s="96">
        <v>0.57094137977067061</v>
      </c>
      <c r="L25" s="96">
        <v>5.7733056448652054</v>
      </c>
      <c r="M25" s="96">
        <v>5.4091950036472651</v>
      </c>
      <c r="N25" s="96">
        <v>4.4467486679659824</v>
      </c>
      <c r="O25" s="96">
        <v>4.5191622874201487</v>
      </c>
      <c r="P25" s="96">
        <v>6.2666613917608345</v>
      </c>
      <c r="Q25" s="96">
        <v>6.1281557482809843</v>
      </c>
      <c r="R25" s="96">
        <v>0.43330886558600062</v>
      </c>
      <c r="S25" s="96">
        <v>0.32588832503891829</v>
      </c>
      <c r="T25" s="96">
        <v>13.883798870734392</v>
      </c>
      <c r="U25" s="96">
        <v>14.256223102429814</v>
      </c>
      <c r="V25" s="96">
        <v>16.994029527025006</v>
      </c>
      <c r="W25" s="96">
        <v>18.288855544342031</v>
      </c>
      <c r="DA25" s="171" t="s">
        <v>643</v>
      </c>
    </row>
    <row r="26" spans="1:105" ht="11.45" customHeight="1" x14ac:dyDescent="0.25">
      <c r="A26" s="111" t="s">
        <v>112</v>
      </c>
      <c r="B26" s="96">
        <v>20.666380051590711</v>
      </c>
      <c r="C26" s="96">
        <v>20.666380051590711</v>
      </c>
      <c r="D26" s="96">
        <v>20.666380051590711</v>
      </c>
      <c r="E26" s="96">
        <v>22.841788478073941</v>
      </c>
      <c r="F26" s="96">
        <v>25.017196904557181</v>
      </c>
      <c r="G26" s="96">
        <v>26.1049011177988</v>
      </c>
      <c r="H26" s="96">
        <v>28.28030954428203</v>
      </c>
      <c r="I26" s="96">
        <v>26.1049011177988</v>
      </c>
      <c r="J26" s="96">
        <v>22.841788478073941</v>
      </c>
      <c r="K26" s="96">
        <v>20.666380051590711</v>
      </c>
      <c r="L26" s="96">
        <v>23.929492691315559</v>
      </c>
      <c r="M26" s="96">
        <v>28.28030954428203</v>
      </c>
      <c r="N26" s="96">
        <v>44.576031660525956</v>
      </c>
      <c r="O26" s="96">
        <v>56.542305465476545</v>
      </c>
      <c r="P26" s="96">
        <v>63.061891558190844</v>
      </c>
      <c r="Q26" s="96">
        <v>64.1480029160642</v>
      </c>
      <c r="R26" s="96">
        <v>61.648060543227949</v>
      </c>
      <c r="S26" s="96">
        <v>57.828232460250661</v>
      </c>
      <c r="T26" s="96">
        <v>54.718015460533429</v>
      </c>
      <c r="U26" s="96">
        <v>47.87252936437649</v>
      </c>
      <c r="V26" s="96">
        <v>43.174714327076572</v>
      </c>
      <c r="W26" s="96">
        <v>38.863731611501741</v>
      </c>
      <c r="DA26" s="171" t="s">
        <v>644</v>
      </c>
    </row>
    <row r="27" spans="1:105" ht="11.45" customHeight="1" x14ac:dyDescent="0.25">
      <c r="A27" s="111" t="s">
        <v>113</v>
      </c>
      <c r="B27" s="96">
        <v>9.1222679194961437E-2</v>
      </c>
      <c r="C27" s="96">
        <v>8.4185761436226289E-2</v>
      </c>
      <c r="D27" s="96">
        <v>7.6111705290446613E-2</v>
      </c>
      <c r="E27" s="96">
        <v>7.0325156203429606E-2</v>
      </c>
      <c r="F27" s="96">
        <v>6.3273703287242633E-2</v>
      </c>
      <c r="G27" s="96">
        <v>6.2392858248028878E-2</v>
      </c>
      <c r="H27" s="96">
        <v>4.8735195016727344E-2</v>
      </c>
      <c r="I27" s="96">
        <v>4.493085675362251E-2</v>
      </c>
      <c r="J27" s="96">
        <v>3.932517187230896E-2</v>
      </c>
      <c r="K27" s="96">
        <v>3.5982899531316545E-2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5.5546001719690451E-2</v>
      </c>
      <c r="U27" s="96">
        <v>9.4289674090805617E-2</v>
      </c>
      <c r="V27" s="96">
        <v>0.10432436091024144</v>
      </c>
      <c r="W27" s="96">
        <v>0.11488361385314715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8.4213368181578309E-4</v>
      </c>
      <c r="O29" s="96">
        <v>1.8421898822882799E-3</v>
      </c>
      <c r="P29" s="96">
        <v>3.0987938034898353E-3</v>
      </c>
      <c r="Q29" s="96">
        <v>7.628970885072188E-3</v>
      </c>
      <c r="R29" s="96">
        <v>8.2493726953833425E-3</v>
      </c>
      <c r="S29" s="96">
        <v>1.6776233921824518E-2</v>
      </c>
      <c r="T29" s="96">
        <v>3.1734782311830079E-2</v>
      </c>
      <c r="U29" s="96">
        <v>4.5065642890589099E-2</v>
      </c>
      <c r="V29" s="96">
        <v>8.1119582260955114E-2</v>
      </c>
      <c r="W29" s="96">
        <v>0.13730653219301758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1.4442374362267717E-5</v>
      </c>
      <c r="O30" s="96">
        <v>3.6336559349480354E-5</v>
      </c>
      <c r="P30" s="96">
        <v>6.2261417084372714E-5</v>
      </c>
      <c r="Q30" s="96">
        <v>1.7539692359317308E-4</v>
      </c>
      <c r="R30" s="96">
        <v>2.0367164613530406E-4</v>
      </c>
      <c r="S30" s="96">
        <v>4.1552423850583142E-4</v>
      </c>
      <c r="T30" s="96">
        <v>8.7094209168424796E-4</v>
      </c>
      <c r="U30" s="96">
        <v>1.1154467212453616E-3</v>
      </c>
      <c r="V30" s="96">
        <v>3.4649372035770953E-3</v>
      </c>
      <c r="W30" s="96">
        <v>5.019160743505835E-3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3.0402447866322989E-4</v>
      </c>
      <c r="O31" s="96">
        <v>6.1351884635767954E-4</v>
      </c>
      <c r="P31" s="96">
        <v>1.0343700078463346E-3</v>
      </c>
      <c r="Q31" s="96">
        <v>2.7773148400205496E-3</v>
      </c>
      <c r="R31" s="96">
        <v>3.1618600397646242E-3</v>
      </c>
      <c r="S31" s="96">
        <v>6.2883665564113841E-3</v>
      </c>
      <c r="T31" s="96">
        <v>1.1932018317114254E-2</v>
      </c>
      <c r="U31" s="96">
        <v>1.7307692557837283E-2</v>
      </c>
      <c r="V31" s="96">
        <v>3.2122426947515034E-2</v>
      </c>
      <c r="W31" s="96">
        <v>6.1293295151990994E-2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1.8967483693249521E-3</v>
      </c>
      <c r="O32" s="96">
        <v>2.8946336373313168E-3</v>
      </c>
      <c r="P32" s="96">
        <v>2.8106787948440282E-2</v>
      </c>
      <c r="Q32" s="96">
        <v>3.3065475721870477E-2</v>
      </c>
      <c r="R32" s="96">
        <v>3.9229069221392562E-2</v>
      </c>
      <c r="S32" s="96">
        <v>5.1670767521178239E-2</v>
      </c>
      <c r="T32" s="96">
        <v>7.8189494703137546E-2</v>
      </c>
      <c r="U32" s="96">
        <v>0.12641745476587399</v>
      </c>
      <c r="V32" s="96">
        <v>0.24318800461922538</v>
      </c>
      <c r="W32" s="96">
        <v>0.43618503110508172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80.761126598989421</v>
      </c>
      <c r="C33" s="130">
        <f t="shared" si="21"/>
        <v>89.12007181832422</v>
      </c>
      <c r="D33" s="130">
        <f t="shared" si="21"/>
        <v>87.322180727101397</v>
      </c>
      <c r="E33" s="130">
        <f t="shared" si="21"/>
        <v>92.516545866080094</v>
      </c>
      <c r="F33" s="130">
        <f t="shared" si="21"/>
        <v>93.383220041616113</v>
      </c>
      <c r="G33" s="130">
        <f t="shared" si="21"/>
        <v>93.26557662753946</v>
      </c>
      <c r="H33" s="130">
        <f t="shared" si="21"/>
        <v>92.062968007499279</v>
      </c>
      <c r="I33" s="130">
        <f t="shared" si="21"/>
        <v>91.779825007096306</v>
      </c>
      <c r="J33" s="130">
        <f t="shared" si="21"/>
        <v>85.866948044870824</v>
      </c>
      <c r="K33" s="130">
        <f t="shared" si="21"/>
        <v>80.763625323462676</v>
      </c>
      <c r="L33" s="130">
        <f t="shared" ref="L33" si="22">L34+L36+L38+L39+L41</f>
        <v>86.385197824840276</v>
      </c>
      <c r="M33" s="130">
        <f t="shared" ref="M33:V33" si="23">M34+M36+M38+M39+M41</f>
        <v>77.814591380050786</v>
      </c>
      <c r="N33" s="130">
        <f t="shared" si="23"/>
        <v>75.521785420268017</v>
      </c>
      <c r="O33" s="130">
        <f t="shared" si="23"/>
        <v>74.637249616135023</v>
      </c>
      <c r="P33" s="130">
        <f t="shared" si="23"/>
        <v>71.830497808280739</v>
      </c>
      <c r="Q33" s="130">
        <f t="shared" si="23"/>
        <v>71.632197003454664</v>
      </c>
      <c r="R33" s="130">
        <f t="shared" si="23"/>
        <v>71.64422839922139</v>
      </c>
      <c r="S33" s="130">
        <f t="shared" si="23"/>
        <v>73.046746885885014</v>
      </c>
      <c r="T33" s="130">
        <f t="shared" si="23"/>
        <v>71.247809321358417</v>
      </c>
      <c r="U33" s="130">
        <f t="shared" si="23"/>
        <v>67.604590320340463</v>
      </c>
      <c r="V33" s="130">
        <f t="shared" si="23"/>
        <v>54.663930213095639</v>
      </c>
      <c r="W33" s="130">
        <f t="shared" ref="W33" si="24">W34+W36+W38+W39+W41</f>
        <v>49.188501928609057</v>
      </c>
      <c r="DA33" s="176" t="s">
        <v>393</v>
      </c>
    </row>
    <row r="34" spans="1:105" ht="11.45" customHeight="1" x14ac:dyDescent="0.25">
      <c r="A34" s="111" t="s">
        <v>110</v>
      </c>
      <c r="B34" s="97">
        <v>3.0285890895886984</v>
      </c>
      <c r="C34" s="97">
        <v>2.8649067588409229</v>
      </c>
      <c r="D34" s="97">
        <v>2.8340550426274147</v>
      </c>
      <c r="E34" s="97">
        <v>2.7473115245318076</v>
      </c>
      <c r="F34" s="97">
        <v>2.6397744335048401</v>
      </c>
      <c r="G34" s="97">
        <v>2.5291941390343102</v>
      </c>
      <c r="H34" s="97">
        <v>2.327951274080243</v>
      </c>
      <c r="I34" s="97">
        <v>2.1449054355742088</v>
      </c>
      <c r="J34" s="97">
        <v>1.9506267228315806</v>
      </c>
      <c r="K34" s="97">
        <v>1.7060041164594728</v>
      </c>
      <c r="L34" s="97">
        <v>1.4820892981411113</v>
      </c>
      <c r="M34" s="97">
        <v>0.9138392981636515</v>
      </c>
      <c r="N34" s="97">
        <v>0.69980809829860069</v>
      </c>
      <c r="O34" s="97">
        <v>0.49755966543509828</v>
      </c>
      <c r="P34" s="97">
        <v>0.31985486102263438</v>
      </c>
      <c r="Q34" s="97">
        <v>0.26307999223930661</v>
      </c>
      <c r="R34" s="97">
        <v>0.19651166135507409</v>
      </c>
      <c r="S34" s="97">
        <v>0.17741242094465526</v>
      </c>
      <c r="T34" s="97">
        <v>0.15193399001128102</v>
      </c>
      <c r="U34" s="97">
        <v>0.13655254286712926</v>
      </c>
      <c r="V34" s="97">
        <v>9.8372769786689851E-2</v>
      </c>
      <c r="W34" s="97">
        <v>6.9301267231694552E-2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7.6240698404925937E-3</v>
      </c>
      <c r="I35" s="97">
        <v>0</v>
      </c>
      <c r="J35" s="97">
        <v>0</v>
      </c>
      <c r="K35" s="97">
        <v>1.3355185792345741E-2</v>
      </c>
      <c r="L35" s="97">
        <v>4.0786812653998951E-2</v>
      </c>
      <c r="M35" s="97">
        <v>2.5003799765892915E-2</v>
      </c>
      <c r="N35" s="97">
        <v>1.8782229477145269E-2</v>
      </c>
      <c r="O35" s="97">
        <v>1.4714765616084107E-2</v>
      </c>
      <c r="P35" s="97">
        <v>9.6465739983329028E-3</v>
      </c>
      <c r="Q35" s="97">
        <v>9.510859976307141E-3</v>
      </c>
      <c r="R35" s="97">
        <v>7.8670769513995136E-3</v>
      </c>
      <c r="S35" s="97">
        <v>7.0289944128789014E-3</v>
      </c>
      <c r="T35" s="97">
        <v>6.6821837140344943E-3</v>
      </c>
      <c r="U35" s="97">
        <v>5.487331895652826E-3</v>
      </c>
      <c r="V35" s="97">
        <v>6.956637945046756E-3</v>
      </c>
      <c r="W35" s="97">
        <v>4.5759687852366072E-3</v>
      </c>
      <c r="DA35" s="175" t="s">
        <v>652</v>
      </c>
    </row>
    <row r="36" spans="1:105" ht="11.45" customHeight="1" x14ac:dyDescent="0.25">
      <c r="A36" s="111" t="s">
        <v>111</v>
      </c>
      <c r="B36" s="97">
        <v>76.058769544671662</v>
      </c>
      <c r="C36" s="97">
        <v>83.593029413318845</v>
      </c>
      <c r="D36" s="97">
        <v>82.612915002448375</v>
      </c>
      <c r="E36" s="97">
        <v>87.903328650819617</v>
      </c>
      <c r="F36" s="97">
        <v>88.8701695556353</v>
      </c>
      <c r="G36" s="97">
        <v>88.421457396764964</v>
      </c>
      <c r="H36" s="97">
        <v>87.375469575680128</v>
      </c>
      <c r="I36" s="97">
        <v>86.881465068812943</v>
      </c>
      <c r="J36" s="97">
        <v>81.035220918635858</v>
      </c>
      <c r="K36" s="97">
        <v>75.777646263943481</v>
      </c>
      <c r="L36" s="97">
        <v>80.576293711117387</v>
      </c>
      <c r="M36" s="97">
        <v>72.67849322790164</v>
      </c>
      <c r="N36" s="97">
        <v>70.749318863150364</v>
      </c>
      <c r="O36" s="97">
        <v>70.248133432184886</v>
      </c>
      <c r="P36" s="97">
        <v>67.550117195634755</v>
      </c>
      <c r="Q36" s="97">
        <v>67.207110937289258</v>
      </c>
      <c r="R36" s="97">
        <v>66.800994581803579</v>
      </c>
      <c r="S36" s="97">
        <v>68.798741969531719</v>
      </c>
      <c r="T36" s="97">
        <v>67.001701163565798</v>
      </c>
      <c r="U36" s="97">
        <v>63.167562880690042</v>
      </c>
      <c r="V36" s="97">
        <v>50.039986389563047</v>
      </c>
      <c r="W36" s="97">
        <v>42.949536871795011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0.44267491045771823</v>
      </c>
      <c r="H37" s="97">
        <v>0.25681354816045837</v>
      </c>
      <c r="I37" s="97">
        <v>0.21865855620813202</v>
      </c>
      <c r="J37" s="97">
        <v>0.21281554499114522</v>
      </c>
      <c r="K37" s="97">
        <v>0.22347552863284367</v>
      </c>
      <c r="L37" s="97">
        <v>2.2297833495731183</v>
      </c>
      <c r="M37" s="97">
        <v>1.9494407258000606</v>
      </c>
      <c r="N37" s="97">
        <v>1.4901168502053743</v>
      </c>
      <c r="O37" s="97">
        <v>1.4141376727758517</v>
      </c>
      <c r="P37" s="97">
        <v>1.5461240971080739</v>
      </c>
      <c r="Q37" s="97">
        <v>1.3150867763533423</v>
      </c>
      <c r="R37" s="97">
        <v>8.5641376299240221E-2</v>
      </c>
      <c r="S37" s="97">
        <v>6.0426005257401223E-2</v>
      </c>
      <c r="T37" s="97">
        <v>2.329181058114032</v>
      </c>
      <c r="U37" s="97">
        <v>2.044117363163461</v>
      </c>
      <c r="V37" s="97">
        <v>2.0028251132804145</v>
      </c>
      <c r="W37" s="97">
        <v>1.7829743979378894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0.14741922900575752</v>
      </c>
      <c r="S38" s="97">
        <v>0.11113975450541014</v>
      </c>
      <c r="T38" s="97">
        <v>8.4443318417273372E-2</v>
      </c>
      <c r="U38" s="97">
        <v>5.7665520073299302E-2</v>
      </c>
      <c r="V38" s="97">
        <v>3.9800601597522842E-2</v>
      </c>
      <c r="W38" s="97">
        <v>3.4853702600198086E-2</v>
      </c>
      <c r="DA38" s="175" t="s">
        <v>655</v>
      </c>
    </row>
    <row r="39" spans="1:105" ht="11.45" customHeight="1" x14ac:dyDescent="0.25">
      <c r="A39" s="111" t="s">
        <v>113</v>
      </c>
      <c r="B39" s="97">
        <v>1.5209871230406364</v>
      </c>
      <c r="C39" s="97">
        <v>2.3233808765689328</v>
      </c>
      <c r="D39" s="97">
        <v>1.5360980969451514</v>
      </c>
      <c r="E39" s="97">
        <v>1.5418846460321682</v>
      </c>
      <c r="F39" s="97">
        <v>1.5489360989483554</v>
      </c>
      <c r="G39" s="97">
        <v>1.5498169439875691</v>
      </c>
      <c r="H39" s="97">
        <v>1.5634746072188705</v>
      </c>
      <c r="I39" s="97">
        <v>1.5457828147855006</v>
      </c>
      <c r="J39" s="97">
        <v>0.7560316638972524</v>
      </c>
      <c r="K39" s="97">
        <v>5.0001623254581989E-2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9.0749018944448076E-2</v>
      </c>
      <c r="V39" s="97">
        <v>0.43015543272690382</v>
      </c>
      <c r="W39" s="97">
        <v>1.193026962243156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0.15278084168842507</v>
      </c>
      <c r="C41" s="97">
        <v>0.33875476959553025</v>
      </c>
      <c r="D41" s="97">
        <v>0.33911258508045122</v>
      </c>
      <c r="E41" s="97">
        <v>0.3240210446964944</v>
      </c>
      <c r="F41" s="97">
        <v>0.32433995352761097</v>
      </c>
      <c r="G41" s="97">
        <v>0.76510814775261782</v>
      </c>
      <c r="H41" s="97">
        <v>0.79607255052003179</v>
      </c>
      <c r="I41" s="97">
        <v>1.2076716879236671</v>
      </c>
      <c r="J41" s="97">
        <v>2.1250687395061276</v>
      </c>
      <c r="K41" s="97">
        <v>3.2299733198051377</v>
      </c>
      <c r="L41" s="97">
        <v>4.3268148155817769</v>
      </c>
      <c r="M41" s="97">
        <v>4.222258853985501</v>
      </c>
      <c r="N41" s="97">
        <v>4.0726584588190535</v>
      </c>
      <c r="O41" s="97">
        <v>3.891556518515038</v>
      </c>
      <c r="P41" s="97">
        <v>3.9605257516233503</v>
      </c>
      <c r="Q41" s="97">
        <v>4.1620060739260971</v>
      </c>
      <c r="R41" s="97">
        <v>4.4993029270569771</v>
      </c>
      <c r="S41" s="97">
        <v>3.9594527409032345</v>
      </c>
      <c r="T41" s="97">
        <v>4.0097308493640558</v>
      </c>
      <c r="U41" s="97">
        <v>4.1520603577655377</v>
      </c>
      <c r="V41" s="97">
        <v>4.055615019421472</v>
      </c>
      <c r="W41" s="97">
        <v>4.9417831247390032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175.88878471497401</v>
      </c>
      <c r="C42" s="32">
        <f t="shared" si="25"/>
        <v>260.32698802711172</v>
      </c>
      <c r="D42" s="32">
        <f t="shared" si="25"/>
        <v>279.15997699718832</v>
      </c>
      <c r="E42" s="32">
        <f t="shared" si="25"/>
        <v>292.5501361890216</v>
      </c>
      <c r="F42" s="32">
        <f t="shared" si="25"/>
        <v>312.10533712597896</v>
      </c>
      <c r="G42" s="32">
        <f t="shared" si="25"/>
        <v>342.3602632452783</v>
      </c>
      <c r="H42" s="32">
        <f t="shared" si="25"/>
        <v>380.99991370442524</v>
      </c>
      <c r="I42" s="32">
        <f t="shared" si="25"/>
        <v>453.15922599040198</v>
      </c>
      <c r="J42" s="32">
        <f t="shared" si="25"/>
        <v>414.18876395636613</v>
      </c>
      <c r="K42" s="32">
        <f t="shared" si="25"/>
        <v>340.91151371804568</v>
      </c>
      <c r="L42" s="32">
        <f t="shared" ref="L42" si="26">L43+L52</f>
        <v>388.47438237670121</v>
      </c>
      <c r="M42" s="32">
        <f t="shared" ref="M42:V42" si="27">M43+M52</f>
        <v>291.87008326690051</v>
      </c>
      <c r="N42" s="32">
        <f t="shared" si="27"/>
        <v>269.61986419890832</v>
      </c>
      <c r="O42" s="32">
        <f t="shared" si="27"/>
        <v>281.71298805224131</v>
      </c>
      <c r="P42" s="32">
        <f t="shared" si="27"/>
        <v>281.78804479700835</v>
      </c>
      <c r="Q42" s="32">
        <f t="shared" si="27"/>
        <v>302.63936771337501</v>
      </c>
      <c r="R42" s="32">
        <f t="shared" si="27"/>
        <v>290.04133149120668</v>
      </c>
      <c r="S42" s="32">
        <f t="shared" si="27"/>
        <v>316.70586140623863</v>
      </c>
      <c r="T42" s="32">
        <f t="shared" si="27"/>
        <v>326.5455259166327</v>
      </c>
      <c r="U42" s="32">
        <f t="shared" si="27"/>
        <v>310.74246468600512</v>
      </c>
      <c r="V42" s="32">
        <f t="shared" si="27"/>
        <v>310.3338533596218</v>
      </c>
      <c r="W42" s="32">
        <f t="shared" ref="W42" si="28">W43+W52</f>
        <v>340.2454309755895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36.601149906674991</v>
      </c>
      <c r="C43" s="141">
        <f t="shared" si="29"/>
        <v>43.736525023569932</v>
      </c>
      <c r="D43" s="141">
        <f t="shared" si="29"/>
        <v>53.294085890014337</v>
      </c>
      <c r="E43" s="141">
        <f t="shared" si="29"/>
        <v>48.120740269290302</v>
      </c>
      <c r="F43" s="141">
        <f t="shared" si="29"/>
        <v>62.192698164070052</v>
      </c>
      <c r="G43" s="141">
        <f t="shared" si="29"/>
        <v>58.381151688163946</v>
      </c>
      <c r="H43" s="141">
        <f t="shared" si="29"/>
        <v>64.610671307883564</v>
      </c>
      <c r="I43" s="141">
        <f t="shared" si="29"/>
        <v>72.516819038613875</v>
      </c>
      <c r="J43" s="141">
        <f t="shared" si="29"/>
        <v>72.166567061169999</v>
      </c>
      <c r="K43" s="141">
        <f t="shared" si="29"/>
        <v>65.879951932061829</v>
      </c>
      <c r="L43" s="141">
        <f t="shared" ref="L43" si="30">L44+L46+L48+L49+L51</f>
        <v>60.752144149853166</v>
      </c>
      <c r="M43" s="141">
        <f t="shared" ref="M43:V43" si="31">M44+M46+M48+M49+M51</f>
        <v>58.333937011852349</v>
      </c>
      <c r="N43" s="141">
        <f t="shared" si="31"/>
        <v>62.76809849424761</v>
      </c>
      <c r="O43" s="141">
        <f t="shared" si="31"/>
        <v>71.752295029863078</v>
      </c>
      <c r="P43" s="141">
        <f t="shared" si="31"/>
        <v>77.105803468890542</v>
      </c>
      <c r="Q43" s="141">
        <f t="shared" si="31"/>
        <v>80.494754727627267</v>
      </c>
      <c r="R43" s="141">
        <f t="shared" si="31"/>
        <v>78.67873416298805</v>
      </c>
      <c r="S43" s="141">
        <f t="shared" si="31"/>
        <v>81.884873811230605</v>
      </c>
      <c r="T43" s="141">
        <f t="shared" si="31"/>
        <v>82.702368021616167</v>
      </c>
      <c r="U43" s="141">
        <f t="shared" si="31"/>
        <v>83.648075933079113</v>
      </c>
      <c r="V43" s="141">
        <f t="shared" si="31"/>
        <v>85.294484808136076</v>
      </c>
      <c r="W43" s="141">
        <f t="shared" ref="W43" si="32">W44+W46+W48+W49+W51</f>
        <v>88.563415550368177</v>
      </c>
      <c r="DA43" s="174" t="s">
        <v>399</v>
      </c>
    </row>
    <row r="44" spans="1:105" ht="11.45" customHeight="1" x14ac:dyDescent="0.25">
      <c r="A44" s="111" t="s">
        <v>110</v>
      </c>
      <c r="B44" s="96">
        <v>13.825855381465649</v>
      </c>
      <c r="C44" s="96">
        <v>13.890776922113947</v>
      </c>
      <c r="D44" s="96">
        <v>13.035370554262464</v>
      </c>
      <c r="E44" s="96">
        <v>12.780148818869534</v>
      </c>
      <c r="F44" s="96">
        <v>12.345736913184727</v>
      </c>
      <c r="G44" s="96">
        <v>12.235379350122633</v>
      </c>
      <c r="H44" s="96">
        <v>12.25587616036575</v>
      </c>
      <c r="I44" s="96">
        <v>11.702411007520922</v>
      </c>
      <c r="J44" s="96">
        <v>9.657074960505458</v>
      </c>
      <c r="K44" s="96">
        <v>7.7160757620908598</v>
      </c>
      <c r="L44" s="96">
        <v>3.4213125177036914</v>
      </c>
      <c r="M44" s="96">
        <v>3.0852807054544962</v>
      </c>
      <c r="N44" s="96">
        <v>3.066883155545244</v>
      </c>
      <c r="O44" s="96">
        <v>2.6536195225748429</v>
      </c>
      <c r="P44" s="96">
        <v>2.0022615559571433</v>
      </c>
      <c r="Q44" s="96">
        <v>1.8931761405564655</v>
      </c>
      <c r="R44" s="96">
        <v>1.6009180098247158</v>
      </c>
      <c r="S44" s="96">
        <v>1.5011225845832581</v>
      </c>
      <c r="T44" s="96">
        <v>1.4286135635240027</v>
      </c>
      <c r="U44" s="96">
        <v>1.3092568722609119</v>
      </c>
      <c r="V44" s="96">
        <v>1.281349929248444</v>
      </c>
      <c r="W44" s="96">
        <v>1.2466587573844823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4.0138149300386033E-2</v>
      </c>
      <c r="I45" s="96">
        <v>0</v>
      </c>
      <c r="J45" s="96">
        <v>0</v>
      </c>
      <c r="K45" s="96">
        <v>6.0404089530804596E-2</v>
      </c>
      <c r="L45" s="96">
        <v>9.4153862972618102E-2</v>
      </c>
      <c r="M45" s="96">
        <v>8.4417184876790077E-2</v>
      </c>
      <c r="N45" s="96">
        <v>8.2312427288407347E-2</v>
      </c>
      <c r="O45" s="96">
        <v>7.8477802807444735E-2</v>
      </c>
      <c r="P45" s="96">
        <v>6.0386652251600274E-2</v>
      </c>
      <c r="Q45" s="96">
        <v>6.8442046960908665E-2</v>
      </c>
      <c r="R45" s="96">
        <v>6.409057401135855E-2</v>
      </c>
      <c r="S45" s="96">
        <v>5.9473751634185841E-2</v>
      </c>
      <c r="T45" s="96">
        <v>6.2831617119514002E-2</v>
      </c>
      <c r="U45" s="96">
        <v>5.2612180219526045E-2</v>
      </c>
      <c r="V45" s="96">
        <v>9.0613363413691125E-2</v>
      </c>
      <c r="W45" s="96">
        <v>8.2316987661435539E-2</v>
      </c>
      <c r="DA45" s="171" t="s">
        <v>660</v>
      </c>
    </row>
    <row r="46" spans="1:105" ht="11.45" customHeight="1" x14ac:dyDescent="0.25">
      <c r="A46" s="111" t="s">
        <v>111</v>
      </c>
      <c r="B46" s="96">
        <v>22.775294525209343</v>
      </c>
      <c r="C46" s="96">
        <v>29.845748101455985</v>
      </c>
      <c r="D46" s="96">
        <v>40.258715335751873</v>
      </c>
      <c r="E46" s="96">
        <v>35.340591450420767</v>
      </c>
      <c r="F46" s="96">
        <v>49.846961250885322</v>
      </c>
      <c r="G46" s="96">
        <v>46.145772338041311</v>
      </c>
      <c r="H46" s="96">
        <v>52.354795147517812</v>
      </c>
      <c r="I46" s="96">
        <v>60.814408031092945</v>
      </c>
      <c r="J46" s="96">
        <v>62.509492100664538</v>
      </c>
      <c r="K46" s="96">
        <v>58.163876169970976</v>
      </c>
      <c r="L46" s="96">
        <v>57.330831632149476</v>
      </c>
      <c r="M46" s="96">
        <v>55.248294041855694</v>
      </c>
      <c r="N46" s="96">
        <v>59.681011891692982</v>
      </c>
      <c r="O46" s="96">
        <v>69.079999465240491</v>
      </c>
      <c r="P46" s="96">
        <v>75.077472053338681</v>
      </c>
      <c r="Q46" s="96">
        <v>78.573744234329524</v>
      </c>
      <c r="R46" s="96">
        <v>76.872222966016295</v>
      </c>
      <c r="S46" s="96">
        <v>80.037300751897675</v>
      </c>
      <c r="T46" s="96">
        <v>80.849002264798173</v>
      </c>
      <c r="U46" s="96">
        <v>81.833933754252001</v>
      </c>
      <c r="V46" s="96">
        <v>83.450966624667089</v>
      </c>
      <c r="W46" s="96">
        <v>86.723050158854718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0.23102509548199401</v>
      </c>
      <c r="H47" s="96">
        <v>0.1538809550362675</v>
      </c>
      <c r="I47" s="96">
        <v>0.15305440172076848</v>
      </c>
      <c r="J47" s="96">
        <v>0.16416308214769473</v>
      </c>
      <c r="K47" s="96">
        <v>0.17153083548075745</v>
      </c>
      <c r="L47" s="96">
        <v>1.5865129544039689</v>
      </c>
      <c r="M47" s="96">
        <v>1.4819139700439259</v>
      </c>
      <c r="N47" s="96">
        <v>1.2569969985031042</v>
      </c>
      <c r="O47" s="96">
        <v>1.3906224251984922</v>
      </c>
      <c r="P47" s="96">
        <v>1.7184143197774682</v>
      </c>
      <c r="Q47" s="96">
        <v>1.5375053408791004</v>
      </c>
      <c r="R47" s="96">
        <v>9.8553068187176518E-2</v>
      </c>
      <c r="S47" s="96">
        <v>7.0296842901054729E-2</v>
      </c>
      <c r="T47" s="96">
        <v>2.810554976550157</v>
      </c>
      <c r="U47" s="96">
        <v>2.6481655655923824</v>
      </c>
      <c r="V47" s="96">
        <v>3.3400826767264924</v>
      </c>
      <c r="W47" s="96">
        <v>3.6001547259026125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1.9841082380318082E-2</v>
      </c>
      <c r="O48" s="96">
        <v>1.8313623087510004E-2</v>
      </c>
      <c r="P48" s="96">
        <v>2.4952809822910774E-2</v>
      </c>
      <c r="Q48" s="96">
        <v>2.6545665191160802E-2</v>
      </c>
      <c r="R48" s="96">
        <v>0.20366038253843544</v>
      </c>
      <c r="S48" s="96">
        <v>0.34420474139182344</v>
      </c>
      <c r="T48" s="96">
        <v>0.42247673265720059</v>
      </c>
      <c r="U48" s="96">
        <v>0.5020493115949155</v>
      </c>
      <c r="V48" s="96">
        <v>0.55685222523819666</v>
      </c>
      <c r="W48" s="96">
        <v>0.58069241590666021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3.6226454216385732E-4</v>
      </c>
      <c r="N51" s="96">
        <v>3.6236462906938952E-4</v>
      </c>
      <c r="O51" s="96">
        <v>3.6241896024122159E-4</v>
      </c>
      <c r="P51" s="96">
        <v>1.1170497718046811E-3</v>
      </c>
      <c r="Q51" s="96">
        <v>1.2886875501154462E-3</v>
      </c>
      <c r="R51" s="96">
        <v>1.9328046086102496E-3</v>
      </c>
      <c r="S51" s="96">
        <v>2.2457333578471263E-3</v>
      </c>
      <c r="T51" s="96">
        <v>2.2754606367949241E-3</v>
      </c>
      <c r="U51" s="96">
        <v>2.8359949712724129E-3</v>
      </c>
      <c r="V51" s="96">
        <v>5.3160289823407959E-3</v>
      </c>
      <c r="W51" s="96">
        <v>1.301421822232763E-2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139.287634808299</v>
      </c>
      <c r="C52" s="130">
        <f t="shared" si="33"/>
        <v>216.5904630035418</v>
      </c>
      <c r="D52" s="130">
        <f t="shared" si="33"/>
        <v>225.86589110717398</v>
      </c>
      <c r="E52" s="130">
        <f t="shared" si="33"/>
        <v>244.42939591973129</v>
      </c>
      <c r="F52" s="130">
        <f t="shared" si="33"/>
        <v>249.9126389619089</v>
      </c>
      <c r="G52" s="130">
        <f t="shared" si="33"/>
        <v>283.97911155711438</v>
      </c>
      <c r="H52" s="130">
        <f t="shared" si="33"/>
        <v>316.3892423965417</v>
      </c>
      <c r="I52" s="130">
        <f t="shared" si="33"/>
        <v>380.64240695178808</v>
      </c>
      <c r="J52" s="130">
        <f t="shared" si="33"/>
        <v>342.02219689519615</v>
      </c>
      <c r="K52" s="130">
        <f t="shared" si="33"/>
        <v>275.03156178598385</v>
      </c>
      <c r="L52" s="130">
        <f t="shared" ref="L52" si="34">L53+L55</f>
        <v>327.72223822684805</v>
      </c>
      <c r="M52" s="130">
        <f t="shared" ref="M52:V52" si="35">M53+M55</f>
        <v>233.53614625504815</v>
      </c>
      <c r="N52" s="130">
        <f t="shared" si="35"/>
        <v>206.85176570466069</v>
      </c>
      <c r="O52" s="130">
        <f t="shared" si="35"/>
        <v>209.96069302237822</v>
      </c>
      <c r="P52" s="130">
        <f t="shared" si="35"/>
        <v>204.68224132811781</v>
      </c>
      <c r="Q52" s="130">
        <f t="shared" si="35"/>
        <v>222.14461298574776</v>
      </c>
      <c r="R52" s="130">
        <f t="shared" si="35"/>
        <v>211.36259732821861</v>
      </c>
      <c r="S52" s="130">
        <f t="shared" si="35"/>
        <v>234.82098759500803</v>
      </c>
      <c r="T52" s="130">
        <f t="shared" si="35"/>
        <v>243.84315789501653</v>
      </c>
      <c r="U52" s="130">
        <f t="shared" si="35"/>
        <v>227.09438875292602</v>
      </c>
      <c r="V52" s="130">
        <f t="shared" si="35"/>
        <v>225.03936855148572</v>
      </c>
      <c r="W52" s="130">
        <f t="shared" ref="W52" si="36">W53+W55</f>
        <v>251.68201542522132</v>
      </c>
      <c r="DA52" s="176" t="s">
        <v>400</v>
      </c>
    </row>
    <row r="53" spans="1:105" ht="11.45" customHeight="1" x14ac:dyDescent="0.25">
      <c r="A53" s="128" t="s">
        <v>27</v>
      </c>
      <c r="B53" s="97">
        <v>87.638872230321113</v>
      </c>
      <c r="C53" s="97">
        <v>111.59560254477822</v>
      </c>
      <c r="D53" s="97">
        <v>130.82243904643275</v>
      </c>
      <c r="E53" s="97">
        <v>147.84050321553335</v>
      </c>
      <c r="F53" s="97">
        <v>140.75253206715058</v>
      </c>
      <c r="G53" s="97">
        <v>158.30069357245057</v>
      </c>
      <c r="H53" s="97">
        <v>160.82962620715375</v>
      </c>
      <c r="I53" s="97">
        <v>190.82697092802343</v>
      </c>
      <c r="J53" s="97">
        <v>176.74144213689792</v>
      </c>
      <c r="K53" s="97">
        <v>164.34176762854531</v>
      </c>
      <c r="L53" s="97">
        <v>146.01383736519486</v>
      </c>
      <c r="M53" s="97">
        <v>114.77888628253395</v>
      </c>
      <c r="N53" s="97">
        <v>94.868084079843854</v>
      </c>
      <c r="O53" s="97">
        <v>99.595518329280907</v>
      </c>
      <c r="P53" s="97">
        <v>97.486689906886028</v>
      </c>
      <c r="Q53" s="97">
        <v>98.98401807163188</v>
      </c>
      <c r="R53" s="97">
        <v>99.846200412996708</v>
      </c>
      <c r="S53" s="97">
        <v>112.93951149347255</v>
      </c>
      <c r="T53" s="97">
        <v>115.93511563217314</v>
      </c>
      <c r="U53" s="97">
        <v>115.59468210929681</v>
      </c>
      <c r="V53" s="97">
        <v>115.83761466084127</v>
      </c>
      <c r="W53" s="97">
        <v>131.29527385531179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0.79251968261657568</v>
      </c>
      <c r="H54" s="97">
        <v>0.4727096421473842</v>
      </c>
      <c r="I54" s="97">
        <v>0.48026296420812503</v>
      </c>
      <c r="J54" s="97">
        <v>0.4641602244615447</v>
      </c>
      <c r="K54" s="97">
        <v>0.48465959564542777</v>
      </c>
      <c r="L54" s="97">
        <v>4.0406329004341801</v>
      </c>
      <c r="M54" s="97">
        <v>3.078691170433415</v>
      </c>
      <c r="N54" s="97">
        <v>1.9981044751471808</v>
      </c>
      <c r="O54" s="97">
        <v>2.0049183889709723</v>
      </c>
      <c r="P54" s="97">
        <v>2.2313287773552424</v>
      </c>
      <c r="Q54" s="97">
        <v>1.9368869070683159</v>
      </c>
      <c r="R54" s="97">
        <v>0.12800656749425204</v>
      </c>
      <c r="S54" s="97">
        <v>9.9194888160821185E-2</v>
      </c>
      <c r="T54" s="97">
        <v>4.0302540176033146</v>
      </c>
      <c r="U54" s="97">
        <v>3.7406714144611426</v>
      </c>
      <c r="V54" s="97">
        <v>4.6363418626672841</v>
      </c>
      <c r="W54" s="97">
        <v>5.4504921101488231</v>
      </c>
      <c r="DA54" s="175" t="s">
        <v>668</v>
      </c>
    </row>
    <row r="55" spans="1:105" ht="11.45" customHeight="1" x14ac:dyDescent="0.25">
      <c r="A55" s="128" t="s">
        <v>116</v>
      </c>
      <c r="B55" s="97">
        <v>51.648762577977891</v>
      </c>
      <c r="C55" s="97">
        <v>104.99486045876358</v>
      </c>
      <c r="D55" s="97">
        <v>95.043452060741217</v>
      </c>
      <c r="E55" s="97">
        <v>96.588892704197946</v>
      </c>
      <c r="F55" s="97">
        <v>109.16010689475833</v>
      </c>
      <c r="G55" s="97">
        <v>125.67841798466384</v>
      </c>
      <c r="H55" s="97">
        <v>155.55961618938792</v>
      </c>
      <c r="I55" s="97">
        <v>189.81543602376462</v>
      </c>
      <c r="J55" s="97">
        <v>165.28075475829823</v>
      </c>
      <c r="K55" s="97">
        <v>110.68979415743856</v>
      </c>
      <c r="L55" s="97">
        <v>181.70840086165322</v>
      </c>
      <c r="M55" s="97">
        <v>118.75725997251422</v>
      </c>
      <c r="N55" s="97">
        <v>111.98368162481685</v>
      </c>
      <c r="O55" s="97">
        <v>110.3651746930973</v>
      </c>
      <c r="P55" s="97">
        <v>107.19555142123177</v>
      </c>
      <c r="Q55" s="97">
        <v>123.16059491411589</v>
      </c>
      <c r="R55" s="97">
        <v>111.5163969152219</v>
      </c>
      <c r="S55" s="97">
        <v>121.88147610153547</v>
      </c>
      <c r="T55" s="97">
        <v>127.90804226284338</v>
      </c>
      <c r="U55" s="97">
        <v>111.4997066436292</v>
      </c>
      <c r="V55" s="97">
        <v>109.20175389064447</v>
      </c>
      <c r="W55" s="97">
        <v>120.38674156990953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0.62919888526813894</v>
      </c>
      <c r="H56" s="98">
        <v>0.45722005476002991</v>
      </c>
      <c r="I56" s="98">
        <v>0.47771718805731817</v>
      </c>
      <c r="J56" s="98">
        <v>0.43406204736274057</v>
      </c>
      <c r="K56" s="98">
        <v>0.32643479288646554</v>
      </c>
      <c r="L56" s="98">
        <v>5.0284065952635091</v>
      </c>
      <c r="M56" s="98">
        <v>3.1854022943057725</v>
      </c>
      <c r="N56" s="98">
        <v>2.3585919075764687</v>
      </c>
      <c r="O56" s="98">
        <v>2.2217181250326461</v>
      </c>
      <c r="P56" s="98">
        <v>2.4535505197593417</v>
      </c>
      <c r="Q56" s="98">
        <v>2.4099662592325277</v>
      </c>
      <c r="R56" s="98">
        <v>0.14296819638002023</v>
      </c>
      <c r="S56" s="98">
        <v>0.10704862479829629</v>
      </c>
      <c r="T56" s="98">
        <v>4.4464690305664556</v>
      </c>
      <c r="U56" s="98">
        <v>3.6081570341468394</v>
      </c>
      <c r="V56" s="98">
        <v>4.3707448959671806</v>
      </c>
      <c r="W56" s="98">
        <v>4.9976436000005426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12.67610523270567</v>
      </c>
      <c r="C60" s="79">
        <f>IF(C17=0,0,C17/TrRoad_act!C30*100)</f>
        <v>13.064068046475343</v>
      </c>
      <c r="D60" s="79">
        <f>IF(D17=0,0,D17/TrRoad_act!D30*100)</f>
        <v>12.848383923670884</v>
      </c>
      <c r="E60" s="79">
        <f>IF(E17=0,0,E17/TrRoad_act!E30*100)</f>
        <v>12.824042054475859</v>
      </c>
      <c r="F60" s="79">
        <f>IF(F17=0,0,F17/TrRoad_act!F30*100)</f>
        <v>12.510827283209332</v>
      </c>
      <c r="G60" s="79">
        <f>IF(G17=0,0,G17/TrRoad_act!G30*100)</f>
        <v>12.641472931065467</v>
      </c>
      <c r="H60" s="79">
        <f>IF(H17=0,0,H17/TrRoad_act!H30*100)</f>
        <v>12.266173637559383</v>
      </c>
      <c r="I60" s="79">
        <f>IF(I17=0,0,I17/TrRoad_act!I30*100)</f>
        <v>12.330783763674408</v>
      </c>
      <c r="J60" s="79">
        <f>IF(J17=0,0,J17/TrRoad_act!J30*100)</f>
        <v>11.910577568561294</v>
      </c>
      <c r="K60" s="79">
        <f>IF(K17=0,0,K17/TrRoad_act!K30*100)</f>
        <v>11.467236970712436</v>
      </c>
      <c r="L60" s="79">
        <f>IF(L17=0,0,L17/TrRoad_act!L30*100)</f>
        <v>12.372810713431743</v>
      </c>
      <c r="M60" s="79">
        <f>IF(M17=0,0,M17/TrRoad_act!M30*100)</f>
        <v>11.07748312365575</v>
      </c>
      <c r="N60" s="79">
        <f>IF(N17=0,0,N17/TrRoad_act!N30*100)</f>
        <v>10.673565188979756</v>
      </c>
      <c r="O60" s="79">
        <f>IF(O17=0,0,O17/TrRoad_act!O30*100)</f>
        <v>10.595148015528997</v>
      </c>
      <c r="P60" s="79">
        <f>IF(P17=0,0,P17/TrRoad_act!P30*100)</f>
        <v>10.066847522991621</v>
      </c>
      <c r="Q60" s="79">
        <f>IF(Q17=0,0,Q17/TrRoad_act!Q30*100)</f>
        <v>9.9462900079727259</v>
      </c>
      <c r="R60" s="79">
        <f>IF(R17=0,0,R17/TrRoad_act!R30*100)</f>
        <v>9.6408227869773011</v>
      </c>
      <c r="S60" s="79">
        <f>IF(S17=0,0,S17/TrRoad_act!S30*100)</f>
        <v>9.5660103568254904</v>
      </c>
      <c r="T60" s="79">
        <f>IF(T17=0,0,T17/TrRoad_act!T30*100)</f>
        <v>9.3206019620128391</v>
      </c>
      <c r="U60" s="79">
        <f>IF(U17=0,0,U17/TrRoad_act!U30*100)</f>
        <v>8.8476516920606176</v>
      </c>
      <c r="V60" s="79">
        <f>IF(V17=0,0,V17/TrRoad_act!V30*100)</f>
        <v>8.6882710737951356</v>
      </c>
      <c r="W60" s="79">
        <f>IF(W17=0,0,W17/TrRoad_act!W30*100)</f>
        <v>8.5497003576638111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10.632402129113517</v>
      </c>
      <c r="C61" s="32">
        <f>IF(C18=0,0,C18/TrRoad_act!C31*100)</f>
        <v>9.9983763626848514</v>
      </c>
      <c r="D61" s="32">
        <f>IF(D18=0,0,D18/TrRoad_act!D31*100)</f>
        <v>9.8735514413640697</v>
      </c>
      <c r="E61" s="32">
        <f>IF(E18=0,0,E18/TrRoad_act!E31*100)</f>
        <v>9.7978396094977036</v>
      </c>
      <c r="F61" s="32">
        <f>IF(F18=0,0,F18/TrRoad_act!F31*100)</f>
        <v>9.5550771007623165</v>
      </c>
      <c r="G61" s="32">
        <f>IF(G18=0,0,G18/TrRoad_act!G31*100)</f>
        <v>9.3819549330898635</v>
      </c>
      <c r="H61" s="32">
        <f>IF(H18=0,0,H18/TrRoad_act!H31*100)</f>
        <v>9.0220455276076557</v>
      </c>
      <c r="I61" s="32">
        <f>IF(I18=0,0,I18/TrRoad_act!I31*100)</f>
        <v>8.8136548606862739</v>
      </c>
      <c r="J61" s="32">
        <f>IF(J18=0,0,J18/TrRoad_act!J31*100)</f>
        <v>8.667458291304861</v>
      </c>
      <c r="K61" s="32">
        <f>IF(K18=0,0,K18/TrRoad_act!K31*100)</f>
        <v>8.6941082777857233</v>
      </c>
      <c r="L61" s="32">
        <f>IF(L18=0,0,L18/TrRoad_act!L31*100)</f>
        <v>8.7699962957013149</v>
      </c>
      <c r="M61" s="32">
        <f>IF(M18=0,0,M18/TrRoad_act!M31*100)</f>
        <v>8.5111612922801676</v>
      </c>
      <c r="N61" s="32">
        <f>IF(N18=0,0,N18/TrRoad_act!N31*100)</f>
        <v>8.3441380558240574</v>
      </c>
      <c r="O61" s="32">
        <f>IF(O18=0,0,O18/TrRoad_act!O31*100)</f>
        <v>8.3125172108147485</v>
      </c>
      <c r="P61" s="32">
        <f>IF(P18=0,0,P18/TrRoad_act!P31*100)</f>
        <v>8.0423735294094261</v>
      </c>
      <c r="Q61" s="32">
        <f>IF(Q18=0,0,Q18/TrRoad_act!Q31*100)</f>
        <v>7.8949635278746007</v>
      </c>
      <c r="R61" s="32">
        <f>IF(R18=0,0,R18/TrRoad_act!R31*100)</f>
        <v>7.7805300518713869</v>
      </c>
      <c r="S61" s="32">
        <f>IF(S18=0,0,S18/TrRoad_act!S31*100)</f>
        <v>7.5907714362843492</v>
      </c>
      <c r="T61" s="32">
        <f>IF(T18=0,0,T18/TrRoad_act!T31*100)</f>
        <v>7.3540453421829062</v>
      </c>
      <c r="U61" s="32">
        <f>IF(U18=0,0,U18/TrRoad_act!U31*100)</f>
        <v>7.1015230135471032</v>
      </c>
      <c r="V61" s="32">
        <f>IF(V18=0,0,V18/TrRoad_act!V31*100)</f>
        <v>6.9376921636377649</v>
      </c>
      <c r="W61" s="32">
        <f>IF(W18=0,0,W18/TrRoad_act!W31*100)</f>
        <v>6.6394618860615999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5.1139589040363544</v>
      </c>
      <c r="C62" s="141">
        <f>IF(C19=0,0,C19/TrRoad_act!C32*100)</f>
        <v>5.0951293407445997</v>
      </c>
      <c r="D62" s="141">
        <f>IF(D19=0,0,D19/TrRoad_act!D32*100)</f>
        <v>5.0639138850604697</v>
      </c>
      <c r="E62" s="141">
        <f>IF(E19=0,0,E19/TrRoad_act!E32*100)</f>
        <v>5.0319076628560362</v>
      </c>
      <c r="F62" s="141">
        <f>IF(F19=0,0,F19/TrRoad_act!F32*100)</f>
        <v>4.9923808363773139</v>
      </c>
      <c r="G62" s="141">
        <f>IF(G19=0,0,G19/TrRoad_act!G32*100)</f>
        <v>4.9512580080190389</v>
      </c>
      <c r="H62" s="141">
        <f>IF(H19=0,0,H19/TrRoad_act!H32*100)</f>
        <v>4.8897702117688588</v>
      </c>
      <c r="I62" s="141">
        <f>IF(I19=0,0,I19/TrRoad_act!I32*100)</f>
        <v>4.7926048398407817</v>
      </c>
      <c r="J62" s="141">
        <f>IF(J19=0,0,J19/TrRoad_act!J32*100)</f>
        <v>4.6960720600154549</v>
      </c>
      <c r="K62" s="141">
        <f>IF(K19=0,0,K19/TrRoad_act!K32*100)</f>
        <v>4.6546679997925073</v>
      </c>
      <c r="L62" s="141">
        <f>IF(L19=0,0,L19/TrRoad_act!L32*100)</f>
        <v>4.6150393245295938</v>
      </c>
      <c r="M62" s="141">
        <f>IF(M19=0,0,M19/TrRoad_act!M32*100)</f>
        <v>4.4776354298127323</v>
      </c>
      <c r="N62" s="141">
        <f>IF(N19=0,0,N19/TrRoad_act!N32*100)</f>
        <v>4.3279299107962146</v>
      </c>
      <c r="O62" s="141">
        <f>IF(O19=0,0,O19/TrRoad_act!O32*100)</f>
        <v>4.1921248896581531</v>
      </c>
      <c r="P62" s="141">
        <f>IF(P19=0,0,P19/TrRoad_act!P32*100)</f>
        <v>4.0447771566367008</v>
      </c>
      <c r="Q62" s="141">
        <f>IF(Q19=0,0,Q19/TrRoad_act!Q32*100)</f>
        <v>3.9086676559739479</v>
      </c>
      <c r="R62" s="141">
        <f>IF(R19=0,0,R19/TrRoad_act!R32*100)</f>
        <v>3.7756634498116948</v>
      </c>
      <c r="S62" s="141">
        <f>IF(S19=0,0,S19/TrRoad_act!S32*100)</f>
        <v>3.6609740954984407</v>
      </c>
      <c r="T62" s="141">
        <f>IF(T19=0,0,T19/TrRoad_act!T32*100)</f>
        <v>3.5691495426191726</v>
      </c>
      <c r="U62" s="141">
        <f>IF(U19=0,0,U19/TrRoad_act!U32*100)</f>
        <v>3.4774536180569084</v>
      </c>
      <c r="V62" s="141">
        <f>IF(V19=0,0,V19/TrRoad_act!V32*100)</f>
        <v>3.4188948313777661</v>
      </c>
      <c r="W62" s="141">
        <f>IF(W19=0,0,W19/TrRoad_act!W32*100)</f>
        <v>3.0814713660835902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9.1327010310406394</v>
      </c>
      <c r="C63" s="130">
        <f>IF(C21=0,0,C21/TrRoad_act!C33*100)</f>
        <v>8.5189648622590965</v>
      </c>
      <c r="D63" s="130">
        <f>IF(D21=0,0,D21/TrRoad_act!D33*100)</f>
        <v>8.461698732157787</v>
      </c>
      <c r="E63" s="130">
        <f>IF(E21=0,0,E21/TrRoad_act!E33*100)</f>
        <v>8.377270991299774</v>
      </c>
      <c r="F63" s="130">
        <f>IF(F21=0,0,F21/TrRoad_act!F33*100)</f>
        <v>8.2087911156170446</v>
      </c>
      <c r="G63" s="130">
        <f>IF(G21=0,0,G21/TrRoad_act!G33*100)</f>
        <v>8.0882263289154164</v>
      </c>
      <c r="H63" s="130">
        <f>IF(H21=0,0,H21/TrRoad_act!H33*100)</f>
        <v>7.930020928366746</v>
      </c>
      <c r="I63" s="130">
        <f>IF(I21=0,0,I21/TrRoad_act!I33*100)</f>
        <v>7.8403563592275498</v>
      </c>
      <c r="J63" s="130">
        <f>IF(J21=0,0,J21/TrRoad_act!J33*100)</f>
        <v>7.7329872745128245</v>
      </c>
      <c r="K63" s="130">
        <f>IF(K21=0,0,K21/TrRoad_act!K33*100)</f>
        <v>7.7292535172498553</v>
      </c>
      <c r="L63" s="130">
        <f>IF(L21=0,0,L21/TrRoad_act!L33*100)</f>
        <v>7.7210297077617351</v>
      </c>
      <c r="M63" s="130">
        <f>IF(M21=0,0,M21/TrRoad_act!M33*100)</f>
        <v>7.5530835909927196</v>
      </c>
      <c r="N63" s="130">
        <f>IF(N21=0,0,N21/TrRoad_act!N33*100)</f>
        <v>7.3995860431504479</v>
      </c>
      <c r="O63" s="130">
        <f>IF(O21=0,0,O21/TrRoad_act!O33*100)</f>
        <v>7.3898921269316578</v>
      </c>
      <c r="P63" s="130">
        <f>IF(P21=0,0,P21/TrRoad_act!P33*100)</f>
        <v>7.2563719802047286</v>
      </c>
      <c r="Q63" s="130">
        <f>IF(Q21=0,0,Q21/TrRoad_act!Q33*100)</f>
        <v>7.178222501935319</v>
      </c>
      <c r="R63" s="130">
        <f>IF(R21=0,0,R21/TrRoad_act!R33*100)</f>
        <v>7.0934904010453836</v>
      </c>
      <c r="S63" s="130">
        <f>IF(S21=0,0,S21/TrRoad_act!S33*100)</f>
        <v>6.9230872194472939</v>
      </c>
      <c r="T63" s="130">
        <f>IF(T21=0,0,T21/TrRoad_act!T33*100)</f>
        <v>6.7337902613573375</v>
      </c>
      <c r="U63" s="130">
        <f>IF(U21=0,0,U21/TrRoad_act!U33*100)</f>
        <v>6.5493148766646403</v>
      </c>
      <c r="V63" s="130">
        <f>IF(V21=0,0,V21/TrRoad_act!V33*100)</f>
        <v>6.4823519018239697</v>
      </c>
      <c r="W63" s="130">
        <f>IF(W21=0,0,W21/TrRoad_act!W33*100)</f>
        <v>6.2513487080885044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9.1890678946820366</v>
      </c>
      <c r="C64" s="96">
        <f>IF(C22=0,0,C22/TrRoad_act!C34*100)</f>
        <v>8.5907525257203901</v>
      </c>
      <c r="D64" s="96">
        <f>IF(D22=0,0,D22/TrRoad_act!D34*100)</f>
        <v>8.5323259535163558</v>
      </c>
      <c r="E64" s="96">
        <f>IF(E22=0,0,E22/TrRoad_act!E34*100)</f>
        <v>8.4695769230262865</v>
      </c>
      <c r="F64" s="96">
        <f>IF(F22=0,0,F22/TrRoad_act!F34*100)</f>
        <v>8.3878222908329239</v>
      </c>
      <c r="G64" s="96">
        <f>IF(G22=0,0,G22/TrRoad_act!G34*100)</f>
        <v>8.2985225480371323</v>
      </c>
      <c r="H64" s="96">
        <f>IF(H22=0,0,H22/TrRoad_act!H34*100)</f>
        <v>8.1834649177949945</v>
      </c>
      <c r="I64" s="96">
        <f>IF(I22=0,0,I22/TrRoad_act!I34*100)</f>
        <v>8.0444772833602318</v>
      </c>
      <c r="J64" s="96">
        <f>IF(J22=0,0,J22/TrRoad_act!J34*100)</f>
        <v>7.9443594577683214</v>
      </c>
      <c r="K64" s="96">
        <f>IF(K22=0,0,K22/TrRoad_act!K34*100)</f>
        <v>8.0478425325710354</v>
      </c>
      <c r="L64" s="96">
        <f>IF(L22=0,0,L22/TrRoad_act!L34*100)</f>
        <v>7.8560021441400716</v>
      </c>
      <c r="M64" s="96">
        <f>IF(M22=0,0,M22/TrRoad_act!M34*100)</f>
        <v>7.9812032433517919</v>
      </c>
      <c r="N64" s="96">
        <f>IF(N22=0,0,N22/TrRoad_act!N34*100)</f>
        <v>7.8018347385054154</v>
      </c>
      <c r="O64" s="96">
        <f>IF(O22=0,0,O22/TrRoad_act!O34*100)</f>
        <v>7.5862681712762701</v>
      </c>
      <c r="P64" s="96">
        <f>IF(P22=0,0,P22/TrRoad_act!P34*100)</f>
        <v>7.6378898168480163</v>
      </c>
      <c r="Q64" s="96">
        <f>IF(Q22=0,0,Q22/TrRoad_act!Q34*100)</f>
        <v>7.4402339885996298</v>
      </c>
      <c r="R64" s="96">
        <f>IF(R22=0,0,R22/TrRoad_act!R34*100)</f>
        <v>7.9224137270635069</v>
      </c>
      <c r="S64" s="96">
        <f>IF(S22=0,0,S22/TrRoad_act!S34*100)</f>
        <v>7.7012143291053885</v>
      </c>
      <c r="T64" s="96">
        <f>IF(T22=0,0,T22/TrRoad_act!T34*100)</f>
        <v>7.4587369058296495</v>
      </c>
      <c r="U64" s="96">
        <f>IF(U22=0,0,U22/TrRoad_act!U34*100)</f>
        <v>7.1956270258156891</v>
      </c>
      <c r="V64" s="96">
        <f>IF(V22=0,0,V22/TrRoad_act!V34*100)</f>
        <v>7.3952740437876585</v>
      </c>
      <c r="W64" s="96">
        <f>IF(W22=0,0,W22/TrRoad_act!W34*100)</f>
        <v>6.9515348239767789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8.2879699104201467</v>
      </c>
      <c r="C65" s="96">
        <f>IF(C24=0,0,C24/TrRoad_act!C35*100)</f>
        <v>8.1516724217150749</v>
      </c>
      <c r="D65" s="96">
        <f>IF(D24=0,0,D24/TrRoad_act!D35*100)</f>
        <v>7.9741962731212963</v>
      </c>
      <c r="E65" s="96">
        <f>IF(E24=0,0,E24/TrRoad_act!E35*100)</f>
        <v>7.8047880176263966</v>
      </c>
      <c r="F65" s="96">
        <f>IF(F24=0,0,F24/TrRoad_act!F35*100)</f>
        <v>7.6860105261158145</v>
      </c>
      <c r="G65" s="96">
        <f>IF(G24=0,0,G24/TrRoad_act!G35*100)</f>
        <v>7.5591452846516152</v>
      </c>
      <c r="H65" s="96">
        <f>IF(H24=0,0,H24/TrRoad_act!H35*100)</f>
        <v>7.3923165056500677</v>
      </c>
      <c r="I65" s="96">
        <f>IF(I24=0,0,I24/TrRoad_act!I35*100)</f>
        <v>7.5073047580910695</v>
      </c>
      <c r="J65" s="96">
        <f>IF(J24=0,0,J24/TrRoad_act!J35*100)</f>
        <v>7.443596659676353</v>
      </c>
      <c r="K65" s="96">
        <f>IF(K24=0,0,K24/TrRoad_act!K35*100)</f>
        <v>7.3760979186077229</v>
      </c>
      <c r="L65" s="96">
        <f>IF(L24=0,0,L24/TrRoad_act!L35*100)</f>
        <v>7.6214082343484684</v>
      </c>
      <c r="M65" s="96">
        <f>IF(M24=0,0,M24/TrRoad_act!M35*100)</f>
        <v>7.1077559363075054</v>
      </c>
      <c r="N65" s="96">
        <f>IF(N24=0,0,N24/TrRoad_act!N35*100)</f>
        <v>7.0651204715498848</v>
      </c>
      <c r="O65" s="96">
        <f>IF(O24=0,0,O24/TrRoad_act!O35*100)</f>
        <v>7.0513997878990251</v>
      </c>
      <c r="P65" s="96">
        <f>IF(P24=0,0,P24/TrRoad_act!P35*100)</f>
        <v>6.8786436454064557</v>
      </c>
      <c r="Q65" s="96">
        <f>IF(Q24=0,0,Q24/TrRoad_act!Q35*100)</f>
        <v>6.748272592455999</v>
      </c>
      <c r="R65" s="96">
        <f>IF(R24=0,0,R24/TrRoad_act!R35*100)</f>
        <v>6.5774729503645917</v>
      </c>
      <c r="S65" s="96">
        <f>IF(S24=0,0,S24/TrRoad_act!S35*100)</f>
        <v>6.4733118347807652</v>
      </c>
      <c r="T65" s="96">
        <f>IF(T24=0,0,T24/TrRoad_act!T35*100)</f>
        <v>6.3343557601520644</v>
      </c>
      <c r="U65" s="96">
        <f>IF(U24=0,0,U24/TrRoad_act!U35*100)</f>
        <v>6.2501625504857277</v>
      </c>
      <c r="V65" s="96">
        <f>IF(V24=0,0,V24/TrRoad_act!V35*100)</f>
        <v>6.0808050542640197</v>
      </c>
      <c r="W65" s="96">
        <f>IF(W24=0,0,W24/TrRoad_act!W35*100)</f>
        <v>5.9389753385045436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9.9319965205026897</v>
      </c>
      <c r="C66" s="96">
        <f>IF(C26=0,0,C26/TrRoad_act!C36*100)</f>
        <v>8.2780094137499347</v>
      </c>
      <c r="D66" s="96">
        <f>IF(D26=0,0,D26/TrRoad_act!D36*100)</f>
        <v>8.8676962681465952</v>
      </c>
      <c r="E66" s="96">
        <f>IF(E26=0,0,E26/TrRoad_act!E36*100)</f>
        <v>9.1578368148104605</v>
      </c>
      <c r="F66" s="96">
        <f>IF(F26=0,0,F26/TrRoad_act!F36*100)</f>
        <v>7.9354330300556972</v>
      </c>
      <c r="G66" s="96">
        <f>IF(G26=0,0,G26/TrRoad_act!G36*100)</f>
        <v>7.9359263183455653</v>
      </c>
      <c r="H66" s="96">
        <f>IF(H26=0,0,H26/TrRoad_act!H36*100)</f>
        <v>7.7192707666440237</v>
      </c>
      <c r="I66" s="96">
        <f>IF(I26=0,0,I26/TrRoad_act!I36*100)</f>
        <v>7.1503641922542922</v>
      </c>
      <c r="J66" s="96">
        <f>IF(J26=0,0,J26/TrRoad_act!J36*100)</f>
        <v>6.959485017243372</v>
      </c>
      <c r="K66" s="96">
        <f>IF(K26=0,0,K26/TrRoad_act!K36*100)</f>
        <v>6.688299801342791</v>
      </c>
      <c r="L66" s="96">
        <f>IF(L26=0,0,L26/TrRoad_act!L36*100)</f>
        <v>7.0320892357488702</v>
      </c>
      <c r="M66" s="96">
        <f>IF(M26=0,0,M26/TrRoad_act!M36*100)</f>
        <v>7.0333806479731722</v>
      </c>
      <c r="N66" s="96">
        <f>IF(N26=0,0,N26/TrRoad_act!N36*100)</f>
        <v>7.0825049931035373</v>
      </c>
      <c r="O66" s="96">
        <f>IF(O26=0,0,O26/TrRoad_act!O36*100)</f>
        <v>8.1575975991436156</v>
      </c>
      <c r="P66" s="96">
        <f>IF(P26=0,0,P26/TrRoad_act!P36*100)</f>
        <v>7.8564886742159761</v>
      </c>
      <c r="Q66" s="96">
        <f>IF(Q26=0,0,Q26/TrRoad_act!Q36*100)</f>
        <v>8.9711455440538792</v>
      </c>
      <c r="R66" s="96">
        <f>IF(R26=0,0,R26/TrRoad_act!R36*100)</f>
        <v>7.7810435290173192</v>
      </c>
      <c r="S66" s="96">
        <f>IF(S26=0,0,S26/TrRoad_act!S36*100)</f>
        <v>7.7674822516209536</v>
      </c>
      <c r="T66" s="96">
        <f>IF(T26=0,0,T26/TrRoad_act!T36*100)</f>
        <v>7.7640724856812628</v>
      </c>
      <c r="U66" s="96">
        <f>IF(U26=0,0,U26/TrRoad_act!U36*100)</f>
        <v>7.4165214453754196</v>
      </c>
      <c r="V66" s="96">
        <f>IF(V26=0,0,V26/TrRoad_act!V36*100)</f>
        <v>7.7498827910611192</v>
      </c>
      <c r="W66" s="96">
        <f>IF(W26=0,0,W26/TrRoad_act!W36*100)</f>
        <v>7.6243363721015394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8.1130434782909511</v>
      </c>
      <c r="C67" s="96">
        <f>IF(C27=0,0,C27/TrRoad_act!C37*100)</f>
        <v>8.1068838788262099</v>
      </c>
      <c r="D67" s="96">
        <f>IF(D27=0,0,D27/TrRoad_act!D37*100)</f>
        <v>8.1063617093655065</v>
      </c>
      <c r="E67" s="96">
        <f>IF(E27=0,0,E27/TrRoad_act!E37*100)</f>
        <v>8.1055591018254525</v>
      </c>
      <c r="F67" s="96">
        <f>IF(F27=0,0,F27/TrRoad_act!F37*100)</f>
        <v>8.1044181803533952</v>
      </c>
      <c r="G67" s="96">
        <f>IF(G27=0,0,G27/TrRoad_act!G37*100)</f>
        <v>8.1040513668436223</v>
      </c>
      <c r="H67" s="96">
        <f>IF(H27=0,0,H27/TrRoad_act!H37*100)</f>
        <v>8.1003207606718401</v>
      </c>
      <c r="I67" s="96">
        <f>IF(I27=0,0,I27/TrRoad_act!I37*100)</f>
        <v>8.097375866873918</v>
      </c>
      <c r="J67" s="96">
        <f>IF(J27=0,0,J27/TrRoad_act!J37*100)</f>
        <v>8.0959673253878606</v>
      </c>
      <c r="K67" s="96">
        <f>IF(K27=0,0,K27/TrRoad_act!K37*100)</f>
        <v>8.1638489674907877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0</v>
      </c>
      <c r="R67" s="96">
        <f>IF(R27=0,0,R27/TrRoad_act!R37*100)</f>
        <v>0</v>
      </c>
      <c r="S67" s="96">
        <f>IF(S27=0,0,S27/TrRoad_act!S37*100)</f>
        <v>0</v>
      </c>
      <c r="T67" s="96">
        <f>IF(T27=0,0,T27/TrRoad_act!T37*100)</f>
        <v>3.8653490251312954</v>
      </c>
      <c r="U67" s="96">
        <f>IF(U27=0,0,U27/TrRoad_act!U37*100)</f>
        <v>5.76057428468956</v>
      </c>
      <c r="V67" s="96">
        <f>IF(V27=0,0,V27/TrRoad_act!V37*100)</f>
        <v>5.6309275640914933</v>
      </c>
      <c r="W67" s="96">
        <f>IF(W27=0,0,W27/TrRoad_act!W37*100)</f>
        <v>5.5263693110078869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3.1504353064750905</v>
      </c>
      <c r="O68" s="96">
        <f>IF(O29=0,0,O29/TrRoad_act!O38*100)</f>
        <v>3.5963847640795312</v>
      </c>
      <c r="P68" s="96">
        <f>IF(P29=0,0,P29/TrRoad_act!P38*100)</f>
        <v>3.6918674888698439</v>
      </c>
      <c r="Q68" s="96">
        <f>IF(Q29=0,0,Q29/TrRoad_act!Q38*100)</f>
        <v>3.3593017185323815</v>
      </c>
      <c r="R68" s="96">
        <f>IF(R29=0,0,R29/TrRoad_act!R38*100)</f>
        <v>3.1431886360946968</v>
      </c>
      <c r="S68" s="96">
        <f>IF(S29=0,0,S29/TrRoad_act!S38*100)</f>
        <v>3.328316926679372</v>
      </c>
      <c r="T68" s="96">
        <f>IF(T29=0,0,T29/TrRoad_act!T38*100)</f>
        <v>3.3381950483287466</v>
      </c>
      <c r="U68" s="96">
        <f>IF(U29=0,0,U29/TrRoad_act!U38*100)</f>
        <v>3.3464263898913984</v>
      </c>
      <c r="V68" s="96">
        <f>IF(V29=0,0,V29/TrRoad_act!V38*100)</f>
        <v>3.824612049331793</v>
      </c>
      <c r="W68" s="96">
        <f>IF(W29=0,0,W29/TrRoad_act!W38*100)</f>
        <v>3.5239201178505395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0</v>
      </c>
      <c r="N69" s="96">
        <f>IF(N32=0,0,N32/TrRoad_act!N39*100)</f>
        <v>1.5046034526581142</v>
      </c>
      <c r="O69" s="96">
        <f>IF(O32=0,0,O32/TrRoad_act!O39*100)</f>
        <v>1.5286111407917242</v>
      </c>
      <c r="P69" s="96">
        <f>IF(P32=0,0,P32/TrRoad_act!P39*100)</f>
        <v>1.1789533716587255</v>
      </c>
      <c r="Q69" s="96">
        <f>IF(Q32=0,0,Q32/TrRoad_act!Q39*100)</f>
        <v>1.2321336172070383</v>
      </c>
      <c r="R69" s="96">
        <f>IF(R32=0,0,R32/TrRoad_act!R39*100)</f>
        <v>1.2819650796740287</v>
      </c>
      <c r="S69" s="96">
        <f>IF(S32=0,0,S32/TrRoad_act!S39*100)</f>
        <v>1.3054835707730486</v>
      </c>
      <c r="T69" s="96">
        <f>IF(T32=0,0,T32/TrRoad_act!T39*100)</f>
        <v>1.3971967001101042</v>
      </c>
      <c r="U69" s="96">
        <f>IF(U32=0,0,U32/TrRoad_act!U39*100)</f>
        <v>1.5184171719496844</v>
      </c>
      <c r="V69" s="96">
        <f>IF(V32=0,0,V32/TrRoad_act!V39*100)</f>
        <v>1.5993198720359603</v>
      </c>
      <c r="W69" s="96">
        <f>IF(W32=0,0,W32/TrRoad_act!W39*100)</f>
        <v>1.6417901295815649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58.666539157628939</v>
      </c>
      <c r="C70" s="130">
        <f>IF(C33=0,0,C33/TrRoad_act!C40*100)</f>
        <v>63.478890954606804</v>
      </c>
      <c r="D70" s="130">
        <f>IF(D33=0,0,D33/TrRoad_act!D40*100)</f>
        <v>59.798673930666368</v>
      </c>
      <c r="E70" s="130">
        <f>IF(E33=0,0,E33/TrRoad_act!E40*100)</f>
        <v>58.606060343992382</v>
      </c>
      <c r="F70" s="130">
        <f>IF(F33=0,0,F33/TrRoad_act!F40*100)</f>
        <v>58.618258780114253</v>
      </c>
      <c r="G70" s="130">
        <f>IF(G33=0,0,G33/TrRoad_act!G40*100)</f>
        <v>58.665332160354701</v>
      </c>
      <c r="H70" s="130">
        <f>IF(H33=0,0,H33/TrRoad_act!H40*100)</f>
        <v>59.381437729852081</v>
      </c>
      <c r="I70" s="130">
        <f>IF(I33=0,0,I33/TrRoad_act!I40*100)</f>
        <v>60.190574582072884</v>
      </c>
      <c r="J70" s="130">
        <f>IF(J33=0,0,J33/TrRoad_act!J40*100)</f>
        <v>58.50960979365265</v>
      </c>
      <c r="K70" s="130">
        <f>IF(K33=0,0,K33/TrRoad_act!K40*100)</f>
        <v>55.509918341926458</v>
      </c>
      <c r="L70" s="130">
        <f>IF(L33=0,0,L33/TrRoad_act!L40*100)</f>
        <v>60.030931752365227</v>
      </c>
      <c r="M70" s="130">
        <f>IF(M33=0,0,M33/TrRoad_act!M40*100)</f>
        <v>56.044609322198205</v>
      </c>
      <c r="N70" s="130">
        <f>IF(N33=0,0,N33/TrRoad_act!N40*100)</f>
        <v>55.683201343914369</v>
      </c>
      <c r="O70" s="130">
        <f>IF(O33=0,0,O33/TrRoad_act!O40*100)</f>
        <v>55.550454576072163</v>
      </c>
      <c r="P70" s="130">
        <f>IF(P33=0,0,P33/TrRoad_act!P40*100)</f>
        <v>55.07332851760809</v>
      </c>
      <c r="Q70" s="130">
        <f>IF(Q33=0,0,Q33/TrRoad_act!Q40*100)</f>
        <v>55.368459115378734</v>
      </c>
      <c r="R70" s="130">
        <f>IF(R33=0,0,R33/TrRoad_act!R40*100)</f>
        <v>54.754459391764023</v>
      </c>
      <c r="S70" s="130">
        <f>IF(S33=0,0,S33/TrRoad_act!S40*100)</f>
        <v>55.681713323467818</v>
      </c>
      <c r="T70" s="130">
        <f>IF(T33=0,0,T33/TrRoad_act!T40*100)</f>
        <v>55.804326283869962</v>
      </c>
      <c r="U70" s="130">
        <f>IF(U33=0,0,U33/TrRoad_act!U40*100)</f>
        <v>55.357656228655117</v>
      </c>
      <c r="V70" s="130">
        <f>IF(V33=0,0,V33/TrRoad_act!V40*100)</f>
        <v>54.491976120541608</v>
      </c>
      <c r="W70" s="130">
        <f>IF(W33=0,0,W33/TrRoad_act!W40*100)</f>
        <v>54.37621141049209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22.511439666525281</v>
      </c>
      <c r="C71" s="97">
        <f>IF(C34=0,0,C34/TrRoad_act!C41*100)</f>
        <v>21.318935054550924</v>
      </c>
      <c r="D71" s="97">
        <f>IF(D34=0,0,D34/TrRoad_act!D41*100)</f>
        <v>21.199688842962061</v>
      </c>
      <c r="E71" s="97">
        <f>IF(E34=0,0,E34/TrRoad_act!E41*100)</f>
        <v>21.10551855336869</v>
      </c>
      <c r="F71" s="97">
        <f>IF(F34=0,0,F34/TrRoad_act!F41*100)</f>
        <v>21.032881580817023</v>
      </c>
      <c r="G71" s="97">
        <f>IF(G34=0,0,G34/TrRoad_act!G41*100)</f>
        <v>20.942558316260211</v>
      </c>
      <c r="H71" s="97">
        <f>IF(H34=0,0,H34/TrRoad_act!H41*100)</f>
        <v>20.845674798582319</v>
      </c>
      <c r="I71" s="97">
        <f>IF(I34=0,0,I34/TrRoad_act!I41*100)</f>
        <v>20.665779021273742</v>
      </c>
      <c r="J71" s="97">
        <f>IF(J34=0,0,J34/TrRoad_act!J41*100)</f>
        <v>20.523552002867167</v>
      </c>
      <c r="K71" s="97">
        <f>IF(K34=0,0,K34/TrRoad_act!K41*100)</f>
        <v>20.375439250092743</v>
      </c>
      <c r="L71" s="97">
        <f>IF(L34=0,0,L34/TrRoad_act!L41*100)</f>
        <v>20.207910739009545</v>
      </c>
      <c r="M71" s="97">
        <f>IF(M34=0,0,M34/TrRoad_act!M41*100)</f>
        <v>19.754834281506835</v>
      </c>
      <c r="N71" s="97">
        <f>IF(N34=0,0,N34/TrRoad_act!N41*100)</f>
        <v>19.543997044842317</v>
      </c>
      <c r="O71" s="97">
        <f>IF(O34=0,0,O34/TrRoad_act!O41*100)</f>
        <v>19.107881499323025</v>
      </c>
      <c r="P71" s="97">
        <f>IF(P34=0,0,P34/TrRoad_act!P41*100)</f>
        <v>18.918131557365427</v>
      </c>
      <c r="Q71" s="97">
        <f>IF(Q34=0,0,Q34/TrRoad_act!Q41*100)</f>
        <v>18.686958582524568</v>
      </c>
      <c r="R71" s="97">
        <f>IF(R34=0,0,R34/TrRoad_act!R41*100)</f>
        <v>18.416045614053282</v>
      </c>
      <c r="S71" s="97">
        <f>IF(S34=0,0,S34/TrRoad_act!S41*100)</f>
        <v>18.346997954111892</v>
      </c>
      <c r="T71" s="97">
        <f>IF(T34=0,0,T34/TrRoad_act!T41*100)</f>
        <v>18.212829333543116</v>
      </c>
      <c r="U71" s="97">
        <f>IF(U34=0,0,U34/TrRoad_act!U41*100)</f>
        <v>18.128709646100425</v>
      </c>
      <c r="V71" s="97">
        <f>IF(V34=0,0,V34/TrRoad_act!V41*100)</f>
        <v>17.957412668242114</v>
      </c>
      <c r="W71" s="97">
        <f>IF(W34=0,0,W34/TrRoad_act!W41*100)</f>
        <v>18.02728178744692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63.116020612358717</v>
      </c>
      <c r="C72" s="97">
        <f>IF(C36=0,0,C36/TrRoad_act!C42*100)</f>
        <v>68.544367890198089</v>
      </c>
      <c r="D72" s="97">
        <f>IF(D36=0,0,D36/TrRoad_act!D42*100)</f>
        <v>64.335129464976831</v>
      </c>
      <c r="E72" s="97">
        <f>IF(E36=0,0,E36/TrRoad_act!E42*100)</f>
        <v>62.511170408955998</v>
      </c>
      <c r="F72" s="97">
        <f>IF(F36=0,0,F36/TrRoad_act!F42*100)</f>
        <v>62.36389543607703</v>
      </c>
      <c r="G72" s="97">
        <f>IF(G36=0,0,G36/TrRoad_act!G42*100)</f>
        <v>62.564507229421771</v>
      </c>
      <c r="H72" s="97">
        <f>IF(H36=0,0,H36/TrRoad_act!H42*100)</f>
        <v>63.126563650547418</v>
      </c>
      <c r="I72" s="97">
        <f>IF(I36=0,0,I36/TrRoad_act!I42*100)</f>
        <v>64.015711824822262</v>
      </c>
      <c r="J72" s="97">
        <f>IF(J36=0,0,J36/TrRoad_act!J42*100)</f>
        <v>62.214708496955453</v>
      </c>
      <c r="K72" s="97">
        <f>IF(K36=0,0,K36/TrRoad_act!K42*100)</f>
        <v>59.148288299982411</v>
      </c>
      <c r="L72" s="97">
        <f>IF(L36=0,0,L36/TrRoad_act!L42*100)</f>
        <v>64.677337485484102</v>
      </c>
      <c r="M72" s="97">
        <f>IF(M36=0,0,M36/TrRoad_act!M42*100)</f>
        <v>59.319509899439119</v>
      </c>
      <c r="N72" s="97">
        <f>IF(N36=0,0,N36/TrRoad_act!N42*100)</f>
        <v>58.584616585289282</v>
      </c>
      <c r="O72" s="97">
        <f>IF(O36=0,0,O36/TrRoad_act!O42*100)</f>
        <v>58.068961203682434</v>
      </c>
      <c r="P72" s="97">
        <f>IF(P36=0,0,P36/TrRoad_act!P42*100)</f>
        <v>57.355590023851846</v>
      </c>
      <c r="Q72" s="97">
        <f>IF(Q36=0,0,Q36/TrRoad_act!Q42*100)</f>
        <v>57.693507250278927</v>
      </c>
      <c r="R72" s="97">
        <f>IF(R36=0,0,R36/TrRoad_act!R42*100)</f>
        <v>57.043163156405349</v>
      </c>
      <c r="S72" s="97">
        <f>IF(S36=0,0,S36/TrRoad_act!S42*100)</f>
        <v>57.754468449392469</v>
      </c>
      <c r="T72" s="97">
        <f>IF(T36=0,0,T36/TrRoad_act!T42*100)</f>
        <v>57.919974986277069</v>
      </c>
      <c r="U72" s="97">
        <f>IF(U36=0,0,U36/TrRoad_act!U42*100)</f>
        <v>57.5936821318734</v>
      </c>
      <c r="V72" s="97">
        <f>IF(V36=0,0,V36/TrRoad_act!V42*100)</f>
        <v>57.028528730342877</v>
      </c>
      <c r="W72" s="97">
        <f>IF(W36=0,0,W36/TrRoad_act!W42*100)</f>
        <v>57.752118328138202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46.930207508954503</v>
      </c>
      <c r="S73" s="97">
        <f>IF(S38=0,0,S38/TrRoad_act!S43*100)</f>
        <v>46.93020750895451</v>
      </c>
      <c r="T73" s="97">
        <f>IF(T38=0,0,T38/TrRoad_act!T43*100)</f>
        <v>46.93020750895451</v>
      </c>
      <c r="U73" s="97">
        <f>IF(U38=0,0,U38/TrRoad_act!U43*100)</f>
        <v>46.93020750895451</v>
      </c>
      <c r="V73" s="97">
        <f>IF(V38=0,0,V38/TrRoad_act!V43*100)</f>
        <v>46.93020750895451</v>
      </c>
      <c r="W73" s="97">
        <f>IF(W38=0,0,W38/TrRoad_act!W43*100)</f>
        <v>46.93020750895451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45.774722764719961</v>
      </c>
      <c r="C74" s="97">
        <f>IF(C39=0,0,C39/TrRoad_act!C44*100)</f>
        <v>57.03466401133911</v>
      </c>
      <c r="D74" s="97">
        <f>IF(D39=0,0,D39/TrRoad_act!D44*100)</f>
        <v>46.258840144102429</v>
      </c>
      <c r="E74" s="97">
        <f>IF(E39=0,0,E39/TrRoad_act!E44*100)</f>
        <v>46.191532258831131</v>
      </c>
      <c r="F74" s="97">
        <f>IF(F39=0,0,F39/TrRoad_act!F44*100)</f>
        <v>46.007123969570898</v>
      </c>
      <c r="G74" s="97">
        <f>IF(G39=0,0,G39/TrRoad_act!G44*100)</f>
        <v>44.805919059517272</v>
      </c>
      <c r="H74" s="97">
        <f>IF(H39=0,0,H39/TrRoad_act!H44*100)</f>
        <v>48.043213549866678</v>
      </c>
      <c r="I74" s="97">
        <f>IF(I39=0,0,I39/TrRoad_act!I44*100)</f>
        <v>50.914318954600013</v>
      </c>
      <c r="J74" s="97">
        <f>IF(J39=0,0,J39/TrRoad_act!J44*100)</f>
        <v>68.428256222285611</v>
      </c>
      <c r="K74" s="97">
        <f>IF(K39=0,0,K39/TrRoad_act!K44*100)</f>
        <v>105.46698037032232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0</v>
      </c>
      <c r="U74" s="97">
        <f>IF(U39=0,0,U39/TrRoad_act!U44*100)</f>
        <v>40.395622377793842</v>
      </c>
      <c r="V74" s="97">
        <f>IF(V39=0,0,V39/TrRoad_act!V44*100)</f>
        <v>46.607266834262326</v>
      </c>
      <c r="W74" s="97">
        <f>IF(W39=0,0,W39/TrRoad_act!W44*100)</f>
        <v>53.140018140088671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40.342795593448315</v>
      </c>
      <c r="C75" s="97">
        <f>IF(C41=0,0,C41/TrRoad_act!C45*100)</f>
        <v>36.556466700713599</v>
      </c>
      <c r="D75" s="97">
        <f>IF(D41=0,0,D41/TrRoad_act!D45*100)</f>
        <v>36.556466700713599</v>
      </c>
      <c r="E75" s="97">
        <f>IF(E41=0,0,E41/TrRoad_act!E45*100)</f>
        <v>36.550937698548609</v>
      </c>
      <c r="F75" s="97">
        <f>IF(F41=0,0,F41/TrRoad_act!F45*100)</f>
        <v>36.550937698548601</v>
      </c>
      <c r="G75" s="97">
        <f>IF(G41=0,0,G41/TrRoad_act!G45*100)</f>
        <v>36.178829987715076</v>
      </c>
      <c r="H75" s="97">
        <f>IF(H41=0,0,H41/TrRoad_act!H45*100)</f>
        <v>36.158924393849986</v>
      </c>
      <c r="I75" s="97">
        <f>IF(I41=0,0,I41/TrRoad_act!I45*100)</f>
        <v>36.071257232535935</v>
      </c>
      <c r="J75" s="97">
        <f>IF(J41=0,0,J41/TrRoad_act!J45*100)</f>
        <v>36.036994631287108</v>
      </c>
      <c r="K75" s="97">
        <f>IF(K41=0,0,K41/TrRoad_act!K45*100)</f>
        <v>36.052435293632826</v>
      </c>
      <c r="L75" s="97">
        <f>IF(L41=0,0,L41/TrRoad_act!L45*100)</f>
        <v>36.101970209252507</v>
      </c>
      <c r="M75" s="97">
        <f>IF(M41=0,0,M41/TrRoad_act!M45*100)</f>
        <v>36.094668041524628</v>
      </c>
      <c r="N75" s="97">
        <f>IF(N41=0,0,N41/TrRoad_act!N45*100)</f>
        <v>36.096861057185073</v>
      </c>
      <c r="O75" s="97">
        <f>IF(O41=0,0,O41/TrRoad_act!O45*100)</f>
        <v>36.093753701168495</v>
      </c>
      <c r="P75" s="97">
        <f>IF(P41=0,0,P41/TrRoad_act!P45*100)</f>
        <v>36.129492145317762</v>
      </c>
      <c r="Q75" s="97">
        <f>IF(Q41=0,0,Q41/TrRoad_act!Q45*100)</f>
        <v>36.267295611011299</v>
      </c>
      <c r="R75" s="97">
        <f>IF(R41=0,0,R41/TrRoad_act!R45*100)</f>
        <v>36.404661048305194</v>
      </c>
      <c r="S75" s="97">
        <f>IF(S41=0,0,S41/TrRoad_act!S45*100)</f>
        <v>36.460273465499981</v>
      </c>
      <c r="T75" s="97">
        <f>IF(T41=0,0,T41/TrRoad_act!T45*100)</f>
        <v>36.517110053181277</v>
      </c>
      <c r="U75" s="97">
        <f>IF(U41=0,0,U41/TrRoad_act!U45*100)</f>
        <v>36.599487736010452</v>
      </c>
      <c r="V75" s="97">
        <f>IF(V41=0,0,V41/TrRoad_act!V45*100)</f>
        <v>36.820792099243796</v>
      </c>
      <c r="W75" s="97">
        <f>IF(W41=0,0,W41/TrRoad_act!W45*100)</f>
        <v>36.914575528314892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25.9086085674472</v>
      </c>
      <c r="C76" s="32">
        <f>IF(C42=0,0,C42/TrRoad_act!C46*100)</f>
        <v>32.555877021463623</v>
      </c>
      <c r="D76" s="32">
        <f>IF(D42=0,0,D42/TrRoad_act!D46*100)</f>
        <v>28.632743170072551</v>
      </c>
      <c r="E76" s="32">
        <f>IF(E42=0,0,E42/TrRoad_act!E46*100)</f>
        <v>29.384128423258648</v>
      </c>
      <c r="F76" s="32">
        <f>IF(F42=0,0,F42/TrRoad_act!F46*100)</f>
        <v>27.935368524267879</v>
      </c>
      <c r="G76" s="32">
        <f>IF(G42=0,0,G42/TrRoad_act!G46*100)</f>
        <v>30.012820788653976</v>
      </c>
      <c r="H76" s="32">
        <f>IF(H42=0,0,H42/TrRoad_act!H46*100)</f>
        <v>31.364875663244916</v>
      </c>
      <c r="I76" s="32">
        <f>IF(I42=0,0,I42/TrRoad_act!I46*100)</f>
        <v>32.764821001188061</v>
      </c>
      <c r="J76" s="32">
        <f>IF(J42=0,0,J42/TrRoad_act!J46*100)</f>
        <v>30.651248106999862</v>
      </c>
      <c r="K76" s="32">
        <f>IF(K42=0,0,K42/TrRoad_act!K46*100)</f>
        <v>26.872662030972666</v>
      </c>
      <c r="L76" s="32">
        <f>IF(L42=0,0,L42/TrRoad_act!L46*100)</f>
        <v>35.539767558727199</v>
      </c>
      <c r="M76" s="32">
        <f>IF(M42=0,0,M42/TrRoad_act!M46*100)</f>
        <v>27.961287175018136</v>
      </c>
      <c r="N76" s="32">
        <f>IF(N42=0,0,N42/TrRoad_act!N46*100)</f>
        <v>25.781696417706996</v>
      </c>
      <c r="O76" s="32">
        <f>IF(O42=0,0,O42/TrRoad_act!O46*100)</f>
        <v>23.788128142142952</v>
      </c>
      <c r="P76" s="32">
        <f>IF(P42=0,0,P42/TrRoad_act!P46*100)</f>
        <v>22.502450728913182</v>
      </c>
      <c r="Q76" s="32">
        <f>IF(Q42=0,0,Q42/TrRoad_act!Q46*100)</f>
        <v>22.919890653008618</v>
      </c>
      <c r="R76" s="32">
        <f>IF(R42=0,0,R42/TrRoad_act!R46*100)</f>
        <v>21.831613065601132</v>
      </c>
      <c r="S76" s="32">
        <f>IF(S42=0,0,S42/TrRoad_act!S46*100)</f>
        <v>22.51539783249325</v>
      </c>
      <c r="T76" s="32">
        <f>IF(T42=0,0,T42/TrRoad_act!T46*100)</f>
        <v>22.544433506862475</v>
      </c>
      <c r="U76" s="32">
        <f>IF(U42=0,0,U42/TrRoad_act!U46*100)</f>
        <v>21.211578568974062</v>
      </c>
      <c r="V76" s="32">
        <f>IF(V42=0,0,V42/TrRoad_act!V46*100)</f>
        <v>20.231992156273833</v>
      </c>
      <c r="W76" s="32">
        <f>IF(W42=0,0,W42/TrRoad_act!W46*100)</f>
        <v>21.190661405531312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10.380281185966409</v>
      </c>
      <c r="C77" s="141">
        <f>IF(C43=0,0,C43/TrRoad_act!C47*100)</f>
        <v>10.75815045510306</v>
      </c>
      <c r="D77" s="141">
        <f>IF(D43=0,0,D43/TrRoad_act!D47*100)</f>
        <v>10.393826716847462</v>
      </c>
      <c r="E77" s="141">
        <f>IF(E43=0,0,E43/TrRoad_act!E47*100)</f>
        <v>10.106924881510771</v>
      </c>
      <c r="F77" s="141">
        <f>IF(F43=0,0,F43/TrRoad_act!F47*100)</f>
        <v>10.177354586670781</v>
      </c>
      <c r="G77" s="141">
        <f>IF(G43=0,0,G43/TrRoad_act!G47*100)</f>
        <v>10.098142226798876</v>
      </c>
      <c r="H77" s="141">
        <f>IF(H43=0,0,H43/TrRoad_act!H47*100)</f>
        <v>10.216728323340359</v>
      </c>
      <c r="I77" s="141">
        <f>IF(I43=0,0,I43/TrRoad_act!I47*100)</f>
        <v>10.407266682349219</v>
      </c>
      <c r="J77" s="141">
        <f>IF(J43=0,0,J43/TrRoad_act!J47*100)</f>
        <v>10.23210179407301</v>
      </c>
      <c r="K77" s="141">
        <f>IF(K43=0,0,K43/TrRoad_act!K47*100)</f>
        <v>9.8285422331549555</v>
      </c>
      <c r="L77" s="141">
        <f>IF(L43=0,0,L43/TrRoad_act!L47*100)</f>
        <v>10.776469756245044</v>
      </c>
      <c r="M77" s="141">
        <f>IF(M43=0,0,M43/TrRoad_act!M47*100)</f>
        <v>9.9803048408659336</v>
      </c>
      <c r="N77" s="141">
        <f>IF(N43=0,0,N43/TrRoad_act!N47*100)</f>
        <v>9.8407980933302071</v>
      </c>
      <c r="O77" s="141">
        <f>IF(O43=0,0,O43/TrRoad_act!O47*100)</f>
        <v>9.6904787383893041</v>
      </c>
      <c r="P77" s="141">
        <f>IF(P43=0,0,P43/TrRoad_act!P47*100)</f>
        <v>9.4951957931328721</v>
      </c>
      <c r="Q77" s="141">
        <f>IF(Q43=0,0,Q43/TrRoad_act!Q47*100)</f>
        <v>9.4205233343001442</v>
      </c>
      <c r="R77" s="141">
        <f>IF(R43=0,0,R43/TrRoad_act!R47*100)</f>
        <v>9.1963283031562906</v>
      </c>
      <c r="S77" s="141">
        <f>IF(S43=0,0,S43/TrRoad_act!S47*100)</f>
        <v>9.1629299036321754</v>
      </c>
      <c r="T77" s="141">
        <f>IF(T43=0,0,T43/TrRoad_act!T47*100)</f>
        <v>9.06760974266661</v>
      </c>
      <c r="U77" s="141">
        <f>IF(U43=0,0,U43/TrRoad_act!U47*100)</f>
        <v>8.8999288904183675</v>
      </c>
      <c r="V77" s="141">
        <f>IF(V43=0,0,V43/TrRoad_act!V47*100)</f>
        <v>8.7690683400079763</v>
      </c>
      <c r="W77" s="141">
        <f>IF(W43=0,0,W43/TrRoad_act!W47*100)</f>
        <v>8.8293659379466405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9.4429891597569835</v>
      </c>
      <c r="C78" s="96">
        <f>IF(C44=0,0,C44/TrRoad_act!C48*100)</f>
        <v>9.3097068090896737</v>
      </c>
      <c r="D78" s="96">
        <f>IF(D44=0,0,D44/TrRoad_act!D48*100)</f>
        <v>9.2653032305800931</v>
      </c>
      <c r="E78" s="96">
        <f>IF(E44=0,0,E44/TrRoad_act!E48*100)</f>
        <v>9.1683488541115441</v>
      </c>
      <c r="F78" s="96">
        <f>IF(F44=0,0,F44/TrRoad_act!F48*100)</f>
        <v>9.0873826539563183</v>
      </c>
      <c r="G78" s="96">
        <f>IF(G44=0,0,G44/TrRoad_act!G48*100)</f>
        <v>8.9916666282959117</v>
      </c>
      <c r="H78" s="96">
        <f>IF(H44=0,0,H44/TrRoad_act!H48*100)</f>
        <v>8.8785569819261898</v>
      </c>
      <c r="I78" s="96">
        <f>IF(I44=0,0,I44/TrRoad_act!I48*100)</f>
        <v>8.7895567728412871</v>
      </c>
      <c r="J78" s="96">
        <f>IF(J44=0,0,J44/TrRoad_act!J48*100)</f>
        <v>8.6887605374493848</v>
      </c>
      <c r="K78" s="96">
        <f>IF(K44=0,0,K44/TrRoad_act!K48*100)</f>
        <v>8.568867674804304</v>
      </c>
      <c r="L78" s="96">
        <f>IF(L44=0,0,L44/TrRoad_act!L48*100)</f>
        <v>8.3413999736062561</v>
      </c>
      <c r="M78" s="96">
        <f>IF(M44=0,0,M44/TrRoad_act!M48*100)</f>
        <v>8.32778582291267</v>
      </c>
      <c r="N78" s="96">
        <f>IF(N44=0,0,N44/TrRoad_act!N48*100)</f>
        <v>8.2702392631535524</v>
      </c>
      <c r="O78" s="96">
        <f>IF(O44=0,0,O44/TrRoad_act!O48*100)</f>
        <v>8.2158577358325928</v>
      </c>
      <c r="P78" s="96">
        <f>IF(P44=0,0,P44/TrRoad_act!P48*100)</f>
        <v>8.1389074032784272</v>
      </c>
      <c r="Q78" s="96">
        <f>IF(Q44=0,0,Q44/TrRoad_act!Q48*100)</f>
        <v>8.0706849423971292</v>
      </c>
      <c r="R78" s="96">
        <f>IF(R44=0,0,R44/TrRoad_act!R48*100)</f>
        <v>7.9941539169494815</v>
      </c>
      <c r="S78" s="96">
        <f>IF(S44=0,0,S44/TrRoad_act!S48*100)</f>
        <v>7.9482209618641244</v>
      </c>
      <c r="T78" s="96">
        <f>IF(T44=0,0,T44/TrRoad_act!T48*100)</f>
        <v>8.0567101337186706</v>
      </c>
      <c r="U78" s="96">
        <f>IF(U44=0,0,U44/TrRoad_act!U48*100)</f>
        <v>8.0729549404424414</v>
      </c>
      <c r="V78" s="96">
        <f>IF(V44=0,0,V44/TrRoad_act!V48*100)</f>
        <v>8.038368991725477</v>
      </c>
      <c r="W78" s="96">
        <f>IF(W44=0,0,W44/TrRoad_act!W48*100)</f>
        <v>8.0071967750711739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11.045849373972347</v>
      </c>
      <c r="C79" s="96">
        <f>IF(C46=0,0,C46/TrRoad_act!C49*100)</f>
        <v>11.59798182050589</v>
      </c>
      <c r="D79" s="96">
        <f>IF(D46=0,0,D46/TrRoad_act!D49*100)</f>
        <v>10.820567829559275</v>
      </c>
      <c r="E79" s="96">
        <f>IF(E46=0,0,E46/TrRoad_act!E49*100)</f>
        <v>10.495470798824442</v>
      </c>
      <c r="F79" s="96">
        <f>IF(F46=0,0,F46/TrRoad_act!F49*100)</f>
        <v>10.488946885231584</v>
      </c>
      <c r="G79" s="96">
        <f>IF(G46=0,0,G46/TrRoad_act!G49*100)</f>
        <v>10.438734681898161</v>
      </c>
      <c r="H79" s="96">
        <f>IF(H46=0,0,H46/TrRoad_act!H49*100)</f>
        <v>10.590381646261754</v>
      </c>
      <c r="I79" s="96">
        <f>IF(I46=0,0,I46/TrRoad_act!I49*100)</f>
        <v>10.789386246996646</v>
      </c>
      <c r="J79" s="96">
        <f>IF(J46=0,0,J46/TrRoad_act!J49*100)</f>
        <v>10.52080577551839</v>
      </c>
      <c r="K79" s="96">
        <f>IF(K46=0,0,K46/TrRoad_act!K49*100)</f>
        <v>10.024030383816248</v>
      </c>
      <c r="L79" s="96">
        <f>IF(L46=0,0,L46/TrRoad_act!L49*100)</f>
        <v>10.967536928082705</v>
      </c>
      <c r="M79" s="96">
        <f>IF(M46=0,0,M46/TrRoad_act!M49*100)</f>
        <v>10.092442027727435</v>
      </c>
      <c r="N79" s="96">
        <f>IF(N46=0,0,N46/TrRoad_act!N49*100)</f>
        <v>9.9384147724928109</v>
      </c>
      <c r="O79" s="96">
        <f>IF(O46=0,0,O46/TrRoad_act!O49*100)</f>
        <v>9.7582208464743232</v>
      </c>
      <c r="P79" s="96">
        <f>IF(P46=0,0,P46/TrRoad_act!P49*100)</f>
        <v>9.5385707113580125</v>
      </c>
      <c r="Q79" s="96">
        <f>IF(Q46=0,0,Q46/TrRoad_act!Q49*100)</f>
        <v>9.4596176769870191</v>
      </c>
      <c r="R79" s="96">
        <f>IF(R46=0,0,R46/TrRoad_act!R49*100)</f>
        <v>9.2235133347685458</v>
      </c>
      <c r="S79" s="96">
        <f>IF(S46=0,0,S46/TrRoad_act!S49*100)</f>
        <v>9.1882130124126391</v>
      </c>
      <c r="T79" s="96">
        <f>IF(T46=0,0,T46/TrRoad_act!T49*100)</f>
        <v>9.087778838385562</v>
      </c>
      <c r="U79" s="96">
        <f>IF(U46=0,0,U46/TrRoad_act!U49*100)</f>
        <v>8.915267455325262</v>
      </c>
      <c r="V79" s="96">
        <f>IF(V46=0,0,V46/TrRoad_act!V49*100)</f>
        <v>8.7808349620963906</v>
      </c>
      <c r="W79" s="96">
        <f>IF(W46=0,0,W46/TrRoad_act!W49*100)</f>
        <v>8.8434634055206232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8.8708786080390887</v>
      </c>
      <c r="O80" s="96">
        <f>IF(O48=0,0,O48/TrRoad_act!O50*100)</f>
        <v>8.8708786080390887</v>
      </c>
      <c r="P80" s="96">
        <f>IF(P48=0,0,P48/TrRoad_act!P50*100)</f>
        <v>8.4333007543159866</v>
      </c>
      <c r="Q80" s="96">
        <f>IF(Q48=0,0,Q48/TrRoad_act!Q50*100)</f>
        <v>8.5329277862111965</v>
      </c>
      <c r="R80" s="96">
        <f>IF(R48=0,0,R48/TrRoad_act!R50*100)</f>
        <v>10.33225999615239</v>
      </c>
      <c r="S80" s="96">
        <f>IF(S48=0,0,S48/TrRoad_act!S50*100)</f>
        <v>9.6672519732416315</v>
      </c>
      <c r="T80" s="96">
        <f>IF(T48=0,0,T48/TrRoad_act!T50*100)</f>
        <v>9.2526941981639634</v>
      </c>
      <c r="U80" s="96">
        <f>IF(U48=0,0,U48/TrRoad_act!U50*100)</f>
        <v>8.9529289622272596</v>
      </c>
      <c r="V80" s="96">
        <f>IF(V48=0,0,V48/TrRoad_act!V50*100)</f>
        <v>8.9834892129502055</v>
      </c>
      <c r="W80" s="96">
        <f>IF(W48=0,0,W48/TrRoad_act!W50*100)</f>
        <v>9.0037348537564661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1.8071744813247999</v>
      </c>
      <c r="N82" s="96">
        <f>IF(N51=0,0,N51/TrRoad_act!N52*100)</f>
        <v>1.8071744813247994</v>
      </c>
      <c r="O82" s="96">
        <f>IF(O51=0,0,O51/TrRoad_act!O52*100)</f>
        <v>1.8071744813247994</v>
      </c>
      <c r="P82" s="96">
        <f>IF(P51=0,0,P51/TrRoad_act!P52*100)</f>
        <v>1.8561699846055384</v>
      </c>
      <c r="Q82" s="96">
        <f>IF(Q51=0,0,Q51/TrRoad_act!Q52*100)</f>
        <v>1.8348511180535862</v>
      </c>
      <c r="R82" s="96">
        <f>IF(R51=0,0,R51/TrRoad_act!R52*100)</f>
        <v>1.7521021365177165</v>
      </c>
      <c r="S82" s="96">
        <f>IF(S51=0,0,S51/TrRoad_act!S52*100)</f>
        <v>1.8661341041140349</v>
      </c>
      <c r="T82" s="96">
        <f>IF(T51=0,0,T51/TrRoad_act!T52*100)</f>
        <v>1.8916537625715109</v>
      </c>
      <c r="U82" s="96">
        <f>IF(U51=0,0,U51/TrRoad_act!U52*100)</f>
        <v>2.0216651340828102</v>
      </c>
      <c r="V82" s="96">
        <f>IF(V51=0,0,V51/TrRoad_act!V52*100)</f>
        <v>3.3398308098385141</v>
      </c>
      <c r="W82" s="96">
        <f>IF(W51=0,0,W51/TrRoad_act!W52*100)</f>
        <v>3.3305594215644017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42.689739845171481</v>
      </c>
      <c r="C83" s="130">
        <f>IF(C52=0,0,C52/TrRoad_act!C53*100)</f>
        <v>55.099717575428308</v>
      </c>
      <c r="D83" s="130">
        <f>IF(D52=0,0,D52/TrRoad_act!D53*100)</f>
        <v>48.865437426448572</v>
      </c>
      <c r="E83" s="130">
        <f>IF(E52=0,0,E52/TrRoad_act!E53*100)</f>
        <v>47.051851142403819</v>
      </c>
      <c r="F83" s="130">
        <f>IF(F52=0,0,F52/TrRoad_act!F53*100)</f>
        <v>49.375039904570414</v>
      </c>
      <c r="G83" s="130">
        <f>IF(G52=0,0,G52/TrRoad_act!G53*100)</f>
        <v>50.478369882306573</v>
      </c>
      <c r="H83" s="130">
        <f>IF(H52=0,0,H52/TrRoad_act!H53*100)</f>
        <v>54.331276106110515</v>
      </c>
      <c r="I83" s="130">
        <f>IF(I52=0,0,I52/TrRoad_act!I53*100)</f>
        <v>55.464904555610609</v>
      </c>
      <c r="J83" s="130">
        <f>IF(J52=0,0,J52/TrRoad_act!J53*100)</f>
        <v>52.944669477181527</v>
      </c>
      <c r="K83" s="130">
        <f>IF(K52=0,0,K52/TrRoad_act!K53*100)</f>
        <v>45.966831840082918</v>
      </c>
      <c r="L83" s="130">
        <f>IF(L52=0,0,L52/TrRoad_act!L53*100)</f>
        <v>61.913650612931839</v>
      </c>
      <c r="M83" s="130">
        <f>IF(M52=0,0,M52/TrRoad_act!M53*100)</f>
        <v>50.841028906464523</v>
      </c>
      <c r="N83" s="130">
        <f>IF(N52=0,0,N52/TrRoad_act!N53*100)</f>
        <v>50.705834071065205</v>
      </c>
      <c r="O83" s="130">
        <f>IF(O52=0,0,O52/TrRoad_act!O53*100)</f>
        <v>47.307882480927901</v>
      </c>
      <c r="P83" s="130">
        <f>IF(P52=0,0,P52/TrRoad_act!P53*100)</f>
        <v>46.497110466648621</v>
      </c>
      <c r="Q83" s="130">
        <f>IF(Q52=0,0,Q52/TrRoad_act!Q53*100)</f>
        <v>47.67452966879506</v>
      </c>
      <c r="R83" s="130">
        <f>IF(R52=0,0,R52/TrRoad_act!R53*100)</f>
        <v>44.68618305185587</v>
      </c>
      <c r="S83" s="130">
        <f>IF(S52=0,0,S52/TrRoad_act!S53*100)</f>
        <v>45.777180441881342</v>
      </c>
      <c r="T83" s="130">
        <f>IF(T52=0,0,T52/TrRoad_act!T53*100)</f>
        <v>45.460099284853953</v>
      </c>
      <c r="U83" s="130">
        <f>IF(U52=0,0,U52/TrRoad_act!U53*100)</f>
        <v>43.248437006112255</v>
      </c>
      <c r="V83" s="130">
        <f>IF(V52=0,0,V52/TrRoad_act!V53*100)</f>
        <v>40.099496867749508</v>
      </c>
      <c r="W83" s="130">
        <f>IF(W52=0,0,W52/TrRoad_act!W53*100)</f>
        <v>41.767170822180496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31.804885828128931</v>
      </c>
      <c r="C84" s="97">
        <f>IF(C53=0,0,C53/TrRoad_act!C54*100)</f>
        <v>32.948110654145182</v>
      </c>
      <c r="D84" s="97">
        <f>IF(D53=0,0,D53/TrRoad_act!D54*100)</f>
        <v>32.301836801588337</v>
      </c>
      <c r="E84" s="97">
        <f>IF(E53=0,0,E53/TrRoad_act!E54*100)</f>
        <v>32.069523474085329</v>
      </c>
      <c r="F84" s="97">
        <f>IF(F53=0,0,F53/TrRoad_act!F54*100)</f>
        <v>32.208817406670612</v>
      </c>
      <c r="G84" s="97">
        <f>IF(G53=0,0,G53/TrRoad_act!G54*100)</f>
        <v>32.240467122698689</v>
      </c>
      <c r="H84" s="97">
        <f>IF(H53=0,0,H53/TrRoad_act!H54*100)</f>
        <v>32.490833577202778</v>
      </c>
      <c r="I84" s="97">
        <f>IF(I53=0,0,I53/TrRoad_act!I54*100)</f>
        <v>32.508853650429884</v>
      </c>
      <c r="J84" s="97">
        <f>IF(J53=0,0,J53/TrRoad_act!J54*100)</f>
        <v>32.193341008542426</v>
      </c>
      <c r="K84" s="97">
        <f>IF(K53=0,0,K53/TrRoad_act!K54*100)</f>
        <v>31.54352545653461</v>
      </c>
      <c r="L84" s="97">
        <f>IF(L53=0,0,L53/TrRoad_act!L54*100)</f>
        <v>32.738528557218579</v>
      </c>
      <c r="M84" s="97">
        <f>IF(M53=0,0,M53/TrRoad_act!M54*100)</f>
        <v>31.619527901524503</v>
      </c>
      <c r="N84" s="97">
        <f>IF(N53=0,0,N53/TrRoad_act!N54*100)</f>
        <v>31.517635906924866</v>
      </c>
      <c r="O84" s="97">
        <f>IF(O53=0,0,O53/TrRoad_act!O54*100)</f>
        <v>31.026641224075046</v>
      </c>
      <c r="P84" s="97">
        <f>IF(P53=0,0,P53/TrRoad_act!P54*100)</f>
        <v>30.850218324963937</v>
      </c>
      <c r="Q84" s="97">
        <f>IF(Q53=0,0,Q53/TrRoad_act!Q54*100)</f>
        <v>30.932505647384961</v>
      </c>
      <c r="R84" s="97">
        <f>IF(R53=0,0,R53/TrRoad_act!R54*100)</f>
        <v>30.627668838342547</v>
      </c>
      <c r="S84" s="97">
        <f>IF(S53=0,0,S53/TrRoad_act!S54*100)</f>
        <v>30.690084644965367</v>
      </c>
      <c r="T84" s="97">
        <f>IF(T53=0,0,T53/TrRoad_act!T54*100)</f>
        <v>30.589740272341199</v>
      </c>
      <c r="U84" s="97">
        <f>IF(U53=0,0,U53/TrRoad_act!U54*100)</f>
        <v>30.33981157724326</v>
      </c>
      <c r="V84" s="97">
        <f>IF(V53=0,0,V53/TrRoad_act!V54*100)</f>
        <v>30.00974473078789</v>
      </c>
      <c r="W84" s="97">
        <f>IF(W53=0,0,W53/TrRoad_act!W54*100)</f>
        <v>30.182821575933744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101.81640536042427</v>
      </c>
      <c r="C85" s="98">
        <f>IF(C55=0,0,C55/TrRoad_act!C55*100)</f>
        <v>193.05108306559839</v>
      </c>
      <c r="D85" s="98">
        <f>IF(D55=0,0,D55/TrRoad_act!D55*100)</f>
        <v>166.10141020383014</v>
      </c>
      <c r="E85" s="98">
        <f>IF(E55=0,0,E55/TrRoad_act!E55*100)</f>
        <v>165.13904054823209</v>
      </c>
      <c r="F85" s="98">
        <f>IF(F55=0,0,F55/TrRoad_act!F55*100)</f>
        <v>157.85583672963679</v>
      </c>
      <c r="G85" s="98">
        <f>IF(G55=0,0,G55/TrRoad_act!G55*100)</f>
        <v>175.58777422433823</v>
      </c>
      <c r="H85" s="98">
        <f>IF(H55=0,0,H55/TrRoad_act!H55*100)</f>
        <v>178.12128047019209</v>
      </c>
      <c r="I85" s="98">
        <f>IF(I55=0,0,I55/TrRoad_act!I55*100)</f>
        <v>191.19944920999322</v>
      </c>
      <c r="J85" s="98">
        <f>IF(J55=0,0,J55/TrRoad_act!J55*100)</f>
        <v>170.39375141483757</v>
      </c>
      <c r="K85" s="98">
        <f>IF(K55=0,0,K55/TrRoad_act!K55*100)</f>
        <v>143.14670523567764</v>
      </c>
      <c r="L85" s="98">
        <f>IF(L55=0,0,L55/TrRoad_act!L55*100)</f>
        <v>218.08115804251381</v>
      </c>
      <c r="M85" s="98">
        <f>IF(M55=0,0,M55/TrRoad_act!M55*100)</f>
        <v>123.26144251969684</v>
      </c>
      <c r="N85" s="98">
        <f>IF(N55=0,0,N55/TrRoad_act!N55*100)</f>
        <v>104.71175793311119</v>
      </c>
      <c r="O85" s="98">
        <f>IF(O55=0,0,O55/TrRoad_act!O55*100)</f>
        <v>89.86106580349076</v>
      </c>
      <c r="P85" s="98">
        <f>IF(P55=0,0,P55/TrRoad_act!P55*100)</f>
        <v>86.305886794985256</v>
      </c>
      <c r="Q85" s="98">
        <f>IF(Q55=0,0,Q55/TrRoad_act!Q55*100)</f>
        <v>84.379235416056304</v>
      </c>
      <c r="R85" s="98">
        <f>IF(R55=0,0,R55/TrRoad_act!R55*100)</f>
        <v>75.865015274242538</v>
      </c>
      <c r="S85" s="98">
        <f>IF(S55=0,0,S55/TrRoad_act!S55*100)</f>
        <v>84.076391058295314</v>
      </c>
      <c r="T85" s="98">
        <f>IF(T55=0,0,T55/TrRoad_act!T55*100)</f>
        <v>81.268519309741677</v>
      </c>
      <c r="U85" s="98">
        <f>IF(U55=0,0,U55/TrRoad_act!U55*100)</f>
        <v>77.380534178562229</v>
      </c>
      <c r="V85" s="98">
        <f>IF(V55=0,0,V55/TrRoad_act!V55*100)</f>
        <v>62.328887995472634</v>
      </c>
      <c r="W85" s="98">
        <f>IF(W55=0,0,W55/TrRoad_act!W55*100)</f>
        <v>71.836936378293416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33.591021009044496</v>
      </c>
      <c r="C88" s="29">
        <f>IF(TrRoad_act!C4=0,0,C18/TrRoad_act!C4*1000)</f>
        <v>35.372634811328233</v>
      </c>
      <c r="D88" s="29">
        <f>IF(TrRoad_act!D4=0,0,D18/TrRoad_act!D4*1000)</f>
        <v>34.219114582392443</v>
      </c>
      <c r="E88" s="29">
        <f>IF(TrRoad_act!E4=0,0,E18/TrRoad_act!E4*1000)</f>
        <v>34.18429003952928</v>
      </c>
      <c r="F88" s="29">
        <f>IF(TrRoad_act!F4=0,0,F18/TrRoad_act!F4*1000)</f>
        <v>39.158516932754317</v>
      </c>
      <c r="G88" s="29">
        <f>IF(TrRoad_act!G4=0,0,G18/TrRoad_act!G4*1000)</f>
        <v>37.854633419181042</v>
      </c>
      <c r="H88" s="29">
        <f>IF(TrRoad_act!H4=0,0,H18/TrRoad_act!H4*1000)</f>
        <v>38.260674708045265</v>
      </c>
      <c r="I88" s="29">
        <f>IF(TrRoad_act!I4=0,0,I18/TrRoad_act!I4*1000)</f>
        <v>37.948504180240583</v>
      </c>
      <c r="J88" s="29">
        <f>IF(TrRoad_act!J4=0,0,J18/TrRoad_act!J4*1000)</f>
        <v>40.217766167402658</v>
      </c>
      <c r="K88" s="29">
        <f>IF(TrRoad_act!K4=0,0,K18/TrRoad_act!K4*1000)</f>
        <v>41.111107455657795</v>
      </c>
      <c r="L88" s="29">
        <f>IF(TrRoad_act!L4=0,0,L18/TrRoad_act!L4*1000)</f>
        <v>41.987777103980619</v>
      </c>
      <c r="M88" s="29">
        <f>IF(TrRoad_act!M4=0,0,M18/TrRoad_act!M4*1000)</f>
        <v>42.295083600232147</v>
      </c>
      <c r="N88" s="29">
        <f>IF(TrRoad_act!N4=0,0,N18/TrRoad_act!N4*1000)</f>
        <v>39.493889255411553</v>
      </c>
      <c r="O88" s="29">
        <f>IF(TrRoad_act!O4=0,0,O18/TrRoad_act!O4*1000)</f>
        <v>39.180246478871979</v>
      </c>
      <c r="P88" s="29">
        <f>IF(TrRoad_act!P4=0,0,P18/TrRoad_act!P4*1000)</f>
        <v>40.133025018162911</v>
      </c>
      <c r="Q88" s="29">
        <f>IF(TrRoad_act!Q4=0,0,Q18/TrRoad_act!Q4*1000)</f>
        <v>40.503786863319192</v>
      </c>
      <c r="R88" s="29">
        <f>IF(TrRoad_act!R4=0,0,R18/TrRoad_act!R4*1000)</f>
        <v>40.886683109542986</v>
      </c>
      <c r="S88" s="29">
        <f>IF(TrRoad_act!S4=0,0,S18/TrRoad_act!S4*1000)</f>
        <v>39.789007045992939</v>
      </c>
      <c r="T88" s="29">
        <f>IF(TrRoad_act!T4=0,0,T18/TrRoad_act!T4*1000)</f>
        <v>40.020617678452439</v>
      </c>
      <c r="U88" s="29">
        <f>IF(TrRoad_act!U4=0,0,U18/TrRoad_act!U4*1000)</f>
        <v>40.573351578208452</v>
      </c>
      <c r="V88" s="29">
        <f>IF(TrRoad_act!V4=0,0,V18/TrRoad_act!V4*1000)</f>
        <v>42.487109229965739</v>
      </c>
      <c r="W88" s="29">
        <f>IF(TrRoad_act!W4=0,0,W18/TrRoad_act!W4*1000)</f>
        <v>47.359513181627996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44.278722008995913</v>
      </c>
      <c r="C89" s="152">
        <f>IF(TrRoad_act!C5=0,0,C19/TrRoad_act!C5*1000)</f>
        <v>44.116534208868892</v>
      </c>
      <c r="D89" s="152">
        <f>IF(TrRoad_act!D5=0,0,D19/TrRoad_act!D5*1000)</f>
        <v>43.853873186688752</v>
      </c>
      <c r="E89" s="152">
        <f>IF(TrRoad_act!E5=0,0,E19/TrRoad_act!E5*1000)</f>
        <v>43.558403704848565</v>
      </c>
      <c r="F89" s="152">
        <f>IF(TrRoad_act!F5=0,0,F19/TrRoad_act!F5*1000)</f>
        <v>43.210455460573264</v>
      </c>
      <c r="G89" s="152">
        <f>IF(TrRoad_act!G5=0,0,G19/TrRoad_act!G5*1000)</f>
        <v>42.893366939563535</v>
      </c>
      <c r="H89" s="152">
        <f>IF(TrRoad_act!H5=0,0,H19/TrRoad_act!H5*1000)</f>
        <v>42.348877473808443</v>
      </c>
      <c r="I89" s="152">
        <f>IF(TrRoad_act!I5=0,0,I19/TrRoad_act!I5*1000)</f>
        <v>41.440841081073451</v>
      </c>
      <c r="J89" s="152">
        <f>IF(TrRoad_act!J5=0,0,J19/TrRoad_act!J5*1000)</f>
        <v>40.584779717511239</v>
      </c>
      <c r="K89" s="152">
        <f>IF(TrRoad_act!K5=0,0,K19/TrRoad_act!K5*1000)</f>
        <v>40.207658862606046</v>
      </c>
      <c r="L89" s="152">
        <f>IF(TrRoad_act!L5=0,0,L19/TrRoad_act!L5*1000)</f>
        <v>39.933947124813038</v>
      </c>
      <c r="M89" s="152">
        <f>IF(TrRoad_act!M5=0,0,M19/TrRoad_act!M5*1000)</f>
        <v>38.778961326638793</v>
      </c>
      <c r="N89" s="152">
        <f>IF(TrRoad_act!N5=0,0,N19/TrRoad_act!N5*1000)</f>
        <v>37.715193855087968</v>
      </c>
      <c r="O89" s="152">
        <f>IF(TrRoad_act!O5=0,0,O19/TrRoad_act!O5*1000)</f>
        <v>36.550541279318274</v>
      </c>
      <c r="P89" s="152">
        <f>IF(TrRoad_act!P5=0,0,P19/TrRoad_act!P5*1000)</f>
        <v>35.1894313067206</v>
      </c>
      <c r="Q89" s="152">
        <f>IF(TrRoad_act!Q5=0,0,Q19/TrRoad_act!Q5*1000)</f>
        <v>33.94661224900009</v>
      </c>
      <c r="R89" s="152">
        <f>IF(TrRoad_act!R5=0,0,R19/TrRoad_act!R5*1000)</f>
        <v>32.763087076629851</v>
      </c>
      <c r="S89" s="152">
        <f>IF(TrRoad_act!S5=0,0,S19/TrRoad_act!S5*1000)</f>
        <v>31.805926626213655</v>
      </c>
      <c r="T89" s="152">
        <f>IF(TrRoad_act!T5=0,0,T19/TrRoad_act!T5*1000)</f>
        <v>31.039708014434812</v>
      </c>
      <c r="U89" s="152">
        <f>IF(TrRoad_act!U5=0,0,U19/TrRoad_act!U5*1000)</f>
        <v>30.213319957287752</v>
      </c>
      <c r="V89" s="152">
        <f>IF(TrRoad_act!V5=0,0,V19/TrRoad_act!V5*1000)</f>
        <v>29.73618209128766</v>
      </c>
      <c r="W89" s="152">
        <f>IF(TrRoad_act!W5=0,0,W19/TrRoad_act!W5*1000)</f>
        <v>26.796758660815222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33.366146983984422</v>
      </c>
      <c r="C90" s="116">
        <f>IF(TrRoad_act!C6=0,0,C21/TrRoad_act!C6*1000)</f>
        <v>34.692640490214828</v>
      </c>
      <c r="D90" s="116">
        <f>IF(TrRoad_act!D6=0,0,D21/TrRoad_act!D6*1000)</f>
        <v>33.64612649981509</v>
      </c>
      <c r="E90" s="116">
        <f>IF(TrRoad_act!E6=0,0,E21/TrRoad_act!E6*1000)</f>
        <v>33.725782110035283</v>
      </c>
      <c r="F90" s="116">
        <f>IF(TrRoad_act!F6=0,0,F21/TrRoad_act!F6*1000)</f>
        <v>40.055296126878602</v>
      </c>
      <c r="G90" s="116">
        <f>IF(TrRoad_act!G6=0,0,G21/TrRoad_act!G6*1000)</f>
        <v>39.163013029095083</v>
      </c>
      <c r="H90" s="116">
        <f>IF(TrRoad_act!H6=0,0,H21/TrRoad_act!H6*1000)</f>
        <v>39.26225587522157</v>
      </c>
      <c r="I90" s="116">
        <f>IF(TrRoad_act!I6=0,0,I21/TrRoad_act!I6*1000)</f>
        <v>38.471269324831148</v>
      </c>
      <c r="J90" s="116">
        <f>IF(TrRoad_act!J6=0,0,J21/TrRoad_act!J6*1000)</f>
        <v>41.294033822542424</v>
      </c>
      <c r="K90" s="116">
        <f>IF(TrRoad_act!K6=0,0,K21/TrRoad_act!K6*1000)</f>
        <v>41.692763829323674</v>
      </c>
      <c r="L90" s="116">
        <f>IF(TrRoad_act!L6=0,0,L21/TrRoad_act!L6*1000)</f>
        <v>42.862240158752932</v>
      </c>
      <c r="M90" s="116">
        <f>IF(TrRoad_act!M6=0,0,M21/TrRoad_act!M6*1000)</f>
        <v>44.445188763819125</v>
      </c>
      <c r="N90" s="116">
        <f>IF(TrRoad_act!N6=0,0,N21/TrRoad_act!N6*1000)</f>
        <v>42.369423986457868</v>
      </c>
      <c r="O90" s="116">
        <f>IF(TrRoad_act!O6=0,0,O21/TrRoad_act!O6*1000)</f>
        <v>41.956054593244559</v>
      </c>
      <c r="P90" s="116">
        <f>IF(TrRoad_act!P6=0,0,P21/TrRoad_act!P6*1000)</f>
        <v>43.118071712938296</v>
      </c>
      <c r="Q90" s="116">
        <f>IF(TrRoad_act!Q6=0,0,Q21/TrRoad_act!Q6*1000)</f>
        <v>43.174811008914268</v>
      </c>
      <c r="R90" s="116">
        <f>IF(TrRoad_act!R6=0,0,R21/TrRoad_act!R6*1000)</f>
        <v>43.373402466351145</v>
      </c>
      <c r="S90" s="116">
        <f>IF(TrRoad_act!S6=0,0,S21/TrRoad_act!S6*1000)</f>
        <v>41.678285933634349</v>
      </c>
      <c r="T90" s="116">
        <f>IF(TrRoad_act!T6=0,0,T21/TrRoad_act!T6*1000)</f>
        <v>42.114963111690862</v>
      </c>
      <c r="U90" s="116">
        <f>IF(TrRoad_act!U6=0,0,U21/TrRoad_act!U6*1000)</f>
        <v>42.994181728612801</v>
      </c>
      <c r="V90" s="116">
        <f>IF(TrRoad_act!V6=0,0,V21/TrRoad_act!V6*1000)</f>
        <v>43.638595982870449</v>
      </c>
      <c r="W90" s="116">
        <f>IF(TrRoad_act!W6=0,0,W21/TrRoad_act!W6*1000)</f>
        <v>48.680089036676883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33.766756771495494</v>
      </c>
      <c r="C91" s="87">
        <f>IF(TrRoad_act!C7=0,0,C22/TrRoad_act!C7*1000)</f>
        <v>35.245901203407122</v>
      </c>
      <c r="D91" s="87">
        <f>IF(TrRoad_act!D7=0,0,D22/TrRoad_act!D7*1000)</f>
        <v>34.25020621296391</v>
      </c>
      <c r="E91" s="87">
        <f>IF(TrRoad_act!E7=0,0,E22/TrRoad_act!E7*1000)</f>
        <v>34.503050934373547</v>
      </c>
      <c r="F91" s="87">
        <f>IF(TrRoad_act!F7=0,0,F22/TrRoad_act!F7*1000)</f>
        <v>41.499368090181548</v>
      </c>
      <c r="G91" s="87">
        <f>IF(TrRoad_act!G7=0,0,G22/TrRoad_act!G7*1000)</f>
        <v>40.851085194006018</v>
      </c>
      <c r="H91" s="87">
        <f>IF(TrRoad_act!H7=0,0,H22/TrRoad_act!H7*1000)</f>
        <v>41.288583752252293</v>
      </c>
      <c r="I91" s="87">
        <f>IF(TrRoad_act!I7=0,0,I22/TrRoad_act!I7*1000)</f>
        <v>40.263916644900348</v>
      </c>
      <c r="J91" s="87">
        <f>IF(TrRoad_act!J7=0,0,J22/TrRoad_act!J7*1000)</f>
        <v>43.37952270072352</v>
      </c>
      <c r="K91" s="87">
        <f>IF(TrRoad_act!K7=0,0,K22/TrRoad_act!K7*1000)</f>
        <v>44.53052649594192</v>
      </c>
      <c r="L91" s="87">
        <f>IF(TrRoad_act!L7=0,0,L22/TrRoad_act!L7*1000)</f>
        <v>44.789053511353927</v>
      </c>
      <c r="M91" s="87">
        <f>IF(TrRoad_act!M7=0,0,M22/TrRoad_act!M7*1000)</f>
        <v>48.312864825428768</v>
      </c>
      <c r="N91" s="87">
        <f>IF(TrRoad_act!N7=0,0,N22/TrRoad_act!N7*1000)</f>
        <v>46.044672173185283</v>
      </c>
      <c r="O91" s="87">
        <f>IF(TrRoad_act!O7=0,0,O22/TrRoad_act!O7*1000)</f>
        <v>44.475563998414017</v>
      </c>
      <c r="P91" s="87">
        <f>IF(TrRoad_act!P7=0,0,P22/TrRoad_act!P7*1000)</f>
        <v>47.043844737609973</v>
      </c>
      <c r="Q91" s="87">
        <f>IF(TrRoad_act!Q7=0,0,Q22/TrRoad_act!Q7*1000)</f>
        <v>46.511324494166203</v>
      </c>
      <c r="R91" s="87">
        <f>IF(TrRoad_act!R7=0,0,R22/TrRoad_act!R7*1000)</f>
        <v>50.475996901953977</v>
      </c>
      <c r="S91" s="87">
        <f>IF(TrRoad_act!S7=0,0,S22/TrRoad_act!S7*1000)</f>
        <v>48.40936455635952</v>
      </c>
      <c r="T91" s="87">
        <f>IF(TrRoad_act!T7=0,0,T22/TrRoad_act!T7*1000)</f>
        <v>48.787702970462405</v>
      </c>
      <c r="U91" s="87">
        <f>IF(TrRoad_act!U7=0,0,U22/TrRoad_act!U7*1000)</f>
        <v>49.502409764608416</v>
      </c>
      <c r="V91" s="87">
        <f>IF(TrRoad_act!V7=0,0,V22/TrRoad_act!V7*1000)</f>
        <v>52.192906561481543</v>
      </c>
      <c r="W91" s="87">
        <f>IF(TrRoad_act!W7=0,0,W22/TrRoad_act!W7*1000)</f>
        <v>56.76218581011711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28.519293783181968</v>
      </c>
      <c r="C92" s="87">
        <f>IF(TrRoad_act!C8=0,0,C24/TrRoad_act!C8*1000)</f>
        <v>31.318203535491044</v>
      </c>
      <c r="D92" s="87">
        <f>IF(TrRoad_act!D8=0,0,D24/TrRoad_act!D8*1000)</f>
        <v>29.974737302394086</v>
      </c>
      <c r="E92" s="87">
        <f>IF(TrRoad_act!E8=0,0,E24/TrRoad_act!E8*1000)</f>
        <v>29.773480513325133</v>
      </c>
      <c r="F92" s="87">
        <f>IF(TrRoad_act!F8=0,0,F24/TrRoad_act!F8*1000)</f>
        <v>35.609506102147385</v>
      </c>
      <c r="G92" s="87">
        <f>IF(TrRoad_act!G8=0,0,G24/TrRoad_act!G8*1000)</f>
        <v>34.845622237221562</v>
      </c>
      <c r="H92" s="87">
        <f>IF(TrRoad_act!H8=0,0,H24/TrRoad_act!H8*1000)</f>
        <v>34.925772972003521</v>
      </c>
      <c r="I92" s="87">
        <f>IF(TrRoad_act!I8=0,0,I24/TrRoad_act!I8*1000)</f>
        <v>35.186409050522492</v>
      </c>
      <c r="J92" s="87">
        <f>IF(TrRoad_act!J8=0,0,J24/TrRoad_act!J8*1000)</f>
        <v>38.06110802965523</v>
      </c>
      <c r="K92" s="87">
        <f>IF(TrRoad_act!K8=0,0,K24/TrRoad_act!K8*1000)</f>
        <v>38.218861458244618</v>
      </c>
      <c r="L92" s="87">
        <f>IF(TrRoad_act!L8=0,0,L24/TrRoad_act!L8*1000)</f>
        <v>40.689113569781412</v>
      </c>
      <c r="M92" s="87">
        <f>IF(TrRoad_act!M8=0,0,M24/TrRoad_act!M8*1000)</f>
        <v>40.290220042398929</v>
      </c>
      <c r="N92" s="87">
        <f>IF(TrRoad_act!N8=0,0,N24/TrRoad_act!N8*1000)</f>
        <v>39.045853669464819</v>
      </c>
      <c r="O92" s="87">
        <f>IF(TrRoad_act!O8=0,0,O24/TrRoad_act!O8*1000)</f>
        <v>38.711618014065998</v>
      </c>
      <c r="P92" s="87">
        <f>IF(TrRoad_act!P8=0,0,P24/TrRoad_act!P8*1000)</f>
        <v>39.673904363036378</v>
      </c>
      <c r="Q92" s="87">
        <f>IF(TrRoad_act!Q8=0,0,Q24/TrRoad_act!Q8*1000)</f>
        <v>39.503669808580447</v>
      </c>
      <c r="R92" s="87">
        <f>IF(TrRoad_act!R8=0,0,R24/TrRoad_act!R8*1000)</f>
        <v>39.242726116737046</v>
      </c>
      <c r="S92" s="87">
        <f>IF(TrRoad_act!S8=0,0,S24/TrRoad_act!S8*1000)</f>
        <v>38.103898562769238</v>
      </c>
      <c r="T92" s="87">
        <f>IF(TrRoad_act!T8=0,0,T24/TrRoad_act!T8*1000)</f>
        <v>38.798974426832899</v>
      </c>
      <c r="U92" s="87">
        <f>IF(TrRoad_act!U8=0,0,U24/TrRoad_act!U8*1000)</f>
        <v>40.264445352468442</v>
      </c>
      <c r="V92" s="87">
        <f>IF(TrRoad_act!V8=0,0,V24/TrRoad_act!V8*1000)</f>
        <v>40.18750121512862</v>
      </c>
      <c r="W92" s="87">
        <f>IF(TrRoad_act!W8=0,0,W24/TrRoad_act!W8*1000)</f>
        <v>45.411164859831018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37.408616114226575</v>
      </c>
      <c r="C93" s="87">
        <f>IF(TrRoad_act!C9=0,0,C26/TrRoad_act!C9*1000)</f>
        <v>34.753993088504515</v>
      </c>
      <c r="D93" s="87">
        <f>IF(TrRoad_act!D9=0,0,D26/TrRoad_act!D9*1000)</f>
        <v>36.351019019079693</v>
      </c>
      <c r="E93" s="87">
        <f>IF(TrRoad_act!E9=0,0,E26/TrRoad_act!E9*1000)</f>
        <v>38.008491345867114</v>
      </c>
      <c r="F93" s="87">
        <f>IF(TrRoad_act!F9=0,0,F26/TrRoad_act!F9*1000)</f>
        <v>39.918998661970967</v>
      </c>
      <c r="G93" s="87">
        <f>IF(TrRoad_act!G9=0,0,G26/TrRoad_act!G9*1000)</f>
        <v>39.613999737872795</v>
      </c>
      <c r="H93" s="87">
        <f>IF(TrRoad_act!H9=0,0,H26/TrRoad_act!H9*1000)</f>
        <v>39.400837762479441</v>
      </c>
      <c r="I93" s="87">
        <f>IF(TrRoad_act!I9=0,0,I26/TrRoad_act!I9*1000)</f>
        <v>36.170718958349944</v>
      </c>
      <c r="J93" s="87">
        <f>IF(TrRoad_act!J9=0,0,J26/TrRoad_act!J9*1000)</f>
        <v>38.312931540382216</v>
      </c>
      <c r="K93" s="87">
        <f>IF(TrRoad_act!K9=0,0,K26/TrRoad_act!K9*1000)</f>
        <v>37.193507077686974</v>
      </c>
      <c r="L93" s="87">
        <f>IF(TrRoad_act!L9=0,0,L26/TrRoad_act!L9*1000)</f>
        <v>40.245032348289961</v>
      </c>
      <c r="M93" s="87">
        <f>IF(TrRoad_act!M9=0,0,M26/TrRoad_act!M9*1000)</f>
        <v>42.667073090566035</v>
      </c>
      <c r="N93" s="87">
        <f>IF(TrRoad_act!N9=0,0,N26/TrRoad_act!N9*1000)</f>
        <v>41.808086441967887</v>
      </c>
      <c r="O93" s="87">
        <f>IF(TrRoad_act!O9=0,0,O26/TrRoad_act!O9*1000)</f>
        <v>47.747109681207441</v>
      </c>
      <c r="P93" s="87">
        <f>IF(TrRoad_act!P9=0,0,P26/TrRoad_act!P9*1000)</f>
        <v>48.127859565068</v>
      </c>
      <c r="Q93" s="87">
        <f>IF(TrRoad_act!Q9=0,0,Q26/TrRoad_act!Q9*1000)</f>
        <v>55.627519867993961</v>
      </c>
      <c r="R93" s="87">
        <f>IF(TrRoad_act!R9=0,0,R26/TrRoad_act!R9*1000)</f>
        <v>49.048938993262823</v>
      </c>
      <c r="S93" s="87">
        <f>IF(TrRoad_act!S9=0,0,S26/TrRoad_act!S9*1000)</f>
        <v>48.207940919722958</v>
      </c>
      <c r="T93" s="87">
        <f>IF(TrRoad_act!T9=0,0,T26/TrRoad_act!T9*1000)</f>
        <v>50.060442768042478</v>
      </c>
      <c r="U93" s="87">
        <f>IF(TrRoad_act!U9=0,0,U26/TrRoad_act!U9*1000)</f>
        <v>50.192905878299968</v>
      </c>
      <c r="V93" s="87">
        <f>IF(TrRoad_act!V9=0,0,V26/TrRoad_act!V9*1000)</f>
        <v>53.785048649980105</v>
      </c>
      <c r="W93" s="87">
        <f>IF(TrRoad_act!W9=0,0,W26/TrRoad_act!W9*1000)</f>
        <v>61.207966731556219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28.889074820054201</v>
      </c>
      <c r="C94" s="87">
        <f>IF(TrRoad_act!C10=0,0,C27/TrRoad_act!C10*1000)</f>
        <v>32.17714395750486</v>
      </c>
      <c r="D94" s="87">
        <f>IF(TrRoad_act!D10=0,0,D27/TrRoad_act!D10*1000)</f>
        <v>31.415682949021555</v>
      </c>
      <c r="E94" s="87">
        <f>IF(TrRoad_act!E10=0,0,E27/TrRoad_act!E10*1000)</f>
        <v>31.804271684275161</v>
      </c>
      <c r="F94" s="87">
        <f>IF(TrRoad_act!F10=0,0,F27/TrRoad_act!F10*1000)</f>
        <v>38.543007258873253</v>
      </c>
      <c r="G94" s="87">
        <f>IF(TrRoad_act!G10=0,0,G27/TrRoad_act!G10*1000)</f>
        <v>38.244412980442199</v>
      </c>
      <c r="H94" s="87">
        <f>IF(TrRoad_act!H10=0,0,H27/TrRoad_act!H10*1000)</f>
        <v>39.088242562942789</v>
      </c>
      <c r="I94" s="87">
        <f>IF(TrRoad_act!I10=0,0,I27/TrRoad_act!I10*1000)</f>
        <v>38.724696656764181</v>
      </c>
      <c r="J94" s="87">
        <f>IF(TrRoad_act!J10=0,0,J27/TrRoad_act!J10*1000)</f>
        <v>42.135851312703977</v>
      </c>
      <c r="K94" s="87">
        <f>IF(TrRoad_act!K10=0,0,K27/TrRoad_act!K10*1000)</f>
        <v>42.9201377766734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0</v>
      </c>
      <c r="R94" s="87">
        <f>IF(TrRoad_act!R10=0,0,R27/TrRoad_act!R10*1000)</f>
        <v>0</v>
      </c>
      <c r="S94" s="87">
        <f>IF(TrRoad_act!S10=0,0,S27/TrRoad_act!S10*1000)</f>
        <v>0</v>
      </c>
      <c r="T94" s="87">
        <f>IF(TrRoad_act!T10=0,0,T27/TrRoad_act!T10*1000)</f>
        <v>23.561805515230628</v>
      </c>
      <c r="U94" s="87">
        <f>IF(TrRoad_act!U10=0,0,U27/TrRoad_act!U10*1000)</f>
        <v>36.857223042051046</v>
      </c>
      <c r="V94" s="87">
        <f>IF(TrRoad_act!V10=0,0,V27/TrRoad_act!V10*1000)</f>
        <v>36.945463454261684</v>
      </c>
      <c r="W94" s="87">
        <f>IF(TrRoad_act!W10=0,0,W27/TrRoad_act!W10*1000)</f>
        <v>41.943102855646558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19.005531555580131</v>
      </c>
      <c r="O95" s="87">
        <f>IF(TrRoad_act!O11=0,0,O29/TrRoad_act!O11*1000)</f>
        <v>21.512308218344426</v>
      </c>
      <c r="P95" s="87">
        <f>IF(TrRoad_act!P11=0,0,P29/TrRoad_act!P11*1000)</f>
        <v>23.112675239492471</v>
      </c>
      <c r="Q95" s="87">
        <f>IF(TrRoad_act!Q11=0,0,Q29/TrRoad_act!Q11*1000)</f>
        <v>21.287607832500203</v>
      </c>
      <c r="R95" s="87">
        <f>IF(TrRoad_act!R11=0,0,R29/TrRoad_act!R11*1000)</f>
        <v>20.248752494505478</v>
      </c>
      <c r="S95" s="87">
        <f>IF(TrRoad_act!S11=0,0,S29/TrRoad_act!S11*1000)</f>
        <v>21.110525292758691</v>
      </c>
      <c r="T95" s="87">
        <f>IF(TrRoad_act!T11=0,0,T29/TrRoad_act!T11*1000)</f>
        <v>21.996463762480545</v>
      </c>
      <c r="U95" s="87">
        <f>IF(TrRoad_act!U11=0,0,U29/TrRoad_act!U11*1000)</f>
        <v>23.145118727202618</v>
      </c>
      <c r="V95" s="87">
        <f>IF(TrRoad_act!V11=0,0,V29/TrRoad_act!V11*1000)</f>
        <v>27.12625713665529</v>
      </c>
      <c r="W95" s="87">
        <f>IF(TrRoad_act!W11=0,0,W29/TrRoad_act!W11*1000)</f>
        <v>28.91132617364601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0</v>
      </c>
      <c r="N96" s="87">
        <f>IF(TrRoad_act!N12=0,0,N32/TrRoad_act!N12*1000)</f>
        <v>10.752485022533607</v>
      </c>
      <c r="O96" s="87">
        <f>IF(TrRoad_act!O12=0,0,O32/TrRoad_act!O12*1000)</f>
        <v>10.83166501664974</v>
      </c>
      <c r="P96" s="87">
        <f>IF(TrRoad_act!P12=0,0,P32/TrRoad_act!P12*1000)</f>
        <v>8.7433543263420681</v>
      </c>
      <c r="Q96" s="87">
        <f>IF(TrRoad_act!Q12=0,0,Q32/TrRoad_act!Q12*1000)</f>
        <v>9.2493878979798456</v>
      </c>
      <c r="R96" s="87">
        <f>IF(TrRoad_act!R12=0,0,R32/TrRoad_act!R12*1000)</f>
        <v>9.7832096194941585</v>
      </c>
      <c r="S96" s="87">
        <f>IF(TrRoad_act!S12=0,0,S32/TrRoad_act!S12*1000)</f>
        <v>9.8089634087240469</v>
      </c>
      <c r="T96" s="87">
        <f>IF(TrRoad_act!T12=0,0,T32/TrRoad_act!T12*1000)</f>
        <v>10.906265042930769</v>
      </c>
      <c r="U96" s="87">
        <f>IF(TrRoad_act!U12=0,0,U32/TrRoad_act!U12*1000)</f>
        <v>12.440750504755901</v>
      </c>
      <c r="V96" s="87">
        <f>IF(TrRoad_act!V12=0,0,V32/TrRoad_act!V12*1000)</f>
        <v>13.437397245382964</v>
      </c>
      <c r="W96" s="87">
        <f>IF(TrRoad_act!W12=0,0,W32/TrRoad_act!W12*1000)</f>
        <v>15.956474267151837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34.395709795140299</v>
      </c>
      <c r="C97" s="116">
        <f>IF(TrRoad_act!C13=0,0,C33/TrRoad_act!C13*1000)</f>
        <v>38.663805561095096</v>
      </c>
      <c r="D97" s="116">
        <f>IF(TrRoad_act!D13=0,0,D33/TrRoad_act!D13*1000)</f>
        <v>36.985252319822699</v>
      </c>
      <c r="E97" s="116">
        <f>IF(TrRoad_act!E13=0,0,E33/TrRoad_act!E13*1000)</f>
        <v>36.280998378854939</v>
      </c>
      <c r="F97" s="116">
        <f>IF(TrRoad_act!F13=0,0,F33/TrRoad_act!F13*1000)</f>
        <v>35.172587586296089</v>
      </c>
      <c r="G97" s="116">
        <f>IF(TrRoad_act!G13=0,0,G33/TrRoad_act!G13*1000)</f>
        <v>32.260662963521085</v>
      </c>
      <c r="H97" s="116">
        <f>IF(TrRoad_act!H13=0,0,H33/TrRoad_act!H13*1000)</f>
        <v>33.116175542265921</v>
      </c>
      <c r="I97" s="116">
        <f>IF(TrRoad_act!I13=0,0,I33/TrRoad_act!I13*1000)</f>
        <v>34.71249054731328</v>
      </c>
      <c r="J97" s="116">
        <f>IF(TrRoad_act!J13=0,0,J33/TrRoad_act!J13*1000)</f>
        <v>34.114798587552968</v>
      </c>
      <c r="K97" s="116">
        <f>IF(TrRoad_act!K13=0,0,K33/TrRoad_act!K13*1000)</f>
        <v>37.68717933899331</v>
      </c>
      <c r="L97" s="116">
        <f>IF(TrRoad_act!L13=0,0,L33/TrRoad_act!L13*1000)</f>
        <v>37.38000771304209</v>
      </c>
      <c r="M97" s="116">
        <f>IF(TrRoad_act!M13=0,0,M33/TrRoad_act!M13*1000)</f>
        <v>32.261439212293027</v>
      </c>
      <c r="N97" s="116">
        <f>IF(TrRoad_act!N13=0,0,N33/TrRoad_act!N13*1000)</f>
        <v>27.470458831757615</v>
      </c>
      <c r="O97" s="116">
        <f>IF(TrRoad_act!O13=0,0,O33/TrRoad_act!O13*1000)</f>
        <v>27.314638468850877</v>
      </c>
      <c r="P97" s="116">
        <f>IF(TrRoad_act!P13=0,0,P33/TrRoad_act!P13*1000)</f>
        <v>26.403417683617256</v>
      </c>
      <c r="Q97" s="116">
        <f>IF(TrRoad_act!Q13=0,0,Q33/TrRoad_act!Q13*1000)</f>
        <v>27.057564781844327</v>
      </c>
      <c r="R97" s="116">
        <f>IF(TrRoad_act!R13=0,0,R33/TrRoad_act!R13*1000)</f>
        <v>27.769080774892014</v>
      </c>
      <c r="S97" s="116">
        <f>IF(TrRoad_act!S13=0,0,S33/TrRoad_act!S13*1000)</f>
        <v>28.871090820870716</v>
      </c>
      <c r="T97" s="116">
        <f>IF(TrRoad_act!T13=0,0,T33/TrRoad_act!T13*1000)</f>
        <v>27.826827574347146</v>
      </c>
      <c r="U97" s="116">
        <f>IF(TrRoad_act!U13=0,0,U33/TrRoad_act!U13*1000)</f>
        <v>26.317576424922326</v>
      </c>
      <c r="V97" s="116">
        <f>IF(TrRoad_act!V13=0,0,V33/TrRoad_act!V13*1000)</f>
        <v>32.864744912580797</v>
      </c>
      <c r="W97" s="116">
        <f>IF(TrRoad_act!W13=0,0,W33/TrRoad_act!W13*1000)</f>
        <v>35.718903441005779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33.821204414647262</v>
      </c>
      <c r="C98" s="101">
        <f>IF(TrRoad_act!C14=0,0,C34/TrRoad_act!C14*1000)</f>
        <v>32.148138060563426</v>
      </c>
      <c r="D98" s="101">
        <f>IF(TrRoad_act!D14=0,0,D34/TrRoad_act!D14*1000)</f>
        <v>32.014724879555786</v>
      </c>
      <c r="E98" s="101">
        <f>IF(TrRoad_act!E14=0,0,E34/TrRoad_act!E14*1000)</f>
        <v>31.875267019418008</v>
      </c>
      <c r="F98" s="101">
        <f>IF(TrRoad_act!F14=0,0,F34/TrRoad_act!F14*1000)</f>
        <v>31.671276301858473</v>
      </c>
      <c r="G98" s="101">
        <f>IF(TrRoad_act!G14=0,0,G34/TrRoad_act!G14*1000)</f>
        <v>29.942967259247268</v>
      </c>
      <c r="H98" s="101">
        <f>IF(TrRoad_act!H14=0,0,H34/TrRoad_act!H14*1000)</f>
        <v>30.225867476891377</v>
      </c>
      <c r="I98" s="101">
        <f>IF(TrRoad_act!I14=0,0,I34/TrRoad_act!I14*1000)</f>
        <v>30.987205657453028</v>
      </c>
      <c r="J98" s="101">
        <f>IF(TrRoad_act!J14=0,0,J34/TrRoad_act!J14*1000)</f>
        <v>30.817781444970642</v>
      </c>
      <c r="K98" s="101">
        <f>IF(TrRoad_act!K14=0,0,K34/TrRoad_act!K14*1000)</f>
        <v>31.029352481050086</v>
      </c>
      <c r="L98" s="101">
        <f>IF(TrRoad_act!L14=0,0,L34/TrRoad_act!L14*1000)</f>
        <v>30.536254256418989</v>
      </c>
      <c r="M98" s="101">
        <f>IF(TrRoad_act!M14=0,0,M34/TrRoad_act!M14*1000)</f>
        <v>29.566276255230225</v>
      </c>
      <c r="N98" s="101">
        <f>IF(TrRoad_act!N14=0,0,N34/TrRoad_act!N14*1000)</f>
        <v>25.068506093466986</v>
      </c>
      <c r="O98" s="101">
        <f>IF(TrRoad_act!O14=0,0,O34/TrRoad_act!O14*1000)</f>
        <v>24.428327103908416</v>
      </c>
      <c r="P98" s="101">
        <f>IF(TrRoad_act!P14=0,0,P34/TrRoad_act!P14*1000)</f>
        <v>23.581444796311875</v>
      </c>
      <c r="Q98" s="101">
        <f>IF(TrRoad_act!Q14=0,0,Q34/TrRoad_act!Q14*1000)</f>
        <v>23.743144766924555</v>
      </c>
      <c r="R98" s="101">
        <f>IF(TrRoad_act!R14=0,0,R34/TrRoad_act!R14*1000)</f>
        <v>24.283525508571191</v>
      </c>
      <c r="S98" s="101">
        <f>IF(TrRoad_act!S14=0,0,S34/TrRoad_act!S14*1000)</f>
        <v>24.733692854968922</v>
      </c>
      <c r="T98" s="101">
        <f>IF(TrRoad_act!T14=0,0,T34/TrRoad_act!T14*1000)</f>
        <v>23.612751334213602</v>
      </c>
      <c r="U98" s="101">
        <f>IF(TrRoad_act!U14=0,0,U34/TrRoad_act!U14*1000)</f>
        <v>22.408275723001466</v>
      </c>
      <c r="V98" s="101">
        <f>IF(TrRoad_act!V14=0,0,V34/TrRoad_act!V14*1000)</f>
        <v>27.05359221584073</v>
      </c>
      <c r="W98" s="101">
        <f>IF(TrRoad_act!W14=0,0,W34/TrRoad_act!W14*1000)</f>
        <v>27.374144317781436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34.711811044564215</v>
      </c>
      <c r="C99" s="101">
        <f>IF(TrRoad_act!C15=0,0,C36/TrRoad_act!C15*1000)</f>
        <v>39.271206963595766</v>
      </c>
      <c r="D99" s="101">
        <f>IF(TrRoad_act!D15=0,0,D36/TrRoad_act!D15*1000)</f>
        <v>37.556411741230029</v>
      </c>
      <c r="E99" s="101">
        <f>IF(TrRoad_act!E15=0,0,E36/TrRoad_act!E15*1000)</f>
        <v>36.749628714006903</v>
      </c>
      <c r="F99" s="101">
        <f>IF(TrRoad_act!F15=0,0,F36/TrRoad_act!F15*1000)</f>
        <v>35.589275112109611</v>
      </c>
      <c r="G99" s="101">
        <f>IF(TrRoad_act!G15=0,0,G36/TrRoad_act!G15*1000)</f>
        <v>32.748109108389073</v>
      </c>
      <c r="H99" s="101">
        <f>IF(TrRoad_act!H15=0,0,H36/TrRoad_act!H15*1000)</f>
        <v>33.599783679866214</v>
      </c>
      <c r="I99" s="101">
        <f>IF(TrRoad_act!I15=0,0,I36/TrRoad_act!I15*1000)</f>
        <v>35.330488836563738</v>
      </c>
      <c r="J99" s="101">
        <f>IF(TrRoad_act!J15=0,0,J36/TrRoad_act!J15*1000)</f>
        <v>34.800990300033973</v>
      </c>
      <c r="K99" s="101">
        <f>IF(TrRoad_act!K15=0,0,K36/TrRoad_act!K15*1000)</f>
        <v>38.842949230990193</v>
      </c>
      <c r="L99" s="101">
        <f>IF(TrRoad_act!L15=0,0,L36/TrRoad_act!L15*1000)</f>
        <v>39.040549529820737</v>
      </c>
      <c r="M99" s="101">
        <f>IF(TrRoad_act!M15=0,0,M36/TrRoad_act!M15*1000)</f>
        <v>33.437405255068377</v>
      </c>
      <c r="N99" s="101">
        <f>IF(TrRoad_act!N15=0,0,N36/TrRoad_act!N15*1000)</f>
        <v>28.427452702893287</v>
      </c>
      <c r="O99" s="101">
        <f>IF(TrRoad_act!O15=0,0,O36/TrRoad_act!O15*1000)</f>
        <v>28.209916414329648</v>
      </c>
      <c r="P99" s="101">
        <f>IF(TrRoad_act!P15=0,0,P36/TrRoad_act!P15*1000)</f>
        <v>27.277131670080326</v>
      </c>
      <c r="Q99" s="101">
        <f>IF(TrRoad_act!Q15=0,0,Q36/TrRoad_act!Q15*1000)</f>
        <v>28.004179719269032</v>
      </c>
      <c r="R99" s="101">
        <f>IF(TrRoad_act!R15=0,0,R36/TrRoad_act!R15*1000)</f>
        <v>28.784169737815457</v>
      </c>
      <c r="S99" s="101">
        <f>IF(TrRoad_act!S15=0,0,S36/TrRoad_act!S15*1000)</f>
        <v>29.809597137454826</v>
      </c>
      <c r="T99" s="101">
        <f>IF(TrRoad_act!T15=0,0,T36/TrRoad_act!T15*1000)</f>
        <v>28.765373159475796</v>
      </c>
      <c r="U99" s="101">
        <f>IF(TrRoad_act!U15=0,0,U36/TrRoad_act!U15*1000)</f>
        <v>27.276432125163339</v>
      </c>
      <c r="V99" s="101">
        <f>IF(TrRoad_act!V15=0,0,V36/TrRoad_act!V15*1000)</f>
        <v>34.281689417963378</v>
      </c>
      <c r="W99" s="101">
        <f>IF(TrRoad_act!W15=0,0,W36/TrRoad_act!W15*1000)</f>
        <v>37.844840410022279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23.681138703069312</v>
      </c>
      <c r="S100" s="101">
        <f>IF(TrRoad_act!S16=0,0,S38/TrRoad_act!S16*1000)</f>
        <v>24.222724526413799</v>
      </c>
      <c r="T100" s="101">
        <f>IF(TrRoad_act!T16=0,0,T38/TrRoad_act!T16*1000)</f>
        <v>23.30741565006814</v>
      </c>
      <c r="U100" s="101">
        <f>IF(TrRoad_act!U16=0,0,U38/TrRoad_act!U16*1000)</f>
        <v>22.226198644614943</v>
      </c>
      <c r="V100" s="101">
        <f>IF(TrRoad_act!V16=0,0,V38/TrRoad_act!V16*1000)</f>
        <v>28.211262572631313</v>
      </c>
      <c r="W100" s="101">
        <f>IF(TrRoad_act!W16=0,0,W38/TrRoad_act!W16*1000)</f>
        <v>30.753265248112491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25.174646814079164</v>
      </c>
      <c r="C101" s="101">
        <f>IF(TrRoad_act!C17=0,0,C39/TrRoad_act!C17*1000)</f>
        <v>32.676938506113821</v>
      </c>
      <c r="D101" s="101">
        <f>IF(TrRoad_act!D17=0,0,D39/TrRoad_act!D17*1000)</f>
        <v>27.004158716575244</v>
      </c>
      <c r="E101" s="101">
        <f>IF(TrRoad_act!E17=0,0,E39/TrRoad_act!E17*1000)</f>
        <v>27.155493156466516</v>
      </c>
      <c r="F101" s="101">
        <f>IF(TrRoad_act!F17=0,0,F39/TrRoad_act!F17*1000)</f>
        <v>26.254937742756702</v>
      </c>
      <c r="G101" s="101">
        <f>IF(TrRoad_act!G17=0,0,G39/TrRoad_act!G17*1000)</f>
        <v>23.452740076448642</v>
      </c>
      <c r="H101" s="101">
        <f>IF(TrRoad_act!H17=0,0,H39/TrRoad_act!H17*1000)</f>
        <v>25.571510457898011</v>
      </c>
      <c r="I101" s="101">
        <f>IF(TrRoad_act!I17=0,0,I39/TrRoad_act!I17*1000)</f>
        <v>28.099785602153386</v>
      </c>
      <c r="J101" s="101">
        <f>IF(TrRoad_act!J17=0,0,J39/TrRoad_act!J17*1000)</f>
        <v>38.276657378480458</v>
      </c>
      <c r="K101" s="101">
        <f>IF(TrRoad_act!K17=0,0,K39/TrRoad_act!K17*1000)</f>
        <v>69.260644421243313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0</v>
      </c>
      <c r="U101" s="101">
        <f>IF(TrRoad_act!U17=0,0,U39/TrRoad_act!U17*1000)</f>
        <v>19.131411834699136</v>
      </c>
      <c r="V101" s="101">
        <f>IF(TrRoad_act!V17=0,0,V39/TrRoad_act!V17*1000)</f>
        <v>28.017132509017479</v>
      </c>
      <c r="W101" s="101">
        <f>IF(TrRoad_act!W17=0,0,W39/TrRoad_act!W17*1000)</f>
        <v>34.822540958077745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22.187259020177354</v>
      </c>
      <c r="C102" s="101">
        <f>IF(TrRoad_act!C18=0,0,C41/TrRoad_act!C18*1000)</f>
        <v>20.944340342612094</v>
      </c>
      <c r="D102" s="101">
        <f>IF(TrRoad_act!D18=0,0,D41/TrRoad_act!D18*1000)</f>
        <v>21.340280599947633</v>
      </c>
      <c r="E102" s="101">
        <f>IF(TrRoad_act!E18=0,0,E41/TrRoad_act!E18*1000)</f>
        <v>21.487893776150031</v>
      </c>
      <c r="F102" s="101">
        <f>IF(TrRoad_act!F18=0,0,F41/TrRoad_act!F18*1000)</f>
        <v>20.858565172417205</v>
      </c>
      <c r="G102" s="101">
        <f>IF(TrRoad_act!G18=0,0,G41/TrRoad_act!G18*1000)</f>
        <v>18.937067105906809</v>
      </c>
      <c r="H102" s="101">
        <f>IF(TrRoad_act!H18=0,0,H41/TrRoad_act!H18*1000)</f>
        <v>19.24597138623847</v>
      </c>
      <c r="I102" s="101">
        <f>IF(TrRoad_act!I18=0,0,I41/TrRoad_act!I18*1000)</f>
        <v>19.907849411443578</v>
      </c>
      <c r="J102" s="101">
        <f>IF(TrRoad_act!J18=0,0,J41/TrRoad_act!J18*1000)</f>
        <v>20.157984034710552</v>
      </c>
      <c r="K102" s="101">
        <f>IF(TrRoad_act!K18=0,0,K41/TrRoad_act!K18*1000)</f>
        <v>23.675797795902664</v>
      </c>
      <c r="L102" s="101">
        <f>IF(TrRoad_act!L18=0,0,L41/TrRoad_act!L18*1000)</f>
        <v>21.791879673382724</v>
      </c>
      <c r="M102" s="101">
        <f>IF(TrRoad_act!M18=0,0,M41/TrRoad_act!M18*1000)</f>
        <v>20.345954390008135</v>
      </c>
      <c r="N102" s="101">
        <f>IF(TrRoad_act!N18=0,0,N41/TrRoad_act!N18*1000)</f>
        <v>17.515550501762704</v>
      </c>
      <c r="O102" s="101">
        <f>IF(TrRoad_act!O18=0,0,O41/TrRoad_act!O18*1000)</f>
        <v>17.534354909810155</v>
      </c>
      <c r="P102" s="101">
        <f>IF(TrRoad_act!P18=0,0,P41/TrRoad_act!P18*1000)</f>
        <v>17.182438782534234</v>
      </c>
      <c r="Q102" s="101">
        <f>IF(TrRoad_act!Q18=0,0,Q41/TrRoad_act!Q18*1000)</f>
        <v>17.60398895176731</v>
      </c>
      <c r="R102" s="101">
        <f>IF(TrRoad_act!R18=0,0,R41/TrRoad_act!R18*1000)</f>
        <v>18.369912972548576</v>
      </c>
      <c r="S102" s="101">
        <f>IF(TrRoad_act!S18=0,0,S41/TrRoad_act!S18*1000)</f>
        <v>18.818735462527165</v>
      </c>
      <c r="T102" s="101">
        <f>IF(TrRoad_act!T18=0,0,T41/TrRoad_act!T18*1000)</f>
        <v>18.135855508126198</v>
      </c>
      <c r="U102" s="101">
        <f>IF(TrRoad_act!U18=0,0,U41/TrRoad_act!U18*1000)</f>
        <v>17.333558232328368</v>
      </c>
      <c r="V102" s="101">
        <f>IF(TrRoad_act!V18=0,0,V41/TrRoad_act!V18*1000)</f>
        <v>22.134166652594381</v>
      </c>
      <c r="W102" s="101">
        <f>IF(TrRoad_act!W18=0,0,W41/TrRoad_act!W18*1000)</f>
        <v>24.190042895658202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77.418389435796598</v>
      </c>
      <c r="C103" s="29">
        <f>IF(TrRoad_act!C19=0,0,C42/TrRoad_act!C19*1000)</f>
        <v>104.32214920993282</v>
      </c>
      <c r="D103" s="29">
        <f>IF(TrRoad_act!D19=0,0,D42/TrRoad_act!D19*1000)</f>
        <v>96.7479438419426</v>
      </c>
      <c r="E103" s="29">
        <f>IF(TrRoad_act!E19=0,0,E42/TrRoad_act!E19*1000)</f>
        <v>88.934086661548534</v>
      </c>
      <c r="F103" s="29">
        <f>IF(TrRoad_act!F19=0,0,F42/TrRoad_act!F19*1000)</f>
        <v>90.036877392806588</v>
      </c>
      <c r="G103" s="29">
        <f>IF(TrRoad_act!G19=0,0,G42/TrRoad_act!G19*1000)</f>
        <v>88.97517530452194</v>
      </c>
      <c r="H103" s="29">
        <f>IF(TrRoad_act!H19=0,0,H42/TrRoad_act!H19*1000)</f>
        <v>93.555765352692589</v>
      </c>
      <c r="I103" s="29">
        <f>IF(TrRoad_act!I19=0,0,I42/TrRoad_act!I19*1000)</f>
        <v>99.727400084446387</v>
      </c>
      <c r="J103" s="29">
        <f>IF(TrRoad_act!J19=0,0,J42/TrRoad_act!J19*1000)</f>
        <v>102.88749966724887</v>
      </c>
      <c r="K103" s="29">
        <f>IF(TrRoad_act!K19=0,0,K42/TrRoad_act!K19*1000)</f>
        <v>101.9202019803449</v>
      </c>
      <c r="L103" s="29">
        <f>IF(TrRoad_act!L19=0,0,L42/TrRoad_act!L19*1000)</f>
        <v>100.70808064926608</v>
      </c>
      <c r="M103" s="29">
        <f>IF(TrRoad_act!M19=0,0,M42/TrRoad_act!M19*1000)</f>
        <v>70.714534592334743</v>
      </c>
      <c r="N103" s="29">
        <f>IF(TrRoad_act!N19=0,0,N42/TrRoad_act!N19*1000)</f>
        <v>63.388036395283301</v>
      </c>
      <c r="O103" s="29">
        <f>IF(TrRoad_act!O19=0,0,O42/TrRoad_act!O19*1000)</f>
        <v>60.090841728381356</v>
      </c>
      <c r="P103" s="29">
        <f>IF(TrRoad_act!P19=0,0,P42/TrRoad_act!P19*1000)</f>
        <v>60.413488126956125</v>
      </c>
      <c r="Q103" s="29">
        <f>IF(TrRoad_act!Q19=0,0,Q42/TrRoad_act!Q19*1000)</f>
        <v>60.831045911272902</v>
      </c>
      <c r="R103" s="29">
        <f>IF(TrRoad_act!R19=0,0,R42/TrRoad_act!R19*1000)</f>
        <v>57.629238051196694</v>
      </c>
      <c r="S103" s="29">
        <f>IF(TrRoad_act!S19=0,0,S42/TrRoad_act!S19*1000)</f>
        <v>57.975104052683854</v>
      </c>
      <c r="T103" s="29">
        <f>IF(TrRoad_act!T19=0,0,T42/TrRoad_act!T19*1000)</f>
        <v>55.56058941432417</v>
      </c>
      <c r="U103" s="29">
        <f>IF(TrRoad_act!U19=0,0,U42/TrRoad_act!U19*1000)</f>
        <v>55.703743307780769</v>
      </c>
      <c r="V103" s="29">
        <f>IF(TrRoad_act!V19=0,0,V42/TrRoad_act!V19*1000)</f>
        <v>48.856456435493698</v>
      </c>
      <c r="W103" s="29">
        <f>IF(TrRoad_act!W19=0,0,W42/TrRoad_act!W19*1000)</f>
        <v>51.344740410986383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565.84616982275691</v>
      </c>
      <c r="C104" s="152">
        <f>IF(TrRoad_act!C20=0,0,C43/TrRoad_act!C20*1000)</f>
        <v>578.01229256807915</v>
      </c>
      <c r="D104" s="152">
        <f>IF(TrRoad_act!D20=0,0,D43/TrRoad_act!D20*1000)</f>
        <v>543.93423380707395</v>
      </c>
      <c r="E104" s="152">
        <f>IF(TrRoad_act!E20=0,0,E43/TrRoad_act!E20*1000)</f>
        <v>529.96957637675098</v>
      </c>
      <c r="F104" s="152">
        <f>IF(TrRoad_act!F20=0,0,F43/TrRoad_act!F20*1000)</f>
        <v>523.65544632999024</v>
      </c>
      <c r="G104" s="152">
        <f>IF(TrRoad_act!G20=0,0,G43/TrRoad_act!G20*1000)</f>
        <v>522.19851631718541</v>
      </c>
      <c r="H104" s="152">
        <f>IF(TrRoad_act!H20=0,0,H43/TrRoad_act!H20*1000)</f>
        <v>521.02242950409379</v>
      </c>
      <c r="I104" s="152">
        <f>IF(TrRoad_act!I20=0,0,I43/TrRoad_act!I20*1000)</f>
        <v>530.59643333775512</v>
      </c>
      <c r="J104" s="152">
        <f>IF(TrRoad_act!J20=0,0,J43/TrRoad_act!J20*1000)</f>
        <v>515.99771987392978</v>
      </c>
      <c r="K104" s="152">
        <f>IF(TrRoad_act!K20=0,0,K43/TrRoad_act!K20*1000)</f>
        <v>491.42280842832741</v>
      </c>
      <c r="L104" s="152">
        <f>IF(TrRoad_act!L20=0,0,L43/TrRoad_act!L20*1000)</f>
        <v>528.09521589792325</v>
      </c>
      <c r="M104" s="152">
        <f>IF(TrRoad_act!M20=0,0,M43/TrRoad_act!M20*1000)</f>
        <v>487.06609488644239</v>
      </c>
      <c r="N104" s="152">
        <f>IF(TrRoad_act!N20=0,0,N43/TrRoad_act!N20*1000)</f>
        <v>479.09761024578722</v>
      </c>
      <c r="O104" s="152">
        <f>IF(TrRoad_act!O20=0,0,O43/TrRoad_act!O20*1000)</f>
        <v>469.7173645739648</v>
      </c>
      <c r="P104" s="152">
        <f>IF(TrRoad_act!P20=0,0,P43/TrRoad_act!P20*1000)</f>
        <v>458.15080336278788</v>
      </c>
      <c r="Q104" s="152">
        <f>IF(TrRoad_act!Q20=0,0,Q43/TrRoad_act!Q20*1000)</f>
        <v>452.6785832093189</v>
      </c>
      <c r="R104" s="152">
        <f>IF(TrRoad_act!R20=0,0,R43/TrRoad_act!R20*1000)</f>
        <v>441.72624110500061</v>
      </c>
      <c r="S104" s="152">
        <f>IF(TrRoad_act!S20=0,0,S43/TrRoad_act!S20*1000)</f>
        <v>440.05351031986373</v>
      </c>
      <c r="T104" s="152">
        <f>IF(TrRoad_act!T20=0,0,T43/TrRoad_act!T20*1000)</f>
        <v>434.6192803632398</v>
      </c>
      <c r="U104" s="152">
        <f>IF(TrRoad_act!U20=0,0,U43/TrRoad_act!U20*1000)</f>
        <v>425.72368868536711</v>
      </c>
      <c r="V104" s="152">
        <f>IF(TrRoad_act!V20=0,0,V43/TrRoad_act!V20*1000)</f>
        <v>420.26979281066002</v>
      </c>
      <c r="W104" s="152">
        <f>IF(TrRoad_act!W20=0,0,W43/TrRoad_act!W20*1000)</f>
        <v>422.36370936773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617.03135828498159</v>
      </c>
      <c r="C105" s="87">
        <f>IF(TrRoad_act!C21=0,0,C44/TrRoad_act!C21*1000)</f>
        <v>607.76296202623269</v>
      </c>
      <c r="D105" s="87">
        <f>IF(TrRoad_act!D21=0,0,D44/TrRoad_act!D21*1000)</f>
        <v>603.47755892738451</v>
      </c>
      <c r="E105" s="87">
        <f>IF(TrRoad_act!E21=0,0,E44/TrRoad_act!E21*1000)</f>
        <v>594.46380622133699</v>
      </c>
      <c r="F105" s="87">
        <f>IF(TrRoad_act!F21=0,0,F44/TrRoad_act!F21*1000)</f>
        <v>589.18263951346955</v>
      </c>
      <c r="G105" s="87">
        <f>IF(TrRoad_act!G21=0,0,G44/TrRoad_act!G21*1000)</f>
        <v>583.8858593910586</v>
      </c>
      <c r="H105" s="87">
        <f>IF(TrRoad_act!H21=0,0,H44/TrRoad_act!H21*1000)</f>
        <v>576.02371713373589</v>
      </c>
      <c r="I105" s="87">
        <f>IF(TrRoad_act!I21=0,0,I44/TrRoad_act!I21*1000)</f>
        <v>569.35251402719348</v>
      </c>
      <c r="J105" s="87">
        <f>IF(TrRoad_act!J21=0,0,J44/TrRoad_act!J21*1000)</f>
        <v>561.61559288940043</v>
      </c>
      <c r="K105" s="87">
        <f>IF(TrRoad_act!K21=0,0,K44/TrRoad_act!K21*1000)</f>
        <v>553.46279873786546</v>
      </c>
      <c r="L105" s="87">
        <f>IF(TrRoad_act!L21=0,0,L44/TrRoad_act!L21*1000)</f>
        <v>537.55381559991122</v>
      </c>
      <c r="M105" s="87">
        <f>IF(TrRoad_act!M21=0,0,M44/TrRoad_act!M21*1000)</f>
        <v>535.76022926789756</v>
      </c>
      <c r="N105" s="87">
        <f>IF(TrRoad_act!N21=0,0,N44/TrRoad_act!N21*1000)</f>
        <v>531.44107879017554</v>
      </c>
      <c r="O105" s="87">
        <f>IF(TrRoad_act!O21=0,0,O44/TrRoad_act!O21*1000)</f>
        <v>527.61421858533856</v>
      </c>
      <c r="P105" s="87">
        <f>IF(TrRoad_act!P21=0,0,P44/TrRoad_act!P21*1000)</f>
        <v>522.05270593916168</v>
      </c>
      <c r="Q105" s="87">
        <f>IF(TrRoad_act!Q21=0,0,Q44/TrRoad_act!Q21*1000)</f>
        <v>515.92239616380971</v>
      </c>
      <c r="R105" s="87">
        <f>IF(TrRoad_act!R21=0,0,R44/TrRoad_act!R21*1000)</f>
        <v>513.1035339123556</v>
      </c>
      <c r="S105" s="87">
        <f>IF(TrRoad_act!S21=0,0,S44/TrRoad_act!S21*1000)</f>
        <v>510.14668091155011</v>
      </c>
      <c r="T105" s="87">
        <f>IF(TrRoad_act!T21=0,0,T44/TrRoad_act!T21*1000)</f>
        <v>516.17229776159104</v>
      </c>
      <c r="U105" s="87">
        <f>IF(TrRoad_act!U21=0,0,U44/TrRoad_act!U21*1000)</f>
        <v>516.32232567865833</v>
      </c>
      <c r="V105" s="87">
        <f>IF(TrRoad_act!V21=0,0,V44/TrRoad_act!V21*1000)</f>
        <v>515.14726731906842</v>
      </c>
      <c r="W105" s="87">
        <f>IF(TrRoad_act!W21=0,0,W44/TrRoad_act!W21*1000)</f>
        <v>512.27468135639253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538.71763901779229</v>
      </c>
      <c r="C106" s="87">
        <f>IF(TrRoad_act!C22=0,0,C46/TrRoad_act!C22*1000)</f>
        <v>565.13690678356511</v>
      </c>
      <c r="D106" s="87">
        <f>IF(TrRoad_act!D22=0,0,D46/TrRoad_act!D22*1000)</f>
        <v>527.09492496080861</v>
      </c>
      <c r="E106" s="87">
        <f>IF(TrRoad_act!E22=0,0,E46/TrRoad_act!E22*1000)</f>
        <v>509.96196130172422</v>
      </c>
      <c r="F106" s="87">
        <f>IF(TrRoad_act!F22=0,0,F46/TrRoad_act!F22*1000)</f>
        <v>509.61779226373307</v>
      </c>
      <c r="G106" s="87">
        <f>IF(TrRoad_act!G22=0,0,G46/TrRoad_act!G22*1000)</f>
        <v>507.96897773252925</v>
      </c>
      <c r="H106" s="87">
        <f>IF(TrRoad_act!H22=0,0,H46/TrRoad_act!H22*1000)</f>
        <v>509.63105127479935</v>
      </c>
      <c r="I106" s="87">
        <f>IF(TrRoad_act!I22=0,0,I46/TrRoad_act!I22*1000)</f>
        <v>523.73618164111906</v>
      </c>
      <c r="J106" s="87">
        <f>IF(TrRoad_act!J22=0,0,J46/TrRoad_act!J22*1000)</f>
        <v>509.60291335199372</v>
      </c>
      <c r="K106" s="87">
        <f>IF(TrRoad_act!K22=0,0,K46/TrRoad_act!K22*1000)</f>
        <v>484.2221684606464</v>
      </c>
      <c r="L106" s="87">
        <f>IF(TrRoad_act!L22=0,0,L46/TrRoad_act!L22*1000)</f>
        <v>527.5412719217494</v>
      </c>
      <c r="M106" s="87">
        <f>IF(TrRoad_act!M22=0,0,M46/TrRoad_act!M22*1000)</f>
        <v>484.62021071369225</v>
      </c>
      <c r="N106" s="87">
        <f>IF(TrRoad_act!N22=0,0,N46/TrRoad_act!N22*1000)</f>
        <v>476.67074530356871</v>
      </c>
      <c r="O106" s="87">
        <f>IF(TrRoad_act!O22=0,0,O46/TrRoad_act!O22*1000)</f>
        <v>467.73358740124314</v>
      </c>
      <c r="P106" s="87">
        <f>IF(TrRoad_act!P22=0,0,P46/TrRoad_act!P22*1000)</f>
        <v>456.66305888342714</v>
      </c>
      <c r="Q106" s="87">
        <f>IF(TrRoad_act!Q22=0,0,Q46/TrRoad_act!Q22*1000)</f>
        <v>451.34839803337962</v>
      </c>
      <c r="R106" s="87">
        <f>IF(TrRoad_act!R22=0,0,R46/TrRoad_act!R22*1000)</f>
        <v>440.10467141580017</v>
      </c>
      <c r="S106" s="87">
        <f>IF(TrRoad_act!S22=0,0,S46/TrRoad_act!S22*1000)</f>
        <v>438.41286183234189</v>
      </c>
      <c r="T106" s="87">
        <f>IF(TrRoad_act!T22=0,0,T46/TrRoad_act!T22*1000)</f>
        <v>432.83443224228728</v>
      </c>
      <c r="U106" s="87">
        <f>IF(TrRoad_act!U22=0,0,U46/TrRoad_act!U22*1000)</f>
        <v>423.88675888408773</v>
      </c>
      <c r="V106" s="87">
        <f>IF(TrRoad_act!V22=0,0,V46/TrRoad_act!V22*1000)</f>
        <v>418.33709396808518</v>
      </c>
      <c r="W106" s="87">
        <f>IF(TrRoad_act!W22=0,0,W46/TrRoad_act!W22*1000)</f>
        <v>420.60252145947362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575.7043506120782</v>
      </c>
      <c r="O107" s="87">
        <f>IF(TrRoad_act!O23=0,0,O48/TrRoad_act!O23*1000)</f>
        <v>573.06780504113169</v>
      </c>
      <c r="P107" s="87">
        <f>IF(TrRoad_act!P23=0,0,P48/TrRoad_act!P23*1000)</f>
        <v>542.00287717998197</v>
      </c>
      <c r="Q107" s="87">
        <f>IF(TrRoad_act!Q23=0,0,Q48/TrRoad_act!Q23*1000)</f>
        <v>545.47149110336431</v>
      </c>
      <c r="R107" s="87">
        <f>IF(TrRoad_act!R23=0,0,R48/TrRoad_act!R23*1000)</f>
        <v>664.48255800359323</v>
      </c>
      <c r="S107" s="87">
        <f>IF(TrRoad_act!S23=0,0,S48/TrRoad_act!S23*1000)</f>
        <v>624.17154468607146</v>
      </c>
      <c r="T107" s="87">
        <f>IF(TrRoad_act!T23=0,0,T48/TrRoad_act!T23*1000)</f>
        <v>598.68860385112635</v>
      </c>
      <c r="U107" s="87">
        <f>IF(TrRoad_act!U23=0,0,U48/TrRoad_act!U23*1000)</f>
        <v>580.58976696873845</v>
      </c>
      <c r="V107" s="87">
        <f>IF(TrRoad_act!V23=0,0,V48/TrRoad_act!V23*1000)</f>
        <v>586.06314316438727</v>
      </c>
      <c r="W107" s="87">
        <f>IF(TrRoad_act!W23=0,0,W48/TrRoad_act!W23*1000)</f>
        <v>588.70946613226556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91.036473686131856</v>
      </c>
      <c r="N109" s="87">
        <f>IF(TrRoad_act!N25=0,0,N51/TrRoad_act!N25*1000)</f>
        <v>91.041503464709166</v>
      </c>
      <c r="O109" s="87">
        <f>IF(TrRoad_act!O25=0,0,O51/TrRoad_act!O25*1000)</f>
        <v>91.04423336412178</v>
      </c>
      <c r="P109" s="87">
        <f>IF(TrRoad_act!P25=0,0,P51/TrRoad_act!P25*1000)</f>
        <v>93.517877909045836</v>
      </c>
      <c r="Q109" s="87">
        <f>IF(TrRoad_act!Q25=0,0,Q51/TrRoad_act!Q25*1000)</f>
        <v>92.44997016914985</v>
      </c>
      <c r="R109" s="87">
        <f>IF(TrRoad_act!R25=0,0,R51/TrRoad_act!R25*1000)</f>
        <v>88.271962259169186</v>
      </c>
      <c r="S109" s="87">
        <f>IF(TrRoad_act!S25=0,0,S51/TrRoad_act!S25*1000)</f>
        <v>94.016885614183465</v>
      </c>
      <c r="T109" s="87">
        <f>IF(TrRoad_act!T25=0,0,T51/TrRoad_act!T25*1000)</f>
        <v>95.294344530210921</v>
      </c>
      <c r="U109" s="87">
        <f>IF(TrRoad_act!U25=0,0,U51/TrRoad_act!U25*1000)</f>
        <v>101.83546557475491</v>
      </c>
      <c r="V109" s="87">
        <f>IF(TrRoad_act!V25=0,0,V51/TrRoad_act!V25*1000)</f>
        <v>167.99224617988958</v>
      </c>
      <c r="W109" s="87">
        <f>IF(TrRoad_act!W25=0,0,W51/TrRoad_act!W25*1000)</f>
        <v>167.76472017358395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63.104854221892175</v>
      </c>
      <c r="C110" s="116">
        <f>IF(TrRoad_act!C26=0,0,C52/TrRoad_act!C26*1000)</f>
        <v>89.509540649171541</v>
      </c>
      <c r="D110" s="116">
        <f>IF(TrRoad_act!D26=0,0,D52/TrRoad_act!D26*1000)</f>
        <v>81.029376787964878</v>
      </c>
      <c r="E110" s="116">
        <f>IF(TrRoad_act!E26=0,0,E52/TrRoad_act!E26*1000)</f>
        <v>76.414815820121603</v>
      </c>
      <c r="F110" s="116">
        <f>IF(TrRoad_act!F26=0,0,F52/TrRoad_act!F26*1000)</f>
        <v>74.653150372572668</v>
      </c>
      <c r="G110" s="116">
        <f>IF(TrRoad_act!G26=0,0,G52/TrRoad_act!G26*1000)</f>
        <v>76.011152325492617</v>
      </c>
      <c r="H110" s="116">
        <f>IF(TrRoad_act!H26=0,0,H52/TrRoad_act!H26*1000)</f>
        <v>80.130411260794887</v>
      </c>
      <c r="I110" s="116">
        <f>IF(TrRoad_act!I26=0,0,I52/TrRoad_act!I26*1000)</f>
        <v>86.366176700819736</v>
      </c>
      <c r="J110" s="116">
        <f>IF(TrRoad_act!J26=0,0,J52/TrRoad_act!J26*1000)</f>
        <v>88.018730723839468</v>
      </c>
      <c r="K110" s="116">
        <f>IF(TrRoad_act!K26=0,0,K52/TrRoad_act!K26*1000)</f>
        <v>85.65754756145499</v>
      </c>
      <c r="L110" s="116">
        <f>IF(TrRoad_act!L26=0,0,L52/TrRoad_act!L26*1000)</f>
        <v>87.570306808094998</v>
      </c>
      <c r="M110" s="116">
        <f>IF(TrRoad_act!M26=0,0,M52/TrRoad_act!M26*1000)</f>
        <v>58.272223247589118</v>
      </c>
      <c r="N110" s="116">
        <f>IF(TrRoad_act!N26=0,0,N52/TrRoad_act!N26*1000)</f>
        <v>50.17667336294361</v>
      </c>
      <c r="O110" s="116">
        <f>IF(TrRoad_act!O26=0,0,O52/TrRoad_act!O26*1000)</f>
        <v>46.29414005193258</v>
      </c>
      <c r="P110" s="116">
        <f>IF(TrRoad_act!P26=0,0,P52/TrRoad_act!P26*1000)</f>
        <v>45.525151279219301</v>
      </c>
      <c r="Q110" s="116">
        <f>IF(TrRoad_act!Q26=0,0,Q52/TrRoad_act!Q26*1000)</f>
        <v>46.306541697712838</v>
      </c>
      <c r="R110" s="116">
        <f>IF(TrRoad_act!R26=0,0,R52/TrRoad_act!R26*1000)</f>
        <v>43.537110927568342</v>
      </c>
      <c r="S110" s="116">
        <f>IF(TrRoad_act!S26=0,0,S52/TrRoad_act!S26*1000)</f>
        <v>44.501389337480362</v>
      </c>
      <c r="T110" s="116">
        <f>IF(TrRoad_act!T26=0,0,T52/TrRoad_act!T26*1000)</f>
        <v>42.877291699492979</v>
      </c>
      <c r="U110" s="116">
        <f>IF(TrRoad_act!U26=0,0,U52/TrRoad_act!U26*1000)</f>
        <v>42.195166992368272</v>
      </c>
      <c r="V110" s="116">
        <f>IF(TrRoad_act!V26=0,0,V52/TrRoad_act!V26*1000)</f>
        <v>36.597718092614365</v>
      </c>
      <c r="W110" s="116">
        <f>IF(TrRoad_act!W26=0,0,W52/TrRoad_act!W26*1000)</f>
        <v>39.221133773604691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59.055843820971099</v>
      </c>
      <c r="C111" s="101">
        <f>IF(TrRoad_act!C27=0,0,C53/TrRoad_act!C27*1000)</f>
        <v>67.839272063694963</v>
      </c>
      <c r="D111" s="101">
        <f>IF(TrRoad_act!D27=0,0,D53/TrRoad_act!D27*1000)</f>
        <v>66.508611614861593</v>
      </c>
      <c r="E111" s="101">
        <f>IF(TrRoad_act!E27=0,0,E53/TrRoad_act!E27*1000)</f>
        <v>62.511840683100786</v>
      </c>
      <c r="F111" s="101">
        <f>IF(TrRoad_act!F27=0,0,F53/TrRoad_act!F27*1000)</f>
        <v>59.139719355945623</v>
      </c>
      <c r="G111" s="101">
        <f>IF(TrRoad_act!G27=0,0,G53/TrRoad_act!G27*1000)</f>
        <v>57.900765754371093</v>
      </c>
      <c r="H111" s="101">
        <f>IF(TrRoad_act!H27=0,0,H53/TrRoad_act!H27*1000)</f>
        <v>59.172047905501749</v>
      </c>
      <c r="I111" s="101">
        <f>IF(TrRoad_act!I27=0,0,I53/TrRoad_act!I27*1000)</f>
        <v>63.482026256827488</v>
      </c>
      <c r="J111" s="101">
        <f>IF(TrRoad_act!J27=0,0,J53/TrRoad_act!J27*1000)</f>
        <v>69.692997688051236</v>
      </c>
      <c r="K111" s="101">
        <f>IF(TrRoad_act!K27=0,0,K53/TrRoad_act!K27*1000)</f>
        <v>76.473600571682326</v>
      </c>
      <c r="L111" s="101">
        <f>IF(TrRoad_act!L27=0,0,L53/TrRoad_act!L27*1000)</f>
        <v>57.014383977038207</v>
      </c>
      <c r="M111" s="101">
        <f>IF(TrRoad_act!M27=0,0,M53/TrRoad_act!M27*1000)</f>
        <v>43.378263901184411</v>
      </c>
      <c r="N111" s="101">
        <f>IF(TrRoad_act!N27=0,0,N53/TrRoad_act!N27*1000)</f>
        <v>36.264558134496895</v>
      </c>
      <c r="O111" s="101">
        <f>IF(TrRoad_act!O27=0,0,O53/TrRoad_act!O27*1000)</f>
        <v>35.531758233778419</v>
      </c>
      <c r="P111" s="101">
        <f>IF(TrRoad_act!P27=0,0,P53/TrRoad_act!P27*1000)</f>
        <v>35.579083907622639</v>
      </c>
      <c r="Q111" s="101">
        <f>IF(TrRoad_act!Q27=0,0,Q53/TrRoad_act!Q27*1000)</f>
        <v>35.954964791729708</v>
      </c>
      <c r="R111" s="101">
        <f>IF(TrRoad_act!R27=0,0,R53/TrRoad_act!R27*1000)</f>
        <v>35.570431212325154</v>
      </c>
      <c r="S111" s="101">
        <f>IF(TrRoad_act!S27=0,0,S53/TrRoad_act!S27*1000)</f>
        <v>34.857873917738438</v>
      </c>
      <c r="T111" s="101">
        <f>IF(TrRoad_act!T27=0,0,T53/TrRoad_act!T27*1000)</f>
        <v>33.516945831793336</v>
      </c>
      <c r="U111" s="101">
        <f>IF(TrRoad_act!U27=0,0,U53/TrRoad_act!U27*1000)</f>
        <v>34.505875256506513</v>
      </c>
      <c r="V111" s="101">
        <f>IF(TrRoad_act!V27=0,0,V53/TrRoad_act!V27*1000)</f>
        <v>31.172662718202709</v>
      </c>
      <c r="W111" s="101">
        <f>IF(TrRoad_act!W27=0,0,W53/TrRoad_act!W27*1000)</f>
        <v>32.306907936838535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71.412914312253221</v>
      </c>
      <c r="C112" s="88">
        <f>IF(TrRoad_act!C28=0,0,C55/TrRoad_act!C28*1000)</f>
        <v>135.52144035498216</v>
      </c>
      <c r="D112" s="88">
        <f>IF(TrRoad_act!D28=0,0,D55/TrRoad_act!D28*1000)</f>
        <v>115.84210973328905</v>
      </c>
      <c r="E112" s="88">
        <f>IF(TrRoad_act!E28=0,0,E55/TrRoad_act!E28*1000)</f>
        <v>115.85328599184409</v>
      </c>
      <c r="F112" s="88">
        <f>IF(TrRoad_act!F28=0,0,F55/TrRoad_act!F28*1000)</f>
        <v>112.80946261087774</v>
      </c>
      <c r="G112" s="88">
        <f>IF(TrRoad_act!G28=0,0,G55/TrRoad_act!G28*1000)</f>
        <v>125.42518082004025</v>
      </c>
      <c r="H112" s="88">
        <f>IF(TrRoad_act!H28=0,0,H55/TrRoad_act!H28*1000)</f>
        <v>126.42713377487416</v>
      </c>
      <c r="I112" s="88">
        <f>IF(TrRoad_act!I28=0,0,I55/TrRoad_act!I28*1000)</f>
        <v>135.45582653810325</v>
      </c>
      <c r="J112" s="88">
        <f>IF(TrRoad_act!J28=0,0,J55/TrRoad_act!J28*1000)</f>
        <v>122.44934640635807</v>
      </c>
      <c r="K112" s="88">
        <f>IF(TrRoad_act!K28=0,0,K55/TrRoad_act!K28*1000)</f>
        <v>104.24466495076831</v>
      </c>
      <c r="L112" s="88">
        <f>IF(TrRoad_act!L28=0,0,L55/TrRoad_act!L28*1000)</f>
        <v>153.80899182015125</v>
      </c>
      <c r="M112" s="88">
        <f>IF(TrRoad_act!M28=0,0,M55/TrRoad_act!M28*1000)</f>
        <v>87.214084926374511</v>
      </c>
      <c r="N112" s="88">
        <f>IF(TrRoad_act!N28=0,0,N55/TrRoad_act!N28*1000)</f>
        <v>74.335219302329548</v>
      </c>
      <c r="O112" s="88">
        <f>IF(TrRoad_act!O28=0,0,O55/TrRoad_act!O28*1000)</f>
        <v>63.707909632053997</v>
      </c>
      <c r="P112" s="88">
        <f>IF(TrRoad_act!P28=0,0,P55/TrRoad_act!P28*1000)</f>
        <v>61.044415948716939</v>
      </c>
      <c r="Q112" s="88">
        <f>IF(TrRoad_act!Q28=0,0,Q55/TrRoad_act!Q28*1000)</f>
        <v>60.246971631668671</v>
      </c>
      <c r="R112" s="88">
        <f>IF(TrRoad_act!R28=0,0,R55/TrRoad_act!R28*1000)</f>
        <v>54.457519804110341</v>
      </c>
      <c r="S112" s="88">
        <f>IF(TrRoad_act!S28=0,0,S55/TrRoad_act!S28*1000)</f>
        <v>59.842291464711742</v>
      </c>
      <c r="T112" s="88">
        <f>IF(TrRoad_act!T28=0,0,T55/TrRoad_act!T28*1000)</f>
        <v>57.409354696069741</v>
      </c>
      <c r="U112" s="88">
        <f>IF(TrRoad_act!U28=0,0,U55/TrRoad_act!U28*1000)</f>
        <v>54.871902875801773</v>
      </c>
      <c r="V112" s="88">
        <f>IF(TrRoad_act!V28=0,0,V55/TrRoad_act!V28*1000)</f>
        <v>44.883581541571921</v>
      </c>
      <c r="W112" s="88">
        <f>IF(TrRoad_act!W28=0,0,W55/TrRoad_act!W28*1000)</f>
        <v>51.163086090059295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88.402361409856837</v>
      </c>
      <c r="C116" s="152">
        <f>IF(C19=0,0,1000000*C19/TrRoad_act!C59)</f>
        <v>89.117141712983795</v>
      </c>
      <c r="D116" s="152">
        <f>IF(D19=0,0,1000000*D19/TrRoad_act!D59)</f>
        <v>88.335680153262999</v>
      </c>
      <c r="E116" s="152">
        <f>IF(E19=0,0,1000000*E19/TrRoad_act!E59)</f>
        <v>87.519249143110642</v>
      </c>
      <c r="F116" s="152">
        <f>IF(F19=0,0,1000000*F19/TrRoad_act!F59)</f>
        <v>85.791051738343839</v>
      </c>
      <c r="G116" s="152">
        <f>IF(G19=0,0,1000000*G19/TrRoad_act!G59)</f>
        <v>83.908546268758457</v>
      </c>
      <c r="H116" s="152">
        <f>IF(H19=0,0,1000000*H19/TrRoad_act!H59)</f>
        <v>80.008030366914781</v>
      </c>
      <c r="I116" s="152">
        <f>IF(I19=0,0,1000000*I19/TrRoad_act!I59)</f>
        <v>72.569777173871387</v>
      </c>
      <c r="J116" s="152">
        <f>IF(J19=0,0,1000000*J19/TrRoad_act!J59)</f>
        <v>65.796082541454069</v>
      </c>
      <c r="K116" s="152">
        <f>IF(K19=0,0,1000000*K19/TrRoad_act!K59)</f>
        <v>62.908898036454246</v>
      </c>
      <c r="L116" s="152">
        <f>IF(L19=0,0,1000000*L19/TrRoad_act!L59)</f>
        <v>62.630339527141267</v>
      </c>
      <c r="M116" s="152">
        <f>IF(M19=0,0,1000000*M19/TrRoad_act!M59)</f>
        <v>57.775392077908528</v>
      </c>
      <c r="N116" s="152">
        <f>IF(N19=0,0,1000000*N19/TrRoad_act!N59)</f>
        <v>48.689932624829318</v>
      </c>
      <c r="O116" s="152">
        <f>IF(O19=0,0,1000000*O19/TrRoad_act!O59)</f>
        <v>46.840446863298524</v>
      </c>
      <c r="P116" s="152">
        <f>IF(P19=0,0,1000000*P19/TrRoad_act!P59)</f>
        <v>51.705967953118005</v>
      </c>
      <c r="Q116" s="152">
        <f>IF(Q19=0,0,1000000*Q19/TrRoad_act!Q59)</f>
        <v>60.404489425991081</v>
      </c>
      <c r="R116" s="152">
        <f>IF(R19=0,0,1000000*R19/TrRoad_act!R59)</f>
        <v>58.485834843352926</v>
      </c>
      <c r="S116" s="152">
        <f>IF(S19=0,0,1000000*S19/TrRoad_act!S59)</f>
        <v>50.873538693114014</v>
      </c>
      <c r="T116" s="152">
        <f>IF(T19=0,0,1000000*T19/TrRoad_act!T59)</f>
        <v>45.157957614313375</v>
      </c>
      <c r="U116" s="152">
        <f>IF(U19=0,0,1000000*U19/TrRoad_act!U59)</f>
        <v>43.570865122368247</v>
      </c>
      <c r="V116" s="152">
        <f>IF(V19=0,0,1000000*V19/TrRoad_act!V59)</f>
        <v>36.460781367566376</v>
      </c>
      <c r="W116" s="152">
        <f>IF(W19=0,0,1000000*W19/TrRoad_act!W59)</f>
        <v>32.285823854026212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669.88598169661452</v>
      </c>
      <c r="C117" s="116">
        <f>IF(C21=0,0,1000000*C21/TrRoad_act!C60)</f>
        <v>722.51247116032278</v>
      </c>
      <c r="D117" s="116">
        <f>IF(D21=0,0,1000000*D21/TrRoad_act!D60)</f>
        <v>720.04208397138962</v>
      </c>
      <c r="E117" s="116">
        <f>IF(E21=0,0,1000000*E21/TrRoad_act!E60)</f>
        <v>732.06740262223855</v>
      </c>
      <c r="F117" s="116">
        <f>IF(F21=0,0,1000000*F21/TrRoad_act!F60)</f>
        <v>736.13202260711694</v>
      </c>
      <c r="G117" s="116">
        <f>IF(G21=0,0,1000000*G21/TrRoad_act!G60)</f>
        <v>732.54491475194595</v>
      </c>
      <c r="H117" s="116">
        <f>IF(H21=0,0,1000000*H21/TrRoad_act!H60)</f>
        <v>819.09662425894908</v>
      </c>
      <c r="I117" s="116">
        <f>IF(I21=0,0,1000000*I21/TrRoad_act!I60)</f>
        <v>896.36535235912743</v>
      </c>
      <c r="J117" s="116">
        <f>IF(J21=0,0,1000000*J21/TrRoad_act!J60)</f>
        <v>861.91763258173467</v>
      </c>
      <c r="K117" s="116">
        <f>IF(K21=0,0,1000000*K21/TrRoad_act!K60)</f>
        <v>797.29636303975667</v>
      </c>
      <c r="L117" s="116">
        <f>IF(L21=0,0,1000000*L21/TrRoad_act!L60)</f>
        <v>828.91099487359043</v>
      </c>
      <c r="M117" s="116">
        <f>IF(M21=0,0,1000000*M21/TrRoad_act!M60)</f>
        <v>823.83140833301331</v>
      </c>
      <c r="N117" s="116">
        <f>IF(N21=0,0,1000000*N21/TrRoad_act!N60)</f>
        <v>790.00229627167153</v>
      </c>
      <c r="O117" s="116">
        <f>IF(O21=0,0,1000000*O21/TrRoad_act!O60)</f>
        <v>775.75015713073026</v>
      </c>
      <c r="P117" s="116">
        <f>IF(P21=0,0,1000000*P21/TrRoad_act!P60)</f>
        <v>827.60866135888978</v>
      </c>
      <c r="Q117" s="116">
        <f>IF(Q21=0,0,1000000*Q21/TrRoad_act!Q60)</f>
        <v>861.05723832383342</v>
      </c>
      <c r="R117" s="116">
        <f>IF(R21=0,0,1000000*R21/TrRoad_act!R60)</f>
        <v>907.646976934343</v>
      </c>
      <c r="S117" s="116">
        <f>IF(S21=0,0,1000000*S21/TrRoad_act!S60)</f>
        <v>905.32962269406551</v>
      </c>
      <c r="T117" s="116">
        <f>IF(T21=0,0,1000000*T21/TrRoad_act!T60)</f>
        <v>907.69802431895846</v>
      </c>
      <c r="U117" s="116">
        <f>IF(U21=0,0,1000000*U21/TrRoad_act!U60)</f>
        <v>916.4505074419227</v>
      </c>
      <c r="V117" s="116">
        <f>IF(V21=0,0,1000000*V21/TrRoad_act!V60)</f>
        <v>872.27125225392206</v>
      </c>
      <c r="W117" s="116">
        <f>IF(W21=0,0,1000000*W21/TrRoad_act!W60)</f>
        <v>862.06890876390867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645.22313765092349</v>
      </c>
      <c r="C118" s="87">
        <f>IF(C22=0,0,1000000*C22/TrRoad_act!C61)</f>
        <v>689.05728520092146</v>
      </c>
      <c r="D118" s="87">
        <f>IF(D22=0,0,1000000*D22/TrRoad_act!D61)</f>
        <v>683.83969993330732</v>
      </c>
      <c r="E118" s="87">
        <f>IF(E22=0,0,1000000*E22/TrRoad_act!E61)</f>
        <v>687.94687811415861</v>
      </c>
      <c r="F118" s="87">
        <f>IF(F22=0,0,1000000*F22/TrRoad_act!F61)</f>
        <v>687.34801990935853</v>
      </c>
      <c r="G118" s="87">
        <f>IF(G22=0,0,1000000*G22/TrRoad_act!G61)</f>
        <v>676.9022665262753</v>
      </c>
      <c r="H118" s="87">
        <f>IF(H22=0,0,1000000*H22/TrRoad_act!H61)</f>
        <v>759.55404404239914</v>
      </c>
      <c r="I118" s="87">
        <f>IF(I22=0,0,1000000*I22/TrRoad_act!I61)</f>
        <v>844.90610639088663</v>
      </c>
      <c r="J118" s="87">
        <f>IF(J22=0,0,1000000*J22/TrRoad_act!J61)</f>
        <v>804.08686205743822</v>
      </c>
      <c r="K118" s="87">
        <f>IF(K22=0,0,1000000*K22/TrRoad_act!K61)</f>
        <v>719.65856556708343</v>
      </c>
      <c r="L118" s="87">
        <f>IF(L22=0,0,1000000*L22/TrRoad_act!L61)</f>
        <v>718.0843540282151</v>
      </c>
      <c r="M118" s="87">
        <f>IF(M22=0,0,1000000*M22/TrRoad_act!M61)</f>
        <v>732.86293608259064</v>
      </c>
      <c r="N118" s="87">
        <f>IF(N22=0,0,1000000*N22/TrRoad_act!N61)</f>
        <v>669.05830854348039</v>
      </c>
      <c r="O118" s="87">
        <f>IF(O22=0,0,1000000*O22/TrRoad_act!O61)</f>
        <v>632.32771539523981</v>
      </c>
      <c r="P118" s="87">
        <f>IF(P22=0,0,1000000*P22/TrRoad_act!P61)</f>
        <v>696.4913013963677</v>
      </c>
      <c r="Q118" s="87">
        <f>IF(Q22=0,0,1000000*Q22/TrRoad_act!Q61)</f>
        <v>719.58878170293099</v>
      </c>
      <c r="R118" s="87">
        <f>IF(R22=0,0,1000000*R22/TrRoad_act!R61)</f>
        <v>792.04572261115015</v>
      </c>
      <c r="S118" s="87">
        <f>IF(S22=0,0,1000000*S22/TrRoad_act!S61)</f>
        <v>784.09576052174464</v>
      </c>
      <c r="T118" s="87">
        <f>IF(T22=0,0,1000000*T22/TrRoad_act!T61)</f>
        <v>789.73543300516383</v>
      </c>
      <c r="U118" s="87">
        <f>IF(U22=0,0,1000000*U22/TrRoad_act!U61)</f>
        <v>771.7130754988566</v>
      </c>
      <c r="V118" s="87">
        <f>IF(V22=0,0,1000000*V22/TrRoad_act!V61)</f>
        <v>790.2802389506694</v>
      </c>
      <c r="W118" s="87">
        <f>IF(W22=0,0,1000000*W22/TrRoad_act!W61)</f>
        <v>791.35937434714015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722.12231609219543</v>
      </c>
      <c r="C119" s="87">
        <f>IF(C24=0,0,1000000*C24/TrRoad_act!C62)</f>
        <v>851.89146424223077</v>
      </c>
      <c r="D119" s="87">
        <f>IF(D24=0,0,1000000*D24/TrRoad_act!D62)</f>
        <v>840.82745757908265</v>
      </c>
      <c r="E119" s="87">
        <f>IF(E24=0,0,1000000*E24/TrRoad_act!E62)</f>
        <v>867.31537804100799</v>
      </c>
      <c r="F119" s="87">
        <f>IF(F24=0,0,1000000*F24/TrRoad_act!F62)</f>
        <v>894.21638565463275</v>
      </c>
      <c r="G119" s="87">
        <f>IF(G24=0,0,1000000*G24/TrRoad_act!G62)</f>
        <v>897.57248046806012</v>
      </c>
      <c r="H119" s="87">
        <f>IF(H24=0,0,1000000*H24/TrRoad_act!H62)</f>
        <v>984.17264258098476</v>
      </c>
      <c r="I119" s="87">
        <f>IF(I24=0,0,1000000*I24/TrRoad_act!I62)</f>
        <v>1035.5255386740166</v>
      </c>
      <c r="J119" s="87">
        <f>IF(J24=0,0,1000000*J24/TrRoad_act!J62)</f>
        <v>1003.92712030162</v>
      </c>
      <c r="K119" s="87">
        <f>IF(K24=0,0,1000000*K24/TrRoad_act!K62)</f>
        <v>963.30271000801383</v>
      </c>
      <c r="L119" s="87">
        <f>IF(L24=0,0,1000000*L24/TrRoad_act!L62)</f>
        <v>1030.6353187632474</v>
      </c>
      <c r="M119" s="87">
        <f>IF(M24=0,0,1000000*M24/TrRoad_act!M62)</f>
        <v>952.75111905770518</v>
      </c>
      <c r="N119" s="87">
        <f>IF(N24=0,0,1000000*N24/TrRoad_act!N62)</f>
        <v>928.68550117886116</v>
      </c>
      <c r="O119" s="87">
        <f>IF(O24=0,0,1000000*O24/TrRoad_act!O62)</f>
        <v>890.39641098553057</v>
      </c>
      <c r="P119" s="87">
        <f>IF(P24=0,0,1000000*P24/TrRoad_act!P62)</f>
        <v>902.74015261873672</v>
      </c>
      <c r="Q119" s="87">
        <f>IF(Q24=0,0,1000000*Q24/TrRoad_act!Q62)</f>
        <v>925.72816549887352</v>
      </c>
      <c r="R119" s="87">
        <f>IF(R24=0,0,1000000*R24/TrRoad_act!R62)</f>
        <v>951.98069885295649</v>
      </c>
      <c r="S119" s="87">
        <f>IF(S24=0,0,1000000*S24/TrRoad_act!S62)</f>
        <v>956.21518088063419</v>
      </c>
      <c r="T119" s="87">
        <f>IF(T24=0,0,1000000*T24/TrRoad_act!T62)</f>
        <v>955.02595129344661</v>
      </c>
      <c r="U119" s="87">
        <f>IF(U24=0,0,1000000*U24/TrRoad_act!U62)</f>
        <v>986.21581758909997</v>
      </c>
      <c r="V119" s="87">
        <f>IF(V24=0,0,1000000*V24/TrRoad_act!V62)</f>
        <v>910.52540700550844</v>
      </c>
      <c r="W119" s="87">
        <f>IF(W24=0,0,1000000*W24/TrRoad_act!W62)</f>
        <v>902.23445729738614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1291.6487532244194</v>
      </c>
      <c r="C120" s="87">
        <f>IF(C26=0,0,1000000*C26/TrRoad_act!C63)</f>
        <v>1291.2452390872047</v>
      </c>
      <c r="D120" s="87">
        <f>IF(D26=0,0,1000000*D26/TrRoad_act!D63)</f>
        <v>1291.7294863173142</v>
      </c>
      <c r="E120" s="87">
        <f>IF(E26=0,0,1000000*E26/TrRoad_act!E63)</f>
        <v>1278.0767948788014</v>
      </c>
      <c r="F120" s="87">
        <f>IF(F26=0,0,1000000*F26/TrRoad_act!F63)</f>
        <v>1054.0657666030665</v>
      </c>
      <c r="G120" s="87">
        <f>IF(G26=0,0,1000000*G26/TrRoad_act!G63)</f>
        <v>978.04132920455595</v>
      </c>
      <c r="H120" s="87">
        <f>IF(H26=0,0,1000000*H26/TrRoad_act!H63)</f>
        <v>969.69927116589054</v>
      </c>
      <c r="I120" s="87">
        <f>IF(I26=0,0,1000000*I26/TrRoad_act!I63)</f>
        <v>935.3578099465692</v>
      </c>
      <c r="J120" s="87">
        <f>IF(J26=0,0,1000000*J26/TrRoad_act!J63)</f>
        <v>858.64929246199313</v>
      </c>
      <c r="K120" s="87">
        <f>IF(K26=0,0,1000000*K26/TrRoad_act!K63)</f>
        <v>823.65709025509989</v>
      </c>
      <c r="L120" s="87">
        <f>IF(L26=0,0,1000000*L26/TrRoad_act!L63)</f>
        <v>1032.7345686986127</v>
      </c>
      <c r="M120" s="87">
        <f>IF(M26=0,0,1000000*M26/TrRoad_act!M63)</f>
        <v>1083.9105263992192</v>
      </c>
      <c r="N120" s="87">
        <f>IF(N26=0,0,1000000*N26/TrRoad_act!N63)</f>
        <v>1034.9190114349451</v>
      </c>
      <c r="O120" s="87">
        <f>IF(O26=0,0,1000000*O26/TrRoad_act!O63)</f>
        <v>1169.0023458790222</v>
      </c>
      <c r="P120" s="87">
        <f>IF(P26=0,0,1000000*P26/TrRoad_act!P63)</f>
        <v>1118.7533983499652</v>
      </c>
      <c r="Q120" s="87">
        <f>IF(Q26=0,0,1000000*Q26/TrRoad_act!Q63)</f>
        <v>1224.5958214700229</v>
      </c>
      <c r="R120" s="87">
        <f>IF(R26=0,0,1000000*R26/TrRoad_act!R63)</f>
        <v>1176.9613880224508</v>
      </c>
      <c r="S120" s="87">
        <f>IF(S26=0,0,1000000*S26/TrRoad_act!S63)</f>
        <v>1111.1625475136073</v>
      </c>
      <c r="T120" s="87">
        <f>IF(T26=0,0,1000000*T26/TrRoad_act!T63)</f>
        <v>1081.1486724335309</v>
      </c>
      <c r="U120" s="87">
        <f>IF(U26=0,0,1000000*U26/TrRoad_act!U63)</f>
        <v>972.76185894736136</v>
      </c>
      <c r="V120" s="87">
        <f>IF(V26=0,0,1000000*V26/TrRoad_act!V63)</f>
        <v>902.4437591880893</v>
      </c>
      <c r="W120" s="87">
        <f>IF(W26=0,0,1000000*W26/TrRoad_act!W63)</f>
        <v>810.6744182624476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456.11339597480719</v>
      </c>
      <c r="C121" s="87">
        <f>IF(C27=0,0,1000000*C27/TrRoad_act!C64)</f>
        <v>546.66078854692387</v>
      </c>
      <c r="D121" s="87">
        <f>IF(D27=0,0,1000000*D27/TrRoad_act!D64)</f>
        <v>551.53409630758415</v>
      </c>
      <c r="E121" s="87">
        <f>IF(E27=0,0,1000000*E27/TrRoad_act!E64)</f>
        <v>581.19963804487281</v>
      </c>
      <c r="F121" s="87">
        <f>IF(F27=0,0,1000000*F27/TrRoad_act!F64)</f>
        <v>608.40099314656379</v>
      </c>
      <c r="G121" s="87">
        <f>IF(G27=0,0,1000000*G27/TrRoad_act!G64)</f>
        <v>623.9285824802887</v>
      </c>
      <c r="H121" s="87">
        <f>IF(H27=0,0,1000000*H27/TrRoad_act!H64)</f>
        <v>706.30717415546883</v>
      </c>
      <c r="I121" s="87">
        <f>IF(I27=0,0,1000000*I27/TrRoad_act!I64)</f>
        <v>816.92466824768201</v>
      </c>
      <c r="J121" s="87">
        <f>IF(J27=0,0,1000000*J27/TrRoad_act!J64)</f>
        <v>786.50343744617919</v>
      </c>
      <c r="K121" s="87">
        <f>IF(K27=0,0,1000000*K27/TrRoad_act!K64)</f>
        <v>719.65799062633084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0</v>
      </c>
      <c r="R121" s="87">
        <f>IF(R27=0,0,1000000*R27/TrRoad_act!R64)</f>
        <v>0</v>
      </c>
      <c r="S121" s="87">
        <f>IF(S27=0,0,1000000*S27/TrRoad_act!S64)</f>
        <v>0</v>
      </c>
      <c r="T121" s="87">
        <f>IF(T27=0,0,1000000*T27/TrRoad_act!T64)</f>
        <v>367.8543160244401</v>
      </c>
      <c r="U121" s="87">
        <f>IF(U27=0,0,1000000*U27/TrRoad_act!U64)</f>
        <v>568.01008488437128</v>
      </c>
      <c r="V121" s="87">
        <f>IF(V27=0,0,1000000*V27/TrRoad_act!V64)</f>
        <v>521.62180455120722</v>
      </c>
      <c r="W121" s="87">
        <f>IF(W27=0,0,1000000*W27/TrRoad_act!W64)</f>
        <v>524.58271165820622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280.71122727192773</v>
      </c>
      <c r="O122" s="87">
        <f>IF(O29=0,0,1000000*O29/TrRoad_act!O65)</f>
        <v>307.03164704804664</v>
      </c>
      <c r="P122" s="87">
        <f>IF(P29=0,0,1000000*P29/TrRoad_act!P65)</f>
        <v>344.31042260998169</v>
      </c>
      <c r="Q122" s="87">
        <f>IF(Q29=0,0,1000000*Q29/TrRoad_act!Q65)</f>
        <v>331.69438630748647</v>
      </c>
      <c r="R122" s="87">
        <f>IF(R29=0,0,1000000*R29/TrRoad_act!R65)</f>
        <v>317.28356520705165</v>
      </c>
      <c r="S122" s="87">
        <f>IF(S29=0,0,1000000*S29/TrRoad_act!S65)</f>
        <v>342.37212085356157</v>
      </c>
      <c r="T122" s="87">
        <f>IF(T29=0,0,1000000*T29/TrRoad_act!T65)</f>
        <v>356.5705877733717</v>
      </c>
      <c r="U122" s="87">
        <f>IF(U29=0,0,1000000*U29/TrRoad_act!U65)</f>
        <v>363.43260395636372</v>
      </c>
      <c r="V122" s="87">
        <f>IF(V29=0,0,1000000*V29/TrRoad_act!V65)</f>
        <v>413.87541969875059</v>
      </c>
      <c r="W122" s="87">
        <f>IF(W29=0,0,1000000*W29/TrRoad_act!W65)</f>
        <v>406.23234376632416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0</v>
      </c>
      <c r="N123" s="87">
        <f>IF(N32=0,0,1000000*N32/TrRoad_act!N66)</f>
        <v>189.67483693249523</v>
      </c>
      <c r="O123" s="87">
        <f>IF(O32=0,0,1000000*O32/TrRoad_act!O66)</f>
        <v>192.97557582208779</v>
      </c>
      <c r="P123" s="87">
        <f>IF(P32=0,0,1000000*P32/TrRoad_act!P66)</f>
        <v>149.50419121510788</v>
      </c>
      <c r="Q123" s="87">
        <f>IF(Q32=0,0,1000000*Q32/TrRoad_act!Q66)</f>
        <v>156.70841574346198</v>
      </c>
      <c r="R123" s="87">
        <f>IF(R32=0,0,1000000*R32/TrRoad_act!R66)</f>
        <v>162.77622083565379</v>
      </c>
      <c r="S123" s="87">
        <f>IF(S32=0,0,1000000*S32/TrRoad_act!S66)</f>
        <v>165.61143436275077</v>
      </c>
      <c r="T123" s="87">
        <f>IF(T32=0,0,1000000*T32/TrRoad_act!T66)</f>
        <v>176.89930928311662</v>
      </c>
      <c r="U123" s="87">
        <f>IF(U32=0,0,1000000*U32/TrRoad_act!U66)</f>
        <v>192.12379143749845</v>
      </c>
      <c r="V123" s="87">
        <f>IF(V32=0,0,1000000*V32/TrRoad_act!V66)</f>
        <v>201.81577146823682</v>
      </c>
      <c r="W123" s="87">
        <f>IF(W32=0,0,1000000*W32/TrRoad_act!W66)</f>
        <v>207.11539938512902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21213.849907798642</v>
      </c>
      <c r="C124" s="116">
        <f>IF(C33=0,0,1000000*C33/TrRoad_act!C67)</f>
        <v>23421.832278140399</v>
      </c>
      <c r="D124" s="116">
        <f>IF(D33=0,0,1000000*D33/TrRoad_act!D67)</f>
        <v>22534.75631667133</v>
      </c>
      <c r="E124" s="116">
        <f>IF(E33=0,0,1000000*E33/TrRoad_act!E67)</f>
        <v>22598.08155009284</v>
      </c>
      <c r="F124" s="116">
        <f>IF(F33=0,0,1000000*F33/TrRoad_act!F67)</f>
        <v>23051.893369937326</v>
      </c>
      <c r="G124" s="116">
        <f>IF(G33=0,0,1000000*G33/TrRoad_act!G67)</f>
        <v>23516.282558633247</v>
      </c>
      <c r="H124" s="116">
        <f>IF(H33=0,0,1000000*H33/TrRoad_act!H67)</f>
        <v>23330.706540167073</v>
      </c>
      <c r="I124" s="116">
        <f>IF(I33=0,0,1000000*I33/TrRoad_act!I67)</f>
        <v>23188.434817356319</v>
      </c>
      <c r="J124" s="116">
        <f>IF(J33=0,0,1000000*J33/TrRoad_act!J67)</f>
        <v>22079.441513209262</v>
      </c>
      <c r="K124" s="116">
        <f>IF(K33=0,0,1000000*K33/TrRoad_act!K67)</f>
        <v>21309.663673736854</v>
      </c>
      <c r="L124" s="116">
        <f>IF(L33=0,0,1000000*L33/TrRoad_act!L67)</f>
        <v>23480.619142386593</v>
      </c>
      <c r="M124" s="116">
        <f>IF(M33=0,0,1000000*M33/TrRoad_act!M67)</f>
        <v>22309.229180060429</v>
      </c>
      <c r="N124" s="116">
        <f>IF(N33=0,0,1000000*N33/TrRoad_act!N67)</f>
        <v>22570.766712572629</v>
      </c>
      <c r="O124" s="116">
        <f>IF(O33=0,0,1000000*O33/TrRoad_act!O67)</f>
        <v>22944.128378768833</v>
      </c>
      <c r="P124" s="116">
        <f>IF(P33=0,0,1000000*P33/TrRoad_act!P67)</f>
        <v>23156.188848575352</v>
      </c>
      <c r="Q124" s="116">
        <f>IF(Q33=0,0,1000000*Q33/TrRoad_act!Q67)</f>
        <v>23363.404110715808</v>
      </c>
      <c r="R124" s="116">
        <f>IF(R33=0,0,1000000*R33/TrRoad_act!R67)</f>
        <v>23582.695325615994</v>
      </c>
      <c r="S124" s="116">
        <f>IF(S33=0,0,1000000*S33/TrRoad_act!S67)</f>
        <v>24332.693832739846</v>
      </c>
      <c r="T124" s="116">
        <f>IF(T33=0,0,1000000*T33/TrRoad_act!T67)</f>
        <v>24078.340426278613</v>
      </c>
      <c r="U124" s="116">
        <f>IF(U33=0,0,1000000*U33/TrRoad_act!U67)</f>
        <v>23104.781380840897</v>
      </c>
      <c r="V124" s="116">
        <f>IF(V33=0,0,1000000*V33/TrRoad_act!V67)</f>
        <v>19950.339493830528</v>
      </c>
      <c r="W124" s="116">
        <f>IF(W33=0,0,1000000*W33/TrRoad_act!W67)</f>
        <v>17712.820283978774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7609.5203255997449</v>
      </c>
      <c r="C125" s="101">
        <f>IF(C34=0,0,1000000*C34/TrRoad_act!C68)</f>
        <v>7216.3898207579914</v>
      </c>
      <c r="D125" s="101">
        <f>IF(D34=0,0,1000000*D34/TrRoad_act!D68)</f>
        <v>7193.0331031152655</v>
      </c>
      <c r="E125" s="101">
        <f>IF(E34=0,0,1000000*E34/TrRoad_act!E68)</f>
        <v>7191.914985685361</v>
      </c>
      <c r="F125" s="101">
        <f>IF(F34=0,0,1000000*F34/TrRoad_act!F68)</f>
        <v>7173.3000910457604</v>
      </c>
      <c r="G125" s="101">
        <f>IF(G34=0,0,1000000*G34/TrRoad_act!G68)</f>
        <v>7144.6162119613291</v>
      </c>
      <c r="H125" s="101">
        <f>IF(H34=0,0,1000000*H34/TrRoad_act!H68)</f>
        <v>6826.8365808804783</v>
      </c>
      <c r="I125" s="101">
        <f>IF(I34=0,0,1000000*I34/TrRoad_act!I68)</f>
        <v>6499.7134411339666</v>
      </c>
      <c r="J125" s="101">
        <f>IF(J34=0,0,1000000*J34/TrRoad_act!J68)</f>
        <v>6192.4657867669221</v>
      </c>
      <c r="K125" s="101">
        <f>IF(K34=0,0,1000000*K34/TrRoad_act!K68)</f>
        <v>6136.7054548901897</v>
      </c>
      <c r="L125" s="101">
        <f>IF(L34=0,0,1000000*L34/TrRoad_act!L68)</f>
        <v>6333.714949320989</v>
      </c>
      <c r="M125" s="101">
        <f>IF(M34=0,0,1000000*M34/TrRoad_act!M68)</f>
        <v>6435.4880152369824</v>
      </c>
      <c r="N125" s="101">
        <f>IF(N34=0,0,1000000*N34/TrRoad_act!N68)</f>
        <v>6361.891802714551</v>
      </c>
      <c r="O125" s="101">
        <f>IF(O34=0,0,1000000*O34/TrRoad_act!O68)</f>
        <v>6219.4958179387286</v>
      </c>
      <c r="P125" s="101">
        <f>IF(P34=0,0,1000000*P34/TrRoad_act!P68)</f>
        <v>6151.0550196660461</v>
      </c>
      <c r="Q125" s="101">
        <f>IF(Q34=0,0,1000000*Q34/TrRoad_act!Q68)</f>
        <v>5979.0907327115137</v>
      </c>
      <c r="R125" s="101">
        <f>IF(R34=0,0,1000000*R34/TrRoad_act!R68)</f>
        <v>6140.9894173460652</v>
      </c>
      <c r="S125" s="101">
        <f>IF(S34=0,0,1000000*S34/TrRoad_act!S68)</f>
        <v>6336.157890880545</v>
      </c>
      <c r="T125" s="101">
        <f>IF(T34=0,0,1000000*T34/TrRoad_act!T68)</f>
        <v>6330.5829171367086</v>
      </c>
      <c r="U125" s="101">
        <f>IF(U34=0,0,1000000*U34/TrRoad_act!U68)</f>
        <v>6206.9337666876936</v>
      </c>
      <c r="V125" s="101">
        <f>IF(V34=0,0,1000000*V34/TrRoad_act!V68)</f>
        <v>5465.1538770383249</v>
      </c>
      <c r="W125" s="101">
        <f>IF(W34=0,0,1000000*W34/TrRoad_act!W68)</f>
        <v>4950.0905165496106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23048.111983233841</v>
      </c>
      <c r="C126" s="101">
        <f>IF(C36=0,0,1000000*C36/TrRoad_act!C69)</f>
        <v>25594.926335982498</v>
      </c>
      <c r="D126" s="101">
        <f>IF(D36=0,0,1000000*D36/TrRoad_act!D69)</f>
        <v>24609.149539007562</v>
      </c>
      <c r="E126" s="101">
        <f>IF(E36=0,0,1000000*E36/TrRoad_act!E69)</f>
        <v>24465.162441085336</v>
      </c>
      <c r="F126" s="101">
        <f>IF(F36=0,0,1000000*F36/TrRoad_act!F69)</f>
        <v>24949.514193047529</v>
      </c>
      <c r="G126" s="101">
        <f>IF(G36=0,0,1000000*G36/TrRoad_act!G69)</f>
        <v>25577.511540863456</v>
      </c>
      <c r="H126" s="101">
        <f>IF(H36=0,0,1000000*H36/TrRoad_act!H69)</f>
        <v>25340.913450023236</v>
      </c>
      <c r="I126" s="101">
        <f>IF(I36=0,0,1000000*I36/TrRoad_act!I69)</f>
        <v>25263.583910675468</v>
      </c>
      <c r="J126" s="101">
        <f>IF(J36=0,0,1000000*J36/TrRoad_act!J69)</f>
        <v>23904.194961249515</v>
      </c>
      <c r="K126" s="101">
        <f>IF(K36=0,0,1000000*K36/TrRoad_act!K69)</f>
        <v>22969.883681098356</v>
      </c>
      <c r="L126" s="101">
        <f>IF(L36=0,0,1000000*L36/TrRoad_act!L69)</f>
        <v>25474.642336742771</v>
      </c>
      <c r="M126" s="101">
        <f>IF(M36=0,0,1000000*M36/TrRoad_act!M69)</f>
        <v>23666.06747896504</v>
      </c>
      <c r="N126" s="101">
        <f>IF(N36=0,0,1000000*N36/TrRoad_act!N69)</f>
        <v>23813.301535897124</v>
      </c>
      <c r="O126" s="101">
        <f>IF(O36=0,0,1000000*O36/TrRoad_act!O69)</f>
        <v>24057.579942529072</v>
      </c>
      <c r="P126" s="101">
        <f>IF(P36=0,0,1000000*P36/TrRoad_act!P69)</f>
        <v>24185.505619632924</v>
      </c>
      <c r="Q126" s="101">
        <f>IF(Q36=0,0,1000000*Q36/TrRoad_act!Q69)</f>
        <v>24412.317812309935</v>
      </c>
      <c r="R126" s="101">
        <f>IF(R36=0,0,1000000*R36/TrRoad_act!R69)</f>
        <v>24704.509830548661</v>
      </c>
      <c r="S126" s="101">
        <f>IF(S36=0,0,1000000*S36/TrRoad_act!S69)</f>
        <v>25386.989656653768</v>
      </c>
      <c r="T126" s="101">
        <f>IF(T36=0,0,1000000*T36/TrRoad_act!T69)</f>
        <v>25094.270098713783</v>
      </c>
      <c r="U126" s="101">
        <f>IF(U36=0,0,1000000*U36/TrRoad_act!U69)</f>
        <v>24128.175279102386</v>
      </c>
      <c r="V126" s="101">
        <f>IF(V36=0,0,1000000*V36/TrRoad_act!V69)</f>
        <v>21096.115678567894</v>
      </c>
      <c r="W126" s="101">
        <f>IF(W36=0,0,1000000*W36/TrRoad_act!W69)</f>
        <v>18755.256275893018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12284.935750479794</v>
      </c>
      <c r="S127" s="101">
        <f>IF(S38=0,0,1000000*S38/TrRoad_act!S70)</f>
        <v>12348.861611712236</v>
      </c>
      <c r="T127" s="101">
        <f>IF(T38=0,0,1000000*T38/TrRoad_act!T70)</f>
        <v>12063.331202467625</v>
      </c>
      <c r="U127" s="101">
        <f>IF(U38=0,0,1000000*U38/TrRoad_act!U70)</f>
        <v>11533.104014659861</v>
      </c>
      <c r="V127" s="101">
        <f>IF(V38=0,0,1000000*V38/TrRoad_act!V70)</f>
        <v>9950.150399380711</v>
      </c>
      <c r="W127" s="101">
        <f>IF(W38=0,0,1000000*W38/TrRoad_act!W70)</f>
        <v>8713.4256500495212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15209.871230406365</v>
      </c>
      <c r="C128" s="101">
        <f>IF(C39=0,0,1000000*C39/TrRoad_act!C71)</f>
        <v>19361.507304741106</v>
      </c>
      <c r="D128" s="101">
        <f>IF(D39=0,0,1000000*D39/TrRoad_act!D71)</f>
        <v>15059.785264168151</v>
      </c>
      <c r="E128" s="101">
        <f>IF(E39=0,0,1000000*E39/TrRoad_act!E71)</f>
        <v>15733.516796246615</v>
      </c>
      <c r="F128" s="101">
        <f>IF(F39=0,0,1000000*F39/TrRoad_act!F71)</f>
        <v>15489.360989483554</v>
      </c>
      <c r="G128" s="101">
        <f>IF(G39=0,0,1000000*G39/TrRoad_act!G71)</f>
        <v>14760.161371310181</v>
      </c>
      <c r="H128" s="101">
        <f>IF(H39=0,0,1000000*H39/TrRoad_act!H71)</f>
        <v>14890.234354465434</v>
      </c>
      <c r="I128" s="101">
        <f>IF(I39=0,0,1000000*I39/TrRoad_act!I71)</f>
        <v>14052.571043504549</v>
      </c>
      <c r="J128" s="101">
        <f>IF(J39=0,0,1000000*J39/TrRoad_act!J71)</f>
        <v>16800.703642161163</v>
      </c>
      <c r="K128" s="101">
        <f>IF(K39=0,0,1000000*K39/TrRoad_act!K71)</f>
        <v>25000.811627290994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0</v>
      </c>
      <c r="U128" s="101">
        <f>IF(U39=0,0,1000000*U39/TrRoad_act!U71)</f>
        <v>6482.0727817462912</v>
      </c>
      <c r="V128" s="101">
        <f>IF(V39=0,0,1000000*V39/TrRoad_act!V71)</f>
        <v>7169.2572121150633</v>
      </c>
      <c r="W128" s="101">
        <f>IF(W39=0,0,1000000*W39/TrRoad_act!W71)</f>
        <v>7953.5130816210403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16975.649076491674</v>
      </c>
      <c r="C129" s="101">
        <f>IF(C41=0,0,1000000*C41/TrRoad_act!C72)</f>
        <v>15397.944072524102</v>
      </c>
      <c r="D129" s="101">
        <f>IF(D41=0,0,1000000*D41/TrRoad_act!D72)</f>
        <v>15414.208412747783</v>
      </c>
      <c r="E129" s="101">
        <f>IF(E41=0,0,1000000*E41/TrRoad_act!E72)</f>
        <v>15429.573556975924</v>
      </c>
      <c r="F129" s="101">
        <f>IF(F41=0,0,1000000*F41/TrRoad_act!F72)</f>
        <v>15444.759691791</v>
      </c>
      <c r="G129" s="101">
        <f>IF(G41=0,0,1000000*G41/TrRoad_act!G72)</f>
        <v>15302.162955052358</v>
      </c>
      <c r="H129" s="101">
        <f>IF(H41=0,0,1000000*H41/TrRoad_act!H72)</f>
        <v>15309.087510000612</v>
      </c>
      <c r="I129" s="101">
        <f>IF(I41=0,0,1000000*I41/TrRoad_act!I72)</f>
        <v>15286.983391438824</v>
      </c>
      <c r="J129" s="101">
        <f>IF(J41=0,0,1000000*J41/TrRoad_act!J72)</f>
        <v>15288.264312993724</v>
      </c>
      <c r="K129" s="101">
        <f>IF(K41=0,0,1000000*K41/TrRoad_act!K72)</f>
        <v>15307.930425616767</v>
      </c>
      <c r="L129" s="101">
        <f>IF(L41=0,0,1000000*L41/TrRoad_act!L72)</f>
        <v>15343.31494887155</v>
      </c>
      <c r="M129" s="101">
        <f>IF(M41=0,0,1000000*M41/TrRoad_act!M72)</f>
        <v>15353.668559947278</v>
      </c>
      <c r="N129" s="101">
        <f>IF(N41=0,0,1000000*N41/TrRoad_act!N72)</f>
        <v>15368.522486109636</v>
      </c>
      <c r="O129" s="101">
        <f>IF(O41=0,0,1000000*O41/TrRoad_act!O72)</f>
        <v>15381.646318241257</v>
      </c>
      <c r="P129" s="101">
        <f>IF(P41=0,0,1000000*P41/TrRoad_act!P72)</f>
        <v>15410.606037444943</v>
      </c>
      <c r="Q129" s="101">
        <f>IF(Q41=0,0,1000000*Q41/TrRoad_act!Q72)</f>
        <v>15472.141538758726</v>
      </c>
      <c r="R129" s="101">
        <f>IF(R41=0,0,1000000*R41/TrRoad_act!R72)</f>
        <v>15514.83767950682</v>
      </c>
      <c r="S129" s="101">
        <f>IF(S41=0,0,1000000*S41/TrRoad_act!S72)</f>
        <v>15527.265650600921</v>
      </c>
      <c r="T129" s="101">
        <f>IF(T41=0,0,1000000*T41/TrRoad_act!T72)</f>
        <v>15541.592439395565</v>
      </c>
      <c r="U129" s="101">
        <f>IF(U41=0,0,1000000*U41/TrRoad_act!U72)</f>
        <v>15550.787856799767</v>
      </c>
      <c r="V129" s="101">
        <f>IF(V41=0,0,1000000*V41/TrRoad_act!V72)</f>
        <v>14180.472095879271</v>
      </c>
      <c r="W129" s="101">
        <f>IF(W41=0,0,1000000*W41/TrRoad_act!W72)</f>
        <v>15491.483149652047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1360.6881262007878</v>
      </c>
      <c r="C131" s="152">
        <f>IF(C43=0,0,1000000*C43/TrRoad_act!C74)</f>
        <v>1451.7866634657748</v>
      </c>
      <c r="D131" s="152">
        <f>IF(D43=0,0,1000000*D43/TrRoad_act!D74)</f>
        <v>1492.5388828525033</v>
      </c>
      <c r="E131" s="152">
        <f>IF(E43=0,0,1000000*E43/TrRoad_act!E74)</f>
        <v>1406.669013104455</v>
      </c>
      <c r="F131" s="152">
        <f>IF(F43=0,0,1000000*F43/TrRoad_act!F74)</f>
        <v>1497.5366762357346</v>
      </c>
      <c r="G131" s="152">
        <f>IF(G43=0,0,1000000*G43/TrRoad_act!G74)</f>
        <v>1481.7175119454821</v>
      </c>
      <c r="H131" s="152">
        <f>IF(H43=0,0,1000000*H43/TrRoad_act!H74)</f>
        <v>1463.8332345798078</v>
      </c>
      <c r="I131" s="152">
        <f>IF(I43=0,0,1000000*I43/TrRoad_act!I74)</f>
        <v>1564.2784209546112</v>
      </c>
      <c r="J131" s="152">
        <f>IF(J43=0,0,1000000*J43/TrRoad_act!J74)</f>
        <v>1565.4352941685465</v>
      </c>
      <c r="K131" s="152">
        <f>IF(K43=0,0,1000000*K43/TrRoad_act!K74)</f>
        <v>1517.2720389696415</v>
      </c>
      <c r="L131" s="152">
        <f>IF(L43=0,0,1000000*L43/TrRoad_act!L74)</f>
        <v>1722.292457613346</v>
      </c>
      <c r="M131" s="152">
        <f>IF(M43=0,0,1000000*M43/TrRoad_act!M74)</f>
        <v>1594.8256284510032</v>
      </c>
      <c r="N131" s="152">
        <f>IF(N43=0,0,1000000*N43/TrRoad_act!N74)</f>
        <v>1570.6946222473252</v>
      </c>
      <c r="O131" s="152">
        <f>IF(O43=0,0,1000000*O43/TrRoad_act!O74)</f>
        <v>1562.4479025730695</v>
      </c>
      <c r="P131" s="152">
        <f>IF(P43=0,0,1000000*P43/TrRoad_act!P74)</f>
        <v>1540.6678416067007</v>
      </c>
      <c r="Q131" s="152">
        <f>IF(Q43=0,0,1000000*Q43/TrRoad_act!Q74)</f>
        <v>1506.7998488913959</v>
      </c>
      <c r="R131" s="152">
        <f>IF(R43=0,0,1000000*R43/TrRoad_act!R74)</f>
        <v>1477.0910930610155</v>
      </c>
      <c r="S131" s="152">
        <f>IF(S43=0,0,1000000*S43/TrRoad_act!S74)</f>
        <v>1473.8363507484044</v>
      </c>
      <c r="T131" s="152">
        <f>IF(T43=0,0,1000000*T43/TrRoad_act!T74)</f>
        <v>1447.2118437268778</v>
      </c>
      <c r="U131" s="152">
        <f>IF(U43=0,0,1000000*U43/TrRoad_act!U74)</f>
        <v>1410.8056186112412</v>
      </c>
      <c r="V131" s="152">
        <f>IF(V43=0,0,1000000*V43/TrRoad_act!V74)</f>
        <v>1405.2735733513919</v>
      </c>
      <c r="W131" s="152">
        <f>IF(W43=0,0,1000000*W43/TrRoad_act!W74)</f>
        <v>1404.0301777223149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883.72357823366247</v>
      </c>
      <c r="C132" s="87">
        <f>IF(C44=0,0,1000000*C44/TrRoad_act!C75)</f>
        <v>867.25210227345622</v>
      </c>
      <c r="D132" s="87">
        <f>IF(D44=0,0,1000000*D44/TrRoad_act!D75)</f>
        <v>853.26769354339615</v>
      </c>
      <c r="E132" s="87">
        <f>IF(E44=0,0,1000000*E44/TrRoad_act!E75)</f>
        <v>825.43104171475386</v>
      </c>
      <c r="F132" s="87">
        <f>IF(F44=0,0,1000000*F44/TrRoad_act!F75)</f>
        <v>817.92347377664817</v>
      </c>
      <c r="G132" s="87">
        <f>IF(G44=0,0,1000000*G44/TrRoad_act!G75)</f>
        <v>815.63758083611981</v>
      </c>
      <c r="H132" s="87">
        <f>IF(H44=0,0,1000000*H44/TrRoad_act!H75)</f>
        <v>801.77130448552589</v>
      </c>
      <c r="I132" s="87">
        <f>IF(I44=0,0,1000000*I44/TrRoad_act!I75)</f>
        <v>787.51083496103104</v>
      </c>
      <c r="J132" s="87">
        <f>IF(J44=0,0,1000000*J44/TrRoad_act!J75)</f>
        <v>770.1630880058583</v>
      </c>
      <c r="K132" s="87">
        <f>IF(K44=0,0,1000000*K44/TrRoad_act!K75)</f>
        <v>756.77479031883684</v>
      </c>
      <c r="L132" s="87">
        <f>IF(L44=0,0,1000000*L44/TrRoad_act!L75)</f>
        <v>728.40377213193347</v>
      </c>
      <c r="M132" s="87">
        <f>IF(M44=0,0,1000000*M44/TrRoad_act!M75)</f>
        <v>721.02844249929797</v>
      </c>
      <c r="N132" s="87">
        <f>IF(N44=0,0,1000000*N44/TrRoad_act!N75)</f>
        <v>711.90416795386352</v>
      </c>
      <c r="O132" s="87">
        <f>IF(O44=0,0,1000000*O44/TrRoad_act!O75)</f>
        <v>704.99987316016018</v>
      </c>
      <c r="P132" s="87">
        <f>IF(P44=0,0,1000000*P44/TrRoad_act!P75)</f>
        <v>694.26544936100663</v>
      </c>
      <c r="Q132" s="87">
        <f>IF(Q44=0,0,1000000*Q44/TrRoad_act!Q75)</f>
        <v>676.85954256577247</v>
      </c>
      <c r="R132" s="87">
        <f>IF(R44=0,0,1000000*R44/TrRoad_act!R75)</f>
        <v>684.15299565158796</v>
      </c>
      <c r="S132" s="87">
        <f>IF(S44=0,0,1000000*S44/TrRoad_act!S75)</f>
        <v>680.16428843826827</v>
      </c>
      <c r="T132" s="87">
        <f>IF(T44=0,0,1000000*T44/TrRoad_act!T75)</f>
        <v>683.22025993496061</v>
      </c>
      <c r="U132" s="87">
        <f>IF(U44=0,0,1000000*U44/TrRoad_act!U75)</f>
        <v>678.72310640793773</v>
      </c>
      <c r="V132" s="87">
        <f>IF(V44=0,0,1000000*V44/TrRoad_act!V75)</f>
        <v>682.658459908601</v>
      </c>
      <c r="W132" s="87">
        <f>IF(W44=0,0,1000000*W44/TrRoad_act!W75)</f>
        <v>674.23404942373304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2023.7510685275763</v>
      </c>
      <c r="C133" s="87">
        <f>IF(C46=0,0,1000000*C46/TrRoad_act!C76)</f>
        <v>2115.3694876643267</v>
      </c>
      <c r="D133" s="87">
        <f>IF(D46=0,0,1000000*D46/TrRoad_act!D76)</f>
        <v>1970.5685431107136</v>
      </c>
      <c r="E133" s="87">
        <f>IF(E46=0,0,1000000*E46/TrRoad_act!E76)</f>
        <v>1887.2472204646356</v>
      </c>
      <c r="F133" s="87">
        <f>IF(F46=0,0,1000000*F46/TrRoad_act!F76)</f>
        <v>1885.5712381179196</v>
      </c>
      <c r="G133" s="87">
        <f>IF(G46=0,0,1000000*G46/TrRoad_act!G76)</f>
        <v>1891.2201777885784</v>
      </c>
      <c r="H133" s="87">
        <f>IF(H46=0,0,1000000*H46/TrRoad_act!H76)</f>
        <v>1814.5984731567246</v>
      </c>
      <c r="I133" s="87">
        <f>IF(I46=0,0,1000000*I46/TrRoad_act!I76)</f>
        <v>1930.7387145562557</v>
      </c>
      <c r="J133" s="87">
        <f>IF(J46=0,0,1000000*J46/TrRoad_act!J76)</f>
        <v>1862.5634546248484</v>
      </c>
      <c r="K133" s="87">
        <f>IF(K46=0,0,1000000*K46/TrRoad_act!K76)</f>
        <v>1750.658444798067</v>
      </c>
      <c r="L133" s="87">
        <f>IF(L46=0,0,1000000*L46/TrRoad_act!L76)</f>
        <v>1874.9658773636875</v>
      </c>
      <c r="M133" s="87">
        <f>IF(M46=0,0,1000000*M46/TrRoad_act!M76)</f>
        <v>1710.6853493267183</v>
      </c>
      <c r="N133" s="87">
        <f>IF(N46=0,0,1000000*N46/TrRoad_act!N76)</f>
        <v>1674.8333583569899</v>
      </c>
      <c r="O133" s="87">
        <f>IF(O46=0,0,1000000*O46/TrRoad_act!O76)</f>
        <v>1639.2975668068461</v>
      </c>
      <c r="P133" s="87">
        <f>IF(P46=0,0,1000000*P46/TrRoad_act!P76)</f>
        <v>1592.9192916349546</v>
      </c>
      <c r="Q133" s="87">
        <f>IF(Q46=0,0,1000000*Q46/TrRoad_act!Q76)</f>
        <v>1553.1477413387927</v>
      </c>
      <c r="R133" s="87">
        <f>IF(R46=0,0,1000000*R46/TrRoad_act!R76)</f>
        <v>1514.7534526003724</v>
      </c>
      <c r="S133" s="87">
        <f>IF(S46=0,0,1000000*S46/TrRoad_act!S76)</f>
        <v>1508.8282010311368</v>
      </c>
      <c r="T133" s="87">
        <f>IF(T46=0,0,1000000*T46/TrRoad_act!T76)</f>
        <v>1478.8549892957412</v>
      </c>
      <c r="U133" s="87">
        <f>IF(U46=0,0,1000000*U46/TrRoad_act!U76)</f>
        <v>1438.3326083882941</v>
      </c>
      <c r="V133" s="87">
        <f>IF(V46=0,0,1000000*V46/TrRoad_act!V76)</f>
        <v>1430.988676109318</v>
      </c>
      <c r="W133" s="87">
        <f>IF(W46=0,0,1000000*W46/TrRoad_act!W76)</f>
        <v>1428.9512301673212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1102.2823544621158</v>
      </c>
      <c r="O134" s="87">
        <f>IF(O48=0,0,1000000*O48/TrRoad_act!O77)</f>
        <v>1077.2719463241178</v>
      </c>
      <c r="P134" s="87">
        <f>IF(P48=0,0,1000000*P48/TrRoad_act!P77)</f>
        <v>998.11239291643096</v>
      </c>
      <c r="Q134" s="87">
        <f>IF(Q48=0,0,1000000*Q48/TrRoad_act!Q77)</f>
        <v>983.17278485780753</v>
      </c>
      <c r="R134" s="87">
        <f>IF(R48=0,0,1000000*R48/TrRoad_act!R77)</f>
        <v>1226.8697743279242</v>
      </c>
      <c r="S134" s="87">
        <f>IF(S48=0,0,1000000*S48/TrRoad_act!S77)</f>
        <v>1170.7644265028009</v>
      </c>
      <c r="T134" s="87">
        <f>IF(T48=0,0,1000000*T48/TrRoad_act!T77)</f>
        <v>1132.6453958638085</v>
      </c>
      <c r="U134" s="87">
        <f>IF(U48=0,0,1000000*U48/TrRoad_act!U77)</f>
        <v>1108.2766260373412</v>
      </c>
      <c r="V134" s="87">
        <f>IF(V48=0,0,1000000*V48/TrRoad_act!V77)</f>
        <v>1145.7864716835322</v>
      </c>
      <c r="W134" s="87">
        <f>IF(W48=0,0,1000000*W48/TrRoad_act!W77)</f>
        <v>1161.3848318133205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181.13227108192865</v>
      </c>
      <c r="N136" s="87">
        <f>IF(N51=0,0,1000000*N51/TrRoad_act!N79)</f>
        <v>181.18231453469477</v>
      </c>
      <c r="O136" s="87">
        <f>IF(O51=0,0,1000000*O51/TrRoad_act!O79)</f>
        <v>181.20948012061081</v>
      </c>
      <c r="P136" s="87">
        <f>IF(P51=0,0,1000000*P51/TrRoad_act!P79)</f>
        <v>186.17496196744685</v>
      </c>
      <c r="Q136" s="87">
        <f>IF(Q51=0,0,1000000*Q51/TrRoad_act!Q79)</f>
        <v>184.09822144506373</v>
      </c>
      <c r="R136" s="87">
        <f>IF(R51=0,0,1000000*R51/TrRoad_act!R79)</f>
        <v>175.70950987365907</v>
      </c>
      <c r="S136" s="87">
        <f>IF(S51=0,0,1000000*S51/TrRoad_act!S79)</f>
        <v>187.14444648726052</v>
      </c>
      <c r="T136" s="87">
        <f>IF(T51=0,0,1000000*T51/TrRoad_act!T79)</f>
        <v>189.62171973291035</v>
      </c>
      <c r="U136" s="87">
        <f>IF(U51=0,0,1000000*U51/TrRoad_act!U79)</f>
        <v>202.57106937660092</v>
      </c>
      <c r="V136" s="87">
        <f>IF(V51=0,0,1000000*V51/TrRoad_act!V79)</f>
        <v>332.25181139629973</v>
      </c>
      <c r="W136" s="87">
        <f>IF(W51=0,0,1000000*W51/TrRoad_act!W79)</f>
        <v>333.69790313660593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2655.323219618328</v>
      </c>
      <c r="C137" s="116">
        <f>IF(C52=0,0,1000000*C52/TrRoad_act!C80)</f>
        <v>4027.4170773636883</v>
      </c>
      <c r="D137" s="116">
        <f>IF(D52=0,0,1000000*D52/TrRoad_act!D80)</f>
        <v>4110.6885143081199</v>
      </c>
      <c r="E137" s="116">
        <f>IF(E52=0,0,1000000*E52/TrRoad_act!E80)</f>
        <v>4412.9591781713207</v>
      </c>
      <c r="F137" s="116">
        <f>IF(F52=0,0,1000000*F52/TrRoad_act!F80)</f>
        <v>4514.1548166957282</v>
      </c>
      <c r="G137" s="116">
        <f>IF(G52=0,0,1000000*G52/TrRoad_act!G80)</f>
        <v>5372.9989131575194</v>
      </c>
      <c r="H137" s="116">
        <f>IF(H52=0,0,1000000*H52/TrRoad_act!H80)</f>
        <v>6193.9945653199238</v>
      </c>
      <c r="I137" s="116">
        <f>IF(I52=0,0,1000000*I52/TrRoad_act!I80)</f>
        <v>7775.6706831407282</v>
      </c>
      <c r="J137" s="116">
        <f>IF(J52=0,0,1000000*J52/TrRoad_act!J80)</f>
        <v>7302.8611029422245</v>
      </c>
      <c r="K137" s="116">
        <f>IF(K52=0,0,1000000*K52/TrRoad_act!K80)</f>
        <v>5828.1746511121819</v>
      </c>
      <c r="L137" s="116">
        <f>IF(L52=0,0,1000000*L52/TrRoad_act!L80)</f>
        <v>9959.9513198045242</v>
      </c>
      <c r="M137" s="116">
        <f>IF(M52=0,0,1000000*M52/TrRoad_act!M80)</f>
        <v>7436.5095610447124</v>
      </c>
      <c r="N137" s="116">
        <f>IF(N52=0,0,1000000*N52/TrRoad_act!N80)</f>
        <v>6611.0059671021982</v>
      </c>
      <c r="O137" s="116">
        <f>IF(O52=0,0,1000000*O52/TrRoad_act!O80)</f>
        <v>7141.5201708291916</v>
      </c>
      <c r="P137" s="116">
        <f>IF(P52=0,0,1000000*P52/TrRoad_act!P80)</f>
        <v>7843.43352728839</v>
      </c>
      <c r="Q137" s="116">
        <f>IF(Q52=0,0,1000000*Q52/TrRoad_act!Q80)</f>
        <v>9023.2996054164578</v>
      </c>
      <c r="R137" s="116">
        <f>IF(R52=0,0,1000000*R52/TrRoad_act!R80)</f>
        <v>9002.5810259910813</v>
      </c>
      <c r="S137" s="116">
        <f>IF(S52=0,0,1000000*S52/TrRoad_act!S80)</f>
        <v>9974.1319116088871</v>
      </c>
      <c r="T137" s="116">
        <f>IF(T52=0,0,1000000*T52/TrRoad_act!T80)</f>
        <v>10240.347635436608</v>
      </c>
      <c r="U137" s="116">
        <f>IF(U52=0,0,1000000*U52/TrRoad_act!U80)</f>
        <v>9604.7364554612595</v>
      </c>
      <c r="V137" s="116">
        <f>IF(V52=0,0,1000000*V52/TrRoad_act!V80)</f>
        <v>9067.9521518106831</v>
      </c>
      <c r="W137" s="116">
        <f>IF(W52=0,0,1000000*W52/TrRoad_act!W80)</f>
        <v>10702.131029690068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1689.9452791284273</v>
      </c>
      <c r="C138" s="101">
        <f>IF(C53=0,0,1000000*C53/TrRoad_act!C81)</f>
        <v>2100.0696765986982</v>
      </c>
      <c r="D138" s="101">
        <f>IF(D53=0,0,1000000*D53/TrRoad_act!D81)</f>
        <v>2410.4515882009978</v>
      </c>
      <c r="E138" s="101">
        <f>IF(E53=0,0,1000000*E53/TrRoad_act!E81)</f>
        <v>2702.7020203567272</v>
      </c>
      <c r="F138" s="101">
        <f>IF(F53=0,0,1000000*F53/TrRoad_act!F81)</f>
        <v>2580.342671906405</v>
      </c>
      <c r="G138" s="101">
        <f>IF(G53=0,0,1000000*G53/TrRoad_act!G81)</f>
        <v>3043.6002686441443</v>
      </c>
      <c r="H138" s="101">
        <f>IF(H53=0,0,1000000*H53/TrRoad_act!H81)</f>
        <v>3213.1865464038865</v>
      </c>
      <c r="I138" s="101">
        <f>IF(I53=0,0,1000000*I53/TrRoad_act!I81)</f>
        <v>3993.4492189604148</v>
      </c>
      <c r="J138" s="101">
        <f>IF(J53=0,0,1000000*J53/TrRoad_act!J81)</f>
        <v>3868.020093600725</v>
      </c>
      <c r="K138" s="101">
        <f>IF(K53=0,0,1000000*K53/TrRoad_act!K81)</f>
        <v>3551.032144091299</v>
      </c>
      <c r="L138" s="101">
        <f>IF(L53=0,0,1000000*L53/TrRoad_act!L81)</f>
        <v>4573.7951812177316</v>
      </c>
      <c r="M138" s="101">
        <f>IF(M53=0,0,1000000*M53/TrRoad_act!M81)</f>
        <v>3791.7110859414602</v>
      </c>
      <c r="N138" s="101">
        <f>IF(N53=0,0,1000000*N53/TrRoad_act!N81)</f>
        <v>3159.0051639920034</v>
      </c>
      <c r="O138" s="101">
        <f>IF(O53=0,0,1000000*O53/TrRoad_act!O81)</f>
        <v>3562.7085791193317</v>
      </c>
      <c r="P138" s="101">
        <f>IF(P53=0,0,1000000*P53/TrRoad_act!P81)</f>
        <v>3957.2433491733723</v>
      </c>
      <c r="Q138" s="101">
        <f>IF(Q53=0,0,1000000*Q53/TrRoad_act!Q81)</f>
        <v>4322.0687307497983</v>
      </c>
      <c r="R138" s="101">
        <f>IF(R53=0,0,1000000*R53/TrRoad_act!R81)</f>
        <v>4590.8409771942024</v>
      </c>
      <c r="S138" s="101">
        <f>IF(S53=0,0,1000000*S53/TrRoad_act!S81)</f>
        <v>5171.696652324963</v>
      </c>
      <c r="T138" s="101">
        <f>IF(T53=0,0,1000000*T53/TrRoad_act!T81)</f>
        <v>5279.3768502811081</v>
      </c>
      <c r="U138" s="101">
        <f>IF(U53=0,0,1000000*U53/TrRoad_act!U81)</f>
        <v>5266.5124656839407</v>
      </c>
      <c r="V138" s="101">
        <f>IF(V53=0,0,1000000*V53/TrRoad_act!V81)</f>
        <v>5090.4207532449145</v>
      </c>
      <c r="W138" s="101">
        <f>IF(W53=0,0,1000000*W53/TrRoad_act!W81)</f>
        <v>6094.0020355215502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86513.840164117064</v>
      </c>
      <c r="C139" s="88">
        <f>IF(C55=0,0,1000000*C55/TrRoad_act!C82)</f>
        <v>164054.46946681809</v>
      </c>
      <c r="D139" s="88">
        <f>IF(D55=0,0,1000000*D55/TrRoad_act!D82)</f>
        <v>141223.5543250241</v>
      </c>
      <c r="E139" s="88">
        <f>IF(E55=0,0,1000000*E55/TrRoad_act!E82)</f>
        <v>140390.83241889236</v>
      </c>
      <c r="F139" s="88">
        <f>IF(F55=0,0,1000000*F55/TrRoad_act!F82)</f>
        <v>134103.32542353604</v>
      </c>
      <c r="G139" s="88">
        <f>IF(G55=0,0,1000000*G55/TrRoad_act!G82)</f>
        <v>149261.77907917323</v>
      </c>
      <c r="H139" s="88">
        <f>IF(H55=0,0,1000000*H55/TrRoad_act!H82)</f>
        <v>151469.92812988113</v>
      </c>
      <c r="I139" s="88">
        <f>IF(I55=0,0,1000000*I55/TrRoad_act!I82)</f>
        <v>162513.21577377108</v>
      </c>
      <c r="J139" s="88">
        <f>IF(J55=0,0,1000000*J55/TrRoad_act!J82)</f>
        <v>144856.05149719387</v>
      </c>
      <c r="K139" s="88">
        <f>IF(K55=0,0,1000000*K55/TrRoad_act!K82)</f>
        <v>121637.13643674567</v>
      </c>
      <c r="L139" s="88">
        <f>IF(L55=0,0,1000000*L55/TrRoad_act!L82)</f>
        <v>185416.73557311553</v>
      </c>
      <c r="M139" s="88">
        <f>IF(M55=0,0,1000000*M55/TrRoad_act!M82)</f>
        <v>104816.64604811494</v>
      </c>
      <c r="N139" s="88">
        <f>IF(N55=0,0,1000000*N55/TrRoad_act!N82)</f>
        <v>89017.234995879844</v>
      </c>
      <c r="O139" s="88">
        <f>IF(O55=0,0,1000000*O55/TrRoad_act!O82)</f>
        <v>76377.283524634811</v>
      </c>
      <c r="P139" s="88">
        <f>IF(P55=0,0,1000000*P55/TrRoad_act!P82)</f>
        <v>73371.356208919766</v>
      </c>
      <c r="Q139" s="88">
        <f>IF(Q55=0,0,1000000*Q55/TrRoad_act!Q82)</f>
        <v>71730.107696048857</v>
      </c>
      <c r="R139" s="88">
        <f>IF(R55=0,0,1000000*R55/TrRoad_act!R82)</f>
        <v>64497.626902962351</v>
      </c>
      <c r="S139" s="88">
        <f>IF(S55=0,0,1000000*S55/TrRoad_act!S82)</f>
        <v>71484.736716443091</v>
      </c>
      <c r="T139" s="88">
        <f>IF(T55=0,0,1000000*T55/TrRoad_act!T82)</f>
        <v>69064.817636524502</v>
      </c>
      <c r="U139" s="88">
        <f>IF(U55=0,0,1000000*U55/TrRoad_act!U82)</f>
        <v>65781.53784284908</v>
      </c>
      <c r="V139" s="88">
        <f>IF(V55=0,0,1000000*V55/TrRoad_act!V82)</f>
        <v>52984.839345290864</v>
      </c>
      <c r="W139" s="88">
        <f>IF(W55=0,0,1000000*W55/TrRoad_act!W82)</f>
        <v>61048.04339244905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0.72656094810554772</v>
      </c>
      <c r="C142" s="46">
        <f t="shared" si="41"/>
        <v>0.66132084893064857</v>
      </c>
      <c r="D142" s="46">
        <f t="shared" si="41"/>
        <v>0.64660301076796689</v>
      </c>
      <c r="E142" s="46">
        <f t="shared" si="41"/>
        <v>0.64597518583069202</v>
      </c>
      <c r="F142" s="46">
        <f t="shared" si="41"/>
        <v>0.64092620761531505</v>
      </c>
      <c r="G142" s="46">
        <f t="shared" si="41"/>
        <v>0.62490172742080641</v>
      </c>
      <c r="H142" s="46">
        <f t="shared" si="41"/>
        <v>0.62872622452072424</v>
      </c>
      <c r="I142" s="46">
        <f t="shared" si="41"/>
        <v>0.60980765941674075</v>
      </c>
      <c r="J142" s="46">
        <f t="shared" si="41"/>
        <v>0.6203567345941593</v>
      </c>
      <c r="K142" s="46">
        <f t="shared" si="41"/>
        <v>0.64251106952933845</v>
      </c>
      <c r="L142" s="46">
        <f t="shared" ref="L142" si="42">IF(L18=0,0,L18/L$17)</f>
        <v>0.61341638235150442</v>
      </c>
      <c r="M142" s="46">
        <f t="shared" ref="M142:V142" si="43">IF(M18=0,0,M18/M$17)</f>
        <v>0.66695358369519286</v>
      </c>
      <c r="N142" s="46">
        <f t="shared" si="43"/>
        <v>0.6773249106375463</v>
      </c>
      <c r="O142" s="46">
        <f t="shared" si="43"/>
        <v>0.66883753068140184</v>
      </c>
      <c r="P142" s="46">
        <f t="shared" si="43"/>
        <v>0.68704786449191302</v>
      </c>
      <c r="Q142" s="46">
        <f t="shared" si="43"/>
        <v>0.68538904907060971</v>
      </c>
      <c r="R142" s="46">
        <f t="shared" si="43"/>
        <v>0.70019200088814593</v>
      </c>
      <c r="S142" s="46">
        <f t="shared" si="43"/>
        <v>0.68849505562551483</v>
      </c>
      <c r="T142" s="46">
        <f t="shared" si="43"/>
        <v>0.68686403696123188</v>
      </c>
      <c r="U142" s="46">
        <f t="shared" si="43"/>
        <v>0.70331711450429202</v>
      </c>
      <c r="V142" s="46">
        <f t="shared" si="43"/>
        <v>0.69336515653955599</v>
      </c>
      <c r="W142" s="46">
        <f t="shared" ref="W142" si="44">IF(W18=0,0,W18/W$17)</f>
        <v>0.67462632713771797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4.4868633099238242E-3</v>
      </c>
      <c r="C143" s="154">
        <f t="shared" si="45"/>
        <v>3.766286805094859E-3</v>
      </c>
      <c r="D143" s="154">
        <f t="shared" si="45"/>
        <v>3.638731836336151E-3</v>
      </c>
      <c r="E143" s="154">
        <f t="shared" si="45"/>
        <v>3.4525602003549274E-3</v>
      </c>
      <c r="F143" s="154">
        <f t="shared" si="45"/>
        <v>3.2383031236293222E-3</v>
      </c>
      <c r="G143" s="154">
        <f t="shared" si="45"/>
        <v>3.0379932733934582E-3</v>
      </c>
      <c r="H143" s="154">
        <f t="shared" si="45"/>
        <v>2.6239319704112279E-3</v>
      </c>
      <c r="I143" s="154">
        <f t="shared" si="45"/>
        <v>2.1880771932453942E-3</v>
      </c>
      <c r="J143" s="154">
        <f t="shared" si="45"/>
        <v>2.1958872161792539E-3</v>
      </c>
      <c r="K143" s="154">
        <f t="shared" si="45"/>
        <v>2.4129757807599158E-3</v>
      </c>
      <c r="L143" s="154">
        <f t="shared" ref="L143" si="46">IF(L19=0,0,L19/L$17)</f>
        <v>2.2857256806130669E-3</v>
      </c>
      <c r="M143" s="154">
        <f t="shared" ref="M143:V143" si="47">IF(M19=0,0,M19/M$17)</f>
        <v>2.5462678606185843E-3</v>
      </c>
      <c r="N143" s="154">
        <f t="shared" si="47"/>
        <v>2.3942402582438362E-3</v>
      </c>
      <c r="O143" s="154">
        <f t="shared" si="47"/>
        <v>2.4000606360313182E-3</v>
      </c>
      <c r="P143" s="154">
        <f t="shared" si="47"/>
        <v>2.6657528098438504E-3</v>
      </c>
      <c r="Q143" s="154">
        <f t="shared" si="47"/>
        <v>3.0949869917632888E-3</v>
      </c>
      <c r="R143" s="154">
        <f t="shared" si="47"/>
        <v>2.9974317357433387E-3</v>
      </c>
      <c r="S143" s="154">
        <f t="shared" si="47"/>
        <v>2.6420115594808866E-3</v>
      </c>
      <c r="T143" s="154">
        <f t="shared" si="47"/>
        <v>2.4205818443388742E-3</v>
      </c>
      <c r="U143" s="154">
        <f t="shared" si="47"/>
        <v>2.513275164200988E-3</v>
      </c>
      <c r="V143" s="154">
        <f t="shared" si="47"/>
        <v>2.3208431076310802E-3</v>
      </c>
      <c r="W143" s="154">
        <f t="shared" ref="W143" si="48">IF(W19=0,0,W19/W$17)</f>
        <v>2.1339011286895773E-3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0.59652175965481857</v>
      </c>
      <c r="C144" s="156">
        <f t="shared" si="49"/>
        <v>0.54161149185299995</v>
      </c>
      <c r="D144" s="156">
        <f t="shared" si="49"/>
        <v>0.53242051082391273</v>
      </c>
      <c r="E144" s="156">
        <f t="shared" si="49"/>
        <v>0.53056522446658261</v>
      </c>
      <c r="F144" s="156">
        <f t="shared" si="49"/>
        <v>0.53025152652323748</v>
      </c>
      <c r="G144" s="156">
        <f t="shared" si="49"/>
        <v>0.51967968874308712</v>
      </c>
      <c r="H144" s="156">
        <f t="shared" si="49"/>
        <v>0.53638950132776986</v>
      </c>
      <c r="I144" s="156">
        <f t="shared" si="49"/>
        <v>0.52859264713335707</v>
      </c>
      <c r="J144" s="156">
        <f t="shared" si="49"/>
        <v>0.53945564969274629</v>
      </c>
      <c r="K144" s="156">
        <f t="shared" si="49"/>
        <v>0.5554071963279158</v>
      </c>
      <c r="L144" s="156">
        <f t="shared" ref="L144" si="50">IF(L21=0,0,L21/L$17)</f>
        <v>0.52516590892589166</v>
      </c>
      <c r="M144" s="156">
        <f t="shared" ref="M144:V144" si="51">IF(M21=0,0,M21/M$17)</f>
        <v>0.5756148280767589</v>
      </c>
      <c r="N144" s="156">
        <f t="shared" si="51"/>
        <v>0.58454786816366477</v>
      </c>
      <c r="O144" s="156">
        <f t="shared" si="51"/>
        <v>0.57869903790235444</v>
      </c>
      <c r="P144" s="156">
        <f t="shared" si="51"/>
        <v>0.60460758576169515</v>
      </c>
      <c r="Q144" s="156">
        <f t="shared" si="51"/>
        <v>0.60782829185637488</v>
      </c>
      <c r="R144" s="156">
        <f t="shared" si="51"/>
        <v>0.62313783850008719</v>
      </c>
      <c r="S144" s="156">
        <f t="shared" si="51"/>
        <v>0.61400586471674612</v>
      </c>
      <c r="T144" s="156">
        <f t="shared" si="51"/>
        <v>0.61612143072651171</v>
      </c>
      <c r="U144" s="156">
        <f t="shared" si="51"/>
        <v>0.63625802662260211</v>
      </c>
      <c r="V144" s="156">
        <f t="shared" si="51"/>
        <v>0.63703194738689273</v>
      </c>
      <c r="W144" s="156">
        <f t="shared" ref="W144" si="52">IF(W21=0,0,W21/W$17)</f>
        <v>0.6254539000567042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0.50845745028925615</v>
      </c>
      <c r="C145" s="103">
        <f t="shared" si="53"/>
        <v>0.44886174901827813</v>
      </c>
      <c r="D145" s="103">
        <f t="shared" si="53"/>
        <v>0.42860556418056522</v>
      </c>
      <c r="E145" s="103">
        <f t="shared" si="53"/>
        <v>0.4098593998711354</v>
      </c>
      <c r="F145" s="103">
        <f t="shared" si="53"/>
        <v>0.39274249071883438</v>
      </c>
      <c r="G145" s="103">
        <f t="shared" si="53"/>
        <v>0.36624688930393379</v>
      </c>
      <c r="H145" s="103">
        <f t="shared" si="53"/>
        <v>0.36409195278854561</v>
      </c>
      <c r="I145" s="103">
        <f t="shared" si="53"/>
        <v>0.35302574773163464</v>
      </c>
      <c r="J145" s="103">
        <f t="shared" si="53"/>
        <v>0.34333130255498284</v>
      </c>
      <c r="K145" s="103">
        <f t="shared" si="53"/>
        <v>0.33068526689756794</v>
      </c>
      <c r="L145" s="103">
        <f t="shared" ref="L145" si="54">IF(L22=0,0,L22/L$17)</f>
        <v>0.29374194700568229</v>
      </c>
      <c r="M145" s="103">
        <f t="shared" ref="M145:V145" si="55">IF(M22=0,0,M22/M$17)</f>
        <v>0.31323045061957105</v>
      </c>
      <c r="N145" s="103">
        <f t="shared" si="55"/>
        <v>0.27852442526347743</v>
      </c>
      <c r="O145" s="103">
        <f t="shared" si="55"/>
        <v>0.24832871247797511</v>
      </c>
      <c r="P145" s="103">
        <f t="shared" si="55"/>
        <v>0.23046692740703739</v>
      </c>
      <c r="Q145" s="103">
        <f t="shared" si="55"/>
        <v>0.21553447994541328</v>
      </c>
      <c r="R145" s="103">
        <f t="shared" si="55"/>
        <v>0.20999916208599179</v>
      </c>
      <c r="S145" s="103">
        <f t="shared" si="55"/>
        <v>0.19210921156051861</v>
      </c>
      <c r="T145" s="103">
        <f t="shared" si="55"/>
        <v>0.18050819485420019</v>
      </c>
      <c r="U145" s="103">
        <f t="shared" si="55"/>
        <v>0.16968283567849757</v>
      </c>
      <c r="V145" s="103">
        <f t="shared" si="55"/>
        <v>0.17441847411188738</v>
      </c>
      <c r="W145" s="103">
        <f t="shared" ref="W145" si="56">IF(W22=0,0,W22/W$17)</f>
        <v>0.16633197335586122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5.5794263157070471E-2</v>
      </c>
      <c r="C146" s="103">
        <f t="shared" si="57"/>
        <v>6.5753755722418442E-2</v>
      </c>
      <c r="D146" s="103">
        <f t="shared" si="57"/>
        <v>7.7556404086848163E-2</v>
      </c>
      <c r="E146" s="103">
        <f t="shared" si="57"/>
        <v>9.2979100973756071E-2</v>
      </c>
      <c r="F146" s="103">
        <f t="shared" si="57"/>
        <v>0.1086542274282291</v>
      </c>
      <c r="G146" s="103">
        <f t="shared" si="57"/>
        <v>0.12476327256285485</v>
      </c>
      <c r="H146" s="103">
        <f t="shared" si="57"/>
        <v>0.14469168560393669</v>
      </c>
      <c r="I146" s="103">
        <f t="shared" si="57"/>
        <v>0.15305061029449005</v>
      </c>
      <c r="J146" s="103">
        <f t="shared" si="57"/>
        <v>0.17515163745048942</v>
      </c>
      <c r="K146" s="103">
        <f t="shared" si="57"/>
        <v>0.20301287798501289</v>
      </c>
      <c r="L146" s="103">
        <f t="shared" ref="L146" si="58">IF(L24=0,0,L24/L$17)</f>
        <v>0.20761093776014616</v>
      </c>
      <c r="M146" s="103">
        <f t="shared" ref="M146:V146" si="59">IF(M24=0,0,M24/M$17)</f>
        <v>0.23011434950402868</v>
      </c>
      <c r="N146" s="103">
        <f t="shared" si="59"/>
        <v>0.25267255641697756</v>
      </c>
      <c r="O146" s="103">
        <f t="shared" si="59"/>
        <v>0.26389750041705479</v>
      </c>
      <c r="P146" s="103">
        <f t="shared" si="59"/>
        <v>0.30406983792653053</v>
      </c>
      <c r="Q146" s="103">
        <f t="shared" si="59"/>
        <v>0.32556598575678236</v>
      </c>
      <c r="R146" s="103">
        <f t="shared" si="59"/>
        <v>0.34936564102577733</v>
      </c>
      <c r="S146" s="103">
        <f t="shared" si="59"/>
        <v>0.36495074809749967</v>
      </c>
      <c r="T146" s="103">
        <f t="shared" si="59"/>
        <v>0.38298353557662357</v>
      </c>
      <c r="U146" s="103">
        <f t="shared" si="59"/>
        <v>0.4206149119232096</v>
      </c>
      <c r="V146" s="103">
        <f t="shared" si="59"/>
        <v>0.41952985505352958</v>
      </c>
      <c r="W146" s="103">
        <f t="shared" ref="W146" si="60">IF(W24=0,0,W24/W$17)</f>
        <v>0.42129859952679333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3.2128230214079692E-2</v>
      </c>
      <c r="C147" s="103">
        <f t="shared" si="61"/>
        <v>2.6886463461177464E-2</v>
      </c>
      <c r="D147" s="103">
        <f t="shared" si="61"/>
        <v>2.6162190465543227E-2</v>
      </c>
      <c r="E147" s="103">
        <f t="shared" si="61"/>
        <v>2.7641620771695366E-2</v>
      </c>
      <c r="F147" s="103">
        <f t="shared" si="61"/>
        <v>2.8782012669420712E-2</v>
      </c>
      <c r="G147" s="103">
        <f t="shared" si="61"/>
        <v>2.860116773575952E-2</v>
      </c>
      <c r="H147" s="103">
        <f t="shared" si="61"/>
        <v>2.7558371848802433E-2</v>
      </c>
      <c r="I147" s="103">
        <f t="shared" si="61"/>
        <v>2.2477601433771081E-2</v>
      </c>
      <c r="J147" s="103">
        <f t="shared" si="61"/>
        <v>2.0936664439402914E-2</v>
      </c>
      <c r="K147" s="103">
        <f t="shared" si="61"/>
        <v>2.1671318814575732E-2</v>
      </c>
      <c r="L147" s="103">
        <f t="shared" ref="L147" si="62">IF(L26=0,0,L26/L$17)</f>
        <v>2.3813024160063166E-2</v>
      </c>
      <c r="M147" s="103">
        <f t="shared" ref="M147:V147" si="63">IF(M26=0,0,M26/M$17)</f>
        <v>3.2270027953159121E-2</v>
      </c>
      <c r="N147" s="103">
        <f t="shared" si="63"/>
        <v>5.3347608649756219E-2</v>
      </c>
      <c r="O147" s="103">
        <f t="shared" si="63"/>
        <v>6.6467256722438875E-2</v>
      </c>
      <c r="P147" s="103">
        <f t="shared" si="63"/>
        <v>7.0036163693644238E-2</v>
      </c>
      <c r="Q147" s="103">
        <f t="shared" si="63"/>
        <v>6.6685521946893547E-2</v>
      </c>
      <c r="R147" s="103">
        <f t="shared" si="63"/>
        <v>6.3723958187497015E-2</v>
      </c>
      <c r="S147" s="103">
        <f t="shared" si="63"/>
        <v>5.6878582088188474E-2</v>
      </c>
      <c r="T147" s="103">
        <f t="shared" si="63"/>
        <v>5.2471025039181524E-2</v>
      </c>
      <c r="U147" s="103">
        <f t="shared" si="63"/>
        <v>4.570653116931684E-2</v>
      </c>
      <c r="V147" s="103">
        <f t="shared" si="63"/>
        <v>4.2660095332206674E-2</v>
      </c>
      <c r="W147" s="103">
        <f t="shared" ref="W147" si="64">IF(W26=0,0,W26/W$17)</f>
        <v>3.7165040127976064E-2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1.4181599441239691E-4</v>
      </c>
      <c r="C148" s="103">
        <f t="shared" si="65"/>
        <v>1.0952365112593971E-4</v>
      </c>
      <c r="D148" s="103">
        <f t="shared" si="65"/>
        <v>9.6352090956185145E-5</v>
      </c>
      <c r="E148" s="103">
        <f t="shared" si="65"/>
        <v>8.5102849995805321E-5</v>
      </c>
      <c r="F148" s="103">
        <f t="shared" si="65"/>
        <v>7.2795706753334984E-5</v>
      </c>
      <c r="G148" s="103">
        <f t="shared" si="65"/>
        <v>6.8359140538886397E-5</v>
      </c>
      <c r="H148" s="103">
        <f t="shared" si="65"/>
        <v>4.7491086485169967E-5</v>
      </c>
      <c r="I148" s="103">
        <f t="shared" si="65"/>
        <v>3.8687673461333064E-5</v>
      </c>
      <c r="J148" s="103">
        <f t="shared" si="65"/>
        <v>3.6045247871142358E-5</v>
      </c>
      <c r="K148" s="103">
        <f t="shared" si="65"/>
        <v>3.7732630759201913E-5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0</v>
      </c>
      <c r="O148" s="103">
        <f t="shared" si="67"/>
        <v>0</v>
      </c>
      <c r="P148" s="103">
        <f t="shared" si="67"/>
        <v>0</v>
      </c>
      <c r="Q148" s="103">
        <f t="shared" si="67"/>
        <v>0</v>
      </c>
      <c r="R148" s="103">
        <f t="shared" si="67"/>
        <v>0</v>
      </c>
      <c r="S148" s="103">
        <f t="shared" si="67"/>
        <v>0</v>
      </c>
      <c r="T148" s="103">
        <f t="shared" si="67"/>
        <v>5.326501011650331E-5</v>
      </c>
      <c r="U148" s="103">
        <f t="shared" si="67"/>
        <v>9.0023526748997883E-5</v>
      </c>
      <c r="V148" s="103">
        <f t="shared" si="67"/>
        <v>1.0308087155336101E-4</v>
      </c>
      <c r="W148" s="103">
        <f t="shared" ref="W148" si="68">IF(W27=0,0,W27/W$17)</f>
        <v>1.098621759119887E-4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1.0078469620271406E-6</v>
      </c>
      <c r="O149" s="103">
        <f t="shared" si="71"/>
        <v>2.16555209112046E-6</v>
      </c>
      <c r="P149" s="103">
        <f t="shared" si="71"/>
        <v>3.4415020658522534E-6</v>
      </c>
      <c r="Q149" s="103">
        <f t="shared" si="71"/>
        <v>7.9307520462385603E-6</v>
      </c>
      <c r="R149" s="103">
        <f t="shared" si="71"/>
        <v>8.5271568331833605E-6</v>
      </c>
      <c r="S149" s="103">
        <f t="shared" si="71"/>
        <v>1.6500736018674638E-5</v>
      </c>
      <c r="T149" s="103">
        <f t="shared" si="71"/>
        <v>3.0431596308496268E-5</v>
      </c>
      <c r="U149" s="103">
        <f t="shared" si="71"/>
        <v>4.3026642602610688E-5</v>
      </c>
      <c r="V149" s="103">
        <f t="shared" si="71"/>
        <v>8.0152681181514313E-5</v>
      </c>
      <c r="W149" s="103">
        <f t="shared" ref="W149" si="72">IF(W29=0,0,W29/W$17)</f>
        <v>1.3130501285359071E-4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0</v>
      </c>
      <c r="M150" s="103">
        <f t="shared" ref="M150:V150" si="75">IF(M32=0,0,M32/M$17)</f>
        <v>0</v>
      </c>
      <c r="N150" s="103">
        <f t="shared" si="75"/>
        <v>2.2699864914941803E-6</v>
      </c>
      <c r="O150" s="103">
        <f t="shared" si="75"/>
        <v>3.4027327946042409E-6</v>
      </c>
      <c r="P150" s="103">
        <f t="shared" si="75"/>
        <v>3.1215232417236808E-5</v>
      </c>
      <c r="Q150" s="103">
        <f t="shared" si="75"/>
        <v>3.4373455239447333E-5</v>
      </c>
      <c r="R150" s="103">
        <f t="shared" si="75"/>
        <v>4.0550043987929689E-5</v>
      </c>
      <c r="S150" s="103">
        <f t="shared" si="75"/>
        <v>5.0822234520710789E-5</v>
      </c>
      <c r="T150" s="103">
        <f t="shared" si="75"/>
        <v>7.4978650081497042E-5</v>
      </c>
      <c r="U150" s="103">
        <f t="shared" si="75"/>
        <v>1.2069768222653797E-4</v>
      </c>
      <c r="V150" s="103">
        <f t="shared" si="75"/>
        <v>2.4028933653416347E-4</v>
      </c>
      <c r="W150" s="103">
        <f t="shared" ref="W150" si="76">IF(W32=0,0,W32/W$17)</f>
        <v>4.1711985730791853E-4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0.12555232514080519</v>
      </c>
      <c r="C151" s="156">
        <f t="shared" si="77"/>
        <v>0.11594307027255378</v>
      </c>
      <c r="D151" s="156">
        <f t="shared" si="77"/>
        <v>0.1105437681077181</v>
      </c>
      <c r="E151" s="156">
        <f t="shared" si="77"/>
        <v>0.11195740116375437</v>
      </c>
      <c r="F151" s="156">
        <f t="shared" si="77"/>
        <v>0.10743637796844818</v>
      </c>
      <c r="G151" s="156">
        <f t="shared" si="77"/>
        <v>0.10218404540432582</v>
      </c>
      <c r="H151" s="156">
        <f t="shared" si="77"/>
        <v>8.9712791222543123E-2</v>
      </c>
      <c r="I151" s="156">
        <f t="shared" si="77"/>
        <v>7.9026935090138389E-2</v>
      </c>
      <c r="J151" s="156">
        <f t="shared" si="77"/>
        <v>7.8705197685233763E-2</v>
      </c>
      <c r="K151" s="156">
        <f t="shared" si="77"/>
        <v>8.4690897420662839E-2</v>
      </c>
      <c r="L151" s="156">
        <f t="shared" ref="L151" si="78">IF(L33=0,0,L33/L$17)</f>
        <v>8.5964747744999764E-2</v>
      </c>
      <c r="M151" s="156">
        <f t="shared" ref="M151:V151" si="79">IF(M33=0,0,M33/M$17)</f>
        <v>8.8792487757815453E-2</v>
      </c>
      <c r="N151" s="156">
        <f t="shared" si="79"/>
        <v>9.0382802215637728E-2</v>
      </c>
      <c r="O151" s="156">
        <f t="shared" si="79"/>
        <v>8.7738432143016035E-2</v>
      </c>
      <c r="P151" s="156">
        <f t="shared" si="79"/>
        <v>7.9774525920373901E-2</v>
      </c>
      <c r="Q151" s="156">
        <f t="shared" si="79"/>
        <v>7.4465770222471653E-2</v>
      </c>
      <c r="R151" s="156">
        <f t="shared" si="79"/>
        <v>7.4056730652315494E-2</v>
      </c>
      <c r="S151" s="156">
        <f t="shared" si="79"/>
        <v>7.1847179349287818E-2</v>
      </c>
      <c r="T151" s="156">
        <f t="shared" si="79"/>
        <v>6.8322024390381333E-2</v>
      </c>
      <c r="U151" s="156">
        <f t="shared" si="79"/>
        <v>6.4545812717488993E-2</v>
      </c>
      <c r="V151" s="156">
        <f t="shared" si="79"/>
        <v>5.401236604503213E-2</v>
      </c>
      <c r="W151" s="156">
        <f t="shared" ref="W151" si="80">IF(W33=0,0,W33/W$17)</f>
        <v>4.7038525952324113E-2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4.7082850141752916E-3</v>
      </c>
      <c r="C152" s="103">
        <f t="shared" si="81"/>
        <v>3.7271747978586105E-3</v>
      </c>
      <c r="D152" s="103">
        <f t="shared" si="81"/>
        <v>3.587715295565013E-3</v>
      </c>
      <c r="E152" s="103">
        <f t="shared" si="81"/>
        <v>3.3246145929296286E-3</v>
      </c>
      <c r="F152" s="103">
        <f t="shared" si="81"/>
        <v>3.0370317457791957E-3</v>
      </c>
      <c r="G152" s="103">
        <f t="shared" si="81"/>
        <v>2.7710469187526964E-3</v>
      </c>
      <c r="H152" s="103">
        <f t="shared" si="81"/>
        <v>2.2685235024228396E-3</v>
      </c>
      <c r="I152" s="103">
        <f t="shared" si="81"/>
        <v>1.8468688801542394E-3</v>
      </c>
      <c r="J152" s="103">
        <f t="shared" si="81"/>
        <v>1.7879343021523621E-3</v>
      </c>
      <c r="K152" s="103">
        <f t="shared" si="81"/>
        <v>1.7889615411348298E-3</v>
      </c>
      <c r="L152" s="103">
        <f t="shared" ref="L152" si="82">IF(L34=0,0,L34/L$17)</f>
        <v>1.4748757409643631E-3</v>
      </c>
      <c r="M152" s="103">
        <f t="shared" ref="M152:V152" si="83">IF(M34=0,0,M34/M$17)</f>
        <v>1.0427615599560801E-3</v>
      </c>
      <c r="N152" s="103">
        <f t="shared" si="83"/>
        <v>8.3751485197871428E-4</v>
      </c>
      <c r="O152" s="103">
        <f t="shared" si="83"/>
        <v>5.8489702082272074E-4</v>
      </c>
      <c r="P152" s="103">
        <f t="shared" si="83"/>
        <v>3.5522891640695522E-4</v>
      </c>
      <c r="Q152" s="103">
        <f t="shared" si="83"/>
        <v>2.73486715076979E-4</v>
      </c>
      <c r="R152" s="103">
        <f t="shared" si="83"/>
        <v>2.0312887025481476E-4</v>
      </c>
      <c r="S152" s="103">
        <f t="shared" si="83"/>
        <v>1.7449896908229109E-4</v>
      </c>
      <c r="T152" s="103">
        <f t="shared" si="83"/>
        <v>1.4569483427144314E-4</v>
      </c>
      <c r="U152" s="103">
        <f t="shared" si="83"/>
        <v>1.3037420708023639E-4</v>
      </c>
      <c r="V152" s="103">
        <f t="shared" si="83"/>
        <v>9.720022014277836E-5</v>
      </c>
      <c r="W152" s="103">
        <f t="shared" ref="W152" si="84">IF(W34=0,0,W34/W$17)</f>
        <v>6.6272184136411527E-5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0.1182419781127927</v>
      </c>
      <c r="C153" s="103">
        <f t="shared" si="85"/>
        <v>0.10875252101818075</v>
      </c>
      <c r="D153" s="103">
        <f t="shared" si="85"/>
        <v>0.10458216735646589</v>
      </c>
      <c r="E153" s="103">
        <f t="shared" si="85"/>
        <v>0.10637479098749382</v>
      </c>
      <c r="F153" s="103">
        <f t="shared" si="85"/>
        <v>0.10224416251917963</v>
      </c>
      <c r="G153" s="103">
        <f t="shared" si="85"/>
        <v>9.6876709972323921E-2</v>
      </c>
      <c r="H153" s="103">
        <f t="shared" si="85"/>
        <v>8.5144954911470311E-2</v>
      </c>
      <c r="I153" s="103">
        <f t="shared" si="85"/>
        <v>7.4809206707447284E-2</v>
      </c>
      <c r="J153" s="103">
        <f t="shared" si="85"/>
        <v>7.4276461747947303E-2</v>
      </c>
      <c r="K153" s="103">
        <f t="shared" si="85"/>
        <v>7.9462466436044321E-2</v>
      </c>
      <c r="L153" s="103">
        <f t="shared" ref="L153" si="86">IF(L36=0,0,L36/L$17)</f>
        <v>8.0184116463427504E-2</v>
      </c>
      <c r="M153" s="103">
        <f t="shared" ref="M153:V153" si="87">IF(M36=0,0,M36/M$17)</f>
        <v>8.2931801166655675E-2</v>
      </c>
      <c r="N153" s="103">
        <f t="shared" si="87"/>
        <v>8.4671219809153098E-2</v>
      </c>
      <c r="O153" s="103">
        <f t="shared" si="87"/>
        <v>8.2578888155879715E-2</v>
      </c>
      <c r="P153" s="103">
        <f t="shared" si="87"/>
        <v>7.5020760534479161E-2</v>
      </c>
      <c r="Q153" s="103">
        <f t="shared" si="87"/>
        <v>6.9865639889992226E-2</v>
      </c>
      <c r="R153" s="103">
        <f t="shared" si="87"/>
        <v>6.9050408854779116E-2</v>
      </c>
      <c r="S153" s="103">
        <f t="shared" si="87"/>
        <v>6.7668934812557216E-2</v>
      </c>
      <c r="T153" s="103">
        <f t="shared" si="87"/>
        <v>6.4250282285127039E-2</v>
      </c>
      <c r="U153" s="103">
        <f t="shared" si="87"/>
        <v>6.0309539103744925E-2</v>
      </c>
      <c r="V153" s="103">
        <f t="shared" si="87"/>
        <v>4.9443537104363021E-2</v>
      </c>
      <c r="W153" s="103">
        <f t="shared" ref="W153" si="88">IF(W36=0,0,W36/W$17)</f>
        <v>4.1072259279545012E-2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1.5238333051221815E-4</v>
      </c>
      <c r="S154" s="103">
        <f t="shared" si="91"/>
        <v>1.0931462680001969E-4</v>
      </c>
      <c r="T154" s="103">
        <f t="shared" si="91"/>
        <v>8.097566108296016E-5</v>
      </c>
      <c r="U154" s="103">
        <f t="shared" si="91"/>
        <v>5.5056436867244877E-5</v>
      </c>
      <c r="V154" s="103">
        <f t="shared" si="91"/>
        <v>3.9326200182051534E-5</v>
      </c>
      <c r="W154" s="103">
        <f t="shared" ref="W154" si="92">IF(W38=0,0,W38/W$17)</f>
        <v>3.3330285127883842E-5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2.3645468785395249E-3</v>
      </c>
      <c r="C155" s="103">
        <f t="shared" si="93"/>
        <v>3.0226626476590368E-3</v>
      </c>
      <c r="D155" s="103">
        <f t="shared" si="93"/>
        <v>1.9445926614005268E-3</v>
      </c>
      <c r="E155" s="103">
        <f t="shared" si="93"/>
        <v>1.8658867583960198E-3</v>
      </c>
      <c r="F155" s="103">
        <f t="shared" si="93"/>
        <v>1.782034118136297E-3</v>
      </c>
      <c r="G155" s="103">
        <f t="shared" si="93"/>
        <v>1.6980173253553529E-3</v>
      </c>
      <c r="H155" s="103">
        <f t="shared" si="93"/>
        <v>1.5235623405900679E-3</v>
      </c>
      <c r="I155" s="103">
        <f t="shared" si="93"/>
        <v>1.3309948908494871E-3</v>
      </c>
      <c r="J155" s="103">
        <f t="shared" si="93"/>
        <v>6.9297468837759457E-4</v>
      </c>
      <c r="K155" s="103">
        <f t="shared" si="93"/>
        <v>5.243303936593116E-5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0</v>
      </c>
      <c r="R155" s="103">
        <f t="shared" si="95"/>
        <v>0</v>
      </c>
      <c r="S155" s="103">
        <f t="shared" si="95"/>
        <v>0</v>
      </c>
      <c r="T155" s="103">
        <f t="shared" si="95"/>
        <v>0</v>
      </c>
      <c r="U155" s="103">
        <f t="shared" si="95"/>
        <v>8.6643068959207136E-5</v>
      </c>
      <c r="V155" s="103">
        <f t="shared" si="95"/>
        <v>4.2502821509783623E-4</v>
      </c>
      <c r="W155" s="103">
        <f t="shared" ref="W155" si="96">IF(W39=0,0,W39/W$17)</f>
        <v>1.1408810499402007E-3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2.3751513529766751E-4</v>
      </c>
      <c r="C156" s="103">
        <f t="shared" si="97"/>
        <v>4.4071180885540566E-4</v>
      </c>
      <c r="D156" s="103">
        <f t="shared" si="97"/>
        <v>4.2929279428666157E-4</v>
      </c>
      <c r="E156" s="103">
        <f t="shared" si="97"/>
        <v>3.9210882493489742E-4</v>
      </c>
      <c r="F156" s="103">
        <f t="shared" si="97"/>
        <v>3.7314958535304623E-4</v>
      </c>
      <c r="G156" s="103">
        <f t="shared" si="97"/>
        <v>8.3827118789385794E-4</v>
      </c>
      <c r="H156" s="103">
        <f t="shared" si="97"/>
        <v>7.7575046805989842E-4</v>
      </c>
      <c r="I156" s="103">
        <f t="shared" si="97"/>
        <v>1.0398646116873977E-3</v>
      </c>
      <c r="J156" s="103">
        <f t="shared" si="97"/>
        <v>1.9478269467565067E-3</v>
      </c>
      <c r="K156" s="103">
        <f t="shared" si="97"/>
        <v>3.3870364041177557E-3</v>
      </c>
      <c r="L156" s="103">
        <f t="shared" ref="L156" si="98">IF(L41=0,0,L41/L$17)</f>
        <v>4.3057555406078958E-3</v>
      </c>
      <c r="M156" s="103">
        <f t="shared" ref="M156:V156" si="99">IF(M41=0,0,M41/M$17)</f>
        <v>4.8179250312037148E-3</v>
      </c>
      <c r="N156" s="103">
        <f t="shared" si="99"/>
        <v>4.8740675545059188E-3</v>
      </c>
      <c r="O156" s="103">
        <f t="shared" si="99"/>
        <v>4.5746469663136054E-3</v>
      </c>
      <c r="P156" s="103">
        <f t="shared" si="99"/>
        <v>4.3985364694877861E-3</v>
      </c>
      <c r="Q156" s="103">
        <f t="shared" si="99"/>
        <v>4.3266436174024519E-3</v>
      </c>
      <c r="R156" s="103">
        <f t="shared" si="99"/>
        <v>4.6508095967693385E-3</v>
      </c>
      <c r="S156" s="103">
        <f t="shared" si="99"/>
        <v>3.8944309408482877E-3</v>
      </c>
      <c r="T156" s="103">
        <f t="shared" si="99"/>
        <v>3.845071609899883E-3</v>
      </c>
      <c r="U156" s="103">
        <f t="shared" si="99"/>
        <v>3.9641999008373707E-3</v>
      </c>
      <c r="V156" s="103">
        <f t="shared" si="99"/>
        <v>4.0072743052464383E-3</v>
      </c>
      <c r="W156" s="103">
        <f t="shared" ref="W156" si="100">IF(W41=0,0,W41/W$17)</f>
        <v>4.7257831535746113E-3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0.27343905189445233</v>
      </c>
      <c r="C157" s="46">
        <f t="shared" si="101"/>
        <v>0.33867915106935148</v>
      </c>
      <c r="D157" s="46">
        <f t="shared" si="101"/>
        <v>0.35339698923203317</v>
      </c>
      <c r="E157" s="46">
        <f t="shared" si="101"/>
        <v>0.35402481416930798</v>
      </c>
      <c r="F157" s="46">
        <f t="shared" si="101"/>
        <v>0.35907379238468495</v>
      </c>
      <c r="G157" s="46">
        <f t="shared" si="101"/>
        <v>0.37509827257919359</v>
      </c>
      <c r="H157" s="46">
        <f t="shared" si="101"/>
        <v>0.37127377547927587</v>
      </c>
      <c r="I157" s="46">
        <f t="shared" si="101"/>
        <v>0.39019234058325919</v>
      </c>
      <c r="J157" s="46">
        <f t="shared" si="101"/>
        <v>0.37964326540584065</v>
      </c>
      <c r="K157" s="46">
        <f t="shared" si="101"/>
        <v>0.35748893047066144</v>
      </c>
      <c r="L157" s="46">
        <f t="shared" ref="L157" si="102">IF(L42=0,0,L42/L$17)</f>
        <v>0.38658361764849553</v>
      </c>
      <c r="M157" s="46">
        <f t="shared" ref="M157:V157" si="103">IF(M42=0,0,M42/M$17)</f>
        <v>0.33304641630480702</v>
      </c>
      <c r="N157" s="46">
        <f t="shared" si="103"/>
        <v>0.3226750893624537</v>
      </c>
      <c r="O157" s="46">
        <f t="shared" si="103"/>
        <v>0.33116246931859811</v>
      </c>
      <c r="P157" s="46">
        <f t="shared" si="103"/>
        <v>0.31295213550808709</v>
      </c>
      <c r="Q157" s="46">
        <f t="shared" si="103"/>
        <v>0.31461095092939023</v>
      </c>
      <c r="R157" s="46">
        <f t="shared" si="103"/>
        <v>0.29980799911185418</v>
      </c>
      <c r="S157" s="46">
        <f t="shared" si="103"/>
        <v>0.31150494437448528</v>
      </c>
      <c r="T157" s="46">
        <f t="shared" si="103"/>
        <v>0.31313596303876801</v>
      </c>
      <c r="U157" s="46">
        <f t="shared" si="103"/>
        <v>0.29668288549570804</v>
      </c>
      <c r="V157" s="46">
        <f t="shared" si="103"/>
        <v>0.30663484346044401</v>
      </c>
      <c r="W157" s="46">
        <f t="shared" ref="W157" si="104">IF(W42=0,0,W42/W$17)</f>
        <v>0.32537367286228197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5.6900636074927069E-2</v>
      </c>
      <c r="C158" s="154">
        <f t="shared" si="105"/>
        <v>5.6900167277944502E-2</v>
      </c>
      <c r="D158" s="154">
        <f t="shared" si="105"/>
        <v>6.7466582065215386E-2</v>
      </c>
      <c r="E158" s="154">
        <f t="shared" si="105"/>
        <v>5.8232535296164852E-2</v>
      </c>
      <c r="F158" s="154">
        <f t="shared" si="105"/>
        <v>7.1552022128332324E-2</v>
      </c>
      <c r="G158" s="154">
        <f t="shared" si="105"/>
        <v>6.3963816775445201E-2</v>
      </c>
      <c r="H158" s="154">
        <f t="shared" si="105"/>
        <v>6.2961294766429324E-2</v>
      </c>
      <c r="I158" s="154">
        <f t="shared" si="105"/>
        <v>6.244054126998775E-2</v>
      </c>
      <c r="J158" s="154">
        <f t="shared" si="105"/>
        <v>6.6147499778913432E-2</v>
      </c>
      <c r="K158" s="154">
        <f t="shared" si="105"/>
        <v>6.9083479460097533E-2</v>
      </c>
      <c r="L158" s="154">
        <f t="shared" ref="L158" si="106">IF(L43=0,0,L43/L$17)</f>
        <v>6.0456454095289873E-2</v>
      </c>
      <c r="M158" s="154">
        <f t="shared" ref="M158:V158" si="107">IF(M43=0,0,M43/M$17)</f>
        <v>6.6563549279498854E-2</v>
      </c>
      <c r="N158" s="154">
        <f t="shared" si="107"/>
        <v>7.5119471819779404E-2</v>
      </c>
      <c r="O158" s="154">
        <f t="shared" si="107"/>
        <v>8.4347077377063026E-2</v>
      </c>
      <c r="P158" s="154">
        <f t="shared" si="107"/>
        <v>8.5633249178612245E-2</v>
      </c>
      <c r="Q158" s="154">
        <f t="shared" si="107"/>
        <v>8.3678906419310625E-2</v>
      </c>
      <c r="R158" s="154">
        <f t="shared" si="107"/>
        <v>8.1328111896266334E-2</v>
      </c>
      <c r="S158" s="154">
        <f t="shared" si="107"/>
        <v>8.0540167297253176E-2</v>
      </c>
      <c r="T158" s="154">
        <f t="shared" si="107"/>
        <v>7.9306202659922317E-2</v>
      </c>
      <c r="U158" s="154">
        <f t="shared" si="107"/>
        <v>7.986340894562545E-2</v>
      </c>
      <c r="V158" s="154">
        <f t="shared" si="107"/>
        <v>8.4277821172393588E-2</v>
      </c>
      <c r="W158" s="154">
        <f t="shared" ref="W158" si="108">IF(W43=0,0,W43/W$17)</f>
        <v>8.4692404880285413E-2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2.1493859277406952E-2</v>
      </c>
      <c r="C159" s="103">
        <f t="shared" si="109"/>
        <v>1.8071566729705869E-2</v>
      </c>
      <c r="D159" s="103">
        <f t="shared" si="109"/>
        <v>1.6501866624837311E-2</v>
      </c>
      <c r="E159" s="103">
        <f t="shared" si="109"/>
        <v>1.5465690324386104E-2</v>
      </c>
      <c r="F159" s="103">
        <f t="shared" si="109"/>
        <v>1.4203635907102333E-2</v>
      </c>
      <c r="G159" s="103">
        <f t="shared" si="109"/>
        <v>1.3405380680216636E-2</v>
      </c>
      <c r="H159" s="103">
        <f t="shared" si="109"/>
        <v>1.1943009040667382E-2</v>
      </c>
      <c r="I159" s="103">
        <f t="shared" si="109"/>
        <v>1.0076350385479294E-2</v>
      </c>
      <c r="J159" s="103">
        <f t="shared" si="109"/>
        <v>8.8516246487591876E-3</v>
      </c>
      <c r="K159" s="103">
        <f t="shared" si="109"/>
        <v>8.0912833994272997E-3</v>
      </c>
      <c r="L159" s="103">
        <f t="shared" ref="L159" si="110">IF(L44=0,0,L44/L$17)</f>
        <v>3.404660462057021E-3</v>
      </c>
      <c r="M159" s="103">
        <f t="shared" ref="M159:V159" si="111">IF(M44=0,0,M44/M$17)</f>
        <v>3.5205447257379637E-3</v>
      </c>
      <c r="N159" s="103">
        <f t="shared" si="111"/>
        <v>3.6703779197429492E-3</v>
      </c>
      <c r="O159" s="103">
        <f t="shared" si="111"/>
        <v>3.1194131296671422E-3</v>
      </c>
      <c r="P159" s="103">
        <f t="shared" si="111"/>
        <v>2.2236998387703982E-3</v>
      </c>
      <c r="Q159" s="103">
        <f t="shared" si="111"/>
        <v>1.9680649955011774E-3</v>
      </c>
      <c r="R159" s="103">
        <f t="shared" si="111"/>
        <v>1.6548263063060416E-3</v>
      </c>
      <c r="S159" s="103">
        <f t="shared" si="111"/>
        <v>1.4764712756929108E-3</v>
      </c>
      <c r="T159" s="103">
        <f t="shared" si="111"/>
        <v>1.3699476750403973E-3</v>
      </c>
      <c r="U159" s="103">
        <f t="shared" si="111"/>
        <v>1.2500193918135801E-3</v>
      </c>
      <c r="V159" s="103">
        <f t="shared" si="111"/>
        <v>1.2660769384957777E-3</v>
      </c>
      <c r="W159" s="103">
        <f t="shared" ref="W159" si="112">IF(W44=0,0,W44/W$17)</f>
        <v>1.1921686575865258E-3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3.540677679752012E-2</v>
      </c>
      <c r="C160" s="103">
        <f t="shared" si="113"/>
        <v>3.8828600548238633E-2</v>
      </c>
      <c r="D160" s="103">
        <f t="shared" si="113"/>
        <v>5.0964715440378075E-2</v>
      </c>
      <c r="E160" s="103">
        <f t="shared" si="113"/>
        <v>4.2766844971778753E-2</v>
      </c>
      <c r="F160" s="103">
        <f t="shared" si="113"/>
        <v>5.7348386221229987E-2</v>
      </c>
      <c r="G160" s="103">
        <f t="shared" si="113"/>
        <v>5.0558436095228559E-2</v>
      </c>
      <c r="H160" s="103">
        <f t="shared" si="113"/>
        <v>5.101828572576194E-2</v>
      </c>
      <c r="I160" s="103">
        <f t="shared" si="113"/>
        <v>5.2364190884508451E-2</v>
      </c>
      <c r="J160" s="103">
        <f t="shared" si="113"/>
        <v>5.7295875130154245E-2</v>
      </c>
      <c r="K160" s="103">
        <f t="shared" si="113"/>
        <v>6.0992196060670245E-2</v>
      </c>
      <c r="L160" s="103">
        <f t="shared" ref="L160" si="114">IF(L46=0,0,L46/L$17)</f>
        <v>5.7051793633232852E-2</v>
      </c>
      <c r="M160" s="103">
        <f t="shared" ref="M160:V160" si="115">IF(M46=0,0,M46/M$17)</f>
        <v>6.3042591181803859E-2</v>
      </c>
      <c r="N160" s="103">
        <f t="shared" si="115"/>
        <v>7.1424914861564812E-2</v>
      </c>
      <c r="O160" s="103">
        <f t="shared" si="115"/>
        <v>8.1205709973138279E-2</v>
      </c>
      <c r="P160" s="103">
        <f t="shared" si="115"/>
        <v>8.3380596308003888E-2</v>
      </c>
      <c r="Q160" s="103">
        <f t="shared" si="115"/>
        <v>8.1681906020426201E-2</v>
      </c>
      <c r="R160" s="103">
        <f t="shared" si="115"/>
        <v>7.9460769388380745E-2</v>
      </c>
      <c r="S160" s="103">
        <f t="shared" si="115"/>
        <v>7.8722934927382152E-2</v>
      </c>
      <c r="T160" s="103">
        <f t="shared" si="115"/>
        <v>7.7528945202496785E-2</v>
      </c>
      <c r="U160" s="103">
        <f t="shared" si="115"/>
        <v>7.8131347842043244E-2</v>
      </c>
      <c r="V160" s="103">
        <f t="shared" si="115"/>
        <v>8.2456276717978477E-2</v>
      </c>
      <c r="W160" s="103">
        <f t="shared" ref="W160" si="116">IF(W46=0,0,W46/W$17)</f>
        <v>8.2932479860488961E-2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2.3745368499235619E-5</v>
      </c>
      <c r="O161" s="103">
        <f t="shared" si="119"/>
        <v>2.1528239382080735E-5</v>
      </c>
      <c r="P161" s="103">
        <f t="shared" si="119"/>
        <v>2.771244296979488E-5</v>
      </c>
      <c r="Q161" s="103">
        <f t="shared" si="119"/>
        <v>2.7595738888649619E-5</v>
      </c>
      <c r="R161" s="103">
        <f t="shared" si="119"/>
        <v>2.1051831293587302E-4</v>
      </c>
      <c r="S161" s="103">
        <f t="shared" si="119"/>
        <v>3.3855224006467332E-4</v>
      </c>
      <c r="T161" s="103">
        <f t="shared" si="119"/>
        <v>4.0512776333631058E-4</v>
      </c>
      <c r="U161" s="103">
        <f t="shared" si="119"/>
        <v>4.7933403172180475E-4</v>
      </c>
      <c r="V161" s="103">
        <f t="shared" si="119"/>
        <v>5.5021485109665131E-4</v>
      </c>
      <c r="W161" s="103">
        <f t="shared" ref="W161" si="120">IF(W48=0,0,W48/W$17)</f>
        <v>5.5531098132623343E-4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0</v>
      </c>
      <c r="S162" s="103">
        <f t="shared" si="123"/>
        <v>0</v>
      </c>
      <c r="T162" s="103">
        <f t="shared" si="123"/>
        <v>0</v>
      </c>
      <c r="U162" s="103">
        <f t="shared" si="123"/>
        <v>0</v>
      </c>
      <c r="V162" s="103">
        <f t="shared" si="123"/>
        <v>0</v>
      </c>
      <c r="W162" s="103">
        <f t="shared" ref="W162" si="124">IF(W49=0,0,W49/W$17)</f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4.1337195704174026E-7</v>
      </c>
      <c r="N163" s="103">
        <f t="shared" si="127"/>
        <v>4.3366997240417378E-7</v>
      </c>
      <c r="O163" s="103">
        <f t="shared" si="127"/>
        <v>4.2603487553475934E-7</v>
      </c>
      <c r="P163" s="103">
        <f t="shared" si="127"/>
        <v>1.2405888681577159E-6</v>
      </c>
      <c r="Q163" s="103">
        <f t="shared" si="127"/>
        <v>1.3396644945963148E-6</v>
      </c>
      <c r="R163" s="103">
        <f t="shared" si="127"/>
        <v>1.9978886436713845E-6</v>
      </c>
      <c r="S163" s="103">
        <f t="shared" si="127"/>
        <v>2.2088541134348418E-6</v>
      </c>
      <c r="T163" s="103">
        <f t="shared" si="127"/>
        <v>2.1820190488278071E-6</v>
      </c>
      <c r="U163" s="103">
        <f t="shared" si="127"/>
        <v>2.7076800468150204E-6</v>
      </c>
      <c r="V163" s="103">
        <f t="shared" si="127"/>
        <v>5.2526648226878443E-6</v>
      </c>
      <c r="W163" s="103">
        <f t="shared" ref="W163" si="128">IF(W51=0,0,W51/W$17)</f>
        <v>1.2445380883700322E-5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0.21653841581952524</v>
      </c>
      <c r="C164" s="156">
        <f t="shared" si="129"/>
        <v>0.28177898379140698</v>
      </c>
      <c r="D164" s="156">
        <f t="shared" si="129"/>
        <v>0.28593040716681772</v>
      </c>
      <c r="E164" s="156">
        <f t="shared" si="129"/>
        <v>0.29579227887314313</v>
      </c>
      <c r="F164" s="156">
        <f t="shared" si="129"/>
        <v>0.28752177025635262</v>
      </c>
      <c r="G164" s="156">
        <f t="shared" si="129"/>
        <v>0.31113445580374838</v>
      </c>
      <c r="H164" s="156">
        <f t="shared" si="129"/>
        <v>0.30831248071284656</v>
      </c>
      <c r="I164" s="156">
        <f t="shared" si="129"/>
        <v>0.32775179931327142</v>
      </c>
      <c r="J164" s="156">
        <f t="shared" si="129"/>
        <v>0.31349576562692721</v>
      </c>
      <c r="K164" s="156">
        <f t="shared" si="129"/>
        <v>0.28840545101056392</v>
      </c>
      <c r="L164" s="156">
        <f t="shared" ref="L164" si="130">IF(L52=0,0,L52/L$17)</f>
        <v>0.32612716355320565</v>
      </c>
      <c r="M164" s="156">
        <f t="shared" ref="M164:V164" si="131">IF(M52=0,0,M52/M$17)</f>
        <v>0.26648286702530816</v>
      </c>
      <c r="N164" s="156">
        <f t="shared" si="131"/>
        <v>0.24755561754267427</v>
      </c>
      <c r="O164" s="156">
        <f t="shared" si="131"/>
        <v>0.24681539194153504</v>
      </c>
      <c r="P164" s="156">
        <f t="shared" si="131"/>
        <v>0.22731888632947486</v>
      </c>
      <c r="Q164" s="156">
        <f t="shared" si="131"/>
        <v>0.23093204451007965</v>
      </c>
      <c r="R164" s="156">
        <f t="shared" si="131"/>
        <v>0.21847988721558781</v>
      </c>
      <c r="S164" s="156">
        <f t="shared" si="131"/>
        <v>0.23096477707723212</v>
      </c>
      <c r="T164" s="156">
        <f t="shared" si="131"/>
        <v>0.2338297603788457</v>
      </c>
      <c r="U164" s="156">
        <f t="shared" si="131"/>
        <v>0.2168194765500826</v>
      </c>
      <c r="V164" s="156">
        <f t="shared" si="131"/>
        <v>0.22235702228805038</v>
      </c>
      <c r="W164" s="156">
        <f t="shared" ref="W164" si="132">IF(W52=0,0,W52/W$17)</f>
        <v>0.24068126798199654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0.13624456028047094</v>
      </c>
      <c r="C165" s="104">
        <f t="shared" si="133"/>
        <v>0.1451831952551999</v>
      </c>
      <c r="D165" s="104">
        <f t="shared" si="133"/>
        <v>0.16561205005209667</v>
      </c>
      <c r="E165" s="104">
        <f t="shared" si="133"/>
        <v>0.17890679306933882</v>
      </c>
      <c r="F165" s="104">
        <f t="shared" si="133"/>
        <v>0.1619342557307773</v>
      </c>
      <c r="G165" s="104">
        <f t="shared" si="133"/>
        <v>0.17343810915513244</v>
      </c>
      <c r="H165" s="104">
        <f t="shared" si="133"/>
        <v>0.15672397914812736</v>
      </c>
      <c r="I165" s="104">
        <f t="shared" si="133"/>
        <v>0.1643113902626272</v>
      </c>
      <c r="J165" s="104">
        <f t="shared" si="133"/>
        <v>0.16200028601562466</v>
      </c>
      <c r="K165" s="104">
        <f t="shared" si="133"/>
        <v>0.17233317261844291</v>
      </c>
      <c r="L165" s="104">
        <f t="shared" ref="L165" si="134">IF(L53=0,0,L53/L$17)</f>
        <v>0.14530316550098848</v>
      </c>
      <c r="M165" s="104">
        <f t="shared" ref="M165:V165" si="135">IF(M53=0,0,M53/M$17)</f>
        <v>0.13097161694677187</v>
      </c>
      <c r="N165" s="104">
        <f t="shared" si="135"/>
        <v>0.11353602450272406</v>
      </c>
      <c r="O165" s="104">
        <f t="shared" si="135"/>
        <v>0.11707766124320143</v>
      </c>
      <c r="P165" s="104">
        <f t="shared" si="135"/>
        <v>0.10826814108438203</v>
      </c>
      <c r="Q165" s="104">
        <f t="shared" si="135"/>
        <v>0.10289955430326447</v>
      </c>
      <c r="R165" s="104">
        <f t="shared" si="135"/>
        <v>0.10320835796345554</v>
      </c>
      <c r="S165" s="104">
        <f t="shared" si="135"/>
        <v>0.11108482833012288</v>
      </c>
      <c r="T165" s="104">
        <f t="shared" si="135"/>
        <v>0.11117425045584535</v>
      </c>
      <c r="U165" s="104">
        <f t="shared" si="135"/>
        <v>0.1103645871857237</v>
      </c>
      <c r="V165" s="104">
        <f t="shared" si="135"/>
        <v>0.11445689361256085</v>
      </c>
      <c r="W165" s="104">
        <f t="shared" ref="W165" si="136">IF(W53=0,0,W53/W$17)</f>
        <v>0.12555650008662964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8.0293855539054285E-2</v>
      </c>
      <c r="C166" s="105">
        <f t="shared" si="137"/>
        <v>0.1365957885362071</v>
      </c>
      <c r="D166" s="105">
        <f t="shared" si="137"/>
        <v>0.12031835711472107</v>
      </c>
      <c r="E166" s="105">
        <f t="shared" si="137"/>
        <v>0.11688548580380433</v>
      </c>
      <c r="F166" s="105">
        <f t="shared" si="137"/>
        <v>0.12558751452557534</v>
      </c>
      <c r="G166" s="105">
        <f t="shared" si="137"/>
        <v>0.13769634664861596</v>
      </c>
      <c r="H166" s="105">
        <f t="shared" si="137"/>
        <v>0.15158850156471917</v>
      </c>
      <c r="I166" s="105">
        <f t="shared" si="137"/>
        <v>0.16344040905064419</v>
      </c>
      <c r="J166" s="105">
        <f t="shared" si="137"/>
        <v>0.15149547961130255</v>
      </c>
      <c r="K166" s="105">
        <f t="shared" si="137"/>
        <v>0.116072278392121</v>
      </c>
      <c r="L166" s="105">
        <f t="shared" ref="L166" si="138">IF(L55=0,0,L55/L$17)</f>
        <v>0.18082399805221722</v>
      </c>
      <c r="M166" s="105">
        <f t="shared" ref="M166:V166" si="139">IF(M55=0,0,M55/M$17)</f>
        <v>0.13551125007853629</v>
      </c>
      <c r="N166" s="105">
        <f t="shared" si="139"/>
        <v>0.13401959303995023</v>
      </c>
      <c r="O166" s="105">
        <f t="shared" si="139"/>
        <v>0.12973773069833361</v>
      </c>
      <c r="P166" s="105">
        <f t="shared" si="139"/>
        <v>0.11905074524509281</v>
      </c>
      <c r="Q166" s="105">
        <f t="shared" si="139"/>
        <v>0.12803249020681517</v>
      </c>
      <c r="R166" s="105">
        <f t="shared" si="139"/>
        <v>0.11527152925213227</v>
      </c>
      <c r="S166" s="105">
        <f t="shared" si="139"/>
        <v>0.11987994874710922</v>
      </c>
      <c r="T166" s="105">
        <f t="shared" si="139"/>
        <v>0.12265550992300032</v>
      </c>
      <c r="U166" s="105">
        <f t="shared" si="139"/>
        <v>0.1064548893643589</v>
      </c>
      <c r="V166" s="105">
        <f t="shared" si="139"/>
        <v>0.10790012867548955</v>
      </c>
      <c r="W166" s="105">
        <f t="shared" ref="W166" si="140">IF(W55=0,0,W55/W$17)</f>
        <v>0.11512476789536691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1914.7180028400001</v>
      </c>
      <c r="C4" s="146">
        <f t="shared" si="0"/>
        <v>2299.0161221999997</v>
      </c>
      <c r="D4" s="146">
        <f t="shared" si="0"/>
        <v>2367.1103436000003</v>
      </c>
      <c r="E4" s="146">
        <f t="shared" si="0"/>
        <v>2479.1999194800001</v>
      </c>
      <c r="F4" s="146">
        <f t="shared" si="0"/>
        <v>2610.6845587200005</v>
      </c>
      <c r="G4" s="146">
        <f t="shared" si="0"/>
        <v>2737.0598144400001</v>
      </c>
      <c r="H4" s="146">
        <f t="shared" si="0"/>
        <v>3079.1959664400001</v>
      </c>
      <c r="I4" s="146">
        <f t="shared" si="0"/>
        <v>3494.8984949999999</v>
      </c>
      <c r="J4" s="146">
        <f t="shared" si="0"/>
        <v>3283.4064074399998</v>
      </c>
      <c r="K4" s="146">
        <f t="shared" si="0"/>
        <v>2860.2775475999997</v>
      </c>
      <c r="L4" s="146">
        <f t="shared" ref="L4" si="1">L5+L9+L10+L15</f>
        <v>2950.3492311599998</v>
      </c>
      <c r="M4" s="146">
        <f t="shared" ref="M4:V4" si="2">M5+M9+M10+M15</f>
        <v>2567.1592162799998</v>
      </c>
      <c r="N4" s="146">
        <f t="shared" si="2"/>
        <v>2456.7913065599996</v>
      </c>
      <c r="O4" s="146">
        <f t="shared" si="2"/>
        <v>2503.1241190799997</v>
      </c>
      <c r="P4" s="146">
        <f t="shared" si="2"/>
        <v>2646.7113049199997</v>
      </c>
      <c r="Q4" s="146">
        <f t="shared" si="2"/>
        <v>2835.4483591199996</v>
      </c>
      <c r="R4" s="146">
        <f t="shared" si="2"/>
        <v>2890.0297551599997</v>
      </c>
      <c r="S4" s="146">
        <f t="shared" si="2"/>
        <v>3049.7608371599999</v>
      </c>
      <c r="T4" s="146">
        <f t="shared" si="2"/>
        <v>3048.5501135999998</v>
      </c>
      <c r="U4" s="146">
        <f t="shared" si="2"/>
        <v>3074.3317893600006</v>
      </c>
      <c r="V4" s="146">
        <f t="shared" si="2"/>
        <v>2935.3586349599996</v>
      </c>
      <c r="W4" s="146">
        <f t="shared" ref="W4" si="3">W5+W9+W10+W15</f>
        <v>3032.58195432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1910.9312528400001</v>
      </c>
      <c r="C5" s="101">
        <f t="shared" si="4"/>
        <v>2293.3612421999997</v>
      </c>
      <c r="D5" s="101">
        <f t="shared" si="4"/>
        <v>2363.3235936000001</v>
      </c>
      <c r="E5" s="101">
        <f t="shared" si="4"/>
        <v>2475.4131694799999</v>
      </c>
      <c r="F5" s="101">
        <f t="shared" si="4"/>
        <v>2606.8978087200003</v>
      </c>
      <c r="G5" s="101">
        <f t="shared" si="4"/>
        <v>2733.2730644399999</v>
      </c>
      <c r="H5" s="101">
        <f t="shared" si="4"/>
        <v>3075.4092164399999</v>
      </c>
      <c r="I5" s="101">
        <f t="shared" si="4"/>
        <v>3491.1622349999998</v>
      </c>
      <c r="J5" s="101">
        <f t="shared" si="4"/>
        <v>3281.53827744</v>
      </c>
      <c r="K5" s="101">
        <f t="shared" si="4"/>
        <v>2860.0755875999998</v>
      </c>
      <c r="L5" s="101">
        <f t="shared" ref="L5" si="5">SUM(L6:L8)</f>
        <v>2950.3492311599998</v>
      </c>
      <c r="M5" s="101">
        <f t="shared" ref="M5:V5" si="6">SUM(M6:M8)</f>
        <v>2567.1592162799998</v>
      </c>
      <c r="N5" s="101">
        <f t="shared" si="6"/>
        <v>2456.7913065599996</v>
      </c>
      <c r="O5" s="101">
        <f t="shared" si="6"/>
        <v>2503.1241190799997</v>
      </c>
      <c r="P5" s="101">
        <f t="shared" si="6"/>
        <v>2646.7113049199997</v>
      </c>
      <c r="Q5" s="101">
        <f t="shared" si="6"/>
        <v>2835.4483591199996</v>
      </c>
      <c r="R5" s="101">
        <f t="shared" si="6"/>
        <v>2890.0297551599997</v>
      </c>
      <c r="S5" s="101">
        <f t="shared" si="6"/>
        <v>3049.7608371599999</v>
      </c>
      <c r="T5" s="101">
        <f t="shared" si="6"/>
        <v>3048.4196474399996</v>
      </c>
      <c r="U5" s="101">
        <f t="shared" si="6"/>
        <v>3073.8971714400004</v>
      </c>
      <c r="V5" s="101">
        <f t="shared" si="6"/>
        <v>2934.1032515999996</v>
      </c>
      <c r="W5" s="101">
        <f t="shared" ref="W5" si="7">SUM(W6:W8)</f>
        <v>3029.5099407600001</v>
      </c>
      <c r="DA5" s="175"/>
    </row>
    <row r="6" spans="1:105" ht="11.45" customHeight="1" x14ac:dyDescent="0.25">
      <c r="A6" s="128" t="s">
        <v>52</v>
      </c>
      <c r="B6" s="101">
        <v>54.597906000000002</v>
      </c>
      <c r="C6" s="101">
        <v>54.597906000000002</v>
      </c>
      <c r="D6" s="101">
        <v>54.597906000000002</v>
      </c>
      <c r="E6" s="101">
        <v>60.34505399999999</v>
      </c>
      <c r="F6" s="101">
        <v>66.092202000000015</v>
      </c>
      <c r="G6" s="101">
        <v>68.96577600000002</v>
      </c>
      <c r="H6" s="101">
        <v>74.712924000000015</v>
      </c>
      <c r="I6" s="101">
        <v>68.96577600000002</v>
      </c>
      <c r="J6" s="101">
        <v>60.34505399999999</v>
      </c>
      <c r="K6" s="101">
        <v>54.597906000000002</v>
      </c>
      <c r="L6" s="101">
        <v>63.218628000000002</v>
      </c>
      <c r="M6" s="101">
        <v>74.712924000000015</v>
      </c>
      <c r="N6" s="101">
        <v>117.816534</v>
      </c>
      <c r="O6" s="101">
        <v>149.425848</v>
      </c>
      <c r="P6" s="101">
        <v>166.66729200000003</v>
      </c>
      <c r="Q6" s="101">
        <v>169.54086599999999</v>
      </c>
      <c r="R6" s="101">
        <v>163.79371800000004</v>
      </c>
      <c r="S6" s="101">
        <v>153.97768008000003</v>
      </c>
      <c r="T6" s="101">
        <v>145.89714456000002</v>
      </c>
      <c r="U6" s="101">
        <v>127.95173172000001</v>
      </c>
      <c r="V6" s="101">
        <v>115.63829675999999</v>
      </c>
      <c r="W6" s="101">
        <v>104.29915104000001</v>
      </c>
      <c r="DA6" s="175" t="s">
        <v>740</v>
      </c>
    </row>
    <row r="7" spans="1:105" ht="11.45" customHeight="1" x14ac:dyDescent="0.25">
      <c r="A7" s="128" t="s">
        <v>53</v>
      </c>
      <c r="B7" s="101">
        <v>1006.23591684</v>
      </c>
      <c r="C7" s="101">
        <v>1058.0723722799999</v>
      </c>
      <c r="D7" s="101">
        <v>1036.7281108799998</v>
      </c>
      <c r="E7" s="101">
        <v>1036.0210845599997</v>
      </c>
      <c r="F7" s="101">
        <v>1042.115382</v>
      </c>
      <c r="G7" s="101">
        <v>1020.7855904400001</v>
      </c>
      <c r="H7" s="101">
        <v>1130.4819464400002</v>
      </c>
      <c r="I7" s="101">
        <v>1237.1311537200002</v>
      </c>
      <c r="J7" s="101">
        <v>1127.43479772</v>
      </c>
      <c r="K7" s="101">
        <v>941.56047216000002</v>
      </c>
      <c r="L7" s="101">
        <v>853.19390771999986</v>
      </c>
      <c r="M7" s="101">
        <v>792.2514322799999</v>
      </c>
      <c r="N7" s="101">
        <v>673.41363011999988</v>
      </c>
      <c r="O7" s="101">
        <v>609.42425543999991</v>
      </c>
      <c r="P7" s="101">
        <v>597.23566056000004</v>
      </c>
      <c r="Q7" s="101">
        <v>594.18851183999993</v>
      </c>
      <c r="R7" s="101">
        <v>578.95301772000005</v>
      </c>
      <c r="S7" s="101">
        <v>556.44094043999985</v>
      </c>
      <c r="T7" s="101">
        <v>533.58433128000001</v>
      </c>
      <c r="U7" s="101">
        <v>506.37055392000002</v>
      </c>
      <c r="V7" s="101">
        <v>486.13772591999987</v>
      </c>
      <c r="W7" s="101">
        <v>481.1586040799998</v>
      </c>
      <c r="DA7" s="175" t="s">
        <v>741</v>
      </c>
    </row>
    <row r="8" spans="1:105" ht="11.45" customHeight="1" x14ac:dyDescent="0.25">
      <c r="A8" s="128" t="s">
        <v>54</v>
      </c>
      <c r="B8" s="101">
        <v>850.09742999999992</v>
      </c>
      <c r="C8" s="101">
        <v>1180.6909639200001</v>
      </c>
      <c r="D8" s="101">
        <v>1271.9975767200001</v>
      </c>
      <c r="E8" s="101">
        <v>1379.0470309200002</v>
      </c>
      <c r="F8" s="101">
        <v>1498.6902247200003</v>
      </c>
      <c r="G8" s="101">
        <v>1643.521698</v>
      </c>
      <c r="H8" s="101">
        <v>1870.214346</v>
      </c>
      <c r="I8" s="101">
        <v>2185.0653052799998</v>
      </c>
      <c r="J8" s="101">
        <v>2093.7584257200001</v>
      </c>
      <c r="K8" s="101">
        <v>1863.9172094399999</v>
      </c>
      <c r="L8" s="101">
        <v>2033.93669544</v>
      </c>
      <c r="M8" s="101">
        <v>1700.1948599999998</v>
      </c>
      <c r="N8" s="101">
        <v>1665.5611424399999</v>
      </c>
      <c r="O8" s="101">
        <v>1744.2740156399998</v>
      </c>
      <c r="P8" s="101">
        <v>1882.8083523599998</v>
      </c>
      <c r="Q8" s="101">
        <v>2071.7189812799998</v>
      </c>
      <c r="R8" s="101">
        <v>2147.2830194399999</v>
      </c>
      <c r="S8" s="101">
        <v>2339.3422166400001</v>
      </c>
      <c r="T8" s="101">
        <v>2368.9381715999998</v>
      </c>
      <c r="U8" s="101">
        <v>2439.5748858000002</v>
      </c>
      <c r="V8" s="101">
        <v>2332.3272289199999</v>
      </c>
      <c r="W8" s="101">
        <v>2444.0521856400001</v>
      </c>
      <c r="DA8" s="175" t="s">
        <v>742</v>
      </c>
    </row>
    <row r="9" spans="1:105" ht="11.45" customHeight="1" x14ac:dyDescent="0.25">
      <c r="A9" s="92" t="s">
        <v>55</v>
      </c>
      <c r="B9" s="101">
        <v>3.7867500000000014</v>
      </c>
      <c r="C9" s="101">
        <v>5.6548800000000004</v>
      </c>
      <c r="D9" s="101">
        <v>3.7867500000000014</v>
      </c>
      <c r="E9" s="101">
        <v>3.7867500000000014</v>
      </c>
      <c r="F9" s="101">
        <v>3.7867500000000014</v>
      </c>
      <c r="G9" s="101">
        <v>3.7867500000000014</v>
      </c>
      <c r="H9" s="101">
        <v>3.7867500000000014</v>
      </c>
      <c r="I9" s="101">
        <v>3.7362600000000006</v>
      </c>
      <c r="J9" s="101">
        <v>1.8681300000000001</v>
      </c>
      <c r="K9" s="101">
        <v>0.20196000000000003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0.13046616</v>
      </c>
      <c r="U9" s="101">
        <v>0.43461792000000016</v>
      </c>
      <c r="V9" s="101">
        <v>1.2553833599999999</v>
      </c>
      <c r="W9" s="101">
        <v>3.0720135600000011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1914.7180028399996</v>
      </c>
      <c r="C17" s="79">
        <f t="shared" si="12"/>
        <v>2299.0161221999997</v>
      </c>
      <c r="D17" s="79">
        <f t="shared" si="12"/>
        <v>2367.1103436000003</v>
      </c>
      <c r="E17" s="79">
        <f t="shared" si="12"/>
        <v>2479.1999194799996</v>
      </c>
      <c r="F17" s="79">
        <f t="shared" si="12"/>
        <v>2610.68455872</v>
      </c>
      <c r="G17" s="79">
        <f t="shared" si="12"/>
        <v>2737.0598144400001</v>
      </c>
      <c r="H17" s="79">
        <f t="shared" si="12"/>
        <v>3079.1959664400001</v>
      </c>
      <c r="I17" s="79">
        <f t="shared" si="12"/>
        <v>3494.8984949999995</v>
      </c>
      <c r="J17" s="79">
        <f t="shared" si="12"/>
        <v>3283.4064074400003</v>
      </c>
      <c r="K17" s="79">
        <f t="shared" si="12"/>
        <v>2860.2775475999997</v>
      </c>
      <c r="L17" s="79">
        <f t="shared" ref="L17" si="13">SUM(L18,L33)</f>
        <v>2950.3492311599998</v>
      </c>
      <c r="M17" s="79">
        <f t="shared" ref="M17:V17" si="14">SUM(M18,M33)</f>
        <v>2567.1592162799998</v>
      </c>
      <c r="N17" s="79">
        <f t="shared" si="14"/>
        <v>2456.7913065599996</v>
      </c>
      <c r="O17" s="79">
        <f t="shared" si="14"/>
        <v>2503.1241190799992</v>
      </c>
      <c r="P17" s="79">
        <f t="shared" si="14"/>
        <v>2646.7113049199997</v>
      </c>
      <c r="Q17" s="79">
        <f t="shared" si="14"/>
        <v>2835.4483591199996</v>
      </c>
      <c r="R17" s="79">
        <f t="shared" si="14"/>
        <v>2890.0297551599997</v>
      </c>
      <c r="S17" s="79">
        <f t="shared" si="14"/>
        <v>3049.7608371599999</v>
      </c>
      <c r="T17" s="79">
        <f t="shared" si="14"/>
        <v>3048.5501135999998</v>
      </c>
      <c r="U17" s="79">
        <f t="shared" si="14"/>
        <v>3074.3317893600001</v>
      </c>
      <c r="V17" s="79">
        <f t="shared" si="14"/>
        <v>2935.35863496</v>
      </c>
      <c r="W17" s="79">
        <f t="shared" ref="W17" si="15">SUM(W18,W33)</f>
        <v>3032.5819543200005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1371.8158628140454</v>
      </c>
      <c r="C18" s="32">
        <f t="shared" si="16"/>
        <v>1494.1643598285539</v>
      </c>
      <c r="D18" s="32">
        <f t="shared" si="16"/>
        <v>1503.6588542493116</v>
      </c>
      <c r="E18" s="32">
        <f t="shared" si="16"/>
        <v>1574.155257524211</v>
      </c>
      <c r="F18" s="32">
        <f t="shared" si="16"/>
        <v>1644.8841715428148</v>
      </c>
      <c r="G18" s="32">
        <f t="shared" si="16"/>
        <v>1682.5013005283377</v>
      </c>
      <c r="H18" s="32">
        <f t="shared" si="16"/>
        <v>1903.1165841476575</v>
      </c>
      <c r="I18" s="32">
        <f t="shared" si="16"/>
        <v>2094.8074787931664</v>
      </c>
      <c r="J18" s="32">
        <f t="shared" si="16"/>
        <v>2003.6561112773575</v>
      </c>
      <c r="K18" s="32">
        <f t="shared" si="16"/>
        <v>1807.4017048315816</v>
      </c>
      <c r="L18" s="32">
        <f t="shared" ref="L18" si="17">SUM(L19,L20,L27)</f>
        <v>1779.1577420133638</v>
      </c>
      <c r="M18" s="32">
        <f t="shared" ref="M18:V18" si="18">SUM(M19,M20,M27)</f>
        <v>1686.5534359821659</v>
      </c>
      <c r="N18" s="32">
        <f t="shared" si="18"/>
        <v>1638.599026933555</v>
      </c>
      <c r="O18" s="32">
        <f t="shared" si="18"/>
        <v>1647.3300851296049</v>
      </c>
      <c r="P18" s="32">
        <f t="shared" si="18"/>
        <v>1792.9450294422181</v>
      </c>
      <c r="Q18" s="32">
        <f t="shared" si="18"/>
        <v>1915.3853093009714</v>
      </c>
      <c r="R18" s="32">
        <f t="shared" si="18"/>
        <v>1991.953983888083</v>
      </c>
      <c r="S18" s="32">
        <f t="shared" si="18"/>
        <v>2068.7042881338962</v>
      </c>
      <c r="T18" s="32">
        <f t="shared" si="18"/>
        <v>2071.1580350023391</v>
      </c>
      <c r="U18" s="32">
        <f t="shared" si="18"/>
        <v>2141.9491717602773</v>
      </c>
      <c r="V18" s="32">
        <f t="shared" si="18"/>
        <v>2011.6725129737704</v>
      </c>
      <c r="W18" s="32">
        <f t="shared" ref="W18" si="19">SUM(W19,W20,W27)</f>
        <v>2021.379000633849</v>
      </c>
      <c r="DA18" s="173" t="s">
        <v>402</v>
      </c>
    </row>
    <row r="19" spans="1:105" ht="11.45" customHeight="1" x14ac:dyDescent="0.25">
      <c r="A19" s="136" t="s">
        <v>180</v>
      </c>
      <c r="B19" s="141">
        <v>8.3740567156090258</v>
      </c>
      <c r="C19" s="141">
        <v>8.3996186657184371</v>
      </c>
      <c r="D19" s="141">
        <v>8.3398033326315772</v>
      </c>
      <c r="E19" s="141">
        <v>8.2779597634672548</v>
      </c>
      <c r="F19" s="141">
        <v>8.1667720851202166</v>
      </c>
      <c r="G19" s="141">
        <v>8.0452685534518018</v>
      </c>
      <c r="H19" s="141">
        <v>7.7870680515615627</v>
      </c>
      <c r="I19" s="141">
        <v>7.3731008770213284</v>
      </c>
      <c r="J19" s="141">
        <v>6.9510128844758059</v>
      </c>
      <c r="K19" s="141">
        <v>6.6242131721319657</v>
      </c>
      <c r="L19" s="141">
        <v>6.4809588065919437</v>
      </c>
      <c r="M19" s="141">
        <v>6.2973222313318811</v>
      </c>
      <c r="N19" s="141">
        <v>5.6487749266508285</v>
      </c>
      <c r="O19" s="141">
        <v>5.7486504677138353</v>
      </c>
      <c r="P19" s="141">
        <v>6.7543009925772539</v>
      </c>
      <c r="Q19" s="141">
        <v>8.3259620635195279</v>
      </c>
      <c r="R19" s="141">
        <v>8.0767648746795349</v>
      </c>
      <c r="S19" s="141">
        <v>7.4848766215874525</v>
      </c>
      <c r="T19" s="141">
        <v>7.001846888282973</v>
      </c>
      <c r="U19" s="141">
        <v>7.3307977946504508</v>
      </c>
      <c r="V19" s="141">
        <v>6.3331069877401154</v>
      </c>
      <c r="W19" s="141">
        <v>6.0468963020237867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1115.115855830114</v>
      </c>
      <c r="C20" s="130">
        <f t="shared" si="20"/>
        <v>1212.6546196494824</v>
      </c>
      <c r="D20" s="130">
        <f t="shared" si="20"/>
        <v>1227.188335262724</v>
      </c>
      <c r="E20" s="130">
        <f t="shared" si="20"/>
        <v>1281.5715941166618</v>
      </c>
      <c r="F20" s="130">
        <f t="shared" si="20"/>
        <v>1349.7076017488105</v>
      </c>
      <c r="G20" s="130">
        <f t="shared" si="20"/>
        <v>1390.5304648044987</v>
      </c>
      <c r="H20" s="130">
        <f t="shared" si="20"/>
        <v>1614.646359842691</v>
      </c>
      <c r="I20" s="130">
        <f t="shared" si="20"/>
        <v>1808.7159900695601</v>
      </c>
      <c r="J20" s="130">
        <f t="shared" si="20"/>
        <v>1738.5247346732042</v>
      </c>
      <c r="K20" s="130">
        <f t="shared" si="20"/>
        <v>1561.3482280968785</v>
      </c>
      <c r="L20" s="130">
        <f t="shared" ref="L20" si="21">SUM(L21:L26)</f>
        <v>1525.4312259910796</v>
      </c>
      <c r="M20" s="130">
        <f t="shared" ref="M20:V20" si="22">SUM(M21:M26)</f>
        <v>1458.2460576720955</v>
      </c>
      <c r="N20" s="130">
        <f t="shared" si="22"/>
        <v>1416.1032374673919</v>
      </c>
      <c r="O20" s="130">
        <f t="shared" si="22"/>
        <v>1426.6286006453727</v>
      </c>
      <c r="P20" s="130">
        <f t="shared" si="22"/>
        <v>1580.5186448068148</v>
      </c>
      <c r="Q20" s="130">
        <f t="shared" si="22"/>
        <v>1701.8989739431397</v>
      </c>
      <c r="R20" s="130">
        <f t="shared" si="22"/>
        <v>1775.9614471413727</v>
      </c>
      <c r="S20" s="130">
        <f t="shared" si="22"/>
        <v>1847.1763915104259</v>
      </c>
      <c r="T20" s="130">
        <f t="shared" si="22"/>
        <v>1862.8704163563575</v>
      </c>
      <c r="U20" s="130">
        <f t="shared" si="22"/>
        <v>1944.2420723228965</v>
      </c>
      <c r="V20" s="130">
        <f t="shared" si="22"/>
        <v>1854.9272792979648</v>
      </c>
      <c r="W20" s="130">
        <f t="shared" ref="W20" si="23">SUM(W21:W26)</f>
        <v>1884.5341351046904</v>
      </c>
      <c r="DA20" s="176" t="s">
        <v>404</v>
      </c>
    </row>
    <row r="21" spans="1:105" ht="11.45" customHeight="1" x14ac:dyDescent="0.25">
      <c r="A21" s="111" t="s">
        <v>110</v>
      </c>
      <c r="B21" s="96">
        <v>948.95949176318345</v>
      </c>
      <c r="C21" s="96">
        <v>1001.0569349845342</v>
      </c>
      <c r="D21" s="96">
        <v>982.34392456265073</v>
      </c>
      <c r="E21" s="96">
        <v>982.6909377172658</v>
      </c>
      <c r="F21" s="96">
        <v>990.46886205279998</v>
      </c>
      <c r="G21" s="96">
        <v>969.90161470145756</v>
      </c>
      <c r="H21" s="96">
        <v>1080.5191770829351</v>
      </c>
      <c r="I21" s="96">
        <v>1189.5807233156008</v>
      </c>
      <c r="J21" s="96">
        <v>1086.8045909279219</v>
      </c>
      <c r="K21" s="96">
        <v>907.8125517376651</v>
      </c>
      <c r="L21" s="96">
        <v>832.87748589381511</v>
      </c>
      <c r="M21" s="96">
        <v>774.66833349478395</v>
      </c>
      <c r="N21" s="96">
        <v>657.12778175494714</v>
      </c>
      <c r="O21" s="96">
        <v>594.7995428539906</v>
      </c>
      <c r="P21" s="96">
        <v>583.94123820984157</v>
      </c>
      <c r="Q21" s="96">
        <v>579.81888395063436</v>
      </c>
      <c r="R21" s="96">
        <v>565.85570767891079</v>
      </c>
      <c r="S21" s="96">
        <v>544.24960452612515</v>
      </c>
      <c r="T21" s="96">
        <v>522.14336210336262</v>
      </c>
      <c r="U21" s="96">
        <v>494.93607994070351</v>
      </c>
      <c r="V21" s="96">
        <v>475.95240434690794</v>
      </c>
      <c r="W21" s="96">
        <v>471.33964225021543</v>
      </c>
      <c r="DA21" s="171" t="s">
        <v>750</v>
      </c>
    </row>
    <row r="22" spans="1:105" ht="11.45" customHeight="1" x14ac:dyDescent="0.25">
      <c r="A22" s="111" t="s">
        <v>111</v>
      </c>
      <c r="B22" s="96">
        <v>111.34419471239531</v>
      </c>
      <c r="C22" s="96">
        <v>156.80204358625278</v>
      </c>
      <c r="D22" s="96">
        <v>190.06773392246802</v>
      </c>
      <c r="E22" s="96">
        <v>238.37042303819644</v>
      </c>
      <c r="F22" s="96">
        <v>292.99792075075277</v>
      </c>
      <c r="G22" s="96">
        <v>351.51652608203096</v>
      </c>
      <c r="H22" s="96">
        <v>459.29978978712359</v>
      </c>
      <c r="I22" s="96">
        <v>550.06395739125674</v>
      </c>
      <c r="J22" s="96">
        <v>591.28272298607953</v>
      </c>
      <c r="K22" s="96">
        <v>598.85325391190543</v>
      </c>
      <c r="L22" s="96">
        <v>629.33511209726441</v>
      </c>
      <c r="M22" s="96">
        <v>608.86480017731151</v>
      </c>
      <c r="N22" s="96">
        <v>641.20981989424831</v>
      </c>
      <c r="O22" s="96">
        <v>682.44813251573055</v>
      </c>
      <c r="P22" s="96">
        <v>829.970227517784</v>
      </c>
      <c r="Q22" s="96">
        <v>952.59578626698942</v>
      </c>
      <c r="R22" s="96">
        <v>1047.2253582044575</v>
      </c>
      <c r="S22" s="96">
        <v>1150.1228438078133</v>
      </c>
      <c r="T22" s="96">
        <v>1195.9837310337662</v>
      </c>
      <c r="U22" s="96">
        <v>1322.5341858800605</v>
      </c>
      <c r="V22" s="96">
        <v>1264.5357117920801</v>
      </c>
      <c r="W22" s="96">
        <v>1310.0457111631285</v>
      </c>
      <c r="DA22" s="171" t="s">
        <v>751</v>
      </c>
    </row>
    <row r="23" spans="1:105" ht="11.45" customHeight="1" x14ac:dyDescent="0.25">
      <c r="A23" s="111" t="s">
        <v>112</v>
      </c>
      <c r="B23" s="96">
        <v>54.597906000000002</v>
      </c>
      <c r="C23" s="96">
        <v>54.597906000000002</v>
      </c>
      <c r="D23" s="96">
        <v>54.597906000000002</v>
      </c>
      <c r="E23" s="96">
        <v>60.34505399999999</v>
      </c>
      <c r="F23" s="96">
        <v>66.092202000000015</v>
      </c>
      <c r="G23" s="96">
        <v>68.96577600000002</v>
      </c>
      <c r="H23" s="96">
        <v>74.712924000000015</v>
      </c>
      <c r="I23" s="96">
        <v>68.96577600000002</v>
      </c>
      <c r="J23" s="96">
        <v>60.34505399999999</v>
      </c>
      <c r="K23" s="96">
        <v>54.597906000000002</v>
      </c>
      <c r="L23" s="96">
        <v>63.218628000000002</v>
      </c>
      <c r="M23" s="96">
        <v>74.712924000000015</v>
      </c>
      <c r="N23" s="96">
        <v>117.76411642381906</v>
      </c>
      <c r="O23" s="96">
        <v>149.37746577392292</v>
      </c>
      <c r="P23" s="96">
        <v>166.6013699003509</v>
      </c>
      <c r="Q23" s="96">
        <v>169.47073578226488</v>
      </c>
      <c r="R23" s="96">
        <v>162.86621102578607</v>
      </c>
      <c r="S23" s="96">
        <v>152.77471875234843</v>
      </c>
      <c r="T23" s="96">
        <v>144.55792727913186</v>
      </c>
      <c r="U23" s="96">
        <v>126.47303744988884</v>
      </c>
      <c r="V23" s="96">
        <v>114.06201707904526</v>
      </c>
      <c r="W23" s="96">
        <v>102.67295772346341</v>
      </c>
      <c r="DA23" s="171" t="s">
        <v>752</v>
      </c>
    </row>
    <row r="24" spans="1:105" ht="11.45" customHeight="1" x14ac:dyDescent="0.25">
      <c r="A24" s="111" t="s">
        <v>113</v>
      </c>
      <c r="B24" s="96">
        <v>0.21426335453519363</v>
      </c>
      <c r="C24" s="96">
        <v>0.19773507869544887</v>
      </c>
      <c r="D24" s="96">
        <v>0.17877077760533353</v>
      </c>
      <c r="E24" s="96">
        <v>0.16517936119980323</v>
      </c>
      <c r="F24" s="96">
        <v>0.14861694525781843</v>
      </c>
      <c r="G24" s="96">
        <v>0.14654802101010736</v>
      </c>
      <c r="H24" s="96">
        <v>0.11446897263227511</v>
      </c>
      <c r="I24" s="96">
        <v>0.10553336270245345</v>
      </c>
      <c r="J24" s="96">
        <v>9.2366759202785559E-2</v>
      </c>
      <c r="K24" s="96">
        <v>8.4516447308078751E-2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0.13046616</v>
      </c>
      <c r="U24" s="96">
        <v>0.22146709619817898</v>
      </c>
      <c r="V24" s="96">
        <v>0.24503651641929841</v>
      </c>
      <c r="W24" s="96">
        <v>0.26983803482348001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1.5193943771939632E-3</v>
      </c>
      <c r="O25" s="96">
        <v>3.4595017286790345E-3</v>
      </c>
      <c r="P25" s="96">
        <v>5.8091788384600895E-3</v>
      </c>
      <c r="Q25" s="96">
        <v>1.3567943250977555E-2</v>
      </c>
      <c r="R25" s="96">
        <v>1.4170232218184075E-2</v>
      </c>
      <c r="S25" s="96">
        <v>2.9224424139188701E-2</v>
      </c>
      <c r="T25" s="96">
        <v>5.4929780096923536E-2</v>
      </c>
      <c r="U25" s="96">
        <v>7.7301956045614073E-2</v>
      </c>
      <c r="V25" s="96">
        <v>0.13210956351218542</v>
      </c>
      <c r="W25" s="96">
        <v>0.20598593305922469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248.32595026832254</v>
      </c>
      <c r="C27" s="130">
        <f t="shared" si="24"/>
        <v>273.11012151335314</v>
      </c>
      <c r="D27" s="130">
        <f t="shared" si="24"/>
        <v>268.13071565395597</v>
      </c>
      <c r="E27" s="130">
        <f t="shared" si="24"/>
        <v>284.30570364408209</v>
      </c>
      <c r="F27" s="130">
        <f t="shared" si="24"/>
        <v>287.00979770888404</v>
      </c>
      <c r="G27" s="130">
        <f t="shared" si="24"/>
        <v>283.9255671703873</v>
      </c>
      <c r="H27" s="130">
        <f t="shared" si="24"/>
        <v>280.68315625340483</v>
      </c>
      <c r="I27" s="130">
        <f t="shared" si="24"/>
        <v>278.71838784658502</v>
      </c>
      <c r="J27" s="130">
        <f t="shared" si="24"/>
        <v>258.18036371967747</v>
      </c>
      <c r="K27" s="130">
        <f t="shared" si="24"/>
        <v>239.42926356257104</v>
      </c>
      <c r="L27" s="130">
        <f t="shared" ref="L27" si="25">SUM(L28:L32)</f>
        <v>247.24555721569226</v>
      </c>
      <c r="M27" s="130">
        <f t="shared" ref="M27:V27" si="26">SUM(M28:M32)</f>
        <v>222.01005607873836</v>
      </c>
      <c r="N27" s="130">
        <f t="shared" si="26"/>
        <v>216.84701453951251</v>
      </c>
      <c r="O27" s="130">
        <f t="shared" si="26"/>
        <v>214.95283401651852</v>
      </c>
      <c r="P27" s="130">
        <f t="shared" si="26"/>
        <v>205.67208364282595</v>
      </c>
      <c r="Q27" s="130">
        <f t="shared" si="26"/>
        <v>205.16037329431219</v>
      </c>
      <c r="R27" s="130">
        <f t="shared" si="26"/>
        <v>207.9157718720308</v>
      </c>
      <c r="S27" s="130">
        <f t="shared" si="26"/>
        <v>214.04302000188264</v>
      </c>
      <c r="T27" s="130">
        <f t="shared" si="26"/>
        <v>201.28577175769874</v>
      </c>
      <c r="U27" s="130">
        <f t="shared" si="26"/>
        <v>190.3763016427302</v>
      </c>
      <c r="V27" s="130">
        <f t="shared" si="26"/>
        <v>150.41212668806551</v>
      </c>
      <c r="W27" s="130">
        <f t="shared" ref="W27" si="27">SUM(W28:W32)</f>
        <v>130.7979692271349</v>
      </c>
      <c r="DA27" s="176" t="s">
        <v>405</v>
      </c>
    </row>
    <row r="28" spans="1:105" ht="11.45" customHeight="1" x14ac:dyDescent="0.25">
      <c r="A28" s="111" t="s">
        <v>110</v>
      </c>
      <c r="B28" s="97">
        <v>8.787307082600945</v>
      </c>
      <c r="C28" s="97">
        <v>8.3123905912152178</v>
      </c>
      <c r="D28" s="97">
        <v>8.2228758051634152</v>
      </c>
      <c r="E28" s="97">
        <v>7.9711936164004715</v>
      </c>
      <c r="F28" s="97">
        <v>7.6591798655512591</v>
      </c>
      <c r="G28" s="97">
        <v>7.3383364047670332</v>
      </c>
      <c r="H28" s="97">
        <v>6.732318935526715</v>
      </c>
      <c r="I28" s="97">
        <v>6.2233410238198337</v>
      </c>
      <c r="J28" s="97">
        <v>5.6596505864638242</v>
      </c>
      <c r="K28" s="97">
        <v>4.9111403022415701</v>
      </c>
      <c r="L28" s="97">
        <v>4.1818705556425479</v>
      </c>
      <c r="M28" s="97">
        <v>2.5789138900313731</v>
      </c>
      <c r="N28" s="97">
        <v>1.9759641415540972</v>
      </c>
      <c r="O28" s="97">
        <v>1.4009514934076386</v>
      </c>
      <c r="P28" s="97">
        <v>0.90005457888654838</v>
      </c>
      <c r="Q28" s="97">
        <v>0.73571876737039732</v>
      </c>
      <c r="R28" s="97">
        <v>0.54734328216504413</v>
      </c>
      <c r="S28" s="97">
        <v>0.4943594018308462</v>
      </c>
      <c r="T28" s="97">
        <v>0.42144120198548096</v>
      </c>
      <c r="U28" s="97">
        <v>0.38027947092969666</v>
      </c>
      <c r="V28" s="97">
        <v>0.26523955513065178</v>
      </c>
      <c r="W28" s="97">
        <v>0.18779737251819167</v>
      </c>
      <c r="DA28" s="175" t="s">
        <v>756</v>
      </c>
    </row>
    <row r="29" spans="1:105" ht="11.45" customHeight="1" x14ac:dyDescent="0.25">
      <c r="A29" s="111" t="s">
        <v>111</v>
      </c>
      <c r="B29" s="97">
        <v>235.9661565402568</v>
      </c>
      <c r="C29" s="97">
        <v>259.34058600083335</v>
      </c>
      <c r="D29" s="97">
        <v>256.2998606263979</v>
      </c>
      <c r="E29" s="97">
        <v>272.71293938888141</v>
      </c>
      <c r="F29" s="97">
        <v>275.71248478859059</v>
      </c>
      <c r="G29" s="97">
        <v>272.94702878663037</v>
      </c>
      <c r="H29" s="97">
        <v>270.27855629051038</v>
      </c>
      <c r="I29" s="97">
        <v>268.86432018546765</v>
      </c>
      <c r="J29" s="97">
        <v>250.74494989241643</v>
      </c>
      <c r="K29" s="97">
        <v>234.40067970763755</v>
      </c>
      <c r="L29" s="97">
        <v>243.06368666004971</v>
      </c>
      <c r="M29" s="97">
        <v>219.43114218870699</v>
      </c>
      <c r="N29" s="97">
        <v>214.87105039795841</v>
      </c>
      <c r="O29" s="97">
        <v>213.55188252311089</v>
      </c>
      <c r="P29" s="97">
        <v>204.77202906393941</v>
      </c>
      <c r="Q29" s="97">
        <v>204.42465452694179</v>
      </c>
      <c r="R29" s="97">
        <v>206.97896603339694</v>
      </c>
      <c r="S29" s="97">
        <v>213.25504372790479</v>
      </c>
      <c r="T29" s="97">
        <v>200.64124221853154</v>
      </c>
      <c r="U29" s="97">
        <v>189.63052649435022</v>
      </c>
      <c r="V29" s="97">
        <v>149.03139224217125</v>
      </c>
      <c r="W29" s="97">
        <v>127.71591735026884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0.38946255646882388</v>
      </c>
      <c r="S30" s="97">
        <v>0.2936168721470116</v>
      </c>
      <c r="T30" s="97">
        <v>0.22308833718169682</v>
      </c>
      <c r="U30" s="97">
        <v>0.15234485364846331</v>
      </c>
      <c r="V30" s="97">
        <v>0.10514804718292896</v>
      </c>
      <c r="W30" s="97">
        <v>9.2078979171347414E-2</v>
      </c>
      <c r="DA30" s="175" t="s">
        <v>758</v>
      </c>
    </row>
    <row r="31" spans="1:105" ht="11.45" customHeight="1" x14ac:dyDescent="0.25">
      <c r="A31" s="111" t="s">
        <v>113</v>
      </c>
      <c r="B31" s="97">
        <v>3.5724866454648074</v>
      </c>
      <c r="C31" s="97">
        <v>5.4571449213045522</v>
      </c>
      <c r="D31" s="97">
        <v>3.6079792223946678</v>
      </c>
      <c r="E31" s="97">
        <v>3.6215706388001978</v>
      </c>
      <c r="F31" s="97">
        <v>3.6381330547421831</v>
      </c>
      <c r="G31" s="97">
        <v>3.6402019789898938</v>
      </c>
      <c r="H31" s="97">
        <v>3.6722810273677262</v>
      </c>
      <c r="I31" s="97">
        <v>3.6307266372975473</v>
      </c>
      <c r="J31" s="97">
        <v>1.7757632407972144</v>
      </c>
      <c r="K31" s="97">
        <v>0.11744355269192126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0.21315082380182115</v>
      </c>
      <c r="V31" s="97">
        <v>1.0103468435807017</v>
      </c>
      <c r="W31" s="97">
        <v>2.8021755251765215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542.90214002595417</v>
      </c>
      <c r="C33" s="32">
        <f t="shared" si="28"/>
        <v>804.85176237144606</v>
      </c>
      <c r="D33" s="32">
        <f t="shared" si="28"/>
        <v>863.45148935068846</v>
      </c>
      <c r="E33" s="32">
        <f t="shared" si="28"/>
        <v>905.04466195578857</v>
      </c>
      <c r="F33" s="32">
        <f t="shared" si="28"/>
        <v>965.80038717718526</v>
      </c>
      <c r="G33" s="32">
        <f t="shared" si="28"/>
        <v>1054.5585139116624</v>
      </c>
      <c r="H33" s="32">
        <f t="shared" si="28"/>
        <v>1176.0793822923424</v>
      </c>
      <c r="I33" s="32">
        <f t="shared" si="28"/>
        <v>1400.0910162068333</v>
      </c>
      <c r="J33" s="32">
        <f t="shared" si="28"/>
        <v>1279.7502961626426</v>
      </c>
      <c r="K33" s="32">
        <f t="shared" si="28"/>
        <v>1052.8758427684184</v>
      </c>
      <c r="L33" s="32">
        <f t="shared" ref="L33" si="29">L34+L40</f>
        <v>1171.1914891466361</v>
      </c>
      <c r="M33" s="32">
        <f t="shared" ref="M33:V33" si="30">M34+M40</f>
        <v>880.6057802978338</v>
      </c>
      <c r="N33" s="32">
        <f t="shared" si="30"/>
        <v>818.19227962644459</v>
      </c>
      <c r="O33" s="32">
        <f t="shared" si="30"/>
        <v>855.79403395039458</v>
      </c>
      <c r="P33" s="32">
        <f t="shared" si="30"/>
        <v>853.76627547778162</v>
      </c>
      <c r="Q33" s="32">
        <f t="shared" si="30"/>
        <v>920.06304981902815</v>
      </c>
      <c r="R33" s="32">
        <f t="shared" si="30"/>
        <v>898.07577127191689</v>
      </c>
      <c r="S33" s="32">
        <f t="shared" si="30"/>
        <v>981.05654902610377</v>
      </c>
      <c r="T33" s="32">
        <f t="shared" si="30"/>
        <v>977.39207859766066</v>
      </c>
      <c r="U33" s="32">
        <f t="shared" si="30"/>
        <v>932.38261759972295</v>
      </c>
      <c r="V33" s="32">
        <f t="shared" si="30"/>
        <v>923.68612198622941</v>
      </c>
      <c r="W33" s="32">
        <f t="shared" ref="W33" si="31">W34+W40</f>
        <v>1011.2029536861512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110.77356318915298</v>
      </c>
      <c r="C34" s="141">
        <f t="shared" si="32"/>
        <v>132.89743804855348</v>
      </c>
      <c r="D34" s="141">
        <f t="shared" si="32"/>
        <v>162.72090250103909</v>
      </c>
      <c r="E34" s="141">
        <f t="shared" si="32"/>
        <v>146.72230878177083</v>
      </c>
      <c r="F34" s="141">
        <f t="shared" si="32"/>
        <v>190.46671770414656</v>
      </c>
      <c r="G34" s="141">
        <f t="shared" si="32"/>
        <v>177.94714582288793</v>
      </c>
      <c r="H34" s="141">
        <f t="shared" si="32"/>
        <v>197.39247993791841</v>
      </c>
      <c r="I34" s="141">
        <f t="shared" si="32"/>
        <v>222.15091243677051</v>
      </c>
      <c r="J34" s="141">
        <f t="shared" si="32"/>
        <v>221.44086416037069</v>
      </c>
      <c r="K34" s="141">
        <f t="shared" si="32"/>
        <v>202.12910936977613</v>
      </c>
      <c r="L34" s="141">
        <f t="shared" ref="L34" si="33">SUM(L35:L39)</f>
        <v>182.59581472297904</v>
      </c>
      <c r="M34" s="141">
        <f t="shared" ref="M34:V34" si="34">SUM(M35:M39)</f>
        <v>175.51269100658681</v>
      </c>
      <c r="N34" s="141">
        <f t="shared" si="34"/>
        <v>189.96776965476377</v>
      </c>
      <c r="O34" s="141">
        <f t="shared" si="34"/>
        <v>217.52082923855102</v>
      </c>
      <c r="P34" s="141">
        <f t="shared" si="34"/>
        <v>233.29069956239104</v>
      </c>
      <c r="Q34" s="141">
        <f t="shared" si="34"/>
        <v>244.3631851572915</v>
      </c>
      <c r="R34" s="141">
        <f t="shared" si="34"/>
        <v>243.18115290579078</v>
      </c>
      <c r="S34" s="141">
        <f t="shared" si="34"/>
        <v>253.18335622876651</v>
      </c>
      <c r="T34" s="141">
        <f t="shared" si="34"/>
        <v>247.18682623982815</v>
      </c>
      <c r="U34" s="141">
        <f t="shared" si="34"/>
        <v>250.639860095073</v>
      </c>
      <c r="V34" s="141">
        <f t="shared" si="34"/>
        <v>253.46350954518996</v>
      </c>
      <c r="W34" s="141">
        <f t="shared" ref="W34" si="35">SUM(W35:W39)</f>
        <v>262.79443006117327</v>
      </c>
      <c r="DA34" s="174" t="s">
        <v>411</v>
      </c>
    </row>
    <row r="35" spans="1:105" ht="11.45" customHeight="1" x14ac:dyDescent="0.25">
      <c r="A35" s="111" t="s">
        <v>110</v>
      </c>
      <c r="B35" s="96">
        <v>40.115061278606426</v>
      </c>
      <c r="C35" s="96">
        <v>40.303428038532125</v>
      </c>
      <c r="D35" s="96">
        <v>37.82150717955416</v>
      </c>
      <c r="E35" s="96">
        <v>37.080993462866175</v>
      </c>
      <c r="F35" s="96">
        <v>35.820567996528418</v>
      </c>
      <c r="G35" s="96">
        <v>35.500370780323756</v>
      </c>
      <c r="H35" s="96">
        <v>35.443382369976831</v>
      </c>
      <c r="I35" s="96">
        <v>33.953988503558001</v>
      </c>
      <c r="J35" s="96">
        <v>28.019543321138467</v>
      </c>
      <c r="K35" s="96">
        <v>22.212566947961388</v>
      </c>
      <c r="L35" s="96">
        <v>9.6535924639502451</v>
      </c>
      <c r="M35" s="96">
        <v>8.7068626638526361</v>
      </c>
      <c r="N35" s="96">
        <v>8.6595899024705467</v>
      </c>
      <c r="O35" s="96">
        <v>7.471651123159246</v>
      </c>
      <c r="P35" s="96">
        <v>5.634257599856217</v>
      </c>
      <c r="Q35" s="96">
        <v>5.294379115224654</v>
      </c>
      <c r="R35" s="96">
        <v>4.4590316520265114</v>
      </c>
      <c r="S35" s="96">
        <v>4.1828754663172845</v>
      </c>
      <c r="T35" s="96">
        <v>3.9627513062719748</v>
      </c>
      <c r="U35" s="96">
        <v>3.6460947576707401</v>
      </c>
      <c r="V35" s="96">
        <v>3.454865466709002</v>
      </c>
      <c r="W35" s="96">
        <v>3.3782822221831812</v>
      </c>
      <c r="DA35" s="171" t="s">
        <v>761</v>
      </c>
    </row>
    <row r="36" spans="1:105" ht="11.45" customHeight="1" x14ac:dyDescent="0.25">
      <c r="A36" s="111" t="s">
        <v>111</v>
      </c>
      <c r="B36" s="96">
        <v>70.658501910546548</v>
      </c>
      <c r="C36" s="96">
        <v>92.594010010021364</v>
      </c>
      <c r="D36" s="96">
        <v>124.89939532148493</v>
      </c>
      <c r="E36" s="96">
        <v>109.64131531890466</v>
      </c>
      <c r="F36" s="96">
        <v>154.64614970761815</v>
      </c>
      <c r="G36" s="96">
        <v>142.44677504256418</v>
      </c>
      <c r="H36" s="96">
        <v>161.94909756794158</v>
      </c>
      <c r="I36" s="96">
        <v>188.1969239332125</v>
      </c>
      <c r="J36" s="96">
        <v>193.42132083923224</v>
      </c>
      <c r="K36" s="96">
        <v>179.91654242181474</v>
      </c>
      <c r="L36" s="96">
        <v>172.9422222590288</v>
      </c>
      <c r="M36" s="96">
        <v>166.80582834273417</v>
      </c>
      <c r="N36" s="96">
        <v>181.25576217611228</v>
      </c>
      <c r="O36" s="96">
        <v>210.00079588931467</v>
      </c>
      <c r="P36" s="96">
        <v>227.59051986288571</v>
      </c>
      <c r="Q36" s="96">
        <v>238.99867582433174</v>
      </c>
      <c r="R36" s="96">
        <v>238.18407683601916</v>
      </c>
      <c r="S36" s="96">
        <v>248.09113630694461</v>
      </c>
      <c r="T36" s="96">
        <v>242.10794598986971</v>
      </c>
      <c r="U36" s="96">
        <v>245.66741592093956</v>
      </c>
      <c r="V36" s="96">
        <v>248.53751244470914</v>
      </c>
      <c r="W36" s="96">
        <v>257.88203350162479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5.2417576180956847E-2</v>
      </c>
      <c r="O37" s="96">
        <v>4.8382226077098529E-2</v>
      </c>
      <c r="P37" s="96">
        <v>6.592209964910116E-2</v>
      </c>
      <c r="Q37" s="96">
        <v>7.0130217735104153E-2</v>
      </c>
      <c r="R37" s="96">
        <v>0.53804441774512257</v>
      </c>
      <c r="S37" s="96">
        <v>0.90934445550460996</v>
      </c>
      <c r="T37" s="96">
        <v>1.116128943686465</v>
      </c>
      <c r="U37" s="96">
        <v>1.326349416462709</v>
      </c>
      <c r="V37" s="96">
        <v>1.471131633771815</v>
      </c>
      <c r="W37" s="96">
        <v>1.5341143373652613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432.12857683680124</v>
      </c>
      <c r="C40" s="130">
        <f t="shared" si="36"/>
        <v>671.9543243228926</v>
      </c>
      <c r="D40" s="130">
        <f t="shared" si="36"/>
        <v>700.7305868496494</v>
      </c>
      <c r="E40" s="130">
        <f t="shared" si="36"/>
        <v>758.32235317401774</v>
      </c>
      <c r="F40" s="130">
        <f t="shared" si="36"/>
        <v>775.33366947303875</v>
      </c>
      <c r="G40" s="130">
        <f t="shared" si="36"/>
        <v>876.61136808877438</v>
      </c>
      <c r="H40" s="130">
        <f t="shared" si="36"/>
        <v>978.68690235442409</v>
      </c>
      <c r="I40" s="130">
        <f t="shared" si="36"/>
        <v>1177.9401037700627</v>
      </c>
      <c r="J40" s="130">
        <f t="shared" si="36"/>
        <v>1058.3094320022719</v>
      </c>
      <c r="K40" s="130">
        <f t="shared" si="36"/>
        <v>850.74673339864216</v>
      </c>
      <c r="L40" s="130">
        <f t="shared" ref="L40" si="37">SUM(L41:L42)</f>
        <v>988.5956744236571</v>
      </c>
      <c r="M40" s="130">
        <f t="shared" ref="M40:V40" si="38">SUM(M41:M42)</f>
        <v>705.093089291247</v>
      </c>
      <c r="N40" s="130">
        <f t="shared" si="38"/>
        <v>628.22450997168085</v>
      </c>
      <c r="O40" s="130">
        <f t="shared" si="38"/>
        <v>638.27320471184362</v>
      </c>
      <c r="P40" s="130">
        <f t="shared" si="38"/>
        <v>620.47557591539055</v>
      </c>
      <c r="Q40" s="130">
        <f t="shared" si="38"/>
        <v>675.69986466173668</v>
      </c>
      <c r="R40" s="130">
        <f t="shared" si="38"/>
        <v>654.89461836612611</v>
      </c>
      <c r="S40" s="130">
        <f t="shared" si="38"/>
        <v>727.87319279733731</v>
      </c>
      <c r="T40" s="130">
        <f t="shared" si="38"/>
        <v>730.20525235783248</v>
      </c>
      <c r="U40" s="130">
        <f t="shared" si="38"/>
        <v>681.74275750464994</v>
      </c>
      <c r="V40" s="130">
        <f t="shared" si="38"/>
        <v>670.22261244103947</v>
      </c>
      <c r="W40" s="130">
        <f t="shared" ref="W40" si="39">SUM(W41:W42)</f>
        <v>748.40852362497799</v>
      </c>
      <c r="DA40" s="176" t="s">
        <v>412</v>
      </c>
    </row>
    <row r="41" spans="1:105" ht="11.45" customHeight="1" x14ac:dyDescent="0.25">
      <c r="A41" s="128" t="s">
        <v>27</v>
      </c>
      <c r="B41" s="97">
        <v>271.89248481814616</v>
      </c>
      <c r="C41" s="97">
        <v>346.2162953322478</v>
      </c>
      <c r="D41" s="97">
        <v>405.86599435950706</v>
      </c>
      <c r="E41" s="97">
        <v>458.66315657733111</v>
      </c>
      <c r="F41" s="97">
        <v>436.67330163273084</v>
      </c>
      <c r="G41" s="97">
        <v>488.65631982949009</v>
      </c>
      <c r="H41" s="97">
        <v>497.49431266130722</v>
      </c>
      <c r="I41" s="97">
        <v>590.53520530505034</v>
      </c>
      <c r="J41" s="97">
        <v>546.88595341804262</v>
      </c>
      <c r="K41" s="97">
        <v>508.35337247489963</v>
      </c>
      <c r="L41" s="97">
        <v>440.46033862771748</v>
      </c>
      <c r="M41" s="97">
        <v>346.54078527944881</v>
      </c>
      <c r="N41" s="97">
        <v>288.12157068122752</v>
      </c>
      <c r="O41" s="97">
        <v>302.76691195809639</v>
      </c>
      <c r="P41" s="97">
        <v>295.52202316904555</v>
      </c>
      <c r="Q41" s="97">
        <v>301.0808442110079</v>
      </c>
      <c r="R41" s="97">
        <v>309.36759928833112</v>
      </c>
      <c r="S41" s="97">
        <v>350.07791963427132</v>
      </c>
      <c r="T41" s="97">
        <v>347.1757464844398</v>
      </c>
      <c r="U41" s="97">
        <v>347.01798563505923</v>
      </c>
      <c r="V41" s="97">
        <v>344.99291931298359</v>
      </c>
      <c r="W41" s="97">
        <v>390.42321676809041</v>
      </c>
      <c r="DA41" s="175" t="s">
        <v>766</v>
      </c>
    </row>
    <row r="42" spans="1:105" ht="11.45" customHeight="1" x14ac:dyDescent="0.25">
      <c r="A42" s="138" t="s">
        <v>116</v>
      </c>
      <c r="B42" s="98">
        <v>160.23609201865509</v>
      </c>
      <c r="C42" s="98">
        <v>325.73802899064481</v>
      </c>
      <c r="D42" s="98">
        <v>294.86459249014229</v>
      </c>
      <c r="E42" s="98">
        <v>299.65919659668657</v>
      </c>
      <c r="F42" s="98">
        <v>338.66036784030786</v>
      </c>
      <c r="G42" s="98">
        <v>387.9550482592843</v>
      </c>
      <c r="H42" s="98">
        <v>481.19258969311693</v>
      </c>
      <c r="I42" s="98">
        <v>587.40489846501248</v>
      </c>
      <c r="J42" s="98">
        <v>511.42347858422931</v>
      </c>
      <c r="K42" s="98">
        <v>342.39336092374248</v>
      </c>
      <c r="L42" s="98">
        <v>548.13533579593968</v>
      </c>
      <c r="M42" s="98">
        <v>358.55230401179824</v>
      </c>
      <c r="N42" s="98">
        <v>340.10293929045326</v>
      </c>
      <c r="O42" s="98">
        <v>335.50629275374729</v>
      </c>
      <c r="P42" s="98">
        <v>324.953552746345</v>
      </c>
      <c r="Q42" s="98">
        <v>374.61902045072878</v>
      </c>
      <c r="R42" s="98">
        <v>345.52701907779499</v>
      </c>
      <c r="S42" s="98">
        <v>377.79527316306599</v>
      </c>
      <c r="T42" s="98">
        <v>383.02950587339268</v>
      </c>
      <c r="U42" s="98">
        <v>334.72477186959071</v>
      </c>
      <c r="V42" s="98">
        <v>325.22969312805594</v>
      </c>
      <c r="W42" s="98">
        <v>357.98530685688752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2.9766461584815103</v>
      </c>
      <c r="C47" s="145">
        <f>IF(C4=0,0,C4/TrRoad_ene!C4)</f>
        <v>2.9909646881496514</v>
      </c>
      <c r="D47" s="145">
        <f>IF(D4=0,0,D4/TrRoad_ene!D4)</f>
        <v>2.9965959934746267</v>
      </c>
      <c r="E47" s="145">
        <f>IF(E4=0,0,E4/TrRoad_ene!E4)</f>
        <v>3.000163671827432</v>
      </c>
      <c r="F47" s="145">
        <f>IF(F4=0,0,F4/TrRoad_ene!F4)</f>
        <v>3.0035641615489017</v>
      </c>
      <c r="G47" s="145">
        <f>IF(G4=0,0,G4/TrRoad_ene!G4)</f>
        <v>2.9987896335002935</v>
      </c>
      <c r="H47" s="145">
        <f>IF(H4=0,0,H4/TrRoad_ene!H4)</f>
        <v>3.0005904746415113</v>
      </c>
      <c r="I47" s="145">
        <f>IF(I4=0,0,I4/TrRoad_ene!I4)</f>
        <v>3.0092791797067875</v>
      </c>
      <c r="J47" s="145">
        <f>IF(J4=0,0,J4/TrRoad_ene!J4)</f>
        <v>3.0095532246410723</v>
      </c>
      <c r="K47" s="145">
        <f>IF(K4=0,0,K4/TrRoad_ene!K4)</f>
        <v>2.9993635304041208</v>
      </c>
      <c r="L47" s="145">
        <f>IF(L4=0,0,L4/TrRoad_ene!L4)</f>
        <v>2.9359894264592703</v>
      </c>
      <c r="M47" s="145">
        <f>IF(M4=0,0,M4/TrRoad_ene!M4)</f>
        <v>2.9293278964945229</v>
      </c>
      <c r="N47" s="145">
        <f>IF(N4=0,0,N4/TrRoad_ene!N4)</f>
        <v>2.9402334903792928</v>
      </c>
      <c r="O47" s="145">
        <f>IF(O4=0,0,O4/TrRoad_ene!O4)</f>
        <v>2.9425010540577321</v>
      </c>
      <c r="P47" s="145">
        <f>IF(P4=0,0,P4/TrRoad_ene!P4)</f>
        <v>2.9394219174372274</v>
      </c>
      <c r="Q47" s="145">
        <f>IF(Q4=0,0,Q4/TrRoad_ene!Q4)</f>
        <v>2.9476109182820562</v>
      </c>
      <c r="R47" s="145">
        <f>IF(R4=0,0,R4/TrRoad_ene!R4)</f>
        <v>2.9873467819689337</v>
      </c>
      <c r="S47" s="145">
        <f>IF(S4=0,0,S4/TrRoad_ene!S4)</f>
        <v>2.9996779210739781</v>
      </c>
      <c r="T47" s="145">
        <f>IF(T4=0,0,T4/TrRoad_ene!T4)</f>
        <v>2.9233616752654403</v>
      </c>
      <c r="U47" s="145">
        <f>IF(U4=0,0,U4/TrRoad_ene!U4)</f>
        <v>2.9352332876684759</v>
      </c>
      <c r="V47" s="145">
        <f>IF(V4=0,0,V4/TrRoad_ene!V4)</f>
        <v>2.9003707645397796</v>
      </c>
      <c r="W47" s="145">
        <f>IF(W4=0,0,W4/TrRoad_ene!W4)</f>
        <v>2.9000310919789158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2.9014523999999997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2.8919501067248956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2.8787388347185368</v>
      </c>
      <c r="L48" s="97">
        <f>IF(L7=0,0,(L7+L12)/(TrRoad_ene!L7+TrRoad_ene!L12))</f>
        <v>2.8216049875588451</v>
      </c>
      <c r="M48" s="97">
        <f>IF(M7=0,0,(M7+M12)/(TrRoad_ene!M7+TrRoad_ene!M12))</f>
        <v>2.8220649902161874</v>
      </c>
      <c r="N48" s="97">
        <f>IF(N7=0,0,(N7+N12)/(TrRoad_ene!N7+TrRoad_ene!N12))</f>
        <v>2.8235799876539498</v>
      </c>
      <c r="O48" s="97">
        <f>IF(O7=0,0,(O7+O12)/(TrRoad_ene!O7+TrRoad_ene!O12))</f>
        <v>2.8156452195186601</v>
      </c>
      <c r="P48" s="97">
        <f>IF(P7=0,0,(P7+P12)/(TrRoad_ene!P7+TrRoad_ene!P12))</f>
        <v>2.813946850796357</v>
      </c>
      <c r="Q48" s="97">
        <f>IF(Q7=0,0,(Q7+Q12)/(TrRoad_ene!Q7+TrRoad_ene!Q12))</f>
        <v>2.7965591799970944</v>
      </c>
      <c r="R48" s="97">
        <f>IF(R7=0,0,(R7+R12)/(TrRoad_ene!R7+TrRoad_ene!R12))</f>
        <v>2.785296701431156</v>
      </c>
      <c r="S48" s="97">
        <f>IF(S7=0,0,(S7+S12)/(TrRoad_ene!S7+TrRoad_ene!S12))</f>
        <v>2.7864982575547188</v>
      </c>
      <c r="T48" s="97">
        <f>IF(T7=0,0,(T7+T12)/(TrRoad_ene!T7+TrRoad_ene!T12))</f>
        <v>2.7738441013376223</v>
      </c>
      <c r="U48" s="97">
        <f>IF(U7=0,0,(U7+U12)/(TrRoad_ene!U7+TrRoad_ene!U12))</f>
        <v>2.7848582160767439</v>
      </c>
      <c r="V48" s="97">
        <f>IF(V7=0,0,(V7+V12)/(TrRoad_ene!V7+TrRoad_ene!V12))</f>
        <v>2.6962700725596478</v>
      </c>
      <c r="W48" s="97">
        <f>IF(W7=0,0,(W7+W12)/(TrRoad_ene!W7+TrRoad_ene!W12))</f>
        <v>2.7098692422222204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3.0868867899548618</v>
      </c>
      <c r="H49" s="97">
        <f>IF(H8=0,0,(H8+H13+H14)/(TrRoad_ene!H8+TrRoad_ene!H13+TrRoad_ene!H14))</f>
        <v>3.0933001860025371</v>
      </c>
      <c r="I49" s="97">
        <f>IF(I8=0,0,(I8+I13+I14)/(TrRoad_ene!I8+TrRoad_ene!I13+TrRoad_ene!I14))</f>
        <v>3.094610800733141</v>
      </c>
      <c r="J49" s="97">
        <f>IF(J8=0,0,(J8+J13+J14)/(TrRoad_ene!J8+TrRoad_ene!J13+TrRoad_ene!J14))</f>
        <v>3.0942711952890107</v>
      </c>
      <c r="K49" s="97">
        <f>IF(K8=0,0,(K8+K13+K14)/(TrRoad_ene!K8+TrRoad_ene!K13+TrRoad_ene!K14))</f>
        <v>3.0932694701441275</v>
      </c>
      <c r="L49" s="97">
        <f>IF(L8=0,0,(L8+L13+L14)/(TrRoad_ene!L8+TrRoad_ene!L13+TrRoad_ene!L14))</f>
        <v>3.01656573497266</v>
      </c>
      <c r="M49" s="97">
        <f>IF(M8=0,0,(M8+M13+M14)/(TrRoad_ene!M8+TrRoad_ene!M13+TrRoad_ene!M14))</f>
        <v>3.0192032394043395</v>
      </c>
      <c r="N49" s="97">
        <f>IF(N8=0,0,(N8+N13+N14)/(TrRoad_ene!N8+TrRoad_ene!N13+TrRoad_ene!N14))</f>
        <v>3.0370758878058051</v>
      </c>
      <c r="O49" s="97">
        <f>IF(O8=0,0,(O8+O13+O14)/(TrRoad_ene!O8+TrRoad_ene!O13+TrRoad_ene!O14))</f>
        <v>3.0399652216989717</v>
      </c>
      <c r="P49" s="97">
        <f>IF(P8=0,0,(P8+P13+P14)/(TrRoad_ene!P8+TrRoad_ene!P13+TrRoad_ene!P14))</f>
        <v>3.0314089385054728</v>
      </c>
      <c r="Q49" s="97">
        <f>IF(Q8=0,0,(Q8+Q13+Q14)/(TrRoad_ene!Q8+TrRoad_ene!Q13+TrRoad_ene!Q14))</f>
        <v>3.041711683123677</v>
      </c>
      <c r="R49" s="97">
        <f>IF(R8=0,0,(R8+R13+R14)/(TrRoad_ene!R8+TrRoad_ene!R13+TrRoad_ene!R14))</f>
        <v>3.0984413829338027</v>
      </c>
      <c r="S49" s="97">
        <f>IF(S8=0,0,(S8+S13+S14)/(TrRoad_ene!S8+TrRoad_ene!S13+TrRoad_ene!S14))</f>
        <v>3.0996939424030039</v>
      </c>
      <c r="T49" s="97">
        <f>IF(T8=0,0,(T8+T13+T14)/(TrRoad_ene!T8+TrRoad_ene!T13+TrRoad_ene!T14))</f>
        <v>2.994569372630143</v>
      </c>
      <c r="U49" s="97">
        <f>IF(U8=0,0,(U8+U13+U14)/(TrRoad_ene!U8+TrRoad_ene!U13+TrRoad_ene!U14))</f>
        <v>3.0020237895282036</v>
      </c>
      <c r="V49" s="97">
        <f>IF(V8=0,0,(V8+V13+V14)/(TrRoad_ene!V8+TrRoad_ene!V13+TrRoad_ene!V14))</f>
        <v>2.978246058701068</v>
      </c>
      <c r="W49" s="97">
        <f>IF(W8=0,0,(W8+W13+W14)/(TrRoad_ene!W8+TrRoad_ene!W13+TrRoad_ene!W14))</f>
        <v>2.9736273462389762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2.6418708000000009</v>
      </c>
      <c r="T50" s="97">
        <f>IF(T6=0,0,T6/TrRoad_ene!T6)</f>
        <v>2.6418708000000009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0</v>
      </c>
      <c r="R51" s="97">
        <f>IF(R9=0,0,(R9+R11)/(TrRoad_ene!R9+TrRoad_ene!R11))</f>
        <v>0</v>
      </c>
      <c r="S51" s="97">
        <f>IF(S9=0,0,(S9+S11)/(TrRoad_ene!S9+TrRoad_ene!S11))</f>
        <v>0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377.322799454407</v>
      </c>
      <c r="C54" s="62">
        <f>IF(TrRoad_act!C30=0,0,C17/TrRoad_act!C30*1000
)</f>
        <v>390.7416621059196</v>
      </c>
      <c r="D54" s="62">
        <f>IF(TrRoad_act!D30=0,0,D17/TrRoad_act!D30*1000
)</f>
        <v>385.01415788295975</v>
      </c>
      <c r="E54" s="62">
        <f>IF(TrRoad_act!E30=0,0,E17/TrRoad_act!E30*1000
)</f>
        <v>384.74225097825695</v>
      </c>
      <c r="F54" s="62">
        <f>IF(TrRoad_act!F30=0,0,F17/TrRoad_act!F30*1000
)</f>
        <v>375.77072459175764</v>
      </c>
      <c r="G54" s="62">
        <f>IF(TrRoad_act!G30=0,0,G17/TrRoad_act!G30*1000
)</f>
        <v>379.09117977853697</v>
      </c>
      <c r="H54" s="62">
        <f>IF(TrRoad_act!H30=0,0,H17/TrRoad_act!H30*1000
)</f>
        <v>368.05763777159518</v>
      </c>
      <c r="I54" s="62">
        <f>IF(TrRoad_act!I30=0,0,I17/TrRoad_act!I30*1000
)</f>
        <v>371.06770849491897</v>
      </c>
      <c r="J54" s="62">
        <f>IF(TrRoad_act!J30=0,0,J17/TrRoad_act!J30*1000
)</f>
        <v>358.45517128801271</v>
      </c>
      <c r="K54" s="62">
        <f>IF(TrRoad_act!K30=0,0,K17/TrRoad_act!K30*1000
)</f>
        <v>343.94412364456707</v>
      </c>
      <c r="L54" s="62">
        <f>IF(TrRoad_act!L30=0,0,L17/TrRoad_act!L30*1000
)</f>
        <v>363.26441430217574</v>
      </c>
      <c r="M54" s="62">
        <f>IF(TrRoad_act!M30=0,0,M17/TrRoad_act!M30*1000
)</f>
        <v>324.49580337072075</v>
      </c>
      <c r="N54" s="62">
        <f>IF(TrRoad_act!N30=0,0,N17/TrRoad_act!N30*1000
)</f>
        <v>313.82773830384872</v>
      </c>
      <c r="O54" s="62">
        <f>IF(TrRoad_act!O30=0,0,O17/TrRoad_act!O30*1000
)</f>
        <v>311.76234203591753</v>
      </c>
      <c r="P54" s="62">
        <f>IF(TrRoad_act!P30=0,0,P17/TrRoad_act!P30*1000
)</f>
        <v>295.90712248580235</v>
      </c>
      <c r="Q54" s="62">
        <f>IF(TrRoad_act!Q30=0,0,Q17/TrRoad_act!Q30*1000
)</f>
        <v>293.17793023900134</v>
      </c>
      <c r="R54" s="62">
        <f>IF(TrRoad_act!R30=0,0,R17/TrRoad_act!R30*1000
)</f>
        <v>288.00480928209413</v>
      </c>
      <c r="S54" s="62">
        <f>IF(TrRoad_act!S30=0,0,S17/TrRoad_act!S30*1000
)</f>
        <v>286.94950060134431</v>
      </c>
      <c r="T54" s="62">
        <f>IF(TrRoad_act!T30=0,0,T17/TrRoad_act!T30*1000
)</f>
        <v>272.47490566152203</v>
      </c>
      <c r="U54" s="62">
        <f>IF(TrRoad_act!U30=0,0,U17/TrRoad_act!U30*1000
)</f>
        <v>259.69921764232646</v>
      </c>
      <c r="V54" s="62">
        <f>IF(TrRoad_act!V30=0,0,V17/TrRoad_act!V30*1000
)</f>
        <v>251.99207416832047</v>
      </c>
      <c r="W54" s="62">
        <f>IF(TrRoad_act!W30=0,0,W17/TrRoad_act!W30*1000
)</f>
        <v>247.94396864328306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312.08834794272008</v>
      </c>
      <c r="C55" s="29">
        <f>IF(TrRoad_act!C31=0,0,C18/TrRoad_act!C31*1000
)</f>
        <v>293.89006701655694</v>
      </c>
      <c r="D55" s="29">
        <f>IF(TrRoad_act!D31=0,0,D18/TrRoad_act!D31*1000
)</f>
        <v>290.666297091893</v>
      </c>
      <c r="E55" s="29">
        <f>IF(TrRoad_act!E31=0,0,E18/TrRoad_act!E31*1000
)</f>
        <v>288.93187328027506</v>
      </c>
      <c r="F55" s="29">
        <f>IF(TrRoad_act!F31=0,0,F18/TrRoad_act!F31*1000
)</f>
        <v>282.12657729377014</v>
      </c>
      <c r="G55" s="29">
        <f>IF(TrRoad_act!G31=0,0,G18/TrRoad_act!G31*1000
)</f>
        <v>276.75707905614502</v>
      </c>
      <c r="H55" s="29">
        <f>IF(TrRoad_act!H31=0,0,H18/TrRoad_act!H31*1000
)</f>
        <v>266.12043815737985</v>
      </c>
      <c r="I55" s="29">
        <f>IF(TrRoad_act!I31=0,0,I18/TrRoad_act!I31*1000
)</f>
        <v>260.69649614754445</v>
      </c>
      <c r="J55" s="29">
        <f>IF(TrRoad_act!J31=0,0,J18/TrRoad_act!J31*1000
)</f>
        <v>256.5965609980376</v>
      </c>
      <c r="K55" s="29">
        <f>IF(TrRoad_act!K31=0,0,K18/TrRoad_act!K31*1000
)</f>
        <v>256.4602418190197</v>
      </c>
      <c r="L55" s="29">
        <f>IF(TrRoad_act!L31=0,0,L18/TrRoad_act!L31*1000
)</f>
        <v>253.12763140756761</v>
      </c>
      <c r="M55" s="29">
        <f>IF(TrRoad_act!M31=0,0,M18/TrRoad_act!M31*1000
)</f>
        <v>245.588767105155</v>
      </c>
      <c r="N55" s="29">
        <f>IF(TrRoad_act!N31=0,0,N18/TrRoad_act!N31*1000
)</f>
        <v>241.58539670934053</v>
      </c>
      <c r="O55" s="29">
        <f>IF(TrRoad_act!O31=0,0,O18/TrRoad_act!O31*1000
)</f>
        <v>240.67268044472885</v>
      </c>
      <c r="P55" s="29">
        <f>IF(TrRoad_act!P31=0,0,P18/TrRoad_act!P31*1000
)</f>
        <v>233.08781801075861</v>
      </c>
      <c r="Q55" s="29">
        <f>IF(TrRoad_act!Q31=0,0,Q18/TrRoad_act!Q31*1000
)</f>
        <v>229.35992267114634</v>
      </c>
      <c r="R55" s="29">
        <f>IF(TrRoad_act!R31=0,0,R18/TrRoad_act!R31*1000
)</f>
        <v>228.79928706478645</v>
      </c>
      <c r="S55" s="29">
        <f>IF(TrRoad_act!S31=0,0,S18/TrRoad_act!S31*1000
)</f>
        <v>224.33257784114306</v>
      </c>
      <c r="T55" s="29">
        <f>IF(TrRoad_act!T31=0,0,T18/TrRoad_act!T31*1000
)</f>
        <v>212.6463701575361</v>
      </c>
      <c r="U55" s="29">
        <f>IF(TrRoad_act!U31=0,0,U18/TrRoad_act!U31*1000
)</f>
        <v>206.49111157671305</v>
      </c>
      <c r="V55" s="29">
        <f>IF(TrRoad_act!V31=0,0,V18/TrRoad_act!V31*1000
)</f>
        <v>198.88528088510256</v>
      </c>
      <c r="W55" s="29">
        <f>IF(TrRoad_act!W31=0,0,W18/TrRoad_act!W31*1000
)</f>
        <v>190.24246046688006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148.37908335617649</v>
      </c>
      <c r="C56" s="152">
        <f>IF(TrRoad_act!C32=0,0,C19/TrRoad_act!C32*1000
)</f>
        <v>147.83275254013836</v>
      </c>
      <c r="D56" s="152">
        <f>IF(TrRoad_act!D32=0,0,D19/TrRoad_act!D32*1000
)</f>
        <v>146.92705095202024</v>
      </c>
      <c r="E56" s="152">
        <f>IF(TrRoad_act!E32=0,0,E19/TrRoad_act!E32*1000
)</f>
        <v>145.99840564972035</v>
      </c>
      <c r="F56" s="152">
        <f>IF(TrRoad_act!F32=0,0,F19/TrRoad_act!F32*1000
)</f>
        <v>144.85155359420963</v>
      </c>
      <c r="G56" s="152">
        <f>IF(TrRoad_act!G32=0,0,G19/TrRoad_act!G32*1000
)</f>
        <v>143.6583943038606</v>
      </c>
      <c r="H56" s="152">
        <f>IF(TrRoad_act!H32=0,0,H19/TrRoad_act!H32*1000
)</f>
        <v>141.40971485785167</v>
      </c>
      <c r="I56" s="152">
        <f>IF(TrRoad_act!I32=0,0,I19/TrRoad_act!I32*1000
)</f>
        <v>139.05514814807654</v>
      </c>
      <c r="J56" s="152">
        <f>IF(TrRoad_act!J32=0,0,J19/TrRoad_act!J32*1000
)</f>
        <v>136.25429549104783</v>
      </c>
      <c r="K56" s="152">
        <f>IF(TrRoad_act!K32=0,0,K19/TrRoad_act!K32*1000
)</f>
        <v>133.99573533724345</v>
      </c>
      <c r="L56" s="152">
        <f>IF(TrRoad_act!L32=0,0,L19/TrRoad_act!L32*1000
)</f>
        <v>130.21817975872904</v>
      </c>
      <c r="M56" s="152">
        <f>IF(TrRoad_act!M32=0,0,M19/TrRoad_act!M32*1000
)</f>
        <v>126.36178185426125</v>
      </c>
      <c r="N56" s="152">
        <f>IF(TrRoad_act!N32=0,0,N19/TrRoad_act!N32*1000
)</f>
        <v>122.20256284093135</v>
      </c>
      <c r="O56" s="152">
        <f>IF(TrRoad_act!O32=0,0,O19/TrRoad_act!O32*1000
)</f>
        <v>118.03536405191171</v>
      </c>
      <c r="P56" s="152">
        <f>IF(TrRoad_act!P32=0,0,P19/TrRoad_act!P32*1000
)</f>
        <v>113.81787942090889</v>
      </c>
      <c r="Q56" s="152">
        <f>IF(TrRoad_act!Q32=0,0,Q19/TrRoad_act!Q32*1000
)</f>
        <v>109.3082041487167</v>
      </c>
      <c r="R56" s="152">
        <f>IF(TrRoad_act!R32=0,0,R19/TrRoad_act!R32*1000
)</f>
        <v>105.1634295247469</v>
      </c>
      <c r="S56" s="152">
        <f>IF(TrRoad_act!S32=0,0,S19/TrRoad_act!S32*1000
)</f>
        <v>102.01297938059369</v>
      </c>
      <c r="T56" s="152">
        <f>IF(TrRoad_act!T32=0,0,T19/TrRoad_act!T32*1000
)</f>
        <v>99.002644055860614</v>
      </c>
      <c r="U56" s="152">
        <f>IF(TrRoad_act!U32=0,0,U19/TrRoad_act!U32*1000
)</f>
        <v>96.84215279271578</v>
      </c>
      <c r="V56" s="152">
        <f>IF(TrRoad_act!V32=0,0,V19/TrRoad_act!V32*1000
)</f>
        <v>92.182638150727342</v>
      </c>
      <c r="W56" s="152">
        <f>IF(TrRoad_act!W32=0,0,W19/TrRoad_act!W32*1000
)</f>
        <v>83.503844757384073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265.40880885771736</v>
      </c>
      <c r="C57" s="116">
        <f>IF(TrRoad_act!C33=0,0,C20/TrRoad_act!C33*1000
)</f>
        <v>248.14489828574924</v>
      </c>
      <c r="D57" s="116">
        <f>IF(TrRoad_act!D33=0,0,D20/TrRoad_act!D33*1000
)</f>
        <v>246.90147867496091</v>
      </c>
      <c r="E57" s="116">
        <f>IF(TrRoad_act!E33=0,0,E20/TrRoad_act!E33*1000
)</f>
        <v>244.8725224663963</v>
      </c>
      <c r="F57" s="116">
        <f>IF(TrRoad_act!F33=0,0,F20/TrRoad_act!F33*1000
)</f>
        <v>240.39170858365318</v>
      </c>
      <c r="G57" s="116">
        <f>IF(TrRoad_act!G33=0,0,G20/TrRoad_act!G33*1000
)</f>
        <v>237.11540644184257</v>
      </c>
      <c r="H57" s="116">
        <f>IF(TrRoad_act!H33=0,0,H20/TrRoad_act!H33*1000
)</f>
        <v>232.61669418970664</v>
      </c>
      <c r="I57" s="116">
        <f>IF(TrRoad_act!I33=0,0,I20/TrRoad_act!I33*1000
)</f>
        <v>231.00053017118191</v>
      </c>
      <c r="J57" s="116">
        <f>IF(TrRoad_act!J33=0,0,J20/TrRoad_act!J33*1000
)</f>
        <v>228.4282489382486</v>
      </c>
      <c r="K57" s="116">
        <f>IF(TrRoad_act!K33=0,0,K20/TrRoad_act!K33*1000
)</f>
        <v>227.84880436289862</v>
      </c>
      <c r="L57" s="116">
        <f>IF(TrRoad_act!L33=0,0,L20/TrRoad_act!L33*1000
)</f>
        <v>223.17851861822638</v>
      </c>
      <c r="M57" s="116">
        <f>IF(TrRoad_act!M33=0,0,M20/TrRoad_act!M33*1000
)</f>
        <v>218.34251675434558</v>
      </c>
      <c r="N57" s="116">
        <f>IF(TrRoad_act!N33=0,0,N20/TrRoad_act!N33*1000
)</f>
        <v>214.53384308386342</v>
      </c>
      <c r="O57" s="116">
        <f>IF(TrRoad_act!O33=0,0,O20/TrRoad_act!O33*1000
)</f>
        <v>214.15612849126398</v>
      </c>
      <c r="P57" s="116">
        <f>IF(TrRoad_act!P33=0,0,P20/TrRoad_act!P33*1000
)</f>
        <v>210.66914129029789</v>
      </c>
      <c r="Q57" s="116">
        <f>IF(TrRoad_act!Q33=0,0,Q20/TrRoad_act!Q33*1000
)</f>
        <v>208.93836699884537</v>
      </c>
      <c r="R57" s="116">
        <f>IF(TrRoad_act!R33=0,0,R20/TrRoad_act!R33*1000
)</f>
        <v>208.97422413638131</v>
      </c>
      <c r="S57" s="116">
        <f>IF(TrRoad_act!S33=0,0,S20/TrRoad_act!S33*1000
)</f>
        <v>204.85402255557094</v>
      </c>
      <c r="T57" s="116">
        <f>IF(TrRoad_act!T33=0,0,T20/TrRoad_act!T33*1000
)</f>
        <v>195.23834897626097</v>
      </c>
      <c r="U57" s="116">
        <f>IF(TrRoad_act!U33=0,0,U20/TrRoad_act!U33*1000
)</f>
        <v>191.07541946740821</v>
      </c>
      <c r="V57" s="116">
        <f>IF(TrRoad_act!V33=0,0,V20/TrRoad_act!V33*1000
)</f>
        <v>186.50506375504966</v>
      </c>
      <c r="W57" s="116">
        <f>IF(TrRoad_act!W33=0,0,W20/TrRoad_act!W33*1000
)</f>
        <v>180.12439547538557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266.61643096788146</v>
      </c>
      <c r="C58" s="87">
        <f>IF(TrRoad_act!C34=0,0,C21/TrRoad_act!C34*1000
)</f>
        <v>249.25659533557493</v>
      </c>
      <c r="D58" s="87">
        <f>IF(TrRoad_act!D34=0,0,D21/TrRoad_act!D34*1000
)</f>
        <v>247.5613761541232</v>
      </c>
      <c r="E58" s="87">
        <f>IF(TrRoad_act!E34=0,0,E21/TrRoad_act!E34*1000
)</f>
        <v>245.74074290299234</v>
      </c>
      <c r="F58" s="87">
        <f>IF(TrRoad_act!F34=0,0,F21/TrRoad_act!F34*1000
)</f>
        <v>243.36867116510689</v>
      </c>
      <c r="G58" s="87">
        <f>IF(TrRoad_act!G34=0,0,G21/TrRoad_act!G34*1000
)</f>
        <v>240.77768163456454</v>
      </c>
      <c r="H58" s="87">
        <f>IF(TrRoad_act!H34=0,0,H21/TrRoad_act!H34*1000
)</f>
        <v>236.66172242396672</v>
      </c>
      <c r="I58" s="87">
        <f>IF(TrRoad_act!I34=0,0,I21/TrRoad_act!I34*1000
)</f>
        <v>233.40667920551027</v>
      </c>
      <c r="J58" s="87">
        <f>IF(TrRoad_act!J34=0,0,J21/TrRoad_act!J34*1000
)</f>
        <v>230.50180815204592</v>
      </c>
      <c r="K58" s="87">
        <f>IF(TrRoad_act!K34=0,0,K21/TrRoad_act!K34*1000
)</f>
        <v>231.67636834211817</v>
      </c>
      <c r="L58" s="87">
        <f>IF(TrRoad_act!L34=0,0,L21/TrRoad_act!L34*1000
)</f>
        <v>221.66534832178604</v>
      </c>
      <c r="M58" s="87">
        <f>IF(TrRoad_act!M34=0,0,M21/TrRoad_act!M34*1000
)</f>
        <v>225.23474252862977</v>
      </c>
      <c r="N58" s="87">
        <f>IF(TrRoad_act!N34=0,0,N21/TrRoad_act!N34*1000
)</f>
        <v>220.29104434627277</v>
      </c>
      <c r="O58" s="87">
        <f>IF(TrRoad_act!O34=0,0,O21/TrRoad_act!O34*1000
)</f>
        <v>213.60239710440598</v>
      </c>
      <c r="P58" s="87">
        <f>IF(TrRoad_act!P34=0,0,P21/TrRoad_act!P34*1000
)</f>
        <v>214.92615996849034</v>
      </c>
      <c r="Q58" s="87">
        <f>IF(TrRoad_act!Q34=0,0,Q21/TrRoad_act!Q34*1000
)</f>
        <v>208.07054662144697</v>
      </c>
      <c r="R58" s="87">
        <f>IF(TrRoad_act!R34=0,0,R21/TrRoad_act!R34*1000
)</f>
        <v>220.66272821362898</v>
      </c>
      <c r="S58" s="87">
        <f>IF(TrRoad_act!S34=0,0,S21/TrRoad_act!S34*1000
)</f>
        <v>214.594203091076</v>
      </c>
      <c r="T58" s="87">
        <f>IF(TrRoad_act!T34=0,0,T21/TrRoad_act!T34*1000
)</f>
        <v>206.89373369664796</v>
      </c>
      <c r="U58" s="87">
        <f>IF(TrRoad_act!U34=0,0,U21/TrRoad_act!U34*1000
)</f>
        <v>200.38801042666688</v>
      </c>
      <c r="V58" s="87">
        <f>IF(TrRoad_act!V34=0,0,V21/TrRoad_act!V34*1000
)</f>
        <v>199.39656082641829</v>
      </c>
      <c r="W58" s="87">
        <f>IF(TrRoad_act!W34=0,0,W21/TrRoad_act!W34*1000
)</f>
        <v>188.3775040573133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257.12753663921779</v>
      </c>
      <c r="C59" s="87">
        <f>IF(TrRoad_act!C35=0,0,C22/TrRoad_act!C35*1000
)</f>
        <v>252.89901772570377</v>
      </c>
      <c r="D59" s="87">
        <f>IF(TrRoad_act!D35=0,0,D22/TrRoad_act!D35*1000
)</f>
        <v>247.39296432621447</v>
      </c>
      <c r="E59" s="87">
        <f>IF(TrRoad_act!E35=0,0,E22/TrRoad_act!E35*1000
)</f>
        <v>242.1372107589886</v>
      </c>
      <c r="F59" s="87">
        <f>IF(TrRoad_act!F35=0,0,F22/TrRoad_act!F35*1000
)</f>
        <v>238.45223553219597</v>
      </c>
      <c r="G59" s="87">
        <f>IF(TrRoad_act!G35=0,0,G22/TrRoad_act!G35*1000
)</f>
        <v>233.34225722540648</v>
      </c>
      <c r="H59" s="87">
        <f>IF(TrRoad_act!H35=0,0,H22/TrRoad_act!H35*1000
)</f>
        <v>228.6665402191698</v>
      </c>
      <c r="I59" s="87">
        <f>IF(TrRoad_act!I35=0,0,I22/TrRoad_act!I35*1000
)</f>
        <v>232.32186388783924</v>
      </c>
      <c r="J59" s="87">
        <f>IF(TrRoad_act!J35=0,0,J22/TrRoad_act!J35*1000
)</f>
        <v>230.32506733386035</v>
      </c>
      <c r="K59" s="87">
        <f>IF(TrRoad_act!K35=0,0,K22/TrRoad_act!K35*1000
)</f>
        <v>228.16258500422913</v>
      </c>
      <c r="L59" s="87">
        <f>IF(TrRoad_act!L35=0,0,L22/TrRoad_act!L35*1000
)</f>
        <v>229.90478931974073</v>
      </c>
      <c r="M59" s="87">
        <f>IF(TrRoad_act!M35=0,0,M22/TrRoad_act!M35*1000
)</f>
        <v>214.59759747795044</v>
      </c>
      <c r="N59" s="87">
        <f>IF(TrRoad_act!N35=0,0,N22/TrRoad_act!N35*1000
)</f>
        <v>214.5730702858734</v>
      </c>
      <c r="O59" s="87">
        <f>IF(TrRoad_act!O35=0,0,O22/TrRoad_act!O35*1000
)</f>
        <v>214.36010119508538</v>
      </c>
      <c r="P59" s="87">
        <f>IF(TrRoad_act!P35=0,0,P22/TrRoad_act!P35*1000
)</f>
        <v>208.51981831479</v>
      </c>
      <c r="Q59" s="87">
        <f>IF(TrRoad_act!Q35=0,0,Q22/TrRoad_act!Q35*1000
)</f>
        <v>205.26299585376717</v>
      </c>
      <c r="R59" s="87">
        <f>IF(TrRoad_act!R35=0,0,R22/TrRoad_act!R35*1000
)</f>
        <v>203.79914384537344</v>
      </c>
      <c r="S59" s="87">
        <f>IF(TrRoad_act!S35=0,0,S22/TrRoad_act!S35*1000
)</f>
        <v>200.65285481555611</v>
      </c>
      <c r="T59" s="87">
        <f>IF(TrRoad_act!T35=0,0,T22/TrRoad_act!T35*1000
)</f>
        <v>189.68667754694701</v>
      </c>
      <c r="U59" s="87">
        <f>IF(TrRoad_act!U35=0,0,U22/TrRoad_act!U35*1000
)</f>
        <v>187.6313666497642</v>
      </c>
      <c r="V59" s="87">
        <f>IF(TrRoad_act!V35=0,0,V22/TrRoad_act!V35*1000
)</f>
        <v>181.10133686591351</v>
      </c>
      <c r="W59" s="87">
        <f>IF(TrRoad_act!W35=0,0,W22/TrRoad_act!W35*1000
)</f>
        <v>176.6029947521599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262.39051593217658</v>
      </c>
      <c r="C60" s="87">
        <f>IF(TrRoad_act!C36=0,0,C23/TrRoad_act!C36*1000
)</f>
        <v>218.69431352311074</v>
      </c>
      <c r="D60" s="87">
        <f>IF(TrRoad_act!D36=0,0,D23/TrRoad_act!D36*1000
)</f>
        <v>234.27307834085465</v>
      </c>
      <c r="E60" s="87">
        <f>IF(TrRoad_act!E36=0,0,E23/TrRoad_act!E36*1000
)</f>
        <v>241.93821672212763</v>
      </c>
      <c r="F60" s="87">
        <f>IF(TrRoad_act!F36=0,0,F23/TrRoad_act!F36*1000
)</f>
        <v>209.64388807459673</v>
      </c>
      <c r="G60" s="87">
        <f>IF(TrRoad_act!G36=0,0,G23/TrRoad_act!G36*1000
)</f>
        <v>209.65692011388657</v>
      </c>
      <c r="H60" s="87">
        <f>IF(TrRoad_act!H36=0,0,H23/TrRoad_act!H36*1000
)</f>
        <v>203.93316035690461</v>
      </c>
      <c r="I60" s="87">
        <f>IF(TrRoad_act!I36=0,0,I23/TrRoad_act!I36*1000
)</f>
        <v>188.90338368882203</v>
      </c>
      <c r="J60" s="87">
        <f>IF(TrRoad_act!J36=0,0,J23/TrRoad_act!J36*1000
)</f>
        <v>183.86060250092763</v>
      </c>
      <c r="K60" s="87">
        <f>IF(TrRoad_act!K36=0,0,K23/TrRoad_act!K36*1000
)</f>
        <v>176.69623946813323</v>
      </c>
      <c r="L60" s="87">
        <f>IF(TrRoad_act!L36=0,0,L23/TrRoad_act!L36*1000
)</f>
        <v>185.77871214919261</v>
      </c>
      <c r="M60" s="87">
        <f>IF(TrRoad_act!M36=0,0,M23/TrRoad_act!M36*1000
)</f>
        <v>185.81282959165404</v>
      </c>
      <c r="N60" s="87">
        <f>IF(TrRoad_act!N36=0,0,N23/TrRoad_act!N36*1000
)</f>
        <v>187.11063132134441</v>
      </c>
      <c r="O60" s="87">
        <f>IF(TrRoad_act!O36=0,0,O23/TrRoad_act!O36*1000
)</f>
        <v>215.51318895327628</v>
      </c>
      <c r="P60" s="87">
        <f>IF(TrRoad_act!P36=0,0,P23/TrRoad_act!P36*1000
)</f>
        <v>207.55828018941901</v>
      </c>
      <c r="Q60" s="87">
        <f>IF(TrRoad_act!Q36=0,0,Q23/TrRoad_act!Q36*1000
)</f>
        <v>237.0060745538606</v>
      </c>
      <c r="R60" s="87">
        <f>IF(TrRoad_act!R36=0,0,R23/TrRoad_act!R36*1000
)</f>
        <v>205.56511692839811</v>
      </c>
      <c r="S60" s="87">
        <f>IF(TrRoad_act!S36=0,0,S23/TrRoad_act!S36*1000
)</f>
        <v>205.2068455007566</v>
      </c>
      <c r="T60" s="87">
        <f>IF(TrRoad_act!T36=0,0,T23/TrRoad_act!T36*1000
)</f>
        <v>205.11676389004754</v>
      </c>
      <c r="U60" s="87">
        <f>IF(TrRoad_act!U36=0,0,U23/TrRoad_act!U36*1000
)</f>
        <v>195.93491444111123</v>
      </c>
      <c r="V60" s="87">
        <f>IF(TrRoad_act!V36=0,0,V23/TrRoad_act!V36*1000
)</f>
        <v>204.74189049126875</v>
      </c>
      <c r="W60" s="87">
        <f>IF(TrRoad_act!W36=0,0,W23/TrRoad_act!W36*1000
)</f>
        <v>201.42511630832996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190.55874333983701</v>
      </c>
      <c r="C61" s="87">
        <f>IF(TrRoad_act!C37=0,0,C24/TrRoad_act!C37*1000
)</f>
        <v>190.41406698790837</v>
      </c>
      <c r="D61" s="87">
        <f>IF(TrRoad_act!D37=0,0,D24/TrRoad_act!D37*1000
)</f>
        <v>190.40180229876816</v>
      </c>
      <c r="E61" s="87">
        <f>IF(TrRoad_act!E37=0,0,E24/TrRoad_act!E37*1000
)</f>
        <v>190.38295069460295</v>
      </c>
      <c r="F61" s="87">
        <f>IF(TrRoad_act!F37=0,0,F24/TrRoad_act!F37*1000
)</f>
        <v>190.35615279039521</v>
      </c>
      <c r="G61" s="87">
        <f>IF(TrRoad_act!G37=0,0,G24/TrRoad_act!G37*1000
)</f>
        <v>190.34753709375195</v>
      </c>
      <c r="H61" s="87">
        <f>IF(TrRoad_act!H37=0,0,H24/TrRoad_act!H37*1000
)</f>
        <v>190.25991280998065</v>
      </c>
      <c r="I61" s="87">
        <f>IF(TrRoad_act!I37=0,0,I24/TrRoad_act!I37*1000
)</f>
        <v>190.19074329758953</v>
      </c>
      <c r="J61" s="87">
        <f>IF(TrRoad_act!J37=0,0,J24/TrRoad_act!J37*1000
)</f>
        <v>190.15765954840916</v>
      </c>
      <c r="K61" s="87">
        <f>IF(TrRoad_act!K37=0,0,K24/TrRoad_act!K37*1000
)</f>
        <v>191.75206002827733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0</v>
      </c>
      <c r="R61" s="87">
        <f>IF(TrRoad_act!R37=0,0,R24/TrRoad_act!R37*1000
)</f>
        <v>0</v>
      </c>
      <c r="S61" s="87">
        <f>IF(TrRoad_act!S37=0,0,S24/TrRoad_act!S37*1000
)</f>
        <v>0</v>
      </c>
      <c r="T61" s="87">
        <f>IF(TrRoad_act!T37=0,0,T24/TrRoad_act!T37*1000
)</f>
        <v>90.789116904134573</v>
      </c>
      <c r="U61" s="87">
        <f>IF(TrRoad_act!U37=0,0,U24/TrRoad_act!U37*1000
)</f>
        <v>135.3040692489256</v>
      </c>
      <c r="V61" s="87">
        <f>IF(TrRoad_act!V37=0,0,V24/TrRoad_act!V37*1000
)</f>
        <v>132.25893381714766</v>
      </c>
      <c r="W61" s="87">
        <f>IF(TrRoad_act!W37=0,0,W24/TrRoad_act!W37*1000
)</f>
        <v>129.80307500574909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56.840781858416335</v>
      </c>
      <c r="O62" s="87">
        <f>IF(TrRoad_act!O38=0,0,O25/TrRoad_act!O38*1000
)</f>
        <v>67.537550976415091</v>
      </c>
      <c r="P62" s="87">
        <f>IF(TrRoad_act!P38=0,0,P25/TrRoad_act!P38*1000
)</f>
        <v>69.209892141220806</v>
      </c>
      <c r="Q62" s="87">
        <f>IF(TrRoad_act!Q38=0,0,Q25/TrRoad_act!Q38*1000
)</f>
        <v>59.744381996717301</v>
      </c>
      <c r="R62" s="87">
        <f>IF(TrRoad_act!R38=0,0,R25/TrRoad_act!R38*1000
)</f>
        <v>53.991636120338235</v>
      </c>
      <c r="S62" s="87">
        <f>IF(TrRoad_act!S38=0,0,S25/TrRoad_act!S38*1000
)</f>
        <v>57.979726551369218</v>
      </c>
      <c r="T62" s="87">
        <f>IF(TrRoad_act!T38=0,0,T25/TrRoad_act!T38*1000
)</f>
        <v>57.780865841005586</v>
      </c>
      <c r="U62" s="87">
        <f>IF(TrRoad_act!U38=0,0,U25/TrRoad_act!U38*1000
)</f>
        <v>57.401889579009698</v>
      </c>
      <c r="V62" s="87">
        <f>IF(TrRoad_act!V38=0,0,V25/TrRoad_act!V38*1000
)</f>
        <v>62.286788757770296</v>
      </c>
      <c r="W62" s="87">
        <f>IF(TrRoad_act!W38=0,0,W25/TrRoad_act!W38*1000
)</f>
        <v>52.865509157366176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1803.8906462523591</v>
      </c>
      <c r="C64" s="116">
        <f>IF(TrRoad_act!C40=0,0,C27/TrRoad_act!C40*1000
)</f>
        <v>1945.3224473929233</v>
      </c>
      <c r="D64" s="116">
        <f>IF(TrRoad_act!D40=0,0,D27/TrRoad_act!D40*1000
)</f>
        <v>1836.1727916869179</v>
      </c>
      <c r="E64" s="116">
        <f>IF(TrRoad_act!E40=0,0,E27/TrRoad_act!E40*1000
)</f>
        <v>1800.9791727444069</v>
      </c>
      <c r="F64" s="116">
        <f>IF(TrRoad_act!F40=0,0,F27/TrRoad_act!F40*1000
)</f>
        <v>1801.6100309059814</v>
      </c>
      <c r="G64" s="116">
        <f>IF(TrRoad_act!G40=0,0,G27/TrRoad_act!G40*1000
)</f>
        <v>1785.9309199777692</v>
      </c>
      <c r="H64" s="116">
        <f>IF(TrRoad_act!H40=0,0,H27/TrRoad_act!H40*1000
)</f>
        <v>1810.4314607282927</v>
      </c>
      <c r="I64" s="116">
        <f>IF(TrRoad_act!I40=0,0,I27/TrRoad_act!I40*1000
)</f>
        <v>1827.8766504270275</v>
      </c>
      <c r="J64" s="116">
        <f>IF(TrRoad_act!J40=0,0,J27/TrRoad_act!J40*1000
)</f>
        <v>1759.237131582667</v>
      </c>
      <c r="K64" s="116">
        <f>IF(TrRoad_act!K40=0,0,K27/TrRoad_act!K40*1000
)</f>
        <v>1645.6293059896632</v>
      </c>
      <c r="L64" s="116">
        <f>IF(TrRoad_act!L40=0,0,L27/TrRoad_act!L40*1000
)</f>
        <v>1718.1625492582675</v>
      </c>
      <c r="M64" s="116">
        <f>IF(TrRoad_act!M40=0,0,M27/TrRoad_act!M40*1000
)</f>
        <v>1598.9889091317727</v>
      </c>
      <c r="N64" s="116">
        <f>IF(TrRoad_act!N40=0,0,N27/TrRoad_act!N40*1000
)</f>
        <v>1598.8414341949426</v>
      </c>
      <c r="O64" s="116">
        <f>IF(TrRoad_act!O40=0,0,O27/TrRoad_act!O40*1000
)</f>
        <v>1599.8348952359108</v>
      </c>
      <c r="P64" s="116">
        <f>IF(TrRoad_act!P40=0,0,P27/TrRoad_act!P40*1000
)</f>
        <v>1576.9132297530205</v>
      </c>
      <c r="Q64" s="116">
        <f>IF(TrRoad_act!Q40=0,0,Q27/TrRoad_act!Q40*1000
)</f>
        <v>1585.7971995880739</v>
      </c>
      <c r="R64" s="116">
        <f>IF(TrRoad_act!R40=0,0,R27/TrRoad_act!R40*1000
)</f>
        <v>1589.0066711916886</v>
      </c>
      <c r="S64" s="116">
        <f>IF(TrRoad_act!S40=0,0,S27/TrRoad_act!S40*1000
)</f>
        <v>1631.5965579210638</v>
      </c>
      <c r="T64" s="116">
        <f>IF(TrRoad_act!T40=0,0,T27/TrRoad_act!T40*1000
)</f>
        <v>1576.5561061398028</v>
      </c>
      <c r="U64" s="116">
        <f>IF(TrRoad_act!U40=0,0,U27/TrRoad_act!U40*1000
)</f>
        <v>1558.8861363531053</v>
      </c>
      <c r="V64" s="116">
        <f>IF(TrRoad_act!V40=0,0,V27/TrRoad_act!V40*1000
)</f>
        <v>1499.3898140464107</v>
      </c>
      <c r="W64" s="116">
        <f>IF(TrRoad_act!W40=0,0,W27/TrRoad_act!W40*1000
)</f>
        <v>1445.9269438781314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653.15870647894985</v>
      </c>
      <c r="C65" s="101">
        <f>IF(TrRoad_act!C41=0,0,C28/TrRoad_act!C41*1000
)</f>
        <v>618.55875279470922</v>
      </c>
      <c r="D65" s="101">
        <f>IF(TrRoad_act!D41=0,0,D28/TrRoad_act!D41*1000
)</f>
        <v>615.09888072665501</v>
      </c>
      <c r="E65" s="101">
        <f>IF(TrRoad_act!E41=0,0,E28/TrRoad_act!E41*1000
)</f>
        <v>612.36657459916114</v>
      </c>
      <c r="F65" s="101">
        <f>IF(TrRoad_act!F41=0,0,F28/TrRoad_act!F41*1000
)</f>
        <v>610.25904741577358</v>
      </c>
      <c r="G65" s="101">
        <f>IF(TrRoad_act!G41=0,0,G28/TrRoad_act!G41*1000
)</f>
        <v>607.63836088853157</v>
      </c>
      <c r="H65" s="101">
        <f>IF(TrRoad_act!H41=0,0,H28/TrRoad_act!H41*1000
)</f>
        <v>602.84651458512599</v>
      </c>
      <c r="I65" s="101">
        <f>IF(TrRoad_act!I41=0,0,I28/TrRoad_act!I41*1000
)</f>
        <v>599.6077413914436</v>
      </c>
      <c r="J65" s="101">
        <f>IF(TrRoad_act!J41=0,0,J28/TrRoad_act!J41*1000
)</f>
        <v>595.48109215243744</v>
      </c>
      <c r="K65" s="101">
        <f>IF(TrRoad_act!K41=0,0,K28/TrRoad_act!K41*1000
)</f>
        <v>586.55568243690323</v>
      </c>
      <c r="L65" s="101">
        <f>IF(TrRoad_act!L41=0,0,L28/TrRoad_act!L41*1000
)</f>
        <v>570.18741729333294</v>
      </c>
      <c r="M65" s="101">
        <f>IF(TrRoad_act!M41=0,0,M28/TrRoad_act!M41*1000
)</f>
        <v>557.49426213362995</v>
      </c>
      <c r="N65" s="101">
        <f>IF(TrRoad_act!N41=0,0,N28/TrRoad_act!N41*1000
)</f>
        <v>551.84038934584703</v>
      </c>
      <c r="O65" s="101">
        <f>IF(TrRoad_act!O41=0,0,O28/TrRoad_act!O41*1000
)</f>
        <v>538.01015198697928</v>
      </c>
      <c r="P65" s="101">
        <f>IF(TrRoad_act!P41=0,0,P28/TrRoad_act!P41*1000
)</f>
        <v>532.34616718799623</v>
      </c>
      <c r="Q65" s="101">
        <f>IF(TrRoad_act!Q41=0,0,Q28/TrRoad_act!Q41*1000
)</f>
        <v>522.5918557018457</v>
      </c>
      <c r="R65" s="101">
        <f>IF(TrRoad_act!R41=0,0,R28/TrRoad_act!R41*1000
)</f>
        <v>512.94151102228307</v>
      </c>
      <c r="S65" s="101">
        <f>IF(TrRoad_act!S41=0,0,S28/TrRoad_act!S41*1000
)</f>
        <v>511.23877830492779</v>
      </c>
      <c r="T65" s="101">
        <f>IF(TrRoad_act!T41=0,0,T28/TrRoad_act!T41*1000
)</f>
        <v>505.19549215517367</v>
      </c>
      <c r="U65" s="101">
        <f>IF(TrRoad_act!U41=0,0,U28/TrRoad_act!U41*1000
)</f>
        <v>504.85886004812488</v>
      </c>
      <c r="V65" s="101">
        <f>IF(TrRoad_act!V41=0,0,V28/TrRoad_act!V41*1000
)</f>
        <v>484.18034357984698</v>
      </c>
      <c r="W65" s="101">
        <f>IF(TrRoad_act!W41=0,0,W28/TrRoad_act!W41*1000
)</f>
        <v>488.51576436675208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1958.1232892896919</v>
      </c>
      <c r="C66" s="101">
        <f>IF(TrRoad_act!C42=0,0,C29/TrRoad_act!C42*1000
)</f>
        <v>2126.5333557666686</v>
      </c>
      <c r="D66" s="101">
        <f>IF(TrRoad_act!D42=0,0,D29/TrRoad_act!D42*1000
)</f>
        <v>1995.9451515257811</v>
      </c>
      <c r="E66" s="101">
        <f>IF(TrRoad_act!E42=0,0,E29/TrRoad_act!E42*1000
)</f>
        <v>1939.3583028674877</v>
      </c>
      <c r="F66" s="101">
        <f>IF(TrRoad_act!F42=0,0,F29/TrRoad_act!F42*1000
)</f>
        <v>1934.7892164211958</v>
      </c>
      <c r="G66" s="101">
        <f>IF(TrRoad_act!G42=0,0,G29/TrRoad_act!G42*1000
)</f>
        <v>1931.2955088653753</v>
      </c>
      <c r="H66" s="101">
        <f>IF(TrRoad_act!H42=0,0,H29/TrRoad_act!H42*1000
)</f>
        <v>1952.6941108193935</v>
      </c>
      <c r="I66" s="101">
        <f>IF(TrRoad_act!I42=0,0,I29/TrRoad_act!I42*1000
)</f>
        <v>1981.0371322971523</v>
      </c>
      <c r="J66" s="101">
        <f>IF(TrRoad_act!J42=0,0,J29/TrRoad_act!J42*1000
)</f>
        <v>1925.0918042543171</v>
      </c>
      <c r="K66" s="101">
        <f>IF(TrRoad_act!K42=0,0,K29/TrRoad_act!K42*1000
)</f>
        <v>1829.6159440961867</v>
      </c>
      <c r="L66" s="101">
        <f>IF(TrRoad_act!L42=0,0,L29/TrRoad_act!L42*1000
)</f>
        <v>1951.0344008797408</v>
      </c>
      <c r="M66" s="101">
        <f>IF(TrRoad_act!M42=0,0,M29/TrRoad_act!M42*1000
)</f>
        <v>1790.9765644826437</v>
      </c>
      <c r="N66" s="101">
        <f>IF(TrRoad_act!N42=0,0,N29/TrRoad_act!N42*1000
)</f>
        <v>1779.2592642753018</v>
      </c>
      <c r="O66" s="101">
        <f>IF(TrRoad_act!O42=0,0,O29/TrRoad_act!O42*1000
)</f>
        <v>1765.276225193815</v>
      </c>
      <c r="P66" s="101">
        <f>IF(TrRoad_act!P42=0,0,P29/TrRoad_act!P42*1000
)</f>
        <v>1738.6824827155979</v>
      </c>
      <c r="Q66" s="101">
        <f>IF(TrRoad_act!Q42=0,0,Q29/TrRoad_act!Q42*1000
)</f>
        <v>1754.8701504355397</v>
      </c>
      <c r="R66" s="101">
        <f>IF(TrRoad_act!R42=0,0,R29/TrRoad_act!R42*1000
)</f>
        <v>1767.4489733725113</v>
      </c>
      <c r="S66" s="101">
        <f>IF(TrRoad_act!S42=0,0,S29/TrRoad_act!S42*1000
)</f>
        <v>1790.2117599928729</v>
      </c>
      <c r="T66" s="101">
        <f>IF(TrRoad_act!T42=0,0,T29/TrRoad_act!T42*1000
)</f>
        <v>1734.4538315740926</v>
      </c>
      <c r="U66" s="101">
        <f>IF(TrRoad_act!U42=0,0,U29/TrRoad_act!U42*1000
)</f>
        <v>1728.9760388640941</v>
      </c>
      <c r="V66" s="101">
        <f>IF(TrRoad_act!V42=0,0,V29/TrRoad_act!V42*1000
)</f>
        <v>1698.4499092466431</v>
      </c>
      <c r="W66" s="101">
        <f>IF(TrRoad_act!W42=0,0,W29/TrRoad_act!W42*1000
)</f>
        <v>1717.3327836378089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1239.8354485584766</v>
      </c>
      <c r="S67" s="101">
        <f>IF(TrRoad_act!S43=0,0,S30/TrRoad_act!S43*1000
)</f>
        <v>1239.8354485584771</v>
      </c>
      <c r="T67" s="101">
        <f>IF(TrRoad_act!T43=0,0,T30/TrRoad_act!T43*1000
)</f>
        <v>1239.8354485584771</v>
      </c>
      <c r="U67" s="101">
        <f>IF(TrRoad_act!U43=0,0,U30/TrRoad_act!U43*1000
)</f>
        <v>1239.8354485584769</v>
      </c>
      <c r="V67" s="101">
        <f>IF(TrRoad_act!V43=0,0,V30/TrRoad_act!V43*1000
)</f>
        <v>1239.8354485584766</v>
      </c>
      <c r="W67" s="101">
        <f>IF(TrRoad_act!W43=0,0,W30/TrRoad_act!W43*1000
)</f>
        <v>1239.8354485584769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1075.1543080121589</v>
      </c>
      <c r="C68" s="101">
        <f>IF(TrRoad_act!C44=0,0,C31/TrRoad_act!C44*1000
)</f>
        <v>1339.6272224958045</v>
      </c>
      <c r="D68" s="101">
        <f>IF(TrRoad_act!D44=0,0,D31/TrRoad_act!D44*1000
)</f>
        <v>1086.5252318449905</v>
      </c>
      <c r="E68" s="101">
        <f>IF(TrRoad_act!E44=0,0,E31/TrRoad_act!E44*1000
)</f>
        <v>1084.9443077357482</v>
      </c>
      <c r="F68" s="101">
        <f>IF(TrRoad_act!F44=0,0,F31/TrRoad_act!F44*1000
)</f>
        <v>1080.6129354268351</v>
      </c>
      <c r="G68" s="101">
        <f>IF(TrRoad_act!G44=0,0,G31/TrRoad_act!G44*1000
)</f>
        <v>1052.3990969621507</v>
      </c>
      <c r="H68" s="101">
        <f>IF(TrRoad_act!H44=0,0,H31/TrRoad_act!H44*1000
)</f>
        <v>1128.4365016121642</v>
      </c>
      <c r="I68" s="101">
        <f>IF(TrRoad_act!I44=0,0,I31/TrRoad_act!I44*1000
)</f>
        <v>1195.8728760610595</v>
      </c>
      <c r="J68" s="101">
        <f>IF(TrRoad_act!J44=0,0,J31/TrRoad_act!J44*1000
)</f>
        <v>1607.2393238797208</v>
      </c>
      <c r="K68" s="101">
        <f>IF(TrRoad_act!K44=0,0,K31/TrRoad_act!K44*1000
)</f>
        <v>2477.2029506551512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0</v>
      </c>
      <c r="U68" s="101">
        <f>IF(TrRoad_act!U44=0,0,U31/TrRoad_act!U44*1000
)</f>
        <v>948.81027783725824</v>
      </c>
      <c r="V68" s="101">
        <f>IF(TrRoad_act!V44=0,0,V31/TrRoad_act!V44*1000
)</f>
        <v>1094.7090598252785</v>
      </c>
      <c r="W68" s="101">
        <f>IF(TrRoad_act!W44=0,0,W31/TrRoad_act!W44*1000
)</f>
        <v>1248.1499827934597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799.7007347088902</v>
      </c>
      <c r="C70" s="29">
        <f>IF(TrRoad_act!C46=0,0,C33/TrRoad_act!C46*1000
)</f>
        <v>1006.528566048795</v>
      </c>
      <c r="D70" s="29">
        <f>IF(TrRoad_act!D46=0,0,D33/TrRoad_act!D46*1000
)</f>
        <v>885.62067529629815</v>
      </c>
      <c r="E70" s="29">
        <f>IF(TrRoad_act!E46=0,0,E33/TrRoad_act!E46*1000
)</f>
        <v>909.03900856538314</v>
      </c>
      <c r="F70" s="29">
        <f>IF(TrRoad_act!F46=0,0,F33/TrRoad_act!F46*1000
)</f>
        <v>864.45140557737409</v>
      </c>
      <c r="G70" s="29">
        <f>IF(TrRoad_act!G46=0,0,G33/TrRoad_act!G46*1000
)</f>
        <v>924.47281670959205</v>
      </c>
      <c r="H70" s="29">
        <f>IF(TrRoad_act!H46=0,0,H33/TrRoad_act!H46*1000
)</f>
        <v>968.17826642139642</v>
      </c>
      <c r="I70" s="29">
        <f>IF(TrRoad_act!I46=0,0,I33/TrRoad_act!I46*1000
)</f>
        <v>1012.30933632939</v>
      </c>
      <c r="J70" s="29">
        <f>IF(TrRoad_act!J46=0,0,J33/TrRoad_act!J46*1000
)</f>
        <v>947.05475513140857</v>
      </c>
      <c r="K70" s="29">
        <f>IF(TrRoad_act!K46=0,0,K33/TrRoad_act!K46*1000
)</f>
        <v>829.93901774440246</v>
      </c>
      <c r="L70" s="29">
        <f>IF(TrRoad_act!L46=0,0,L33/TrRoad_act!L46*1000
)</f>
        <v>1071.4702224732182</v>
      </c>
      <c r="M70" s="29">
        <f>IF(TrRoad_act!M46=0,0,M33/TrRoad_act!M46*1000
)</f>
        <v>843.62435626443698</v>
      </c>
      <c r="N70" s="29">
        <f>IF(TrRoad_act!N46=0,0,N33/TrRoad_act!N46*1000
)</f>
        <v>782.37503113192486</v>
      </c>
      <c r="O70" s="29">
        <f>IF(TrRoad_act!O46=0,0,O33/TrRoad_act!O46*1000
)</f>
        <v>722.6410923985602</v>
      </c>
      <c r="P70" s="29">
        <f>IF(TrRoad_act!P46=0,0,P33/TrRoad_act!P46*1000
)</f>
        <v>681.7831310688191</v>
      </c>
      <c r="Q70" s="29">
        <f>IF(TrRoad_act!Q46=0,0,Q33/TrRoad_act!Q46*1000
)</f>
        <v>696.79449356032285</v>
      </c>
      <c r="R70" s="29">
        <f>IF(TrRoad_act!R46=0,0,R33/TrRoad_act!R46*1000
)</f>
        <v>675.98788907760252</v>
      </c>
      <c r="S70" s="29">
        <f>IF(TrRoad_act!S46=0,0,S33/TrRoad_act!S46*1000
)</f>
        <v>697.4572052255844</v>
      </c>
      <c r="T70" s="29">
        <f>IF(TrRoad_act!T46=0,0,T33/TrRoad_act!T46*1000
)</f>
        <v>674.78342152219682</v>
      </c>
      <c r="U70" s="29">
        <f>IF(TrRoad_act!U46=0,0,U33/TrRoad_act!U46*1000
)</f>
        <v>636.45331414702298</v>
      </c>
      <c r="V70" s="29">
        <f>IF(TrRoad_act!V46=0,0,V33/TrRoad_act!V46*1000
)</f>
        <v>602.19051748854167</v>
      </c>
      <c r="W70" s="29">
        <f>IF(TrRoad_act!W46=0,0,W33/TrRoad_act!W46*1000
)</f>
        <v>629.78242918341266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314.1597290813873</v>
      </c>
      <c r="C71" s="152">
        <f>IF(TrRoad_act!C47=0,0,C34/TrRoad_act!C47*1000
)</f>
        <v>326.8962572709159</v>
      </c>
      <c r="D71" s="152">
        <f>IF(TrRoad_act!D47=0,0,D34/TrRoad_act!D47*1000
)</f>
        <v>317.35094721302409</v>
      </c>
      <c r="E71" s="152">
        <f>IF(TrRoad_act!E47=0,0,E34/TrRoad_act!E47*1000
)</f>
        <v>308.1647009170286</v>
      </c>
      <c r="F71" s="152">
        <f>IF(TrRoad_act!F47=0,0,F34/TrRoad_act!F47*1000
)</f>
        <v>311.68406907200307</v>
      </c>
      <c r="G71" s="152">
        <f>IF(TrRoad_act!G47=0,0,G34/TrRoad_act!G47*1000
)</f>
        <v>307.79378881913158</v>
      </c>
      <c r="H71" s="152">
        <f>IF(TrRoad_act!H47=0,0,H34/TrRoad_act!H47*1000
)</f>
        <v>312.13192801945911</v>
      </c>
      <c r="I71" s="152">
        <f>IF(TrRoad_act!I47=0,0,I34/TrRoad_act!I47*1000
)</f>
        <v>318.82035369278839</v>
      </c>
      <c r="J71" s="152">
        <f>IF(TrRoad_act!J47=0,0,J34/TrRoad_act!J47*1000
)</f>
        <v>313.96885784186736</v>
      </c>
      <c r="K71" s="152">
        <f>IF(TrRoad_act!K47=0,0,K34/TrRoad_act!K47*1000
)</f>
        <v>301.55372457459328</v>
      </c>
      <c r="L71" s="152">
        <f>IF(TrRoad_act!L47=0,0,L34/TrRoad_act!L47*1000
)</f>
        <v>323.89610317710293</v>
      </c>
      <c r="M71" s="152">
        <f>IF(TrRoad_act!M47=0,0,M34/TrRoad_act!M47*1000
)</f>
        <v>300.28320552589122</v>
      </c>
      <c r="N71" s="152">
        <f>IF(TrRoad_act!N47=0,0,N34/TrRoad_act!N47*1000
)</f>
        <v>297.83194174411955</v>
      </c>
      <c r="O71" s="152">
        <f>IF(TrRoad_act!O47=0,0,O34/TrRoad_act!O47*1000
)</f>
        <v>293.77192325565272</v>
      </c>
      <c r="P71" s="152">
        <f>IF(TrRoad_act!P47=0,0,P34/TrRoad_act!P47*1000
)</f>
        <v>287.28588114065514</v>
      </c>
      <c r="Q71" s="152">
        <f>IF(TrRoad_act!Q47=0,0,Q34/TrRoad_act!Q47*1000
)</f>
        <v>285.98498071180194</v>
      </c>
      <c r="R71" s="152">
        <f>IF(TrRoad_act!R47=0,0,R34/TrRoad_act!R47*1000
)</f>
        <v>284.24119211538266</v>
      </c>
      <c r="S71" s="152">
        <f>IF(TrRoad_act!S47=0,0,S34/TrRoad_act!S47*1000
)</f>
        <v>283.31256285972864</v>
      </c>
      <c r="T71" s="152">
        <f>IF(TrRoad_act!T47=0,0,T34/TrRoad_act!T47*1000
)</f>
        <v>271.01928608444007</v>
      </c>
      <c r="U71" s="152">
        <f>IF(TrRoad_act!U47=0,0,U34/TrRoad_act!U47*1000
)</f>
        <v>266.67402771286265</v>
      </c>
      <c r="V71" s="152">
        <f>IF(TrRoad_act!V47=0,0,V34/TrRoad_act!V47*1000
)</f>
        <v>260.58412122421566</v>
      </c>
      <c r="W71" s="152">
        <f>IF(TrRoad_act!W47=0,0,W34/TrRoad_act!W47*1000
)</f>
        <v>261.99398194445291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273.98383560750881</v>
      </c>
      <c r="C72" s="87">
        <f>IF(TrRoad_act!C48=0,0,C35/TrRoad_act!C48*1000
)</f>
        <v>270.11671164529577</v>
      </c>
      <c r="D72" s="87">
        <f>IF(TrRoad_act!D48=0,0,D35/TrRoad_act!D48*1000
)</f>
        <v>268.82836295094364</v>
      </c>
      <c r="E72" s="87">
        <f>IF(TrRoad_act!E48=0,0,E35/TrRoad_act!E48*1000
)</f>
        <v>266.01527786799187</v>
      </c>
      <c r="F72" s="87">
        <f>IF(TrRoad_act!F48=0,0,F35/TrRoad_act!F48*1000
)</f>
        <v>263.66608211039932</v>
      </c>
      <c r="G72" s="87">
        <f>IF(TrRoad_act!G48=0,0,G35/TrRoad_act!G48*1000
)</f>
        <v>260.88892718669081</v>
      </c>
      <c r="H72" s="87">
        <f>IF(TrRoad_act!H48=0,0,H35/TrRoad_act!H48*1000
)</f>
        <v>256.76343811444508</v>
      </c>
      <c r="I72" s="87">
        <f>IF(TrRoad_act!I48=0,0,I35/TrRoad_act!I48*1000
)</f>
        <v>255.02480593496614</v>
      </c>
      <c r="J72" s="87">
        <f>IF(TrRoad_act!J48=0,0,J35/TrRoad_act!J48*1000
)</f>
        <v>252.10025114407807</v>
      </c>
      <c r="K72" s="87">
        <f>IF(TrRoad_act!K48=0,0,K35/TrRoad_act!K48*1000
)</f>
        <v>246.6753214502348</v>
      </c>
      <c r="L72" s="87">
        <f>IF(TrRoad_act!L48=0,0,L35/TrRoad_act!L48*1000
)</f>
        <v>235.36135768750628</v>
      </c>
      <c r="M72" s="87">
        <f>IF(TrRoad_act!M48=0,0,M35/TrRoad_act!M48*1000
)</f>
        <v>235.01552816860556</v>
      </c>
      <c r="N72" s="87">
        <f>IF(TrRoad_act!N48=0,0,N35/TrRoad_act!N48*1000
)</f>
        <v>233.51682076550321</v>
      </c>
      <c r="O72" s="87">
        <f>IF(TrRoad_act!O48=0,0,O35/TrRoad_act!O48*1000
)</f>
        <v>231.32940558142442</v>
      </c>
      <c r="P72" s="87">
        <f>IF(TrRoad_act!P48=0,0,P35/TrRoad_act!P48*1000
)</f>
        <v>229.02452856378486</v>
      </c>
      <c r="Q72" s="87">
        <f>IF(TrRoad_act!Q48=0,0,Q35/TrRoad_act!Q48*1000
)</f>
        <v>225.70148064525017</v>
      </c>
      <c r="R72" s="87">
        <f>IF(TrRoad_act!R48=0,0,R35/TrRoad_act!R48*1000
)</f>
        <v>222.66090535612346</v>
      </c>
      <c r="S72" s="87">
        <f>IF(TrRoad_act!S48=0,0,S35/TrRoad_act!S48*1000
)</f>
        <v>221.47703860894271</v>
      </c>
      <c r="T72" s="87">
        <f>IF(TrRoad_act!T48=0,0,T35/TrRoad_act!T48*1000
)</f>
        <v>223.48057880602579</v>
      </c>
      <c r="U72" s="87">
        <f>IF(TrRoad_act!U48=0,0,U35/TrRoad_act!U48*1000
)</f>
        <v>224.82034893908468</v>
      </c>
      <c r="V72" s="87">
        <f>IF(TrRoad_act!V48=0,0,V35/TrRoad_act!V48*1000
)</f>
        <v>216.73613744580874</v>
      </c>
      <c r="W72" s="87">
        <f>IF(TrRoad_act!W48=0,0,W35/TrRoad_act!W48*1000
)</f>
        <v>216.98456257186325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342.68850759780042</v>
      </c>
      <c r="C73" s="87">
        <f>IF(TrRoad_act!C49=0,0,C36/TrRoad_act!C49*1000
)</f>
        <v>359.81796841995708</v>
      </c>
      <c r="D73" s="87">
        <f>IF(TrRoad_act!D49=0,0,D36/TrRoad_act!D49*1000
)</f>
        <v>335.69933061099891</v>
      </c>
      <c r="E73" s="87">
        <f>IF(TrRoad_act!E49=0,0,E36/TrRoad_act!E49*1000
)</f>
        <v>325.61345921123967</v>
      </c>
      <c r="F73" s="87">
        <f>IF(TrRoad_act!F49=0,0,F36/TrRoad_act!F49*1000
)</f>
        <v>325.4110600894391</v>
      </c>
      <c r="G73" s="87">
        <f>IF(TrRoad_act!G49=0,0,G36/TrRoad_act!G49*1000
)</f>
        <v>322.23192193395096</v>
      </c>
      <c r="H73" s="87">
        <f>IF(TrRoad_act!H49=0,0,H36/TrRoad_act!H49*1000
)</f>
        <v>327.59229516219341</v>
      </c>
      <c r="I73" s="87">
        <f>IF(TrRoad_act!I49=0,0,I36/TrRoad_act!I49*1000
)</f>
        <v>333.88951213237431</v>
      </c>
      <c r="J73" s="87">
        <f>IF(TrRoad_act!J49=0,0,J36/TrRoad_act!J49*1000
)</f>
        <v>325.54226262416813</v>
      </c>
      <c r="K73" s="87">
        <f>IF(TrRoad_act!K49=0,0,K36/TrRoad_act!K49*1000
)</f>
        <v>310.07027154055913</v>
      </c>
      <c r="L73" s="87">
        <f>IF(TrRoad_act!L49=0,0,L36/TrRoad_act!L49*1000
)</f>
        <v>330.84296094301595</v>
      </c>
      <c r="M73" s="87">
        <f>IF(TrRoad_act!M49=0,0,M36/TrRoad_act!M49*1000
)</f>
        <v>304.71133663615171</v>
      </c>
      <c r="N73" s="87">
        <f>IF(TrRoad_act!N49=0,0,N36/TrRoad_act!N49*1000
)</f>
        <v>301.83719868550935</v>
      </c>
      <c r="O73" s="87">
        <f>IF(TrRoad_act!O49=0,0,O36/TrRoad_act!O49*1000
)</f>
        <v>296.64651998939843</v>
      </c>
      <c r="P73" s="87">
        <f>IF(TrRoad_act!P49=0,0,P36/TrRoad_act!P49*1000
)</f>
        <v>289.15308514977181</v>
      </c>
      <c r="Q73" s="87">
        <f>IF(TrRoad_act!Q49=0,0,Q36/TrRoad_act!Q49*1000
)</f>
        <v>287.73429605974673</v>
      </c>
      <c r="R73" s="87">
        <f>IF(TrRoad_act!R49=0,0,R36/TrRoad_act!R49*1000
)</f>
        <v>285.78515412488628</v>
      </c>
      <c r="S73" s="87">
        <f>IF(TrRoad_act!S49=0,0,S36/TrRoad_act!S49*1000
)</f>
        <v>284.80648216083915</v>
      </c>
      <c r="T73" s="87">
        <f>IF(TrRoad_act!T49=0,0,T36/TrRoad_act!T49*1000
)</f>
        <v>272.13984174665745</v>
      </c>
      <c r="U73" s="87">
        <f>IF(TrRoad_act!U49=0,0,U36/TrRoad_act!U49*1000
)</f>
        <v>267.63844990893011</v>
      </c>
      <c r="V73" s="87">
        <f>IF(TrRoad_act!V49=0,0,V36/TrRoad_act!V49*1000
)</f>
        <v>261.51487117968122</v>
      </c>
      <c r="W73" s="87">
        <f>IF(TrRoad_act!W49=0,0,W36/TrRoad_act!W49*1000
)</f>
        <v>262.97164618119791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234.35715164923118</v>
      </c>
      <c r="O74" s="87">
        <f>IF(TrRoad_act!O50=0,0,O37/TrRoad_act!O50*1000
)</f>
        <v>234.35715164923116</v>
      </c>
      <c r="P74" s="87">
        <f>IF(TrRoad_act!P50=0,0,P37/TrRoad_act!P50*1000
)</f>
        <v>222.79691010445384</v>
      </c>
      <c r="Q74" s="87">
        <f>IF(TrRoad_act!Q50=0,0,Q37/TrRoad_act!Q50*1000
)</f>
        <v>225.42892756900005</v>
      </c>
      <c r="R74" s="87">
        <f>IF(TrRoad_act!R50=0,0,R37/TrRoad_act!R50*1000
)</f>
        <v>272.96495981843123</v>
      </c>
      <c r="S74" s="87">
        <f>IF(TrRoad_act!S50=0,0,S37/TrRoad_act!S50*1000
)</f>
        <v>255.39630704349452</v>
      </c>
      <c r="T74" s="87">
        <f>IF(TrRoad_act!T50=0,0,T37/TrRoad_act!T50*1000
)</f>
        <v>244.44422623458794</v>
      </c>
      <c r="U74" s="87">
        <f>IF(TrRoad_act!U50=0,0,U37/TrRoad_act!U50*1000
)</f>
        <v>236.52481599782504</v>
      </c>
      <c r="V74" s="87">
        <f>IF(TrRoad_act!V50=0,0,V37/TrRoad_act!V50*1000
)</f>
        <v>237.33217833808135</v>
      </c>
      <c r="W74" s="87">
        <f>IF(TrRoad_act!W50=0,0,W37/TrRoad_act!W50*1000
)</f>
        <v>237.86704201081483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1324.4145146276908</v>
      </c>
      <c r="C77" s="116">
        <f>IF(TrRoad_act!C53=0,0,C40/TrRoad_act!C53*1000
)</f>
        <v>1709.4239968069919</v>
      </c>
      <c r="D77" s="116">
        <f>IF(TrRoad_act!D53=0,0,D40/TrRoad_act!D53*1000
)</f>
        <v>1516.0105174203768</v>
      </c>
      <c r="E77" s="116">
        <f>IF(TrRoad_act!E53=0,0,E40/TrRoad_act!E53*1000
)</f>
        <v>1459.7454755899507</v>
      </c>
      <c r="F77" s="116">
        <f>IF(TrRoad_act!F53=0,0,F40/TrRoad_act!F53*1000
)</f>
        <v>1531.8205205068948</v>
      </c>
      <c r="G77" s="116">
        <f>IF(TrRoad_act!G53=0,0,G40/TrRoad_act!G53*1000
)</f>
        <v>1558.2101316814751</v>
      </c>
      <c r="H77" s="116">
        <f>IF(TrRoad_act!H53=0,0,H40/TrRoad_act!H53*1000
)</f>
        <v>1680.6294648478681</v>
      </c>
      <c r="I77" s="116">
        <f>IF(TrRoad_act!I53=0,0,I40/TrRoad_act!I53*1000
)</f>
        <v>1716.4229269942532</v>
      </c>
      <c r="J77" s="116">
        <f>IF(TrRoad_act!J53=0,0,J40/TrRoad_act!J53*1000
)</f>
        <v>1638.251657073401</v>
      </c>
      <c r="K77" s="116">
        <f>IF(TrRoad_act!K53=0,0,K40/TrRoad_act!K53*1000
)</f>
        <v>1421.8779757017751</v>
      </c>
      <c r="L77" s="116">
        <f>IF(TrRoad_act!L53=0,0,L40/TrRoad_act!L53*1000
)</f>
        <v>1867.6659696603922</v>
      </c>
      <c r="M77" s="116">
        <f>IF(TrRoad_act!M53=0,0,M40/TrRoad_act!M53*1000
)</f>
        <v>1534.9939916904739</v>
      </c>
      <c r="N77" s="116">
        <f>IF(TrRoad_act!N53=0,0,N40/TrRoad_act!N53*1000
)</f>
        <v>1539.9746602831422</v>
      </c>
      <c r="O77" s="116">
        <f>IF(TrRoad_act!O53=0,0,O40/TrRoad_act!O53*1000
)</f>
        <v>1438.1431745424286</v>
      </c>
      <c r="P77" s="116">
        <f>IF(TrRoad_act!P53=0,0,P40/TrRoad_act!P53*1000
)</f>
        <v>1409.5175628327502</v>
      </c>
      <c r="Q77" s="116">
        <f>IF(TrRoad_act!Q53=0,0,Q40/TrRoad_act!Q53*1000
)</f>
        <v>1450.1217388100029</v>
      </c>
      <c r="R77" s="116">
        <f>IF(TrRoad_act!R53=0,0,R40/TrRoad_act!R53*1000
)</f>
        <v>1384.5751881322535</v>
      </c>
      <c r="S77" s="116">
        <f>IF(TrRoad_act!S53=0,0,S40/TrRoad_act!S53*1000
)</f>
        <v>1418.9524891598885</v>
      </c>
      <c r="T77" s="116">
        <f>IF(TrRoad_act!T53=0,0,T40/TrRoad_act!T53*1000
)</f>
        <v>1361.3342099514912</v>
      </c>
      <c r="U77" s="116">
        <f>IF(TrRoad_act!U53=0,0,U40/TrRoad_act!U53*1000
)</f>
        <v>1298.3283675226089</v>
      </c>
      <c r="V77" s="116">
        <f>IF(TrRoad_act!V53=0,0,V40/TrRoad_act!V53*1000
)</f>
        <v>1194.261685022708</v>
      </c>
      <c r="W77" s="116">
        <f>IF(TrRoad_act!W53=0,0,W40/TrRoad_act!W53*1000
)</f>
        <v>1242.0000133187059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986.72075725040759</v>
      </c>
      <c r="C78" s="101">
        <f>IF(TrRoad_act!C54=0,0,C41/TrRoad_act!C54*1000
)</f>
        <v>1022.1883791790032</v>
      </c>
      <c r="D78" s="101">
        <f>IF(TrRoad_act!D54=0,0,D41/TrRoad_act!D54*1000
)</f>
        <v>1002.1382576777953</v>
      </c>
      <c r="E78" s="101">
        <f>IF(TrRoad_act!E54=0,0,E41/TrRoad_act!E54*1000
)</f>
        <v>994.93092533043625</v>
      </c>
      <c r="F78" s="101">
        <f>IF(TrRoad_act!F54=0,0,F41/TrRoad_act!F54*1000
)</f>
        <v>999.25240648222155</v>
      </c>
      <c r="G78" s="101">
        <f>IF(TrRoad_act!G54=0,0,G41/TrRoad_act!G54*1000
)</f>
        <v>995.22672063032599</v>
      </c>
      <c r="H78" s="101">
        <f>IF(TrRoad_act!H54=0,0,H41/TrRoad_act!H54*1000
)</f>
        <v>1005.0390154773883</v>
      </c>
      <c r="I78" s="101">
        <f>IF(TrRoad_act!I54=0,0,I41/TrRoad_act!I54*1000
)</f>
        <v>1006.0224962607332</v>
      </c>
      <c r="J78" s="101">
        <f>IF(TrRoad_act!J54=0,0,J41/TrRoad_act!J54*1000
)</f>
        <v>996.14927762849288</v>
      </c>
      <c r="K78" s="101">
        <f>IF(TrRoad_act!K54=0,0,K41/TrRoad_act!K54*1000
)</f>
        <v>975.72624275412602</v>
      </c>
      <c r="L78" s="101">
        <f>IF(TrRoad_act!L54=0,0,L41/TrRoad_act!L54*1000
)</f>
        <v>987.57923459129483</v>
      </c>
      <c r="M78" s="101">
        <f>IF(TrRoad_act!M54=0,0,M41/TrRoad_act!M54*1000
)</f>
        <v>954.65781068718684</v>
      </c>
      <c r="N78" s="101">
        <f>IF(TrRoad_act!N54=0,0,N41/TrRoad_act!N54*1000
)</f>
        <v>957.21452053563962</v>
      </c>
      <c r="O78" s="101">
        <f>IF(TrRoad_act!O54=0,0,O41/TrRoad_act!O54*1000
)</f>
        <v>943.19910267319756</v>
      </c>
      <c r="P78" s="101">
        <f>IF(TrRoad_act!P54=0,0,P41/TrRoad_act!P54*1000
)</f>
        <v>935.19627585140995</v>
      </c>
      <c r="Q78" s="101">
        <f>IF(TrRoad_act!Q54=0,0,Q41/TrRoad_act!Q54*1000
)</f>
        <v>940.87763815939968</v>
      </c>
      <c r="R78" s="101">
        <f>IF(TrRoad_act!R54=0,0,R41/TrRoad_act!R54*1000
)</f>
        <v>948.98036591512619</v>
      </c>
      <c r="S78" s="101">
        <f>IF(TrRoad_act!S54=0,0,S41/TrRoad_act!S54*1000
)</f>
        <v>951.29869465834599</v>
      </c>
      <c r="T78" s="101">
        <f>IF(TrRoad_act!T54=0,0,T41/TrRoad_act!T54*1000
)</f>
        <v>916.03099336263801</v>
      </c>
      <c r="U78" s="101">
        <f>IF(TrRoad_act!U54=0,0,U41/TrRoad_act!U54*1000
)</f>
        <v>910.8083612468746</v>
      </c>
      <c r="V78" s="101">
        <f>IF(TrRoad_act!V54=0,0,V41/TrRoad_act!V54*1000
)</f>
        <v>893.764039670942</v>
      </c>
      <c r="W78" s="101">
        <f>IF(TrRoad_act!W54=0,0,W41/TrRoad_act!W54*1000
)</f>
        <v>897.52463624848372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3158.7713013860102</v>
      </c>
      <c r="C79" s="88">
        <f>IF(TrRoad_act!C55=0,0,C42/TrRoad_act!C55*1000
)</f>
        <v>5989.2530946307425</v>
      </c>
      <c r="D79" s="88">
        <f>IF(TrRoad_act!D55=0,0,D42/TrRoad_act!D55*1000
)</f>
        <v>5153.1613772287437</v>
      </c>
      <c r="E79" s="88">
        <f>IF(TrRoad_act!E55=0,0,E42/TrRoad_act!E55*1000
)</f>
        <v>5123.3046401079764</v>
      </c>
      <c r="F79" s="88">
        <f>IF(TrRoad_act!F55=0,0,F42/TrRoad_act!F55*1000
)</f>
        <v>4897.3491555975561</v>
      </c>
      <c r="G79" s="88">
        <f>IF(TrRoad_act!G55=0,0,G42/TrRoad_act!G55*1000
)</f>
        <v>5420.1958073068645</v>
      </c>
      <c r="H79" s="88">
        <f>IF(TrRoad_act!H55=0,0,H42/TrRoad_act!H55*1000
)</f>
        <v>5509.8259000945527</v>
      </c>
      <c r="I79" s="88">
        <f>IF(TrRoad_act!I55=0,0,I42/TrRoad_act!I55*1000
)</f>
        <v>5916.8788061947262</v>
      </c>
      <c r="J79" s="88">
        <f>IF(TrRoad_act!J55=0,0,J42/TrRoad_act!J55*1000
)</f>
        <v>5272.4447686016802</v>
      </c>
      <c r="K79" s="88">
        <f>IF(TrRoad_act!K55=0,0,K42/TrRoad_act!K55*1000
)</f>
        <v>4427.9133305724217</v>
      </c>
      <c r="L79" s="88">
        <f>IF(TrRoad_act!L55=0,0,L42/TrRoad_act!L55*1000
)</f>
        <v>6578.5614879420446</v>
      </c>
      <c r="M79" s="88">
        <f>IF(TrRoad_act!M55=0,0,M42/TrRoad_act!M55*1000
)</f>
        <v>3721.5134654912049</v>
      </c>
      <c r="N79" s="88">
        <f>IF(TrRoad_act!N55=0,0,N42/TrRoad_act!N55*1000
)</f>
        <v>3180.1755518841019</v>
      </c>
      <c r="O79" s="88">
        <f>IF(TrRoad_act!O55=0,0,O42/TrRoad_act!O55*1000
)</f>
        <v>2731.7451482741467</v>
      </c>
      <c r="P79" s="88">
        <f>IF(TrRoad_act!P55=0,0,P42/TrRoad_act!P55*1000
)</f>
        <v>2616.2843667595971</v>
      </c>
      <c r="Q79" s="88">
        <f>IF(TrRoad_act!Q55=0,0,Q42/TrRoad_act!Q55*1000
)</f>
        <v>2566.5730617806153</v>
      </c>
      <c r="R79" s="88">
        <f>IF(TrRoad_act!R55=0,0,R42/TrRoad_act!R55*1000
)</f>
        <v>2350.6330284261808</v>
      </c>
      <c r="S79" s="88">
        <f>IF(TrRoad_act!S55=0,0,S42/TrRoad_act!S55*1000
)</f>
        <v>2606.1108006250406</v>
      </c>
      <c r="T79" s="88">
        <f>IF(TrRoad_act!T55=0,0,T42/TrRoad_act!T55*1000
)</f>
        <v>2433.6421888395375</v>
      </c>
      <c r="U79" s="88">
        <f>IF(TrRoad_act!U55=0,0,U42/TrRoad_act!U55*1000
)</f>
        <v>2322.9820445044406</v>
      </c>
      <c r="V79" s="88">
        <f>IF(TrRoad_act!V55=0,0,V42/TrRoad_act!V55*1000
)</f>
        <v>1856.3076501573669</v>
      </c>
      <c r="W79" s="88">
        <f>IF(TrRoad_act!W55=0,0,W42/TrRoad_act!W55*1000
)</f>
        <v>2136.1627848452281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98.598285929352386</v>
      </c>
      <c r="C82" s="29">
        <f>IF(TrRoad_act!C4=0,0,C18/TrRoad_act!C4*1000)</f>
        <v>103.97354168474128</v>
      </c>
      <c r="D82" s="29">
        <f>IF(TrRoad_act!D4=0,0,D18/TrRoad_act!D4*1000)</f>
        <v>100.73724114869336</v>
      </c>
      <c r="E82" s="29">
        <f>IF(TrRoad_act!E4=0,0,E18/TrRoad_act!E4*1000)</f>
        <v>100.80723252810824</v>
      </c>
      <c r="F82" s="29">
        <f>IF(TrRoad_act!F4=0,0,F18/TrRoad_act!F4*1000)</f>
        <v>115.62081852020557</v>
      </c>
      <c r="G82" s="29">
        <f>IF(TrRoad_act!G4=0,0,G18/TrRoad_act!G4*1000)</f>
        <v>111.66689510395379</v>
      </c>
      <c r="H82" s="29">
        <f>IF(TrRoad_act!H4=0,0,H18/TrRoad_act!H4*1000)</f>
        <v>112.85630832104545</v>
      </c>
      <c r="I82" s="29">
        <f>IF(TrRoad_act!I4=0,0,I18/TrRoad_act!I4*1000)</f>
        <v>112.24676062546479</v>
      </c>
      <c r="J82" s="29">
        <f>IF(TrRoad_act!J4=0,0,J18/TrRoad_act!J4*1000)</f>
        <v>119.06305335130885</v>
      </c>
      <c r="K82" s="29">
        <f>IF(TrRoad_act!K4=0,0,K18/TrRoad_act!K4*1000)</f>
        <v>121.27022372685425</v>
      </c>
      <c r="L82" s="29">
        <f>IF(TrRoad_act!L4=0,0,L18/TrRoad_act!L4*1000)</f>
        <v>121.18895160319558</v>
      </c>
      <c r="M82" s="29">
        <f>IF(TrRoad_act!M4=0,0,M18/TrRoad_act!M4*1000)</f>
        <v>122.04207016276284</v>
      </c>
      <c r="N82" s="29">
        <f>IF(TrRoad_act!N4=0,0,N18/TrRoad_act!N4*1000)</f>
        <v>114.34550626477007</v>
      </c>
      <c r="O82" s="29">
        <f>IF(TrRoad_act!O4=0,0,O18/TrRoad_act!O4*1000)</f>
        <v>113.43874185652398</v>
      </c>
      <c r="P82" s="29">
        <f>IF(TrRoad_act!P4=0,0,P18/TrRoad_act!P4*1000)</f>
        <v>116.31540362365769</v>
      </c>
      <c r="Q82" s="29">
        <f>IF(TrRoad_act!Q4=0,0,Q18/TrRoad_act!Q4*1000)</f>
        <v>117.66926332287218</v>
      </c>
      <c r="R82" s="29">
        <f>IF(TrRoad_act!R4=0,0,R18/TrRoad_act!R4*1000)</f>
        <v>120.23401855066722</v>
      </c>
      <c r="S82" s="29">
        <f>IF(TrRoad_act!S4=0,0,S18/TrRoad_act!S4*1000)</f>
        <v>117.5897679872209</v>
      </c>
      <c r="T82" s="29">
        <f>IF(TrRoad_act!T4=0,0,T18/TrRoad_act!T4*1000)</f>
        <v>115.72187394563072</v>
      </c>
      <c r="U82" s="29">
        <f>IF(TrRoad_act!U4=0,0,U18/TrRoad_act!U4*1000)</f>
        <v>117.97520689287106</v>
      </c>
      <c r="V82" s="29">
        <f>IF(TrRoad_act!V4=0,0,V18/TrRoad_act!V4*1000)</f>
        <v>121.79930233120918</v>
      </c>
      <c r="W82" s="29">
        <f>IF(TrRoad_act!W4=0,0,W18/TrRoad_act!W4*1000)</f>
        <v>135.70061051334662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128.47260424193402</v>
      </c>
      <c r="C83" s="152">
        <f>IF(TrRoad_act!C5=0,0,C19/TrRoad_act!C5*1000)</f>
        <v>128.00202406000474</v>
      </c>
      <c r="D83" s="152">
        <f>IF(TrRoad_act!D5=0,0,D19/TrRoad_act!D5*1000)</f>
        <v>127.23992560681371</v>
      </c>
      <c r="E83" s="152">
        <f>IF(TrRoad_act!E5=0,0,E19/TrRoad_act!E5*1000)</f>
        <v>126.38263496960175</v>
      </c>
      <c r="F83" s="152">
        <f>IF(TrRoad_act!F5=0,0,F19/TrRoad_act!F5*1000)</f>
        <v>125.3730797011734</v>
      </c>
      <c r="G83" s="152">
        <f>IF(TrRoad_act!G5=0,0,G19/TrRoad_act!G5*1000)</f>
        <v>124.45306245087725</v>
      </c>
      <c r="H83" s="152">
        <f>IF(TrRoad_act!H5=0,0,H19/TrRoad_act!H5*1000)</f>
        <v>122.47084073005985</v>
      </c>
      <c r="I83" s="152">
        <f>IF(TrRoad_act!I5=0,0,I19/TrRoad_act!I5*1000)</f>
        <v>120.23862781269918</v>
      </c>
      <c r="J83" s="152">
        <f>IF(TrRoad_act!J5=0,0,J19/TrRoad_act!J5*1000)</f>
        <v>117.7548065148443</v>
      </c>
      <c r="K83" s="152">
        <f>IF(TrRoad_act!K5=0,0,K19/TrRoad_act!K5*1000)</f>
        <v>115.74734902089897</v>
      </c>
      <c r="L83" s="152">
        <f>IF(TrRoad_act!L5=0,0,L19/TrRoad_act!L5*1000)</f>
        <v>112.67782438028367</v>
      </c>
      <c r="M83" s="152">
        <f>IF(TrRoad_act!M5=0,0,M19/TrRoad_act!M5*1000)</f>
        <v>109.43674911685483</v>
      </c>
      <c r="N83" s="152">
        <f>IF(TrRoad_act!N5=0,0,N19/TrRoad_act!N5*1000)</f>
        <v>106.49186659971562</v>
      </c>
      <c r="O83" s="152">
        <f>IF(TrRoad_act!O5=0,0,O19/TrRoad_act!O5*1000)</f>
        <v>102.91335682393198</v>
      </c>
      <c r="P83" s="152">
        <f>IF(TrRoad_act!P5=0,0,P19/TrRoad_act!P5*1000)</f>
        <v>99.021189406861168</v>
      </c>
      <c r="Q83" s="152">
        <f>IF(TrRoad_act!Q5=0,0,Q19/TrRoad_act!Q5*1000)</f>
        <v>94.933710114743022</v>
      </c>
      <c r="R83" s="152">
        <f>IF(TrRoad_act!R5=0,0,R19/TrRoad_act!R5*1000)</f>
        <v>91.254918363238843</v>
      </c>
      <c r="S83" s="152">
        <f>IF(TrRoad_act!S5=0,0,S19/TrRoad_act!S5*1000)</f>
        <v>88.627159123857595</v>
      </c>
      <c r="T83" s="152">
        <f>IF(TrRoad_act!T5=0,0,T19/TrRoad_act!T5*1000)</f>
        <v>86.099310983082106</v>
      </c>
      <c r="U83" s="152">
        <f>IF(TrRoad_act!U5=0,0,U19/TrRoad_act!U5*1000)</f>
        <v>84.139812318008239</v>
      </c>
      <c r="V83" s="152">
        <f>IF(TrRoad_act!V5=0,0,V19/TrRoad_act!V5*1000)</f>
        <v>80.17677784492308</v>
      </c>
      <c r="W83" s="152">
        <f>IF(TrRoad_act!W5=0,0,W19/TrRoad_act!W5*1000)</f>
        <v>72.61571208619506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96.966596159140352</v>
      </c>
      <c r="C84" s="116">
        <f>IF(TrRoad_act!C6=0,0,C20/TrRoad_act!C6*1000)</f>
        <v>101.05455163745685</v>
      </c>
      <c r="D84" s="116">
        <f>IF(TrRoad_act!D6=0,0,D20/TrRoad_act!D6*1000)</f>
        <v>98.175066821017907</v>
      </c>
      <c r="E84" s="116">
        <f>IF(TrRoad_act!E6=0,0,E20/TrRoad_act!E6*1000)</f>
        <v>98.58243031666629</v>
      </c>
      <c r="F84" s="116">
        <f>IF(TrRoad_act!F6=0,0,F20/TrRoad_act!F6*1000)</f>
        <v>117.30059808009547</v>
      </c>
      <c r="G84" s="116">
        <f>IF(TrRoad_act!G6=0,0,G20/TrRoad_act!G6*1000)</f>
        <v>114.81075546418684</v>
      </c>
      <c r="H84" s="116">
        <f>IF(TrRoad_act!H6=0,0,H20/TrRoad_act!H6*1000)</f>
        <v>115.17064394438437</v>
      </c>
      <c r="I84" s="116">
        <f>IF(TrRoad_act!I6=0,0,I20/TrRoad_act!I6*1000)</f>
        <v>113.34795515939889</v>
      </c>
      <c r="J84" s="116">
        <f>IF(TrRoad_act!J6=0,0,J20/TrRoad_act!J6*1000)</f>
        <v>121.98033570764456</v>
      </c>
      <c r="K84" s="116">
        <f>IF(TrRoad_act!K6=0,0,K20/TrRoad_act!K6*1000)</f>
        <v>122.90509514140211</v>
      </c>
      <c r="L84" s="116">
        <f>IF(TrRoad_act!L6=0,0,L20/TrRoad_act!L6*1000)</f>
        <v>123.89450145066489</v>
      </c>
      <c r="M84" s="116">
        <f>IF(TrRoad_act!M6=0,0,M20/TrRoad_act!M6*1000)</f>
        <v>128.48096086063273</v>
      </c>
      <c r="N84" s="116">
        <f>IF(TrRoad_act!N6=0,0,N20/TrRoad_act!N6*1000)</f>
        <v>122.8403224728827</v>
      </c>
      <c r="O84" s="116">
        <f>IF(TrRoad_act!O6=0,0,O20/TrRoad_act!O6*1000)</f>
        <v>121.5869739926511</v>
      </c>
      <c r="P84" s="116">
        <f>IF(TrRoad_act!P6=0,0,P20/TrRoad_act!P6*1000)</f>
        <v>125.18166332484395</v>
      </c>
      <c r="Q84" s="116">
        <f>IF(TrRoad_act!Q6=0,0,Q20/TrRoad_act!Q6*1000)</f>
        <v>125.67003189514122</v>
      </c>
      <c r="R84" s="116">
        <f>IF(TrRoad_act!R6=0,0,R20/TrRoad_act!R6*1000)</f>
        <v>127.77804178356212</v>
      </c>
      <c r="S84" s="116">
        <f>IF(TrRoad_act!S6=0,0,S20/TrRoad_act!S6*1000)</f>
        <v>123.32597085795339</v>
      </c>
      <c r="T84" s="116">
        <f>IF(TrRoad_act!T6=0,0,T20/TrRoad_act!T6*1000)</f>
        <v>122.10739488439678</v>
      </c>
      <c r="U84" s="116">
        <f>IF(TrRoad_act!U6=0,0,U20/TrRoad_act!U6*1000)</f>
        <v>125.43497240792884</v>
      </c>
      <c r="V84" s="116">
        <f>IF(TrRoad_act!V6=0,0,V20/TrRoad_act!V6*1000)</f>
        <v>125.55349122092629</v>
      </c>
      <c r="W84" s="116">
        <f>IF(TrRoad_act!W6=0,0,W20/TrRoad_act!W6*1000)</f>
        <v>140.26527744443379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97.97263747487186</v>
      </c>
      <c r="C85" s="87">
        <f>IF(TrRoad_act!C7=0,0,C21/TrRoad_act!C7*1000)</f>
        <v>102.26430463678848</v>
      </c>
      <c r="D85" s="87">
        <f>IF(TrRoad_act!D7=0,0,D21/TrRoad_act!D7*1000)</f>
        <v>99.37534301709907</v>
      </c>
      <c r="E85" s="87">
        <f>IF(TrRoad_act!E7=0,0,E21/TrRoad_act!E7*1000)</f>
        <v>100.10895994086036</v>
      </c>
      <c r="F85" s="87">
        <f>IF(TrRoad_act!F7=0,0,F21/TrRoad_act!F7*1000)</f>
        <v>120.40844114374069</v>
      </c>
      <c r="G85" s="87">
        <f>IF(TrRoad_act!G7=0,0,G21/TrRoad_act!G7*1000)</f>
        <v>118.52747917875323</v>
      </c>
      <c r="H85" s="87">
        <f>IF(TrRoad_act!H7=0,0,H21/TrRoad_act!H7*1000)</f>
        <v>119.4045241888458</v>
      </c>
      <c r="I85" s="87">
        <f>IF(TrRoad_act!I7=0,0,I21/TrRoad_act!I7*1000)</f>
        <v>116.82383758274607</v>
      </c>
      <c r="J85" s="87">
        <f>IF(TrRoad_act!J7=0,0,J21/TrRoad_act!J7*1000)</f>
        <v>125.86362025086872</v>
      </c>
      <c r="K85" s="87">
        <f>IF(TrRoad_act!K7=0,0,K21/TrRoad_act!K7*1000)</f>
        <v>128.19175595433077</v>
      </c>
      <c r="L85" s="87">
        <f>IF(TrRoad_act!L7=0,0,L21/TrRoad_act!L7*1000)</f>
        <v>126.37701677567622</v>
      </c>
      <c r="M85" s="87">
        <f>IF(TrRoad_act!M7=0,0,M21/TrRoad_act!M7*1000)</f>
        <v>136.34204440088962</v>
      </c>
      <c r="N85" s="87">
        <f>IF(TrRoad_act!N7=0,0,N21/TrRoad_act!N7*1000)</f>
        <v>130.01081488629265</v>
      </c>
      <c r="O85" s="87">
        <f>IF(TrRoad_act!O7=0,0,O21/TrRoad_act!O7*1000)</f>
        <v>125.2274091575307</v>
      </c>
      <c r="P85" s="87">
        <f>IF(TrRoad_act!P7=0,0,P21/TrRoad_act!P7*1000)</f>
        <v>132.37887874875034</v>
      </c>
      <c r="Q85" s="87">
        <f>IF(TrRoad_act!Q7=0,0,Q21/TrRoad_act!Q7*1000)</f>
        <v>130.07167148798422</v>
      </c>
      <c r="R85" s="87">
        <f>IF(TrRoad_act!R7=0,0,R21/TrRoad_act!R7*1000)</f>
        <v>140.59062767246166</v>
      </c>
      <c r="S85" s="87">
        <f>IF(TrRoad_act!S7=0,0,S21/TrRoad_act!S7*1000)</f>
        <v>134.89260998562696</v>
      </c>
      <c r="T85" s="87">
        <f>IF(TrRoad_act!T7=0,0,T21/TrRoad_act!T7*1000)</f>
        <v>135.32948210242913</v>
      </c>
      <c r="U85" s="87">
        <f>IF(TrRoad_act!U7=0,0,U21/TrRoad_act!U7*1000)</f>
        <v>137.85719254856738</v>
      </c>
      <c r="V85" s="87">
        <f>IF(TrRoad_act!V7=0,0,V21/TrRoad_act!V7*1000)</f>
        <v>140.72617196162477</v>
      </c>
      <c r="W85" s="87">
        <f>IF(TrRoad_act!W7=0,0,W21/TrRoad_act!W7*1000)</f>
        <v>153.81810144813892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88.478793195666867</v>
      </c>
      <c r="C86" s="87">
        <f>IF(TrRoad_act!C8=0,0,C22/TrRoad_act!C8*1000)</f>
        <v>97.16218343073389</v>
      </c>
      <c r="D86" s="87">
        <f>IF(TrRoad_act!D8=0,0,D22/TrRoad_act!D8*1000)</f>
        <v>92.994188532008707</v>
      </c>
      <c r="E86" s="87">
        <f>IF(TrRoad_act!E8=0,0,E22/TrRoad_act!E8*1000)</f>
        <v>92.369805685973546</v>
      </c>
      <c r="F86" s="87">
        <f>IF(TrRoad_act!F8=0,0,F22/TrRoad_act!F8*1000)</f>
        <v>110.47560119001679</v>
      </c>
      <c r="G86" s="87">
        <f>IF(TrRoad_act!G8=0,0,G22/TrRoad_act!G8*1000)</f>
        <v>107.56449097183661</v>
      </c>
      <c r="H86" s="87">
        <f>IF(TrRoad_act!H8=0,0,H22/TrRoad_act!H8*1000)</f>
        <v>108.03590003058086</v>
      </c>
      <c r="I86" s="87">
        <f>IF(TrRoad_act!I8=0,0,I22/TrRoad_act!I8*1000)</f>
        <v>108.88824148676123</v>
      </c>
      <c r="J86" s="87">
        <f>IF(TrRoad_act!J8=0,0,J22/TrRoad_act!J8*1000)</f>
        <v>117.77139023694546</v>
      </c>
      <c r="K86" s="87">
        <f>IF(TrRoad_act!K8=0,0,K22/TrRoad_act!K8*1000)</f>
        <v>118.22123733245613</v>
      </c>
      <c r="L86" s="87">
        <f>IF(TrRoad_act!L8=0,0,L22/TrRoad_act!L8*1000)</f>
        <v>122.74138578101369</v>
      </c>
      <c r="M86" s="87">
        <f>IF(TrRoad_act!M8=0,0,M22/TrRoad_act!M8*1000)</f>
        <v>121.64436286832451</v>
      </c>
      <c r="N86" s="87">
        <f>IF(TrRoad_act!N8=0,0,N22/TrRoad_act!N8*1000)</f>
        <v>118.5852206983254</v>
      </c>
      <c r="O86" s="87">
        <f>IF(TrRoad_act!O8=0,0,O22/TrRoad_act!O8*1000)</f>
        <v>117.68197243845603</v>
      </c>
      <c r="P86" s="87">
        <f>IF(TrRoad_act!P8=0,0,P22/TrRoad_act!P8*1000)</f>
        <v>120.26782831151978</v>
      </c>
      <c r="Q86" s="87">
        <f>IF(TrRoad_act!Q8=0,0,Q22/TrRoad_act!Q8*1000)</f>
        <v>120.15877398301922</v>
      </c>
      <c r="R86" s="87">
        <f>IF(TrRoad_act!R8=0,0,R22/TrRoad_act!R8*1000)</f>
        <v>121.59128657923516</v>
      </c>
      <c r="S86" s="87">
        <f>IF(TrRoad_act!S8=0,0,S22/TrRoad_act!S8*1000)</f>
        <v>118.11042355695433</v>
      </c>
      <c r="T86" s="87">
        <f>IF(TrRoad_act!T8=0,0,T22/TrRoad_act!T8*1000)</f>
        <v>116.18622050805398</v>
      </c>
      <c r="U86" s="87">
        <f>IF(TrRoad_act!U8=0,0,U22/TrRoad_act!U8*1000)</f>
        <v>120.87482282026855</v>
      </c>
      <c r="V86" s="87">
        <f>IF(TrRoad_act!V8=0,0,V22/TrRoad_act!V8*1000)</f>
        <v>119.68826710300118</v>
      </c>
      <c r="W86" s="87">
        <f>IF(TrRoad_act!W8=0,0,W22/TrRoad_act!W8*1000)</f>
        <v>135.03588165175995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98.828730580584676</v>
      </c>
      <c r="C87" s="87">
        <f>IF(TrRoad_act!C9=0,0,C23/TrRoad_act!C9*1000)</f>
        <v>91.815559523921905</v>
      </c>
      <c r="D87" s="87">
        <f>IF(TrRoad_act!D9=0,0,D23/TrRoad_act!D9*1000)</f>
        <v>96.034695696751299</v>
      </c>
      <c r="E87" s="87">
        <f>IF(TrRoad_act!E9=0,0,E23/TrRoad_act!E9*1000)</f>
        <v>100.41352343869903</v>
      </c>
      <c r="F87" s="87">
        <f>IF(TrRoad_act!F9=0,0,F23/TrRoad_act!F9*1000)</f>
        <v>105.46083693030019</v>
      </c>
      <c r="G87" s="87">
        <f>IF(TrRoad_act!G9=0,0,G23/TrRoad_act!G9*1000)</f>
        <v>104.65506917869381</v>
      </c>
      <c r="H87" s="87">
        <f>IF(TrRoad_act!H9=0,0,H23/TrRoad_act!H9*1000)</f>
        <v>104.0919227802318</v>
      </c>
      <c r="I87" s="87">
        <f>IF(TrRoad_act!I9=0,0,I23/TrRoad_act!I9*1000)</f>
        <v>95.558366231071147</v>
      </c>
      <c r="J87" s="87">
        <f>IF(TrRoad_act!J9=0,0,J23/TrRoad_act!J9*1000)</f>
        <v>101.21781509893481</v>
      </c>
      <c r="K87" s="87">
        <f>IF(TrRoad_act!K9=0,0,K23/TrRoad_act!K9*1000)</f>
        <v>98.260440298134583</v>
      </c>
      <c r="L87" s="87">
        <f>IF(TrRoad_act!L9=0,0,L23/TrRoad_act!L9*1000)</f>
        <v>106.32217580600269</v>
      </c>
      <c r="M87" s="87">
        <f>IF(TrRoad_act!M9=0,0,M23/TrRoad_act!M9*1000)</f>
        <v>112.72089451943218</v>
      </c>
      <c r="N87" s="87">
        <f>IF(TrRoad_act!N9=0,0,N23/TrRoad_act!N9*1000)</f>
        <v>110.45156277491087</v>
      </c>
      <c r="O87" s="87">
        <f>IF(TrRoad_act!O9=0,0,O23/TrRoad_act!O9*1000)</f>
        <v>126.14169485117927</v>
      </c>
      <c r="P87" s="87">
        <f>IF(TrRoad_act!P9=0,0,P23/TrRoad_act!P9*1000)</f>
        <v>127.14758685145385</v>
      </c>
      <c r="Q87" s="87">
        <f>IF(TrRoad_act!Q9=0,0,Q23/TrRoad_act!Q9*1000)</f>
        <v>146.96072041567314</v>
      </c>
      <c r="R87" s="87">
        <f>IF(TrRoad_act!R9=0,0,R23/TrRoad_act!R9*1000)</f>
        <v>129.58095969728245</v>
      </c>
      <c r="S87" s="87">
        <f>IF(TrRoad_act!S9=0,0,S23/TrRoad_act!S9*1000)</f>
        <v>127.35915144394127</v>
      </c>
      <c r="T87" s="87">
        <f>IF(TrRoad_act!T9=0,0,T23/TrRoad_act!T9*1000)</f>
        <v>132.25322198396265</v>
      </c>
      <c r="U87" s="87">
        <f>IF(TrRoad_act!U9=0,0,U23/TrRoad_act!U9*1000)</f>
        <v>132.60317240702906</v>
      </c>
      <c r="V87" s="87">
        <f>IF(TrRoad_act!V9=0,0,V23/TrRoad_act!V9*1000)</f>
        <v>142.09314950496187</v>
      </c>
      <c r="W87" s="87">
        <f>IF(TrRoad_act!W9=0,0,W23/TrRoad_act!W9*1000)</f>
        <v>161.70354003546984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67.85450871415425</v>
      </c>
      <c r="C88" s="87">
        <f>IF(TrRoad_act!C10=0,0,C24/TrRoad_act!C10*1000)</f>
        <v>75.577508406238849</v>
      </c>
      <c r="D88" s="87">
        <f>IF(TrRoad_act!D10=0,0,D24/TrRoad_act!D10*1000)</f>
        <v>73.788992749110506</v>
      </c>
      <c r="E88" s="87">
        <f>IF(TrRoad_act!E10=0,0,E24/TrRoad_act!E10*1000)</f>
        <v>74.701707949812743</v>
      </c>
      <c r="F88" s="87">
        <f>IF(TrRoad_act!F10=0,0,F24/TrRoad_act!F10*1000)</f>
        <v>90.529615026003768</v>
      </c>
      <c r="G88" s="87">
        <f>IF(TrRoad_act!G10=0,0,G24/TrRoad_act!G10*1000)</f>
        <v>89.828278337515158</v>
      </c>
      <c r="H88" s="87">
        <f>IF(TrRoad_act!H10=0,0,H24/TrRoad_act!H10*1000)</f>
        <v>91.810260872978702</v>
      </c>
      <c r="I88" s="87">
        <f>IF(TrRoad_act!I10=0,0,I24/TrRoad_act!I10*1000)</f>
        <v>90.956366138985103</v>
      </c>
      <c r="J88" s="87">
        <f>IF(TrRoad_act!J10=0,0,J24/TrRoad_act!J10*1000)</f>
        <v>98.968468456852278</v>
      </c>
      <c r="K88" s="87">
        <f>IF(TrRoad_act!K10=0,0,K24/TrRoad_act!K10*1000)</f>
        <v>100.81059642513404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0</v>
      </c>
      <c r="R88" s="87">
        <f>IF(TrRoad_act!R10=0,0,R24/TrRoad_act!R10*1000)</f>
        <v>0</v>
      </c>
      <c r="S88" s="87">
        <f>IF(TrRoad_act!S10=0,0,S24/TrRoad_act!S10*1000)</f>
        <v>0</v>
      </c>
      <c r="T88" s="87">
        <f>IF(TrRoad_act!T10=0,0,T24/TrRoad_act!T10*1000)</f>
        <v>55.34184627278502</v>
      </c>
      <c r="U88" s="87">
        <f>IF(TrRoad_act!U10=0,0,U24/TrRoad_act!U10*1000)</f>
        <v>86.570053823609683</v>
      </c>
      <c r="V88" s="87">
        <f>IF(TrRoad_act!V10=0,0,V24/TrRoad_act!V10*1000)</f>
        <v>86.777312444959904</v>
      </c>
      <c r="W88" s="87">
        <f>IF(TrRoad_act!W10=0,0,W24/TrRoad_act!W10*1000)</f>
        <v>98.515741883207795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34.290158919742282</v>
      </c>
      <c r="O89" s="87">
        <f>IF(TrRoad_act!O11=0,0,O25/TrRoad_act!O11*1000)</f>
        <v>40.398586586956753</v>
      </c>
      <c r="P89" s="87">
        <f>IF(TrRoad_act!P11=0,0,P25/TrRoad_act!P11*1000)</f>
        <v>43.328363361980166</v>
      </c>
      <c r="Q89" s="87">
        <f>IF(TrRoad_act!Q11=0,0,Q25/TrRoad_act!Q11*1000)</f>
        <v>37.859504167932755</v>
      </c>
      <c r="R89" s="87">
        <f>IF(TrRoad_act!R11=0,0,R25/TrRoad_act!R11*1000)</f>
        <v>34.781981075512945</v>
      </c>
      <c r="S89" s="87">
        <f>IF(TrRoad_act!S11=0,0,S25/TrRoad_act!S11*1000)</f>
        <v>36.774817747030703</v>
      </c>
      <c r="T89" s="87">
        <f>IF(TrRoad_act!T11=0,0,T25/TrRoad_act!T11*1000)</f>
        <v>38.073710590180688</v>
      </c>
      <c r="U89" s="87">
        <f>IF(TrRoad_act!U11=0,0,U25/TrRoad_act!U11*1000)</f>
        <v>39.701263218733757</v>
      </c>
      <c r="V89" s="87">
        <f>IF(TrRoad_act!V11=0,0,V25/TrRoad_act!V11*1000)</f>
        <v>44.177224415611043</v>
      </c>
      <c r="W89" s="87">
        <f>IF(TrRoad_act!W11=0,0,W25/TrRoad_act!W11*1000)</f>
        <v>43.372492209521425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105.76062617901302</v>
      </c>
      <c r="C91" s="116">
        <f>IF(TrRoad_act!C13=0,0,C27/TrRoad_act!C13*1000)</f>
        <v>118.48595293420958</v>
      </c>
      <c r="D91" s="116">
        <f>IF(TrRoad_act!D13=0,0,D27/TrRoad_act!D13*1000)</f>
        <v>113.56658858702075</v>
      </c>
      <c r="E91" s="116">
        <f>IF(TrRoad_act!E13=0,0,E27/TrRoad_act!E13*1000)</f>
        <v>111.49243280160081</v>
      </c>
      <c r="F91" s="116">
        <f>IF(TrRoad_act!F13=0,0,F27/TrRoad_act!F13*1000)</f>
        <v>108.10161872274351</v>
      </c>
      <c r="G91" s="116">
        <f>IF(TrRoad_act!G13=0,0,G27/TrRoad_act!G13*1000)</f>
        <v>98.210158135727184</v>
      </c>
      <c r="H91" s="116">
        <f>IF(TrRoad_act!H13=0,0,H27/TrRoad_act!H13*1000)</f>
        <v>100.9651641199298</v>
      </c>
      <c r="I91" s="116">
        <f>IF(TrRoad_act!I13=0,0,I27/TrRoad_act!I13*1000)</f>
        <v>105.41542656829992</v>
      </c>
      <c r="J91" s="116">
        <f>IF(TrRoad_act!J13=0,0,J27/TrRoad_act!J13*1000)</f>
        <v>102.57463794981227</v>
      </c>
      <c r="K91" s="116">
        <f>IF(TrRoad_act!K13=0,0,K27/TrRoad_act!K13*1000)</f>
        <v>111.7262079153388</v>
      </c>
      <c r="L91" s="116">
        <f>IF(TrRoad_act!L13=0,0,L27/TrRoad_act!L13*1000)</f>
        <v>106.98639429497717</v>
      </c>
      <c r="M91" s="116">
        <f>IF(TrRoad_act!M13=0,0,M27/TrRoad_act!M13*1000)</f>
        <v>92.043970181898146</v>
      </c>
      <c r="N91" s="116">
        <f>IF(TrRoad_act!N13=0,0,N27/TrRoad_act!N13*1000)</f>
        <v>78.87640569602523</v>
      </c>
      <c r="O91" s="116">
        <f>IF(TrRoad_act!O13=0,0,O27/TrRoad_act!O13*1000)</f>
        <v>78.665264049961038</v>
      </c>
      <c r="P91" s="116">
        <f>IF(TrRoad_act!P13=0,0,P27/TrRoad_act!P13*1000)</f>
        <v>75.600839420263171</v>
      </c>
      <c r="Q91" s="116">
        <f>IF(TrRoad_act!Q13=0,0,Q27/TrRoad_act!Q13*1000)</f>
        <v>77.495041661370493</v>
      </c>
      <c r="R91" s="116">
        <f>IF(TrRoad_act!R13=0,0,R27/TrRoad_act!R13*1000)</f>
        <v>80.587508477531316</v>
      </c>
      <c r="S91" s="116">
        <f>IF(TrRoad_act!S13=0,0,S27/TrRoad_act!S13*1000)</f>
        <v>84.598640370689935</v>
      </c>
      <c r="T91" s="116">
        <f>IF(TrRoad_act!T13=0,0,T27/TrRoad_act!T13*1000)</f>
        <v>78.614971003631766</v>
      </c>
      <c r="U91" s="116">
        <f>IF(TrRoad_act!U13=0,0,U27/TrRoad_act!U13*1000)</f>
        <v>74.11098631373801</v>
      </c>
      <c r="V91" s="116">
        <f>IF(TrRoad_act!V13=0,0,V27/TrRoad_act!V13*1000)</f>
        <v>90.429944500730784</v>
      </c>
      <c r="W91" s="116">
        <f>IF(TrRoad_act!W13=0,0,W27/TrRoad_act!W13*1000)</f>
        <v>94.980734316414853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98.1306147197689</v>
      </c>
      <c r="C92" s="101">
        <f>IF(TrRoad_act!C14=0,0,C28/TrRoad_act!C14*1000)</f>
        <v>93.276292331353119</v>
      </c>
      <c r="D92" s="101">
        <f>IF(TrRoad_act!D14=0,0,D28/TrRoad_act!D14*1000)</f>
        <v>92.889200337126837</v>
      </c>
      <c r="E92" s="101">
        <f>IF(TrRoad_act!E14=0,0,E28/TrRoad_act!E14*1000)</f>
        <v>92.48456999413122</v>
      </c>
      <c r="F92" s="101">
        <f>IF(TrRoad_act!F14=0,0,F28/TrRoad_act!F14*1000)</f>
        <v>91.892700637090385</v>
      </c>
      <c r="G92" s="101">
        <f>IF(TrRoad_act!G14=0,0,G28/TrRoad_act!G14*1000)</f>
        <v>86.878094217464394</v>
      </c>
      <c r="H92" s="101">
        <f>IF(TrRoad_act!H14=0,0,H28/TrRoad_act!H14*1000)</f>
        <v>87.411700675648561</v>
      </c>
      <c r="I92" s="101">
        <f>IF(TrRoad_act!I14=0,0,I28/TrRoad_act!I14*1000)</f>
        <v>89.907902224110671</v>
      </c>
      <c r="J92" s="101">
        <f>IF(TrRoad_act!J14=0,0,J28/TrRoad_act!J14*1000)</f>
        <v>89.41632593618553</v>
      </c>
      <c r="K92" s="101">
        <f>IF(TrRoad_act!K14=0,0,K28/TrRoad_act!K14*1000)</f>
        <v>89.325402003368879</v>
      </c>
      <c r="L92" s="101">
        <f>IF(TrRoad_act!L14=0,0,L28/TrRoad_act!L14*1000)</f>
        <v>86.161247311276838</v>
      </c>
      <c r="M92" s="101">
        <f>IF(TrRoad_act!M14=0,0,M28/TrRoad_act!M14*1000)</f>
        <v>83.437953110945386</v>
      </c>
      <c r="N92" s="101">
        <f>IF(TrRoad_act!N14=0,0,N28/TrRoad_act!N14*1000)</f>
        <v>70.782932125894476</v>
      </c>
      <c r="O92" s="101">
        <f>IF(TrRoad_act!O14=0,0,O28/TrRoad_act!O14*1000)</f>
        <v>68.781502430957843</v>
      </c>
      <c r="P92" s="101">
        <f>IF(TrRoad_act!P14=0,0,P28/TrRoad_act!P14*1000)</f>
        <v>66.356932321809936</v>
      </c>
      <c r="Q92" s="101">
        <f>IF(TrRoad_act!Q14=0,0,Q28/TrRoad_act!Q14*1000)</f>
        <v>66.399109459942849</v>
      </c>
      <c r="R92" s="101">
        <f>IF(TrRoad_act!R14=0,0,R28/TrRoad_act!R14*1000)</f>
        <v>67.636823498142661</v>
      </c>
      <c r="S92" s="101">
        <f>IF(TrRoad_act!S14=0,0,S28/TrRoad_act!S14*1000)</f>
        <v>68.920392043264499</v>
      </c>
      <c r="T92" s="101">
        <f>IF(TrRoad_act!T14=0,0,T28/TrRoad_act!T14*1000)</f>
        <v>65.498091004760454</v>
      </c>
      <c r="U92" s="101">
        <f>IF(TrRoad_act!U14=0,0,U28/TrRoad_act!U14*1000)</f>
        <v>62.403870755313669</v>
      </c>
      <c r="V92" s="101">
        <f>IF(TrRoad_act!V14=0,0,V28/TrRoad_act!V14*1000)</f>
        <v>72.943791046803995</v>
      </c>
      <c r="W92" s="101">
        <f>IF(TrRoad_act!W14=0,0,W28/TrRoad_act!W14*1000)</f>
        <v>74.180351718908057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107.69057516670367</v>
      </c>
      <c r="C93" s="101">
        <f>IF(TrRoad_act!C15=0,0,C29/TrRoad_act!C15*1000)</f>
        <v>121.83573078255043</v>
      </c>
      <c r="D93" s="101">
        <f>IF(TrRoad_act!D15=0,0,D29/TrRoad_act!D15*1000)</f>
        <v>116.51571784653278</v>
      </c>
      <c r="E93" s="101">
        <f>IF(TrRoad_act!E15=0,0,E29/TrRoad_act!E15*1000)</f>
        <v>114.01273901535484</v>
      </c>
      <c r="F93" s="101">
        <f>IF(TrRoad_act!F15=0,0,F29/TrRoad_act!F15*1000)</f>
        <v>110.41283618618095</v>
      </c>
      <c r="G93" s="101">
        <f>IF(TrRoad_act!G15=0,0,G29/TrRoad_act!G15*1000)</f>
        <v>101.0897054026867</v>
      </c>
      <c r="H93" s="101">
        <f>IF(TrRoad_act!H15=0,0,H29/TrRoad_act!H15*1000)</f>
        <v>103.93421710657516</v>
      </c>
      <c r="I93" s="101">
        <f>IF(TrRoad_act!I15=0,0,I29/TrRoad_act!I15*1000)</f>
        <v>109.3341123488118</v>
      </c>
      <c r="J93" s="101">
        <f>IF(TrRoad_act!J15=0,0,J29/TrRoad_act!J15*1000)</f>
        <v>107.6837018529274</v>
      </c>
      <c r="K93" s="101">
        <f>IF(TrRoad_act!K15=0,0,K29/TrRoad_act!K15*1000)</f>
        <v>120.15170898658027</v>
      </c>
      <c r="L93" s="101">
        <f>IF(TrRoad_act!L15=0,0,L29/TrRoad_act!L15*1000)</f>
        <v>117.76838398616023</v>
      </c>
      <c r="M93" s="101">
        <f>IF(TrRoad_act!M15=0,0,M29/TrRoad_act!M15*1000)</f>
        <v>100.95432226337813</v>
      </c>
      <c r="N93" s="101">
        <f>IF(TrRoad_act!N15=0,0,N29/TrRoad_act!N15*1000)</f>
        <v>86.336331155697181</v>
      </c>
      <c r="O93" s="101">
        <f>IF(TrRoad_act!O15=0,0,O29/TrRoad_act!O15*1000)</f>
        <v>85.757164806597103</v>
      </c>
      <c r="P93" s="101">
        <f>IF(TrRoad_act!P15=0,0,P29/TrRoad_act!P15*1000)</f>
        <v>82.688140761472212</v>
      </c>
      <c r="Q93" s="101">
        <f>IF(TrRoad_act!Q15=0,0,Q29/TrRoad_act!Q15*1000)</f>
        <v>85.18064062839575</v>
      </c>
      <c r="R93" s="101">
        <f>IF(TrRoad_act!R15=0,0,R29/TrRoad_act!R15*1000)</f>
        <v>89.186062689038238</v>
      </c>
      <c r="S93" s="101">
        <f>IF(TrRoad_act!S15=0,0,S29/TrRoad_act!S15*1000)</f>
        <v>92.400627672442653</v>
      </c>
      <c r="T93" s="101">
        <f>IF(TrRoad_act!T15=0,0,T29/TrRoad_act!T15*1000)</f>
        <v>86.139905455643387</v>
      </c>
      <c r="U93" s="101">
        <f>IF(TrRoad_act!U15=0,0,U29/TrRoad_act!U15*1000)</f>
        <v>81.884498133191684</v>
      </c>
      <c r="V93" s="101">
        <f>IF(TrRoad_act!V15=0,0,V29/TrRoad_act!V15*1000)</f>
        <v>102.09930639466356</v>
      </c>
      <c r="W93" s="101">
        <f>IF(TrRoad_act!W15=0,0,W29/TrRoad_act!W15*1000)</f>
        <v>112.53645235729209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62.562508850388696</v>
      </c>
      <c r="S94" s="101">
        <f>IF(TrRoad_act!S16=0,0,S30/TrRoad_act!S16*1000)</f>
        <v>63.993308622776468</v>
      </c>
      <c r="T94" s="101">
        <f>IF(TrRoad_act!T16=0,0,T30/TrRoad_act!T16*1000)</f>
        <v>61.575180829378063</v>
      </c>
      <c r="U94" s="101">
        <f>IF(TrRoad_act!U16=0,0,U30/TrRoad_act!U16*1000)</f>
        <v>58.718745194207806</v>
      </c>
      <c r="V94" s="101">
        <f>IF(TrRoad_act!V16=0,0,V30/TrRoad_act!V16*1000)</f>
        <v>74.53051082176755</v>
      </c>
      <c r="W94" s="101">
        <f>IF(TrRoad_act!W16=0,0,W30/TrRoad_act!W16*1000)</f>
        <v>81.246153463643154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59.130079528745718</v>
      </c>
      <c r="C95" s="101">
        <f>IF(TrRoad_act!C17=0,0,C31/TrRoad_act!C17*1000)</f>
        <v>76.751423243079913</v>
      </c>
      <c r="D95" s="101">
        <f>IF(TrRoad_act!D17=0,0,D31/TrRoad_act!D17*1000)</f>
        <v>63.427227571866609</v>
      </c>
      <c r="E95" s="101">
        <f>IF(TrRoad_act!E17=0,0,E31/TrRoad_act!E17*1000)</f>
        <v>63.78268111734414</v>
      </c>
      <c r="F95" s="101">
        <f>IF(TrRoad_act!F17=0,0,F31/TrRoad_act!F17*1000)</f>
        <v>61.66746124451069</v>
      </c>
      <c r="G95" s="101">
        <f>IF(TrRoad_act!G17=0,0,G31/TrRoad_act!G17*1000)</f>
        <v>55.085673937314176</v>
      </c>
      <c r="H95" s="101">
        <f>IF(TrRoad_act!H17=0,0,H31/TrRoad_act!H17*1000)</f>
        <v>60.062230791656468</v>
      </c>
      <c r="I95" s="101">
        <f>IF(TrRoad_act!I17=0,0,I31/TrRoad_act!I17*1000)</f>
        <v>66.000630303452752</v>
      </c>
      <c r="J95" s="101">
        <f>IF(TrRoad_act!J17=0,0,J31/TrRoad_act!J17*1000)</f>
        <v>89.904013811956546</v>
      </c>
      <c r="K95" s="101">
        <f>IF(TrRoad_act!K17=0,0,K31/TrRoad_act!K17*1000)</f>
        <v>162.67904146126534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0</v>
      </c>
      <c r="U95" s="101">
        <f>IF(TrRoad_act!U17=0,0,U31/TrRoad_act!U17*1000)</f>
        <v>44.935760633999806</v>
      </c>
      <c r="V95" s="101">
        <f>IF(TrRoad_act!V17=0,0,V31/TrRoad_act!V17*1000)</f>
        <v>65.806495148091216</v>
      </c>
      <c r="W95" s="101">
        <f>IF(TrRoad_act!W17=0,0,W31/TrRoad_act!W17*1000)</f>
        <v>81.791003125120042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238.96128096039138</v>
      </c>
      <c r="C97" s="29">
        <f>IF(TrRoad_act!C19=0,0,C33/TrRoad_act!C19*1000)</f>
        <v>322.53231323541064</v>
      </c>
      <c r="D97" s="29">
        <f>IF(TrRoad_act!D19=0,0,D33/TrRoad_act!D19*1000)</f>
        <v>299.24474525509612</v>
      </c>
      <c r="E97" s="29">
        <f>IF(TrRoad_act!E19=0,0,E33/TrRoad_act!E19*1000)</f>
        <v>275.13000488553007</v>
      </c>
      <c r="F97" s="29">
        <f>IF(TrRoad_act!F19=0,0,F33/TrRoad_act!F19*1000)</f>
        <v>278.61635384689868</v>
      </c>
      <c r="G97" s="29">
        <f>IF(TrRoad_act!G19=0,0,G33/TrRoad_act!G19*1000)</f>
        <v>274.06664475235465</v>
      </c>
      <c r="H97" s="29">
        <f>IF(TrRoad_act!H19=0,0,H33/TrRoad_act!H19*1000)</f>
        <v>288.79010931021128</v>
      </c>
      <c r="I97" s="29">
        <f>IF(TrRoad_act!I19=0,0,I33/TrRoad_act!I19*1000)</f>
        <v>308.12003578374754</v>
      </c>
      <c r="J97" s="29">
        <f>IF(TrRoad_act!J19=0,0,J33/TrRoad_act!J19*1000)</f>
        <v>317.89927595541121</v>
      </c>
      <c r="K97" s="29">
        <f>IF(TrRoad_act!K19=0,0,K33/TrRoad_act!K19*1000)</f>
        <v>314.77176404178101</v>
      </c>
      <c r="L97" s="29">
        <f>IF(TrRoad_act!L19=0,0,L33/TrRoad_act!L19*1000)</f>
        <v>303.61962666135236</v>
      </c>
      <c r="M97" s="29">
        <f>IF(TrRoad_act!M19=0,0,M33/TrRoad_act!M19*1000)</f>
        <v>213.35392519875643</v>
      </c>
      <c r="N97" s="29">
        <f>IF(TrRoad_act!N19=0,0,N33/TrRoad_act!N19*1000)</f>
        <v>192.35823797106886</v>
      </c>
      <c r="O97" s="29">
        <f>IF(TrRoad_act!O19=0,0,O33/TrRoad_act!O19*1000)</f>
        <v>182.54530684495728</v>
      </c>
      <c r="P97" s="29">
        <f>IF(TrRoad_act!P19=0,0,P33/TrRoad_act!P19*1000)</f>
        <v>183.04182771106727</v>
      </c>
      <c r="Q97" s="29">
        <f>IF(TrRoad_act!Q19=0,0,Q33/TrRoad_act!Q19*1000)</f>
        <v>184.93429340565453</v>
      </c>
      <c r="R97" s="29">
        <f>IF(TrRoad_act!R19=0,0,R33/TrRoad_act!R19*1000)</f>
        <v>178.44154191593367</v>
      </c>
      <c r="S97" s="29">
        <f>IF(TrRoad_act!S19=0,0,S33/TrRoad_act!S19*1000)</f>
        <v>179.58889443602484</v>
      </c>
      <c r="T97" s="29">
        <f>IF(TrRoad_act!T19=0,0,T33/TrRoad_act!T19*1000)</f>
        <v>166.29987449174686</v>
      </c>
      <c r="U97" s="29">
        <f>IF(TrRoad_act!U19=0,0,U33/TrRoad_act!U19*1000)</f>
        <v>167.13905531994953</v>
      </c>
      <c r="V97" s="29">
        <f>IF(TrRoad_act!V19=0,0,V33/TrRoad_act!V19*1000)</f>
        <v>145.41768579335417</v>
      </c>
      <c r="W97" s="29">
        <f>IF(TrRoad_act!W19=0,0,W33/TrRoad_act!W19*1000)</f>
        <v>152.59559257259519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1712.5362620579904</v>
      </c>
      <c r="C98" s="152">
        <f>IF(TrRoad_act!C20=0,0,C34/TrRoad_act!C20*1000)</f>
        <v>1756.3433034853999</v>
      </c>
      <c r="D98" s="152">
        <f>IF(TrRoad_act!D20=0,0,D34/TrRoad_act!D20*1000)</f>
        <v>1660.7746985089432</v>
      </c>
      <c r="E98" s="152">
        <f>IF(TrRoad_act!E20=0,0,E34/TrRoad_act!E20*1000)</f>
        <v>1615.9011560285114</v>
      </c>
      <c r="F98" s="152">
        <f>IF(TrRoad_act!F20=0,0,F34/TrRoad_act!F20*1000)</f>
        <v>1603.7081042416373</v>
      </c>
      <c r="G98" s="152">
        <f>IF(TrRoad_act!G20=0,0,G34/TrRoad_act!G20*1000)</f>
        <v>1591.6735597805798</v>
      </c>
      <c r="H98" s="152">
        <f>IF(TrRoad_act!H20=0,0,H34/TrRoad_act!H20*1000)</f>
        <v>1591.7789953459817</v>
      </c>
      <c r="I98" s="152">
        <f>IF(TrRoad_act!I20=0,0,I34/TrRoad_act!I20*1000)</f>
        <v>1625.4502522913124</v>
      </c>
      <c r="J98" s="152">
        <f>IF(TrRoad_act!J20=0,0,J34/TrRoad_act!J20*1000)</f>
        <v>1583.3229381246861</v>
      </c>
      <c r="K98" s="152">
        <f>IF(TrRoad_act!K20=0,0,K34/TrRoad_act!K20*1000)</f>
        <v>1507.7554199500037</v>
      </c>
      <c r="L98" s="152">
        <f>IF(TrRoad_act!L20=0,0,L34/TrRoad_act!L20*1000)</f>
        <v>1587.2357683431962</v>
      </c>
      <c r="M98" s="152">
        <f>IF(TrRoad_act!M20=0,0,M34/TrRoad_act!M20*1000)</f>
        <v>1465.4639372998236</v>
      </c>
      <c r="N98" s="152">
        <f>IF(TrRoad_act!N20=0,0,N34/TrRoad_act!N20*1000)</f>
        <v>1449.9898300035393</v>
      </c>
      <c r="O98" s="152">
        <f>IF(TrRoad_act!O20=0,0,O34/TrRoad_act!O20*1000)</f>
        <v>1423.97271902385</v>
      </c>
      <c r="P98" s="152">
        <f>IF(TrRoad_act!P20=0,0,P34/TrRoad_act!P20*1000)</f>
        <v>1386.177390197347</v>
      </c>
      <c r="Q98" s="152">
        <f>IF(TrRoad_act!Q20=0,0,Q34/TrRoad_act!Q20*1000)</f>
        <v>1374.2259457752355</v>
      </c>
      <c r="R98" s="152">
        <f>IF(TrRoad_act!R20=0,0,R34/TrRoad_act!R20*1000)</f>
        <v>1365.2926387723649</v>
      </c>
      <c r="S98" s="152">
        <f>IF(TrRoad_act!S20=0,0,S34/TrRoad_act!S20*1000)</f>
        <v>1360.6203377668594</v>
      </c>
      <c r="T98" s="152">
        <f>IF(TrRoad_act!T20=0,0,T34/TrRoad_act!T20*1000)</f>
        <v>1299.021577079237</v>
      </c>
      <c r="U98" s="152">
        <f>IF(TrRoad_act!U20=0,0,U34/TrRoad_act!U20*1000)</f>
        <v>1275.6219982468524</v>
      </c>
      <c r="V98" s="152">
        <f>IF(TrRoad_act!V20=0,0,V34/TrRoad_act!V20*1000)</f>
        <v>1248.885632889815</v>
      </c>
      <c r="W98" s="152">
        <f>IF(TrRoad_act!W20=0,0,W34/TrRoad_act!W20*1000)</f>
        <v>1253.2808224711046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1790.2871153712199</v>
      </c>
      <c r="C99" s="87">
        <f>IF(TrRoad_act!C21=0,0,C35/TrRoad_act!C21*1000)</f>
        <v>1763.3953048021217</v>
      </c>
      <c r="D99" s="87">
        <f>IF(TrRoad_act!D21=0,0,D35/TrRoad_act!D21*1000)</f>
        <v>1750.9614116960013</v>
      </c>
      <c r="E99" s="87">
        <f>IF(TrRoad_act!E21=0,0,E35/TrRoad_act!E21*1000)</f>
        <v>1724.8084372740332</v>
      </c>
      <c r="F99" s="87">
        <f>IF(TrRoad_act!F21=0,0,F35/TrRoad_act!F21*1000)</f>
        <v>1709.4853834546911</v>
      </c>
      <c r="G99" s="87">
        <f>IF(TrRoad_act!G21=0,0,G35/TrRoad_act!G21*1000)</f>
        <v>1694.1170280562499</v>
      </c>
      <c r="H99" s="87">
        <f>IF(TrRoad_act!H21=0,0,H35/TrRoad_act!H21*1000)</f>
        <v>1665.8318502409784</v>
      </c>
      <c r="I99" s="87">
        <f>IF(TrRoad_act!I21=0,0,I35/TrRoad_act!I21*1000)</f>
        <v>1651.949218270234</v>
      </c>
      <c r="J99" s="87">
        <f>IF(TrRoad_act!J21=0,0,J35/TrRoad_act!J21*1000)</f>
        <v>1629.5009098663738</v>
      </c>
      <c r="K99" s="87">
        <f>IF(TrRoad_act!K21=0,0,K35/TrRoad_act!K21*1000)</f>
        <v>1593.2748522987029</v>
      </c>
      <c r="L99" s="87">
        <f>IF(TrRoad_act!L21=0,0,L35/TrRoad_act!L21*1000)</f>
        <v>1516.7645271779973</v>
      </c>
      <c r="M99" s="87">
        <f>IF(TrRoad_act!M21=0,0,M35/TrRoad_act!M21*1000)</f>
        <v>1511.950186167132</v>
      </c>
      <c r="N99" s="87">
        <f>IF(TrRoad_act!N21=0,0,N35/TrRoad_act!N21*1000)</f>
        <v>1500.5663946891655</v>
      </c>
      <c r="O99" s="87">
        <f>IF(TrRoad_act!O21=0,0,O35/TrRoad_act!O21*1000)</f>
        <v>1485.574452309882</v>
      </c>
      <c r="P99" s="87">
        <f>IF(TrRoad_act!P21=0,0,P35/TrRoad_act!P21*1000)</f>
        <v>1469.0285678272205</v>
      </c>
      <c r="Q99" s="87">
        <f>IF(TrRoad_act!Q21=0,0,Q35/TrRoad_act!Q21*1000)</f>
        <v>1442.8075131580001</v>
      </c>
      <c r="R99" s="87">
        <f>IF(TrRoad_act!R21=0,0,R35/TrRoad_act!R21*1000)</f>
        <v>1429.1455804987531</v>
      </c>
      <c r="S99" s="87">
        <f>IF(TrRoad_act!S21=0,0,S35/TrRoad_act!S21*1000)</f>
        <v>1421.5228374573574</v>
      </c>
      <c r="T99" s="87">
        <f>IF(TrRoad_act!T21=0,0,T35/TrRoad_act!T21*1000)</f>
        <v>1431.7814834198759</v>
      </c>
      <c r="U99" s="87">
        <f>IF(TrRoad_act!U21=0,0,U35/TrRoad_act!U21*1000)</f>
        <v>1437.8844708100637</v>
      </c>
      <c r="V99" s="87">
        <f>IF(TrRoad_act!V21=0,0,V35/TrRoad_act!V21*1000)</f>
        <v>1388.9761598332893</v>
      </c>
      <c r="W99" s="87">
        <f>IF(TrRoad_act!W21=0,0,W35/TrRoad_act!W21*1000)</f>
        <v>1388.1974025768766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1671.3277311804125</v>
      </c>
      <c r="C100" s="87">
        <f>IF(TrRoad_act!C22=0,0,C36/TrRoad_act!C22*1000)</f>
        <v>1753.2913641791799</v>
      </c>
      <c r="D100" s="87">
        <f>IF(TrRoad_act!D22=0,0,D36/TrRoad_act!D22*1000)</f>
        <v>1635.2692045830017</v>
      </c>
      <c r="E100" s="87">
        <f>IF(TrRoad_act!E22=0,0,E36/TrRoad_act!E22*1000)</f>
        <v>1582.1155760273418</v>
      </c>
      <c r="F100" s="87">
        <f>IF(TrRoad_act!F22=0,0,F36/TrRoad_act!F22*1000)</f>
        <v>1581.0478195334999</v>
      </c>
      <c r="G100" s="87">
        <f>IF(TrRoad_act!G22=0,0,G36/TrRoad_act!G22*1000)</f>
        <v>1568.0427270694199</v>
      </c>
      <c r="H100" s="87">
        <f>IF(TrRoad_act!H22=0,0,H36/TrRoad_act!H22*1000)</f>
        <v>1576.4418257010054</v>
      </c>
      <c r="I100" s="87">
        <f>IF(TrRoad_act!I22=0,0,I36/TrRoad_act!I22*1000)</f>
        <v>1620.7596444413412</v>
      </c>
      <c r="J100" s="87">
        <f>IF(TrRoad_act!J22=0,0,J36/TrRoad_act!J22*1000)</f>
        <v>1576.8496158204357</v>
      </c>
      <c r="K100" s="87">
        <f>IF(TrRoad_act!K22=0,0,K36/TrRoad_act!K22*1000)</f>
        <v>1497.829650466304</v>
      </c>
      <c r="L100" s="87">
        <f>IF(TrRoad_act!L22=0,0,L36/TrRoad_act!L22*1000)</f>
        <v>1591.3629246630437</v>
      </c>
      <c r="M100" s="87">
        <f>IF(TrRoad_act!M22=0,0,M36/TrRoad_act!M22*1000)</f>
        <v>1463.1669100675933</v>
      </c>
      <c r="N100" s="87">
        <f>IF(TrRoad_act!N22=0,0,N36/TrRoad_act!N22*1000)</f>
        <v>1447.685226983891</v>
      </c>
      <c r="O100" s="87">
        <f>IF(TrRoad_act!O22=0,0,O36/TrRoad_act!O22*1000)</f>
        <v>1421.8938387202757</v>
      </c>
      <c r="P100" s="87">
        <f>IF(TrRoad_act!P22=0,0,P36/TrRoad_act!P22*1000)</f>
        <v>1384.332478584472</v>
      </c>
      <c r="Q100" s="87">
        <f>IF(TrRoad_act!Q22=0,0,Q36/TrRoad_act!Q22*1000)</f>
        <v>1372.8716954572863</v>
      </c>
      <c r="R100" s="87">
        <f>IF(TrRoad_act!R22=0,0,R36/TrRoad_act!R22*1000)</f>
        <v>1363.6385267371986</v>
      </c>
      <c r="S100" s="87">
        <f>IF(TrRoad_act!S22=0,0,S36/TrRoad_act!S22*1000)</f>
        <v>1358.9456920932753</v>
      </c>
      <c r="T100" s="87">
        <f>IF(TrRoad_act!T22=0,0,T36/TrRoad_act!T22*1000)</f>
        <v>1296.1527342125105</v>
      </c>
      <c r="U100" s="87">
        <f>IF(TrRoad_act!U22=0,0,U36/TrRoad_act!U22*1000)</f>
        <v>1272.5181342360368</v>
      </c>
      <c r="V100" s="87">
        <f>IF(TrRoad_act!V22=0,0,V36/TrRoad_act!V22*1000)</f>
        <v>1245.9108013189079</v>
      </c>
      <c r="W100" s="87">
        <f>IF(TrRoad_act!W22=0,0,W36/TrRoad_act!W22*1000)</f>
        <v>1250.7151597089564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1520.936513315012</v>
      </c>
      <c r="O101" s="87">
        <f>IF(TrRoad_act!O23=0,0,O37/TrRoad_act!O23*1000)</f>
        <v>1513.9711005582585</v>
      </c>
      <c r="P101" s="87">
        <f>IF(TrRoad_act!P23=0,0,P37/TrRoad_act!P23*1000)</f>
        <v>1431.9015747377809</v>
      </c>
      <c r="Q101" s="87">
        <f>IF(TrRoad_act!Q23=0,0,Q37/TrRoad_act!Q23*1000)</f>
        <v>1441.0652045784382</v>
      </c>
      <c r="R101" s="87">
        <f>IF(TrRoad_act!R23=0,0,R37/TrRoad_act!R23*1000)</f>
        <v>1755.4770670989994</v>
      </c>
      <c r="S101" s="87">
        <f>IF(TrRoad_act!S23=0,0,S37/TrRoad_act!S23*1000)</f>
        <v>1648.980578097028</v>
      </c>
      <c r="T101" s="87">
        <f>IF(TrRoad_act!T23=0,0,T37/TrRoad_act!T23*1000)</f>
        <v>1581.6579408070588</v>
      </c>
      <c r="U101" s="87">
        <f>IF(TrRoad_act!U23=0,0,U37/TrRoad_act!U23*1000)</f>
        <v>1533.8431521335149</v>
      </c>
      <c r="V101" s="87">
        <f>IF(TrRoad_act!V23=0,0,V37/TrRoad_act!V23*1000)</f>
        <v>1548.3031048822145</v>
      </c>
      <c r="W101" s="87">
        <f>IF(TrRoad_act!W23=0,0,W37/TrRoad_act!W23*1000)</f>
        <v>1555.2943482584217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195.77768610925764</v>
      </c>
      <c r="C104" s="116">
        <f>IF(TrRoad_act!C26=0,0,C40/TrRoad_act!C26*1000)</f>
        <v>277.696081689354</v>
      </c>
      <c r="D104" s="116">
        <f>IF(TrRoad_act!D26=0,0,D40/TrRoad_act!D26*1000)</f>
        <v>251.38706189926586</v>
      </c>
      <c r="E104" s="116">
        <f>IF(TrRoad_act!E26=0,0,E40/TrRoad_act!E26*1000)</f>
        <v>237.07076119888271</v>
      </c>
      <c r="F104" s="116">
        <f>IF(TrRoad_act!F26=0,0,F40/TrRoad_act!F26*1000)</f>
        <v>231.6053371950965</v>
      </c>
      <c r="G104" s="116">
        <f>IF(TrRoad_act!G26=0,0,G40/TrRoad_act!G26*1000)</f>
        <v>234.63782200280994</v>
      </c>
      <c r="H104" s="116">
        <f>IF(TrRoad_act!H26=0,0,H40/TrRoad_act!H26*1000)</f>
        <v>247.86741605747656</v>
      </c>
      <c r="I104" s="116">
        <f>IF(TrRoad_act!I26=0,0,I40/TrRoad_act!I26*1000)</f>
        <v>267.26970323638363</v>
      </c>
      <c r="J104" s="116">
        <f>IF(TrRoad_act!J26=0,0,J40/TrRoad_act!J26*1000)</f>
        <v>272.3538231246763</v>
      </c>
      <c r="K104" s="116">
        <f>IF(TrRoad_act!K26=0,0,K40/TrRoad_act!K26*1000)</f>
        <v>264.96187675926728</v>
      </c>
      <c r="L104" s="116">
        <f>IF(TrRoad_act!L26=0,0,L40/TrRoad_act!L26*1000)</f>
        <v>264.16158691834238</v>
      </c>
      <c r="M104" s="116">
        <f>IF(TrRoad_act!M26=0,0,M40/TrRoad_act!M26*1000)</f>
        <v>175.93568519641394</v>
      </c>
      <c r="N104" s="116">
        <f>IF(TrRoad_act!N26=0,0,N40/TrRoad_act!N26*1000)</f>
        <v>152.39036480090388</v>
      </c>
      <c r="O104" s="116">
        <f>IF(TrRoad_act!O26=0,0,O40/TrRoad_act!O26*1000)</f>
        <v>140.73257572633645</v>
      </c>
      <c r="P104" s="116">
        <f>IF(TrRoad_act!P26=0,0,P40/TrRoad_act!P26*1000)</f>
        <v>138.00535051463922</v>
      </c>
      <c r="Q104" s="116">
        <f>IF(TrRoad_act!Q26=0,0,Q40/TrRoad_act!Q26*1000)</f>
        <v>140.85114888698686</v>
      </c>
      <c r="R104" s="116">
        <f>IF(TrRoad_act!R26=0,0,R40/TrRoad_act!R26*1000)</f>
        <v>134.89718619135724</v>
      </c>
      <c r="S104" s="116">
        <f>IF(TrRoad_act!S26=0,0,S40/TrRoad_act!S26*1000)</f>
        <v>137.94068695790551</v>
      </c>
      <c r="T104" s="116">
        <f>IF(TrRoad_act!T26=0,0,T40/TrRoad_act!T26*1000)</f>
        <v>128.39902450463029</v>
      </c>
      <c r="U104" s="116">
        <f>IF(TrRoad_act!U26=0,0,U40/TrRoad_act!U26*1000)</f>
        <v>126.67089511420474</v>
      </c>
      <c r="V104" s="116">
        <f>IF(TrRoad_act!V26=0,0,V40/TrRoad_act!V26*1000)</f>
        <v>108.99700966678151</v>
      </c>
      <c r="W104" s="116">
        <f>IF(TrRoad_act!W26=0,0,W40/TrRoad_act!W26*1000)</f>
        <v>116.62903593968801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183.21596012004457</v>
      </c>
      <c r="C105" s="101">
        <f>IF(TrRoad_act!C27=0,0,C41/TrRoad_act!C27*1000)</f>
        <v>210.46583302872207</v>
      </c>
      <c r="D105" s="101">
        <f>IF(TrRoad_act!D27=0,0,D41/TrRoad_act!D27*1000)</f>
        <v>206.33756703584496</v>
      </c>
      <c r="E105" s="101">
        <f>IF(TrRoad_act!E27=0,0,E41/TrRoad_act!E27*1000)</f>
        <v>193.93790975785672</v>
      </c>
      <c r="F105" s="101">
        <f>IF(TrRoad_act!F27=0,0,F41/TrRoad_act!F27*1000)</f>
        <v>183.47617715660959</v>
      </c>
      <c r="G105" s="101">
        <f>IF(TrRoad_act!G27=0,0,G41/TrRoad_act!G27*1000)</f>
        <v>178.73310893543896</v>
      </c>
      <c r="H105" s="101">
        <f>IF(TrRoad_act!H27=0,0,H41/TrRoad_act!H27*1000)</f>
        <v>183.03690679223962</v>
      </c>
      <c r="I105" s="101">
        <f>IF(TrRoad_act!I27=0,0,I41/TrRoad_act!I27*1000)</f>
        <v>196.45216410680317</v>
      </c>
      <c r="J105" s="101">
        <f>IF(TrRoad_act!J27=0,0,J41/TrRoad_act!J27*1000)</f>
        <v>215.64903525948054</v>
      </c>
      <c r="K105" s="101">
        <f>IF(TrRoad_act!K27=0,0,K41/TrRoad_act!K27*1000)</f>
        <v>236.5534539203814</v>
      </c>
      <c r="L105" s="101">
        <f>IF(TrRoad_act!L27=0,0,L41/TrRoad_act!L27*1000)</f>
        <v>171.98763710570771</v>
      </c>
      <c r="M105" s="101">
        <f>IF(TrRoad_act!M27=0,0,M41/TrRoad_act!M27*1000)</f>
        <v>130.96779489019229</v>
      </c>
      <c r="N105" s="101">
        <f>IF(TrRoad_act!N27=0,0,N41/TrRoad_act!N27*1000)</f>
        <v>110.13821509221238</v>
      </c>
      <c r="O105" s="101">
        <f>IF(TrRoad_act!O27=0,0,O41/TrRoad_act!O27*1000)</f>
        <v>108.01530929650245</v>
      </c>
      <c r="P105" s="101">
        <f>IF(TrRoad_act!P27=0,0,P41/TrRoad_act!P27*1000)</f>
        <v>107.85475298140348</v>
      </c>
      <c r="Q105" s="101">
        <f>IF(TrRoad_act!Q27=0,0,Q41/TrRoad_act!Q27*1000)</f>
        <v>109.36463647330471</v>
      </c>
      <c r="R105" s="101">
        <f>IF(TrRoad_act!R27=0,0,R41/TrRoad_act!R27*1000)</f>
        <v>110.21289607706844</v>
      </c>
      <c r="S105" s="101">
        <f>IF(TrRoad_act!S27=0,0,S41/TrRoad_act!S27*1000)</f>
        <v>108.04874062786152</v>
      </c>
      <c r="T105" s="101">
        <f>IF(TrRoad_act!T27=0,0,T41/TrRoad_act!T27*1000)</f>
        <v>100.36881945199184</v>
      </c>
      <c r="U105" s="101">
        <f>IF(TrRoad_act!U27=0,0,U41/TrRoad_act!U27*1000)</f>
        <v>103.58745839852516</v>
      </c>
      <c r="V105" s="101">
        <f>IF(TrRoad_act!V27=0,0,V41/TrRoad_act!V27*1000)</f>
        <v>92.839859879704946</v>
      </c>
      <c r="W105" s="101">
        <f>IF(TrRoad_act!W27=0,0,W41/TrRoad_act!W27*1000)</f>
        <v>96.06870491340807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221.55276792512348</v>
      </c>
      <c r="C106" s="88">
        <f>IF(TrRoad_act!C28=0,0,C42/TrRoad_act!C28*1000)</f>
        <v>420.44426436037537</v>
      </c>
      <c r="D106" s="88">
        <f>IF(TrRoad_act!D28=0,0,D42/TrRoad_act!D28*1000)</f>
        <v>359.39073906821892</v>
      </c>
      <c r="E106" s="88">
        <f>IF(TrRoad_act!E28=0,0,E42/TrRoad_act!E28*1000)</f>
        <v>359.42541250287383</v>
      </c>
      <c r="F106" s="88">
        <f>IF(TrRoad_act!F28=0,0,F42/TrRoad_act!F28*1000)</f>
        <v>349.98219762188421</v>
      </c>
      <c r="G106" s="88">
        <f>IF(TrRoad_act!G28=0,0,G42/TrRoad_act!G28*1000)</f>
        <v>387.17333380108215</v>
      </c>
      <c r="H106" s="88">
        <f>IF(TrRoad_act!H28=0,0,H42/TrRoad_act!H28*1000)</f>
        <v>391.0770764215859</v>
      </c>
      <c r="I106" s="88">
        <f>IF(TrRoad_act!I28=0,0,I42/TrRoad_act!I28*1000)</f>
        <v>419.18306382704912</v>
      </c>
      <c r="J106" s="88">
        <f>IF(TrRoad_act!J28=0,0,J42/TrRoad_act!J28*1000)</f>
        <v>378.89148546715973</v>
      </c>
      <c r="K106" s="88">
        <f>IF(TrRoad_act!K28=0,0,K42/TrRoad_act!K28*1000)</f>
        <v>322.45683951761515</v>
      </c>
      <c r="L106" s="88">
        <f>IF(TrRoad_act!L28=0,0,L42/TrRoad_act!L28*1000)</f>
        <v>463.97493445535844</v>
      </c>
      <c r="M106" s="88">
        <f>IF(TrRoad_act!M28=0,0,M42/TrRoad_act!M28*1000)</f>
        <v>263.31704773139506</v>
      </c>
      <c r="N106" s="88">
        <f>IF(TrRoad_act!N28=0,0,N42/TrRoad_act!N28*1000)</f>
        <v>225.76170215786172</v>
      </c>
      <c r="O106" s="88">
        <f>IF(TrRoad_act!O28=0,0,O42/TrRoad_act!O28*1000)</f>
        <v>193.66982962858509</v>
      </c>
      <c r="P106" s="88">
        <f>IF(TrRoad_act!P28=0,0,P42/TrRoad_act!P28*1000)</f>
        <v>185.05058815278656</v>
      </c>
      <c r="Q106" s="88">
        <f>IF(TrRoad_act!Q28=0,0,Q42/TrRoad_act!Q28*1000)</f>
        <v>183.25391748486732</v>
      </c>
      <c r="R106" s="88">
        <f>IF(TrRoad_act!R28=0,0,R42/TrRoad_act!R28*1000)</f>
        <v>168.7334329729926</v>
      </c>
      <c r="S106" s="88">
        <f>IF(TrRoad_act!S28=0,0,S42/TrRoad_act!S28*1000)</f>
        <v>185.49278835268197</v>
      </c>
      <c r="T106" s="88">
        <f>IF(TrRoad_act!T28=0,0,T42/TrRoad_act!T28*1000)</f>
        <v>171.91629527531092</v>
      </c>
      <c r="U106" s="88">
        <f>IF(TrRoad_act!U28=0,0,U42/TrRoad_act!U28*1000)</f>
        <v>164.72675780983795</v>
      </c>
      <c r="V106" s="88">
        <f>IF(TrRoad_act!V28=0,0,V42/TrRoad_act!V28*1000)</f>
        <v>133.6743498265746</v>
      </c>
      <c r="W106" s="88">
        <f>IF(TrRoad_act!W28=0,0,W42/TrRoad_act!W28*1000)</f>
        <v>152.13995191537933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256.49524367829656</v>
      </c>
      <c r="C110" s="152">
        <f>IF(C19=0,0,1000000*C19/TrRoad_act!C59)</f>
        <v>258.56914470427694</v>
      </c>
      <c r="D110" s="152">
        <f>IF(D19=0,0,1000000*D19/TrRoad_act!D59)</f>
        <v>256.30177118631724</v>
      </c>
      <c r="E110" s="152">
        <f>IF(E19=0,0,1000000*E19/TrRoad_act!E59)</f>
        <v>253.93293547247634</v>
      </c>
      <c r="F110" s="152">
        <f>IF(F19=0,0,1000000*F19/TrRoad_act!F59)</f>
        <v>248.91865296474191</v>
      </c>
      <c r="G110" s="152">
        <f>IF(G19=0,0,1000000*G19/TrRoad_act!G59)</f>
        <v>243.4566529520003</v>
      </c>
      <c r="H110" s="152">
        <f>IF(H19=0,0,1000000*H19/TrRoad_act!H59)</f>
        <v>231.37923195844786</v>
      </c>
      <c r="I110" s="152">
        <f>IF(I19=0,0,1000000*I19/TrRoad_act!I59)</f>
        <v>210.55775414859434</v>
      </c>
      <c r="J110" s="152">
        <f>IF(J19=0,0,1000000*J19/TrRoad_act!J59)</f>
        <v>190.90420160050002</v>
      </c>
      <c r="K110" s="152">
        <f>IF(K19=0,0,1000000*K19/TrRoad_act!K59)</f>
        <v>181.09828782688956</v>
      </c>
      <c r="L110" s="152">
        <f>IF(L19=0,0,1000000*L19/TrRoad_act!L59)</f>
        <v>176.71807838228565</v>
      </c>
      <c r="M110" s="152">
        <f>IF(M19=0,0,1000000*M19/TrRoad_act!M59)</f>
        <v>163.04591127907935</v>
      </c>
      <c r="N110" s="152">
        <f>IF(N19=0,0,1000000*N19/TrRoad_act!N59)</f>
        <v>137.47991935968722</v>
      </c>
      <c r="O110" s="152">
        <f>IF(O19=0,0,1000000*O19/TrRoad_act!O59)</f>
        <v>131.88608029076434</v>
      </c>
      <c r="P110" s="152">
        <f>IF(P19=0,0,1000000*P19/TrRoad_act!P59)</f>
        <v>145.49784568905378</v>
      </c>
      <c r="Q110" s="152">
        <f>IF(Q19=0,0,1000000*Q19/TrRoad_act!Q59)</f>
        <v>168.92472941729281</v>
      </c>
      <c r="R110" s="152">
        <f>IF(R19=0,0,1000000*R19/TrRoad_act!R59)</f>
        <v>162.90040286963827</v>
      </c>
      <c r="S110" s="152">
        <f>IF(S19=0,0,1000000*S19/TrRoad_act!S59)</f>
        <v>141.75902692400479</v>
      </c>
      <c r="T110" s="152">
        <f>IF(T19=0,0,1000000*T19/TrRoad_act!T59)</f>
        <v>125.26113435691748</v>
      </c>
      <c r="U110" s="152">
        <f>IF(U19=0,0,1000000*U19/TrRoad_act!U59)</f>
        <v>121.33868171759882</v>
      </c>
      <c r="V110" s="152">
        <f>IF(V19=0,0,1000000*V19/TrRoad_act!V59)</f>
        <v>98.308113623509641</v>
      </c>
      <c r="W110" s="152">
        <f>IF(W19=0,0,1000000*W19/TrRoad_act!W59)</f>
        <v>87.490361021830097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1946.7804745637468</v>
      </c>
      <c r="C111" s="116">
        <f>IF(C20=0,0,1000000*C20/TrRoad_act!C60)</f>
        <v>2104.5724048064599</v>
      </c>
      <c r="D111" s="116">
        <f>IF(D20=0,0,1000000*D20/TrRoad_act!D60)</f>
        <v>2100.9901305644989</v>
      </c>
      <c r="E111" s="116">
        <f>IF(E20=0,0,1000000*E20/TrRoad_act!E60)</f>
        <v>2139.87576242555</v>
      </c>
      <c r="F111" s="116">
        <f>IF(F20=0,0,1000000*F20/TrRoad_act!F60)</f>
        <v>2155.7380638057984</v>
      </c>
      <c r="G111" s="116">
        <f>IF(G20=0,0,1000000*G20/TrRoad_act!G60)</f>
        <v>2147.5373973814653</v>
      </c>
      <c r="H111" s="116">
        <f>IF(H20=0,0,1000000*H20/TrRoad_act!H60)</f>
        <v>2402.7118046497685</v>
      </c>
      <c r="I111" s="116">
        <f>IF(I20=0,0,1000000*I20/TrRoad_act!I60)</f>
        <v>2640.962503934411</v>
      </c>
      <c r="J111" s="116">
        <f>IF(J20=0,0,1000000*J20/TrRoad_act!J60)</f>
        <v>2546.0579275562059</v>
      </c>
      <c r="K111" s="116">
        <f>IF(K20=0,0,1000000*K20/TrRoad_act!K60)</f>
        <v>2350.3307613868201</v>
      </c>
      <c r="L111" s="116">
        <f>IF(L20=0,0,1000000*L20/TrRoad_act!L60)</f>
        <v>2395.9903653301285</v>
      </c>
      <c r="M111" s="116">
        <f>IF(M20=0,0,1000000*M20/TrRoad_act!M60)</f>
        <v>2381.5097623335764</v>
      </c>
      <c r="N111" s="116">
        <f>IF(N20=0,0,1000000*N20/TrRoad_act!N60)</f>
        <v>2290.4285141886103</v>
      </c>
      <c r="O111" s="116">
        <f>IF(O20=0,0,1000000*O20/TrRoad_act!O60)</f>
        <v>2248.093036732676</v>
      </c>
      <c r="P111" s="116">
        <f>IF(P20=0,0,1000000*P20/TrRoad_act!P60)</f>
        <v>2402.7379865381595</v>
      </c>
      <c r="Q111" s="116">
        <f>IF(Q20=0,0,1000000*Q20/TrRoad_act!Q60)</f>
        <v>2506.3014307429517</v>
      </c>
      <c r="R111" s="116">
        <f>IF(R20=0,0,1000000*R20/TrRoad_act!R60)</f>
        <v>2673.9279546587322</v>
      </c>
      <c r="S111" s="116">
        <f>IF(S20=0,0,1000000*S20/TrRoad_act!S60)</f>
        <v>2678.8686761973645</v>
      </c>
      <c r="T111" s="116">
        <f>IF(T20=0,0,1000000*T20/TrRoad_act!T60)</f>
        <v>2631.7639361895644</v>
      </c>
      <c r="U111" s="116">
        <f>IF(U20=0,0,1000000*U20/TrRoad_act!U60)</f>
        <v>2673.7325724635662</v>
      </c>
      <c r="V111" s="116">
        <f>IF(V20=0,0,1000000*V20/TrRoad_act!V60)</f>
        <v>2509.6293440585946</v>
      </c>
      <c r="W111" s="116">
        <f>IF(W20=0,0,1000000*W20/TrRoad_act!W60)</f>
        <v>2483.938239572381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1872.0842212728023</v>
      </c>
      <c r="C112" s="87">
        <f>IF(C21=0,0,1000000*C21/TrRoad_act!C61)</f>
        <v>1999.2669138836982</v>
      </c>
      <c r="D112" s="87">
        <f>IF(D21=0,0,1000000*D21/TrRoad_act!D61)</f>
        <v>1984.1283385867746</v>
      </c>
      <c r="E112" s="87">
        <f>IF(E21=0,0,1000000*E21/TrRoad_act!E61)</f>
        <v>1996.0451205768329</v>
      </c>
      <c r="F112" s="87">
        <f>IF(F21=0,0,1000000*F21/TrRoad_act!F61)</f>
        <v>1994.3075620012562</v>
      </c>
      <c r="G112" s="87">
        <f>IF(G21=0,0,1000000*G21/TrRoad_act!G61)</f>
        <v>1963.9997057781015</v>
      </c>
      <c r="H112" s="87">
        <f>IF(H21=0,0,1000000*H21/TrRoad_act!H61)</f>
        <v>2196.5923987317424</v>
      </c>
      <c r="I112" s="87">
        <f>IF(I21=0,0,1000000*I21/TrRoad_act!I61)</f>
        <v>2451.4548501624936</v>
      </c>
      <c r="J112" s="87">
        <f>IF(J21=0,0,1000000*J21/TrRoad_act!J61)</f>
        <v>2333.0197557250235</v>
      </c>
      <c r="K112" s="87">
        <f>IF(K21=0,0,1000000*K21/TrRoad_act!K61)</f>
        <v>2071.7090604357991</v>
      </c>
      <c r="L112" s="87">
        <f>IF(L21=0,0,1000000*L21/TrRoad_act!L61)</f>
        <v>2026.1503948139832</v>
      </c>
      <c r="M112" s="87">
        <f>IF(M21=0,0,1000000*M21/TrRoad_act!M61)</f>
        <v>2068.1868345457224</v>
      </c>
      <c r="N112" s="87">
        <f>IF(N21=0,0,1000000*N21/TrRoad_act!N61)</f>
        <v>1889.1396505769731</v>
      </c>
      <c r="O112" s="87">
        <f>IF(O21=0,0,1000000*O21/TrRoad_act!O61)</f>
        <v>1780.4105090217629</v>
      </c>
      <c r="P112" s="87">
        <f>IF(P21=0,0,1000000*P21/TrRoad_act!P61)</f>
        <v>1959.8895041713654</v>
      </c>
      <c r="Q112" s="87">
        <f>IF(Q21=0,0,1000000*Q21/TrRoad_act!Q61)</f>
        <v>2012.372613294257</v>
      </c>
      <c r="R112" s="87">
        <f>IF(R21=0,0,1000000*R21/TrRoad_act!R61)</f>
        <v>2206.0823385714925</v>
      </c>
      <c r="S112" s="87">
        <f>IF(S21=0,0,1000000*S21/TrRoad_act!S61)</f>
        <v>2184.8814704498841</v>
      </c>
      <c r="T112" s="87">
        <f>IF(T21=0,0,1000000*T21/TrRoad_act!T61)</f>
        <v>2190.6029724586861</v>
      </c>
      <c r="U112" s="87">
        <f>IF(U21=0,0,1000000*U21/TrRoad_act!U61)</f>
        <v>2149.1114987568435</v>
      </c>
      <c r="V112" s="87">
        <f>IF(V21=0,0,1000000*V21/TrRoad_act!V61)</f>
        <v>2130.8089572179774</v>
      </c>
      <c r="W112" s="87">
        <f>IF(W21=0,0,1000000*W21/TrRoad_act!W61)</f>
        <v>2144.4804280875346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2240.3258493439698</v>
      </c>
      <c r="C113" s="87">
        <f>IF(C22=0,0,1000000*C22/TrRoad_act!C62)</f>
        <v>2642.9240942246252</v>
      </c>
      <c r="D113" s="87">
        <f>IF(D22=0,0,1000000*D22/TrRoad_act!D62)</f>
        <v>2608.5989119495489</v>
      </c>
      <c r="E113" s="87">
        <f>IF(E22=0,0,1000000*E22/TrRoad_act!E62)</f>
        <v>2690.7755343635304</v>
      </c>
      <c r="F113" s="87">
        <f>IF(F22=0,0,1000000*F22/TrRoad_act!F62)</f>
        <v>2774.2337261229832</v>
      </c>
      <c r="G113" s="87">
        <f>IF(G22=0,0,1000000*G22/TrRoad_act!G62)</f>
        <v>2770.7046329838727</v>
      </c>
      <c r="H113" s="87">
        <f>IF(H22=0,0,1000000*H22/TrRoad_act!H62)</f>
        <v>3044.3414183543682</v>
      </c>
      <c r="I113" s="87">
        <f>IF(I22=0,0,1000000*I22/TrRoad_act!I62)</f>
        <v>3204.5485164156148</v>
      </c>
      <c r="J113" s="87">
        <f>IF(J22=0,0,1000000*J22/TrRoad_act!J62)</f>
        <v>3106.4227705187482</v>
      </c>
      <c r="K113" s="87">
        <f>IF(K22=0,0,1000000*K22/TrRoad_act!K62)</f>
        <v>2979.7548633748911</v>
      </c>
      <c r="L113" s="87">
        <f>IF(L22=0,0,1000000*L22/TrRoad_act!L62)</f>
        <v>3108.9791878338369</v>
      </c>
      <c r="M113" s="87">
        <f>IF(M22=0,0,1000000*M22/TrRoad_act!M62)</f>
        <v>2876.5492650051333</v>
      </c>
      <c r="N113" s="87">
        <f>IF(N22=0,0,1000000*N22/TrRoad_act!N62)</f>
        <v>2820.4883429851693</v>
      </c>
      <c r="O113" s="87">
        <f>IF(O22=0,0,1000000*O22/TrRoad_act!O62)</f>
        <v>2706.7741229215967</v>
      </c>
      <c r="P113" s="87">
        <f>IF(P22=0,0,1000000*P22/TrRoad_act!P62)</f>
        <v>2736.5745677962332</v>
      </c>
      <c r="Q113" s="87">
        <f>IF(Q22=0,0,1000000*Q22/TrRoad_act!Q62)</f>
        <v>2815.7981763945727</v>
      </c>
      <c r="R113" s="87">
        <f>IF(R22=0,0,1000000*R22/TrRoad_act!R62)</f>
        <v>2949.6563930802417</v>
      </c>
      <c r="S113" s="87">
        <f>IF(S22=0,0,1000000*S22/TrRoad_act!S62)</f>
        <v>2963.9744038094946</v>
      </c>
      <c r="T113" s="87">
        <f>IF(T22=0,0,1000000*T22/TrRoad_act!T62)</f>
        <v>2859.8914638103224</v>
      </c>
      <c r="U113" s="87">
        <f>IF(U22=0,0,1000000*U22/TrRoad_act!U62)</f>
        <v>2960.6433460114849</v>
      </c>
      <c r="V113" s="87">
        <f>IF(V22=0,0,1000000*V22/TrRoad_act!V62)</f>
        <v>2711.7687047613413</v>
      </c>
      <c r="W113" s="87">
        <f>IF(W22=0,0,1000000*W22/TrRoad_act!W62)</f>
        <v>2682.9090549385892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3412.3691250000002</v>
      </c>
      <c r="C114" s="87">
        <f>IF(C23=0,0,1000000*C23/TrRoad_act!C63)</f>
        <v>3411.3030927835052</v>
      </c>
      <c r="D114" s="87">
        <f>IF(D23=0,0,1000000*D23/TrRoad_act!D63)</f>
        <v>3412.5824114007128</v>
      </c>
      <c r="E114" s="87">
        <f>IF(E23=0,0,1000000*E23/TrRoad_act!E63)</f>
        <v>3376.5137645478958</v>
      </c>
      <c r="F114" s="87">
        <f>IF(F23=0,0,1000000*F23/TrRoad_act!F63)</f>
        <v>2784.7055700682572</v>
      </c>
      <c r="G114" s="87">
        <f>IF(G23=0,0,1000000*G23/TrRoad_act!G63)</f>
        <v>2583.8588288187034</v>
      </c>
      <c r="H114" s="87">
        <f>IF(H23=0,0,1000000*H23/TrRoad_act!H63)</f>
        <v>2561.8201892744482</v>
      </c>
      <c r="I114" s="87">
        <f>IF(I23=0,0,1000000*I23/TrRoad_act!I63)</f>
        <v>2471.0944856497908</v>
      </c>
      <c r="J114" s="87">
        <f>IF(J23=0,0,1000000*J23/TrRoad_act!J63)</f>
        <v>2268.4404931959998</v>
      </c>
      <c r="K114" s="87">
        <f>IF(K23=0,0,1000000*K23/TrRoad_act!K63)</f>
        <v>2175.9956159579133</v>
      </c>
      <c r="L114" s="87">
        <f>IF(L23=0,0,1000000*L23/TrRoad_act!L63)</f>
        <v>2728.3513011954597</v>
      </c>
      <c r="M114" s="87">
        <f>IF(M23=0,0,1000000*M23/TrRoad_act!M63)</f>
        <v>2863.551569506727</v>
      </c>
      <c r="N114" s="87">
        <f>IF(N23=0,0,1000000*N23/TrRoad_act!N63)</f>
        <v>2734.1223166748482</v>
      </c>
      <c r="O114" s="87">
        <f>IF(O23=0,0,1000000*O23/TrRoad_act!O63)</f>
        <v>3088.3531627092898</v>
      </c>
      <c r="P114" s="87">
        <f>IF(P23=0,0,1000000*P23/TrRoad_act!P63)</f>
        <v>2955.6019355015414</v>
      </c>
      <c r="Q114" s="87">
        <f>IF(Q23=0,0,1000000*Q23/TrRoad_act!Q63)</f>
        <v>3235.2239425436665</v>
      </c>
      <c r="R114" s="87">
        <f>IF(R23=0,0,1000000*R23/TrRoad_act!R63)</f>
        <v>3109.3799237439825</v>
      </c>
      <c r="S114" s="87">
        <f>IF(S23=0,0,1000000*S23/TrRoad_act!S63)</f>
        <v>2935.5478883298124</v>
      </c>
      <c r="T114" s="87">
        <f>IF(T23=0,0,1000000*T23/TrRoad_act!T63)</f>
        <v>2856.2551081609108</v>
      </c>
      <c r="U114" s="87">
        <f>IF(U23=0,0,1000000*U23/TrRoad_act!U63)</f>
        <v>2569.9111505067531</v>
      </c>
      <c r="V114" s="87">
        <f>IF(V23=0,0,1000000*V23/TrRoad_act!V63)</f>
        <v>2384.1398160412455</v>
      </c>
      <c r="W114" s="87">
        <f>IF(W23=0,0,1000000*W23/TrRoad_act!W63)</f>
        <v>2141.6970739145477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1071.3167726759682</v>
      </c>
      <c r="C115" s="87">
        <f>IF(C24=0,0,1000000*C24/TrRoad_act!C64)</f>
        <v>1283.9940175029149</v>
      </c>
      <c r="D115" s="87">
        <f>IF(D24=0,0,1000000*D24/TrRoad_act!D64)</f>
        <v>1295.440417429953</v>
      </c>
      <c r="E115" s="87">
        <f>IF(E24=0,0,1000000*E24/TrRoad_act!E64)</f>
        <v>1365.1186876016795</v>
      </c>
      <c r="F115" s="87">
        <f>IF(F24=0,0,1000000*F24/TrRoad_act!F64)</f>
        <v>1429.0090890174849</v>
      </c>
      <c r="G115" s="87">
        <f>IF(G24=0,0,1000000*G24/TrRoad_act!G64)</f>
        <v>1465.4802101010737</v>
      </c>
      <c r="H115" s="87">
        <f>IF(H24=0,0,1000000*H24/TrRoad_act!H64)</f>
        <v>1658.9706178590595</v>
      </c>
      <c r="I115" s="87">
        <f>IF(I24=0,0,1000000*I24/TrRoad_act!I64)</f>
        <v>1918.788412771881</v>
      </c>
      <c r="J115" s="87">
        <f>IF(J24=0,0,1000000*J24/TrRoad_act!J64)</f>
        <v>1847.3351840557111</v>
      </c>
      <c r="K115" s="87">
        <f>IF(K24=0,0,1000000*K24/TrRoad_act!K64)</f>
        <v>1690.3289461615752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0</v>
      </c>
      <c r="R115" s="87">
        <f>IF(R24=0,0,1000000*R24/TrRoad_act!R64)</f>
        <v>0</v>
      </c>
      <c r="S115" s="87">
        <f>IF(S24=0,0,1000000*S24/TrRoad_act!S64)</f>
        <v>0</v>
      </c>
      <c r="T115" s="87">
        <f>IF(T24=0,0,1000000*T24/TrRoad_act!T64)</f>
        <v>864.01430463576162</v>
      </c>
      <c r="U115" s="87">
        <f>IF(U24=0,0,1000000*U24/TrRoad_act!U64)</f>
        <v>1334.1391337239697</v>
      </c>
      <c r="V115" s="87">
        <f>IF(V24=0,0,1000000*V24/TrRoad_act!V64)</f>
        <v>1225.1825820964921</v>
      </c>
      <c r="W115" s="87">
        <f>IF(W24=0,0,1000000*W24/TrRoad_act!W64)</f>
        <v>1232.137145312694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506.46479239798776</v>
      </c>
      <c r="O116" s="87">
        <f>IF(O25=0,0,1000000*O25/TrRoad_act!O65)</f>
        <v>576.58362144650573</v>
      </c>
      <c r="P116" s="87">
        <f>IF(P25=0,0,1000000*P25/TrRoad_act!P65)</f>
        <v>645.46431538445438</v>
      </c>
      <c r="Q116" s="87">
        <f>IF(Q25=0,0,1000000*Q25/TrRoad_act!Q65)</f>
        <v>589.91057612945895</v>
      </c>
      <c r="R116" s="87">
        <f>IF(R25=0,0,1000000*R25/TrRoad_act!R65)</f>
        <v>545.00893146861824</v>
      </c>
      <c r="S116" s="87">
        <f>IF(S25=0,0,1000000*S25/TrRoad_act!S65)</f>
        <v>596.41681916711639</v>
      </c>
      <c r="T116" s="87">
        <f>IF(T25=0,0,1000000*T25/TrRoad_act!T65)</f>
        <v>617.18854041487123</v>
      </c>
      <c r="U116" s="87">
        <f>IF(U25=0,0,1000000*U25/TrRoad_act!U65)</f>
        <v>623.40287133559741</v>
      </c>
      <c r="V116" s="87">
        <f>IF(V25=0,0,1000000*V25/TrRoad_act!V65)</f>
        <v>674.02838526625214</v>
      </c>
      <c r="W116" s="87">
        <f>IF(W25=0,0,1000000*W25/TrRoad_act!W65)</f>
        <v>609.42583745332752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65228.77600954099</v>
      </c>
      <c r="C118" s="116">
        <f>IF(C27=0,0,1000000*C27/TrRoad_act!C67)</f>
        <v>71776.641659225526</v>
      </c>
      <c r="D118" s="116">
        <f>IF(D27=0,0,1000000*D27/TrRoad_act!D67)</f>
        <v>69195.023394569274</v>
      </c>
      <c r="E118" s="116">
        <f>IF(E27=0,0,1000000*E27/TrRoad_act!E67)</f>
        <v>69444.480616532019</v>
      </c>
      <c r="F118" s="116">
        <f>IF(F27=0,0,1000000*F27/TrRoad_act!F67)</f>
        <v>70849.123107599124</v>
      </c>
      <c r="G118" s="116">
        <f>IF(G27=0,0,1000000*G27/TrRoad_act!G67)</f>
        <v>71589.905993541921</v>
      </c>
      <c r="H118" s="116">
        <f>IF(H27=0,0,1000000*H27/TrRoad_act!H67)</f>
        <v>71131.058351090935</v>
      </c>
      <c r="I118" s="116">
        <f>IF(I27=0,0,1000000*I27/TrRoad_act!I67)</f>
        <v>70418.996424099299</v>
      </c>
      <c r="J118" s="116">
        <f>IF(J27=0,0,1000000*J27/TrRoad_act!J67)</f>
        <v>66387.339603928383</v>
      </c>
      <c r="K118" s="116">
        <f>IF(K27=0,0,1000000*K27/TrRoad_act!K67)</f>
        <v>63173.948169543815</v>
      </c>
      <c r="L118" s="116">
        <f>IF(L27=0,0,1000000*L27/TrRoad_act!L67)</f>
        <v>67204.554828945984</v>
      </c>
      <c r="M118" s="116">
        <f>IF(M27=0,0,1000000*M27/TrRoad_act!M67)</f>
        <v>63649.672040922698</v>
      </c>
      <c r="N118" s="116">
        <f>IF(N27=0,0,1000000*N27/TrRoad_act!N67)</f>
        <v>64807.834590410195</v>
      </c>
      <c r="O118" s="116">
        <f>IF(O27=0,0,1000000*O27/TrRoad_act!O67)</f>
        <v>66078.338154478493</v>
      </c>
      <c r="P118" s="116">
        <f>IF(P27=0,0,1000000*P27/TrRoad_act!P67)</f>
        <v>66303.05726719083</v>
      </c>
      <c r="Q118" s="116">
        <f>IF(Q27=0,0,1000000*Q27/TrRoad_act!Q67)</f>
        <v>66914.668393448213</v>
      </c>
      <c r="R118" s="116">
        <f>IF(R27=0,0,1000000*R27/TrRoad_act!R67)</f>
        <v>68438.371254783007</v>
      </c>
      <c r="S118" s="116">
        <f>IF(S27=0,0,1000000*S27/TrRoad_act!S67)</f>
        <v>71300.139907355973</v>
      </c>
      <c r="T118" s="116">
        <f>IF(T27=0,0,1000000*T27/TrRoad_act!T67)</f>
        <v>68024.931313855603</v>
      </c>
      <c r="U118" s="116">
        <f>IF(U27=0,0,1000000*U27/TrRoad_act!U67)</f>
        <v>65063.671101411557</v>
      </c>
      <c r="V118" s="116">
        <f>IF(V27=0,0,1000000*V27/TrRoad_act!V67)</f>
        <v>54894.936747469161</v>
      </c>
      <c r="W118" s="116">
        <f>IF(W27=0,0,1000000*W27/TrRoad_act!W67)</f>
        <v>47100.457049742494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22078.661011560165</v>
      </c>
      <c r="C119" s="101">
        <f>IF(C28=0,0,1000000*C28/TrRoad_act!C68)</f>
        <v>20938.011564773849</v>
      </c>
      <c r="D119" s="101">
        <f>IF(D28=0,0,1000000*D28/TrRoad_act!D68)</f>
        <v>20870.243160313235</v>
      </c>
      <c r="E119" s="101">
        <f>IF(E28=0,0,1000000*E28/TrRoad_act!E68)</f>
        <v>20866.998995812755</v>
      </c>
      <c r="F119" s="101">
        <f>IF(F28=0,0,1000000*F28/TrRoad_act!F68)</f>
        <v>20812.988765084945</v>
      </c>
      <c r="G119" s="101">
        <f>IF(G28=0,0,1000000*G28/TrRoad_act!G68)</f>
        <v>20729.763855274105</v>
      </c>
      <c r="H119" s="101">
        <f>IF(H28=0,0,1000000*H28/TrRoad_act!H68)</f>
        <v>19742.870778670716</v>
      </c>
      <c r="I119" s="101">
        <f>IF(I28=0,0,1000000*I28/TrRoad_act!I68)</f>
        <v>18858.609163090405</v>
      </c>
      <c r="J119" s="101">
        <f>IF(J28=0,0,1000000*J28/TrRoad_act!J68)</f>
        <v>17967.144718932774</v>
      </c>
      <c r="K119" s="101">
        <f>IF(K28=0,0,1000000*K28/TrRoad_act!K68)</f>
        <v>17665.972310221478</v>
      </c>
      <c r="L119" s="101">
        <f>IF(L28=0,0,1000000*L28/TrRoad_act!L68)</f>
        <v>17871.24169078012</v>
      </c>
      <c r="M119" s="101">
        <f>IF(M28=0,0,1000000*M28/TrRoad_act!M68)</f>
        <v>18161.365422756149</v>
      </c>
      <c r="N119" s="101">
        <f>IF(N28=0,0,1000000*N28/TrRoad_act!N68)</f>
        <v>17963.310377764519</v>
      </c>
      <c r="O119" s="101">
        <f>IF(O28=0,0,1000000*O28/TrRoad_act!O68)</f>
        <v>17511.893667595483</v>
      </c>
      <c r="P119" s="101">
        <f>IF(P28=0,0,1000000*P28/TrRoad_act!P68)</f>
        <v>17308.741901664391</v>
      </c>
      <c r="Q119" s="101">
        <f>IF(Q28=0,0,1000000*Q28/TrRoad_act!Q68)</f>
        <v>16720.881076599941</v>
      </c>
      <c r="R119" s="101">
        <f>IF(R28=0,0,1000000*R28/TrRoad_act!R68)</f>
        <v>17104.477567657628</v>
      </c>
      <c r="S119" s="101">
        <f>IF(S28=0,0,1000000*S28/TrRoad_act!S68)</f>
        <v>17655.692922530223</v>
      </c>
      <c r="T119" s="101">
        <f>IF(T28=0,0,1000000*T28/TrRoad_act!T68)</f>
        <v>17560.050082728372</v>
      </c>
      <c r="U119" s="101">
        <f>IF(U28=0,0,1000000*U28/TrRoad_act!U68)</f>
        <v>17285.430496804394</v>
      </c>
      <c r="V119" s="101">
        <f>IF(V28=0,0,1000000*V28/TrRoad_act!V68)</f>
        <v>14735.530840591768</v>
      </c>
      <c r="W119" s="101">
        <f>IF(W28=0,0,1000000*W28/TrRoad_act!W68)</f>
        <v>13414.098037013691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71504.895921289935</v>
      </c>
      <c r="C120" s="101">
        <f>IF(C29=0,0,1000000*C29/TrRoad_act!C69)</f>
        <v>79406.180649367234</v>
      </c>
      <c r="D120" s="101">
        <f>IF(D29=0,0,1000000*D29/TrRoad_act!D69)</f>
        <v>76347.888181828384</v>
      </c>
      <c r="E120" s="101">
        <f>IF(E29=0,0,1000000*E29/TrRoad_act!E69)</f>
        <v>75901.179902277028</v>
      </c>
      <c r="F120" s="101">
        <f>IF(F29=0,0,1000000*F29/TrRoad_act!F69)</f>
        <v>77403.841883377492</v>
      </c>
      <c r="G120" s="101">
        <f>IF(G29=0,0,1000000*G29/TrRoad_act!G69)</f>
        <v>78954.882495409431</v>
      </c>
      <c r="H120" s="101">
        <f>IF(H29=0,0,1000000*H29/TrRoad_act!H69)</f>
        <v>78387.052288431078</v>
      </c>
      <c r="I120" s="101">
        <f>IF(I29=0,0,1000000*I29/TrRoad_act!I69)</f>
        <v>78180.959635204315</v>
      </c>
      <c r="J120" s="101">
        <f>IF(J29=0,0,1000000*J29/TrRoad_act!J69)</f>
        <v>73966.061915167083</v>
      </c>
      <c r="K120" s="101">
        <f>IF(K29=0,0,1000000*K29/TrRoad_act!K69)</f>
        <v>71052.039923503355</v>
      </c>
      <c r="L120" s="101">
        <f>IF(L29=0,0,1000000*L29/TrRoad_act!L69)</f>
        <v>76845.933183702087</v>
      </c>
      <c r="M120" s="101">
        <f>IF(M29=0,0,1000000*M29/TrRoad_act!M69)</f>
        <v>71452.667596452942</v>
      </c>
      <c r="N120" s="101">
        <f>IF(N29=0,0,1000000*N29/TrRoad_act!N69)</f>
        <v>72322.803903722117</v>
      </c>
      <c r="O120" s="101">
        <f>IF(O29=0,0,1000000*O29/TrRoad_act!O69)</f>
        <v>73134.206343531128</v>
      </c>
      <c r="P120" s="101">
        <f>IF(P29=0,0,1000000*P29/TrRoad_act!P69)</f>
        <v>73316.157917629578</v>
      </c>
      <c r="Q120" s="101">
        <f>IF(Q29=0,0,1000000*Q29/TrRoad_act!Q69)</f>
        <v>74255.232301831391</v>
      </c>
      <c r="R120" s="101">
        <f>IF(R29=0,0,1000000*R29/TrRoad_act!R69)</f>
        <v>76545.475604066916</v>
      </c>
      <c r="S120" s="101">
        <f>IF(S29=0,0,1000000*S29/TrRoad_act!S69)</f>
        <v>78691.89805457741</v>
      </c>
      <c r="T120" s="101">
        <f>IF(T29=0,0,1000000*T29/TrRoad_act!T69)</f>
        <v>75146.532666116691</v>
      </c>
      <c r="U120" s="101">
        <f>IF(U29=0,0,1000000*U29/TrRoad_act!U69)</f>
        <v>72433.35618577167</v>
      </c>
      <c r="V120" s="101">
        <f>IF(V29=0,0,1000000*V29/TrRoad_act!V69)</f>
        <v>62829.423373596648</v>
      </c>
      <c r="W120" s="101">
        <f>IF(W29=0,0,1000000*W29/TrRoad_act!W69)</f>
        <v>55771.142947715649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32455.213039068654</v>
      </c>
      <c r="S121" s="101">
        <f>IF(S30=0,0,1000000*S30/TrRoad_act!S70)</f>
        <v>32624.096905223509</v>
      </c>
      <c r="T121" s="101">
        <f>IF(T30=0,0,1000000*T30/TrRoad_act!T70)</f>
        <v>31869.762454528118</v>
      </c>
      <c r="U121" s="101">
        <f>IF(U30=0,0,1000000*U30/TrRoad_act!U70)</f>
        <v>30468.970729692664</v>
      </c>
      <c r="V121" s="101">
        <f>IF(V30=0,0,1000000*V30/TrRoad_act!V70)</f>
        <v>26287.01179573224</v>
      </c>
      <c r="W121" s="101">
        <f>IF(W30=0,0,1000000*W30/TrRoad_act!W70)</f>
        <v>23019.744792836853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35724.866454648072</v>
      </c>
      <c r="C122" s="101">
        <f>IF(C31=0,0,1000000*C31/TrRoad_act!C71)</f>
        <v>45476.207677537932</v>
      </c>
      <c r="D122" s="101">
        <f>IF(D31=0,0,1000000*D31/TrRoad_act!D71)</f>
        <v>35372.345317594787</v>
      </c>
      <c r="E122" s="101">
        <f>IF(E31=0,0,1000000*E31/TrRoad_act!E71)</f>
        <v>36954.802436736711</v>
      </c>
      <c r="F122" s="101">
        <f>IF(F31=0,0,1000000*F31/TrRoad_act!F71)</f>
        <v>36381.330547421829</v>
      </c>
      <c r="G122" s="101">
        <f>IF(G31=0,0,1000000*G31/TrRoad_act!G71)</f>
        <v>34668.590276094226</v>
      </c>
      <c r="H122" s="101">
        <f>IF(H31=0,0,1000000*H31/TrRoad_act!H71)</f>
        <v>34974.105022549775</v>
      </c>
      <c r="I122" s="101">
        <f>IF(I31=0,0,1000000*I31/TrRoad_act!I71)</f>
        <v>33006.605793614064</v>
      </c>
      <c r="J122" s="101">
        <f>IF(J31=0,0,1000000*J31/TrRoad_act!J71)</f>
        <v>39461.405351049209</v>
      </c>
      <c r="K122" s="101">
        <f>IF(K31=0,0,1000000*K31/TrRoad_act!K71)</f>
        <v>58721.776345960629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0</v>
      </c>
      <c r="U122" s="101">
        <f>IF(U31=0,0,1000000*U31/TrRoad_act!U71)</f>
        <v>15225.058842987226</v>
      </c>
      <c r="V122" s="101">
        <f>IF(V31=0,0,1000000*V31/TrRoad_act!V71)</f>
        <v>16839.114059678363</v>
      </c>
      <c r="W122" s="101">
        <f>IF(W31=0,0,1000000*W31/TrRoad_act!W71)</f>
        <v>18681.170167843477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4118.1294170472129</v>
      </c>
      <c r="C125" s="152">
        <f>IF(C34=0,0,1000000*C34/TrRoad_act!C74)</f>
        <v>4411.386777154401</v>
      </c>
      <c r="D125" s="152">
        <f>IF(D34=0,0,1000000*D34/TrRoad_act!D74)</f>
        <v>4557.1149214730749</v>
      </c>
      <c r="E125" s="152">
        <f>IF(E34=0,0,1000000*E34/TrRoad_act!E74)</f>
        <v>4288.997304269953</v>
      </c>
      <c r="F125" s="152">
        <f>IF(F34=0,0,1000000*F34/TrRoad_act!F74)</f>
        <v>4586.2441055657737</v>
      </c>
      <c r="G125" s="152">
        <f>IF(G34=0,0,1000000*G34/TrRoad_act!G74)</f>
        <v>4516.3103937181268</v>
      </c>
      <c r="H125" s="152">
        <f>IF(H34=0,0,1000000*H34/TrRoad_act!H74)</f>
        <v>4472.1663858334859</v>
      </c>
      <c r="I125" s="152">
        <f>IF(I34=0,0,1000000*I34/TrRoad_act!I74)</f>
        <v>4792.0728339611396</v>
      </c>
      <c r="J125" s="152">
        <f>IF(J34=0,0,1000000*J34/TrRoad_act!J74)</f>
        <v>4803.489461179408</v>
      </c>
      <c r="K125" s="152">
        <f>IF(K34=0,0,1000000*K34/TrRoad_act!K74)</f>
        <v>4655.2074935462033</v>
      </c>
      <c r="L125" s="152">
        <f>IF(L34=0,0,1000000*L34/TrRoad_act!L74)</f>
        <v>5176.4986880699389</v>
      </c>
      <c r="M125" s="152">
        <f>IF(M34=0,0,1000000*M34/TrRoad_act!M74)</f>
        <v>4798.4441317381643</v>
      </c>
      <c r="N125" s="152">
        <f>IF(N34=0,0,1000000*N34/TrRoad_act!N74)</f>
        <v>4753.7102661219096</v>
      </c>
      <c r="O125" s="152">
        <f>IF(O34=0,0,1000000*O34/TrRoad_act!O74)</f>
        <v>4736.6424066056443</v>
      </c>
      <c r="P125" s="152">
        <f>IF(P34=0,0,1000000*P34/TrRoad_act!P74)</f>
        <v>4661.4322449375795</v>
      </c>
      <c r="Q125" s="152">
        <f>IF(Q34=0,0,1000000*Q34/TrRoad_act!Q74)</f>
        <v>4574.2907313096257</v>
      </c>
      <c r="R125" s="152">
        <f>IF(R34=0,0,1000000*R34/TrRoad_act!R74)</f>
        <v>4565.4104476737648</v>
      </c>
      <c r="S125" s="152">
        <f>IF(S34=0,0,1000000*S34/TrRoad_act!S74)</f>
        <v>4557.0178770094226</v>
      </c>
      <c r="T125" s="152">
        <f>IF(T34=0,0,1000000*T34/TrRoad_act!T74)</f>
        <v>4325.5315549614697</v>
      </c>
      <c r="U125" s="152">
        <f>IF(U34=0,0,1000000*U34/TrRoad_act!U74)</f>
        <v>4227.2834004329998</v>
      </c>
      <c r="V125" s="152">
        <f>IF(V34=0,0,1000000*V34/TrRoad_act!V74)</f>
        <v>4175.9507965136081</v>
      </c>
      <c r="W125" s="152">
        <f>IF(W34=0,0,1000000*W34/TrRoad_act!W74)</f>
        <v>4166.1820295693151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2564.0818970026476</v>
      </c>
      <c r="C126" s="87">
        <f>IF(C35=0,0,1000000*C35/TrRoad_act!C75)</f>
        <v>2516.2906935463648</v>
      </c>
      <c r="D126" s="87">
        <f>IF(D35=0,0,1000000*D35/TrRoad_act!D75)</f>
        <v>2475.7155972739515</v>
      </c>
      <c r="E126" s="87">
        <f>IF(E35=0,0,1000000*E35/TrRoad_act!E75)</f>
        <v>2394.9488770177727</v>
      </c>
      <c r="F126" s="87">
        <f>IF(F35=0,0,1000000*F35/TrRoad_act!F75)</f>
        <v>2373.1660260055928</v>
      </c>
      <c r="G126" s="87">
        <f>IF(G35=0,0,1000000*G35/TrRoad_act!G75)</f>
        <v>2366.5336164471541</v>
      </c>
      <c r="H126" s="87">
        <f>IF(H35=0,0,1000000*H35/TrRoad_act!H75)</f>
        <v>2318.6826095758756</v>
      </c>
      <c r="I126" s="87">
        <f>IF(I35=0,0,1000000*I35/TrRoad_act!I75)</f>
        <v>2284.925202123688</v>
      </c>
      <c r="J126" s="87">
        <f>IF(J35=0,0,1000000*J35/TrRoad_act!J75)</f>
        <v>2234.591540086009</v>
      </c>
      <c r="K126" s="87">
        <f>IF(K35=0,0,1000000*K35/TrRoad_act!K75)</f>
        <v>2178.5569780268133</v>
      </c>
      <c r="L126" s="87">
        <f>IF(L35=0,0,1000000*L35/TrRoad_act!L75)</f>
        <v>2055.2677164041397</v>
      </c>
      <c r="M126" s="87">
        <f>IF(M35=0,0,1000000*M35/TrRoad_act!M75)</f>
        <v>2034.7891245273745</v>
      </c>
      <c r="N126" s="87">
        <f>IF(N35=0,0,1000000*N35/TrRoad_act!N75)</f>
        <v>2010.1183617619652</v>
      </c>
      <c r="O126" s="87">
        <f>IF(O35=0,0,1000000*O35/TrRoad_act!O75)</f>
        <v>1985.0295226246667</v>
      </c>
      <c r="P126" s="87">
        <f>IF(P35=0,0,1000000*P35/TrRoad_act!P75)</f>
        <v>1953.6260748461225</v>
      </c>
      <c r="Q126" s="87">
        <f>IF(Q35=0,0,1000000*Q35/TrRoad_act!Q75)</f>
        <v>1892.8777673309453</v>
      </c>
      <c r="R126" s="87">
        <f>IF(R35=0,0,1000000*R35/TrRoad_act!R75)</f>
        <v>1905.5690820626119</v>
      </c>
      <c r="S126" s="87">
        <f>IF(S35=0,0,1000000*S35/TrRoad_act!S75)</f>
        <v>1895.2766045841795</v>
      </c>
      <c r="T126" s="87">
        <f>IF(T35=0,0,1000000*T35/TrRoad_act!T75)</f>
        <v>1895.1464879349473</v>
      </c>
      <c r="U126" s="87">
        <f>IF(U35=0,0,1000000*U35/TrRoad_act!U75)</f>
        <v>1890.1476193212754</v>
      </c>
      <c r="V126" s="87">
        <f>IF(V35=0,0,1000000*V35/TrRoad_act!V75)</f>
        <v>1840.6315752312209</v>
      </c>
      <c r="W126" s="87">
        <f>IF(W35=0,0,1000000*W35/TrRoad_act!W75)</f>
        <v>1827.08611259231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6278.5233615200414</v>
      </c>
      <c r="C127" s="87">
        <f>IF(C36=0,0,1000000*C36/TrRoad_act!C76)</f>
        <v>6562.7620674761756</v>
      </c>
      <c r="D127" s="87">
        <f>IF(D36=0,0,1000000*D36/TrRoad_act!D76)</f>
        <v>6113.5288948352882</v>
      </c>
      <c r="E127" s="87">
        <f>IF(E36=0,0,1000000*E36/TrRoad_act!E76)</f>
        <v>5855.03125701723</v>
      </c>
      <c r="F127" s="87">
        <f>IF(F36=0,0,1000000*F36/TrRoad_act!F76)</f>
        <v>5849.8316578763106</v>
      </c>
      <c r="G127" s="87">
        <f>IF(G36=0,0,1000000*G36/TrRoad_act!G76)</f>
        <v>5837.9825837116468</v>
      </c>
      <c r="H127" s="87">
        <f>IF(H36=0,0,1000000*H36/TrRoad_act!H76)</f>
        <v>5613.0977945356153</v>
      </c>
      <c r="I127" s="87">
        <f>IF(I36=0,0,1000000*I36/TrRoad_act!I76)</f>
        <v>5974.8848794594096</v>
      </c>
      <c r="J127" s="87">
        <f>IF(J36=0,0,1000000*J36/TrRoad_act!J76)</f>
        <v>5763.2764470436587</v>
      </c>
      <c r="K127" s="87">
        <f>IF(K36=0,0,1000000*K36/TrRoad_act!K76)</f>
        <v>5415.2583199438577</v>
      </c>
      <c r="L127" s="87">
        <f>IF(L36=0,0,1000000*L36/TrRoad_act!L76)</f>
        <v>5655.9578198982499</v>
      </c>
      <c r="M127" s="87">
        <f>IF(M36=0,0,1000000*M36/TrRoad_act!M76)</f>
        <v>5164.9067482887722</v>
      </c>
      <c r="N127" s="87">
        <f>IF(N36=0,0,1000000*N36/TrRoad_act!N76)</f>
        <v>5086.5960087588337</v>
      </c>
      <c r="O127" s="87">
        <f>IF(O36=0,0,1000000*O36/TrRoad_act!O76)</f>
        <v>4983.4075911085592</v>
      </c>
      <c r="P127" s="87">
        <f>IF(P36=0,0,1000000*P36/TrRoad_act!P76)</f>
        <v>4828.7897789800072</v>
      </c>
      <c r="Q127" s="87">
        <f>IF(Q36=0,0,1000000*Q36/TrRoad_act!Q76)</f>
        <v>4724.2276304473562</v>
      </c>
      <c r="R127" s="87">
        <f>IF(R36=0,0,1000000*R36/TrRoad_act!R76)</f>
        <v>4693.3747824788497</v>
      </c>
      <c r="S127" s="87">
        <f>IF(S36=0,0,1000000*S36/TrRoad_act!S76)</f>
        <v>4676.9056348630356</v>
      </c>
      <c r="T127" s="87">
        <f>IF(T36=0,0,1000000*T36/TrRoad_act!T76)</f>
        <v>4428.5338575063051</v>
      </c>
      <c r="U127" s="87">
        <f>IF(U36=0,0,1000000*U36/TrRoad_act!U76)</f>
        <v>4317.9087076358128</v>
      </c>
      <c r="V127" s="87">
        <f>IF(V36=0,0,1000000*V36/TrRoad_act!V76)</f>
        <v>4261.8363846684351</v>
      </c>
      <c r="W127" s="87">
        <f>IF(W36=0,0,1000000*W36/TrRoad_act!W76)</f>
        <v>4249.1684544673717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2912.0875656087137</v>
      </c>
      <c r="O128" s="87">
        <f>IF(O37=0,0,1000000*O37/TrRoad_act!O77)</f>
        <v>2846.0132986528547</v>
      </c>
      <c r="P128" s="87">
        <f>IF(P37=0,0,1000000*P37/TrRoad_act!P77)</f>
        <v>2636.8839859640466</v>
      </c>
      <c r="Q128" s="87">
        <f>IF(Q37=0,0,1000000*Q37/TrRoad_act!Q77)</f>
        <v>2597.4154716705239</v>
      </c>
      <c r="R128" s="87">
        <f>IF(R37=0,0,1000000*R37/TrRoad_act!R77)</f>
        <v>3241.2314321995336</v>
      </c>
      <c r="S128" s="87">
        <f>IF(S37=0,0,1000000*S37/TrRoad_act!S77)</f>
        <v>3093.0083520564963</v>
      </c>
      <c r="T128" s="87">
        <f>IF(T37=0,0,1000000*T37/TrRoad_act!T77)</f>
        <v>2992.3027980870374</v>
      </c>
      <c r="U128" s="87">
        <f>IF(U37=0,0,1000000*U37/TrRoad_act!U77)</f>
        <v>2927.9236566505715</v>
      </c>
      <c r="V128" s="87">
        <f>IF(V37=0,0,1000000*V37/TrRoad_act!V77)</f>
        <v>3027.0198225757513</v>
      </c>
      <c r="W128" s="87">
        <f>IF(W37=0,0,1000000*W37/TrRoad_act!W77)</f>
        <v>3068.2286747305225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8237.9246766204287</v>
      </c>
      <c r="C131" s="116">
        <f>IF(C40=0,0,1000000*C40/TrRoad_act!C80)</f>
        <v>12494.734456254162</v>
      </c>
      <c r="D131" s="116">
        <f>IF(D40=0,0,1000000*D40/TrRoad_act!D80)</f>
        <v>12753.077327733583</v>
      </c>
      <c r="E131" s="116">
        <f>IF(E40=0,0,1000000*E40/TrRoad_act!E80)</f>
        <v>13690.847517991258</v>
      </c>
      <c r="F131" s="116">
        <f>IF(F40=0,0,1000000*F40/TrRoad_act!F80)</f>
        <v>14004.798769427383</v>
      </c>
      <c r="G131" s="116">
        <f>IF(G40=0,0,1000000*G40/TrRoad_act!G80)</f>
        <v>16585.839367467779</v>
      </c>
      <c r="H131" s="116">
        <f>IF(H40=0,0,1000000*H40/TrRoad_act!H80)</f>
        <v>19159.884541002823</v>
      </c>
      <c r="I131" s="116">
        <f>IF(I40=0,0,1000000*I40/TrRoad_act!I80)</f>
        <v>24062.674478991332</v>
      </c>
      <c r="J131" s="116">
        <f>IF(J40=0,0,1000000*J40/TrRoad_act!J80)</f>
        <v>22597.032754030661</v>
      </c>
      <c r="K131" s="116">
        <f>IF(K40=0,0,1000000*K40/TrRoad_act!K80)</f>
        <v>18028.114714953215</v>
      </c>
      <c r="L131" s="116">
        <f>IF(L40=0,0,1000000*L40/TrRoad_act!L80)</f>
        <v>30044.847873318049</v>
      </c>
      <c r="M131" s="116">
        <f>IF(M40=0,0,1000000*M40/TrRoad_act!M80)</f>
        <v>22452.333756567539</v>
      </c>
      <c r="N131" s="116">
        <f>IF(N40=0,0,1000000*N40/TrRoad_act!N80)</f>
        <v>20078.126816826389</v>
      </c>
      <c r="O131" s="116">
        <f>IF(O40=0,0,1000000*O40/TrRoad_act!O80)</f>
        <v>21709.972949382434</v>
      </c>
      <c r="P131" s="116">
        <f>IF(P40=0,0,1000000*P40/TrRoad_act!P80)</f>
        <v>23776.654503195528</v>
      </c>
      <c r="Q131" s="116">
        <f>IF(Q40=0,0,1000000*Q40/TrRoad_act!Q80)</f>
        <v>27446.275830120507</v>
      </c>
      <c r="R131" s="116">
        <f>IF(R40=0,0,1000000*R40/TrRoad_act!R80)</f>
        <v>27893.969604145415</v>
      </c>
      <c r="S131" s="116">
        <f>IF(S40=0,0,1000000*S40/TrRoad_act!S80)</f>
        <v>30916.756267142558</v>
      </c>
      <c r="T131" s="116">
        <f>IF(T40=0,0,1000000*T40/TrRoad_act!T80)</f>
        <v>30665.43139416397</v>
      </c>
      <c r="U131" s="116">
        <f>IF(U40=0,0,1000000*U40/TrRoad_act!U80)</f>
        <v>28833.647331443495</v>
      </c>
      <c r="V131" s="116">
        <f>IF(V40=0,0,1000000*V40/TrRoad_act!V80)</f>
        <v>27006.592756620037</v>
      </c>
      <c r="W131" s="116">
        <f>IF(W40=0,0,1000000*W40/TrRoad_act!W80)</f>
        <v>31824.149492919078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5242.9180049392808</v>
      </c>
      <c r="C132" s="101">
        <f>IF(C41=0,0,1000000*C41/TrRoad_act!C81)</f>
        <v>6515.2956459897214</v>
      </c>
      <c r="D132" s="101">
        <f>IF(D41=0,0,1000000*D41/TrRoad_act!D81)</f>
        <v>7478.2303237246342</v>
      </c>
      <c r="E132" s="101">
        <f>IF(E41=0,0,1000000*E41/TrRoad_act!E81)</f>
        <v>8384.9135587526944</v>
      </c>
      <c r="F132" s="101">
        <f>IF(F41=0,0,1000000*F41/TrRoad_act!F81)</f>
        <v>8005.3036157646629</v>
      </c>
      <c r="G132" s="101">
        <f>IF(G41=0,0,1000000*G41/TrRoad_act!G81)</f>
        <v>9395.2494631806749</v>
      </c>
      <c r="H132" s="101">
        <f>IF(H41=0,0,1000000*H41/TrRoad_act!H81)</f>
        <v>9939.3505416519929</v>
      </c>
      <c r="I132" s="101">
        <f>IF(I41=0,0,1000000*I41/TrRoad_act!I81)</f>
        <v>12358.171085174226</v>
      </c>
      <c r="J132" s="101">
        <f>IF(J41=0,0,1000000*J41/TrRoad_act!J81)</f>
        <v>11968.703158427827</v>
      </c>
      <c r="K132" s="101">
        <f>IF(K41=0,0,1000000*K41/TrRoad_act!K81)</f>
        <v>10984.299318818057</v>
      </c>
      <c r="L132" s="101">
        <f>IF(L41=0,0,1000000*L41/TrRoad_act!L81)</f>
        <v>13797.153822444478</v>
      </c>
      <c r="M132" s="101">
        <f>IF(M41=0,0,1000000*M41/TrRoad_act!M81)</f>
        <v>11447.946393559803</v>
      </c>
      <c r="N132" s="101">
        <f>IF(N41=0,0,1000000*N41/TrRoad_act!N81)</f>
        <v>9594.1384130141359</v>
      </c>
      <c r="O132" s="101">
        <f>IF(O41=0,0,1000000*O41/TrRoad_act!O81)</f>
        <v>10830.510175571324</v>
      </c>
      <c r="P132" s="101">
        <f>IF(P41=0,0,1000000*P41/TrRoad_act!P81)</f>
        <v>11996.022860525494</v>
      </c>
      <c r="Q132" s="101">
        <f>IF(Q41=0,0,1000000*Q41/TrRoad_act!Q81)</f>
        <v>13146.486953585185</v>
      </c>
      <c r="R132" s="101">
        <f>IF(R41=0,0,1000000*R41/TrRoad_act!R81)</f>
        <v>14224.451666206773</v>
      </c>
      <c r="S132" s="101">
        <f>IF(S41=0,0,1000000*S41/TrRoad_act!S81)</f>
        <v>16030.676785157584</v>
      </c>
      <c r="T132" s="101">
        <f>IF(T41=0,0,1000000*T41/TrRoad_act!T81)</f>
        <v>15809.460222424399</v>
      </c>
      <c r="U132" s="101">
        <f>IF(U41=0,0,1000000*U41/TrRoad_act!U81)</f>
        <v>15810.195709830026</v>
      </c>
      <c r="V132" s="101">
        <f>IF(V41=0,0,1000000*V41/TrRoad_act!V81)</f>
        <v>15160.525545481789</v>
      </c>
      <c r="W132" s="101">
        <f>IF(W41=0,0,1000000*W41/TrRoad_act!W81)</f>
        <v>18121.291100862865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268402.16418535192</v>
      </c>
      <c r="C133" s="88">
        <f>IF(C42=0,0,1000000*C42/TrRoad_act!C82)</f>
        <v>508965.67029788252</v>
      </c>
      <c r="D133" s="88">
        <f>IF(D42=0,0,1000000*D42/TrRoad_act!D82)</f>
        <v>438134.60994077608</v>
      </c>
      <c r="E133" s="88">
        <f>IF(E42=0,0,1000000*E42/TrRoad_act!E82)</f>
        <v>435551.15784402116</v>
      </c>
      <c r="F133" s="88">
        <f>IF(F42=0,0,1000000*F42/TrRoad_act!F82)</f>
        <v>416044.6779364961</v>
      </c>
      <c r="G133" s="88">
        <f>IF(G42=0,0,1000000*G42/TrRoad_act!G82)</f>
        <v>460754.21408466069</v>
      </c>
      <c r="H133" s="88">
        <f>IF(H42=0,0,1000000*H42/TrRoad_act!H82)</f>
        <v>468541.95685795217</v>
      </c>
      <c r="I133" s="88">
        <f>IF(I42=0,0,1000000*I42/TrRoad_act!I82)</f>
        <v>502915.15279538737</v>
      </c>
      <c r="J133" s="88">
        <f>IF(J42=0,0,1000000*J42/TrRoad_act!J82)</f>
        <v>448223.90761106863</v>
      </c>
      <c r="K133" s="88">
        <f>IF(K42=0,0,1000000*K42/TrRoad_act!K82)</f>
        <v>376256.44057554117</v>
      </c>
      <c r="L133" s="88">
        <f>IF(L42=0,0,1000000*L42/TrRoad_act!L82)</f>
        <v>559321.77122034656</v>
      </c>
      <c r="M133" s="88">
        <f>IF(M42=0,0,1000000*M42/TrRoad_act!M82)</f>
        <v>316462.7572919667</v>
      </c>
      <c r="N133" s="88">
        <f>IF(N42=0,0,1000000*N42/TrRoad_act!N82)</f>
        <v>270352.09800512978</v>
      </c>
      <c r="O133" s="88">
        <f>IF(O42=0,0,1000000*O42/TrRoad_act!O82)</f>
        <v>232184.28564273167</v>
      </c>
      <c r="P133" s="88">
        <f>IF(P42=0,0,1000000*P42/TrRoad_act!P82)</f>
        <v>222418.58504198835</v>
      </c>
      <c r="Q133" s="88">
        <f>IF(Q42=0,0,1000000*Q42/TrRoad_act!Q82)</f>
        <v>218182.30661079136</v>
      </c>
      <c r="R133" s="88">
        <f>IF(R42=0,0,1000000*R42/TrRoad_act!R82)</f>
        <v>199842.11629716307</v>
      </c>
      <c r="S133" s="88">
        <f>IF(S42=0,0,1000000*S42/TrRoad_act!S82)</f>
        <v>221580.80537423224</v>
      </c>
      <c r="T133" s="88">
        <f>IF(T42=0,0,1000000*T42/TrRoad_act!T82)</f>
        <v>206819.38762062241</v>
      </c>
      <c r="U133" s="88">
        <f>IF(U42=0,0,1000000*U42/TrRoad_act!U82)</f>
        <v>197477.74151598272</v>
      </c>
      <c r="V133" s="88">
        <f>IF(V42=0,0,1000000*V42/TrRoad_act!V82)</f>
        <v>157801.8889510218</v>
      </c>
      <c r="W133" s="88">
        <f>IF(W42=0,0,1000000*W42/TrRoad_act!W82)</f>
        <v>181534.13126617015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0.71645843449495106</v>
      </c>
      <c r="C136" s="46">
        <f t="shared" si="40"/>
        <v>0.64991469411651703</v>
      </c>
      <c r="D136" s="46">
        <f t="shared" si="40"/>
        <v>0.63522972569267067</v>
      </c>
      <c r="E136" s="46">
        <f t="shared" si="40"/>
        <v>0.63494486473458045</v>
      </c>
      <c r="F136" s="46">
        <f t="shared" si="40"/>
        <v>0.63005856684167527</v>
      </c>
      <c r="G136" s="46">
        <f t="shared" si="40"/>
        <v>0.61471119178759193</v>
      </c>
      <c r="H136" s="46">
        <f t="shared" si="40"/>
        <v>0.61805633837197371</v>
      </c>
      <c r="I136" s="46">
        <f t="shared" si="40"/>
        <v>0.59939007721972959</v>
      </c>
      <c r="J136" s="46">
        <f t="shared" si="40"/>
        <v>0.61023701078769721</v>
      </c>
      <c r="K136" s="46">
        <f t="shared" si="40"/>
        <v>0.63189731582102415</v>
      </c>
      <c r="L136" s="46">
        <f t="shared" si="41"/>
        <v>0.60303293021139925</v>
      </c>
      <c r="M136" s="46">
        <f t="shared" si="40"/>
        <v>0.65697266662957676</v>
      </c>
      <c r="N136" s="46">
        <f t="shared" si="40"/>
        <v>0.66696712193593777</v>
      </c>
      <c r="O136" s="46">
        <f t="shared" si="40"/>
        <v>0.65810962891247526</v>
      </c>
      <c r="P136" s="46">
        <f t="shared" si="40"/>
        <v>0.67742372434397868</v>
      </c>
      <c r="Q136" s="46">
        <f t="shared" si="40"/>
        <v>0.67551408691337411</v>
      </c>
      <c r="R136" s="46">
        <f t="shared" si="40"/>
        <v>0.68925033741661357</v>
      </c>
      <c r="S136" s="46">
        <f t="shared" si="40"/>
        <v>0.67831689059930222</v>
      </c>
      <c r="T136" s="46">
        <f t="shared" si="40"/>
        <v>0.67939117213872235</v>
      </c>
      <c r="U136" s="46">
        <f t="shared" si="40"/>
        <v>0.69672023662942972</v>
      </c>
      <c r="V136" s="46">
        <f t="shared" si="40"/>
        <v>0.68532426975526395</v>
      </c>
      <c r="W136" s="46">
        <f t="shared" si="42"/>
        <v>0.66655379181239816</v>
      </c>
      <c r="DA136" s="211"/>
    </row>
    <row r="137" spans="1:105" ht="11.45" customHeight="1" x14ac:dyDescent="0.25">
      <c r="A137" s="153" t="s">
        <v>180</v>
      </c>
      <c r="B137" s="154">
        <f t="shared" si="40"/>
        <v>4.3735196008959192E-3</v>
      </c>
      <c r="C137" s="154">
        <f t="shared" si="40"/>
        <v>3.6535710144044498E-3</v>
      </c>
      <c r="D137" s="154">
        <f t="shared" si="40"/>
        <v>3.5232000718428934E-3</v>
      </c>
      <c r="E137" s="154">
        <f t="shared" si="40"/>
        <v>3.3389641950309183E-3</v>
      </c>
      <c r="F137" s="154">
        <f t="shared" si="40"/>
        <v>3.1282109735709805E-3</v>
      </c>
      <c r="G137" s="154">
        <f t="shared" si="40"/>
        <v>2.9393835352107042E-3</v>
      </c>
      <c r="H137" s="154">
        <f t="shared" si="40"/>
        <v>2.5289290244701603E-3</v>
      </c>
      <c r="I137" s="154">
        <f t="shared" si="40"/>
        <v>2.1096752559680077E-3</v>
      </c>
      <c r="J137" s="154">
        <f t="shared" si="40"/>
        <v>2.117012645381099E-3</v>
      </c>
      <c r="K137" s="154">
        <f t="shared" si="40"/>
        <v>2.3159337028989396E-3</v>
      </c>
      <c r="L137" s="154">
        <f t="shared" si="41"/>
        <v>2.1966751387068172E-3</v>
      </c>
      <c r="M137" s="154">
        <f t="shared" si="40"/>
        <v>2.4530314253189012E-3</v>
      </c>
      <c r="N137" s="154">
        <f t="shared" si="40"/>
        <v>2.2992489885354755E-3</v>
      </c>
      <c r="O137" s="154">
        <f t="shared" si="40"/>
        <v>2.2965902585073169E-3</v>
      </c>
      <c r="P137" s="154">
        <f t="shared" si="40"/>
        <v>2.5519598529773957E-3</v>
      </c>
      <c r="Q137" s="154">
        <f t="shared" si="40"/>
        <v>2.9363828957560509E-3</v>
      </c>
      <c r="R137" s="154">
        <f t="shared" si="40"/>
        <v>2.794699556383074E-3</v>
      </c>
      <c r="S137" s="154">
        <f t="shared" si="40"/>
        <v>2.4542503564173E-3</v>
      </c>
      <c r="T137" s="154">
        <f t="shared" si="40"/>
        <v>2.2967793302943501E-3</v>
      </c>
      <c r="U137" s="154">
        <f t="shared" si="40"/>
        <v>2.3845174486441952E-3</v>
      </c>
      <c r="V137" s="154">
        <f t="shared" si="40"/>
        <v>2.1575240968217898E-3</v>
      </c>
      <c r="W137" s="154">
        <f t="shared" si="42"/>
        <v>1.9939762199698537E-3</v>
      </c>
      <c r="DA137" s="212"/>
    </row>
    <row r="138" spans="1:105" ht="11.45" customHeight="1" x14ac:dyDescent="0.25">
      <c r="A138" s="155" t="s">
        <v>20</v>
      </c>
      <c r="B138" s="156">
        <f t="shared" si="40"/>
        <v>0.58239169119218692</v>
      </c>
      <c r="C138" s="156">
        <f t="shared" si="40"/>
        <v>0.52746677499984451</v>
      </c>
      <c r="D138" s="156">
        <f t="shared" si="40"/>
        <v>0.51843309230627788</v>
      </c>
      <c r="E138" s="156">
        <f t="shared" si="40"/>
        <v>0.51692950780083335</v>
      </c>
      <c r="F138" s="156">
        <f t="shared" si="40"/>
        <v>0.51699375063931985</v>
      </c>
      <c r="G138" s="156">
        <f t="shared" si="40"/>
        <v>0.50803802586572266</v>
      </c>
      <c r="H138" s="156">
        <f t="shared" si="40"/>
        <v>0.52437271854102152</v>
      </c>
      <c r="I138" s="156">
        <f t="shared" si="40"/>
        <v>0.51753033533225989</v>
      </c>
      <c r="J138" s="156">
        <f t="shared" si="40"/>
        <v>0.52948813486317514</v>
      </c>
      <c r="K138" s="156">
        <f t="shared" si="40"/>
        <v>0.5458729798466494</v>
      </c>
      <c r="L138" s="156">
        <f t="shared" si="41"/>
        <v>0.51703412256430403</v>
      </c>
      <c r="M138" s="156">
        <f t="shared" si="40"/>
        <v>0.5680388066405947</v>
      </c>
      <c r="N138" s="156">
        <f t="shared" si="40"/>
        <v>0.57640355275036381</v>
      </c>
      <c r="O138" s="156">
        <f t="shared" si="40"/>
        <v>0.56993921706515982</v>
      </c>
      <c r="P138" s="156">
        <f t="shared" si="40"/>
        <v>0.59716321983012344</v>
      </c>
      <c r="Q138" s="156">
        <f t="shared" si="40"/>
        <v>0.60022217243672016</v>
      </c>
      <c r="R138" s="156">
        <f t="shared" si="40"/>
        <v>0.61451320491440775</v>
      </c>
      <c r="S138" s="156">
        <f t="shared" si="40"/>
        <v>0.60567909752246496</v>
      </c>
      <c r="T138" s="156">
        <f t="shared" si="40"/>
        <v>0.61106767051190569</v>
      </c>
      <c r="U138" s="156">
        <f t="shared" si="40"/>
        <v>0.63241127032929645</v>
      </c>
      <c r="V138" s="156">
        <f t="shared" si="40"/>
        <v>0.63192526364780699</v>
      </c>
      <c r="W138" s="156">
        <f t="shared" si="42"/>
        <v>0.62142892211704859</v>
      </c>
      <c r="DA138" s="213"/>
    </row>
    <row r="139" spans="1:105" ht="11.45" customHeight="1" x14ac:dyDescent="0.25">
      <c r="A139" s="157" t="s">
        <v>110</v>
      </c>
      <c r="B139" s="103">
        <f t="shared" si="40"/>
        <v>0.49561318708846014</v>
      </c>
      <c r="C139" s="103">
        <f t="shared" si="40"/>
        <v>0.43542841014381051</v>
      </c>
      <c r="D139" s="103">
        <f t="shared" si="40"/>
        <v>0.41499709855885342</v>
      </c>
      <c r="E139" s="103">
        <f t="shared" si="40"/>
        <v>0.3963742213751687</v>
      </c>
      <c r="F139" s="103">
        <f t="shared" si="40"/>
        <v>0.37939047777507817</v>
      </c>
      <c r="G139" s="103">
        <f t="shared" si="40"/>
        <v>0.35435894005111412</v>
      </c>
      <c r="H139" s="103">
        <f t="shared" si="40"/>
        <v>0.35090951951725663</v>
      </c>
      <c r="I139" s="103">
        <f t="shared" si="40"/>
        <v>0.34037632996136585</v>
      </c>
      <c r="J139" s="103">
        <f t="shared" si="40"/>
        <v>0.33099910765395613</v>
      </c>
      <c r="K139" s="103">
        <f t="shared" si="40"/>
        <v>0.31738617551271975</v>
      </c>
      <c r="L139" s="103">
        <f t="shared" si="41"/>
        <v>0.28229793174903217</v>
      </c>
      <c r="M139" s="103">
        <f t="shared" si="40"/>
        <v>0.30176092257235787</v>
      </c>
      <c r="N139" s="103">
        <f t="shared" si="40"/>
        <v>0.2674739934158501</v>
      </c>
      <c r="O139" s="103">
        <f t="shared" si="40"/>
        <v>0.23762287228194015</v>
      </c>
      <c r="P139" s="103">
        <f t="shared" si="40"/>
        <v>0.22062898855812005</v>
      </c>
      <c r="Q139" s="103">
        <f t="shared" si="40"/>
        <v>0.20448931192334782</v>
      </c>
      <c r="R139" s="103">
        <f t="shared" si="40"/>
        <v>0.19579580683160944</v>
      </c>
      <c r="S139" s="103">
        <f t="shared" si="40"/>
        <v>0.17845648678240014</v>
      </c>
      <c r="T139" s="103">
        <f t="shared" si="40"/>
        <v>0.17127596485096622</v>
      </c>
      <c r="U139" s="103">
        <f t="shared" si="40"/>
        <v>0.16098980651783748</v>
      </c>
      <c r="V139" s="103">
        <f t="shared" si="40"/>
        <v>0.16214454979311027</v>
      </c>
      <c r="W139" s="103">
        <f t="shared" si="42"/>
        <v>0.15542519521320058</v>
      </c>
      <c r="DA139" s="191"/>
    </row>
    <row r="140" spans="1:105" ht="11.45" customHeight="1" x14ac:dyDescent="0.25">
      <c r="A140" s="157" t="s">
        <v>111</v>
      </c>
      <c r="B140" s="103">
        <f t="shared" si="40"/>
        <v>5.8151745869232115E-2</v>
      </c>
      <c r="C140" s="103">
        <f t="shared" si="40"/>
        <v>6.8203977376289138E-2</v>
      </c>
      <c r="D140" s="103">
        <f t="shared" si="40"/>
        <v>8.0295257226329839E-2</v>
      </c>
      <c r="E140" s="103">
        <f t="shared" si="40"/>
        <v>9.6148124709601268E-2</v>
      </c>
      <c r="F140" s="103">
        <f t="shared" si="40"/>
        <v>0.11223030364664491</v>
      </c>
      <c r="G140" s="103">
        <f t="shared" si="40"/>
        <v>0.12842851450579312</v>
      </c>
      <c r="H140" s="103">
        <f t="shared" si="40"/>
        <v>0.14916224715575382</v>
      </c>
      <c r="I140" s="103">
        <f t="shared" si="40"/>
        <v>0.15739053886063059</v>
      </c>
      <c r="J140" s="103">
        <f t="shared" si="40"/>
        <v>0.18008210060328464</v>
      </c>
      <c r="K140" s="103">
        <f t="shared" si="40"/>
        <v>0.20936893149211724</v>
      </c>
      <c r="L140" s="103">
        <f t="shared" si="41"/>
        <v>0.2133086840874856</v>
      </c>
      <c r="M140" s="103">
        <f t="shared" si="40"/>
        <v>0.2371745376430531</v>
      </c>
      <c r="N140" s="103">
        <f t="shared" si="40"/>
        <v>0.26099482613037678</v>
      </c>
      <c r="O140" s="103">
        <f t="shared" si="40"/>
        <v>0.27263855088678474</v>
      </c>
      <c r="P140" s="103">
        <f t="shared" si="40"/>
        <v>0.31358547718254859</v>
      </c>
      <c r="Q140" s="103">
        <f t="shared" si="40"/>
        <v>0.33595949056982083</v>
      </c>
      <c r="R140" s="103">
        <f t="shared" si="40"/>
        <v>0.3623579848389763</v>
      </c>
      <c r="S140" s="103">
        <f t="shared" si="40"/>
        <v>0.3771190284149728</v>
      </c>
      <c r="T140" s="103">
        <f t="shared" si="40"/>
        <v>0.39231230797168753</v>
      </c>
      <c r="U140" s="103">
        <f t="shared" si="40"/>
        <v>0.4301858994065762</v>
      </c>
      <c r="V140" s="103">
        <f t="shared" si="40"/>
        <v>0.43079428071633635</v>
      </c>
      <c r="W140" s="103">
        <f t="shared" si="42"/>
        <v>0.43199020863951609</v>
      </c>
      <c r="DA140" s="191"/>
    </row>
    <row r="141" spans="1:105" ht="11.45" customHeight="1" x14ac:dyDescent="0.25">
      <c r="A141" s="157" t="s">
        <v>112</v>
      </c>
      <c r="B141" s="103">
        <f t="shared" si="40"/>
        <v>2.8514854886734144E-2</v>
      </c>
      <c r="C141" s="103">
        <f t="shared" si="40"/>
        <v>2.3748378914260754E-2</v>
      </c>
      <c r="D141" s="103">
        <f t="shared" si="40"/>
        <v>2.3065213731002173E-2</v>
      </c>
      <c r="E141" s="103">
        <f t="shared" si="40"/>
        <v>2.4340535640488839E-2</v>
      </c>
      <c r="F141" s="103">
        <f t="shared" si="40"/>
        <v>2.5316042790096614E-2</v>
      </c>
      <c r="G141" s="103">
        <f t="shared" si="40"/>
        <v>2.5197029175670519E-2</v>
      </c>
      <c r="H141" s="103">
        <f t="shared" si="40"/>
        <v>2.4263776912639652E-2</v>
      </c>
      <c r="I141" s="103">
        <f t="shared" si="40"/>
        <v>1.9733270107462744E-2</v>
      </c>
      <c r="J141" s="103">
        <f t="shared" si="40"/>
        <v>1.8378795224149452E-2</v>
      </c>
      <c r="K141" s="103">
        <f t="shared" si="40"/>
        <v>1.9088324503967101E-2</v>
      </c>
      <c r="L141" s="103">
        <f t="shared" si="41"/>
        <v>2.1427506727786289E-2</v>
      </c>
      <c r="M141" s="103">
        <f t="shared" si="40"/>
        <v>2.9103346425183738E-2</v>
      </c>
      <c r="N141" s="103">
        <f t="shared" si="40"/>
        <v>4.7934114757477074E-2</v>
      </c>
      <c r="O141" s="103">
        <f t="shared" si="40"/>
        <v>5.967641182284851E-2</v>
      </c>
      <c r="P141" s="103">
        <f t="shared" si="40"/>
        <v>6.2946559222629928E-2</v>
      </c>
      <c r="Q141" s="103">
        <f t="shared" si="40"/>
        <v>5.976858482968854E-2</v>
      </c>
      <c r="R141" s="103">
        <f t="shared" si="40"/>
        <v>5.6354510099765172E-2</v>
      </c>
      <c r="S141" s="103">
        <f t="shared" si="40"/>
        <v>5.00939997952808E-2</v>
      </c>
      <c r="T141" s="103">
        <f t="shared" si="40"/>
        <v>4.741858322559276E-2</v>
      </c>
      <c r="U141" s="103">
        <f t="shared" si="40"/>
        <v>4.1138382619469123E-2</v>
      </c>
      <c r="V141" s="103">
        <f t="shared" si="40"/>
        <v>3.8857949321957241E-2</v>
      </c>
      <c r="W141" s="103">
        <f t="shared" si="42"/>
        <v>3.3856614353720206E-2</v>
      </c>
      <c r="DA141" s="191"/>
    </row>
    <row r="142" spans="1:105" ht="11.45" customHeight="1" x14ac:dyDescent="0.25">
      <c r="A142" s="157" t="s">
        <v>113</v>
      </c>
      <c r="B142" s="103">
        <f t="shared" si="40"/>
        <v>1.1190334776055178E-4</v>
      </c>
      <c r="C142" s="103">
        <f t="shared" si="40"/>
        <v>8.6008565484190717E-5</v>
      </c>
      <c r="D142" s="103">
        <f t="shared" si="40"/>
        <v>7.5522790092434578E-5</v>
      </c>
      <c r="E142" s="103">
        <f t="shared" si="40"/>
        <v>6.6626075574594565E-5</v>
      </c>
      <c r="F142" s="103">
        <f t="shared" si="40"/>
        <v>5.6926427500181891E-5</v>
      </c>
      <c r="G142" s="103">
        <f t="shared" si="40"/>
        <v>5.3542133144828974E-5</v>
      </c>
      <c r="H142" s="103">
        <f t="shared" si="40"/>
        <v>3.7174955371423777E-5</v>
      </c>
      <c r="I142" s="103">
        <f t="shared" si="40"/>
        <v>3.0196402800663734E-5</v>
      </c>
      <c r="J142" s="103">
        <f t="shared" si="40"/>
        <v>2.8131381784931671E-5</v>
      </c>
      <c r="K142" s="103">
        <f t="shared" si="40"/>
        <v>2.9548337845393631E-5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0</v>
      </c>
      <c r="R142" s="103">
        <f t="shared" si="40"/>
        <v>0</v>
      </c>
      <c r="S142" s="103">
        <f t="shared" si="40"/>
        <v>0</v>
      </c>
      <c r="T142" s="103">
        <f t="shared" si="40"/>
        <v>4.279613427313285E-5</v>
      </c>
      <c r="U142" s="103">
        <f t="shared" si="40"/>
        <v>7.2037473952765179E-5</v>
      </c>
      <c r="V142" s="103">
        <f t="shared" si="40"/>
        <v>8.3477539507753373E-5</v>
      </c>
      <c r="W142" s="103">
        <f t="shared" si="42"/>
        <v>8.8979634808908608E-5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6.184466597292791E-7</v>
      </c>
      <c r="O143" s="103">
        <f t="shared" si="40"/>
        <v>1.3820735864870109E-6</v>
      </c>
      <c r="P143" s="103">
        <f t="shared" si="40"/>
        <v>2.1948668249768478E-6</v>
      </c>
      <c r="Q143" s="103">
        <f t="shared" si="40"/>
        <v>4.7851138629759622E-6</v>
      </c>
      <c r="R143" s="103">
        <f t="shared" si="40"/>
        <v>4.9031440568678762E-6</v>
      </c>
      <c r="S143" s="103">
        <f t="shared" si="40"/>
        <v>9.5825298112238479E-6</v>
      </c>
      <c r="T143" s="103">
        <f t="shared" si="40"/>
        <v>1.8018329386115144E-5</v>
      </c>
      <c r="U143" s="103">
        <f t="shared" si="40"/>
        <v>2.5144311460835017E-5</v>
      </c>
      <c r="V143" s="103">
        <f t="shared" si="40"/>
        <v>4.5006276895356493E-5</v>
      </c>
      <c r="W143" s="103">
        <f t="shared" si="42"/>
        <v>6.792427580260174E-5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0.12969322370186828</v>
      </c>
      <c r="C145" s="156">
        <f t="shared" si="40"/>
        <v>0.11879434810226802</v>
      </c>
      <c r="D145" s="156">
        <f t="shared" si="40"/>
        <v>0.11327343331454992</v>
      </c>
      <c r="E145" s="156">
        <f t="shared" si="40"/>
        <v>0.11467639273871623</v>
      </c>
      <c r="F145" s="156">
        <f t="shared" si="40"/>
        <v>0.10993660522878447</v>
      </c>
      <c r="G145" s="156">
        <f t="shared" si="40"/>
        <v>0.10373378238665866</v>
      </c>
      <c r="H145" s="156">
        <f t="shared" si="40"/>
        <v>9.115469080648203E-2</v>
      </c>
      <c r="I145" s="156">
        <f t="shared" si="40"/>
        <v>7.975006663150172E-2</v>
      </c>
      <c r="J145" s="156">
        <f t="shared" si="40"/>
        <v>7.8631863279140957E-2</v>
      </c>
      <c r="K145" s="156">
        <f t="shared" si="40"/>
        <v>8.3708402271475801E-2</v>
      </c>
      <c r="L145" s="156">
        <f t="shared" si="41"/>
        <v>8.3802132508388444E-2</v>
      </c>
      <c r="M145" s="156">
        <f t="shared" si="40"/>
        <v>8.6480828563663084E-2</v>
      </c>
      <c r="N145" s="156">
        <f t="shared" si="40"/>
        <v>8.8264320197038559E-2</v>
      </c>
      <c r="O145" s="156">
        <f t="shared" si="40"/>
        <v>8.5873821588808186E-2</v>
      </c>
      <c r="P145" s="156">
        <f t="shared" si="40"/>
        <v>7.7708544660877801E-2</v>
      </c>
      <c r="Q145" s="156">
        <f t="shared" si="40"/>
        <v>7.2355531580897872E-2</v>
      </c>
      <c r="R145" s="156">
        <f t="shared" si="40"/>
        <v>7.194243294582274E-2</v>
      </c>
      <c r="S145" s="156">
        <f t="shared" si="40"/>
        <v>7.0183542720419975E-2</v>
      </c>
      <c r="T145" s="156">
        <f t="shared" si="40"/>
        <v>6.6026722296522317E-2</v>
      </c>
      <c r="U145" s="156">
        <f t="shared" si="40"/>
        <v>6.1924448851489067E-2</v>
      </c>
      <c r="V145" s="156">
        <f t="shared" si="40"/>
        <v>5.1241482010635192E-2</v>
      </c>
      <c r="W145" s="156">
        <f t="shared" si="42"/>
        <v>4.313089347537976E-2</v>
      </c>
      <c r="DA145" s="213"/>
    </row>
    <row r="146" spans="1:105" ht="11.45" customHeight="1" x14ac:dyDescent="0.25">
      <c r="A146" s="157" t="s">
        <v>110</v>
      </c>
      <c r="B146" s="103">
        <f t="shared" si="40"/>
        <v>4.5893479194153907E-3</v>
      </c>
      <c r="C146" s="103">
        <f t="shared" si="40"/>
        <v>3.615629534281314E-3</v>
      </c>
      <c r="D146" s="103">
        <f t="shared" si="40"/>
        <v>3.4738033346843147E-3</v>
      </c>
      <c r="E146" s="103">
        <f t="shared" si="40"/>
        <v>3.2152282491491819E-3</v>
      </c>
      <c r="F146" s="103">
        <f t="shared" si="40"/>
        <v>2.9337821913293502E-3</v>
      </c>
      <c r="G146" s="103">
        <f t="shared" si="40"/>
        <v>2.6811019496365846E-3</v>
      </c>
      <c r="H146" s="103">
        <f t="shared" si="40"/>
        <v>2.1863885926397398E-3</v>
      </c>
      <c r="I146" s="103">
        <f t="shared" si="40"/>
        <v>1.780692925051557E-3</v>
      </c>
      <c r="J146" s="103">
        <f t="shared" si="40"/>
        <v>1.723713084569549E-3</v>
      </c>
      <c r="K146" s="103">
        <f t="shared" si="40"/>
        <v>1.7170152967716044E-3</v>
      </c>
      <c r="L146" s="103">
        <f t="shared" si="41"/>
        <v>1.4174154406793214E-3</v>
      </c>
      <c r="M146" s="103">
        <f t="shared" si="40"/>
        <v>1.0045788643247484E-3</v>
      </c>
      <c r="N146" s="103">
        <f t="shared" si="40"/>
        <v>8.0428652457291666E-4</v>
      </c>
      <c r="O146" s="103">
        <f t="shared" si="40"/>
        <v>5.5968119308544143E-4</v>
      </c>
      <c r="P146" s="103">
        <f t="shared" si="40"/>
        <v>3.4006526409337783E-4</v>
      </c>
      <c r="Q146" s="103">
        <f t="shared" si="40"/>
        <v>2.5947175691068929E-4</v>
      </c>
      <c r="R146" s="103">
        <f t="shared" si="40"/>
        <v>1.8939018921441581E-4</v>
      </c>
      <c r="S146" s="103">
        <f t="shared" si="40"/>
        <v>1.6209776052183942E-4</v>
      </c>
      <c r="T146" s="103">
        <f t="shared" si="40"/>
        <v>1.3824316028310441E-4</v>
      </c>
      <c r="U146" s="103">
        <f t="shared" si="40"/>
        <v>1.2369500007963077E-4</v>
      </c>
      <c r="V146" s="103">
        <f t="shared" si="40"/>
        <v>9.036018698759996E-5</v>
      </c>
      <c r="W146" s="103">
        <f t="shared" si="42"/>
        <v>6.1926561374761499E-5</v>
      </c>
      <c r="DA146" s="191"/>
    </row>
    <row r="147" spans="1:105" ht="11.45" customHeight="1" x14ac:dyDescent="0.25">
      <c r="A147" s="157" t="s">
        <v>111</v>
      </c>
      <c r="B147" s="103">
        <f t="shared" si="40"/>
        <v>0.12323807275549753</v>
      </c>
      <c r="C147" s="103">
        <f t="shared" si="40"/>
        <v>0.11280503146392132</v>
      </c>
      <c r="D147" s="103">
        <f t="shared" si="40"/>
        <v>0.1082754174596721</v>
      </c>
      <c r="E147" s="103">
        <f t="shared" si="40"/>
        <v>0.11000038248068419</v>
      </c>
      <c r="F147" s="103">
        <f t="shared" si="40"/>
        <v>0.10560926783271375</v>
      </c>
      <c r="G147" s="103">
        <f t="shared" si="40"/>
        <v>9.972271243274787E-2</v>
      </c>
      <c r="H147" s="103">
        <f t="shared" si="40"/>
        <v>8.7775691848217069E-2</v>
      </c>
      <c r="I147" s="103">
        <f t="shared" si="40"/>
        <v>7.693050901767827E-2</v>
      </c>
      <c r="J147" s="103">
        <f t="shared" si="40"/>
        <v>7.6367320635131714E-2</v>
      </c>
      <c r="K147" s="103">
        <f t="shared" si="40"/>
        <v>8.1950326780112076E-2</v>
      </c>
      <c r="L147" s="103">
        <f t="shared" si="41"/>
        <v>8.2384717067709112E-2</v>
      </c>
      <c r="M147" s="103">
        <f t="shared" si="40"/>
        <v>8.5476249699338341E-2</v>
      </c>
      <c r="N147" s="103">
        <f t="shared" si="40"/>
        <v>8.7460033672465631E-2</v>
      </c>
      <c r="O147" s="103">
        <f t="shared" si="40"/>
        <v>8.5314140395722757E-2</v>
      </c>
      <c r="P147" s="103">
        <f t="shared" si="40"/>
        <v>7.7368479396784429E-2</v>
      </c>
      <c r="Q147" s="103">
        <f t="shared" si="40"/>
        <v>7.2096059823987188E-2</v>
      </c>
      <c r="R147" s="103">
        <f t="shared" ref="R147:V147" si="43">IF(R29=0,0,R29/R$17)</f>
        <v>7.1618282013825849E-2</v>
      </c>
      <c r="S147" s="103">
        <f t="shared" si="43"/>
        <v>6.9925169583622923E-2</v>
      </c>
      <c r="T147" s="103">
        <f t="shared" si="43"/>
        <v>6.5815300632075385E-2</v>
      </c>
      <c r="U147" s="103">
        <f t="shared" si="43"/>
        <v>6.1681867634015716E-2</v>
      </c>
      <c r="V147" s="103">
        <f t="shared" si="43"/>
        <v>5.0771101856929346E-2</v>
      </c>
      <c r="W147" s="103">
        <f t="shared" ref="W147" si="44">IF(W29=0,0,W29/W$17)</f>
        <v>4.211458066890289E-2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1.3476074278247777E-4</v>
      </c>
      <c r="S148" s="103">
        <f t="shared" si="47"/>
        <v>9.627537627522087E-5</v>
      </c>
      <c r="T148" s="103">
        <f t="shared" si="47"/>
        <v>7.3178504163821744E-5</v>
      </c>
      <c r="U148" s="103">
        <f t="shared" si="47"/>
        <v>4.9553810091583425E-5</v>
      </c>
      <c r="V148" s="103">
        <f t="shared" si="47"/>
        <v>3.5821192657898784E-5</v>
      </c>
      <c r="W148" s="103">
        <f t="shared" ref="W148" si="48">IF(W30=0,0,W30/W$17)</f>
        <v>3.0363228614540243E-5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1.8658030269553677E-3</v>
      </c>
      <c r="C149" s="103">
        <f t="shared" si="49"/>
        <v>2.3736871040653867E-3</v>
      </c>
      <c r="D149" s="103">
        <f t="shared" si="49"/>
        <v>1.524212520193504E-3</v>
      </c>
      <c r="E149" s="103">
        <f t="shared" si="49"/>
        <v>1.4607820088828516E-3</v>
      </c>
      <c r="F149" s="103">
        <f t="shared" si="49"/>
        <v>1.39355520474137E-3</v>
      </c>
      <c r="G149" s="103">
        <f t="shared" si="49"/>
        <v>1.3299680042742053E-3</v>
      </c>
      <c r="H149" s="103">
        <f t="shared" si="49"/>
        <v>1.192610365625225E-3</v>
      </c>
      <c r="I149" s="103">
        <f t="shared" si="49"/>
        <v>1.0388646887718974E-3</v>
      </c>
      <c r="J149" s="103">
        <f t="shared" si="49"/>
        <v>5.4082955943968506E-4</v>
      </c>
      <c r="K149" s="103">
        <f t="shared" si="49"/>
        <v>4.1060194592117725E-5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0</v>
      </c>
      <c r="U149" s="103">
        <f t="shared" si="50"/>
        <v>6.9332407302138949E-5</v>
      </c>
      <c r="V149" s="103">
        <f t="shared" si="50"/>
        <v>3.4419877406035248E-4</v>
      </c>
      <c r="W149" s="103">
        <f t="shared" ref="W149" si="51">IF(W31=0,0,W31/W$17)</f>
        <v>9.2402301648756484E-4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0.28354156550504889</v>
      </c>
      <c r="C151" s="46">
        <f t="shared" si="55"/>
        <v>0.35008530588348308</v>
      </c>
      <c r="D151" s="46">
        <f t="shared" si="55"/>
        <v>0.36477027430732922</v>
      </c>
      <c r="E151" s="46">
        <f t="shared" si="55"/>
        <v>0.36505513526541955</v>
      </c>
      <c r="F151" s="46">
        <f t="shared" si="55"/>
        <v>0.36994143315832467</v>
      </c>
      <c r="G151" s="46">
        <f t="shared" si="55"/>
        <v>0.38528880821240807</v>
      </c>
      <c r="H151" s="46">
        <f t="shared" si="55"/>
        <v>0.38194366162802618</v>
      </c>
      <c r="I151" s="46">
        <f t="shared" si="55"/>
        <v>0.40060992278027047</v>
      </c>
      <c r="J151" s="46">
        <f t="shared" si="55"/>
        <v>0.38976298921230274</v>
      </c>
      <c r="K151" s="46">
        <f t="shared" si="55"/>
        <v>0.3681026841789759</v>
      </c>
      <c r="L151" s="46">
        <f t="shared" ref="L151" si="56">IF(L33=0,0,L33/L$17)</f>
        <v>0.39696706978860069</v>
      </c>
      <c r="M151" s="46">
        <f t="shared" ref="M151:V151" si="57">IF(M33=0,0,M33/M$17)</f>
        <v>0.34302733337042318</v>
      </c>
      <c r="N151" s="46">
        <f t="shared" si="57"/>
        <v>0.33303287806406229</v>
      </c>
      <c r="O151" s="46">
        <f t="shared" si="57"/>
        <v>0.34189037108752479</v>
      </c>
      <c r="P151" s="46">
        <f t="shared" si="57"/>
        <v>0.32257627565602126</v>
      </c>
      <c r="Q151" s="46">
        <f t="shared" si="57"/>
        <v>0.32448591308662589</v>
      </c>
      <c r="R151" s="46">
        <f t="shared" si="57"/>
        <v>0.31074966258338649</v>
      </c>
      <c r="S151" s="46">
        <f t="shared" si="57"/>
        <v>0.32168310940069772</v>
      </c>
      <c r="T151" s="46">
        <f t="shared" si="57"/>
        <v>0.32060882786127759</v>
      </c>
      <c r="U151" s="46">
        <f t="shared" si="57"/>
        <v>0.30327976337057033</v>
      </c>
      <c r="V151" s="46">
        <f t="shared" si="57"/>
        <v>0.314675730244736</v>
      </c>
      <c r="W151" s="46">
        <f t="shared" ref="W151" si="58">IF(W33=0,0,W33/W$17)</f>
        <v>0.33344620818760179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5.785372207544319E-2</v>
      </c>
      <c r="C152" s="154">
        <f t="shared" si="59"/>
        <v>5.7806222742526836E-2</v>
      </c>
      <c r="D152" s="154">
        <f t="shared" si="59"/>
        <v>6.8742423833764485E-2</v>
      </c>
      <c r="E152" s="154">
        <f t="shared" si="59"/>
        <v>5.9181313950891518E-2</v>
      </c>
      <c r="F152" s="154">
        <f t="shared" si="59"/>
        <v>7.2956618626315792E-2</v>
      </c>
      <c r="G152" s="154">
        <f t="shared" si="59"/>
        <v>6.5013977730441291E-2</v>
      </c>
      <c r="H152" s="154">
        <f t="shared" si="59"/>
        <v>6.4105202166178765E-2</v>
      </c>
      <c r="I152" s="154">
        <f t="shared" si="59"/>
        <v>6.3564338922744754E-2</v>
      </c>
      <c r="J152" s="154">
        <f t="shared" si="59"/>
        <v>6.7442417015024125E-2</v>
      </c>
      <c r="K152" s="154">
        <f t="shared" si="59"/>
        <v>7.0667655850173886E-2</v>
      </c>
      <c r="L152" s="154">
        <f t="shared" ref="L152" si="60">IF(L34=0,0,L34/L$17)</f>
        <v>6.1889559647549643E-2</v>
      </c>
      <c r="M152" s="154">
        <f t="shared" ref="M152:V152" si="61">IF(M34=0,0,M34/M$17)</f>
        <v>6.8368447852220654E-2</v>
      </c>
      <c r="N152" s="154">
        <f t="shared" si="61"/>
        <v>7.7323527296568273E-2</v>
      </c>
      <c r="O152" s="154">
        <f t="shared" si="61"/>
        <v>8.6899737644052122E-2</v>
      </c>
      <c r="P152" s="154">
        <f t="shared" si="61"/>
        <v>8.814361397434034E-2</v>
      </c>
      <c r="Q152" s="154">
        <f t="shared" si="61"/>
        <v>8.6181497318163561E-2</v>
      </c>
      <c r="R152" s="154">
        <f t="shared" si="61"/>
        <v>8.4144861301723051E-2</v>
      </c>
      <c r="S152" s="154">
        <f t="shared" si="61"/>
        <v>8.3017446202285183E-2</v>
      </c>
      <c r="T152" s="154">
        <f t="shared" si="61"/>
        <v>8.1083405890916421E-2</v>
      </c>
      <c r="U152" s="154">
        <f t="shared" si="61"/>
        <v>8.1526613673422024E-2</v>
      </c>
      <c r="V152" s="154">
        <f t="shared" si="61"/>
        <v>8.6348395908578277E-2</v>
      </c>
      <c r="W152" s="154">
        <f t="shared" ref="W152" si="62">IF(W34=0,0,W34/W$17)</f>
        <v>8.6656991969109032E-2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2.0950897844542061E-2</v>
      </c>
      <c r="C153" s="103">
        <f t="shared" si="63"/>
        <v>1.7530728753639417E-2</v>
      </c>
      <c r="D153" s="103">
        <f t="shared" si="63"/>
        <v>1.5977923159270064E-2</v>
      </c>
      <c r="E153" s="103">
        <f t="shared" si="63"/>
        <v>1.49568387654045E-2</v>
      </c>
      <c r="F153" s="103">
        <f t="shared" si="63"/>
        <v>1.3720756832488022E-2</v>
      </c>
      <c r="G153" s="103">
        <f t="shared" si="63"/>
        <v>1.2970257570928205E-2</v>
      </c>
      <c r="H153" s="103">
        <f t="shared" si="63"/>
        <v>1.1510596518140596E-2</v>
      </c>
      <c r="I153" s="103">
        <f t="shared" si="63"/>
        <v>9.715300330505881E-3</v>
      </c>
      <c r="J153" s="103">
        <f t="shared" si="63"/>
        <v>8.5336811360445294E-3</v>
      </c>
      <c r="K153" s="103">
        <f t="shared" si="63"/>
        <v>7.7658781633270163E-3</v>
      </c>
      <c r="L153" s="103">
        <f t="shared" ref="L153" si="64">IF(L35=0,0,L35/L$17)</f>
        <v>3.2720168724414724E-3</v>
      </c>
      <c r="M153" s="103">
        <f t="shared" ref="M153:V153" si="65">IF(M35=0,0,M35/M$17)</f>
        <v>3.3916332920205521E-3</v>
      </c>
      <c r="N153" s="103">
        <f t="shared" si="65"/>
        <v>3.524756001597754E-3</v>
      </c>
      <c r="O153" s="103">
        <f t="shared" si="65"/>
        <v>2.9849303381349638E-3</v>
      </c>
      <c r="P153" s="103">
        <f t="shared" si="65"/>
        <v>2.1287767915535915E-3</v>
      </c>
      <c r="Q153" s="103">
        <f t="shared" si="65"/>
        <v>1.8672105588506645E-3</v>
      </c>
      <c r="R153" s="103">
        <f t="shared" si="65"/>
        <v>1.542901641086961E-3</v>
      </c>
      <c r="S153" s="103">
        <f t="shared" si="65"/>
        <v>1.3715421272877464E-3</v>
      </c>
      <c r="T153" s="103">
        <f t="shared" si="65"/>
        <v>1.2998806509998304E-3</v>
      </c>
      <c r="U153" s="103">
        <f t="shared" si="65"/>
        <v>1.1859795908462328E-3</v>
      </c>
      <c r="V153" s="103">
        <f t="shared" si="65"/>
        <v>1.1769824053394012E-3</v>
      </c>
      <c r="W153" s="103">
        <f t="shared" ref="W153" si="66">IF(W35=0,0,W35/W$17)</f>
        <v>1.1139953587637494E-3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3.6902824230901125E-2</v>
      </c>
      <c r="C154" s="103">
        <f t="shared" si="67"/>
        <v>4.0275493988887426E-2</v>
      </c>
      <c r="D154" s="103">
        <f t="shared" si="67"/>
        <v>5.2764500674494418E-2</v>
      </c>
      <c r="E154" s="103">
        <f t="shared" si="67"/>
        <v>4.4224475185487021E-2</v>
      </c>
      <c r="F154" s="103">
        <f t="shared" si="67"/>
        <v>5.9235861793827768E-2</v>
      </c>
      <c r="G154" s="103">
        <f t="shared" si="67"/>
        <v>5.2043720159513085E-2</v>
      </c>
      <c r="H154" s="103">
        <f t="shared" si="67"/>
        <v>5.2594605648038167E-2</v>
      </c>
      <c r="I154" s="103">
        <f t="shared" si="67"/>
        <v>5.3849038592238864E-2</v>
      </c>
      <c r="J154" s="103">
        <f t="shared" si="67"/>
        <v>5.8908735878979594E-2</v>
      </c>
      <c r="K154" s="103">
        <f t="shared" si="67"/>
        <v>6.2901777686846863E-2</v>
      </c>
      <c r="L154" s="103">
        <f t="shared" ref="L154" si="68">IF(L36=0,0,L36/L$17)</f>
        <v>5.8617542775108174E-2</v>
      </c>
      <c r="M154" s="103">
        <f t="shared" ref="M154:V154" si="69">IF(M36=0,0,M36/M$17)</f>
        <v>6.4976814560200102E-2</v>
      </c>
      <c r="N154" s="103">
        <f t="shared" si="69"/>
        <v>7.3777435507905095E-2</v>
      </c>
      <c r="O154" s="103">
        <f t="shared" si="69"/>
        <v>8.3895478569595894E-2</v>
      </c>
      <c r="P154" s="103">
        <f t="shared" si="69"/>
        <v>8.5989930008541271E-2</v>
      </c>
      <c r="Q154" s="103">
        <f t="shared" si="69"/>
        <v>8.4289553380724094E-2</v>
      </c>
      <c r="R154" s="103">
        <f t="shared" si="69"/>
        <v>8.2415787038439214E-2</v>
      </c>
      <c r="S154" s="103">
        <f t="shared" si="69"/>
        <v>8.1347734971235375E-2</v>
      </c>
      <c r="T154" s="103">
        <f t="shared" si="69"/>
        <v>7.9417407281511615E-2</v>
      </c>
      <c r="U154" s="103">
        <f t="shared" si="69"/>
        <v>7.990920718810296E-2</v>
      </c>
      <c r="V154" s="103">
        <f t="shared" si="69"/>
        <v>8.4670237389270819E-2</v>
      </c>
      <c r="W154" s="103">
        <f t="shared" ref="W154" si="70">IF(W36=0,0,W36/W$17)</f>
        <v>8.5037119321462823E-2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2.1335787065427208E-5</v>
      </c>
      <c r="O155" s="103">
        <f t="shared" si="73"/>
        <v>1.9328736321265996E-5</v>
      </c>
      <c r="P155" s="103">
        <f t="shared" si="73"/>
        <v>2.4907174245471303E-5</v>
      </c>
      <c r="Q155" s="103">
        <f t="shared" si="73"/>
        <v>2.4733378588799106E-5</v>
      </c>
      <c r="R155" s="103">
        <f t="shared" si="73"/>
        <v>1.8617262219687249E-4</v>
      </c>
      <c r="S155" s="103">
        <f t="shared" si="73"/>
        <v>2.9816910376205443E-4</v>
      </c>
      <c r="T155" s="103">
        <f t="shared" si="73"/>
        <v>3.6611795840496791E-4</v>
      </c>
      <c r="U155" s="103">
        <f t="shared" si="73"/>
        <v>4.314268944728383E-4</v>
      </c>
      <c r="V155" s="103">
        <f t="shared" si="73"/>
        <v>5.011761139680508E-4</v>
      </c>
      <c r="W155" s="103">
        <f t="shared" ref="W155" si="74">IF(W37=0,0,W37/W$17)</f>
        <v>5.0587728888245578E-4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" si="78">IF(W38=0,0,W38/W$17)</f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0.22568784342960574</v>
      </c>
      <c r="C158" s="156">
        <f t="shared" si="83"/>
        <v>0.2922790831409563</v>
      </c>
      <c r="D158" s="156">
        <f t="shared" si="83"/>
        <v>0.29602785047356478</v>
      </c>
      <c r="E158" s="156">
        <f t="shared" si="83"/>
        <v>0.30587382131452806</v>
      </c>
      <c r="F158" s="156">
        <f t="shared" si="83"/>
        <v>0.29698481453200892</v>
      </c>
      <c r="G158" s="156">
        <f t="shared" si="83"/>
        <v>0.32027483048196675</v>
      </c>
      <c r="H158" s="156">
        <f t="shared" si="83"/>
        <v>0.31783845946184741</v>
      </c>
      <c r="I158" s="156">
        <f t="shared" si="83"/>
        <v>0.3370455838575257</v>
      </c>
      <c r="J158" s="156">
        <f t="shared" si="83"/>
        <v>0.32232057219727867</v>
      </c>
      <c r="K158" s="156">
        <f t="shared" si="83"/>
        <v>0.29743502832880198</v>
      </c>
      <c r="L158" s="156">
        <f t="shared" ref="L158" si="84">IF(L40=0,0,L40/L$17)</f>
        <v>0.33507751014105108</v>
      </c>
      <c r="M158" s="156">
        <f t="shared" ref="M158:V158" si="85">IF(M40=0,0,M40/M$17)</f>
        <v>0.27465888551820256</v>
      </c>
      <c r="N158" s="156">
        <f t="shared" si="85"/>
        <v>0.25570935076749401</v>
      </c>
      <c r="O158" s="156">
        <f t="shared" si="85"/>
        <v>0.25499063344347273</v>
      </c>
      <c r="P158" s="156">
        <f t="shared" si="85"/>
        <v>0.23443266168168092</v>
      </c>
      <c r="Q158" s="156">
        <f t="shared" si="85"/>
        <v>0.23830441576846234</v>
      </c>
      <c r="R158" s="156">
        <f t="shared" si="85"/>
        <v>0.22660480128166341</v>
      </c>
      <c r="S158" s="156">
        <f t="shared" si="85"/>
        <v>0.23866566319841256</v>
      </c>
      <c r="T158" s="156">
        <f t="shared" si="85"/>
        <v>0.2395254219703612</v>
      </c>
      <c r="U158" s="156">
        <f t="shared" si="85"/>
        <v>0.22175314969714832</v>
      </c>
      <c r="V158" s="156">
        <f t="shared" si="85"/>
        <v>0.22832733433615773</v>
      </c>
      <c r="W158" s="156">
        <f t="shared" ref="W158" si="86">IF(W40=0,0,W40/W$17)</f>
        <v>0.24678921621849279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0.14200132051553413</v>
      </c>
      <c r="C159" s="103">
        <f t="shared" si="87"/>
        <v>0.15059324377462072</v>
      </c>
      <c r="D159" s="103">
        <f t="shared" si="87"/>
        <v>0.17146053011717616</v>
      </c>
      <c r="E159" s="103">
        <f t="shared" si="87"/>
        <v>0.1850045060801444</v>
      </c>
      <c r="F159" s="103">
        <f t="shared" si="87"/>
        <v>0.16726390791801696</v>
      </c>
      <c r="G159" s="103">
        <f t="shared" si="87"/>
        <v>0.17853329958354189</v>
      </c>
      <c r="H159" s="103">
        <f t="shared" si="87"/>
        <v>0.16156630434810657</v>
      </c>
      <c r="I159" s="103">
        <f t="shared" si="87"/>
        <v>0.16897063137882362</v>
      </c>
      <c r="J159" s="103">
        <f t="shared" si="87"/>
        <v>0.16656054278837737</v>
      </c>
      <c r="K159" s="103">
        <f t="shared" si="87"/>
        <v>0.17772868681972787</v>
      </c>
      <c r="L159" s="103">
        <f t="shared" ref="L159" si="88">IF(L41=0,0,L41/L$17)</f>
        <v>0.14929091579254841</v>
      </c>
      <c r="M159" s="103">
        <f t="shared" ref="M159:V159" si="89">IF(M41=0,0,M41/M$17)</f>
        <v>0.13498998546011945</v>
      </c>
      <c r="N159" s="103">
        <f t="shared" si="89"/>
        <v>0.11727555772112182</v>
      </c>
      <c r="O159" s="103">
        <f t="shared" si="89"/>
        <v>0.12095561288801597</v>
      </c>
      <c r="P159" s="103">
        <f t="shared" si="89"/>
        <v>0.11165631197467459</v>
      </c>
      <c r="Q159" s="103">
        <f t="shared" si="89"/>
        <v>0.10618456274916971</v>
      </c>
      <c r="R159" s="103">
        <f t="shared" si="89"/>
        <v>0.10704651006999881</v>
      </c>
      <c r="S159" s="103">
        <f t="shared" si="89"/>
        <v>0.11478864682394935</v>
      </c>
      <c r="T159" s="103">
        <f t="shared" si="89"/>
        <v>0.1138822501016602</v>
      </c>
      <c r="U159" s="103">
        <f t="shared" si="89"/>
        <v>0.11287590585897686</v>
      </c>
      <c r="V159" s="103">
        <f t="shared" si="89"/>
        <v>0.11753007458922811</v>
      </c>
      <c r="W159" s="103">
        <f t="shared" ref="W159" si="90">IF(W41=0,0,W41/W$17)</f>
        <v>0.12874284113308834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8.3686522914071623E-2</v>
      </c>
      <c r="C160" s="105">
        <f t="shared" si="91"/>
        <v>0.14168583936633555</v>
      </c>
      <c r="D160" s="105">
        <f t="shared" si="91"/>
        <v>0.12456732035638858</v>
      </c>
      <c r="E160" s="105">
        <f t="shared" si="91"/>
        <v>0.12086931523438363</v>
      </c>
      <c r="F160" s="105">
        <f t="shared" si="91"/>
        <v>0.12972090661399194</v>
      </c>
      <c r="G160" s="105">
        <f t="shared" si="91"/>
        <v>0.14174153089842487</v>
      </c>
      <c r="H160" s="105">
        <f t="shared" si="91"/>
        <v>0.15627215511374087</v>
      </c>
      <c r="I160" s="105">
        <f t="shared" si="91"/>
        <v>0.16807495247870213</v>
      </c>
      <c r="J160" s="105">
        <f t="shared" si="91"/>
        <v>0.15576002940890127</v>
      </c>
      <c r="K160" s="105">
        <f t="shared" si="91"/>
        <v>0.11970634150907408</v>
      </c>
      <c r="L160" s="105">
        <f t="shared" ref="L160" si="92">IF(L42=0,0,L42/L$17)</f>
        <v>0.1857865943485027</v>
      </c>
      <c r="M160" s="105">
        <f t="shared" ref="M160:V160" si="93">IF(M42=0,0,M42/M$17)</f>
        <v>0.13966890005808311</v>
      </c>
      <c r="N160" s="105">
        <f t="shared" si="93"/>
        <v>0.13843379304637216</v>
      </c>
      <c r="O160" s="105">
        <f t="shared" si="93"/>
        <v>0.13403502055545677</v>
      </c>
      <c r="P160" s="105">
        <f t="shared" si="93"/>
        <v>0.12277634970700635</v>
      </c>
      <c r="Q160" s="105">
        <f t="shared" si="93"/>
        <v>0.13211985301929263</v>
      </c>
      <c r="R160" s="105">
        <f t="shared" si="93"/>
        <v>0.1195582912116646</v>
      </c>
      <c r="S160" s="105">
        <f t="shared" si="93"/>
        <v>0.12387701637446323</v>
      </c>
      <c r="T160" s="105">
        <f t="shared" si="93"/>
        <v>0.12564317186870097</v>
      </c>
      <c r="U160" s="105">
        <f t="shared" si="93"/>
        <v>0.10887724383817146</v>
      </c>
      <c r="V160" s="105">
        <f t="shared" si="93"/>
        <v>0.11079725974692964</v>
      </c>
      <c r="W160" s="105">
        <f t="shared" ref="W160" si="94">IF(W42=0,0,W42/W$17)</f>
        <v>0.11804637508540441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688610</v>
      </c>
      <c r="C3" s="54">
        <f>TrRoad_act!C57</f>
        <v>696395</v>
      </c>
      <c r="D3" s="54">
        <f>TrRoad_act!D57</f>
        <v>711167</v>
      </c>
      <c r="E3" s="54">
        <f>TrRoad_act!E57</f>
        <v>725191</v>
      </c>
      <c r="F3" s="54">
        <f>TrRoad_act!F57</f>
        <v>759852</v>
      </c>
      <c r="G3" s="54">
        <f>TrRoad_act!G57</f>
        <v>776766</v>
      </c>
      <c r="H3" s="54">
        <f>TrRoad_act!H57</f>
        <v>804829</v>
      </c>
      <c r="I3" s="54">
        <f>TrRoad_act!I57</f>
        <v>819156</v>
      </c>
      <c r="J3" s="54">
        <f>TrRoad_act!J57</f>
        <v>816064</v>
      </c>
      <c r="K3" s="54">
        <f>TrRoad_act!K57</f>
        <v>795288</v>
      </c>
      <c r="L3" s="54">
        <f>TrRoad_act!L57</f>
        <v>745191</v>
      </c>
      <c r="M3" s="54">
        <f>TrRoad_act!M57</f>
        <v>722412</v>
      </c>
      <c r="N3" s="54">
        <f>TrRoad_act!N57</f>
        <v>733955</v>
      </c>
      <c r="O3" s="54">
        <f>TrRoad_act!O57</f>
        <v>756759</v>
      </c>
      <c r="P3" s="54">
        <f>TrRoad_act!P57</f>
        <v>783466</v>
      </c>
      <c r="Q3" s="54">
        <f>TrRoad_act!Q57</f>
        <v>809442</v>
      </c>
      <c r="R3" s="54">
        <f>TrRoad_act!R57</f>
        <v>793540</v>
      </c>
      <c r="S3" s="54">
        <f>TrRoad_act!S57</f>
        <v>824440</v>
      </c>
      <c r="T3" s="54">
        <f>TrRoad_act!T57</f>
        <v>847656</v>
      </c>
      <c r="U3" s="54">
        <f>TrRoad_act!U57</f>
        <v>873441</v>
      </c>
      <c r="V3" s="54">
        <f>TrRoad_act!V57</f>
        <v>891798</v>
      </c>
      <c r="W3" s="54">
        <f>TrRoad_act!W57</f>
        <v>917175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609255</v>
      </c>
      <c r="C4" s="28">
        <f>TrRoad_act!C58</f>
        <v>612490</v>
      </c>
      <c r="D4" s="28">
        <f>TrRoad_act!D58</f>
        <v>620514</v>
      </c>
      <c r="E4" s="28">
        <f>TrRoad_act!E58</f>
        <v>635593</v>
      </c>
      <c r="F4" s="28">
        <f>TrRoad_act!F58</f>
        <v>662960</v>
      </c>
      <c r="G4" s="28">
        <f>TrRoad_act!G58</f>
        <v>684512</v>
      </c>
      <c r="H4" s="28">
        <f>TrRoad_act!H58</f>
        <v>709611</v>
      </c>
      <c r="I4" s="28">
        <f>TrRoad_act!I58</f>
        <v>723845</v>
      </c>
      <c r="J4" s="28">
        <f>TrRoad_act!J58</f>
        <v>723130</v>
      </c>
      <c r="K4" s="28">
        <f>TrRoad_act!K58</f>
        <v>704678</v>
      </c>
      <c r="L4" s="28">
        <f>TrRoad_act!L58</f>
        <v>677013</v>
      </c>
      <c r="M4" s="28">
        <f>TrRoad_act!M58</f>
        <v>654431</v>
      </c>
      <c r="N4" s="28">
        <f>TrRoad_act!N58</f>
        <v>662704</v>
      </c>
      <c r="O4" s="28">
        <f>TrRoad_act!O58</f>
        <v>681436</v>
      </c>
      <c r="P4" s="28">
        <f>TrRoad_act!P58</f>
        <v>707323</v>
      </c>
      <c r="Q4" s="28">
        <f>TrRoad_act!Q58</f>
        <v>731402</v>
      </c>
      <c r="R4" s="28">
        <f>TrRoad_act!R58</f>
        <v>716796</v>
      </c>
      <c r="S4" s="28">
        <f>TrRoad_act!S58</f>
        <v>745338</v>
      </c>
      <c r="T4" s="28">
        <f>TrRoad_act!T58</f>
        <v>766698</v>
      </c>
      <c r="U4" s="28">
        <f>TrRoad_act!U58</f>
        <v>790506</v>
      </c>
      <c r="V4" s="28">
        <f>TrRoad_act!V58</f>
        <v>806285</v>
      </c>
      <c r="W4" s="28">
        <f>TrRoad_act!W58</f>
        <v>830580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32648.000000000004</v>
      </c>
      <c r="C5" s="137">
        <f>TrRoad_act!C59</f>
        <v>32485</v>
      </c>
      <c r="D5" s="137">
        <f>TrRoad_act!D59</f>
        <v>32539</v>
      </c>
      <c r="E5" s="137">
        <f>TrRoad_act!E59</f>
        <v>32598.999999999996</v>
      </c>
      <c r="F5" s="137">
        <f>TrRoad_act!F59</f>
        <v>32809</v>
      </c>
      <c r="G5" s="137">
        <f>TrRoad_act!G59</f>
        <v>33046</v>
      </c>
      <c r="H5" s="137">
        <f>TrRoad_act!H59</f>
        <v>33655</v>
      </c>
      <c r="I5" s="137">
        <f>TrRoad_act!I59</f>
        <v>35017</v>
      </c>
      <c r="J5" s="137">
        <f>TrRoad_act!J59</f>
        <v>36411</v>
      </c>
      <c r="K5" s="137">
        <f>TrRoad_act!K59</f>
        <v>36578</v>
      </c>
      <c r="L5" s="137">
        <f>TrRoad_act!L59</f>
        <v>36674</v>
      </c>
      <c r="M5" s="137">
        <f>TrRoad_act!M59</f>
        <v>38623</v>
      </c>
      <c r="N5" s="137">
        <f>TrRoad_act!N59</f>
        <v>41088</v>
      </c>
      <c r="O5" s="137">
        <f>TrRoad_act!O59</f>
        <v>43588</v>
      </c>
      <c r="P5" s="137">
        <f>TrRoad_act!P59</f>
        <v>46422</v>
      </c>
      <c r="Q5" s="137">
        <f>TrRoad_act!Q59</f>
        <v>49288</v>
      </c>
      <c r="R5" s="137">
        <f>TrRoad_act!R59</f>
        <v>49581</v>
      </c>
      <c r="S5" s="137">
        <f>TrRoad_act!S59</f>
        <v>52800</v>
      </c>
      <c r="T5" s="137">
        <f>TrRoad_act!T59</f>
        <v>55898</v>
      </c>
      <c r="U5" s="137">
        <f>TrRoad_act!U59</f>
        <v>60416</v>
      </c>
      <c r="V5" s="137">
        <f>TrRoad_act!V59</f>
        <v>64421.000000000007</v>
      </c>
      <c r="W5" s="137">
        <f>TrRoad_act!W59</f>
        <v>69115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572800</v>
      </c>
      <c r="C6" s="110">
        <f>TrRoad_act!C60</f>
        <v>576200</v>
      </c>
      <c r="D6" s="110">
        <f>TrRoad_act!D60</f>
        <v>584100</v>
      </c>
      <c r="E6" s="110">
        <f>TrRoad_act!E60</f>
        <v>598900</v>
      </c>
      <c r="F6" s="110">
        <f>TrRoad_act!F60</f>
        <v>626100</v>
      </c>
      <c r="G6" s="110">
        <f>TrRoad_act!G60</f>
        <v>647500</v>
      </c>
      <c r="H6" s="110">
        <f>TrRoad_act!H60</f>
        <v>672010</v>
      </c>
      <c r="I6" s="110">
        <f>TrRoad_act!I60</f>
        <v>684870</v>
      </c>
      <c r="J6" s="110">
        <f>TrRoad_act!J60</f>
        <v>682830</v>
      </c>
      <c r="K6" s="110">
        <f>TrRoad_act!K60</f>
        <v>664310</v>
      </c>
      <c r="L6" s="110">
        <f>TrRoad_act!L60</f>
        <v>636660</v>
      </c>
      <c r="M6" s="110">
        <f>TrRoad_act!M60</f>
        <v>612320</v>
      </c>
      <c r="N6" s="110">
        <f>TrRoad_act!N60</f>
        <v>618270</v>
      </c>
      <c r="O6" s="110">
        <f>TrRoad_act!O60</f>
        <v>634595</v>
      </c>
      <c r="P6" s="110">
        <f>TrRoad_act!P60</f>
        <v>657799</v>
      </c>
      <c r="Q6" s="110">
        <f>TrRoad_act!Q60</f>
        <v>679048</v>
      </c>
      <c r="R6" s="110">
        <f>TrRoad_act!R60</f>
        <v>664177</v>
      </c>
      <c r="S6" s="110">
        <f>TrRoad_act!S60</f>
        <v>689536</v>
      </c>
      <c r="T6" s="110">
        <f>TrRoad_act!T60</f>
        <v>707841</v>
      </c>
      <c r="U6" s="110">
        <f>TrRoad_act!U60</f>
        <v>727164</v>
      </c>
      <c r="V6" s="110">
        <f>TrRoad_act!V60</f>
        <v>739124</v>
      </c>
      <c r="W6" s="110">
        <f>TrRoad_act!W60</f>
        <v>758688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506900</v>
      </c>
      <c r="C7" s="84">
        <f>TrRoad_act!C61</f>
        <v>500712</v>
      </c>
      <c r="D7" s="84">
        <f>TrRoad_act!D61</f>
        <v>495101</v>
      </c>
      <c r="E7" s="84">
        <f>TrRoad_act!E61</f>
        <v>492319</v>
      </c>
      <c r="F7" s="84">
        <f>TrRoad_act!F61</f>
        <v>496648</v>
      </c>
      <c r="G7" s="84">
        <f>TrRoad_act!G61</f>
        <v>493840</v>
      </c>
      <c r="H7" s="84">
        <f>TrRoad_act!H61</f>
        <v>491907</v>
      </c>
      <c r="I7" s="84">
        <f>TrRoad_act!I61</f>
        <v>485255</v>
      </c>
      <c r="J7" s="84">
        <f>TrRoad_act!J61</f>
        <v>465836</v>
      </c>
      <c r="K7" s="84">
        <f>TrRoad_act!K61</f>
        <v>438195</v>
      </c>
      <c r="L7" s="84">
        <f>TrRoad_act!L61</f>
        <v>411064</v>
      </c>
      <c r="M7" s="84">
        <f>TrRoad_act!M61</f>
        <v>374564</v>
      </c>
      <c r="N7" s="84">
        <f>TrRoad_act!N61</f>
        <v>347845</v>
      </c>
      <c r="O7" s="84">
        <f>TrRoad_act!O61</f>
        <v>334080</v>
      </c>
      <c r="P7" s="84">
        <f>TrRoad_act!P61</f>
        <v>297946</v>
      </c>
      <c r="Q7" s="84">
        <f>TrRoad_act!Q61</f>
        <v>288127</v>
      </c>
      <c r="R7" s="84">
        <f>TrRoad_act!R61</f>
        <v>256498</v>
      </c>
      <c r="S7" s="84">
        <f>TrRoad_act!S61</f>
        <v>249098</v>
      </c>
      <c r="T7" s="84">
        <f>TrRoad_act!T61</f>
        <v>238356</v>
      </c>
      <c r="U7" s="84">
        <f>TrRoad_act!U61</f>
        <v>230298</v>
      </c>
      <c r="V7" s="84">
        <f>TrRoad_act!V61</f>
        <v>223367</v>
      </c>
      <c r="W7" s="84">
        <f>TrRoad_act!W61</f>
        <v>219792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49700</v>
      </c>
      <c r="C8" s="84">
        <f>TrRoad_act!C62</f>
        <v>59329</v>
      </c>
      <c r="D8" s="84">
        <f>TrRoad_act!D62</f>
        <v>72862</v>
      </c>
      <c r="E8" s="84">
        <f>TrRoad_act!E62</f>
        <v>88588</v>
      </c>
      <c r="F8" s="84">
        <f>TrRoad_act!F62</f>
        <v>105614</v>
      </c>
      <c r="G8" s="84">
        <f>TrRoad_act!G62</f>
        <v>126869</v>
      </c>
      <c r="H8" s="84">
        <f>TrRoad_act!H62</f>
        <v>150870</v>
      </c>
      <c r="I8" s="84">
        <f>TrRoad_act!I62</f>
        <v>171651</v>
      </c>
      <c r="J8" s="84">
        <f>TrRoad_act!J62</f>
        <v>190342</v>
      </c>
      <c r="K8" s="84">
        <f>TrRoad_act!K62</f>
        <v>200974</v>
      </c>
      <c r="L8" s="84">
        <f>TrRoad_act!L62</f>
        <v>202425</v>
      </c>
      <c r="M8" s="84">
        <f>TrRoad_act!M62</f>
        <v>211665</v>
      </c>
      <c r="N8" s="84">
        <f>TrRoad_act!N62</f>
        <v>227340</v>
      </c>
      <c r="O8" s="84">
        <f>TrRoad_act!O62</f>
        <v>252126</v>
      </c>
      <c r="P8" s="84">
        <f>TrRoad_act!P62</f>
        <v>303288</v>
      </c>
      <c r="Q8" s="84">
        <f>TrRoad_act!Q62</f>
        <v>338304</v>
      </c>
      <c r="R8" s="84">
        <f>TrRoad_act!R62</f>
        <v>355033</v>
      </c>
      <c r="S8" s="84">
        <f>TrRoad_act!S62</f>
        <v>388034</v>
      </c>
      <c r="T8" s="84">
        <f>TrRoad_act!T62</f>
        <v>418192</v>
      </c>
      <c r="U8" s="84">
        <f>TrRoad_act!U62</f>
        <v>446705</v>
      </c>
      <c r="V8" s="84">
        <f>TrRoad_act!V62</f>
        <v>466314</v>
      </c>
      <c r="W8" s="84">
        <f>TrRoad_act!W62</f>
        <v>488293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16000</v>
      </c>
      <c r="C9" s="84">
        <f>TrRoad_act!C63</f>
        <v>16005</v>
      </c>
      <c r="D9" s="84">
        <f>TrRoad_act!D63</f>
        <v>15999</v>
      </c>
      <c r="E9" s="84">
        <f>TrRoad_act!E63</f>
        <v>17872</v>
      </c>
      <c r="F9" s="84">
        <f>TrRoad_act!F63</f>
        <v>23734</v>
      </c>
      <c r="G9" s="84">
        <f>TrRoad_act!G63</f>
        <v>26691</v>
      </c>
      <c r="H9" s="84">
        <f>TrRoad_act!H63</f>
        <v>29164</v>
      </c>
      <c r="I9" s="84">
        <f>TrRoad_act!I63</f>
        <v>27909</v>
      </c>
      <c r="J9" s="84">
        <f>TrRoad_act!J63</f>
        <v>26602</v>
      </c>
      <c r="K9" s="84">
        <f>TrRoad_act!K63</f>
        <v>25091</v>
      </c>
      <c r="L9" s="84">
        <f>TrRoad_act!L63</f>
        <v>23171</v>
      </c>
      <c r="M9" s="84">
        <f>TrRoad_act!M63</f>
        <v>26091</v>
      </c>
      <c r="N9" s="84">
        <f>TrRoad_act!N63</f>
        <v>43072</v>
      </c>
      <c r="O9" s="84">
        <f>TrRoad_act!O63</f>
        <v>48368</v>
      </c>
      <c r="P9" s="84">
        <f>TrRoad_act!P63</f>
        <v>56368</v>
      </c>
      <c r="Q9" s="84">
        <f>TrRoad_act!Q63</f>
        <v>52383</v>
      </c>
      <c r="R9" s="84">
        <f>TrRoad_act!R63</f>
        <v>52379</v>
      </c>
      <c r="S9" s="84">
        <f>TrRoad_act!S63</f>
        <v>52043</v>
      </c>
      <c r="T9" s="84">
        <f>TrRoad_act!T63</f>
        <v>50611</v>
      </c>
      <c r="U9" s="84">
        <f>TrRoad_act!U63</f>
        <v>49213</v>
      </c>
      <c r="V9" s="84">
        <f>TrRoad_act!V63</f>
        <v>47842</v>
      </c>
      <c r="W9" s="84">
        <f>TrRoad_act!W63</f>
        <v>47940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200</v>
      </c>
      <c r="C10" s="84">
        <f>TrRoad_act!C64</f>
        <v>154</v>
      </c>
      <c r="D10" s="84">
        <f>TrRoad_act!D64</f>
        <v>138</v>
      </c>
      <c r="E10" s="84">
        <f>TrRoad_act!E64</f>
        <v>121</v>
      </c>
      <c r="F10" s="84">
        <f>TrRoad_act!F64</f>
        <v>104</v>
      </c>
      <c r="G10" s="84">
        <f>TrRoad_act!G64</f>
        <v>100</v>
      </c>
      <c r="H10" s="84">
        <f>TrRoad_act!H64</f>
        <v>69</v>
      </c>
      <c r="I10" s="84">
        <f>TrRoad_act!I64</f>
        <v>55</v>
      </c>
      <c r="J10" s="84">
        <f>TrRoad_act!J64</f>
        <v>50</v>
      </c>
      <c r="K10" s="84">
        <f>TrRoad_act!K64</f>
        <v>50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0</v>
      </c>
      <c r="R10" s="84">
        <f>TrRoad_act!R64</f>
        <v>0</v>
      </c>
      <c r="S10" s="84">
        <f>TrRoad_act!S64</f>
        <v>0</v>
      </c>
      <c r="T10" s="84">
        <f>TrRoad_act!T64</f>
        <v>151</v>
      </c>
      <c r="U10" s="84">
        <f>TrRoad_act!U64</f>
        <v>166</v>
      </c>
      <c r="V10" s="84">
        <f>TrRoad_act!V64</f>
        <v>200</v>
      </c>
      <c r="W10" s="84">
        <f>TrRoad_act!W64</f>
        <v>219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3</v>
      </c>
      <c r="O11" s="84">
        <f>TrRoad_act!O65</f>
        <v>6</v>
      </c>
      <c r="P11" s="84">
        <f>TrRoad_act!P65</f>
        <v>9</v>
      </c>
      <c r="Q11" s="84">
        <f>TrRoad_act!Q65</f>
        <v>23</v>
      </c>
      <c r="R11" s="84">
        <f>TrRoad_act!R65</f>
        <v>26</v>
      </c>
      <c r="S11" s="84">
        <f>TrRoad_act!S65</f>
        <v>49</v>
      </c>
      <c r="T11" s="84">
        <f>TrRoad_act!T65</f>
        <v>89</v>
      </c>
      <c r="U11" s="84">
        <f>TrRoad_act!U65</f>
        <v>124</v>
      </c>
      <c r="V11" s="84">
        <f>TrRoad_act!V65</f>
        <v>196</v>
      </c>
      <c r="W11" s="84">
        <f>TrRoad_act!W65</f>
        <v>338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0</v>
      </c>
      <c r="N12" s="84">
        <f>TrRoad_act!N66</f>
        <v>10</v>
      </c>
      <c r="O12" s="84">
        <f>TrRoad_act!O66</f>
        <v>15</v>
      </c>
      <c r="P12" s="84">
        <f>TrRoad_act!P66</f>
        <v>188</v>
      </c>
      <c r="Q12" s="84">
        <f>TrRoad_act!Q66</f>
        <v>211</v>
      </c>
      <c r="R12" s="84">
        <f>TrRoad_act!R66</f>
        <v>241</v>
      </c>
      <c r="S12" s="84">
        <f>TrRoad_act!S66</f>
        <v>312</v>
      </c>
      <c r="T12" s="84">
        <f>TrRoad_act!T66</f>
        <v>442</v>
      </c>
      <c r="U12" s="84">
        <f>TrRoad_act!U66</f>
        <v>658</v>
      </c>
      <c r="V12" s="84">
        <f>TrRoad_act!V66</f>
        <v>1205</v>
      </c>
      <c r="W12" s="84">
        <f>TrRoad_act!W66</f>
        <v>2106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3807</v>
      </c>
      <c r="C13" s="110">
        <f>TrRoad_act!C67</f>
        <v>3805</v>
      </c>
      <c r="D13" s="110">
        <f>TrRoad_act!D67</f>
        <v>3875</v>
      </c>
      <c r="E13" s="110">
        <f>TrRoad_act!E67</f>
        <v>4094</v>
      </c>
      <c r="F13" s="110">
        <f>TrRoad_act!F67</f>
        <v>4051</v>
      </c>
      <c r="G13" s="110">
        <f>TrRoad_act!G67</f>
        <v>3966</v>
      </c>
      <c r="H13" s="110">
        <f>TrRoad_act!H67</f>
        <v>3946</v>
      </c>
      <c r="I13" s="110">
        <f>TrRoad_act!I67</f>
        <v>3958</v>
      </c>
      <c r="J13" s="110">
        <f>TrRoad_act!J67</f>
        <v>3889</v>
      </c>
      <c r="K13" s="110">
        <f>TrRoad_act!K67</f>
        <v>3790</v>
      </c>
      <c r="L13" s="110">
        <f>TrRoad_act!L67</f>
        <v>3679</v>
      </c>
      <c r="M13" s="110">
        <f>TrRoad_act!M67</f>
        <v>3488</v>
      </c>
      <c r="N13" s="110">
        <f>TrRoad_act!N67</f>
        <v>3346</v>
      </c>
      <c r="O13" s="110">
        <f>TrRoad_act!O67</f>
        <v>3253</v>
      </c>
      <c r="P13" s="110">
        <f>TrRoad_act!P67</f>
        <v>3102</v>
      </c>
      <c r="Q13" s="110">
        <f>TrRoad_act!Q67</f>
        <v>3066</v>
      </c>
      <c r="R13" s="110">
        <f>TrRoad_act!R67</f>
        <v>3038</v>
      </c>
      <c r="S13" s="110">
        <f>TrRoad_act!S67</f>
        <v>3002</v>
      </c>
      <c r="T13" s="110">
        <f>TrRoad_act!T67</f>
        <v>2959</v>
      </c>
      <c r="U13" s="110">
        <f>TrRoad_act!U67</f>
        <v>2926</v>
      </c>
      <c r="V13" s="110">
        <f>TrRoad_act!V67</f>
        <v>2740</v>
      </c>
      <c r="W13" s="110">
        <f>TrRoad_act!W67</f>
        <v>2777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398</v>
      </c>
      <c r="C14" s="102">
        <f>TrRoad_act!C68</f>
        <v>397</v>
      </c>
      <c r="D14" s="102">
        <f>TrRoad_act!D68</f>
        <v>394</v>
      </c>
      <c r="E14" s="102">
        <f>TrRoad_act!E68</f>
        <v>382</v>
      </c>
      <c r="F14" s="102">
        <f>TrRoad_act!F68</f>
        <v>368</v>
      </c>
      <c r="G14" s="102">
        <f>TrRoad_act!G68</f>
        <v>354</v>
      </c>
      <c r="H14" s="102">
        <f>TrRoad_act!H68</f>
        <v>341</v>
      </c>
      <c r="I14" s="102">
        <f>TrRoad_act!I68</f>
        <v>330</v>
      </c>
      <c r="J14" s="102">
        <f>TrRoad_act!J68</f>
        <v>315</v>
      </c>
      <c r="K14" s="102">
        <f>TrRoad_act!K68</f>
        <v>278</v>
      </c>
      <c r="L14" s="102">
        <f>TrRoad_act!L68</f>
        <v>234</v>
      </c>
      <c r="M14" s="102">
        <f>TrRoad_act!M68</f>
        <v>142</v>
      </c>
      <c r="N14" s="102">
        <f>TrRoad_act!N68</f>
        <v>110</v>
      </c>
      <c r="O14" s="102">
        <f>TrRoad_act!O68</f>
        <v>80</v>
      </c>
      <c r="P14" s="102">
        <f>TrRoad_act!P68</f>
        <v>52</v>
      </c>
      <c r="Q14" s="102">
        <f>TrRoad_act!Q68</f>
        <v>44</v>
      </c>
      <c r="R14" s="102">
        <f>TrRoad_act!R68</f>
        <v>32</v>
      </c>
      <c r="S14" s="102">
        <f>TrRoad_act!S68</f>
        <v>28</v>
      </c>
      <c r="T14" s="102">
        <f>TrRoad_act!T68</f>
        <v>24</v>
      </c>
      <c r="U14" s="102">
        <f>TrRoad_act!U68</f>
        <v>22</v>
      </c>
      <c r="V14" s="102">
        <f>TrRoad_act!V68</f>
        <v>18</v>
      </c>
      <c r="W14" s="102">
        <f>TrRoad_act!W68</f>
        <v>14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3300</v>
      </c>
      <c r="C15" s="102">
        <f>TrRoad_act!C69</f>
        <v>3266</v>
      </c>
      <c r="D15" s="102">
        <f>TrRoad_act!D69</f>
        <v>3357</v>
      </c>
      <c r="E15" s="102">
        <f>TrRoad_act!E69</f>
        <v>3593</v>
      </c>
      <c r="F15" s="102">
        <f>TrRoad_act!F69</f>
        <v>3562</v>
      </c>
      <c r="G15" s="102">
        <f>TrRoad_act!G69</f>
        <v>3457</v>
      </c>
      <c r="H15" s="102">
        <f>TrRoad_act!H69</f>
        <v>3448</v>
      </c>
      <c r="I15" s="102">
        <f>TrRoad_act!I69</f>
        <v>3439</v>
      </c>
      <c r="J15" s="102">
        <f>TrRoad_act!J69</f>
        <v>3390</v>
      </c>
      <c r="K15" s="102">
        <f>TrRoad_act!K69</f>
        <v>3299</v>
      </c>
      <c r="L15" s="102">
        <f>TrRoad_act!L69</f>
        <v>3163</v>
      </c>
      <c r="M15" s="102">
        <f>TrRoad_act!M69</f>
        <v>3071</v>
      </c>
      <c r="N15" s="102">
        <f>TrRoad_act!N69</f>
        <v>2971</v>
      </c>
      <c r="O15" s="102">
        <f>TrRoad_act!O69</f>
        <v>2920</v>
      </c>
      <c r="P15" s="102">
        <f>TrRoad_act!P69</f>
        <v>2793</v>
      </c>
      <c r="Q15" s="102">
        <f>TrRoad_act!Q69</f>
        <v>2753</v>
      </c>
      <c r="R15" s="102">
        <f>TrRoad_act!R69</f>
        <v>2704</v>
      </c>
      <c r="S15" s="102">
        <f>TrRoad_act!S69</f>
        <v>2710</v>
      </c>
      <c r="T15" s="102">
        <f>TrRoad_act!T69</f>
        <v>2670</v>
      </c>
      <c r="U15" s="102">
        <f>TrRoad_act!U69</f>
        <v>2618</v>
      </c>
      <c r="V15" s="102">
        <f>TrRoad_act!V69</f>
        <v>2372</v>
      </c>
      <c r="W15" s="102">
        <f>TrRoad_act!W69</f>
        <v>2290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12</v>
      </c>
      <c r="S16" s="102">
        <f>TrRoad_act!S70</f>
        <v>9</v>
      </c>
      <c r="T16" s="102">
        <f>TrRoad_act!T70</f>
        <v>7</v>
      </c>
      <c r="U16" s="102">
        <f>TrRoad_act!U70</f>
        <v>5</v>
      </c>
      <c r="V16" s="102">
        <f>TrRoad_act!V70</f>
        <v>4</v>
      </c>
      <c r="W16" s="102">
        <f>TrRoad_act!W70</f>
        <v>4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100</v>
      </c>
      <c r="C17" s="102">
        <f>TrRoad_act!C71</f>
        <v>120</v>
      </c>
      <c r="D17" s="102">
        <f>TrRoad_act!D71</f>
        <v>102</v>
      </c>
      <c r="E17" s="102">
        <f>TrRoad_act!E71</f>
        <v>98</v>
      </c>
      <c r="F17" s="102">
        <f>TrRoad_act!F71</f>
        <v>100</v>
      </c>
      <c r="G17" s="102">
        <f>TrRoad_act!G71</f>
        <v>105</v>
      </c>
      <c r="H17" s="102">
        <f>TrRoad_act!H71</f>
        <v>105</v>
      </c>
      <c r="I17" s="102">
        <f>TrRoad_act!I71</f>
        <v>110</v>
      </c>
      <c r="J17" s="102">
        <f>TrRoad_act!J71</f>
        <v>45</v>
      </c>
      <c r="K17" s="102">
        <f>TrRoad_act!K71</f>
        <v>2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0</v>
      </c>
      <c r="U17" s="102">
        <f>TrRoad_act!U71</f>
        <v>14</v>
      </c>
      <c r="V17" s="102">
        <f>TrRoad_act!V71</f>
        <v>60</v>
      </c>
      <c r="W17" s="102">
        <f>TrRoad_act!W71</f>
        <v>150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9</v>
      </c>
      <c r="C18" s="102">
        <f>TrRoad_act!C72</f>
        <v>22</v>
      </c>
      <c r="D18" s="102">
        <f>TrRoad_act!D72</f>
        <v>22</v>
      </c>
      <c r="E18" s="102">
        <f>TrRoad_act!E72</f>
        <v>21</v>
      </c>
      <c r="F18" s="102">
        <f>TrRoad_act!F72</f>
        <v>21</v>
      </c>
      <c r="G18" s="102">
        <f>TrRoad_act!G72</f>
        <v>50</v>
      </c>
      <c r="H18" s="102">
        <f>TrRoad_act!H72</f>
        <v>52</v>
      </c>
      <c r="I18" s="102">
        <f>TrRoad_act!I72</f>
        <v>79</v>
      </c>
      <c r="J18" s="102">
        <f>TrRoad_act!J72</f>
        <v>139</v>
      </c>
      <c r="K18" s="102">
        <f>TrRoad_act!K72</f>
        <v>211</v>
      </c>
      <c r="L18" s="102">
        <f>TrRoad_act!L72</f>
        <v>282</v>
      </c>
      <c r="M18" s="102">
        <f>TrRoad_act!M72</f>
        <v>275</v>
      </c>
      <c r="N18" s="102">
        <f>TrRoad_act!N72</f>
        <v>265</v>
      </c>
      <c r="O18" s="102">
        <f>TrRoad_act!O72</f>
        <v>253</v>
      </c>
      <c r="P18" s="102">
        <f>TrRoad_act!P72</f>
        <v>257</v>
      </c>
      <c r="Q18" s="102">
        <f>TrRoad_act!Q72</f>
        <v>269</v>
      </c>
      <c r="R18" s="102">
        <f>TrRoad_act!R72</f>
        <v>290</v>
      </c>
      <c r="S18" s="102">
        <f>TrRoad_act!S72</f>
        <v>255</v>
      </c>
      <c r="T18" s="102">
        <f>TrRoad_act!T72</f>
        <v>258</v>
      </c>
      <c r="U18" s="102">
        <f>TrRoad_act!U72</f>
        <v>267</v>
      </c>
      <c r="V18" s="102">
        <f>TrRoad_act!V72</f>
        <v>286</v>
      </c>
      <c r="W18" s="102">
        <f>TrRoad_act!W72</f>
        <v>319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79355</v>
      </c>
      <c r="C19" s="28">
        <f>TrRoad_act!C73</f>
        <v>83905</v>
      </c>
      <c r="D19" s="28">
        <f>TrRoad_act!D73</f>
        <v>90653</v>
      </c>
      <c r="E19" s="28">
        <f>TrRoad_act!E73</f>
        <v>89598</v>
      </c>
      <c r="F19" s="28">
        <f>TrRoad_act!F73</f>
        <v>96892</v>
      </c>
      <c r="G19" s="28">
        <f>TrRoad_act!G73</f>
        <v>92254</v>
      </c>
      <c r="H19" s="28">
        <f>TrRoad_act!H73</f>
        <v>95218</v>
      </c>
      <c r="I19" s="28">
        <f>TrRoad_act!I73</f>
        <v>95311</v>
      </c>
      <c r="J19" s="28">
        <f>TrRoad_act!J73</f>
        <v>92934</v>
      </c>
      <c r="K19" s="28">
        <f>TrRoad_act!K73</f>
        <v>90610</v>
      </c>
      <c r="L19" s="28">
        <f>TrRoad_act!L73</f>
        <v>68178</v>
      </c>
      <c r="M19" s="28">
        <f>TrRoad_act!M73</f>
        <v>67981</v>
      </c>
      <c r="N19" s="28">
        <f>TrRoad_act!N73</f>
        <v>71251</v>
      </c>
      <c r="O19" s="28">
        <f>TrRoad_act!O73</f>
        <v>75323</v>
      </c>
      <c r="P19" s="28">
        <f>TrRoad_act!P73</f>
        <v>76143</v>
      </c>
      <c r="Q19" s="28">
        <f>TrRoad_act!Q73</f>
        <v>78040</v>
      </c>
      <c r="R19" s="28">
        <f>TrRoad_act!R73</f>
        <v>76744</v>
      </c>
      <c r="S19" s="28">
        <f>TrRoad_act!S73</f>
        <v>79102</v>
      </c>
      <c r="T19" s="28">
        <f>TrRoad_act!T73</f>
        <v>80958</v>
      </c>
      <c r="U19" s="28">
        <f>TrRoad_act!U73</f>
        <v>82935</v>
      </c>
      <c r="V19" s="28">
        <f>TrRoad_act!V73</f>
        <v>85513</v>
      </c>
      <c r="W19" s="28">
        <f>TrRoad_act!W73</f>
        <v>86595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26899</v>
      </c>
      <c r="C20" s="137">
        <f>TrRoad_act!C74</f>
        <v>30126</v>
      </c>
      <c r="D20" s="137">
        <f>TrRoad_act!D74</f>
        <v>35707</v>
      </c>
      <c r="E20" s="137">
        <f>TrRoad_act!E74</f>
        <v>34209</v>
      </c>
      <c r="F20" s="137">
        <f>TrRoad_act!F74</f>
        <v>41530</v>
      </c>
      <c r="G20" s="137">
        <f>TrRoad_act!G74</f>
        <v>39401</v>
      </c>
      <c r="H20" s="137">
        <f>TrRoad_act!H74</f>
        <v>44138</v>
      </c>
      <c r="I20" s="137">
        <f>TrRoad_act!I74</f>
        <v>46358</v>
      </c>
      <c r="J20" s="137">
        <f>TrRoad_act!J74</f>
        <v>46100</v>
      </c>
      <c r="K20" s="137">
        <f>TrRoad_act!K74</f>
        <v>43420</v>
      </c>
      <c r="L20" s="137">
        <f>TrRoad_act!L74</f>
        <v>35274</v>
      </c>
      <c r="M20" s="137">
        <f>TrRoad_act!M74</f>
        <v>36577</v>
      </c>
      <c r="N20" s="137">
        <f>TrRoad_act!N74</f>
        <v>39962</v>
      </c>
      <c r="O20" s="137">
        <f>TrRoad_act!O74</f>
        <v>45923</v>
      </c>
      <c r="P20" s="137">
        <f>TrRoad_act!P74</f>
        <v>50047</v>
      </c>
      <c r="Q20" s="137">
        <f>TrRoad_act!Q74</f>
        <v>53421</v>
      </c>
      <c r="R20" s="137">
        <f>TrRoad_act!R74</f>
        <v>53266</v>
      </c>
      <c r="S20" s="137">
        <f>TrRoad_act!S74</f>
        <v>55559</v>
      </c>
      <c r="T20" s="137">
        <f>TrRoad_act!T74</f>
        <v>57146</v>
      </c>
      <c r="U20" s="137">
        <f>TrRoad_act!U74</f>
        <v>59291</v>
      </c>
      <c r="V20" s="137">
        <f>TrRoad_act!V74</f>
        <v>60696</v>
      </c>
      <c r="W20" s="137">
        <f>TrRoad_act!W74</f>
        <v>63078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15645</v>
      </c>
      <c r="C21" s="84">
        <f>TrRoad_act!C75</f>
        <v>16017</v>
      </c>
      <c r="D21" s="84">
        <f>TrRoad_act!D75</f>
        <v>15277</v>
      </c>
      <c r="E21" s="84">
        <f>TrRoad_act!E75</f>
        <v>15483</v>
      </c>
      <c r="F21" s="84">
        <f>TrRoad_act!F75</f>
        <v>15094</v>
      </c>
      <c r="G21" s="84">
        <f>TrRoad_act!G75</f>
        <v>15001</v>
      </c>
      <c r="H21" s="84">
        <f>TrRoad_act!H75</f>
        <v>15286</v>
      </c>
      <c r="I21" s="84">
        <f>TrRoad_act!I75</f>
        <v>14860</v>
      </c>
      <c r="J21" s="84">
        <f>TrRoad_act!J75</f>
        <v>12539</v>
      </c>
      <c r="K21" s="84">
        <f>TrRoad_act!K75</f>
        <v>10196</v>
      </c>
      <c r="L21" s="84">
        <f>TrRoad_act!L75</f>
        <v>4697</v>
      </c>
      <c r="M21" s="84">
        <f>TrRoad_act!M75</f>
        <v>4279</v>
      </c>
      <c r="N21" s="84">
        <f>TrRoad_act!N75</f>
        <v>4308</v>
      </c>
      <c r="O21" s="84">
        <f>TrRoad_act!O75</f>
        <v>3764</v>
      </c>
      <c r="P21" s="84">
        <f>TrRoad_act!P75</f>
        <v>2884</v>
      </c>
      <c r="Q21" s="84">
        <f>TrRoad_act!Q75</f>
        <v>2797</v>
      </c>
      <c r="R21" s="84">
        <f>TrRoad_act!R75</f>
        <v>2340</v>
      </c>
      <c r="S21" s="84">
        <f>TrRoad_act!S75</f>
        <v>2207</v>
      </c>
      <c r="T21" s="84">
        <f>TrRoad_act!T75</f>
        <v>2091</v>
      </c>
      <c r="U21" s="84">
        <f>TrRoad_act!U75</f>
        <v>1929</v>
      </c>
      <c r="V21" s="84">
        <f>TrRoad_act!V75</f>
        <v>1877</v>
      </c>
      <c r="W21" s="84">
        <f>TrRoad_act!W75</f>
        <v>1849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11254</v>
      </c>
      <c r="C22" s="84">
        <f>TrRoad_act!C76</f>
        <v>14109</v>
      </c>
      <c r="D22" s="84">
        <f>TrRoad_act!D76</f>
        <v>20430</v>
      </c>
      <c r="E22" s="84">
        <f>TrRoad_act!E76</f>
        <v>18726</v>
      </c>
      <c r="F22" s="84">
        <f>TrRoad_act!F76</f>
        <v>26436</v>
      </c>
      <c r="G22" s="84">
        <f>TrRoad_act!G76</f>
        <v>24400</v>
      </c>
      <c r="H22" s="84">
        <f>TrRoad_act!H76</f>
        <v>28852</v>
      </c>
      <c r="I22" s="84">
        <f>TrRoad_act!I76</f>
        <v>31498</v>
      </c>
      <c r="J22" s="84">
        <f>TrRoad_act!J76</f>
        <v>33561</v>
      </c>
      <c r="K22" s="84">
        <f>TrRoad_act!K76</f>
        <v>33224</v>
      </c>
      <c r="L22" s="84">
        <f>TrRoad_act!L76</f>
        <v>30577</v>
      </c>
      <c r="M22" s="84">
        <f>TrRoad_act!M76</f>
        <v>32296</v>
      </c>
      <c r="N22" s="84">
        <f>TrRoad_act!N76</f>
        <v>35634</v>
      </c>
      <c r="O22" s="84">
        <f>TrRoad_act!O76</f>
        <v>42140</v>
      </c>
      <c r="P22" s="84">
        <f>TrRoad_act!P76</f>
        <v>47132</v>
      </c>
      <c r="Q22" s="84">
        <f>TrRoad_act!Q76</f>
        <v>50590</v>
      </c>
      <c r="R22" s="84">
        <f>TrRoad_act!R76</f>
        <v>50749</v>
      </c>
      <c r="S22" s="84">
        <f>TrRoad_act!S76</f>
        <v>53046</v>
      </c>
      <c r="T22" s="84">
        <f>TrRoad_act!T76</f>
        <v>54670</v>
      </c>
      <c r="U22" s="84">
        <f>TrRoad_act!U76</f>
        <v>56895</v>
      </c>
      <c r="V22" s="84">
        <f>TrRoad_act!V76</f>
        <v>58317</v>
      </c>
      <c r="W22" s="84">
        <f>TrRoad_act!W76</f>
        <v>60690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18</v>
      </c>
      <c r="O23" s="84">
        <f>TrRoad_act!O77</f>
        <v>17</v>
      </c>
      <c r="P23" s="84">
        <f>TrRoad_act!P77</f>
        <v>25</v>
      </c>
      <c r="Q23" s="84">
        <f>TrRoad_act!Q77</f>
        <v>27</v>
      </c>
      <c r="R23" s="84">
        <f>TrRoad_act!R77</f>
        <v>166</v>
      </c>
      <c r="S23" s="84">
        <f>TrRoad_act!S77</f>
        <v>294</v>
      </c>
      <c r="T23" s="84">
        <f>TrRoad_act!T77</f>
        <v>373</v>
      </c>
      <c r="U23" s="84">
        <f>TrRoad_act!U77</f>
        <v>453</v>
      </c>
      <c r="V23" s="84">
        <f>TrRoad_act!V77</f>
        <v>486</v>
      </c>
      <c r="W23" s="84">
        <f>TrRoad_act!W77</f>
        <v>500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2</v>
      </c>
      <c r="N25" s="84">
        <f>TrRoad_act!N79</f>
        <v>2</v>
      </c>
      <c r="O25" s="84">
        <f>TrRoad_act!O79</f>
        <v>2</v>
      </c>
      <c r="P25" s="84">
        <f>TrRoad_act!P79</f>
        <v>6</v>
      </c>
      <c r="Q25" s="84">
        <f>TrRoad_act!Q79</f>
        <v>7</v>
      </c>
      <c r="R25" s="84">
        <f>TrRoad_act!R79</f>
        <v>11</v>
      </c>
      <c r="S25" s="84">
        <f>TrRoad_act!S79</f>
        <v>12</v>
      </c>
      <c r="T25" s="84">
        <f>TrRoad_act!T79</f>
        <v>12</v>
      </c>
      <c r="U25" s="84">
        <f>TrRoad_act!U79</f>
        <v>14</v>
      </c>
      <c r="V25" s="84">
        <f>TrRoad_act!V79</f>
        <v>16</v>
      </c>
      <c r="W25" s="84">
        <f>TrRoad_act!W79</f>
        <v>39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52456</v>
      </c>
      <c r="C26" s="110">
        <f>TrRoad_act!C80</f>
        <v>53779</v>
      </c>
      <c r="D26" s="110">
        <f>TrRoad_act!D80</f>
        <v>54946</v>
      </c>
      <c r="E26" s="110">
        <f>TrRoad_act!E80</f>
        <v>55389</v>
      </c>
      <c r="F26" s="110">
        <f>TrRoad_act!F80</f>
        <v>55362</v>
      </c>
      <c r="G26" s="110">
        <f>TrRoad_act!G80</f>
        <v>52853</v>
      </c>
      <c r="H26" s="110">
        <f>TrRoad_act!H80</f>
        <v>51080</v>
      </c>
      <c r="I26" s="110">
        <f>TrRoad_act!I80</f>
        <v>48953</v>
      </c>
      <c r="J26" s="110">
        <f>TrRoad_act!J80</f>
        <v>46834</v>
      </c>
      <c r="K26" s="110">
        <f>TrRoad_act!K80</f>
        <v>47190</v>
      </c>
      <c r="L26" s="110">
        <f>TrRoad_act!L80</f>
        <v>32904</v>
      </c>
      <c r="M26" s="110">
        <f>TrRoad_act!M80</f>
        <v>31404</v>
      </c>
      <c r="N26" s="110">
        <f>TrRoad_act!N80</f>
        <v>31289</v>
      </c>
      <c r="O26" s="110">
        <f>TrRoad_act!O80</f>
        <v>29400</v>
      </c>
      <c r="P26" s="110">
        <f>TrRoad_act!P80</f>
        <v>26096</v>
      </c>
      <c r="Q26" s="110">
        <f>TrRoad_act!Q80</f>
        <v>24619</v>
      </c>
      <c r="R26" s="110">
        <f>TrRoad_act!R80</f>
        <v>23478</v>
      </c>
      <c r="S26" s="110">
        <f>TrRoad_act!S80</f>
        <v>23543</v>
      </c>
      <c r="T26" s="110">
        <f>TrRoad_act!T80</f>
        <v>23812</v>
      </c>
      <c r="U26" s="110">
        <f>TrRoad_act!U80</f>
        <v>23644</v>
      </c>
      <c r="V26" s="110">
        <f>TrRoad_act!V80</f>
        <v>24817</v>
      </c>
      <c r="W26" s="110">
        <f>TrRoad_act!W80</f>
        <v>23517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51859</v>
      </c>
      <c r="C27" s="102">
        <f>TrRoad_act!C81</f>
        <v>53139</v>
      </c>
      <c r="D27" s="102">
        <f>TrRoad_act!D81</f>
        <v>54273</v>
      </c>
      <c r="E27" s="102">
        <f>TrRoad_act!E81</f>
        <v>54701</v>
      </c>
      <c r="F27" s="102">
        <f>TrRoad_act!F81</f>
        <v>54548</v>
      </c>
      <c r="G27" s="102">
        <f>TrRoad_act!G81</f>
        <v>52011</v>
      </c>
      <c r="H27" s="102">
        <f>TrRoad_act!H81</f>
        <v>50053</v>
      </c>
      <c r="I27" s="102">
        <f>TrRoad_act!I81</f>
        <v>47785</v>
      </c>
      <c r="J27" s="102">
        <f>TrRoad_act!J81</f>
        <v>45693</v>
      </c>
      <c r="K27" s="102">
        <f>TrRoad_act!K81</f>
        <v>46280</v>
      </c>
      <c r="L27" s="102">
        <f>TrRoad_act!L81</f>
        <v>31924</v>
      </c>
      <c r="M27" s="102">
        <f>TrRoad_act!M81</f>
        <v>30271</v>
      </c>
      <c r="N27" s="102">
        <f>TrRoad_act!N81</f>
        <v>30031</v>
      </c>
      <c r="O27" s="102">
        <f>TrRoad_act!O81</f>
        <v>27955</v>
      </c>
      <c r="P27" s="102">
        <f>TrRoad_act!P81</f>
        <v>24635</v>
      </c>
      <c r="Q27" s="102">
        <f>TrRoad_act!Q81</f>
        <v>22902</v>
      </c>
      <c r="R27" s="102">
        <f>TrRoad_act!R81</f>
        <v>21749</v>
      </c>
      <c r="S27" s="102">
        <f>TrRoad_act!S81</f>
        <v>21838</v>
      </c>
      <c r="T27" s="102">
        <f>TrRoad_act!T81</f>
        <v>21960</v>
      </c>
      <c r="U27" s="102">
        <f>TrRoad_act!U81</f>
        <v>21949</v>
      </c>
      <c r="V27" s="102">
        <f>TrRoad_act!V81</f>
        <v>22756</v>
      </c>
      <c r="W27" s="102">
        <f>TrRoad_act!W81</f>
        <v>21545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597</v>
      </c>
      <c r="C28" s="86">
        <f>TrRoad_act!C82</f>
        <v>640</v>
      </c>
      <c r="D28" s="86">
        <f>TrRoad_act!D82</f>
        <v>673</v>
      </c>
      <c r="E28" s="86">
        <f>TrRoad_act!E82</f>
        <v>688</v>
      </c>
      <c r="F28" s="86">
        <f>TrRoad_act!F82</f>
        <v>814</v>
      </c>
      <c r="G28" s="86">
        <f>TrRoad_act!G82</f>
        <v>842</v>
      </c>
      <c r="H28" s="86">
        <f>TrRoad_act!H82</f>
        <v>1027</v>
      </c>
      <c r="I28" s="86">
        <f>TrRoad_act!I82</f>
        <v>1168</v>
      </c>
      <c r="J28" s="86">
        <f>TrRoad_act!J82</f>
        <v>1141</v>
      </c>
      <c r="K28" s="86">
        <f>TrRoad_act!K82</f>
        <v>910</v>
      </c>
      <c r="L28" s="86">
        <f>TrRoad_act!L82</f>
        <v>980</v>
      </c>
      <c r="M28" s="86">
        <f>TrRoad_act!M82</f>
        <v>1133</v>
      </c>
      <c r="N28" s="86">
        <f>TrRoad_act!N82</f>
        <v>1258</v>
      </c>
      <c r="O28" s="86">
        <f>TrRoad_act!O82</f>
        <v>1445</v>
      </c>
      <c r="P28" s="86">
        <f>TrRoad_act!P82</f>
        <v>1461</v>
      </c>
      <c r="Q28" s="86">
        <f>TrRoad_act!Q82</f>
        <v>1717</v>
      </c>
      <c r="R28" s="86">
        <f>TrRoad_act!R82</f>
        <v>1729</v>
      </c>
      <c r="S28" s="86">
        <f>TrRoad_act!S82</f>
        <v>1705</v>
      </c>
      <c r="T28" s="86">
        <f>TrRoad_act!T82</f>
        <v>1852</v>
      </c>
      <c r="U28" s="86">
        <f>TrRoad_act!U82</f>
        <v>1695</v>
      </c>
      <c r="V28" s="86">
        <f>TrRoad_act!V82</f>
        <v>2061</v>
      </c>
      <c r="W28" s="86">
        <f>TrRoad_act!W82</f>
        <v>1972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40639</v>
      </c>
      <c r="C30" s="54">
        <f>TrRoad_act!C111</f>
        <v>79406</v>
      </c>
      <c r="D30" s="54">
        <f>TrRoad_act!D111</f>
        <v>71092</v>
      </c>
      <c r="E30" s="54">
        <f>TrRoad_act!E111</f>
        <v>75168</v>
      </c>
      <c r="F30" s="54">
        <f>TrRoad_act!F111</f>
        <v>94139</v>
      </c>
      <c r="G30" s="54">
        <f>TrRoad_act!G111</f>
        <v>89288</v>
      </c>
      <c r="H30" s="54">
        <f>TrRoad_act!H111</f>
        <v>113687</v>
      </c>
      <c r="I30" s="54">
        <f>TrRoad_act!I111</f>
        <v>121781</v>
      </c>
      <c r="J30" s="54">
        <f>TrRoad_act!J111</f>
        <v>64004</v>
      </c>
      <c r="K30" s="54">
        <f>TrRoad_act!K111</f>
        <v>23123</v>
      </c>
      <c r="L30" s="54">
        <f>TrRoad_act!L111</f>
        <v>32957</v>
      </c>
      <c r="M30" s="54">
        <f>TrRoad_act!M111</f>
        <v>58024</v>
      </c>
      <c r="N30" s="54">
        <f>TrRoad_act!N111</f>
        <v>81115</v>
      </c>
      <c r="O30" s="54">
        <f>TrRoad_act!O111</f>
        <v>83317</v>
      </c>
      <c r="P30" s="54">
        <f>TrRoad_act!P111</f>
        <v>77663</v>
      </c>
      <c r="Q30" s="54">
        <f>TrRoad_act!Q111</f>
        <v>84789</v>
      </c>
      <c r="R30" s="54">
        <f>TrRoad_act!R111</f>
        <v>61283</v>
      </c>
      <c r="S30" s="54">
        <f>TrRoad_act!S111</f>
        <v>89843</v>
      </c>
      <c r="T30" s="54">
        <f>TrRoad_act!T111</f>
        <v>91865</v>
      </c>
      <c r="U30" s="54">
        <f>TrRoad_act!U111</f>
        <v>95658</v>
      </c>
      <c r="V30" s="54">
        <f>TrRoad_act!V111</f>
        <v>88883</v>
      </c>
      <c r="W30" s="54">
        <f>TrRoad_act!W111</f>
        <v>97371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35846</v>
      </c>
      <c r="C31" s="28">
        <f>TrRoad_act!C112</f>
        <v>72040</v>
      </c>
      <c r="D31" s="28">
        <f>TrRoad_act!D112</f>
        <v>60663</v>
      </c>
      <c r="E31" s="28">
        <f>TrRoad_act!E112</f>
        <v>68211</v>
      </c>
      <c r="F31" s="28">
        <f>TrRoad_act!F112</f>
        <v>82656</v>
      </c>
      <c r="G31" s="28">
        <f>TrRoad_act!G112</f>
        <v>81370</v>
      </c>
      <c r="H31" s="28">
        <f>TrRoad_act!H112</f>
        <v>103732</v>
      </c>
      <c r="I31" s="28">
        <f>TrRoad_act!I112</f>
        <v>110882</v>
      </c>
      <c r="J31" s="28">
        <f>TrRoad_act!J112</f>
        <v>58725</v>
      </c>
      <c r="K31" s="28">
        <f>TrRoad_act!K112</f>
        <v>21386</v>
      </c>
      <c r="L31" s="28">
        <f>TrRoad_act!L112</f>
        <v>30534</v>
      </c>
      <c r="M31" s="28">
        <f>TrRoad_act!M112</f>
        <v>52613</v>
      </c>
      <c r="N31" s="28">
        <f>TrRoad_act!N112</f>
        <v>74293</v>
      </c>
      <c r="O31" s="28">
        <f>TrRoad_act!O112</f>
        <v>73659</v>
      </c>
      <c r="P31" s="28">
        <f>TrRoad_act!P112</f>
        <v>72205</v>
      </c>
      <c r="Q31" s="28">
        <f>TrRoad_act!Q112</f>
        <v>77775</v>
      </c>
      <c r="R31" s="28">
        <f>TrRoad_act!R112</f>
        <v>55915</v>
      </c>
      <c r="S31" s="28">
        <f>TrRoad_act!S112</f>
        <v>81331</v>
      </c>
      <c r="T31" s="28">
        <f>TrRoad_act!T112</f>
        <v>83787</v>
      </c>
      <c r="U31" s="28">
        <f>TrRoad_act!U112</f>
        <v>87582</v>
      </c>
      <c r="V31" s="28">
        <f>TrRoad_act!V112</f>
        <v>81354</v>
      </c>
      <c r="W31" s="28">
        <f>TrRoad_act!W112</f>
        <v>89268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0</v>
      </c>
      <c r="C32" s="137">
        <f>TrRoad_act!C113</f>
        <v>491</v>
      </c>
      <c r="D32" s="137">
        <f>TrRoad_act!D113</f>
        <v>813</v>
      </c>
      <c r="E32" s="137">
        <f>TrRoad_act!E113</f>
        <v>821</v>
      </c>
      <c r="F32" s="137">
        <f>TrRoad_act!F113</f>
        <v>1050</v>
      </c>
      <c r="G32" s="137">
        <f>TrRoad_act!G113</f>
        <v>1094</v>
      </c>
      <c r="H32" s="137">
        <f>TrRoad_act!H113</f>
        <v>1656</v>
      </c>
      <c r="I32" s="137">
        <f>TrRoad_act!I113</f>
        <v>2801</v>
      </c>
      <c r="J32" s="137">
        <f>TrRoad_act!J113</f>
        <v>2879</v>
      </c>
      <c r="K32" s="137">
        <f>TrRoad_act!K113</f>
        <v>1070</v>
      </c>
      <c r="L32" s="137">
        <f>TrRoad_act!L113</f>
        <v>968</v>
      </c>
      <c r="M32" s="137">
        <f>TrRoad_act!M113</f>
        <v>3749</v>
      </c>
      <c r="N32" s="137">
        <f>TrRoad_act!N113</f>
        <v>4566</v>
      </c>
      <c r="O32" s="137">
        <f>TrRoad_act!O113</f>
        <v>4674</v>
      </c>
      <c r="P32" s="137">
        <f>TrRoad_act!P113</f>
        <v>5232</v>
      </c>
      <c r="Q32" s="137">
        <f>TrRoad_act!Q113</f>
        <v>5343</v>
      </c>
      <c r="R32" s="137">
        <f>TrRoad_act!R113</f>
        <v>4128</v>
      </c>
      <c r="S32" s="137">
        <f>TrRoad_act!S113</f>
        <v>5945</v>
      </c>
      <c r="T32" s="137">
        <f>TrRoad_act!T113</f>
        <v>5835</v>
      </c>
      <c r="U32" s="137">
        <f>TrRoad_act!U113</f>
        <v>8034</v>
      </c>
      <c r="V32" s="137">
        <f>TrRoad_act!V113</f>
        <v>7367</v>
      </c>
      <c r="W32" s="137">
        <f>TrRoad_act!W113</f>
        <v>8490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35745</v>
      </c>
      <c r="C33" s="110">
        <f>TrRoad_act!C114</f>
        <v>70970</v>
      </c>
      <c r="D33" s="110">
        <f>TrRoad_act!D114</f>
        <v>59230</v>
      </c>
      <c r="E33" s="110">
        <f>TrRoad_act!E114</f>
        <v>66657</v>
      </c>
      <c r="F33" s="110">
        <f>TrRoad_act!F114</f>
        <v>81178</v>
      </c>
      <c r="G33" s="110">
        <f>TrRoad_act!G114</f>
        <v>79930</v>
      </c>
      <c r="H33" s="110">
        <f>TrRoad_act!H114</f>
        <v>101709</v>
      </c>
      <c r="I33" s="110">
        <f>TrRoad_act!I114</f>
        <v>107712</v>
      </c>
      <c r="J33" s="110">
        <f>TrRoad_act!J114</f>
        <v>55534</v>
      </c>
      <c r="K33" s="110">
        <f>TrRoad_act!K114</f>
        <v>20056</v>
      </c>
      <c r="L33" s="110">
        <f>TrRoad_act!L114</f>
        <v>29362</v>
      </c>
      <c r="M33" s="110">
        <f>TrRoad_act!M114</f>
        <v>48695</v>
      </c>
      <c r="N33" s="110">
        <f>TrRoad_act!N114</f>
        <v>69563</v>
      </c>
      <c r="O33" s="110">
        <f>TrRoad_act!O114</f>
        <v>68761</v>
      </c>
      <c r="P33" s="110">
        <f>TrRoad_act!P114</f>
        <v>66814</v>
      </c>
      <c r="Q33" s="110">
        <f>TrRoad_act!Q114</f>
        <v>72165</v>
      </c>
      <c r="R33" s="110">
        <f>TrRoad_act!R114</f>
        <v>51515</v>
      </c>
      <c r="S33" s="110">
        <f>TrRoad_act!S114</f>
        <v>75095</v>
      </c>
      <c r="T33" s="110">
        <f>TrRoad_act!T114</f>
        <v>77705</v>
      </c>
      <c r="U33" s="110">
        <f>TrRoad_act!U114</f>
        <v>79300</v>
      </c>
      <c r="V33" s="110">
        <f>TrRoad_act!V114</f>
        <v>73874</v>
      </c>
      <c r="W33" s="110">
        <f>TrRoad_act!W114</f>
        <v>80478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28638</v>
      </c>
      <c r="C34" s="84">
        <f>TrRoad_act!C115</f>
        <v>53375</v>
      </c>
      <c r="D34" s="84">
        <f>TrRoad_act!D115</f>
        <v>41085</v>
      </c>
      <c r="E34" s="84">
        <f>TrRoad_act!E115</f>
        <v>43870</v>
      </c>
      <c r="F34" s="84">
        <f>TrRoad_act!F115</f>
        <v>52238</v>
      </c>
      <c r="G34" s="84">
        <f>TrRoad_act!G115</f>
        <v>49426</v>
      </c>
      <c r="H34" s="84">
        <f>TrRoad_act!H115</f>
        <v>59962</v>
      </c>
      <c r="I34" s="84">
        <f>TrRoad_act!I115</f>
        <v>62475</v>
      </c>
      <c r="J34" s="84">
        <f>TrRoad_act!J115</f>
        <v>31542</v>
      </c>
      <c r="K34" s="84">
        <f>TrRoad_act!K115</f>
        <v>8757</v>
      </c>
      <c r="L34" s="84">
        <f>TrRoad_act!L115</f>
        <v>13425</v>
      </c>
      <c r="M34" s="84">
        <f>TrRoad_act!M115</f>
        <v>14502</v>
      </c>
      <c r="N34" s="84">
        <f>TrRoad_act!N115</f>
        <v>14055</v>
      </c>
      <c r="O34" s="84">
        <f>TrRoad_act!O115</f>
        <v>21330</v>
      </c>
      <c r="P34" s="84">
        <f>TrRoad_act!P115</f>
        <v>6785</v>
      </c>
      <c r="Q34" s="84">
        <f>TrRoad_act!Q115</f>
        <v>23628</v>
      </c>
      <c r="R34" s="84">
        <f>TrRoad_act!R115</f>
        <v>9381</v>
      </c>
      <c r="S34" s="84">
        <f>TrRoad_act!S115</f>
        <v>19920</v>
      </c>
      <c r="T34" s="84">
        <f>TrRoad_act!T115</f>
        <v>20808</v>
      </c>
      <c r="U34" s="84">
        <f>TrRoad_act!U115</f>
        <v>21611</v>
      </c>
      <c r="V34" s="84">
        <f>TrRoad_act!V115</f>
        <v>21005</v>
      </c>
      <c r="W34" s="84">
        <f>TrRoad_act!W115</f>
        <v>23380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7104</v>
      </c>
      <c r="C35" s="84">
        <f>TrRoad_act!C116</f>
        <v>14514</v>
      </c>
      <c r="D35" s="84">
        <f>TrRoad_act!D116</f>
        <v>16768</v>
      </c>
      <c r="E35" s="84">
        <f>TrRoad_act!E116</f>
        <v>19408</v>
      </c>
      <c r="F35" s="84">
        <f>TrRoad_act!F116</f>
        <v>21470</v>
      </c>
      <c r="G35" s="84">
        <f>TrRoad_act!G116</f>
        <v>25834</v>
      </c>
      <c r="H35" s="84">
        <f>TrRoad_act!H116</f>
        <v>37437</v>
      </c>
      <c r="I35" s="84">
        <f>TrRoad_act!I116</f>
        <v>44528</v>
      </c>
      <c r="J35" s="84">
        <f>TrRoad_act!J116</f>
        <v>23217</v>
      </c>
      <c r="K35" s="84">
        <f>TrRoad_act!K116</f>
        <v>10632</v>
      </c>
      <c r="L35" s="84">
        <f>TrRoad_act!L116</f>
        <v>15609</v>
      </c>
      <c r="M35" s="84">
        <f>TrRoad_act!M116</f>
        <v>28976</v>
      </c>
      <c r="N35" s="84">
        <f>TrRoad_act!N116</f>
        <v>36165</v>
      </c>
      <c r="O35" s="84">
        <f>TrRoad_act!O116</f>
        <v>41502</v>
      </c>
      <c r="P35" s="84">
        <f>TrRoad_act!P116</f>
        <v>51162</v>
      </c>
      <c r="Q35" s="84">
        <f>TrRoad_act!Q116</f>
        <v>48474</v>
      </c>
      <c r="R35" s="84">
        <f>TrRoad_act!R116</f>
        <v>41258</v>
      </c>
      <c r="S35" s="84">
        <f>TrRoad_act!S116</f>
        <v>54498</v>
      </c>
      <c r="T35" s="84">
        <f>TrRoad_act!T116</f>
        <v>56518</v>
      </c>
      <c r="U35" s="84">
        <f>TrRoad_act!U116</f>
        <v>57299</v>
      </c>
      <c r="V35" s="84">
        <f>TrRoad_act!V116</f>
        <v>52086</v>
      </c>
      <c r="W35" s="84">
        <f>TrRoad_act!W116</f>
        <v>54872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3081</v>
      </c>
      <c r="D36" s="84">
        <f>TrRoad_act!D117</f>
        <v>1377</v>
      </c>
      <c r="E36" s="84">
        <f>TrRoad_act!E117</f>
        <v>3379</v>
      </c>
      <c r="F36" s="84">
        <f>TrRoad_act!F117</f>
        <v>7470</v>
      </c>
      <c r="G36" s="84">
        <f>TrRoad_act!G117</f>
        <v>4670</v>
      </c>
      <c r="H36" s="84">
        <f>TrRoad_act!H117</f>
        <v>4310</v>
      </c>
      <c r="I36" s="84">
        <f>TrRoad_act!I117</f>
        <v>709</v>
      </c>
      <c r="J36" s="84">
        <f>TrRoad_act!J117</f>
        <v>775</v>
      </c>
      <c r="K36" s="84">
        <f>TrRoad_act!K117</f>
        <v>664</v>
      </c>
      <c r="L36" s="84">
        <f>TrRoad_act!L117</f>
        <v>328</v>
      </c>
      <c r="M36" s="84">
        <f>TrRoad_act!M117</f>
        <v>5217</v>
      </c>
      <c r="N36" s="84">
        <f>TrRoad_act!N117</f>
        <v>19330</v>
      </c>
      <c r="O36" s="84">
        <f>TrRoad_act!O117</f>
        <v>5921</v>
      </c>
      <c r="P36" s="84">
        <f>TrRoad_act!P117</f>
        <v>8690</v>
      </c>
      <c r="Q36" s="84">
        <f>TrRoad_act!Q117</f>
        <v>26</v>
      </c>
      <c r="R36" s="84">
        <f>TrRoad_act!R117</f>
        <v>830</v>
      </c>
      <c r="S36" s="84">
        <f>TrRoad_act!S117</f>
        <v>575</v>
      </c>
      <c r="T36" s="84">
        <f>TrRoad_act!T117</f>
        <v>56</v>
      </c>
      <c r="U36" s="84">
        <f>TrRoad_act!U117</f>
        <v>120</v>
      </c>
      <c r="V36" s="84">
        <f>TrRoad_act!V117</f>
        <v>106</v>
      </c>
      <c r="W36" s="84">
        <f>TrRoad_act!W117</f>
        <v>1149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3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3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0</v>
      </c>
      <c r="R37" s="84">
        <f>TrRoad_act!R118</f>
        <v>0</v>
      </c>
      <c r="S37" s="84">
        <f>TrRoad_act!S118</f>
        <v>0</v>
      </c>
      <c r="T37" s="84">
        <f>TrRoad_act!T118</f>
        <v>151</v>
      </c>
      <c r="U37" s="84">
        <f>TrRoad_act!U118</f>
        <v>15</v>
      </c>
      <c r="V37" s="84">
        <f>TrRoad_act!V118</f>
        <v>35</v>
      </c>
      <c r="W37" s="84">
        <f>TrRoad_act!W118</f>
        <v>25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3</v>
      </c>
      <c r="O38" s="84">
        <f>TrRoad_act!O119</f>
        <v>3</v>
      </c>
      <c r="P38" s="84">
        <f>TrRoad_act!P119</f>
        <v>3</v>
      </c>
      <c r="Q38" s="84">
        <f>TrRoad_act!Q119</f>
        <v>14</v>
      </c>
      <c r="R38" s="84">
        <f>TrRoad_act!R119</f>
        <v>15</v>
      </c>
      <c r="S38" s="84">
        <f>TrRoad_act!S119</f>
        <v>29</v>
      </c>
      <c r="T38" s="84">
        <f>TrRoad_act!T119</f>
        <v>40</v>
      </c>
      <c r="U38" s="84">
        <f>TrRoad_act!U119</f>
        <v>36</v>
      </c>
      <c r="V38" s="84">
        <f>TrRoad_act!V119</f>
        <v>90</v>
      </c>
      <c r="W38" s="84">
        <f>TrRoad_act!W119</f>
        <v>144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0</v>
      </c>
      <c r="N39" s="84">
        <f>TrRoad_act!N120</f>
        <v>10</v>
      </c>
      <c r="O39" s="84">
        <f>TrRoad_act!O120</f>
        <v>5</v>
      </c>
      <c r="P39" s="84">
        <f>TrRoad_act!P120</f>
        <v>174</v>
      </c>
      <c r="Q39" s="84">
        <f>TrRoad_act!Q120</f>
        <v>23</v>
      </c>
      <c r="R39" s="84">
        <f>TrRoad_act!R120</f>
        <v>31</v>
      </c>
      <c r="S39" s="84">
        <f>TrRoad_act!S120</f>
        <v>73</v>
      </c>
      <c r="T39" s="84">
        <f>TrRoad_act!T120</f>
        <v>132</v>
      </c>
      <c r="U39" s="84">
        <f>TrRoad_act!U120</f>
        <v>219</v>
      </c>
      <c r="V39" s="84">
        <f>TrRoad_act!V120</f>
        <v>552</v>
      </c>
      <c r="W39" s="84">
        <f>TrRoad_act!W120</f>
        <v>908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101</v>
      </c>
      <c r="C40" s="110">
        <f>TrRoad_act!C121</f>
        <v>579</v>
      </c>
      <c r="D40" s="110">
        <f>TrRoad_act!D121</f>
        <v>620</v>
      </c>
      <c r="E40" s="110">
        <f>TrRoad_act!E121</f>
        <v>733</v>
      </c>
      <c r="F40" s="110">
        <f>TrRoad_act!F121</f>
        <v>428</v>
      </c>
      <c r="G40" s="110">
        <f>TrRoad_act!G121</f>
        <v>346</v>
      </c>
      <c r="H40" s="110">
        <f>TrRoad_act!H121</f>
        <v>367</v>
      </c>
      <c r="I40" s="110">
        <f>TrRoad_act!I121</f>
        <v>369</v>
      </c>
      <c r="J40" s="110">
        <f>TrRoad_act!J121</f>
        <v>312</v>
      </c>
      <c r="K40" s="110">
        <f>TrRoad_act!K121</f>
        <v>260</v>
      </c>
      <c r="L40" s="110">
        <f>TrRoad_act!L121</f>
        <v>204</v>
      </c>
      <c r="M40" s="110">
        <f>TrRoad_act!M121</f>
        <v>169</v>
      </c>
      <c r="N40" s="110">
        <f>TrRoad_act!N121</f>
        <v>164</v>
      </c>
      <c r="O40" s="110">
        <f>TrRoad_act!O121</f>
        <v>224</v>
      </c>
      <c r="P40" s="110">
        <f>TrRoad_act!P121</f>
        <v>159</v>
      </c>
      <c r="Q40" s="110">
        <f>TrRoad_act!Q121</f>
        <v>267</v>
      </c>
      <c r="R40" s="110">
        <f>TrRoad_act!R121</f>
        <v>272</v>
      </c>
      <c r="S40" s="110">
        <f>TrRoad_act!S121</f>
        <v>291</v>
      </c>
      <c r="T40" s="110">
        <f>TrRoad_act!T121</f>
        <v>247</v>
      </c>
      <c r="U40" s="110">
        <f>TrRoad_act!U121</f>
        <v>248</v>
      </c>
      <c r="V40" s="110">
        <f>TrRoad_act!V121</f>
        <v>113</v>
      </c>
      <c r="W40" s="110">
        <f>TrRoad_act!W121</f>
        <v>300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92</v>
      </c>
      <c r="C41" s="102">
        <f>TrRoad_act!C122</f>
        <v>21</v>
      </c>
      <c r="D41" s="102">
        <f>TrRoad_act!D122</f>
        <v>12</v>
      </c>
      <c r="E41" s="102">
        <f>TrRoad_act!E122</f>
        <v>7</v>
      </c>
      <c r="F41" s="102">
        <f>TrRoad_act!F122</f>
        <v>4</v>
      </c>
      <c r="G41" s="102">
        <f>TrRoad_act!G122</f>
        <v>5</v>
      </c>
      <c r="H41" s="102">
        <f>TrRoad_act!H122</f>
        <v>5</v>
      </c>
      <c r="I41" s="102">
        <f>TrRoad_act!I122</f>
        <v>14</v>
      </c>
      <c r="J41" s="102">
        <f>TrRoad_act!J122</f>
        <v>7</v>
      </c>
      <c r="K41" s="102">
        <f>TrRoad_act!K122</f>
        <v>2</v>
      </c>
      <c r="L41" s="102">
        <f>TrRoad_act!L122</f>
        <v>1</v>
      </c>
      <c r="M41" s="102">
        <f>TrRoad_act!M122</f>
        <v>0</v>
      </c>
      <c r="N41" s="102">
        <f>TrRoad_act!N122</f>
        <v>0</v>
      </c>
      <c r="O41" s="102">
        <f>TrRoad_act!O122</f>
        <v>4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0</v>
      </c>
      <c r="C42" s="102">
        <f>TrRoad_act!C123</f>
        <v>509</v>
      </c>
      <c r="D42" s="102">
        <f>TrRoad_act!D123</f>
        <v>608</v>
      </c>
      <c r="E42" s="102">
        <f>TrRoad_act!E123</f>
        <v>717</v>
      </c>
      <c r="F42" s="102">
        <f>TrRoad_act!F123</f>
        <v>409</v>
      </c>
      <c r="G42" s="102">
        <f>TrRoad_act!G123</f>
        <v>293</v>
      </c>
      <c r="H42" s="102">
        <f>TrRoad_act!H123</f>
        <v>348</v>
      </c>
      <c r="I42" s="102">
        <f>TrRoad_act!I123</f>
        <v>312</v>
      </c>
      <c r="J42" s="102">
        <f>TrRoad_act!J123</f>
        <v>243</v>
      </c>
      <c r="K42" s="102">
        <f>TrRoad_act!K123</f>
        <v>182</v>
      </c>
      <c r="L42" s="102">
        <f>TrRoad_act!L123</f>
        <v>127</v>
      </c>
      <c r="M42" s="102">
        <f>TrRoad_act!M123</f>
        <v>169</v>
      </c>
      <c r="N42" s="102">
        <f>TrRoad_act!N123</f>
        <v>164</v>
      </c>
      <c r="O42" s="102">
        <f>TrRoad_act!O123</f>
        <v>220</v>
      </c>
      <c r="P42" s="102">
        <f>TrRoad_act!P123</f>
        <v>151</v>
      </c>
      <c r="Q42" s="102">
        <f>TrRoad_act!Q123</f>
        <v>242</v>
      </c>
      <c r="R42" s="102">
        <f>TrRoad_act!R123</f>
        <v>234</v>
      </c>
      <c r="S42" s="102">
        <f>TrRoad_act!S123</f>
        <v>289</v>
      </c>
      <c r="T42" s="102">
        <f>TrRoad_act!T123</f>
        <v>238</v>
      </c>
      <c r="U42" s="102">
        <f>TrRoad_act!U123</f>
        <v>219</v>
      </c>
      <c r="V42" s="102">
        <f>TrRoad_act!V123</f>
        <v>17</v>
      </c>
      <c r="W42" s="102">
        <f>TrRoad_act!W123</f>
        <v>171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12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36</v>
      </c>
      <c r="D44" s="102">
        <f>TrRoad_act!D125</f>
        <v>0</v>
      </c>
      <c r="E44" s="102">
        <f>TrRoad_act!E125</f>
        <v>9</v>
      </c>
      <c r="F44" s="102">
        <f>TrRoad_act!F125</f>
        <v>15</v>
      </c>
      <c r="G44" s="102">
        <f>TrRoad_act!G125</f>
        <v>18</v>
      </c>
      <c r="H44" s="102">
        <f>TrRoad_act!H125</f>
        <v>11</v>
      </c>
      <c r="I44" s="102">
        <f>TrRoad_act!I125</f>
        <v>14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0</v>
      </c>
      <c r="U44" s="102">
        <f>TrRoad_act!U125</f>
        <v>14</v>
      </c>
      <c r="V44" s="102">
        <f>TrRoad_act!V125</f>
        <v>46</v>
      </c>
      <c r="W44" s="102">
        <f>TrRoad_act!W125</f>
        <v>90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9</v>
      </c>
      <c r="C45" s="102">
        <f>TrRoad_act!C126</f>
        <v>13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30</v>
      </c>
      <c r="H45" s="102">
        <f>TrRoad_act!H126</f>
        <v>3</v>
      </c>
      <c r="I45" s="102">
        <f>TrRoad_act!I126</f>
        <v>29</v>
      </c>
      <c r="J45" s="102">
        <f>TrRoad_act!J126</f>
        <v>62</v>
      </c>
      <c r="K45" s="102">
        <f>TrRoad_act!K126</f>
        <v>76</v>
      </c>
      <c r="L45" s="102">
        <f>TrRoad_act!L126</f>
        <v>76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8</v>
      </c>
      <c r="Q45" s="102">
        <f>TrRoad_act!Q126</f>
        <v>25</v>
      </c>
      <c r="R45" s="102">
        <f>TrRoad_act!R126</f>
        <v>26</v>
      </c>
      <c r="S45" s="102">
        <f>TrRoad_act!S126</f>
        <v>2</v>
      </c>
      <c r="T45" s="102">
        <f>TrRoad_act!T126</f>
        <v>9</v>
      </c>
      <c r="U45" s="102">
        <f>TrRoad_act!U126</f>
        <v>15</v>
      </c>
      <c r="V45" s="102">
        <f>TrRoad_act!V126</f>
        <v>50</v>
      </c>
      <c r="W45" s="102">
        <f>TrRoad_act!W126</f>
        <v>39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4793</v>
      </c>
      <c r="C46" s="28">
        <f>TrRoad_act!C127</f>
        <v>7366</v>
      </c>
      <c r="D46" s="28">
        <f>TrRoad_act!D127</f>
        <v>10429</v>
      </c>
      <c r="E46" s="28">
        <f>TrRoad_act!E127</f>
        <v>6957</v>
      </c>
      <c r="F46" s="28">
        <f>TrRoad_act!F127</f>
        <v>11483</v>
      </c>
      <c r="G46" s="28">
        <f>TrRoad_act!G127</f>
        <v>7918</v>
      </c>
      <c r="H46" s="28">
        <f>TrRoad_act!H127</f>
        <v>9955</v>
      </c>
      <c r="I46" s="28">
        <f>TrRoad_act!I127</f>
        <v>10899</v>
      </c>
      <c r="J46" s="28">
        <f>TrRoad_act!J127</f>
        <v>5279</v>
      </c>
      <c r="K46" s="28">
        <f>TrRoad_act!K127</f>
        <v>1737</v>
      </c>
      <c r="L46" s="28">
        <f>TrRoad_act!L127</f>
        <v>2423</v>
      </c>
      <c r="M46" s="28">
        <f>TrRoad_act!M127</f>
        <v>5411</v>
      </c>
      <c r="N46" s="28">
        <f>TrRoad_act!N127</f>
        <v>6822</v>
      </c>
      <c r="O46" s="28">
        <f>TrRoad_act!O127</f>
        <v>9658</v>
      </c>
      <c r="P46" s="28">
        <f>TrRoad_act!P127</f>
        <v>5458</v>
      </c>
      <c r="Q46" s="28">
        <f>TrRoad_act!Q127</f>
        <v>7014</v>
      </c>
      <c r="R46" s="28">
        <f>TrRoad_act!R127</f>
        <v>5368</v>
      </c>
      <c r="S46" s="28">
        <f>TrRoad_act!S127</f>
        <v>8512</v>
      </c>
      <c r="T46" s="28">
        <f>TrRoad_act!T127</f>
        <v>8078</v>
      </c>
      <c r="U46" s="28">
        <f>TrRoad_act!U127</f>
        <v>8076</v>
      </c>
      <c r="V46" s="28">
        <f>TrRoad_act!V127</f>
        <v>7529</v>
      </c>
      <c r="W46" s="28">
        <f>TrRoad_act!W127</f>
        <v>8103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2864</v>
      </c>
      <c r="C47" s="137">
        <f>TrRoad_act!C128</f>
        <v>4327</v>
      </c>
      <c r="D47" s="137">
        <f>TrRoad_act!D128</f>
        <v>7307</v>
      </c>
      <c r="E47" s="137">
        <f>TrRoad_act!E128</f>
        <v>3726</v>
      </c>
      <c r="F47" s="137">
        <f>TrRoad_act!F128</f>
        <v>8673</v>
      </c>
      <c r="G47" s="137">
        <f>TrRoad_act!G128</f>
        <v>4742</v>
      </c>
      <c r="H47" s="137">
        <f>TrRoad_act!H128</f>
        <v>6241</v>
      </c>
      <c r="I47" s="137">
        <f>TrRoad_act!I128</f>
        <v>7382</v>
      </c>
      <c r="J47" s="137">
        <f>TrRoad_act!J128</f>
        <v>3527</v>
      </c>
      <c r="K47" s="137">
        <f>TrRoad_act!K128</f>
        <v>1096</v>
      </c>
      <c r="L47" s="137">
        <f>TrRoad_act!L128</f>
        <v>1672</v>
      </c>
      <c r="M47" s="137">
        <f>TrRoad_act!M128</f>
        <v>4085</v>
      </c>
      <c r="N47" s="137">
        <f>TrRoad_act!N128</f>
        <v>5407</v>
      </c>
      <c r="O47" s="137">
        <f>TrRoad_act!O128</f>
        <v>6720</v>
      </c>
      <c r="P47" s="137">
        <f>TrRoad_act!P128</f>
        <v>5102</v>
      </c>
      <c r="Q47" s="137">
        <f>TrRoad_act!Q128</f>
        <v>5969</v>
      </c>
      <c r="R47" s="137">
        <f>TrRoad_act!R128</f>
        <v>3966</v>
      </c>
      <c r="S47" s="137">
        <f>TrRoad_act!S128</f>
        <v>6055</v>
      </c>
      <c r="T47" s="137">
        <f>TrRoad_act!T128</f>
        <v>5683</v>
      </c>
      <c r="U47" s="137">
        <f>TrRoad_act!U128</f>
        <v>6314</v>
      </c>
      <c r="V47" s="137">
        <f>TrRoad_act!V128</f>
        <v>5671</v>
      </c>
      <c r="W47" s="137">
        <f>TrRoad_act!W128</f>
        <v>6681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672</v>
      </c>
      <c r="C48" s="84">
        <f>TrRoad_act!C129</f>
        <v>1060</v>
      </c>
      <c r="D48" s="84">
        <f>TrRoad_act!D129</f>
        <v>486</v>
      </c>
      <c r="E48" s="84">
        <f>TrRoad_act!E129</f>
        <v>1218</v>
      </c>
      <c r="F48" s="84">
        <f>TrRoad_act!F129</f>
        <v>963</v>
      </c>
      <c r="G48" s="84">
        <f>TrRoad_act!G129</f>
        <v>1206</v>
      </c>
      <c r="H48" s="84">
        <f>TrRoad_act!H129</f>
        <v>1592</v>
      </c>
      <c r="I48" s="84">
        <f>TrRoad_act!I129</f>
        <v>1118</v>
      </c>
      <c r="J48" s="84">
        <f>TrRoad_act!J129</f>
        <v>227</v>
      </c>
      <c r="K48" s="84">
        <f>TrRoad_act!K129</f>
        <v>49</v>
      </c>
      <c r="L48" s="84">
        <f>TrRoad_act!L129</f>
        <v>136</v>
      </c>
      <c r="M48" s="84">
        <f>TrRoad_act!M129</f>
        <v>166</v>
      </c>
      <c r="N48" s="84">
        <f>TrRoad_act!N129</f>
        <v>330</v>
      </c>
      <c r="O48" s="84">
        <f>TrRoad_act!O129</f>
        <v>214</v>
      </c>
      <c r="P48" s="84">
        <f>TrRoad_act!P129</f>
        <v>98</v>
      </c>
      <c r="Q48" s="84">
        <f>TrRoad_act!Q129</f>
        <v>108</v>
      </c>
      <c r="R48" s="84">
        <f>TrRoad_act!R129</f>
        <v>52</v>
      </c>
      <c r="S48" s="84">
        <f>TrRoad_act!S129</f>
        <v>65</v>
      </c>
      <c r="T48" s="84">
        <f>TrRoad_act!T129</f>
        <v>142</v>
      </c>
      <c r="U48" s="84">
        <f>TrRoad_act!U129</f>
        <v>86</v>
      </c>
      <c r="V48" s="84">
        <f>TrRoad_act!V129</f>
        <v>99</v>
      </c>
      <c r="W48" s="84">
        <f>TrRoad_act!W129</f>
        <v>117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2192</v>
      </c>
      <c r="C49" s="84">
        <f>TrRoad_act!C130</f>
        <v>3267</v>
      </c>
      <c r="D49" s="84">
        <f>TrRoad_act!D130</f>
        <v>6821</v>
      </c>
      <c r="E49" s="84">
        <f>TrRoad_act!E130</f>
        <v>2508</v>
      </c>
      <c r="F49" s="84">
        <f>TrRoad_act!F130</f>
        <v>7710</v>
      </c>
      <c r="G49" s="84">
        <f>TrRoad_act!G130</f>
        <v>3536</v>
      </c>
      <c r="H49" s="84">
        <f>TrRoad_act!H130</f>
        <v>4649</v>
      </c>
      <c r="I49" s="84">
        <f>TrRoad_act!I130</f>
        <v>6264</v>
      </c>
      <c r="J49" s="84">
        <f>TrRoad_act!J130</f>
        <v>3300</v>
      </c>
      <c r="K49" s="84">
        <f>TrRoad_act!K130</f>
        <v>1047</v>
      </c>
      <c r="L49" s="84">
        <f>TrRoad_act!L130</f>
        <v>1536</v>
      </c>
      <c r="M49" s="84">
        <f>TrRoad_act!M130</f>
        <v>3917</v>
      </c>
      <c r="N49" s="84">
        <f>TrRoad_act!N130</f>
        <v>5059</v>
      </c>
      <c r="O49" s="84">
        <f>TrRoad_act!O130</f>
        <v>6506</v>
      </c>
      <c r="P49" s="84">
        <f>TrRoad_act!P130</f>
        <v>4992</v>
      </c>
      <c r="Q49" s="84">
        <f>TrRoad_act!Q130</f>
        <v>5857</v>
      </c>
      <c r="R49" s="84">
        <f>TrRoad_act!R130</f>
        <v>3765</v>
      </c>
      <c r="S49" s="84">
        <f>TrRoad_act!S130</f>
        <v>5852</v>
      </c>
      <c r="T49" s="84">
        <f>TrRoad_act!T130</f>
        <v>5461</v>
      </c>
      <c r="U49" s="84">
        <f>TrRoad_act!U130</f>
        <v>6146</v>
      </c>
      <c r="V49" s="84">
        <f>TrRoad_act!V130</f>
        <v>5523</v>
      </c>
      <c r="W49" s="84">
        <f>TrRoad_act!W130</f>
        <v>6525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18</v>
      </c>
      <c r="O50" s="84">
        <f>TrRoad_act!O131</f>
        <v>0</v>
      </c>
      <c r="P50" s="84">
        <f>TrRoad_act!P131</f>
        <v>8</v>
      </c>
      <c r="Q50" s="84">
        <f>TrRoad_act!Q131</f>
        <v>3</v>
      </c>
      <c r="R50" s="84">
        <f>TrRoad_act!R131</f>
        <v>139</v>
      </c>
      <c r="S50" s="84">
        <f>TrRoad_act!S131</f>
        <v>128</v>
      </c>
      <c r="T50" s="84">
        <f>TrRoad_act!T131</f>
        <v>79</v>
      </c>
      <c r="U50" s="84">
        <f>TrRoad_act!U131</f>
        <v>80</v>
      </c>
      <c r="V50" s="84">
        <f>TrRoad_act!V131</f>
        <v>33</v>
      </c>
      <c r="W50" s="84">
        <f>TrRoad_act!W131</f>
        <v>14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2</v>
      </c>
      <c r="N52" s="84">
        <f>TrRoad_act!N133</f>
        <v>0</v>
      </c>
      <c r="O52" s="84">
        <f>TrRoad_act!O133</f>
        <v>0</v>
      </c>
      <c r="P52" s="84">
        <f>TrRoad_act!P133</f>
        <v>4</v>
      </c>
      <c r="Q52" s="84">
        <f>TrRoad_act!Q133</f>
        <v>1</v>
      </c>
      <c r="R52" s="84">
        <f>TrRoad_act!R133</f>
        <v>10</v>
      </c>
      <c r="S52" s="84">
        <f>TrRoad_act!S133</f>
        <v>10</v>
      </c>
      <c r="T52" s="84">
        <f>TrRoad_act!T133</f>
        <v>1</v>
      </c>
      <c r="U52" s="84">
        <f>TrRoad_act!U133</f>
        <v>2</v>
      </c>
      <c r="V52" s="84">
        <f>TrRoad_act!V133</f>
        <v>16</v>
      </c>
      <c r="W52" s="84">
        <f>TrRoad_act!W133</f>
        <v>25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1929</v>
      </c>
      <c r="C53" s="110">
        <f>TrRoad_act!C134</f>
        <v>3039</v>
      </c>
      <c r="D53" s="110">
        <f>TrRoad_act!D134</f>
        <v>3122</v>
      </c>
      <c r="E53" s="110">
        <f>TrRoad_act!E134</f>
        <v>3231</v>
      </c>
      <c r="F53" s="110">
        <f>TrRoad_act!F134</f>
        <v>2810</v>
      </c>
      <c r="G53" s="110">
        <f>TrRoad_act!G134</f>
        <v>3176</v>
      </c>
      <c r="H53" s="110">
        <f>TrRoad_act!H134</f>
        <v>3714</v>
      </c>
      <c r="I53" s="110">
        <f>TrRoad_act!I134</f>
        <v>3517</v>
      </c>
      <c r="J53" s="110">
        <f>TrRoad_act!J134</f>
        <v>1752</v>
      </c>
      <c r="K53" s="110">
        <f>TrRoad_act!K134</f>
        <v>641</v>
      </c>
      <c r="L53" s="110">
        <f>TrRoad_act!L134</f>
        <v>751</v>
      </c>
      <c r="M53" s="110">
        <f>TrRoad_act!M134</f>
        <v>1326</v>
      </c>
      <c r="N53" s="110">
        <f>TrRoad_act!N134</f>
        <v>1415</v>
      </c>
      <c r="O53" s="110">
        <f>TrRoad_act!O134</f>
        <v>2938</v>
      </c>
      <c r="P53" s="110">
        <f>TrRoad_act!P134</f>
        <v>356</v>
      </c>
      <c r="Q53" s="110">
        <f>TrRoad_act!Q134</f>
        <v>1045</v>
      </c>
      <c r="R53" s="110">
        <f>TrRoad_act!R134</f>
        <v>1402</v>
      </c>
      <c r="S53" s="110">
        <f>TrRoad_act!S134</f>
        <v>2457</v>
      </c>
      <c r="T53" s="110">
        <f>TrRoad_act!T134</f>
        <v>2395</v>
      </c>
      <c r="U53" s="110">
        <f>TrRoad_act!U134</f>
        <v>1762</v>
      </c>
      <c r="V53" s="110">
        <f>TrRoad_act!V134</f>
        <v>1858</v>
      </c>
      <c r="W53" s="110">
        <f>TrRoad_act!W134</f>
        <v>1422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1869</v>
      </c>
      <c r="C54" s="102">
        <f>TrRoad_act!C135</f>
        <v>2980</v>
      </c>
      <c r="D54" s="102">
        <f>TrRoad_act!D135</f>
        <v>3069</v>
      </c>
      <c r="E54" s="102">
        <f>TrRoad_act!E135</f>
        <v>3193</v>
      </c>
      <c r="F54" s="102">
        <f>TrRoad_act!F135</f>
        <v>2657</v>
      </c>
      <c r="G54" s="102">
        <f>TrRoad_act!G135</f>
        <v>3117</v>
      </c>
      <c r="H54" s="102">
        <f>TrRoad_act!H135</f>
        <v>3492</v>
      </c>
      <c r="I54" s="102">
        <f>TrRoad_act!I135</f>
        <v>3334</v>
      </c>
      <c r="J54" s="102">
        <f>TrRoad_act!J135</f>
        <v>1732</v>
      </c>
      <c r="K54" s="102">
        <f>TrRoad_act!K135</f>
        <v>641</v>
      </c>
      <c r="L54" s="102">
        <f>TrRoad_act!L135</f>
        <v>640</v>
      </c>
      <c r="M54" s="102">
        <f>TrRoad_act!M135</f>
        <v>1127</v>
      </c>
      <c r="N54" s="102">
        <f>TrRoad_act!N135</f>
        <v>1239</v>
      </c>
      <c r="O54" s="102">
        <f>TrRoad_act!O135</f>
        <v>2695</v>
      </c>
      <c r="P54" s="102">
        <f>TrRoad_act!P135</f>
        <v>280</v>
      </c>
      <c r="Q54" s="102">
        <f>TrRoad_act!Q135</f>
        <v>724</v>
      </c>
      <c r="R54" s="102">
        <f>TrRoad_act!R135</f>
        <v>1321</v>
      </c>
      <c r="S54" s="102">
        <f>TrRoad_act!S135</f>
        <v>2406</v>
      </c>
      <c r="T54" s="102">
        <f>TrRoad_act!T135</f>
        <v>2167</v>
      </c>
      <c r="U54" s="102">
        <f>TrRoad_act!U135</f>
        <v>1762</v>
      </c>
      <c r="V54" s="102">
        <f>TrRoad_act!V135</f>
        <v>1406</v>
      </c>
      <c r="W54" s="102">
        <f>TrRoad_act!W135</f>
        <v>1416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60</v>
      </c>
      <c r="C55" s="86">
        <f>TrRoad_act!C136</f>
        <v>59</v>
      </c>
      <c r="D55" s="86">
        <f>TrRoad_act!D136</f>
        <v>53</v>
      </c>
      <c r="E55" s="86">
        <f>TrRoad_act!E136</f>
        <v>38</v>
      </c>
      <c r="F55" s="86">
        <f>TrRoad_act!F136</f>
        <v>153</v>
      </c>
      <c r="G55" s="86">
        <f>TrRoad_act!G136</f>
        <v>59</v>
      </c>
      <c r="H55" s="86">
        <f>TrRoad_act!H136</f>
        <v>222</v>
      </c>
      <c r="I55" s="86">
        <f>TrRoad_act!I136</f>
        <v>183</v>
      </c>
      <c r="J55" s="86">
        <f>TrRoad_act!J136</f>
        <v>20</v>
      </c>
      <c r="K55" s="86">
        <f>TrRoad_act!K136</f>
        <v>0</v>
      </c>
      <c r="L55" s="86">
        <f>TrRoad_act!L136</f>
        <v>111</v>
      </c>
      <c r="M55" s="86">
        <f>TrRoad_act!M136</f>
        <v>199</v>
      </c>
      <c r="N55" s="86">
        <f>TrRoad_act!N136</f>
        <v>176</v>
      </c>
      <c r="O55" s="86">
        <f>TrRoad_act!O136</f>
        <v>243</v>
      </c>
      <c r="P55" s="86">
        <f>TrRoad_act!P136</f>
        <v>76</v>
      </c>
      <c r="Q55" s="86">
        <f>TrRoad_act!Q136</f>
        <v>321</v>
      </c>
      <c r="R55" s="86">
        <f>TrRoad_act!R136</f>
        <v>81</v>
      </c>
      <c r="S55" s="86">
        <f>TrRoad_act!S136</f>
        <v>51</v>
      </c>
      <c r="T55" s="86">
        <f>TrRoad_act!T136</f>
        <v>228</v>
      </c>
      <c r="U55" s="86">
        <f>TrRoad_act!U136</f>
        <v>0</v>
      </c>
      <c r="V55" s="86">
        <f>TrRoad_act!V136</f>
        <v>452</v>
      </c>
      <c r="W55" s="86">
        <f>TrRoad_act!W136</f>
        <v>6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0</v>
      </c>
      <c r="C59" s="54">
        <f t="shared" si="0"/>
        <v>15</v>
      </c>
      <c r="D59" s="54">
        <f t="shared" si="0"/>
        <v>27</v>
      </c>
      <c r="E59" s="54">
        <f t="shared" si="0"/>
        <v>1392</v>
      </c>
      <c r="F59" s="54">
        <f t="shared" si="0"/>
        <v>3610</v>
      </c>
      <c r="G59" s="54">
        <f t="shared" si="0"/>
        <v>4480</v>
      </c>
      <c r="H59" s="54">
        <f t="shared" si="0"/>
        <v>6688</v>
      </c>
      <c r="I59" s="54">
        <f t="shared" si="0"/>
        <v>24235</v>
      </c>
      <c r="J59" s="54">
        <f t="shared" si="0"/>
        <v>22940</v>
      </c>
      <c r="K59" s="54">
        <f t="shared" si="0"/>
        <v>11938</v>
      </c>
      <c r="L59" s="54">
        <f t="shared" ref="L59" si="1">L60+L75</f>
        <v>19270</v>
      </c>
      <c r="M59" s="54">
        <f t="shared" ref="M59:V59" si="2">M60+M75</f>
        <v>39537</v>
      </c>
      <c r="N59" s="54">
        <f t="shared" si="2"/>
        <v>62322</v>
      </c>
      <c r="O59" s="54">
        <f t="shared" si="2"/>
        <v>66850</v>
      </c>
      <c r="P59" s="54">
        <f t="shared" si="2"/>
        <v>66432</v>
      </c>
      <c r="Q59" s="54">
        <f t="shared" si="2"/>
        <v>75538</v>
      </c>
      <c r="R59" s="54">
        <f t="shared" si="2"/>
        <v>56820</v>
      </c>
      <c r="S59" s="54">
        <f t="shared" si="2"/>
        <v>85920</v>
      </c>
      <c r="T59" s="54">
        <f t="shared" si="2"/>
        <v>89737</v>
      </c>
      <c r="U59" s="54">
        <f t="shared" si="2"/>
        <v>94790</v>
      </c>
      <c r="V59" s="54">
        <f t="shared" si="2"/>
        <v>87263</v>
      </c>
      <c r="W59" s="54">
        <f t="shared" ref="W59" si="3">W60+W75</f>
        <v>97371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0</v>
      </c>
      <c r="C60" s="28">
        <f t="shared" si="4"/>
        <v>15</v>
      </c>
      <c r="D60" s="28">
        <f t="shared" si="4"/>
        <v>27</v>
      </c>
      <c r="E60" s="28">
        <f t="shared" si="4"/>
        <v>1392</v>
      </c>
      <c r="F60" s="28">
        <f t="shared" si="4"/>
        <v>3495</v>
      </c>
      <c r="G60" s="28">
        <f t="shared" si="4"/>
        <v>2843</v>
      </c>
      <c r="H60" s="28">
        <f t="shared" si="4"/>
        <v>3422</v>
      </c>
      <c r="I60" s="28">
        <f t="shared" si="4"/>
        <v>19507</v>
      </c>
      <c r="J60" s="28">
        <f t="shared" si="4"/>
        <v>20289</v>
      </c>
      <c r="K60" s="28">
        <f t="shared" si="4"/>
        <v>10944</v>
      </c>
      <c r="L60" s="28">
        <f t="shared" ref="L60" si="5">L61+L62+L69</f>
        <v>17739</v>
      </c>
      <c r="M60" s="28">
        <f t="shared" ref="M60:V60" si="6">M61+M62+M69</f>
        <v>35829</v>
      </c>
      <c r="N60" s="28">
        <f t="shared" si="6"/>
        <v>57268</v>
      </c>
      <c r="O60" s="28">
        <f t="shared" si="6"/>
        <v>59093</v>
      </c>
      <c r="P60" s="28">
        <f t="shared" si="6"/>
        <v>61883</v>
      </c>
      <c r="Q60" s="28">
        <f t="shared" si="6"/>
        <v>69358</v>
      </c>
      <c r="R60" s="28">
        <f t="shared" si="6"/>
        <v>51848</v>
      </c>
      <c r="S60" s="28">
        <f t="shared" si="6"/>
        <v>77787</v>
      </c>
      <c r="T60" s="28">
        <f t="shared" si="6"/>
        <v>81860</v>
      </c>
      <c r="U60" s="28">
        <f t="shared" si="6"/>
        <v>86799</v>
      </c>
      <c r="V60" s="28">
        <f t="shared" si="6"/>
        <v>79914</v>
      </c>
      <c r="W60" s="28">
        <f t="shared" ref="W60" si="7">W61+W62+W69</f>
        <v>89268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0</v>
      </c>
      <c r="D61" s="137">
        <v>0</v>
      </c>
      <c r="E61" s="137">
        <v>352</v>
      </c>
      <c r="F61" s="137">
        <v>537</v>
      </c>
      <c r="G61" s="137">
        <v>618</v>
      </c>
      <c r="H61" s="137">
        <v>1023</v>
      </c>
      <c r="I61" s="137">
        <v>1876</v>
      </c>
      <c r="J61" s="137">
        <v>2070</v>
      </c>
      <c r="K61" s="137">
        <v>819</v>
      </c>
      <c r="L61" s="137">
        <v>782</v>
      </c>
      <c r="M61" s="137">
        <v>3175</v>
      </c>
      <c r="N61" s="137">
        <v>4024</v>
      </c>
      <c r="O61" s="137">
        <v>4259</v>
      </c>
      <c r="P61" s="137">
        <v>4900</v>
      </c>
      <c r="Q61" s="137">
        <v>5116</v>
      </c>
      <c r="R61" s="137">
        <v>4021</v>
      </c>
      <c r="S61" s="137">
        <v>5862</v>
      </c>
      <c r="T61" s="137">
        <v>5801</v>
      </c>
      <c r="U61" s="137">
        <v>8023</v>
      </c>
      <c r="V61" s="137">
        <v>7367</v>
      </c>
      <c r="W61" s="137">
        <v>8490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0</v>
      </c>
      <c r="D62" s="110">
        <f t="shared" si="8"/>
        <v>0</v>
      </c>
      <c r="E62" s="110">
        <f t="shared" si="8"/>
        <v>991</v>
      </c>
      <c r="F62" s="110">
        <f t="shared" si="8"/>
        <v>2917</v>
      </c>
      <c r="G62" s="110">
        <f t="shared" si="8"/>
        <v>2177</v>
      </c>
      <c r="H62" s="110">
        <f t="shared" si="8"/>
        <v>2329</v>
      </c>
      <c r="I62" s="110">
        <f t="shared" si="8"/>
        <v>17536</v>
      </c>
      <c r="J62" s="110">
        <f t="shared" si="8"/>
        <v>18107</v>
      </c>
      <c r="K62" s="110">
        <f t="shared" si="8"/>
        <v>10008</v>
      </c>
      <c r="L62" s="110">
        <f t="shared" ref="L62" si="9">SUM(L63:L68)</f>
        <v>16847</v>
      </c>
      <c r="M62" s="110">
        <f t="shared" ref="M62:V62" si="10">SUM(M63:M68)</f>
        <v>32562</v>
      </c>
      <c r="N62" s="110">
        <f t="shared" si="10"/>
        <v>53142</v>
      </c>
      <c r="O62" s="110">
        <f t="shared" si="10"/>
        <v>54678</v>
      </c>
      <c r="P62" s="110">
        <f t="shared" si="10"/>
        <v>56861</v>
      </c>
      <c r="Q62" s="110">
        <f t="shared" si="10"/>
        <v>64018</v>
      </c>
      <c r="R62" s="110">
        <f t="shared" si="10"/>
        <v>47592</v>
      </c>
      <c r="S62" s="110">
        <f t="shared" si="10"/>
        <v>71656</v>
      </c>
      <c r="T62" s="110">
        <f t="shared" si="10"/>
        <v>75822</v>
      </c>
      <c r="U62" s="110">
        <f t="shared" si="10"/>
        <v>78532</v>
      </c>
      <c r="V62" s="110">
        <f t="shared" si="10"/>
        <v>72435</v>
      </c>
      <c r="W62" s="110">
        <f t="shared" ref="W62" si="11">SUM(W63:W68)</f>
        <v>80478</v>
      </c>
      <c r="DA62" s="176" t="s">
        <v>839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17102</v>
      </c>
      <c r="J63" s="84">
        <v>12897</v>
      </c>
      <c r="K63" s="84">
        <v>4293</v>
      </c>
      <c r="L63" s="84">
        <v>7674</v>
      </c>
      <c r="M63" s="84">
        <v>9432</v>
      </c>
      <c r="N63" s="84">
        <v>10175</v>
      </c>
      <c r="O63" s="84">
        <v>16859</v>
      </c>
      <c r="P63" s="84">
        <v>5756</v>
      </c>
      <c r="Q63" s="84">
        <v>21191</v>
      </c>
      <c r="R63" s="84">
        <v>8778</v>
      </c>
      <c r="S63" s="84">
        <v>19223</v>
      </c>
      <c r="T63" s="84">
        <v>20495</v>
      </c>
      <c r="U63" s="84">
        <v>21532</v>
      </c>
      <c r="V63" s="84">
        <v>21005</v>
      </c>
      <c r="W63" s="84">
        <v>23380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4684</v>
      </c>
      <c r="K64" s="84">
        <v>5225</v>
      </c>
      <c r="L64" s="84">
        <v>8913</v>
      </c>
      <c r="M64" s="84">
        <v>18749</v>
      </c>
      <c r="N64" s="84">
        <v>25948</v>
      </c>
      <c r="O64" s="84">
        <v>32404</v>
      </c>
      <c r="P64" s="84">
        <v>42769</v>
      </c>
      <c r="Q64" s="84">
        <v>42778</v>
      </c>
      <c r="R64" s="84">
        <v>37966</v>
      </c>
      <c r="S64" s="84">
        <v>51767</v>
      </c>
      <c r="T64" s="84">
        <v>54957</v>
      </c>
      <c r="U64" s="84">
        <v>56610</v>
      </c>
      <c r="V64" s="84">
        <v>50651</v>
      </c>
      <c r="W64" s="84">
        <v>54872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991</v>
      </c>
      <c r="F65" s="84">
        <v>2917</v>
      </c>
      <c r="G65" s="84">
        <v>2177</v>
      </c>
      <c r="H65" s="84">
        <v>2329</v>
      </c>
      <c r="I65" s="84">
        <v>434</v>
      </c>
      <c r="J65" s="84">
        <v>526</v>
      </c>
      <c r="K65" s="84">
        <v>490</v>
      </c>
      <c r="L65" s="84">
        <v>260</v>
      </c>
      <c r="M65" s="84">
        <v>4381</v>
      </c>
      <c r="N65" s="84">
        <v>17014</v>
      </c>
      <c r="O65" s="84">
        <v>5410</v>
      </c>
      <c r="P65" s="84">
        <v>8174</v>
      </c>
      <c r="Q65" s="84">
        <v>26</v>
      </c>
      <c r="R65" s="84">
        <v>812</v>
      </c>
      <c r="S65" s="84">
        <v>568</v>
      </c>
      <c r="T65" s="84">
        <v>56</v>
      </c>
      <c r="U65" s="84">
        <v>120</v>
      </c>
      <c r="V65" s="84">
        <v>106</v>
      </c>
      <c r="W65" s="84">
        <v>1149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144</v>
      </c>
      <c r="U66" s="84">
        <v>15</v>
      </c>
      <c r="V66" s="84">
        <v>35</v>
      </c>
      <c r="W66" s="84">
        <v>25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5</v>
      </c>
      <c r="S67" s="84">
        <v>26</v>
      </c>
      <c r="T67" s="84">
        <v>39</v>
      </c>
      <c r="U67" s="84">
        <v>36</v>
      </c>
      <c r="V67" s="84">
        <v>88</v>
      </c>
      <c r="W67" s="84">
        <v>144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5</v>
      </c>
      <c r="O68" s="84">
        <v>5</v>
      </c>
      <c r="P68" s="84">
        <v>162</v>
      </c>
      <c r="Q68" s="84">
        <v>23</v>
      </c>
      <c r="R68" s="84">
        <v>31</v>
      </c>
      <c r="S68" s="84">
        <v>72</v>
      </c>
      <c r="T68" s="84">
        <v>131</v>
      </c>
      <c r="U68" s="84">
        <v>219</v>
      </c>
      <c r="V68" s="84">
        <v>550</v>
      </c>
      <c r="W68" s="84">
        <v>908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15</v>
      </c>
      <c r="D69" s="110">
        <f t="shared" si="12"/>
        <v>27</v>
      </c>
      <c r="E69" s="110">
        <f t="shared" si="12"/>
        <v>49</v>
      </c>
      <c r="F69" s="110">
        <f t="shared" si="12"/>
        <v>41</v>
      </c>
      <c r="G69" s="110">
        <f t="shared" si="12"/>
        <v>48</v>
      </c>
      <c r="H69" s="110">
        <f t="shared" si="12"/>
        <v>70</v>
      </c>
      <c r="I69" s="110">
        <f t="shared" si="12"/>
        <v>95</v>
      </c>
      <c r="J69" s="110">
        <f t="shared" si="12"/>
        <v>112</v>
      </c>
      <c r="K69" s="110">
        <f t="shared" si="12"/>
        <v>117</v>
      </c>
      <c r="L69" s="110">
        <f t="shared" ref="L69" si="13">SUM(L70:L74)</f>
        <v>110</v>
      </c>
      <c r="M69" s="110">
        <f t="shared" ref="M69:V69" si="14">SUM(M70:M74)</f>
        <v>92</v>
      </c>
      <c r="N69" s="110">
        <f t="shared" si="14"/>
        <v>102</v>
      </c>
      <c r="O69" s="110">
        <f t="shared" si="14"/>
        <v>156</v>
      </c>
      <c r="P69" s="110">
        <f t="shared" si="14"/>
        <v>122</v>
      </c>
      <c r="Q69" s="110">
        <f t="shared" si="14"/>
        <v>224</v>
      </c>
      <c r="R69" s="110">
        <f t="shared" si="14"/>
        <v>235</v>
      </c>
      <c r="S69" s="110">
        <f t="shared" si="14"/>
        <v>269</v>
      </c>
      <c r="T69" s="110">
        <f t="shared" si="14"/>
        <v>237</v>
      </c>
      <c r="U69" s="110">
        <f t="shared" si="14"/>
        <v>244</v>
      </c>
      <c r="V69" s="110">
        <f t="shared" si="14"/>
        <v>112</v>
      </c>
      <c r="W69" s="110">
        <f t="shared" ref="W69" si="15">SUM(W70:W74)</f>
        <v>300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1</v>
      </c>
      <c r="H70" s="102">
        <v>2</v>
      </c>
      <c r="I70" s="102">
        <v>4</v>
      </c>
      <c r="J70" s="102">
        <v>2</v>
      </c>
      <c r="K70" s="102">
        <v>1</v>
      </c>
      <c r="L70" s="102">
        <v>1</v>
      </c>
      <c r="M70" s="102">
        <v>0</v>
      </c>
      <c r="N70" s="102">
        <v>0</v>
      </c>
      <c r="O70" s="102">
        <v>3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15</v>
      </c>
      <c r="D71" s="102">
        <v>27</v>
      </c>
      <c r="E71" s="102">
        <v>49</v>
      </c>
      <c r="F71" s="102">
        <v>41</v>
      </c>
      <c r="G71" s="102">
        <v>41</v>
      </c>
      <c r="H71" s="102">
        <v>67</v>
      </c>
      <c r="I71" s="102">
        <v>78</v>
      </c>
      <c r="J71" s="102">
        <v>77</v>
      </c>
      <c r="K71" s="102">
        <v>71</v>
      </c>
      <c r="L71" s="102">
        <v>59</v>
      </c>
      <c r="M71" s="102">
        <v>92</v>
      </c>
      <c r="N71" s="102">
        <v>102</v>
      </c>
      <c r="O71" s="102">
        <v>153</v>
      </c>
      <c r="P71" s="102">
        <v>115</v>
      </c>
      <c r="Q71" s="102">
        <v>200</v>
      </c>
      <c r="R71" s="102">
        <v>206</v>
      </c>
      <c r="S71" s="102">
        <v>267</v>
      </c>
      <c r="T71" s="102">
        <v>228</v>
      </c>
      <c r="U71" s="102">
        <v>215</v>
      </c>
      <c r="V71" s="102">
        <v>16</v>
      </c>
      <c r="W71" s="102">
        <v>171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4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14</v>
      </c>
      <c r="V73" s="102">
        <v>46</v>
      </c>
      <c r="W73" s="102">
        <v>90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6</v>
      </c>
      <c r="H74" s="102">
        <v>1</v>
      </c>
      <c r="I74" s="102">
        <v>13</v>
      </c>
      <c r="J74" s="102">
        <v>33</v>
      </c>
      <c r="K74" s="102">
        <v>45</v>
      </c>
      <c r="L74" s="102">
        <v>50</v>
      </c>
      <c r="M74" s="102">
        <v>0</v>
      </c>
      <c r="N74" s="102">
        <v>0</v>
      </c>
      <c r="O74" s="102">
        <v>0</v>
      </c>
      <c r="P74" s="102">
        <v>7</v>
      </c>
      <c r="Q74" s="102">
        <v>24</v>
      </c>
      <c r="R74" s="102">
        <v>25</v>
      </c>
      <c r="S74" s="102">
        <v>2</v>
      </c>
      <c r="T74" s="102">
        <v>9</v>
      </c>
      <c r="U74" s="102">
        <v>15</v>
      </c>
      <c r="V74" s="102">
        <v>50</v>
      </c>
      <c r="W74" s="102">
        <v>39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115</v>
      </c>
      <c r="G75" s="28">
        <f t="shared" si="16"/>
        <v>1637</v>
      </c>
      <c r="H75" s="28">
        <f t="shared" si="16"/>
        <v>3266</v>
      </c>
      <c r="I75" s="28">
        <f t="shared" si="16"/>
        <v>4728</v>
      </c>
      <c r="J75" s="28">
        <f t="shared" si="16"/>
        <v>2651</v>
      </c>
      <c r="K75" s="28">
        <f t="shared" si="16"/>
        <v>994</v>
      </c>
      <c r="L75" s="28">
        <f t="shared" ref="L75" si="17">L76+L82</f>
        <v>1531</v>
      </c>
      <c r="M75" s="28">
        <f t="shared" ref="M75:V75" si="18">M76+M82</f>
        <v>3708</v>
      </c>
      <c r="N75" s="28">
        <f t="shared" si="18"/>
        <v>5054</v>
      </c>
      <c r="O75" s="28">
        <f t="shared" si="18"/>
        <v>7757</v>
      </c>
      <c r="P75" s="28">
        <f t="shared" si="18"/>
        <v>4549</v>
      </c>
      <c r="Q75" s="28">
        <f t="shared" si="18"/>
        <v>6180</v>
      </c>
      <c r="R75" s="28">
        <f t="shared" si="18"/>
        <v>4972</v>
      </c>
      <c r="S75" s="28">
        <f t="shared" si="18"/>
        <v>8133</v>
      </c>
      <c r="T75" s="28">
        <f t="shared" si="18"/>
        <v>7877</v>
      </c>
      <c r="U75" s="28">
        <f t="shared" si="18"/>
        <v>7991</v>
      </c>
      <c r="V75" s="28">
        <f t="shared" si="18"/>
        <v>7349</v>
      </c>
      <c r="W75" s="28">
        <f t="shared" ref="W75" si="19">W76+W82</f>
        <v>8103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115</v>
      </c>
      <c r="G76" s="137">
        <f t="shared" si="20"/>
        <v>874</v>
      </c>
      <c r="H76" s="137">
        <f t="shared" si="20"/>
        <v>1519</v>
      </c>
      <c r="I76" s="137">
        <f t="shared" si="20"/>
        <v>2848</v>
      </c>
      <c r="J76" s="137">
        <f t="shared" si="20"/>
        <v>1610</v>
      </c>
      <c r="K76" s="137">
        <f t="shared" si="20"/>
        <v>575</v>
      </c>
      <c r="L76" s="137">
        <f t="shared" ref="L76" si="21">SUM(L77:L81)</f>
        <v>988</v>
      </c>
      <c r="M76" s="137">
        <f t="shared" ref="M76:V76" si="22">SUM(M77:M81)</f>
        <v>2683</v>
      </c>
      <c r="N76" s="137">
        <f t="shared" si="22"/>
        <v>3894</v>
      </c>
      <c r="O76" s="137">
        <f t="shared" si="22"/>
        <v>5225</v>
      </c>
      <c r="P76" s="137">
        <f t="shared" si="22"/>
        <v>4232</v>
      </c>
      <c r="Q76" s="137">
        <f t="shared" si="22"/>
        <v>5227</v>
      </c>
      <c r="R76" s="137">
        <f t="shared" si="22"/>
        <v>3631</v>
      </c>
      <c r="S76" s="137">
        <f t="shared" si="22"/>
        <v>5727</v>
      </c>
      <c r="T76" s="137">
        <f t="shared" si="22"/>
        <v>5516</v>
      </c>
      <c r="U76" s="137">
        <f t="shared" si="22"/>
        <v>6231</v>
      </c>
      <c r="V76" s="137">
        <f t="shared" si="22"/>
        <v>5502</v>
      </c>
      <c r="W76" s="137">
        <f t="shared" ref="W76" si="23">SUM(W77:W81)</f>
        <v>6681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406</v>
      </c>
      <c r="J77" s="84">
        <v>105</v>
      </c>
      <c r="K77" s="84">
        <v>26</v>
      </c>
      <c r="L77" s="84">
        <v>80</v>
      </c>
      <c r="M77" s="84">
        <v>109</v>
      </c>
      <c r="N77" s="84">
        <v>237</v>
      </c>
      <c r="O77" s="84">
        <v>166</v>
      </c>
      <c r="P77" s="84">
        <v>81</v>
      </c>
      <c r="Q77" s="84">
        <v>94</v>
      </c>
      <c r="R77" s="84">
        <v>48</v>
      </c>
      <c r="S77" s="84">
        <v>61</v>
      </c>
      <c r="T77" s="84">
        <v>138</v>
      </c>
      <c r="U77" s="84">
        <v>85</v>
      </c>
      <c r="V77" s="84">
        <v>96</v>
      </c>
      <c r="W77" s="84">
        <v>117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115</v>
      </c>
      <c r="G78" s="84">
        <v>874</v>
      </c>
      <c r="H78" s="84">
        <v>1519</v>
      </c>
      <c r="I78" s="84">
        <v>2442</v>
      </c>
      <c r="J78" s="84">
        <v>1505</v>
      </c>
      <c r="K78" s="84">
        <v>549</v>
      </c>
      <c r="L78" s="84">
        <v>908</v>
      </c>
      <c r="M78" s="84">
        <v>2574</v>
      </c>
      <c r="N78" s="84">
        <v>3641</v>
      </c>
      <c r="O78" s="84">
        <v>5059</v>
      </c>
      <c r="P78" s="84">
        <v>4143</v>
      </c>
      <c r="Q78" s="84">
        <v>5130</v>
      </c>
      <c r="R78" s="84">
        <v>3444</v>
      </c>
      <c r="S78" s="84">
        <v>5538</v>
      </c>
      <c r="T78" s="84">
        <v>5299</v>
      </c>
      <c r="U78" s="84">
        <v>6066</v>
      </c>
      <c r="V78" s="84">
        <v>5359</v>
      </c>
      <c r="W78" s="84">
        <v>6525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16</v>
      </c>
      <c r="O79" s="84">
        <v>0</v>
      </c>
      <c r="P79" s="84">
        <v>8</v>
      </c>
      <c r="Q79" s="84">
        <v>3</v>
      </c>
      <c r="R79" s="84">
        <v>139</v>
      </c>
      <c r="S79" s="84">
        <v>128</v>
      </c>
      <c r="T79" s="84">
        <v>79</v>
      </c>
      <c r="U79" s="84">
        <v>80</v>
      </c>
      <c r="V79" s="84">
        <v>33</v>
      </c>
      <c r="W79" s="84">
        <v>14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14</v>
      </c>
      <c r="W81" s="84">
        <v>25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763</v>
      </c>
      <c r="H82" s="110">
        <f t="shared" si="24"/>
        <v>1747</v>
      </c>
      <c r="I82" s="110">
        <f t="shared" si="24"/>
        <v>1880</v>
      </c>
      <c r="J82" s="110">
        <f t="shared" si="24"/>
        <v>1041</v>
      </c>
      <c r="K82" s="110">
        <f t="shared" si="24"/>
        <v>419</v>
      </c>
      <c r="L82" s="110">
        <f t="shared" ref="L82" si="25">SUM(L83:L84)</f>
        <v>543</v>
      </c>
      <c r="M82" s="110">
        <f t="shared" ref="M82:V82" si="26">SUM(M83:M84)</f>
        <v>1025</v>
      </c>
      <c r="N82" s="110">
        <f t="shared" si="26"/>
        <v>1160</v>
      </c>
      <c r="O82" s="110">
        <f t="shared" si="26"/>
        <v>2532</v>
      </c>
      <c r="P82" s="110">
        <f t="shared" si="26"/>
        <v>317</v>
      </c>
      <c r="Q82" s="110">
        <f t="shared" si="26"/>
        <v>953</v>
      </c>
      <c r="R82" s="110">
        <f t="shared" si="26"/>
        <v>1341</v>
      </c>
      <c r="S82" s="110">
        <f t="shared" si="26"/>
        <v>2406</v>
      </c>
      <c r="T82" s="110">
        <f t="shared" si="26"/>
        <v>2361</v>
      </c>
      <c r="U82" s="110">
        <f t="shared" si="26"/>
        <v>1760</v>
      </c>
      <c r="V82" s="110">
        <f t="shared" si="26"/>
        <v>1847</v>
      </c>
      <c r="W82" s="110">
        <f t="shared" ref="W82" si="27">SUM(W83:W84)</f>
        <v>1422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763</v>
      </c>
      <c r="H83" s="102">
        <v>1616</v>
      </c>
      <c r="I83" s="102">
        <v>1757</v>
      </c>
      <c r="J83" s="102">
        <v>1024</v>
      </c>
      <c r="K83" s="102">
        <v>419</v>
      </c>
      <c r="L83" s="102">
        <v>456</v>
      </c>
      <c r="M83" s="102">
        <v>867</v>
      </c>
      <c r="N83" s="102">
        <v>1016</v>
      </c>
      <c r="O83" s="102">
        <v>2331</v>
      </c>
      <c r="P83" s="102">
        <v>253</v>
      </c>
      <c r="Q83" s="102">
        <v>678</v>
      </c>
      <c r="R83" s="102">
        <v>1271</v>
      </c>
      <c r="S83" s="102">
        <v>2360</v>
      </c>
      <c r="T83" s="102">
        <v>2152</v>
      </c>
      <c r="U83" s="102">
        <v>1760</v>
      </c>
      <c r="V83" s="102">
        <v>1406</v>
      </c>
      <c r="W83" s="102">
        <v>1416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131</v>
      </c>
      <c r="I84" s="86">
        <v>123</v>
      </c>
      <c r="J84" s="86">
        <v>17</v>
      </c>
      <c r="K84" s="86">
        <v>0</v>
      </c>
      <c r="L84" s="86">
        <v>87</v>
      </c>
      <c r="M84" s="86">
        <v>158</v>
      </c>
      <c r="N84" s="86">
        <v>144</v>
      </c>
      <c r="O84" s="86">
        <v>201</v>
      </c>
      <c r="P84" s="86">
        <v>64</v>
      </c>
      <c r="Q84" s="86">
        <v>275</v>
      </c>
      <c r="R84" s="86">
        <v>70</v>
      </c>
      <c r="S84" s="86">
        <v>46</v>
      </c>
      <c r="T84" s="86">
        <v>209</v>
      </c>
      <c r="U84" s="86">
        <v>0</v>
      </c>
      <c r="V84" s="86">
        <v>441</v>
      </c>
      <c r="W84" s="86">
        <v>6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4.7682600503543737</v>
      </c>
      <c r="C90" s="141">
        <v>4.7505058336124746</v>
      </c>
      <c r="D90" s="141">
        <v>4.7206436093556805</v>
      </c>
      <c r="E90" s="141">
        <v>4.6895110403666891</v>
      </c>
      <c r="F90" s="141">
        <v>4.6502124091469685</v>
      </c>
      <c r="G90" s="141">
        <v>4.6084212995186755</v>
      </c>
      <c r="H90" s="141">
        <v>4.5445451515881903</v>
      </c>
      <c r="I90" s="141">
        <v>4.4408839412454411</v>
      </c>
      <c r="J90" s="141">
        <v>4.3357030954132796</v>
      </c>
      <c r="K90" s="141">
        <v>4.2903632631426154</v>
      </c>
      <c r="L90" s="141">
        <v>4.2464033567834534</v>
      </c>
      <c r="M90" s="141">
        <v>4.0916349275536126</v>
      </c>
      <c r="N90" s="141">
        <v>3.9188216134614025</v>
      </c>
      <c r="O90" s="141">
        <v>3.7574801722518538</v>
      </c>
      <c r="P90" s="141">
        <v>3.5828224687318158</v>
      </c>
      <c r="Q90" s="141">
        <v>3.4182714713268831</v>
      </c>
      <c r="R90" s="141">
        <v>3.2580021677507962</v>
      </c>
      <c r="S90" s="141">
        <v>3.111106514695714</v>
      </c>
      <c r="T90" s="141">
        <v>2.986554391437505</v>
      </c>
      <c r="U90" s="141">
        <v>2.8499565588037017</v>
      </c>
      <c r="V90" s="141">
        <v>2.7497594285324629</v>
      </c>
      <c r="W90" s="141">
        <v>2.3270124176353213</v>
      </c>
      <c r="DA90" s="174" t="s">
        <v>862</v>
      </c>
    </row>
    <row r="91" spans="1:105" ht="11.45" customHeight="1" x14ac:dyDescent="0.25">
      <c r="A91" s="109" t="s">
        <v>20</v>
      </c>
      <c r="B91" s="130">
        <v>9.3252105655671027</v>
      </c>
      <c r="C91" s="130">
        <v>9.1251630484067068</v>
      </c>
      <c r="D91" s="130">
        <v>8.9957263275981578</v>
      </c>
      <c r="E91" s="130">
        <v>8.8514920197465692</v>
      </c>
      <c r="F91" s="130">
        <v>8.6994788761119501</v>
      </c>
      <c r="G91" s="130">
        <v>8.5419185159853708</v>
      </c>
      <c r="H91" s="130">
        <v>8.3567093488422532</v>
      </c>
      <c r="I91" s="130">
        <v>8.1760647953113725</v>
      </c>
      <c r="J91" s="130">
        <v>8.0416176062590239</v>
      </c>
      <c r="K91" s="130">
        <v>7.9581879342474053</v>
      </c>
      <c r="L91" s="130">
        <v>7.8768026770604394</v>
      </c>
      <c r="M91" s="130">
        <v>7.7833822216340529</v>
      </c>
      <c r="N91" s="130">
        <v>7.6958380491851335</v>
      </c>
      <c r="O91" s="130">
        <v>7.5849531760719513</v>
      </c>
      <c r="P91" s="130">
        <v>7.406410628172134</v>
      </c>
      <c r="Q91" s="130">
        <v>7.2379286318880878</v>
      </c>
      <c r="R91" s="130">
        <v>7.0617387554903592</v>
      </c>
      <c r="S91" s="130">
        <v>6.8775941223666157</v>
      </c>
      <c r="T91" s="130">
        <v>6.6742436045634301</v>
      </c>
      <c r="U91" s="130">
        <v>6.4755580777983122</v>
      </c>
      <c r="V91" s="130">
        <v>6.30157336709176</v>
      </c>
      <c r="W91" s="130">
        <v>6.0963512159871032</v>
      </c>
      <c r="DA91" s="176" t="s">
        <v>863</v>
      </c>
    </row>
    <row r="92" spans="1:105" ht="11.45" customHeight="1" x14ac:dyDescent="0.25">
      <c r="A92" s="111" t="s">
        <v>110</v>
      </c>
      <c r="B92" s="96">
        <v>9.4902363628781501</v>
      </c>
      <c r="C92" s="96">
        <v>9.2948369716129644</v>
      </c>
      <c r="D92" s="96">
        <v>9.1979289098972696</v>
      </c>
      <c r="E92" s="96">
        <v>9.094460003711518</v>
      </c>
      <c r="F92" s="96">
        <v>8.9782284956258582</v>
      </c>
      <c r="G92" s="96">
        <v>8.8642132672616754</v>
      </c>
      <c r="H92" s="96">
        <v>8.7186955933883628</v>
      </c>
      <c r="I92" s="96">
        <v>8.5643349509048523</v>
      </c>
      <c r="J92" s="96">
        <v>8.4517206232708464</v>
      </c>
      <c r="K92" s="96">
        <v>8.3903767836557854</v>
      </c>
      <c r="L92" s="96">
        <v>8.312034472022626</v>
      </c>
      <c r="M92" s="96">
        <v>8.2349142174708359</v>
      </c>
      <c r="N92" s="96">
        <v>8.1658183385059626</v>
      </c>
      <c r="O92" s="96">
        <v>8.0768671717312497</v>
      </c>
      <c r="P92" s="96">
        <v>7.9761400070614599</v>
      </c>
      <c r="Q92" s="96">
        <v>7.7791143799129463</v>
      </c>
      <c r="R92" s="96">
        <v>7.5959043673031088</v>
      </c>
      <c r="S92" s="96">
        <v>7.3567428278197342</v>
      </c>
      <c r="T92" s="96">
        <v>7.0925202879378091</v>
      </c>
      <c r="U92" s="96">
        <v>6.8072771335505289</v>
      </c>
      <c r="V92" s="96">
        <v>6.5883550341898536</v>
      </c>
      <c r="W92" s="96">
        <v>6.2838873473520458</v>
      </c>
      <c r="DA92" s="171" t="s">
        <v>864</v>
      </c>
    </row>
    <row r="93" spans="1:105" ht="11.45" customHeight="1" x14ac:dyDescent="0.25">
      <c r="A93" s="111" t="s">
        <v>111</v>
      </c>
      <c r="B93" s="96">
        <v>7.9211167942696408</v>
      </c>
      <c r="C93" s="96">
        <v>7.5302691597676041</v>
      </c>
      <c r="D93" s="96">
        <v>7.3814411262231081</v>
      </c>
      <c r="E93" s="96">
        <v>7.2786470851385801</v>
      </c>
      <c r="F93" s="96">
        <v>7.2044582043233518</v>
      </c>
      <c r="G93" s="96">
        <v>7.1505661531016891</v>
      </c>
      <c r="H93" s="96">
        <v>7.0764480271369639</v>
      </c>
      <c r="I93" s="96">
        <v>7.0246222524418105</v>
      </c>
      <c r="J93" s="96">
        <v>7.0191566868211712</v>
      </c>
      <c r="K93" s="96">
        <v>7.0124724252448232</v>
      </c>
      <c r="L93" s="96">
        <v>6.9988472362699667</v>
      </c>
      <c r="M93" s="96">
        <v>6.9731856373658285</v>
      </c>
      <c r="N93" s="96">
        <v>6.94243783440107</v>
      </c>
      <c r="O93" s="96">
        <v>6.8610763047631336</v>
      </c>
      <c r="P93" s="96">
        <v>6.7538512382217535</v>
      </c>
      <c r="Q93" s="96">
        <v>6.6309601425768729</v>
      </c>
      <c r="R93" s="96">
        <v>6.4961844547203906</v>
      </c>
      <c r="S93" s="96">
        <v>6.3593045691205417</v>
      </c>
      <c r="T93" s="96">
        <v>6.2064240374588264</v>
      </c>
      <c r="U93" s="96">
        <v>6.0697033537701541</v>
      </c>
      <c r="V93" s="96">
        <v>5.9263938000048295</v>
      </c>
      <c r="W93" s="96">
        <v>5.7713339092566018</v>
      </c>
      <c r="DA93" s="171" t="s">
        <v>865</v>
      </c>
    </row>
    <row r="94" spans="1:105" ht="11.45" customHeight="1" x14ac:dyDescent="0.25">
      <c r="A94" s="111" t="s">
        <v>112</v>
      </c>
      <c r="B94" s="96">
        <v>8.4763462832575307</v>
      </c>
      <c r="C94" s="96">
        <v>8.1029807887590941</v>
      </c>
      <c r="D94" s="96">
        <v>7.9677044280803875</v>
      </c>
      <c r="E94" s="96">
        <v>7.7612110056627595</v>
      </c>
      <c r="F94" s="96">
        <v>7.5775813426651712</v>
      </c>
      <c r="G94" s="96">
        <v>7.5241100414317108</v>
      </c>
      <c r="H94" s="96">
        <v>7.5167147495859989</v>
      </c>
      <c r="I94" s="96">
        <v>7.4792446987170003</v>
      </c>
      <c r="J94" s="96">
        <v>7.4405991644809619</v>
      </c>
      <c r="K94" s="96">
        <v>7.413564211472818</v>
      </c>
      <c r="L94" s="96">
        <v>7.4267751523432732</v>
      </c>
      <c r="M94" s="96">
        <v>7.5311686397100051</v>
      </c>
      <c r="N94" s="96">
        <v>7.6214934627025599</v>
      </c>
      <c r="O94" s="96">
        <v>7.5826601049515379</v>
      </c>
      <c r="P94" s="96">
        <v>7.4896195701126951</v>
      </c>
      <c r="Q94" s="96">
        <v>7.4976324100800076</v>
      </c>
      <c r="R94" s="96">
        <v>7.4659607869270275</v>
      </c>
      <c r="S94" s="96">
        <v>7.4503153928486903</v>
      </c>
      <c r="T94" s="96">
        <v>7.4457238531712111</v>
      </c>
      <c r="U94" s="96">
        <v>7.4386059534157525</v>
      </c>
      <c r="V94" s="96">
        <v>7.4285721177363193</v>
      </c>
      <c r="W94" s="96">
        <v>7.3536405062530354</v>
      </c>
      <c r="DA94" s="171" t="s">
        <v>866</v>
      </c>
    </row>
    <row r="95" spans="1:105" ht="11.45" customHeight="1" x14ac:dyDescent="0.25">
      <c r="A95" s="111" t="s">
        <v>113</v>
      </c>
      <c r="B95" s="96">
        <v>7.893772032902457</v>
      </c>
      <c r="C95" s="96">
        <v>7.8877789090989472</v>
      </c>
      <c r="D95" s="96">
        <v>7.8872708523263722</v>
      </c>
      <c r="E95" s="96">
        <v>7.8864899368819996</v>
      </c>
      <c r="F95" s="96">
        <v>7.8853798511254087</v>
      </c>
      <c r="G95" s="96">
        <v>7.8850229514942782</v>
      </c>
      <c r="H95" s="96">
        <v>7.8813931725163409</v>
      </c>
      <c r="I95" s="96">
        <v>7.8785278704426975</v>
      </c>
      <c r="J95" s="96">
        <v>7.8771573976454583</v>
      </c>
      <c r="K95" s="96">
        <v>7.9258657840569349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5.2589913013502239</v>
      </c>
      <c r="U95" s="96">
        <v>5.2624801841879734</v>
      </c>
      <c r="V95" s="96">
        <v>5.1414994668704637</v>
      </c>
      <c r="W95" s="96">
        <v>5.0440420124034322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3.1122818545186401</v>
      </c>
      <c r="O96" s="96">
        <v>3.5952242348863672</v>
      </c>
      <c r="P96" s="96">
        <v>3.6356018441975344</v>
      </c>
      <c r="Q96" s="96">
        <v>3.2880043234282335</v>
      </c>
      <c r="R96" s="96">
        <v>2.8939114613015851</v>
      </c>
      <c r="S96" s="96">
        <v>3.0533838450962594</v>
      </c>
      <c r="T96" s="96">
        <v>3.0568393992592164</v>
      </c>
      <c r="U96" s="96">
        <v>3.0606010857191177</v>
      </c>
      <c r="V96" s="96">
        <v>3.3748057040453285</v>
      </c>
      <c r="W96" s="96">
        <v>3.1499036642357581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0</v>
      </c>
      <c r="N97" s="96">
        <v>1.412036608327206</v>
      </c>
      <c r="O97" s="96">
        <v>1.4319489193836057</v>
      </c>
      <c r="P97" s="96">
        <v>1.0955073043020034</v>
      </c>
      <c r="Q97" s="96">
        <v>1.1437778653750279</v>
      </c>
      <c r="R97" s="96">
        <v>1.1879616642594526</v>
      </c>
      <c r="S97" s="96">
        <v>1.2060030491540437</v>
      </c>
      <c r="T97" s="96">
        <v>1.285524622105102</v>
      </c>
      <c r="U97" s="96">
        <v>1.3920080755845408</v>
      </c>
      <c r="V97" s="96">
        <v>1.4612630815740755</v>
      </c>
      <c r="W97" s="96">
        <v>1.4971459055521783</v>
      </c>
      <c r="DA97" s="171" t="s">
        <v>869</v>
      </c>
    </row>
    <row r="98" spans="1:105" ht="11.45" customHeight="1" x14ac:dyDescent="0.25">
      <c r="A98" s="109" t="s">
        <v>21</v>
      </c>
      <c r="B98" s="130">
        <v>48.887441618700159</v>
      </c>
      <c r="C98" s="130">
        <v>48.008816574391695</v>
      </c>
      <c r="D98" s="130">
        <v>47.381505150702161</v>
      </c>
      <c r="E98" s="130">
        <v>46.874155251513798</v>
      </c>
      <c r="F98" s="130">
        <v>46.413754489072161</v>
      </c>
      <c r="G98" s="130">
        <v>45.871047787755444</v>
      </c>
      <c r="H98" s="130">
        <v>45.517089940643309</v>
      </c>
      <c r="I98" s="130">
        <v>45.130532412659257</v>
      </c>
      <c r="J98" s="130">
        <v>44.647750711538556</v>
      </c>
      <c r="K98" s="130">
        <v>44.285755700225089</v>
      </c>
      <c r="L98" s="130">
        <v>44.113938273707767</v>
      </c>
      <c r="M98" s="130">
        <v>44.563287937578494</v>
      </c>
      <c r="N98" s="130">
        <v>44.534992607159978</v>
      </c>
      <c r="O98" s="130">
        <v>44.573043010918141</v>
      </c>
      <c r="P98" s="130">
        <v>44.509006378599665</v>
      </c>
      <c r="Q98" s="130">
        <v>44.125537188779695</v>
      </c>
      <c r="R98" s="130">
        <v>43.752542669482111</v>
      </c>
      <c r="S98" s="130">
        <v>43.549253072332078</v>
      </c>
      <c r="T98" s="130">
        <v>43.186883365586404</v>
      </c>
      <c r="U98" s="130">
        <v>42.730384796576821</v>
      </c>
      <c r="V98" s="130">
        <v>42.108645954998785</v>
      </c>
      <c r="W98" s="130">
        <v>41.22245466476334</v>
      </c>
      <c r="DA98" s="176" t="s">
        <v>870</v>
      </c>
    </row>
    <row r="99" spans="1:105" ht="11.45" customHeight="1" x14ac:dyDescent="0.25">
      <c r="A99" s="111" t="s">
        <v>110</v>
      </c>
      <c r="B99" s="97">
        <v>20.464945151261407</v>
      </c>
      <c r="C99" s="97">
        <v>19.376030551290484</v>
      </c>
      <c r="D99" s="97">
        <v>19.261157477319625</v>
      </c>
      <c r="E99" s="97">
        <v>19.168608942999885</v>
      </c>
      <c r="F99" s="97">
        <v>19.095988530811766</v>
      </c>
      <c r="G99" s="97">
        <v>19.002154170210588</v>
      </c>
      <c r="H99" s="97">
        <v>18.898087932185696</v>
      </c>
      <c r="I99" s="97">
        <v>18.679527986325144</v>
      </c>
      <c r="J99" s="97">
        <v>18.513504842441435</v>
      </c>
      <c r="K99" s="97">
        <v>18.351955246639168</v>
      </c>
      <c r="L99" s="97">
        <v>18.167630571048953</v>
      </c>
      <c r="M99" s="97">
        <v>17.675256455409738</v>
      </c>
      <c r="N99" s="97">
        <v>17.439145870268963</v>
      </c>
      <c r="O99" s="97">
        <v>16.865781465931619</v>
      </c>
      <c r="P99" s="97">
        <v>16.512308003497147</v>
      </c>
      <c r="Q99" s="97">
        <v>16.266625491718994</v>
      </c>
      <c r="R99" s="97">
        <v>15.844392374030953</v>
      </c>
      <c r="S99" s="97">
        <v>15.750314272888199</v>
      </c>
      <c r="T99" s="97">
        <v>15.542493511603862</v>
      </c>
      <c r="U99" s="97">
        <v>15.406281272903195</v>
      </c>
      <c r="V99" s="97">
        <v>15.173997072343795</v>
      </c>
      <c r="W99" s="97">
        <v>15.262002452862902</v>
      </c>
      <c r="DA99" s="175" t="s">
        <v>871</v>
      </c>
    </row>
    <row r="100" spans="1:105" ht="11.45" customHeight="1" x14ac:dyDescent="0.25">
      <c r="A100" s="111" t="s">
        <v>111</v>
      </c>
      <c r="B100" s="97">
        <v>52.504297944876797</v>
      </c>
      <c r="C100" s="97">
        <v>51.406341695461073</v>
      </c>
      <c r="D100" s="97">
        <v>50.348717215945634</v>
      </c>
      <c r="E100" s="97">
        <v>49.429332761094599</v>
      </c>
      <c r="F100" s="97">
        <v>48.922241254540879</v>
      </c>
      <c r="G100" s="97">
        <v>48.534984739843004</v>
      </c>
      <c r="H100" s="97">
        <v>48.169194061793199</v>
      </c>
      <c r="I100" s="97">
        <v>47.881527730629408</v>
      </c>
      <c r="J100" s="97">
        <v>47.537846078673041</v>
      </c>
      <c r="K100" s="97">
        <v>47.22182800246955</v>
      </c>
      <c r="L100" s="97">
        <v>47.106973696085888</v>
      </c>
      <c r="M100" s="97">
        <v>46.915860133383759</v>
      </c>
      <c r="N100" s="97">
        <v>46.638387206152679</v>
      </c>
      <c r="O100" s="97">
        <v>46.36514551768655</v>
      </c>
      <c r="P100" s="97">
        <v>46.101791770482613</v>
      </c>
      <c r="Q100" s="97">
        <v>45.662077996136794</v>
      </c>
      <c r="R100" s="97">
        <v>45.273688297295074</v>
      </c>
      <c r="S100" s="97">
        <v>44.794625837749187</v>
      </c>
      <c r="T100" s="97">
        <v>44.384104824081739</v>
      </c>
      <c r="U100" s="97">
        <v>44.006467639768736</v>
      </c>
      <c r="V100" s="97">
        <v>43.829086105327171</v>
      </c>
      <c r="W100" s="97">
        <v>43.495562099157368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35.627044172481078</v>
      </c>
      <c r="S101" s="97">
        <v>35.627044172481078</v>
      </c>
      <c r="T101" s="97">
        <v>35.627044172481071</v>
      </c>
      <c r="U101" s="97">
        <v>35.627044172481078</v>
      </c>
      <c r="V101" s="97">
        <v>35.627044172481078</v>
      </c>
      <c r="W101" s="97">
        <v>35.627044172481078</v>
      </c>
      <c r="DA101" s="175" t="s">
        <v>873</v>
      </c>
    </row>
    <row r="102" spans="1:105" ht="11.45" customHeight="1" x14ac:dyDescent="0.25">
      <c r="A102" s="111" t="s">
        <v>113</v>
      </c>
      <c r="B102" s="97">
        <v>43.751814356062354</v>
      </c>
      <c r="C102" s="97">
        <v>42.123970270268259</v>
      </c>
      <c r="D102" s="97">
        <v>41.917433428610096</v>
      </c>
      <c r="E102" s="97">
        <v>41.472474959070851</v>
      </c>
      <c r="F102" s="97">
        <v>40.928548330543421</v>
      </c>
      <c r="G102" s="97">
        <v>40.422018334928474</v>
      </c>
      <c r="H102" s="97">
        <v>40.043319855433388</v>
      </c>
      <c r="I102" s="97">
        <v>39.710603946032705</v>
      </c>
      <c r="J102" s="97">
        <v>39.247994066336162</v>
      </c>
      <c r="K102" s="97">
        <v>39.05762595517924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0</v>
      </c>
      <c r="U102" s="97">
        <v>31.362184085948009</v>
      </c>
      <c r="V102" s="97">
        <v>30.723432638351756</v>
      </c>
      <c r="W102" s="97">
        <v>30.16620524909867</v>
      </c>
      <c r="DA102" s="175" t="s">
        <v>874</v>
      </c>
    </row>
    <row r="103" spans="1:105" ht="11.45" customHeight="1" x14ac:dyDescent="0.25">
      <c r="A103" s="111" t="s">
        <v>115</v>
      </c>
      <c r="B103" s="97">
        <v>36.675268721092259</v>
      </c>
      <c r="C103" s="97">
        <v>33.161089886822651</v>
      </c>
      <c r="D103" s="97">
        <v>33.161089886822651</v>
      </c>
      <c r="E103" s="97">
        <v>33.152709798217231</v>
      </c>
      <c r="F103" s="97">
        <v>33.152709798217231</v>
      </c>
      <c r="G103" s="97">
        <v>32.247873926597379</v>
      </c>
      <c r="H103" s="97">
        <v>32.181816996937748</v>
      </c>
      <c r="I103" s="97">
        <v>31.734642095053022</v>
      </c>
      <c r="J103" s="97">
        <v>31.273914800523542</v>
      </c>
      <c r="K103" s="97">
        <v>30.946406032249218</v>
      </c>
      <c r="L103" s="97">
        <v>30.719155685720668</v>
      </c>
      <c r="M103" s="97">
        <v>30.6755106207716</v>
      </c>
      <c r="N103" s="97">
        <v>30.667391200840243</v>
      </c>
      <c r="O103" s="97">
        <v>30.615583477420657</v>
      </c>
      <c r="P103" s="97">
        <v>30.552134353124575</v>
      </c>
      <c r="Q103" s="97">
        <v>30.337113601505294</v>
      </c>
      <c r="R103" s="97">
        <v>30.118598342755597</v>
      </c>
      <c r="S103" s="97">
        <v>30.017049699180006</v>
      </c>
      <c r="T103" s="97">
        <v>29.914567287720061</v>
      </c>
      <c r="U103" s="97">
        <v>29.738688483962626</v>
      </c>
      <c r="V103" s="97">
        <v>29.213934194807788</v>
      </c>
      <c r="W103" s="97">
        <v>28.922926745274257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8.8373083920554407</v>
      </c>
      <c r="C105" s="141">
        <v>8.6318047708074275</v>
      </c>
      <c r="D105" s="141">
        <v>8.5222198261780662</v>
      </c>
      <c r="E105" s="141">
        <v>8.3802030096643154</v>
      </c>
      <c r="F105" s="141">
        <v>8.3116007454718357</v>
      </c>
      <c r="G105" s="141">
        <v>8.1829910270343635</v>
      </c>
      <c r="H105" s="141">
        <v>8.1438018591470289</v>
      </c>
      <c r="I105" s="141">
        <v>8.111034966865958</v>
      </c>
      <c r="J105" s="141">
        <v>8.075328008774445</v>
      </c>
      <c r="K105" s="141">
        <v>8.0430629063838293</v>
      </c>
      <c r="L105" s="141">
        <v>8.0342398599286717</v>
      </c>
      <c r="M105" s="141">
        <v>8.0464313454341667</v>
      </c>
      <c r="N105" s="141">
        <v>7.9789968093542472</v>
      </c>
      <c r="O105" s="141">
        <v>7.8967931453023361</v>
      </c>
      <c r="P105" s="141">
        <v>7.8081499947950137</v>
      </c>
      <c r="Q105" s="141">
        <v>7.6877073500750237</v>
      </c>
      <c r="R105" s="141">
        <v>7.5796986643914188</v>
      </c>
      <c r="S105" s="141">
        <v>7.4447907333162044</v>
      </c>
      <c r="T105" s="141">
        <v>7.3144762901543876</v>
      </c>
      <c r="U105" s="141">
        <v>7.1600072196373219</v>
      </c>
      <c r="V105" s="141">
        <v>7.0389973117320164</v>
      </c>
      <c r="W105" s="141">
        <v>6.9518870775936916</v>
      </c>
      <c r="DA105" s="174" t="s">
        <v>876</v>
      </c>
    </row>
    <row r="106" spans="1:105" ht="11.45" customHeight="1" x14ac:dyDescent="0.25">
      <c r="A106" s="111" t="s">
        <v>110</v>
      </c>
      <c r="B106" s="96">
        <v>8.5845355997265518</v>
      </c>
      <c r="C106" s="96">
        <v>8.4623643433344995</v>
      </c>
      <c r="D106" s="96">
        <v>8.420838203281745</v>
      </c>
      <c r="E106" s="96">
        <v>8.32807598259771</v>
      </c>
      <c r="F106" s="96">
        <v>8.2488349166763975</v>
      </c>
      <c r="G106" s="96">
        <v>8.1525174266371021</v>
      </c>
      <c r="H106" s="96">
        <v>8.0329054514474798</v>
      </c>
      <c r="I106" s="96">
        <v>7.9347809233850723</v>
      </c>
      <c r="J106" s="96">
        <v>7.8311556724915636</v>
      </c>
      <c r="K106" s="96">
        <v>7.7093724985770207</v>
      </c>
      <c r="L106" s="96">
        <v>7.4415918663568146</v>
      </c>
      <c r="M106" s="96">
        <v>7.4142963781409454</v>
      </c>
      <c r="N106" s="96">
        <v>7.3278712928850149</v>
      </c>
      <c r="O106" s="96">
        <v>7.2337762150151166</v>
      </c>
      <c r="P106" s="96">
        <v>7.1013367335177549</v>
      </c>
      <c r="Q106" s="96">
        <v>6.9980968735382891</v>
      </c>
      <c r="R106" s="96">
        <v>6.8725952121063898</v>
      </c>
      <c r="S106" s="96">
        <v>6.7954504292748394</v>
      </c>
      <c r="T106" s="96">
        <v>6.7713088170886895</v>
      </c>
      <c r="U106" s="96">
        <v>6.6996748048658423</v>
      </c>
      <c r="V106" s="96">
        <v>6.614206787652618</v>
      </c>
      <c r="W106" s="96">
        <v>6.5249816935806795</v>
      </c>
      <c r="DA106" s="171" t="s">
        <v>877</v>
      </c>
    </row>
    <row r="107" spans="1:105" ht="11.45" customHeight="1" x14ac:dyDescent="0.25">
      <c r="A107" s="111" t="s">
        <v>111</v>
      </c>
      <c r="B107" s="96">
        <v>9.1887061471634404</v>
      </c>
      <c r="C107" s="96">
        <v>8.7023081307488308</v>
      </c>
      <c r="D107" s="96">
        <v>8.4810347958592356</v>
      </c>
      <c r="E107" s="96">
        <v>8.3323132966101454</v>
      </c>
      <c r="F107" s="96">
        <v>8.2708278755904452</v>
      </c>
      <c r="G107" s="96">
        <v>8.1500685197828346</v>
      </c>
      <c r="H107" s="96">
        <v>8.1514572944989769</v>
      </c>
      <c r="I107" s="96">
        <v>8.1466642035040451</v>
      </c>
      <c r="J107" s="96">
        <v>8.1342398249058725</v>
      </c>
      <c r="K107" s="96">
        <v>8.125270287489716</v>
      </c>
      <c r="L107" s="96">
        <v>8.1222773858221071</v>
      </c>
      <c r="M107" s="96">
        <v>8.1293103034756555</v>
      </c>
      <c r="N107" s="96">
        <v>8.0431402073957106</v>
      </c>
      <c r="O107" s="96">
        <v>7.9251574741128463</v>
      </c>
      <c r="P107" s="96">
        <v>7.8049071887005672</v>
      </c>
      <c r="Q107" s="96">
        <v>7.6620009782211849</v>
      </c>
      <c r="R107" s="96">
        <v>7.5324914357733332</v>
      </c>
      <c r="S107" s="96">
        <v>7.3796429864975011</v>
      </c>
      <c r="T107" s="96">
        <v>7.2362487505150774</v>
      </c>
      <c r="U107" s="96">
        <v>7.0775666060171272</v>
      </c>
      <c r="V107" s="96">
        <v>6.9640908944803837</v>
      </c>
      <c r="W107" s="96">
        <v>6.8723881622107639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7.1770862524199188</v>
      </c>
      <c r="O108" s="96">
        <v>7.177086252419917</v>
      </c>
      <c r="P108" s="96">
        <v>6.756431032752042</v>
      </c>
      <c r="Q108" s="96">
        <v>6.7977987368016937</v>
      </c>
      <c r="R108" s="96">
        <v>8.4562937255070505</v>
      </c>
      <c r="S108" s="96">
        <v>7.8717567783440634</v>
      </c>
      <c r="T108" s="96">
        <v>7.4983513828331212</v>
      </c>
      <c r="U108" s="96">
        <v>7.2093473257011755</v>
      </c>
      <c r="V108" s="96">
        <v>7.2067451991981244</v>
      </c>
      <c r="W108" s="96">
        <v>7.2097214323474725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1.4845354446728654</v>
      </c>
      <c r="N110" s="96">
        <v>1.4845354446728654</v>
      </c>
      <c r="O110" s="96">
        <v>1.4845354446728654</v>
      </c>
      <c r="P110" s="96">
        <v>1.4747271344978752</v>
      </c>
      <c r="Q110" s="96">
        <v>1.4512018035398873</v>
      </c>
      <c r="R110" s="96">
        <v>1.3316282259045298</v>
      </c>
      <c r="S110" s="96">
        <v>1.4048477603732494</v>
      </c>
      <c r="T110" s="96">
        <v>1.4219744198777093</v>
      </c>
      <c r="U110" s="96">
        <v>1.5156398282155199</v>
      </c>
      <c r="V110" s="96">
        <v>2.467755803955288</v>
      </c>
      <c r="W110" s="96">
        <v>2.455917255458381</v>
      </c>
      <c r="DA110" s="171" t="s">
        <v>881</v>
      </c>
    </row>
    <row r="111" spans="1:105" ht="11.45" customHeight="1" x14ac:dyDescent="0.25">
      <c r="A111" s="109" t="s">
        <v>158</v>
      </c>
      <c r="B111" s="130">
        <v>28.112644580668007</v>
      </c>
      <c r="C111" s="130">
        <v>28.035825104994242</v>
      </c>
      <c r="D111" s="130">
        <v>27.952314078191112</v>
      </c>
      <c r="E111" s="130">
        <v>27.856332804083547</v>
      </c>
      <c r="F111" s="130">
        <v>27.77689443737076</v>
      </c>
      <c r="G111" s="130">
        <v>27.645644900331238</v>
      </c>
      <c r="H111" s="130">
        <v>27.492608839712727</v>
      </c>
      <c r="I111" s="130">
        <v>27.312053744376481</v>
      </c>
      <c r="J111" s="130">
        <v>27.178856084894054</v>
      </c>
      <c r="K111" s="130">
        <v>27.106658214926309</v>
      </c>
      <c r="L111" s="130">
        <v>26.662496782266278</v>
      </c>
      <c r="M111" s="130">
        <v>26.595579333767095</v>
      </c>
      <c r="N111" s="130">
        <v>26.45607312617447</v>
      </c>
      <c r="O111" s="130">
        <v>25.978792901249218</v>
      </c>
      <c r="P111" s="130">
        <v>25.740732048727327</v>
      </c>
      <c r="Q111" s="130">
        <v>25.636139428110155</v>
      </c>
      <c r="R111" s="130">
        <v>25.352566930457758</v>
      </c>
      <c r="S111" s="130">
        <v>24.872087596582848</v>
      </c>
      <c r="T111" s="130">
        <v>24.421664724914539</v>
      </c>
      <c r="U111" s="130">
        <v>24.085427999268227</v>
      </c>
      <c r="V111" s="130">
        <v>23.862466991293061</v>
      </c>
      <c r="W111" s="130">
        <v>23.367014324446988</v>
      </c>
      <c r="DA111" s="176" t="s">
        <v>882</v>
      </c>
    </row>
    <row r="112" spans="1:105" ht="11.45" customHeight="1" x14ac:dyDescent="0.25">
      <c r="A112" s="128" t="s">
        <v>27</v>
      </c>
      <c r="B112" s="97">
        <v>28.013300489846433</v>
      </c>
      <c r="C112" s="97">
        <v>27.934714982334587</v>
      </c>
      <c r="D112" s="97">
        <v>27.850402681675526</v>
      </c>
      <c r="E112" s="97">
        <v>27.754117293759798</v>
      </c>
      <c r="F112" s="97">
        <v>27.663617298555419</v>
      </c>
      <c r="G112" s="97">
        <v>27.524340541678288</v>
      </c>
      <c r="H112" s="97">
        <v>27.349467619650287</v>
      </c>
      <c r="I112" s="97">
        <v>27.148289903771076</v>
      </c>
      <c r="J112" s="97">
        <v>27.01091001747691</v>
      </c>
      <c r="K112" s="97">
        <v>26.980784971466925</v>
      </c>
      <c r="L112" s="97">
        <v>26.464896527857253</v>
      </c>
      <c r="M112" s="97">
        <v>26.375227831727745</v>
      </c>
      <c r="N112" s="97">
        <v>26.224800981656024</v>
      </c>
      <c r="O112" s="97">
        <v>25.700103840887923</v>
      </c>
      <c r="P112" s="97">
        <v>25.422825033064647</v>
      </c>
      <c r="Q112" s="97">
        <v>25.281914516079674</v>
      </c>
      <c r="R112" s="97">
        <v>24.972489477462904</v>
      </c>
      <c r="S112" s="97">
        <v>24.475275828842463</v>
      </c>
      <c r="T112" s="97">
        <v>24.00278856523456</v>
      </c>
      <c r="U112" s="97">
        <v>23.688337646257231</v>
      </c>
      <c r="V112" s="97">
        <v>23.471088261049069</v>
      </c>
      <c r="W112" s="97">
        <v>22.935976885707838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36.430966992512083</v>
      </c>
      <c r="D113" s="98">
        <v>36.17079435024251</v>
      </c>
      <c r="E113" s="98">
        <v>35.983208720099697</v>
      </c>
      <c r="F113" s="98">
        <v>35.367854349040542</v>
      </c>
      <c r="G113" s="98">
        <v>35.138710218500577</v>
      </c>
      <c r="H113" s="98">
        <v>34.468896559075269</v>
      </c>
      <c r="I113" s="98">
        <v>34.011929706131106</v>
      </c>
      <c r="J113" s="98">
        <v>33.90449995736698</v>
      </c>
      <c r="K113" s="98">
        <v>33.508211739432127</v>
      </c>
      <c r="L113" s="98">
        <v>33.099425886096611</v>
      </c>
      <c r="M113" s="98">
        <v>32.482834689665744</v>
      </c>
      <c r="N113" s="98">
        <v>31.977006172306037</v>
      </c>
      <c r="O113" s="98">
        <v>31.370317248930863</v>
      </c>
      <c r="P113" s="98">
        <v>31.10119702535296</v>
      </c>
      <c r="Q113" s="98">
        <v>30.360926227948276</v>
      </c>
      <c r="R113" s="98">
        <v>30.133541207603553</v>
      </c>
      <c r="S113" s="98">
        <v>29.954536502104574</v>
      </c>
      <c r="T113" s="98">
        <v>29.388468432567016</v>
      </c>
      <c r="U113" s="98">
        <v>29.227455231267307</v>
      </c>
      <c r="V113" s="98">
        <v>28.183774310765315</v>
      </c>
      <c r="W113" s="98">
        <v>28.076295063612793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1.0725000000065619</v>
      </c>
      <c r="C117" s="150">
        <f>IF(TrRoad_act!C59=0,0,TrRoad_ene!C62/TrRoad_tech!C90)</f>
        <v>1.0725445919240266</v>
      </c>
      <c r="D117" s="150">
        <f>IF(TrRoad_act!D59=0,0,TrRoad_ene!D62/TrRoad_tech!D90)</f>
        <v>1.0727168378109446</v>
      </c>
      <c r="E117" s="150">
        <f>IF(TrRoad_act!E59=0,0,TrRoad_ene!E62/TrRoad_tech!E90)</f>
        <v>1.0730132884946944</v>
      </c>
      <c r="F117" s="150">
        <f>IF(TrRoad_act!F59=0,0,TrRoad_ene!F62/TrRoad_tech!F90)</f>
        <v>1.0735812468603154</v>
      </c>
      <c r="G117" s="150">
        <f>IF(TrRoad_act!G59=0,0,TrRoad_ene!G62/TrRoad_tech!G90)</f>
        <v>1.0743935257256472</v>
      </c>
      <c r="H117" s="150">
        <f>IF(TrRoad_act!H59=0,0,TrRoad_ene!H62/TrRoad_tech!H90)</f>
        <v>1.0759647112450896</v>
      </c>
      <c r="I117" s="150">
        <f>IF(TrRoad_act!I59=0,0,TrRoad_ene!I62/TrRoad_tech!I90)</f>
        <v>1.0792006508723804</v>
      </c>
      <c r="J117" s="150">
        <f>IF(TrRoad_act!J59=0,0,TrRoad_ene!J62/TrRoad_tech!J90)</f>
        <v>1.0831166149230578</v>
      </c>
      <c r="K117" s="150">
        <f>IF(TrRoad_act!K59=0,0,TrRoad_ene!K62/TrRoad_tech!K90)</f>
        <v>1.0849123289348337</v>
      </c>
      <c r="L117" s="150">
        <f>IF(TrRoad_act!L59=0,0,TrRoad_ene!L62/TrRoad_tech!L90)</f>
        <v>1.086811340509436</v>
      </c>
      <c r="M117" s="150">
        <f>IF(TrRoad_act!M59=0,0,TrRoad_ene!M62/TrRoad_tech!M90)</f>
        <v>1.0943389400798544</v>
      </c>
      <c r="N117" s="150">
        <f>IF(TrRoad_act!N59=0,0,TrRoad_ene!N62/TrRoad_tech!N90)</f>
        <v>1.1043957438454199</v>
      </c>
      <c r="O117" s="150">
        <f>IF(TrRoad_act!O59=0,0,TrRoad_ene!O62/TrRoad_tech!O90)</f>
        <v>1.1156745205513132</v>
      </c>
      <c r="P117" s="150">
        <f>IF(TrRoad_act!P59=0,0,TrRoad_ene!P62/TrRoad_tech!P90)</f>
        <v>1.1289359693192946</v>
      </c>
      <c r="Q117" s="150">
        <f>IF(TrRoad_act!Q59=0,0,TrRoad_ene!Q62/TrRoad_tech!Q90)</f>
        <v>1.1434632061147285</v>
      </c>
      <c r="R117" s="150">
        <f>IF(TrRoad_act!R59=0,0,TrRoad_ene!R62/TrRoad_tech!R90)</f>
        <v>1.1588891766816327</v>
      </c>
      <c r="S117" s="150">
        <f>IF(TrRoad_act!S59=0,0,TrRoad_ene!S62/TrRoad_tech!S90)</f>
        <v>1.1767434120964217</v>
      </c>
      <c r="T117" s="150">
        <f>IF(TrRoad_act!T59=0,0,TrRoad_ene!T62/TrRoad_tech!T90)</f>
        <v>1.1950726739991666</v>
      </c>
      <c r="U117" s="150">
        <f>IF(TrRoad_act!U59=0,0,TrRoad_ene!U62/TrRoad_tech!U90)</f>
        <v>1.220177762820569</v>
      </c>
      <c r="V117" s="150">
        <f>IF(TrRoad_act!V59=0,0,TrRoad_ene!V62/TrRoad_tech!V90)</f>
        <v>1.2433432524686054</v>
      </c>
      <c r="W117" s="150">
        <f>IF(TrRoad_act!W59=0,0,TrRoad_ene!W62/TrRoad_tech!W90)</f>
        <v>1.3242178437599141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0.9793560120521787</v>
      </c>
      <c r="C118" s="151">
        <f>IF(TrRoad_act!C60=0,0,TrRoad_ene!C63/TrRoad_tech!C91)</f>
        <v>0.93356850908505629</v>
      </c>
      <c r="D118" s="151">
        <f>IF(TrRoad_act!D60=0,0,TrRoad_ene!D63/TrRoad_tech!D91)</f>
        <v>0.94063541108381454</v>
      </c>
      <c r="E118" s="151">
        <f>IF(TrRoad_act!E60=0,0,TrRoad_ene!E63/TrRoad_tech!E91)</f>
        <v>0.94642473524363269</v>
      </c>
      <c r="F118" s="151">
        <f>IF(TrRoad_act!F60=0,0,TrRoad_ene!F63/TrRoad_tech!F91)</f>
        <v>0.94359572941290848</v>
      </c>
      <c r="G118" s="151">
        <f>IF(TrRoad_act!G60=0,0,TrRoad_ene!G63/TrRoad_tech!G91)</f>
        <v>0.94688638316779616</v>
      </c>
      <c r="H118" s="151">
        <f>IF(TrRoad_act!H60=0,0,TrRoad_ene!H63/TrRoad_tech!H91)</f>
        <v>0.94894061733346979</v>
      </c>
      <c r="I118" s="151">
        <f>IF(TrRoad_act!I60=0,0,TrRoad_ene!I63/TrRoad_tech!I91)</f>
        <v>0.95894009594000074</v>
      </c>
      <c r="J118" s="151">
        <f>IF(TrRoad_act!J60=0,0,TrRoad_ene!J63/TrRoad_tech!J91)</f>
        <v>0.96162086450044781</v>
      </c>
      <c r="K118" s="151">
        <f>IF(TrRoad_act!K60=0,0,TrRoad_ene!K63/TrRoad_tech!K91)</f>
        <v>0.9712328461090558</v>
      </c>
      <c r="L118" s="151">
        <f>IF(TrRoad_act!L60=0,0,TrRoad_ene!L63/TrRoad_tech!L91)</f>
        <v>0.98022383247553468</v>
      </c>
      <c r="M118" s="151">
        <f>IF(TrRoad_act!M60=0,0,TrRoad_ene!M63/TrRoad_tech!M91)</f>
        <v>0.9704114966882631</v>
      </c>
      <c r="N118" s="151">
        <f>IF(TrRoad_act!N60=0,0,TrRoad_ene!N63/TrRoad_tech!N91)</f>
        <v>0.96150490639988795</v>
      </c>
      <c r="O118" s="151">
        <f>IF(TrRoad_act!O60=0,0,TrRoad_ene!O63/TrRoad_tech!O91)</f>
        <v>0.97428315711220903</v>
      </c>
      <c r="P118" s="151">
        <f>IF(TrRoad_act!P60=0,0,TrRoad_ene!P63/TrRoad_tech!P91)</f>
        <v>0.97974205651024859</v>
      </c>
      <c r="Q118" s="151">
        <f>IF(TrRoad_act!Q60=0,0,TrRoad_ene!Q63/TrRoad_tech!Q91)</f>
        <v>0.99175093690621352</v>
      </c>
      <c r="R118" s="151">
        <f>IF(TrRoad_act!R60=0,0,TrRoad_ene!R63/TrRoad_tech!R91)</f>
        <v>1.0044962928613492</v>
      </c>
      <c r="S118" s="151">
        <f>IF(TrRoad_act!S60=0,0,TrRoad_ene!S63/TrRoad_tech!S91)</f>
        <v>1.0066146818598571</v>
      </c>
      <c r="T118" s="151">
        <f>IF(TrRoad_act!T60=0,0,TrRoad_ene!T63/TrRoad_tech!T91)</f>
        <v>1.0089218584639603</v>
      </c>
      <c r="U118" s="151">
        <f>IF(TrRoad_act!U60=0,0,TrRoad_ene!U63/TrRoad_tech!U91)</f>
        <v>1.0113900297055796</v>
      </c>
      <c r="V118" s="151">
        <f>IF(TrRoad_act!V60=0,0,TrRoad_ene!V63/TrRoad_tech!V91)</f>
        <v>1.0286878409884548</v>
      </c>
      <c r="W118" s="151">
        <f>IF(TrRoad_act!W60=0,0,TrRoad_ene!W63/TrRoad_tech!W91)</f>
        <v>1.0254246329665087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0.96826544074558996</v>
      </c>
      <c r="C119" s="91">
        <f>IF(TrRoad_act!C61=0,0,TrRoad_ene!C64/TrRoad_tech!C92)</f>
        <v>0.92424994133378624</v>
      </c>
      <c r="D119" s="91">
        <f>IF(TrRoad_act!D61=0,0,TrRoad_ene!D64/TrRoad_tech!D92)</f>
        <v>0.92763556199431985</v>
      </c>
      <c r="E119" s="91">
        <f>IF(TrRoad_act!E61=0,0,TrRoad_ene!E64/TrRoad_tech!E92)</f>
        <v>0.93128969939609252</v>
      </c>
      <c r="F119" s="91">
        <f>IF(TrRoad_act!F61=0,0,TrRoad_ene!F64/TrRoad_tech!F92)</f>
        <v>0.93424023401937506</v>
      </c>
      <c r="G119" s="91">
        <f>IF(TrRoad_act!G61=0,0,TrRoad_ene!G64/TrRoad_tech!G92)</f>
        <v>0.93618263661211576</v>
      </c>
      <c r="H119" s="91">
        <f>IF(TrRoad_act!H61=0,0,TrRoad_ene!H64/TrRoad_tech!H92)</f>
        <v>0.93861115233805748</v>
      </c>
      <c r="I119" s="91">
        <f>IF(TrRoad_act!I61=0,0,TrRoad_ene!I64/TrRoad_tech!I92)</f>
        <v>0.93929970388539097</v>
      </c>
      <c r="J119" s="91">
        <f>IF(TrRoad_act!J61=0,0,TrRoad_ene!J64/TrRoad_tech!J92)</f>
        <v>0.9399694821779172</v>
      </c>
      <c r="K119" s="91">
        <f>IF(TrRoad_act!K61=0,0,TrRoad_ene!K64/TrRoad_tech!K92)</f>
        <v>0.95917534338243349</v>
      </c>
      <c r="L119" s="91">
        <f>IF(TrRoad_act!L61=0,0,TrRoad_ene!L64/TrRoad_tech!L92)</f>
        <v>0.94513589549977106</v>
      </c>
      <c r="M119" s="91">
        <f>IF(TrRoad_act!M61=0,0,TrRoad_ene!M64/TrRoad_tech!M92)</f>
        <v>0.96919081760672365</v>
      </c>
      <c r="N119" s="91">
        <f>IF(TrRoad_act!N61=0,0,TrRoad_ene!N64/TrRoad_tech!N92)</f>
        <v>0.95542594937678438</v>
      </c>
      <c r="O119" s="91">
        <f>IF(TrRoad_act!O61=0,0,TrRoad_ene!O64/TrRoad_tech!O92)</f>
        <v>0.93925875094590405</v>
      </c>
      <c r="P119" s="91">
        <f>IF(TrRoad_act!P61=0,0,TrRoad_ene!P64/TrRoad_tech!P92)</f>
        <v>0.95759224513185792</v>
      </c>
      <c r="Q119" s="91">
        <f>IF(TrRoad_act!Q61=0,0,TrRoad_ene!Q64/TrRoad_tech!Q92)</f>
        <v>0.95643715019946673</v>
      </c>
      <c r="R119" s="91">
        <f>IF(TrRoad_act!R61=0,0,TrRoad_ene!R64/TrRoad_tech!R92)</f>
        <v>1.0429849223965841</v>
      </c>
      <c r="S119" s="91">
        <f>IF(TrRoad_act!S61=0,0,TrRoad_ene!S64/TrRoad_tech!S92)</f>
        <v>1.0468239150596681</v>
      </c>
      <c r="T119" s="91">
        <f>IF(TrRoad_act!T61=0,0,TrRoad_ene!T64/TrRoad_tech!T92)</f>
        <v>1.051634200964453</v>
      </c>
      <c r="U119" s="91">
        <f>IF(TrRoad_act!U61=0,0,TrRoad_ene!U64/TrRoad_tech!U92)</f>
        <v>1.057049226092343</v>
      </c>
      <c r="V119" s="91">
        <f>IF(TrRoad_act!V61=0,0,TrRoad_ene!V64/TrRoad_tech!V92)</f>
        <v>1.1224765522517153</v>
      </c>
      <c r="W119" s="91">
        <f>IF(TrRoad_act!W61=0,0,TrRoad_ene!W64/TrRoad_tech!W92)</f>
        <v>1.106247524775579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1.0463133072871615</v>
      </c>
      <c r="C120" s="91">
        <f>IF(TrRoad_act!C62=0,0,TrRoad_ene!C65/TrRoad_tech!C93)</f>
        <v>1.0825207238630297</v>
      </c>
      <c r="D120" s="91">
        <f>IF(TrRoad_act!D62=0,0,TrRoad_ene!D65/TrRoad_tech!D93)</f>
        <v>1.0803034443765165</v>
      </c>
      <c r="E120" s="91">
        <f>IF(TrRoad_act!E62=0,0,TrRoad_ene!E65/TrRoad_tech!E93)</f>
        <v>1.072285539652291</v>
      </c>
      <c r="F120" s="91">
        <f>IF(TrRoad_act!F62=0,0,TrRoad_ene!F65/TrRoad_tech!F93)</f>
        <v>1.0668408793743138</v>
      </c>
      <c r="G120" s="91">
        <f>IF(TrRoad_act!G62=0,0,TrRoad_ene!G65/TrRoad_tech!G93)</f>
        <v>1.057139410055342</v>
      </c>
      <c r="H120" s="91">
        <f>IF(TrRoad_act!H62=0,0,TrRoad_ene!H65/TrRoad_tech!H93)</f>
        <v>1.0446365856573527</v>
      </c>
      <c r="I120" s="91">
        <f>IF(TrRoad_act!I62=0,0,TrRoad_ene!I65/TrRoad_tech!I93)</f>
        <v>1.0687129482986042</v>
      </c>
      <c r="J120" s="91">
        <f>IF(TrRoad_act!J62=0,0,TrRoad_ene!J65/TrRoad_tech!J93)</f>
        <v>1.0604687987165309</v>
      </c>
      <c r="K120" s="91">
        <f>IF(TrRoad_act!K62=0,0,TrRoad_ene!K65/TrRoad_tech!K93)</f>
        <v>1.0518541066990654</v>
      </c>
      <c r="L120" s="91">
        <f>IF(TrRoad_act!L62=0,0,TrRoad_ene!L65/TrRoad_tech!L93)</f>
        <v>1.0889519340916913</v>
      </c>
      <c r="M120" s="91">
        <f>IF(TrRoad_act!M62=0,0,TrRoad_ene!M65/TrRoad_tech!M93)</f>
        <v>1.0192982527556103</v>
      </c>
      <c r="N120" s="91">
        <f>IF(TrRoad_act!N62=0,0,TrRoad_ene!N65/TrRoad_tech!N93)</f>
        <v>1.0176714059348</v>
      </c>
      <c r="O120" s="91">
        <f>IF(TrRoad_act!O62=0,0,TrRoad_ene!O65/TrRoad_tech!O93)</f>
        <v>1.0277395957546434</v>
      </c>
      <c r="P120" s="91">
        <f>IF(TrRoad_act!P62=0,0,TrRoad_ene!P65/TrRoad_tech!P93)</f>
        <v>1.018477221778068</v>
      </c>
      <c r="Q120" s="91">
        <f>IF(TrRoad_act!Q62=0,0,TrRoad_ene!Q65/TrRoad_tech!Q93)</f>
        <v>1.0176916234386437</v>
      </c>
      <c r="R120" s="91">
        <f>IF(TrRoad_act!R62=0,0,TrRoad_ene!R65/TrRoad_tech!R93)</f>
        <v>1.0125132677821569</v>
      </c>
      <c r="S120" s="91">
        <f>IF(TrRoad_act!S62=0,0,TrRoad_ene!S65/TrRoad_tech!S93)</f>
        <v>1.0179276309887435</v>
      </c>
      <c r="T120" s="91">
        <f>IF(TrRoad_act!T62=0,0,TrRoad_ene!T65/TrRoad_tech!T93)</f>
        <v>1.0206127911855696</v>
      </c>
      <c r="U120" s="91">
        <f>IF(TrRoad_act!U62=0,0,TrRoad_ene!U65/TrRoad_tech!U93)</f>
        <v>1.0297311394309712</v>
      </c>
      <c r="V120" s="91">
        <f>IF(TrRoad_act!V62=0,0,TrRoad_ene!V65/TrRoad_tech!V93)</f>
        <v>1.0260548420287332</v>
      </c>
      <c r="W120" s="91">
        <f>IF(TrRoad_act!W62=0,0,TrRoad_ene!W65/TrRoad_tech!W93)</f>
        <v>1.0290472587245494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1.1717308600428886</v>
      </c>
      <c r="C121" s="91">
        <f>IF(TrRoad_act!C63=0,0,TrRoad_ene!C66/TrRoad_tech!C94)</f>
        <v>1.0216005232585088</v>
      </c>
      <c r="D121" s="91">
        <f>IF(TrRoad_act!D63=0,0,TrRoad_ene!D66/TrRoad_tech!D94)</f>
        <v>1.1129549731908213</v>
      </c>
      <c r="E121" s="91">
        <f>IF(TrRoad_act!E63=0,0,TrRoad_ene!E66/TrRoad_tech!E94)</f>
        <v>1.1799494702732203</v>
      </c>
      <c r="F121" s="91">
        <f>IF(TrRoad_act!F63=0,0,TrRoad_ene!F66/TrRoad_tech!F94)</f>
        <v>1.0472250539068002</v>
      </c>
      <c r="G121" s="91">
        <f>IF(TrRoad_act!G63=0,0,TrRoad_ene!G66/TrRoad_tech!G94)</f>
        <v>1.0547328886268512</v>
      </c>
      <c r="H121" s="91">
        <f>IF(TrRoad_act!H63=0,0,TrRoad_ene!H66/TrRoad_tech!H94)</f>
        <v>1.0269474130396103</v>
      </c>
      <c r="I121" s="91">
        <f>IF(TrRoad_act!I63=0,0,TrRoad_ene!I66/TrRoad_tech!I94)</f>
        <v>0.9560275776885433</v>
      </c>
      <c r="J121" s="91">
        <f>IF(TrRoad_act!J63=0,0,TrRoad_ene!J66/TrRoad_tech!J94)</f>
        <v>0.93533932730387159</v>
      </c>
      <c r="K121" s="91">
        <f>IF(TrRoad_act!K63=0,0,TrRoad_ene!K66/TrRoad_tech!K94)</f>
        <v>0.90217061733846615</v>
      </c>
      <c r="L121" s="91">
        <f>IF(TrRoad_act!L63=0,0,TrRoad_ene!L66/TrRoad_tech!L94)</f>
        <v>0.94685635306060489</v>
      </c>
      <c r="M121" s="91">
        <f>IF(TrRoad_act!M63=0,0,TrRoad_ene!M66/TrRoad_tech!M94)</f>
        <v>0.93390295509887822</v>
      </c>
      <c r="N121" s="91">
        <f>IF(TrRoad_act!N63=0,0,TrRoad_ene!N66/TrRoad_tech!N94)</f>
        <v>0.92928046553648835</v>
      </c>
      <c r="O121" s="91">
        <f>IF(TrRoad_act!O63=0,0,TrRoad_ene!O66/TrRoad_tech!O94)</f>
        <v>1.0758226646367333</v>
      </c>
      <c r="P121" s="91">
        <f>IF(TrRoad_act!P63=0,0,TrRoad_ene!P66/TrRoad_tech!P94)</f>
        <v>1.0489836767634062</v>
      </c>
      <c r="Q121" s="91">
        <f>IF(TrRoad_act!Q63=0,0,TrRoad_ene!Q66/TrRoad_tech!Q94)</f>
        <v>1.1965304583341327</v>
      </c>
      <c r="R121" s="91">
        <f>IF(TrRoad_act!R63=0,0,TrRoad_ene!R66/TrRoad_tech!R94)</f>
        <v>1.0422025712540581</v>
      </c>
      <c r="S121" s="91">
        <f>IF(TrRoad_act!S63=0,0,TrRoad_ene!S66/TrRoad_tech!S94)</f>
        <v>1.0425709304973454</v>
      </c>
      <c r="T121" s="91">
        <f>IF(TrRoad_act!T63=0,0,TrRoad_ene!T66/TrRoad_tech!T94)</f>
        <v>1.0427559010766245</v>
      </c>
      <c r="U121" s="91">
        <f>IF(TrRoad_act!U63=0,0,TrRoad_ene!U66/TrRoad_tech!U94)</f>
        <v>0.99703109585604655</v>
      </c>
      <c r="V121" s="91">
        <f>IF(TrRoad_act!V63=0,0,TrRoad_ene!V66/TrRoad_tech!V94)</f>
        <v>1.0432533558579373</v>
      </c>
      <c r="W121" s="91">
        <f>IF(TrRoad_act!W63=0,0,TrRoad_ene!W66/TrRoad_tech!W94)</f>
        <v>1.0368111366905035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1.02777777778159</v>
      </c>
      <c r="C122" s="91">
        <f>IF(TrRoad_act!C64=0,0,TrRoad_ene!C67/TrRoad_tech!C95)</f>
        <v>1.02777777778159</v>
      </c>
      <c r="D122" s="91">
        <f>IF(TrRoad_act!D64=0,0,TrRoad_ene!D67/TrRoad_tech!D95)</f>
        <v>1.02777777778159</v>
      </c>
      <c r="E122" s="91">
        <f>IF(TrRoad_act!E64=0,0,TrRoad_ene!E67/TrRoad_tech!E95)</f>
        <v>1.02777777778159</v>
      </c>
      <c r="F122" s="91">
        <f>IF(TrRoad_act!F64=0,0,TrRoad_ene!F67/TrRoad_tech!F95)</f>
        <v>1.0277777777815897</v>
      </c>
      <c r="G122" s="91">
        <f>IF(TrRoad_act!G64=0,0,TrRoad_ene!G67/TrRoad_tech!G95)</f>
        <v>1.02777777778159</v>
      </c>
      <c r="H122" s="91">
        <f>IF(TrRoad_act!H64=0,0,TrRoad_ene!H67/TrRoad_tech!H95)</f>
        <v>1.02777777778159</v>
      </c>
      <c r="I122" s="91">
        <f>IF(TrRoad_act!I64=0,0,TrRoad_ene!I67/TrRoad_tech!I95)</f>
        <v>1.02777777778159</v>
      </c>
      <c r="J122" s="91">
        <f>IF(TrRoad_act!J64=0,0,TrRoad_ene!J67/TrRoad_tech!J95)</f>
        <v>1.02777777778159</v>
      </c>
      <c r="K122" s="91">
        <f>IF(TrRoad_act!K64=0,0,TrRoad_ene!K67/TrRoad_tech!K95)</f>
        <v>1.0300261435050493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0</v>
      </c>
      <c r="R122" s="91">
        <f>IF(TrRoad_act!R64=0,0,TrRoad_ene!R67/TrRoad_tech!R95)</f>
        <v>0</v>
      </c>
      <c r="S122" s="91">
        <f>IF(TrRoad_act!S64=0,0,TrRoad_ene!S67/TrRoad_tech!S95)</f>
        <v>0</v>
      </c>
      <c r="T122" s="91">
        <f>IF(TrRoad_act!T64=0,0,TrRoad_ene!T67/TrRoad_tech!T95)</f>
        <v>0.73499817809907453</v>
      </c>
      <c r="U122" s="91">
        <f>IF(TrRoad_act!U64=0,0,TrRoad_ene!U67/TrRoad_tech!U95)</f>
        <v>1.0946500667115471</v>
      </c>
      <c r="V122" s="91">
        <f>IF(TrRoad_act!V64=0,0,TrRoad_ene!V67/TrRoad_tech!V95)</f>
        <v>1.0951917043607</v>
      </c>
      <c r="W122" s="91">
        <f>IF(TrRoad_act!W64=0,0,TrRoad_ene!W67/TrRoad_tech!W95)</f>
        <v>1.0956231723325063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1.0122589963698361</v>
      </c>
      <c r="O123" s="91">
        <f>IF(TrRoad_act!O65=0,0,TrRoad_ene!O68/TrRoad_tech!O96)</f>
        <v>1.0003227974438709</v>
      </c>
      <c r="P123" s="91">
        <f>IF(TrRoad_act!P65=0,0,TrRoad_ene!P68/TrRoad_tech!P96)</f>
        <v>1.0154762944578517</v>
      </c>
      <c r="Q123" s="91">
        <f>IF(TrRoad_act!Q65=0,0,TrRoad_ene!Q68/TrRoad_tech!Q96)</f>
        <v>1.0216840940859255</v>
      </c>
      <c r="R123" s="91">
        <f>IF(TrRoad_act!R65=0,0,TrRoad_ene!R68/TrRoad_tech!R96)</f>
        <v>1.0861384939126628</v>
      </c>
      <c r="S123" s="91">
        <f>IF(TrRoad_act!S65=0,0,TrRoad_ene!S68/TrRoad_tech!S96)</f>
        <v>1.0900420960910813</v>
      </c>
      <c r="T123" s="91">
        <f>IF(TrRoad_act!T65=0,0,TrRoad_ene!T68/TrRoad_tech!T96)</f>
        <v>1.0920413578605774</v>
      </c>
      <c r="U123" s="91">
        <f>IF(TrRoad_act!U65=0,0,TrRoad_ene!U68/TrRoad_tech!U96)</f>
        <v>1.0933886175189418</v>
      </c>
      <c r="V123" s="91">
        <f>IF(TrRoad_act!V65=0,0,TrRoad_ene!V68/TrRoad_tech!V96)</f>
        <v>1.1332836271869779</v>
      </c>
      <c r="W123" s="91">
        <f>IF(TrRoad_act!W65=0,0,TrRoad_ene!W68/TrRoad_tech!W96)</f>
        <v>1.11873901346933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0</v>
      </c>
      <c r="N124" s="91">
        <f>IF(TrRoad_act!N66=0,0,TrRoad_ene!N69/TrRoad_tech!N97)</f>
        <v>1.0655555555606799</v>
      </c>
      <c r="O124" s="91">
        <f>IF(TrRoad_act!O66=0,0,TrRoad_ene!O69/TrRoad_tech!O97)</f>
        <v>1.0675039591843316</v>
      </c>
      <c r="P124" s="91">
        <f>IF(TrRoad_act!P66=0,0,TrRoad_ene!P69/TrRoad_tech!P97)</f>
        <v>1.0761711647462628</v>
      </c>
      <c r="Q124" s="91">
        <f>IF(TrRoad_act!Q66=0,0,TrRoad_ene!Q69/TrRoad_tech!Q97)</f>
        <v>1.0772490485318491</v>
      </c>
      <c r="R124" s="91">
        <f>IF(TrRoad_act!R66=0,0,TrRoad_ene!R69/TrRoad_tech!R97)</f>
        <v>1.0791300075101125</v>
      </c>
      <c r="S124" s="91">
        <f>IF(TrRoad_act!S66=0,0,TrRoad_ene!S69/TrRoad_tech!S97)</f>
        <v>1.0824877861534314</v>
      </c>
      <c r="T124" s="91">
        <f>IF(TrRoad_act!T66=0,0,TrRoad_ene!T69/TrRoad_tech!T97)</f>
        <v>1.086868875231759</v>
      </c>
      <c r="U124" s="91">
        <f>IF(TrRoad_act!U66=0,0,TrRoad_ene!U69/TrRoad_tech!U97)</f>
        <v>1.0908106056152449</v>
      </c>
      <c r="V124" s="91">
        <f>IF(TrRoad_act!V66=0,0,TrRoad_ene!V69/TrRoad_tech!V97)</f>
        <v>1.0944777105524146</v>
      </c>
      <c r="W124" s="91">
        <f>IF(TrRoad_act!W66=0,0,TrRoad_ene!W69/TrRoad_tech!W97)</f>
        <v>1.0966133116972583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1.2000329167396671</v>
      </c>
      <c r="C125" s="151">
        <f>IF(TrRoad_act!C67=0,0,TrRoad_ene!C70/TrRoad_tech!C98)</f>
        <v>1.3222340287485232</v>
      </c>
      <c r="D125" s="151">
        <f>IF(TrRoad_act!D67=0,0,TrRoad_ene!D70/TrRoad_tech!D98)</f>
        <v>1.2620678414598696</v>
      </c>
      <c r="E125" s="151">
        <f>IF(TrRoad_act!E67=0,0,TrRoad_ene!E70/TrRoad_tech!E98)</f>
        <v>1.250285152436954</v>
      </c>
      <c r="F125" s="151">
        <f>IF(TrRoad_act!F67=0,0,TrRoad_ene!F70/TrRoad_tech!F98)</f>
        <v>1.2629501626272353</v>
      </c>
      <c r="G125" s="151">
        <f>IF(TrRoad_act!G67=0,0,TrRoad_ene!G70/TrRoad_tech!G98)</f>
        <v>1.2789185115587112</v>
      </c>
      <c r="H125" s="151">
        <f>IF(TrRoad_act!H67=0,0,TrRoad_ene!H70/TrRoad_tech!H98)</f>
        <v>1.3045965330228408</v>
      </c>
      <c r="I125" s="151">
        <f>IF(TrRoad_act!I67=0,0,TrRoad_ene!I70/TrRoad_tech!I98)</f>
        <v>1.3336996344671803</v>
      </c>
      <c r="J125" s="151">
        <f>IF(TrRoad_act!J67=0,0,TrRoad_ene!J70/TrRoad_tech!J98)</f>
        <v>1.3104716108023713</v>
      </c>
      <c r="K125" s="151">
        <f>IF(TrRoad_act!K67=0,0,TrRoad_ene!K70/TrRoad_tech!K98)</f>
        <v>1.2534485968282647</v>
      </c>
      <c r="L125" s="151">
        <f>IF(TrRoad_act!L67=0,0,TrRoad_ene!L70/TrRoad_tech!L98)</f>
        <v>1.3608155177599299</v>
      </c>
      <c r="M125" s="151">
        <f>IF(TrRoad_act!M67=0,0,TrRoad_ene!M70/TrRoad_tech!M98)</f>
        <v>1.2576408051556258</v>
      </c>
      <c r="N125" s="151">
        <f>IF(TrRoad_act!N67=0,0,TrRoad_ene!N70/TrRoad_tech!N98)</f>
        <v>1.2503247016361259</v>
      </c>
      <c r="O125" s="151">
        <f>IF(TrRoad_act!O67=0,0,TrRoad_ene!O70/TrRoad_tech!O98)</f>
        <v>1.2462791594117797</v>
      </c>
      <c r="P125" s="151">
        <f>IF(TrRoad_act!P67=0,0,TrRoad_ene!P70/TrRoad_tech!P98)</f>
        <v>1.2373524596156307</v>
      </c>
      <c r="Q125" s="151">
        <f>IF(TrRoad_act!Q67=0,0,TrRoad_ene!Q70/TrRoad_tech!Q98)</f>
        <v>1.2547939955608722</v>
      </c>
      <c r="R125" s="151">
        <f>IF(TrRoad_act!R67=0,0,TrRoad_ene!R70/TrRoad_tech!R98)</f>
        <v>1.2514577679608978</v>
      </c>
      <c r="S125" s="151">
        <f>IF(TrRoad_act!S67=0,0,TrRoad_ene!S70/TrRoad_tech!S98)</f>
        <v>1.2785916954989933</v>
      </c>
      <c r="T125" s="151">
        <f>IF(TrRoad_act!T67=0,0,TrRoad_ene!T70/TrRoad_tech!T98)</f>
        <v>1.2921591449763612</v>
      </c>
      <c r="U125" s="151">
        <f>IF(TrRoad_act!U67=0,0,TrRoad_ene!U70/TrRoad_tech!U98)</f>
        <v>1.2955103608870351</v>
      </c>
      <c r="V125" s="151">
        <f>IF(TrRoad_act!V67=0,0,TrRoad_ene!V70/TrRoad_tech!V98)</f>
        <v>1.2940804645862229</v>
      </c>
      <c r="W125" s="151">
        <f>IF(TrRoad_act!W67=0,0,TrRoad_ene!W70/TrRoad_tech!W98)</f>
        <v>1.3190920301253308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1.1002736085761919</v>
      </c>
      <c r="D126" s="93">
        <f>IF(TrRoad_act!D68=0,0,TrRoad_ene!D71/TrRoad_tech!D99)</f>
        <v>1.1006445935518203</v>
      </c>
      <c r="E126" s="93">
        <f>IF(TrRoad_act!E68=0,0,TrRoad_ene!E71/TrRoad_tech!E99)</f>
        <v>1.1010459139799049</v>
      </c>
      <c r="F126" s="93">
        <f>IF(TrRoad_act!F68=0,0,TrRoad_ene!F71/TrRoad_tech!F99)</f>
        <v>1.1014293157371791</v>
      </c>
      <c r="G126" s="93">
        <f>IF(TrRoad_act!G68=0,0,TrRoad_ene!G71/TrRoad_tech!G99)</f>
        <v>1.1021149564764383</v>
      </c>
      <c r="H126" s="93">
        <f>IF(TrRoad_act!H68=0,0,TrRoad_ene!H71/TrRoad_tech!H99)</f>
        <v>1.1030573502137033</v>
      </c>
      <c r="I126" s="93">
        <f>IF(TrRoad_act!I68=0,0,TrRoad_ene!I71/TrRoad_tech!I99)</f>
        <v>1.1063330420555961</v>
      </c>
      <c r="J126" s="93">
        <f>IF(TrRoad_act!J68=0,0,TrRoad_ene!J71/TrRoad_tech!J99)</f>
        <v>1.1085719412683968</v>
      </c>
      <c r="K126" s="93">
        <f>IF(TrRoad_act!K68=0,0,TrRoad_ene!K71/TrRoad_tech!K99)</f>
        <v>1.110259859304318</v>
      </c>
      <c r="L126" s="93">
        <f>IF(TrRoad_act!L68=0,0,TrRoad_ene!L71/TrRoad_tech!L99)</f>
        <v>1.1123030413890012</v>
      </c>
      <c r="M126" s="93">
        <f>IF(TrRoad_act!M68=0,0,TrRoad_ene!M71/TrRoad_tech!M99)</f>
        <v>1.1176547469816549</v>
      </c>
      <c r="N126" s="93">
        <f>IF(TrRoad_act!N68=0,0,TrRoad_ene!N71/TrRoad_tech!N99)</f>
        <v>1.1206969188876275</v>
      </c>
      <c r="O126" s="93">
        <f>IF(TrRoad_act!O68=0,0,TrRoad_ene!O71/TrRoad_tech!O99)</f>
        <v>1.1329378088955073</v>
      </c>
      <c r="P126" s="93">
        <f>IF(TrRoad_act!P68=0,0,TrRoad_ene!P71/TrRoad_tech!P99)</f>
        <v>1.1456988056035988</v>
      </c>
      <c r="Q126" s="93">
        <f>IF(TrRoad_act!Q68=0,0,TrRoad_ene!Q71/TrRoad_tech!Q99)</f>
        <v>1.1487913453246781</v>
      </c>
      <c r="R126" s="93">
        <f>IF(TrRoad_act!R68=0,0,TrRoad_ene!R71/TrRoad_tech!R99)</f>
        <v>1.1623068388685756</v>
      </c>
      <c r="S126" s="93">
        <f>IF(TrRoad_act!S68=0,0,TrRoad_ene!S71/TrRoad_tech!S99)</f>
        <v>1.164865515457904</v>
      </c>
      <c r="T126" s="93">
        <f>IF(TrRoad_act!T68=0,0,TrRoad_ene!T71/TrRoad_tech!T99)</f>
        <v>1.1718087139586457</v>
      </c>
      <c r="U126" s="93">
        <f>IF(TrRoad_act!U68=0,0,TrRoad_ene!U71/TrRoad_tech!U99)</f>
        <v>1.1767089880401884</v>
      </c>
      <c r="V126" s="93">
        <f>IF(TrRoad_act!V68=0,0,TrRoad_ene!V71/TrRoad_tech!V99)</f>
        <v>1.1834332498304871</v>
      </c>
      <c r="W126" s="93">
        <f>IF(TrRoad_act!W68=0,0,TrRoad_ene!W71/TrRoad_tech!W99)</f>
        <v>1.1811871897625923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1.2021115048261946</v>
      </c>
      <c r="C127" s="93">
        <f>IF(TrRoad_act!C69=0,0,TrRoad_ene!C72/TrRoad_tech!C100)</f>
        <v>1.3333835015194286</v>
      </c>
      <c r="D127" s="93">
        <f>IF(TrRoad_act!D69=0,0,TrRoad_ene!D72/TrRoad_tech!D100)</f>
        <v>1.2777908360414323</v>
      </c>
      <c r="E127" s="93">
        <f>IF(TrRoad_act!E69=0,0,TrRoad_ene!E72/TrRoad_tech!E100)</f>
        <v>1.2646573788703457</v>
      </c>
      <c r="F127" s="93">
        <f>IF(TrRoad_act!F69=0,0,TrRoad_ene!F72/TrRoad_tech!F100)</f>
        <v>1.2747554861928678</v>
      </c>
      <c r="G127" s="93">
        <f>IF(TrRoad_act!G69=0,0,TrRoad_ene!G72/TrRoad_tech!G100)</f>
        <v>1.2890599958932665</v>
      </c>
      <c r="H127" s="93">
        <f>IF(TrRoad_act!H69=0,0,TrRoad_ene!H72/TrRoad_tech!H100)</f>
        <v>1.3105173312546263</v>
      </c>
      <c r="I127" s="93">
        <f>IF(TrRoad_act!I69=0,0,TrRoad_ene!I72/TrRoad_tech!I100)</f>
        <v>1.3369605118900989</v>
      </c>
      <c r="J127" s="93">
        <f>IF(TrRoad_act!J69=0,0,TrRoad_ene!J72/TrRoad_tech!J100)</f>
        <v>1.3087405852169416</v>
      </c>
      <c r="K127" s="93">
        <f>IF(TrRoad_act!K69=0,0,TrRoad_ene!K72/TrRoad_tech!K100)</f>
        <v>1.2525624441495391</v>
      </c>
      <c r="L127" s="93">
        <f>IF(TrRoad_act!L69=0,0,TrRoad_ene!L72/TrRoad_tech!L100)</f>
        <v>1.3729885919387375</v>
      </c>
      <c r="M127" s="93">
        <f>IF(TrRoad_act!M69=0,0,TrRoad_ene!M72/TrRoad_tech!M100)</f>
        <v>1.2643807388544357</v>
      </c>
      <c r="N127" s="93">
        <f>IF(TrRoad_act!N69=0,0,TrRoad_ene!N72/TrRoad_tech!N100)</f>
        <v>1.2561458509774674</v>
      </c>
      <c r="O127" s="93">
        <f>IF(TrRoad_act!O69=0,0,TrRoad_ene!O72/TrRoad_tech!O100)</f>
        <v>1.2524270236902701</v>
      </c>
      <c r="P127" s="93">
        <f>IF(TrRoad_act!P69=0,0,TrRoad_ene!P72/TrRoad_tech!P100)</f>
        <v>1.2441076110316096</v>
      </c>
      <c r="Q127" s="93">
        <f>IF(TrRoad_act!Q69=0,0,TrRoad_ene!Q72/TrRoad_tech!Q100)</f>
        <v>1.2634884302716149</v>
      </c>
      <c r="R127" s="93">
        <f>IF(TrRoad_act!R69=0,0,TrRoad_ene!R72/TrRoad_tech!R100)</f>
        <v>1.2599628018336968</v>
      </c>
      <c r="S127" s="93">
        <f>IF(TrRoad_act!S69=0,0,TrRoad_ene!S72/TrRoad_tech!S100)</f>
        <v>1.2893169073135065</v>
      </c>
      <c r="T127" s="93">
        <f>IF(TrRoad_act!T69=0,0,TrRoad_ene!T72/TrRoad_tech!T100)</f>
        <v>1.3049711200855649</v>
      </c>
      <c r="U127" s="93">
        <f>IF(TrRoad_act!U69=0,0,TrRoad_ene!U72/TrRoad_tech!U100)</f>
        <v>1.308754944916912</v>
      </c>
      <c r="V127" s="93">
        <f>IF(TrRoad_act!V69=0,0,TrRoad_ene!V72/TrRoad_tech!V100)</f>
        <v>1.3011571492340879</v>
      </c>
      <c r="W127" s="93">
        <f>IF(TrRoad_act!W69=0,0,TrRoad_ene!W72/TrRoad_tech!W100)</f>
        <v>1.3277703641691074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1.317263573193203</v>
      </c>
      <c r="S128" s="93">
        <f>IF(TrRoad_act!S70=0,0,TrRoad_ene!S73/TrRoad_tech!S101)</f>
        <v>1.3172635731932032</v>
      </c>
      <c r="T128" s="93">
        <f>IF(TrRoad_act!T70=0,0,TrRoad_ene!T73/TrRoad_tech!T101)</f>
        <v>1.3172635731932034</v>
      </c>
      <c r="U128" s="93">
        <f>IF(TrRoad_act!U70=0,0,TrRoad_ene!U73/TrRoad_tech!U101)</f>
        <v>1.3172635731932032</v>
      </c>
      <c r="V128" s="93">
        <f>IF(TrRoad_act!V70=0,0,TrRoad_ene!V73/TrRoad_tech!V101)</f>
        <v>1.3172635731932032</v>
      </c>
      <c r="W128" s="93">
        <f>IF(TrRoad_act!W70=0,0,TrRoad_ene!W73/TrRoad_tech!W101)</f>
        <v>1.3172635731932032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1.0462359890310997</v>
      </c>
      <c r="C129" s="93">
        <f>IF(TrRoad_act!C71=0,0,TrRoad_ene!C74/TrRoad_tech!C102)</f>
        <v>1.3539717088727281</v>
      </c>
      <c r="D129" s="93">
        <f>IF(TrRoad_act!D71=0,0,TrRoad_ene!D74/TrRoad_tech!D102)</f>
        <v>1.1035704326431679</v>
      </c>
      <c r="E129" s="93">
        <f>IF(TrRoad_act!E71=0,0,TrRoad_ene!E74/TrRoad_tech!E102)</f>
        <v>1.1137876942337661</v>
      </c>
      <c r="F129" s="93">
        <f>IF(TrRoad_act!F71=0,0,TrRoad_ene!F74/TrRoad_tech!F102)</f>
        <v>1.1240839425335183</v>
      </c>
      <c r="G129" s="93">
        <f>IF(TrRoad_act!G71=0,0,TrRoad_ene!G74/TrRoad_tech!G102)</f>
        <v>1.108453286232882</v>
      </c>
      <c r="H129" s="93">
        <f>IF(TrRoad_act!H71=0,0,TrRoad_ene!H74/TrRoad_tech!H102)</f>
        <v>1.1997809802812291</v>
      </c>
      <c r="I129" s="93">
        <f>IF(TrRoad_act!I71=0,0,TrRoad_ene!I74/TrRoad_tech!I102)</f>
        <v>1.2821340875045195</v>
      </c>
      <c r="J129" s="93">
        <f>IF(TrRoad_act!J71=0,0,TrRoad_ene!J74/TrRoad_tech!J102)</f>
        <v>1.7434841665189198</v>
      </c>
      <c r="K129" s="93">
        <f>IF(TrRoad_act!K71=0,0,TrRoad_ene!K74/TrRoad_tech!K102)</f>
        <v>2.7002916278462865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0</v>
      </c>
      <c r="U129" s="93">
        <f>IF(TrRoad_act!U71=0,0,TrRoad_ene!U74/TrRoad_tech!U102)</f>
        <v>1.2880360075398356</v>
      </c>
      <c r="V129" s="93">
        <f>IF(TrRoad_act!V71=0,0,TrRoad_ene!V74/TrRoad_tech!V102)</f>
        <v>1.5169941257176758</v>
      </c>
      <c r="W129" s="93">
        <f>IF(TrRoad_act!W71=0,0,TrRoad_ene!W74/TrRoad_tech!W102)</f>
        <v>1.7615745070114985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1.1023903866091018</v>
      </c>
      <c r="D130" s="93">
        <f>IF(TrRoad_act!D72=0,0,TrRoad_ene!D75/TrRoad_tech!D103)</f>
        <v>1.1023903866091018</v>
      </c>
      <c r="E130" s="93">
        <f>IF(TrRoad_act!E72=0,0,TrRoad_ene!E75/TrRoad_tech!E103)</f>
        <v>1.1025022666628028</v>
      </c>
      <c r="F130" s="93">
        <f>IF(TrRoad_act!F72=0,0,TrRoad_ene!F75/TrRoad_tech!F103)</f>
        <v>1.1025022666628026</v>
      </c>
      <c r="G130" s="93">
        <f>IF(TrRoad_act!G72=0,0,TrRoad_ene!G75/TrRoad_tech!G103)</f>
        <v>1.1218981465279025</v>
      </c>
      <c r="H130" s="93">
        <f>IF(TrRoad_act!H72=0,0,TrRoad_ene!H75/TrRoad_tech!H103)</f>
        <v>1.1235824377874835</v>
      </c>
      <c r="I130" s="93">
        <f>IF(TrRoad_act!I72=0,0,TrRoad_ene!I75/TrRoad_tech!I103)</f>
        <v>1.136652404161159</v>
      </c>
      <c r="J130" s="93">
        <f>IF(TrRoad_act!J72=0,0,TrRoad_ene!J75/TrRoad_tech!J103)</f>
        <v>1.152302001880616</v>
      </c>
      <c r="K130" s="93">
        <f>IF(TrRoad_act!K72=0,0,TrRoad_ene!K75/TrRoad_tech!K103)</f>
        <v>1.1649958724144776</v>
      </c>
      <c r="L130" s="93">
        <f>IF(TrRoad_act!L72=0,0,TrRoad_ene!L75/TrRoad_tech!L103)</f>
        <v>1.1752266429000182</v>
      </c>
      <c r="M130" s="93">
        <f>IF(TrRoad_act!M72=0,0,TrRoad_ene!M75/TrRoad_tech!M103)</f>
        <v>1.1766607078769702</v>
      </c>
      <c r="N130" s="93">
        <f>IF(TrRoad_act!N72=0,0,TrRoad_ene!N75/TrRoad_tech!N103)</f>
        <v>1.1770437472423827</v>
      </c>
      <c r="O130" s="93">
        <f>IF(TrRoad_act!O72=0,0,TrRoad_ene!O75/TrRoad_tech!O103)</f>
        <v>1.1789340460484137</v>
      </c>
      <c r="P130" s="93">
        <f>IF(TrRoad_act!P72=0,0,TrRoad_ene!P75/TrRoad_tech!P103)</f>
        <v>1.1825521493107334</v>
      </c>
      <c r="Q130" s="93">
        <f>IF(TrRoad_act!Q72=0,0,TrRoad_ene!Q75/TrRoad_tech!Q103)</f>
        <v>1.1954761447447577</v>
      </c>
      <c r="R130" s="93">
        <f>IF(TrRoad_act!R72=0,0,TrRoad_ene!R75/TrRoad_tech!R103)</f>
        <v>1.2087103335292353</v>
      </c>
      <c r="S130" s="93">
        <f>IF(TrRoad_act!S72=0,0,TrRoad_ene!S75/TrRoad_tech!S103)</f>
        <v>1.2146521337337155</v>
      </c>
      <c r="T130" s="93">
        <f>IF(TrRoad_act!T72=0,0,TrRoad_ene!T75/TrRoad_tech!T103)</f>
        <v>1.2207132967011547</v>
      </c>
      <c r="U130" s="93">
        <f>IF(TrRoad_act!U72=0,0,TrRoad_ene!U75/TrRoad_tech!U103)</f>
        <v>1.2307028185102276</v>
      </c>
      <c r="V130" s="93">
        <f>IF(TrRoad_act!V72=0,0,TrRoad_ene!V75/TrRoad_tech!V103)</f>
        <v>1.2603845772264382</v>
      </c>
      <c r="W130" s="93">
        <f>IF(TrRoad_act!W72=0,0,TrRoad_ene!W75/TrRoad_tech!W103)</f>
        <v>1.2763084404778087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1.1745975952698526</v>
      </c>
      <c r="C132" s="150">
        <f>IF(TrRoad_act!C74=0,0,TrRoad_ene!C77/TrRoad_tech!C105)</f>
        <v>1.2463384820155903</v>
      </c>
      <c r="D132" s="150">
        <f>IF(TrRoad_act!D74=0,0,TrRoad_ene!D77/TrRoad_tech!D105)</f>
        <v>1.2196149511328376</v>
      </c>
      <c r="E132" s="150">
        <f>IF(TrRoad_act!E74=0,0,TrRoad_ene!E77/TrRoad_tech!E105)</f>
        <v>1.2060477377284471</v>
      </c>
      <c r="F132" s="150">
        <f>IF(TrRoad_act!F74=0,0,TrRoad_ene!F77/TrRoad_tech!F105)</f>
        <v>1.2244758739422619</v>
      </c>
      <c r="G132" s="150">
        <f>IF(TrRoad_act!G74=0,0,TrRoad_ene!G77/TrRoad_tech!G105)</f>
        <v>1.2340404863499639</v>
      </c>
      <c r="H132" s="150">
        <f>IF(TrRoad_act!H74=0,0,TrRoad_ene!H77/TrRoad_tech!H105)</f>
        <v>1.25454038544234</v>
      </c>
      <c r="I132" s="150">
        <f>IF(TrRoad_act!I74=0,0,TrRoad_ene!I77/TrRoad_tech!I105)</f>
        <v>1.2830997184531319</v>
      </c>
      <c r="J132" s="150">
        <f>IF(TrRoad_act!J74=0,0,TrRoad_ene!J77/TrRoad_tech!J105)</f>
        <v>1.267081879888355</v>
      </c>
      <c r="K132" s="150">
        <f>IF(TrRoad_act!K74=0,0,TrRoad_ene!K77/TrRoad_tech!K105)</f>
        <v>1.2219899741619551</v>
      </c>
      <c r="L132" s="150">
        <f>IF(TrRoad_act!L74=0,0,TrRoad_ene!L77/TrRoad_tech!L105)</f>
        <v>1.3413179023934092</v>
      </c>
      <c r="M132" s="150">
        <f>IF(TrRoad_act!M74=0,0,TrRoad_ene!M77/TrRoad_tech!M105)</f>
        <v>1.2403392774275164</v>
      </c>
      <c r="N132" s="150">
        <f>IF(TrRoad_act!N74=0,0,TrRoad_ene!N77/TrRoad_tech!N105)</f>
        <v>1.233337765192895</v>
      </c>
      <c r="O132" s="150">
        <f>IF(TrRoad_act!O74=0,0,TrRoad_ene!O77/TrRoad_tech!O105)</f>
        <v>1.227141012824174</v>
      </c>
      <c r="P132" s="150">
        <f>IF(TrRoad_act!P74=0,0,TrRoad_ene!P77/TrRoad_tech!P105)</f>
        <v>1.2160621657450816</v>
      </c>
      <c r="Q132" s="150">
        <f>IF(TrRoad_act!Q74=0,0,TrRoad_ene!Q77/TrRoad_tech!Q105)</f>
        <v>1.2254008777022722</v>
      </c>
      <c r="R132" s="150">
        <f>IF(TrRoad_act!R74=0,0,TrRoad_ene!R77/TrRoad_tech!R105)</f>
        <v>1.2132841568438093</v>
      </c>
      <c r="S132" s="150">
        <f>IF(TrRoad_act!S74=0,0,TrRoad_ene!S77/TrRoad_tech!S105)</f>
        <v>1.2307840786749211</v>
      </c>
      <c r="T132" s="150">
        <f>IF(TrRoad_act!T74=0,0,TrRoad_ene!T77/TrRoad_tech!T105)</f>
        <v>1.2396799692784592</v>
      </c>
      <c r="U132" s="150">
        <f>IF(TrRoad_act!U74=0,0,TrRoad_ene!U77/TrRoad_tech!U105)</f>
        <v>1.2430055749118614</v>
      </c>
      <c r="V132" s="150">
        <f>IF(TrRoad_act!V74=0,0,TrRoad_ene!V77/TrRoad_tech!V105)</f>
        <v>1.2457837319233551</v>
      </c>
      <c r="W132" s="150">
        <f>IF(TrRoad_act!W74=0,0,TrRoad_ene!W77/TrRoad_tech!W105)</f>
        <v>1.2700675139566298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1.1001307000475105</v>
      </c>
      <c r="D133" s="91">
        <f>IF(TrRoad_act!D75=0,0,TrRoad_ene!D78/TrRoad_tech!D106)</f>
        <v>1.1002827755281233</v>
      </c>
      <c r="E133" s="91">
        <f>IF(TrRoad_act!E75=0,0,TrRoad_ene!E78/TrRoad_tech!E106)</f>
        <v>1.1008963983121267</v>
      </c>
      <c r="F133" s="91">
        <f>IF(TrRoad_act!F75=0,0,TrRoad_ene!F78/TrRoad_tech!F106)</f>
        <v>1.1016565061309029</v>
      </c>
      <c r="G133" s="91">
        <f>IF(TrRoad_act!G75=0,0,TrRoad_ene!G78/TrRoad_tech!G106)</f>
        <v>1.1029312981186667</v>
      </c>
      <c r="H133" s="91">
        <f>IF(TrRoad_act!H75=0,0,TrRoad_ene!H78/TrRoad_tech!H106)</f>
        <v>1.1052734325817726</v>
      </c>
      <c r="I133" s="91">
        <f>IF(TrRoad_act!I75=0,0,TrRoad_ene!I78/TrRoad_tech!I106)</f>
        <v>1.107725198428233</v>
      </c>
      <c r="J133" s="91">
        <f>IF(TrRoad_act!J75=0,0,TrRoad_ene!J78/TrRoad_tech!J106)</f>
        <v>1.1095119163535878</v>
      </c>
      <c r="K133" s="91">
        <f>IF(TrRoad_act!K75=0,0,TrRoad_ene!K78/TrRoad_tech!K106)</f>
        <v>1.1114870472773144</v>
      </c>
      <c r="L133" s="91">
        <f>IF(TrRoad_act!L75=0,0,TrRoad_ene!L78/TrRoad_tech!L106)</f>
        <v>1.1209160786306278</v>
      </c>
      <c r="M133" s="91">
        <f>IF(TrRoad_act!M75=0,0,TrRoad_ene!M78/TrRoad_tech!M106)</f>
        <v>1.1232064916456403</v>
      </c>
      <c r="N133" s="91">
        <f>IF(TrRoad_act!N75=0,0,TrRoad_ene!N78/TrRoad_tech!N106)</f>
        <v>1.1286005079242492</v>
      </c>
      <c r="O133" s="91">
        <f>IF(TrRoad_act!O75=0,0,TrRoad_ene!O78/TrRoad_tech!O106)</f>
        <v>1.1357633263217315</v>
      </c>
      <c r="P133" s="91">
        <f>IF(TrRoad_act!P75=0,0,TrRoad_ene!P78/TrRoad_tech!P106)</f>
        <v>1.1461092057307212</v>
      </c>
      <c r="Q133" s="91">
        <f>IF(TrRoad_act!Q75=0,0,TrRoad_ene!Q78/TrRoad_tech!Q106)</f>
        <v>1.1532685368953075</v>
      </c>
      <c r="R133" s="91">
        <f>IF(TrRoad_act!R75=0,0,TrRoad_ene!R78/TrRoad_tech!R106)</f>
        <v>1.1631928944203516</v>
      </c>
      <c r="S133" s="91">
        <f>IF(TrRoad_act!S75=0,0,TrRoad_ene!S78/TrRoad_tech!S106)</f>
        <v>1.1696385757775736</v>
      </c>
      <c r="T133" s="91">
        <f>IF(TrRoad_act!T75=0,0,TrRoad_ene!T78/TrRoad_tech!T106)</f>
        <v>1.1898305558573885</v>
      </c>
      <c r="U133" s="91">
        <f>IF(TrRoad_act!U75=0,0,TrRoad_ene!U78/TrRoad_tech!U106)</f>
        <v>1.20497713330492</v>
      </c>
      <c r="V133" s="91">
        <f>IF(TrRoad_act!V75=0,0,TrRoad_ene!V78/TrRoad_tech!V106)</f>
        <v>1.2153186693121663</v>
      </c>
      <c r="W133" s="91">
        <f>IF(TrRoad_act!W75=0,0,TrRoad_ene!W78/TrRoad_tech!W106)</f>
        <v>1.2271600367781426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1.2021115048261946</v>
      </c>
      <c r="C134" s="91">
        <f>IF(TrRoad_act!C76=0,0,TrRoad_ene!C79/TrRoad_tech!C107)</f>
        <v>1.3327477775149623</v>
      </c>
      <c r="D134" s="91">
        <f>IF(TrRoad_act!D76=0,0,TrRoad_ene!D79/TrRoad_tech!D107)</f>
        <v>1.2758546675038156</v>
      </c>
      <c r="E134" s="91">
        <f>IF(TrRoad_act!E76=0,0,TrRoad_ene!E79/TrRoad_tech!E107)</f>
        <v>1.2596106777567209</v>
      </c>
      <c r="F134" s="91">
        <f>IF(TrRoad_act!F76=0,0,TrRoad_ene!F79/TrRoad_tech!F107)</f>
        <v>1.2681858506797652</v>
      </c>
      <c r="G134" s="91">
        <f>IF(TrRoad_act!G76=0,0,TrRoad_ene!G79/TrRoad_tech!G107)</f>
        <v>1.2808155730911952</v>
      </c>
      <c r="H134" s="91">
        <f>IF(TrRoad_act!H76=0,0,TrRoad_ene!H79/TrRoad_tech!H107)</f>
        <v>1.2992010218109944</v>
      </c>
      <c r="I134" s="91">
        <f>IF(TrRoad_act!I76=0,0,TrRoad_ene!I79/TrRoad_tech!I107)</f>
        <v>1.3243931476095347</v>
      </c>
      <c r="J134" s="91">
        <f>IF(TrRoad_act!J76=0,0,TrRoad_ene!J79/TrRoad_tech!J107)</f>
        <v>1.2933975395346957</v>
      </c>
      <c r="K134" s="91">
        <f>IF(TrRoad_act!K76=0,0,TrRoad_ene!K79/TrRoad_tech!K107)</f>
        <v>1.233685776490415</v>
      </c>
      <c r="L134" s="91">
        <f>IF(TrRoad_act!L76=0,0,TrRoad_ene!L79/TrRoad_tech!L107)</f>
        <v>1.350303173248818</v>
      </c>
      <c r="M134" s="91">
        <f>IF(TrRoad_act!M76=0,0,TrRoad_ene!M79/TrRoad_tech!M107)</f>
        <v>1.2414881030451561</v>
      </c>
      <c r="N134" s="91">
        <f>IF(TrRoad_act!N76=0,0,TrRoad_ene!N79/TrRoad_tech!N107)</f>
        <v>1.2356386331988078</v>
      </c>
      <c r="O134" s="91">
        <f>IF(TrRoad_act!O76=0,0,TrRoad_ene!O79/TrRoad_tech!O107)</f>
        <v>1.2312967759125408</v>
      </c>
      <c r="P134" s="91">
        <f>IF(TrRoad_act!P76=0,0,TrRoad_ene!P79/TrRoad_tech!P107)</f>
        <v>1.2221248095259005</v>
      </c>
      <c r="Q134" s="91">
        <f>IF(TrRoad_act!Q76=0,0,TrRoad_ene!Q79/TrRoad_tech!Q107)</f>
        <v>1.2346145222214746</v>
      </c>
      <c r="R134" s="91">
        <f>IF(TrRoad_act!R76=0,0,TrRoad_ene!R79/TrRoad_tech!R107)</f>
        <v>1.2244970224545104</v>
      </c>
      <c r="S134" s="91">
        <f>IF(TrRoad_act!S76=0,0,TrRoad_ene!S79/TrRoad_tech!S107)</f>
        <v>1.2450755448772075</v>
      </c>
      <c r="T134" s="91">
        <f>IF(TrRoad_act!T76=0,0,TrRoad_ene!T79/TrRoad_tech!T107)</f>
        <v>1.2558687728553681</v>
      </c>
      <c r="U134" s="91">
        <f>IF(TrRoad_act!U76=0,0,TrRoad_ene!U79/TrRoad_tech!U107)</f>
        <v>1.2596515090010991</v>
      </c>
      <c r="V134" s="91">
        <f>IF(TrRoad_act!V76=0,0,TrRoad_ene!V79/TrRoad_tech!V107)</f>
        <v>1.2608731125344625</v>
      </c>
      <c r="W134" s="91">
        <f>IF(TrRoad_act!W76=0,0,TrRoad_ene!W79/TrRoad_tech!W107)</f>
        <v>1.2868108140556176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1.2360000000066975</v>
      </c>
      <c r="O135" s="91">
        <f>IF(TrRoad_act!O77=0,0,TrRoad_ene!O80/TrRoad_tech!O108)</f>
        <v>1.236000000006698</v>
      </c>
      <c r="P135" s="91">
        <f>IF(TrRoad_act!P77=0,0,TrRoad_ene!P80/TrRoad_tech!P108)</f>
        <v>1.2481886832612157</v>
      </c>
      <c r="Q135" s="91">
        <f>IF(TrRoad_act!Q77=0,0,TrRoad_ene!Q80/TrRoad_tech!Q108)</f>
        <v>1.2552486645442913</v>
      </c>
      <c r="R135" s="91">
        <f>IF(TrRoad_act!R77=0,0,TrRoad_ene!R80/TrRoad_tech!R108)</f>
        <v>1.2218426099588746</v>
      </c>
      <c r="S135" s="91">
        <f>IF(TrRoad_act!S77=0,0,TrRoad_ene!S80/TrRoad_tech!S108)</f>
        <v>1.2280933272528367</v>
      </c>
      <c r="T135" s="91">
        <f>IF(TrRoad_act!T77=0,0,TrRoad_ene!T80/TrRoad_tech!T108)</f>
        <v>1.2339638042766667</v>
      </c>
      <c r="U135" s="91">
        <f>IF(TrRoad_act!U77=0,0,TrRoad_ene!U80/TrRoad_tech!U108)</f>
        <v>1.2418501367398753</v>
      </c>
      <c r="V135" s="91">
        <f>IF(TrRoad_act!V77=0,0,TrRoad_ene!V80/TrRoad_tech!V108)</f>
        <v>1.2465390359506223</v>
      </c>
      <c r="W135" s="91">
        <f>IF(TrRoad_act!W77=0,0,TrRoad_ene!W80/TrRoad_tech!W108)</f>
        <v>1.2488325572968588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1.2173333333398664</v>
      </c>
      <c r="N137" s="91">
        <f>IF(TrRoad_act!N79=0,0,TrRoad_ene!N82/TrRoad_tech!N110)</f>
        <v>1.2173333333398659</v>
      </c>
      <c r="O137" s="91">
        <f>IF(TrRoad_act!O79=0,0,TrRoad_ene!O82/TrRoad_tech!O110)</f>
        <v>1.2173333333398659</v>
      </c>
      <c r="P137" s="91">
        <f>IF(TrRoad_act!P79=0,0,TrRoad_ene!P82/TrRoad_tech!P110)</f>
        <v>1.2586531712780475</v>
      </c>
      <c r="Q137" s="91">
        <f>IF(TrRoad_act!Q79=0,0,TrRoad_ene!Q82/TrRoad_tech!Q110)</f>
        <v>1.2643666191551519</v>
      </c>
      <c r="R137" s="91">
        <f>IF(TrRoad_act!R79=0,0,TrRoad_ene!R82/TrRoad_tech!R110)</f>
        <v>1.3157592355235435</v>
      </c>
      <c r="S137" s="91">
        <f>IF(TrRoad_act!S79=0,0,TrRoad_ene!S82/TrRoad_tech!S110)</f>
        <v>1.3283532612944677</v>
      </c>
      <c r="T137" s="91">
        <f>IF(TrRoad_act!T79=0,0,TrRoad_ene!T82/TrRoad_tech!T110)</f>
        <v>1.3303008381361701</v>
      </c>
      <c r="U137" s="91">
        <f>IF(TrRoad_act!U79=0,0,TrRoad_ene!U82/TrRoad_tech!U110)</f>
        <v>1.3338691003277956</v>
      </c>
      <c r="V137" s="91">
        <f>IF(TrRoad_act!V79=0,0,TrRoad_ene!V82/TrRoad_tech!V110)</f>
        <v>1.3533878856593002</v>
      </c>
      <c r="W137" s="91">
        <f>IF(TrRoad_act!W79=0,0,TrRoad_ene!W82/TrRoad_tech!W110)</f>
        <v>1.3561366589864097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1.5185245103026552</v>
      </c>
      <c r="C138" s="151">
        <f>IF(TrRoad_act!C80=0,0,TrRoad_ene!C83/TrRoad_tech!C111)</f>
        <v>1.9653324761828737</v>
      </c>
      <c r="D138" s="151">
        <f>IF(TrRoad_act!D80=0,0,TrRoad_ene!D83/TrRoad_tech!D111)</f>
        <v>1.7481714497682412</v>
      </c>
      <c r="E138" s="151">
        <f>IF(TrRoad_act!E80=0,0,TrRoad_ene!E83/TrRoad_tech!E111)</f>
        <v>1.6890899269952124</v>
      </c>
      <c r="F138" s="151">
        <f>IF(TrRoad_act!F80=0,0,TrRoad_ene!F83/TrRoad_tech!F111)</f>
        <v>1.7775579633604295</v>
      </c>
      <c r="G138" s="151">
        <f>IF(TrRoad_act!G80=0,0,TrRoad_ene!G83/TrRoad_tech!G111)</f>
        <v>1.825906759067927</v>
      </c>
      <c r="H138" s="151">
        <f>IF(TrRoad_act!H80=0,0,TrRoad_ene!H83/TrRoad_tech!H111)</f>
        <v>1.9762139134511554</v>
      </c>
      <c r="I138" s="151">
        <f>IF(TrRoad_act!I80=0,0,TrRoad_ene!I83/TrRoad_tech!I111)</f>
        <v>2.0307848349570112</v>
      </c>
      <c r="J138" s="151">
        <f>IF(TrRoad_act!J80=0,0,TrRoad_ene!J83/TrRoad_tech!J111)</f>
        <v>1.9480094861905557</v>
      </c>
      <c r="K138" s="151">
        <f>IF(TrRoad_act!K80=0,0,TrRoad_ene!K83/TrRoad_tech!K111)</f>
        <v>1.6957764205242842</v>
      </c>
      <c r="L138" s="151">
        <f>IF(TrRoad_act!L80=0,0,TrRoad_ene!L83/TrRoad_tech!L111)</f>
        <v>2.3221250102170385</v>
      </c>
      <c r="M138" s="151">
        <f>IF(TrRoad_act!M80=0,0,TrRoad_ene!M83/TrRoad_tech!M111)</f>
        <v>1.9116345716114624</v>
      </c>
      <c r="N138" s="151">
        <f>IF(TrRoad_act!N80=0,0,TrRoad_ene!N83/TrRoad_tech!N111)</f>
        <v>1.9166046990132899</v>
      </c>
      <c r="O138" s="151">
        <f>IF(TrRoad_act!O80=0,0,TrRoad_ene!O83/TrRoad_tech!O111)</f>
        <v>1.8210192698619592</v>
      </c>
      <c r="P138" s="151">
        <f>IF(TrRoad_act!P80=0,0,TrRoad_ene!P83/TrRoad_tech!P111)</f>
        <v>1.8063631748556868</v>
      </c>
      <c r="Q138" s="151">
        <f>IF(TrRoad_act!Q80=0,0,TrRoad_ene!Q83/TrRoad_tech!Q111)</f>
        <v>1.8596610383745884</v>
      </c>
      <c r="R138" s="151">
        <f>IF(TrRoad_act!R80=0,0,TrRoad_ene!R83/TrRoad_tech!R111)</f>
        <v>1.7625900830645802</v>
      </c>
      <c r="S138" s="151">
        <f>IF(TrRoad_act!S80=0,0,TrRoad_ene!S83/TrRoad_tech!S111)</f>
        <v>1.8405041500485317</v>
      </c>
      <c r="T138" s="151">
        <f>IF(TrRoad_act!T80=0,0,TrRoad_ene!T83/TrRoad_tech!T111)</f>
        <v>1.861466030138248</v>
      </c>
      <c r="U138" s="151">
        <f>IF(TrRoad_act!U80=0,0,TrRoad_ene!U83/TrRoad_tech!U111)</f>
        <v>1.7956266754913488</v>
      </c>
      <c r="V138" s="151">
        <f>IF(TrRoad_act!V80=0,0,TrRoad_ene!V83/TrRoad_tech!V111)</f>
        <v>1.6804422142262581</v>
      </c>
      <c r="W138" s="151">
        <f>IF(TrRoad_act!W80=0,0,TrRoad_ene!W83/TrRoad_tech!W111)</f>
        <v>1.7874414866294208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1.1353494687160044</v>
      </c>
      <c r="C139" s="93">
        <f>IF(TrRoad_act!C81=0,0,TrRoad_ene!C84/TrRoad_tech!C112)</f>
        <v>1.179468295093792</v>
      </c>
      <c r="D139" s="93">
        <f>IF(TrRoad_act!D81=0,0,TrRoad_ene!D84/TrRoad_tech!D112)</f>
        <v>1.1598337435473305</v>
      </c>
      <c r="E139" s="93">
        <f>IF(TrRoad_act!E81=0,0,TrRoad_ene!E84/TrRoad_tech!E112)</f>
        <v>1.1554870628616893</v>
      </c>
      <c r="F139" s="93">
        <f>IF(TrRoad_act!F81=0,0,TrRoad_ene!F84/TrRoad_tech!F112)</f>
        <v>1.164302450365106</v>
      </c>
      <c r="G139" s="93">
        <f>IF(TrRoad_act!G81=0,0,TrRoad_ene!G84/TrRoad_tech!G112)</f>
        <v>1.1713438537747738</v>
      </c>
      <c r="H139" s="93">
        <f>IF(TrRoad_act!H81=0,0,TrRoad_ene!H84/TrRoad_tech!H112)</f>
        <v>1.1879877893439679</v>
      </c>
      <c r="I139" s="93">
        <f>IF(TrRoad_act!I81=0,0,TrRoad_ene!I84/TrRoad_tech!I112)</f>
        <v>1.1974549323607375</v>
      </c>
      <c r="J139" s="93">
        <f>IF(TrRoad_act!J81=0,0,TrRoad_ene!J84/TrRoad_tech!J112)</f>
        <v>1.1918643610197628</v>
      </c>
      <c r="K139" s="93">
        <f>IF(TrRoad_act!K81=0,0,TrRoad_ene!K84/TrRoad_tech!K112)</f>
        <v>1.169110738990468</v>
      </c>
      <c r="L139" s="93">
        <f>IF(TrRoad_act!L81=0,0,TrRoad_ene!L84/TrRoad_tech!L112)</f>
        <v>1.2370548482121451</v>
      </c>
      <c r="M139" s="93">
        <f>IF(TrRoad_act!M81=0,0,TrRoad_ene!M84/TrRoad_tech!M112)</f>
        <v>1.1988343040391938</v>
      </c>
      <c r="N139" s="93">
        <f>IF(TrRoad_act!N81=0,0,TrRoad_ene!N84/TrRoad_tech!N112)</f>
        <v>1.2018255516589478</v>
      </c>
      <c r="O139" s="93">
        <f>IF(TrRoad_act!O81=0,0,TrRoad_ene!O84/TrRoad_tech!O112)</f>
        <v>1.2072574265133045</v>
      </c>
      <c r="P139" s="93">
        <f>IF(TrRoad_act!P81=0,0,TrRoad_ene!P84/TrRoad_tech!P112)</f>
        <v>1.2134850585975587</v>
      </c>
      <c r="Q139" s="93">
        <f>IF(TrRoad_act!Q81=0,0,TrRoad_ene!Q84/TrRoad_tech!Q112)</f>
        <v>1.2235032923519866</v>
      </c>
      <c r="R139" s="93">
        <f>IF(TrRoad_act!R81=0,0,TrRoad_ene!R84/TrRoad_tech!R112)</f>
        <v>1.2264563717599446</v>
      </c>
      <c r="S139" s="93">
        <f>IF(TrRoad_act!S81=0,0,TrRoad_ene!S84/TrRoad_tech!S112)</f>
        <v>1.2539219112210851</v>
      </c>
      <c r="T139" s="93">
        <f>IF(TrRoad_act!T81=0,0,TrRoad_ene!T84/TrRoad_tech!T112)</f>
        <v>1.2744244356944061</v>
      </c>
      <c r="U139" s="93">
        <f>IF(TrRoad_act!U81=0,0,TrRoad_ene!U84/TrRoad_tech!U112)</f>
        <v>1.2807910808396032</v>
      </c>
      <c r="V139" s="93">
        <f>IF(TrRoad_act!V81=0,0,TrRoad_ene!V84/TrRoad_tech!V112)</f>
        <v>1.2785834383567936</v>
      </c>
      <c r="W139" s="93">
        <f>IF(TrRoad_act!W81=0,0,TrRoad_ene!W84/TrRoad_tech!W112)</f>
        <v>1.3159597136994698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2.7710974522954044</v>
      </c>
      <c r="C140" s="94">
        <f>IF(TrRoad_act!C82=0,0,TrRoad_ene!C85/TrRoad_tech!C113)</f>
        <v>5.2990930244941774</v>
      </c>
      <c r="D140" s="94">
        <f>IF(TrRoad_act!D82=0,0,TrRoad_ene!D85/TrRoad_tech!D113)</f>
        <v>4.5921416210953767</v>
      </c>
      <c r="E140" s="94">
        <f>IF(TrRoad_act!E82=0,0,TrRoad_ene!E85/TrRoad_tech!E113)</f>
        <v>4.5893361493353382</v>
      </c>
      <c r="F140" s="94">
        <f>IF(TrRoad_act!F82=0,0,TrRoad_ene!F85/TrRoad_tech!F113)</f>
        <v>4.4632573741052823</v>
      </c>
      <c r="G140" s="94">
        <f>IF(TrRoad_act!G82=0,0,TrRoad_ene!G85/TrRoad_tech!G113)</f>
        <v>4.9969897339001088</v>
      </c>
      <c r="H140" s="94">
        <f>IF(TrRoad_act!H82=0,0,TrRoad_ene!H85/TrRoad_tech!H113)</f>
        <v>5.1675945055251491</v>
      </c>
      <c r="I140" s="94">
        <f>IF(TrRoad_act!I82=0,0,TrRoad_ene!I85/TrRoad_tech!I113)</f>
        <v>5.6215407611972967</v>
      </c>
      <c r="J140" s="94">
        <f>IF(TrRoad_act!J82=0,0,TrRoad_ene!J85/TrRoad_tech!J113)</f>
        <v>5.0256972268901832</v>
      </c>
      <c r="K140" s="94">
        <f>IF(TrRoad_act!K82=0,0,TrRoad_ene!K85/TrRoad_tech!K113)</f>
        <v>4.2719887993074854</v>
      </c>
      <c r="L140" s="94">
        <f>IF(TrRoad_act!L82=0,0,TrRoad_ene!L85/TrRoad_tech!L113)</f>
        <v>6.5886689029889984</v>
      </c>
      <c r="M140" s="94">
        <f>IF(TrRoad_act!M82=0,0,TrRoad_ene!M85/TrRoad_tech!M113)</f>
        <v>3.7946639724430167</v>
      </c>
      <c r="N140" s="94">
        <f>IF(TrRoad_act!N82=0,0,TrRoad_ene!N85/TrRoad_tech!N113)</f>
        <v>3.2745954192484006</v>
      </c>
      <c r="O140" s="94">
        <f>IF(TrRoad_act!O82=0,0,TrRoad_ene!O85/TrRoad_tech!O113)</f>
        <v>2.8645252481963128</v>
      </c>
      <c r="P140" s="94">
        <f>IF(TrRoad_act!P82=0,0,TrRoad_ene!P85/TrRoad_tech!P113)</f>
        <v>2.7750020915474969</v>
      </c>
      <c r="Q140" s="94">
        <f>IF(TrRoad_act!Q82=0,0,TrRoad_ene!Q85/TrRoad_tech!Q113)</f>
        <v>2.7792049156386511</v>
      </c>
      <c r="R140" s="94">
        <f>IF(TrRoad_act!R82=0,0,TrRoad_ene!R85/TrRoad_tech!R113)</f>
        <v>2.5176269443931014</v>
      </c>
      <c r="S140" s="94">
        <f>IF(TrRoad_act!S82=0,0,TrRoad_ene!S85/TrRoad_tech!S113)</f>
        <v>2.8067999333719684</v>
      </c>
      <c r="T140" s="94">
        <f>IF(TrRoad_act!T82=0,0,TrRoad_ene!T85/TrRoad_tech!T113)</f>
        <v>2.7653199926432181</v>
      </c>
      <c r="U140" s="94">
        <f>IF(TrRoad_act!U82=0,0,TrRoad_ene!U85/TrRoad_tech!U113)</f>
        <v>2.6475289609127901</v>
      </c>
      <c r="V140" s="94">
        <f>IF(TrRoad_act!V82=0,0,TrRoad_ene!V85/TrRoad_tech!V113)</f>
        <v>2.2115167155473907</v>
      </c>
      <c r="W140" s="94">
        <f>IF(TrRoad_act!W82=0,0,TrRoad_ene!W85/TrRoad_tech!W113)</f>
        <v>2.5586330466869516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0</v>
      </c>
      <c r="C144" s="141">
        <v>3.5936251606179246</v>
      </c>
      <c r="D144" s="141">
        <v>3.5718939460544106</v>
      </c>
      <c r="E144" s="141">
        <v>3.5271854610464453</v>
      </c>
      <c r="F144" s="141">
        <v>3.5223009219931782</v>
      </c>
      <c r="G144" s="141">
        <v>3.4748511140471545</v>
      </c>
      <c r="H144" s="141">
        <v>3.4047729313033432</v>
      </c>
      <c r="I144" s="141">
        <v>3.3548310115954489</v>
      </c>
      <c r="J144" s="141">
        <v>3.2670512124122584</v>
      </c>
      <c r="K144" s="141">
        <v>3.1227086855439299</v>
      </c>
      <c r="L144" s="141">
        <v>3.0091340636772808</v>
      </c>
      <c r="M144" s="141">
        <v>2.8714065981388761</v>
      </c>
      <c r="N144" s="141">
        <v>2.8077919679699006</v>
      </c>
      <c r="O144" s="141">
        <v>2.7555785727720226</v>
      </c>
      <c r="P144" s="141">
        <v>2.6012903055035368</v>
      </c>
      <c r="Q144" s="141">
        <v>2.5205092965804723</v>
      </c>
      <c r="R144" s="141">
        <v>2.4944123160386007</v>
      </c>
      <c r="S144" s="141">
        <v>2.4735347316051035</v>
      </c>
      <c r="T144" s="141">
        <v>2.4568326640583056</v>
      </c>
      <c r="U144" s="141">
        <v>2.4434710100208674</v>
      </c>
      <c r="V144" s="141">
        <v>2.4327816867909169</v>
      </c>
      <c r="W144" s="141">
        <v>2.4242302282069561</v>
      </c>
      <c r="DA144" s="174" t="s">
        <v>885</v>
      </c>
    </row>
    <row r="145" spans="1:105" ht="11.45" customHeight="1" x14ac:dyDescent="0.25">
      <c r="A145" s="109" t="s">
        <v>20</v>
      </c>
      <c r="B145" s="130">
        <v>8.1265151820014552</v>
      </c>
      <c r="C145" s="130">
        <v>8.1001365437476363</v>
      </c>
      <c r="D145" s="130">
        <v>7.9681858000796311</v>
      </c>
      <c r="E145" s="130">
        <v>7.8763824621255623</v>
      </c>
      <c r="F145" s="130">
        <v>7.8632278995595986</v>
      </c>
      <c r="G145" s="130">
        <v>7.7474728976849789</v>
      </c>
      <c r="H145" s="130">
        <v>7.625645457224965</v>
      </c>
      <c r="I145" s="130">
        <v>7.4964939225269056</v>
      </c>
      <c r="J145" s="130">
        <v>7.1379202708422893</v>
      </c>
      <c r="K145" s="130">
        <v>6.7177246340827175</v>
      </c>
      <c r="L145" s="130">
        <v>6.4551289163671752</v>
      </c>
      <c r="M145" s="130">
        <v>6.0898435728117573</v>
      </c>
      <c r="N145" s="130">
        <v>6.1388345628601391</v>
      </c>
      <c r="O145" s="130">
        <v>5.8885169117004779</v>
      </c>
      <c r="P145" s="130">
        <v>5.6649753669397498</v>
      </c>
      <c r="Q145" s="130">
        <v>5.4525241614496709</v>
      </c>
      <c r="R145" s="130">
        <v>4.9842065640263682</v>
      </c>
      <c r="S145" s="130">
        <v>5.09536229372421</v>
      </c>
      <c r="T145" s="130">
        <v>5.1179233383391391</v>
      </c>
      <c r="U145" s="130">
        <v>5.1744854713803665</v>
      </c>
      <c r="V145" s="130">
        <v>4.9701152051594306</v>
      </c>
      <c r="W145" s="130">
        <v>4.9798982659333637</v>
      </c>
      <c r="DA145" s="176" t="s">
        <v>886</v>
      </c>
    </row>
    <row r="146" spans="1:105" ht="11.45" customHeight="1" x14ac:dyDescent="0.25">
      <c r="A146" s="111" t="s">
        <v>110</v>
      </c>
      <c r="B146" s="96">
        <v>8.4606113083710923</v>
      </c>
      <c r="C146" s="96">
        <v>8.4145509765918121</v>
      </c>
      <c r="D146" s="96">
        <v>8.3636668680509807</v>
      </c>
      <c r="E146" s="96">
        <v>8.2589809841951833</v>
      </c>
      <c r="F146" s="96">
        <v>8.2475437304405954</v>
      </c>
      <c r="G146" s="96">
        <v>8.13643897968171</v>
      </c>
      <c r="H146" s="96">
        <v>7.9723494003046218</v>
      </c>
      <c r="I146" s="96">
        <v>7.8554093159974769</v>
      </c>
      <c r="J146" s="96">
        <v>7.4740119152831621</v>
      </c>
      <c r="K146" s="96">
        <v>7.0626209001307885</v>
      </c>
      <c r="L146" s="96">
        <v>6.8057495173363574</v>
      </c>
      <c r="M146" s="96">
        <v>6.4843940634773363</v>
      </c>
      <c r="N146" s="96">
        <v>6.3051227235058285</v>
      </c>
      <c r="O146" s="96">
        <v>6.2308283366418697</v>
      </c>
      <c r="P146" s="96">
        <v>5.8845361798414384</v>
      </c>
      <c r="Q146" s="96">
        <v>5.7036476133173686</v>
      </c>
      <c r="R146" s="96">
        <v>5.4543018804372903</v>
      </c>
      <c r="S146" s="96">
        <v>5.3716778153854348</v>
      </c>
      <c r="T146" s="96">
        <v>5.3621128535798963</v>
      </c>
      <c r="U146" s="96">
        <v>5.3012975852044724</v>
      </c>
      <c r="V146" s="96">
        <v>5.2041412395498501</v>
      </c>
      <c r="W146" s="96">
        <v>5.0150865760904093</v>
      </c>
      <c r="DA146" s="171" t="s">
        <v>887</v>
      </c>
    </row>
    <row r="147" spans="1:105" ht="11.45" customHeight="1" x14ac:dyDescent="0.25">
      <c r="A147" s="111" t="s">
        <v>111</v>
      </c>
      <c r="B147" s="96">
        <v>7.0267766703761838</v>
      </c>
      <c r="C147" s="96">
        <v>7.0232856704851452</v>
      </c>
      <c r="D147" s="96">
        <v>7.0194088158258205</v>
      </c>
      <c r="E147" s="96">
        <v>7.0354008412955258</v>
      </c>
      <c r="F147" s="96">
        <v>6.9889997370917696</v>
      </c>
      <c r="G147" s="96">
        <v>7.0098378308856244</v>
      </c>
      <c r="H147" s="96">
        <v>7.0547851145921312</v>
      </c>
      <c r="I147" s="96">
        <v>6.9898477990484977</v>
      </c>
      <c r="J147" s="96">
        <v>6.6744899028543161</v>
      </c>
      <c r="K147" s="96">
        <v>6.4121964548095978</v>
      </c>
      <c r="L147" s="96">
        <v>6.1658950322345829</v>
      </c>
      <c r="M147" s="96">
        <v>5.9205814673374979</v>
      </c>
      <c r="N147" s="96">
        <v>5.8923552619777135</v>
      </c>
      <c r="O147" s="96">
        <v>5.6319113607580027</v>
      </c>
      <c r="P147" s="96">
        <v>5.5720728204157259</v>
      </c>
      <c r="Q147" s="96">
        <v>5.3323375740070063</v>
      </c>
      <c r="R147" s="96">
        <v>4.8711123095218598</v>
      </c>
      <c r="S147" s="96">
        <v>4.9929364147407549</v>
      </c>
      <c r="T147" s="96">
        <v>5.0369443405825933</v>
      </c>
      <c r="U147" s="96">
        <v>5.1400186691380183</v>
      </c>
      <c r="V147" s="96">
        <v>4.9149935765911348</v>
      </c>
      <c r="W147" s="96">
        <v>5.0356463973356522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7.7260837107303795</v>
      </c>
      <c r="D148" s="96">
        <v>7.7218189114558582</v>
      </c>
      <c r="E148" s="96">
        <v>7.7394112084632649</v>
      </c>
      <c r="F148" s="96">
        <v>7.6883668921463189</v>
      </c>
      <c r="G148" s="96">
        <v>7.7112901882468803</v>
      </c>
      <c r="H148" s="96">
        <v>7.7607352048358811</v>
      </c>
      <c r="I148" s="96">
        <v>7.6892998169876181</v>
      </c>
      <c r="J148" s="96">
        <v>7.3423850510006403</v>
      </c>
      <c r="K148" s="96">
        <v>7.0538447250836951</v>
      </c>
      <c r="L148" s="96">
        <v>5.8684524816548853</v>
      </c>
      <c r="M148" s="96">
        <v>5.9331956051272519</v>
      </c>
      <c r="N148" s="96">
        <v>6.481984664060767</v>
      </c>
      <c r="O148" s="96">
        <v>6.4586427624038691</v>
      </c>
      <c r="P148" s="96">
        <v>6.1331870371089705</v>
      </c>
      <c r="Q148" s="96">
        <v>6.0672524650366686</v>
      </c>
      <c r="R148" s="96">
        <v>5.4643742784814533</v>
      </c>
      <c r="S148" s="96">
        <v>5.8139127500779537</v>
      </c>
      <c r="T148" s="96">
        <v>5.8454248189794651</v>
      </c>
      <c r="U148" s="96">
        <v>5.9679930853040464</v>
      </c>
      <c r="V148" s="96">
        <v>4.7801054664109914</v>
      </c>
      <c r="W148" s="96">
        <v>4.597412269657255</v>
      </c>
      <c r="DA148" s="171" t="s">
        <v>889</v>
      </c>
    </row>
    <row r="149" spans="1:105" ht="11.45" customHeight="1" x14ac:dyDescent="0.25">
      <c r="A149" s="111" t="s">
        <v>113</v>
      </c>
      <c r="B149" s="96">
        <v>7.6481270900890852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8.3628112421511087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0</v>
      </c>
      <c r="S149" s="96">
        <v>0</v>
      </c>
      <c r="T149" s="96">
        <v>5.2589913013502239</v>
      </c>
      <c r="U149" s="96">
        <v>5.2963332514189831</v>
      </c>
      <c r="V149" s="96">
        <v>4.6097141935399071</v>
      </c>
      <c r="W149" s="96">
        <v>4.3807461103926695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3.1122818545186401</v>
      </c>
      <c r="O150" s="96">
        <v>4.0607259317854014</v>
      </c>
      <c r="P150" s="96">
        <v>3.7120352060590482</v>
      </c>
      <c r="Q150" s="96">
        <v>3.0803031871366242</v>
      </c>
      <c r="R150" s="96">
        <v>2.7621604353539442</v>
      </c>
      <c r="S150" s="96">
        <v>3.1942646879386833</v>
      </c>
      <c r="T150" s="96">
        <v>3.0608449480108635</v>
      </c>
      <c r="U150" s="96">
        <v>3.0697721300841314</v>
      </c>
      <c r="V150" s="96">
        <v>3.6948999897053083</v>
      </c>
      <c r="W150" s="96">
        <v>2.8733781135025387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0</v>
      </c>
      <c r="N151" s="96">
        <v>1.4120366083272058</v>
      </c>
      <c r="O151" s="96">
        <v>1.470335339638865</v>
      </c>
      <c r="P151" s="96">
        <v>1.0699143119755685</v>
      </c>
      <c r="Q151" s="96">
        <v>1.5224318446209097</v>
      </c>
      <c r="R151" s="96">
        <v>1.4638865004299226</v>
      </c>
      <c r="S151" s="96">
        <v>1.2565359856847387</v>
      </c>
      <c r="T151" s="96">
        <v>1.4506305531670962</v>
      </c>
      <c r="U151" s="96">
        <v>1.5813245569820422</v>
      </c>
      <c r="V151" s="96">
        <v>1.5332904412870016</v>
      </c>
      <c r="W151" s="96">
        <v>1.5394576908030035</v>
      </c>
      <c r="DA151" s="171" t="s">
        <v>892</v>
      </c>
    </row>
    <row r="152" spans="1:105" ht="11.45" customHeight="1" x14ac:dyDescent="0.25">
      <c r="A152" s="109" t="s">
        <v>21</v>
      </c>
      <c r="B152" s="130">
        <v>19.104912376706931</v>
      </c>
      <c r="C152" s="130">
        <v>45.772719607288714</v>
      </c>
      <c r="D152" s="130">
        <v>47.031255423921678</v>
      </c>
      <c r="E152" s="130">
        <v>47.078242753220096</v>
      </c>
      <c r="F152" s="130">
        <v>46.887863358646001</v>
      </c>
      <c r="G152" s="130">
        <v>45.090512009823343</v>
      </c>
      <c r="H152" s="130">
        <v>46.267341276540193</v>
      </c>
      <c r="I152" s="130">
        <v>44.179754740840558</v>
      </c>
      <c r="J152" s="130">
        <v>42.514857255511046</v>
      </c>
      <c r="K152" s="130">
        <v>40.955864027026834</v>
      </c>
      <c r="L152" s="130">
        <v>39.446477668877932</v>
      </c>
      <c r="M152" s="130">
        <v>44.652671606230022</v>
      </c>
      <c r="N152" s="130">
        <v>44.401178211844453</v>
      </c>
      <c r="O152" s="130">
        <v>43.635685273291848</v>
      </c>
      <c r="P152" s="130">
        <v>42.813957184241502</v>
      </c>
      <c r="Q152" s="130">
        <v>41.842712704483134</v>
      </c>
      <c r="R152" s="130">
        <v>41.189586580280618</v>
      </c>
      <c r="S152" s="130">
        <v>42.515508216996473</v>
      </c>
      <c r="T152" s="130">
        <v>41.84410088842111</v>
      </c>
      <c r="U152" s="130">
        <v>40.67106478446177</v>
      </c>
      <c r="V152" s="130">
        <v>30.980453463653493</v>
      </c>
      <c r="W152" s="130">
        <v>36.32913927555628</v>
      </c>
      <c r="DA152" s="176" t="s">
        <v>893</v>
      </c>
    </row>
    <row r="153" spans="1:105" ht="11.45" customHeight="1" x14ac:dyDescent="0.25">
      <c r="A153" s="111" t="s">
        <v>110</v>
      </c>
      <c r="B153" s="97">
        <v>17.712236626109782</v>
      </c>
      <c r="C153" s="97">
        <v>17.61580961087218</v>
      </c>
      <c r="D153" s="97">
        <v>17.509284049286325</v>
      </c>
      <c r="E153" s="97">
        <v>17.2901248090512</v>
      </c>
      <c r="F153" s="97">
        <v>17.266180990162638</v>
      </c>
      <c r="G153" s="97">
        <v>17.033583892388013</v>
      </c>
      <c r="H153" s="97">
        <v>16.69006338874188</v>
      </c>
      <c r="I153" s="97">
        <v>16.44525005684044</v>
      </c>
      <c r="J153" s="97">
        <v>15.646796994311583</v>
      </c>
      <c r="K153" s="97">
        <v>14.785552488370882</v>
      </c>
      <c r="L153" s="97">
        <v>14.247793862108336</v>
      </c>
      <c r="M153" s="97">
        <v>0</v>
      </c>
      <c r="N153" s="97">
        <v>0</v>
      </c>
      <c r="O153" s="97">
        <v>13.047247030170563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0</v>
      </c>
      <c r="C154" s="97">
        <v>47.686346065692071</v>
      </c>
      <c r="D154" s="97">
        <v>47.61392591157896</v>
      </c>
      <c r="E154" s="97">
        <v>47.463521137953038</v>
      </c>
      <c r="F154" s="97">
        <v>47.447071870794396</v>
      </c>
      <c r="G154" s="97">
        <v>47.285648053980033</v>
      </c>
      <c r="H154" s="97">
        <v>47.043581346665647</v>
      </c>
      <c r="I154" s="97">
        <v>46.869151146215088</v>
      </c>
      <c r="J154" s="97">
        <v>46.27875217482439</v>
      </c>
      <c r="K154" s="97">
        <v>45.614501734388313</v>
      </c>
      <c r="L154" s="97">
        <v>45.188114696546002</v>
      </c>
      <c r="M154" s="97">
        <v>44.652671606230022</v>
      </c>
      <c r="N154" s="97">
        <v>44.401178211844453</v>
      </c>
      <c r="O154" s="97">
        <v>44.191838695894049</v>
      </c>
      <c r="P154" s="97">
        <v>43.546134369478338</v>
      </c>
      <c r="Q154" s="97">
        <v>43.199999999908329</v>
      </c>
      <c r="R154" s="97">
        <v>42.890832063692613</v>
      </c>
      <c r="S154" s="97">
        <v>42.614473156037548</v>
      </c>
      <c r="T154" s="97">
        <v>42.367272936139841</v>
      </c>
      <c r="U154" s="97">
        <v>42.146019021488868</v>
      </c>
      <c r="V154" s="97">
        <v>41.947878580862081</v>
      </c>
      <c r="W154" s="97">
        <v>41.770348754296997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35.627044172481078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39.738621721410063</v>
      </c>
      <c r="D156" s="97">
        <v>0</v>
      </c>
      <c r="E156" s="97">
        <v>39.552934281627529</v>
      </c>
      <c r="F156" s="97">
        <v>39.539226558995331</v>
      </c>
      <c r="G156" s="97">
        <v>39.404706711650029</v>
      </c>
      <c r="H156" s="97">
        <v>39.202984455554706</v>
      </c>
      <c r="I156" s="97">
        <v>39.05762595517924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31.362184085948012</v>
      </c>
      <c r="V156" s="97">
        <v>30.536050560067689</v>
      </c>
      <c r="W156" s="97">
        <v>29.811153156270553</v>
      </c>
      <c r="DA156" s="175" t="s">
        <v>897</v>
      </c>
    </row>
    <row r="157" spans="1:105" ht="11.45" customHeight="1" x14ac:dyDescent="0.25">
      <c r="A157" s="111" t="s">
        <v>115</v>
      </c>
      <c r="B157" s="97">
        <v>33.341153382811143</v>
      </c>
      <c r="C157" s="97">
        <v>33.040932414140372</v>
      </c>
      <c r="D157" s="97">
        <v>0</v>
      </c>
      <c r="E157" s="97">
        <v>0</v>
      </c>
      <c r="F157" s="97">
        <v>0</v>
      </c>
      <c r="G157" s="97">
        <v>31.738987843702901</v>
      </c>
      <c r="H157" s="97">
        <v>31.421597965265867</v>
      </c>
      <c r="I157" s="97">
        <v>31.107381985613209</v>
      </c>
      <c r="J157" s="97">
        <v>30.796308165757075</v>
      </c>
      <c r="K157" s="97">
        <v>30.488345084099503</v>
      </c>
      <c r="L157" s="97">
        <v>30.18346163325851</v>
      </c>
      <c r="M157" s="97">
        <v>0</v>
      </c>
      <c r="N157" s="97">
        <v>0</v>
      </c>
      <c r="O157" s="97">
        <v>0</v>
      </c>
      <c r="P157" s="97">
        <v>28.994112812896205</v>
      </c>
      <c r="Q157" s="97">
        <v>28.704171684767246</v>
      </c>
      <c r="R157" s="97">
        <v>28.445704494710906</v>
      </c>
      <c r="S157" s="97">
        <v>28.215074525560922</v>
      </c>
      <c r="T157" s="97">
        <v>28.009106737637012</v>
      </c>
      <c r="U157" s="97">
        <v>27.825021575812155</v>
      </c>
      <c r="V157" s="97">
        <v>27.660379595101514</v>
      </c>
      <c r="W157" s="97">
        <v>27.513034913275618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8.0638817417911728</v>
      </c>
      <c r="C159" s="141">
        <v>8.0495662690804277</v>
      </c>
      <c r="D159" s="141">
        <v>8.123832157467616</v>
      </c>
      <c r="E159" s="141">
        <v>7.9829781383255805</v>
      </c>
      <c r="F159" s="141">
        <v>8.0802598752906771</v>
      </c>
      <c r="G159" s="141">
        <v>7.9895121701633087</v>
      </c>
      <c r="H159" s="141">
        <v>7.9766680715519929</v>
      </c>
      <c r="I159" s="141">
        <v>8.0179469485324031</v>
      </c>
      <c r="J159" s="141">
        <v>7.9812195156309436</v>
      </c>
      <c r="K159" s="141">
        <v>7.8682136564433822</v>
      </c>
      <c r="L159" s="141">
        <v>8.0688316754136391</v>
      </c>
      <c r="M159" s="141">
        <v>8.1409504478302228</v>
      </c>
      <c r="N159" s="141">
        <v>7.5471153997457305</v>
      </c>
      <c r="O159" s="141">
        <v>7.3651611995234321</v>
      </c>
      <c r="P159" s="141">
        <v>6.9455722559046729</v>
      </c>
      <c r="Q159" s="141">
        <v>6.8355418513713042</v>
      </c>
      <c r="R159" s="141">
        <v>6.5448054044698205</v>
      </c>
      <c r="S159" s="141">
        <v>6.5769916969336979</v>
      </c>
      <c r="T159" s="141">
        <v>6.4658134549888784</v>
      </c>
      <c r="U159" s="141">
        <v>6.3496388220962396</v>
      </c>
      <c r="V159" s="141">
        <v>6.4909166302267565</v>
      </c>
      <c r="W159" s="141">
        <v>6.3578450196277654</v>
      </c>
      <c r="DA159" s="174" t="s">
        <v>899</v>
      </c>
    </row>
    <row r="160" spans="1:105" ht="11.45" customHeight="1" x14ac:dyDescent="0.25">
      <c r="A160" s="111" t="s">
        <v>110</v>
      </c>
      <c r="B160" s="96">
        <v>7.6531728183568148</v>
      </c>
      <c r="C160" s="96">
        <v>7.6115082546120041</v>
      </c>
      <c r="D160" s="96">
        <v>7.5654802712692755</v>
      </c>
      <c r="E160" s="96">
        <v>7.4707850853554465</v>
      </c>
      <c r="F160" s="96">
        <v>7.4604393459802472</v>
      </c>
      <c r="G160" s="96">
        <v>7.3599378777640085</v>
      </c>
      <c r="H160" s="96">
        <v>7.211508188360618</v>
      </c>
      <c r="I160" s="96">
        <v>7.1057282816876448</v>
      </c>
      <c r="J160" s="96">
        <v>6.7607295441554385</v>
      </c>
      <c r="K160" s="96">
        <v>6.3885996329556125</v>
      </c>
      <c r="L160" s="96">
        <v>6.1562427720901347</v>
      </c>
      <c r="M160" s="96">
        <v>5.874472769060441</v>
      </c>
      <c r="N160" s="96">
        <v>5.7405629147419912</v>
      </c>
      <c r="O160" s="96">
        <v>6.0260520111539373</v>
      </c>
      <c r="P160" s="96">
        <v>5.7676742673792853</v>
      </c>
      <c r="Q160" s="96">
        <v>5.3484999648649456</v>
      </c>
      <c r="R160" s="96">
        <v>5.4020729125985048</v>
      </c>
      <c r="S160" s="96">
        <v>5.4165969106238379</v>
      </c>
      <c r="T160" s="96">
        <v>7.3800827781240859</v>
      </c>
      <c r="U160" s="96">
        <v>6.9681576639953766</v>
      </c>
      <c r="V160" s="96">
        <v>5.5454484735168634</v>
      </c>
      <c r="W160" s="96">
        <v>5.6009812162201449</v>
      </c>
      <c r="DA160" s="171" t="s">
        <v>900</v>
      </c>
    </row>
    <row r="161" spans="1:105" ht="11.45" customHeight="1" x14ac:dyDescent="0.25">
      <c r="A161" s="111" t="s">
        <v>111</v>
      </c>
      <c r="B161" s="96">
        <v>8.1512478180526173</v>
      </c>
      <c r="C161" s="96">
        <v>8.14719816533424</v>
      </c>
      <c r="D161" s="96">
        <v>8.1427009108226578</v>
      </c>
      <c r="E161" s="96">
        <v>8.1612520856829196</v>
      </c>
      <c r="F161" s="96">
        <v>8.1074255707474681</v>
      </c>
      <c r="G161" s="96">
        <v>8.131598313747201</v>
      </c>
      <c r="H161" s="96">
        <v>8.1837383582408094</v>
      </c>
      <c r="I161" s="96">
        <v>8.1084093451718768</v>
      </c>
      <c r="J161" s="96">
        <v>7.7425857984956936</v>
      </c>
      <c r="K161" s="96">
        <v>7.4383184229467343</v>
      </c>
      <c r="L161" s="96">
        <v>7.1526022222580377</v>
      </c>
      <c r="M161" s="96">
        <v>6.8680319627482351</v>
      </c>
      <c r="N161" s="96">
        <v>6.8352888138418209</v>
      </c>
      <c r="O161" s="96">
        <v>6.5647874236987862</v>
      </c>
      <c r="P161" s="96">
        <v>6.4247817550544681</v>
      </c>
      <c r="Q161" s="96">
        <v>6.3637002834582699</v>
      </c>
      <c r="R161" s="96">
        <v>6.0039896331023437</v>
      </c>
      <c r="S161" s="96">
        <v>5.8975561002782619</v>
      </c>
      <c r="T161" s="96">
        <v>6.2015236171848418</v>
      </c>
      <c r="U161" s="96">
        <v>6.168870437005026</v>
      </c>
      <c r="V161" s="96">
        <v>6.977534616458045</v>
      </c>
      <c r="W161" s="96">
        <v>7.124263129609373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7.1770862524199188</v>
      </c>
      <c r="O162" s="96">
        <v>0</v>
      </c>
      <c r="P162" s="96">
        <v>5.9259358517733016</v>
      </c>
      <c r="Q162" s="96">
        <v>7.2272756667725204</v>
      </c>
      <c r="R162" s="96">
        <v>7.2996672651824515</v>
      </c>
      <c r="S162" s="96">
        <v>5.6785737381784092</v>
      </c>
      <c r="T162" s="96">
        <v>5.6785737381784092</v>
      </c>
      <c r="U162" s="96">
        <v>6.508235485639541</v>
      </c>
      <c r="V162" s="96">
        <v>6.6493284481083137</v>
      </c>
      <c r="W162" s="96">
        <v>8.2064476645502271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1.4845354446728654</v>
      </c>
      <c r="N164" s="96">
        <v>0</v>
      </c>
      <c r="O164" s="96">
        <v>0</v>
      </c>
      <c r="P164" s="96">
        <v>1.470335339638865</v>
      </c>
      <c r="Q164" s="96">
        <v>1.3198853792075025</v>
      </c>
      <c r="R164" s="96">
        <v>1.3327601031814273</v>
      </c>
      <c r="S164" s="96">
        <v>1.418744625967326</v>
      </c>
      <c r="T164" s="96">
        <v>1.5359929773310257</v>
      </c>
      <c r="U164" s="96">
        <v>2.0378331900257955</v>
      </c>
      <c r="V164" s="96">
        <v>2.467755803955288</v>
      </c>
      <c r="W164" s="96">
        <v>2.4495270851246778</v>
      </c>
      <c r="DA164" s="171" t="s">
        <v>904</v>
      </c>
    </row>
    <row r="165" spans="1:105" ht="11.45" customHeight="1" x14ac:dyDescent="0.25">
      <c r="A165" s="109" t="s">
        <v>158</v>
      </c>
      <c r="B165" s="130">
        <v>26.956389495735085</v>
      </c>
      <c r="C165" s="130">
        <v>26.769460925441042</v>
      </c>
      <c r="D165" s="130">
        <v>26.634217273565891</v>
      </c>
      <c r="E165" s="130">
        <v>26.451555661112462</v>
      </c>
      <c r="F165" s="130">
        <v>26.55741587662898</v>
      </c>
      <c r="G165" s="130">
        <v>26.115295004264546</v>
      </c>
      <c r="H165" s="130">
        <v>26.148504301473775</v>
      </c>
      <c r="I165" s="130">
        <v>25.83545325750331</v>
      </c>
      <c r="J165" s="130">
        <v>25.290931011183805</v>
      </c>
      <c r="K165" s="130">
        <v>24.908891395702327</v>
      </c>
      <c r="L165" s="130">
        <v>25.466334845992023</v>
      </c>
      <c r="M165" s="130">
        <v>25.101506013430775</v>
      </c>
      <c r="N165" s="130">
        <v>24.549819430754606</v>
      </c>
      <c r="O165" s="130">
        <v>23.891650195531561</v>
      </c>
      <c r="P165" s="130">
        <v>24.170139611191704</v>
      </c>
      <c r="Q165" s="130">
        <v>24.18864772504654</v>
      </c>
      <c r="R165" s="130">
        <v>22.307784096863216</v>
      </c>
      <c r="S165" s="130">
        <v>21.740179361578615</v>
      </c>
      <c r="T165" s="130">
        <v>21.694849242032024</v>
      </c>
      <c r="U165" s="130">
        <v>20.761532818929076</v>
      </c>
      <c r="V165" s="130">
        <v>21.735833323157269</v>
      </c>
      <c r="W165" s="130">
        <v>20.535354233994013</v>
      </c>
      <c r="DA165" s="176" t="s">
        <v>905</v>
      </c>
    </row>
    <row r="166" spans="1:105" ht="11.45" customHeight="1" x14ac:dyDescent="0.25">
      <c r="A166" s="128" t="s">
        <v>27</v>
      </c>
      <c r="B166" s="97">
        <v>26.744840288051101</v>
      </c>
      <c r="C166" s="97">
        <v>26.638144329843865</v>
      </c>
      <c r="D166" s="97">
        <v>26.520092414257846</v>
      </c>
      <c r="E166" s="97">
        <v>26.373095805670992</v>
      </c>
      <c r="F166" s="97">
        <v>26.197528025234373</v>
      </c>
      <c r="G166" s="97">
        <v>25.993832045097577</v>
      </c>
      <c r="H166" s="97">
        <v>25.762517526046807</v>
      </c>
      <c r="I166" s="97">
        <v>25.504157678220771</v>
      </c>
      <c r="J166" s="97">
        <v>25.219385780347327</v>
      </c>
      <c r="K166" s="97">
        <v>24.908891395702327</v>
      </c>
      <c r="L166" s="97">
        <v>24.573416326469424</v>
      </c>
      <c r="M166" s="97">
        <v>24.213750348828022</v>
      </c>
      <c r="N166" s="97">
        <v>23.83072677273692</v>
      </c>
      <c r="O166" s="97">
        <v>23.425217870895061</v>
      </c>
      <c r="P166" s="97">
        <v>22.998130220315108</v>
      </c>
      <c r="Q166" s="97">
        <v>22.550399999952141</v>
      </c>
      <c r="R166" s="97">
        <v>22.013739845645219</v>
      </c>
      <c r="S166" s="97">
        <v>21.638077737630375</v>
      </c>
      <c r="T166" s="97">
        <v>21.243632524214789</v>
      </c>
      <c r="U166" s="97">
        <v>20.761532818929073</v>
      </c>
      <c r="V166" s="97">
        <v>20.725254179849649</v>
      </c>
      <c r="W166" s="97">
        <v>20.518001638051153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0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138.3487956692482</v>
      </c>
      <c r="C171" s="152">
        <v>137.83366552148917</v>
      </c>
      <c r="D171" s="152">
        <v>136.96722729909703</v>
      </c>
      <c r="E171" s="152">
        <v>136.06393062898425</v>
      </c>
      <c r="F171" s="152">
        <v>134.92369955029255</v>
      </c>
      <c r="G171" s="152">
        <v>133.71115039699583</v>
      </c>
      <c r="H171" s="152">
        <v>131.85781436983919</v>
      </c>
      <c r="I171" s="152">
        <v>128.85013369448046</v>
      </c>
      <c r="J171" s="152">
        <v>125.79836151874288</v>
      </c>
      <c r="K171" s="152">
        <v>124.48284786716974</v>
      </c>
      <c r="L171" s="152">
        <v>123.20737210907406</v>
      </c>
      <c r="M171" s="152">
        <v>118.71683980474258</v>
      </c>
      <c r="N171" s="152">
        <v>113.70274375549458</v>
      </c>
      <c r="O171" s="152">
        <v>109.02149863732555</v>
      </c>
      <c r="P171" s="152">
        <v>103.95388850675852</v>
      </c>
      <c r="Q171" s="152">
        <v>99.179519643329186</v>
      </c>
      <c r="R171" s="152">
        <v>94.529382088257506</v>
      </c>
      <c r="S171" s="152">
        <v>90.267274637195172</v>
      </c>
      <c r="T171" s="152">
        <v>86.653454067668889</v>
      </c>
      <c r="U171" s="152">
        <v>82.690132974367401</v>
      </c>
      <c r="V171" s="152">
        <v>79.782960933381432</v>
      </c>
      <c r="W171" s="152">
        <v>67.517157639778063</v>
      </c>
      <c r="DA171" s="174" t="s">
        <v>908</v>
      </c>
    </row>
    <row r="172" spans="1:105" ht="11.45" customHeight="1" x14ac:dyDescent="0.25">
      <c r="A172" s="109" t="s">
        <v>20</v>
      </c>
      <c r="B172" s="116">
        <v>272.90814574023005</v>
      </c>
      <c r="C172" s="116">
        <v>267.03322576437847</v>
      </c>
      <c r="D172" s="116">
        <v>264.98920989368315</v>
      </c>
      <c r="E172" s="116">
        <v>260.30366675914939</v>
      </c>
      <c r="F172" s="116">
        <v>254.48926732643264</v>
      </c>
      <c r="G172" s="116">
        <v>251.57030986499299</v>
      </c>
      <c r="H172" s="116">
        <v>247.24925863967468</v>
      </c>
      <c r="I172" s="116">
        <v>243.41487222889305</v>
      </c>
      <c r="J172" s="116">
        <v>239.3417697040741</v>
      </c>
      <c r="K172" s="116">
        <v>238.26938444912233</v>
      </c>
      <c r="L172" s="116">
        <v>236.372143234004</v>
      </c>
      <c r="M172" s="116">
        <v>232.77127779851645</v>
      </c>
      <c r="N172" s="116">
        <v>225.13834738773488</v>
      </c>
      <c r="O172" s="116">
        <v>227.00777285483611</v>
      </c>
      <c r="P172" s="116">
        <v>223.28914491059257</v>
      </c>
      <c r="Q172" s="116">
        <v>219.52567858166782</v>
      </c>
      <c r="R172" s="116">
        <v>215.62796760997264</v>
      </c>
      <c r="S172" s="116">
        <v>209.15770645783783</v>
      </c>
      <c r="T172" s="116">
        <v>203.04779578305306</v>
      </c>
      <c r="U172" s="116">
        <v>197.01053179076359</v>
      </c>
      <c r="V172" s="116">
        <v>191.13502339024635</v>
      </c>
      <c r="W172" s="116">
        <v>184.40055129035693</v>
      </c>
      <c r="DA172" s="176" t="s">
        <v>909</v>
      </c>
    </row>
    <row r="173" spans="1:105" ht="11.45" customHeight="1" x14ac:dyDescent="0.25">
      <c r="A173" s="111" t="s">
        <v>110</v>
      </c>
      <c r="B173" s="87">
        <v>275.3546907164008</v>
      </c>
      <c r="C173" s="87">
        <v>269.68527038895166</v>
      </c>
      <c r="D173" s="87">
        <v>266.87352910650822</v>
      </c>
      <c r="E173" s="87">
        <v>263.87142804472791</v>
      </c>
      <c r="F173" s="87">
        <v>260.49902616382036</v>
      </c>
      <c r="G173" s="87">
        <v>257.19092858408231</v>
      </c>
      <c r="H173" s="87">
        <v>252.96880254306089</v>
      </c>
      <c r="I173" s="87">
        <v>248.49010197706767</v>
      </c>
      <c r="J173" s="87">
        <v>245.22265086518698</v>
      </c>
      <c r="K173" s="87">
        <v>243.44278855842362</v>
      </c>
      <c r="L173" s="87">
        <v>241.16972367732782</v>
      </c>
      <c r="M173" s="87">
        <v>238.93211620074877</v>
      </c>
      <c r="N173" s="87">
        <v>236.92733216222138</v>
      </c>
      <c r="O173" s="87">
        <v>234.34645639900847</v>
      </c>
      <c r="P173" s="87">
        <v>231.42390566224495</v>
      </c>
      <c r="Q173" s="87">
        <v>225.7073008747293</v>
      </c>
      <c r="R173" s="87">
        <v>220.39154956682091</v>
      </c>
      <c r="S173" s="87">
        <v>213.45239133960357</v>
      </c>
      <c r="T173" s="87">
        <v>205.78610011485847</v>
      </c>
      <c r="U173" s="87">
        <v>197.50990576605304</v>
      </c>
      <c r="V173" s="87">
        <v>191.15798526002234</v>
      </c>
      <c r="W173" s="87">
        <v>182.32400025304227</v>
      </c>
      <c r="DA173" s="171" t="s">
        <v>910</v>
      </c>
    </row>
    <row r="174" spans="1:105" ht="11.45" customHeight="1" x14ac:dyDescent="0.25">
      <c r="A174" s="111" t="s">
        <v>111</v>
      </c>
      <c r="B174" s="87">
        <v>245.74621659537868</v>
      </c>
      <c r="C174" s="87">
        <v>233.6204861032322</v>
      </c>
      <c r="D174" s="87">
        <v>229.00321721087747</v>
      </c>
      <c r="E174" s="87">
        <v>225.81411555499128</v>
      </c>
      <c r="F174" s="87">
        <v>223.5124657690701</v>
      </c>
      <c r="G174" s="87">
        <v>221.84050864026355</v>
      </c>
      <c r="H174" s="87">
        <v>219.5410539661263</v>
      </c>
      <c r="I174" s="87">
        <v>217.93320138873818</v>
      </c>
      <c r="J174" s="87">
        <v>217.76363665339713</v>
      </c>
      <c r="K174" s="87">
        <v>217.55626286561136</v>
      </c>
      <c r="L174" s="87">
        <v>217.13355244131986</v>
      </c>
      <c r="M174" s="87">
        <v>216.33742217253732</v>
      </c>
      <c r="N174" s="87">
        <v>215.38349655277167</v>
      </c>
      <c r="O174" s="87">
        <v>212.85932116131676</v>
      </c>
      <c r="P174" s="87">
        <v>209.53275053862447</v>
      </c>
      <c r="Q174" s="87">
        <v>205.72015408381171</v>
      </c>
      <c r="R174" s="87">
        <v>201.53884780592287</v>
      </c>
      <c r="S174" s="87">
        <v>197.29226050165471</v>
      </c>
      <c r="T174" s="87">
        <v>192.54926614584167</v>
      </c>
      <c r="U174" s="87">
        <v>188.30761795159577</v>
      </c>
      <c r="V174" s="87">
        <v>183.86155541338428</v>
      </c>
      <c r="W174" s="87">
        <v>179.0509482115518</v>
      </c>
      <c r="DA174" s="171" t="s">
        <v>911</v>
      </c>
    </row>
    <row r="175" spans="1:105" ht="11.45" customHeight="1" x14ac:dyDescent="0.25">
      <c r="A175" s="111" t="s">
        <v>112</v>
      </c>
      <c r="B175" s="87">
        <v>223.934117364266</v>
      </c>
      <c r="C175" s="87">
        <v>214.07028338783627</v>
      </c>
      <c r="D175" s="87">
        <v>210.4964567157628</v>
      </c>
      <c r="E175" s="87">
        <v>205.04116728499082</v>
      </c>
      <c r="F175" s="87">
        <v>200.18990883811912</v>
      </c>
      <c r="G175" s="87">
        <v>198.77726614445231</v>
      </c>
      <c r="H175" s="87">
        <v>198.58189208860566</v>
      </c>
      <c r="I175" s="87">
        <v>197.59198175595242</v>
      </c>
      <c r="J175" s="87">
        <v>196.57101667146651</v>
      </c>
      <c r="K175" s="87">
        <v>195.85678814215063</v>
      </c>
      <c r="L175" s="87">
        <v>196.20580413141249</v>
      </c>
      <c r="M175" s="87">
        <v>198.96374519125587</v>
      </c>
      <c r="N175" s="87">
        <v>201.35001031504783</v>
      </c>
      <c r="O175" s="87">
        <v>200.32408317596406</v>
      </c>
      <c r="P175" s="87">
        <v>197.86607245389285</v>
      </c>
      <c r="Q175" s="87">
        <v>198.07776133324001</v>
      </c>
      <c r="R175" s="87">
        <v>197.24103796927537</v>
      </c>
      <c r="S175" s="87">
        <v>196.82770687157492</v>
      </c>
      <c r="T175" s="87">
        <v>196.70640432556513</v>
      </c>
      <c r="U175" s="87">
        <v>196.51835861035238</v>
      </c>
      <c r="V175" s="87">
        <v>196.25327763541748</v>
      </c>
      <c r="W175" s="87">
        <v>194.27368127167114</v>
      </c>
      <c r="DA175" s="171" t="s">
        <v>912</v>
      </c>
    </row>
    <row r="176" spans="1:105" ht="11.45" customHeight="1" x14ac:dyDescent="0.25">
      <c r="A176" s="111" t="s">
        <v>113</v>
      </c>
      <c r="B176" s="87">
        <v>185.40850703266722</v>
      </c>
      <c r="C176" s="87">
        <v>185.26774085241283</v>
      </c>
      <c r="D176" s="87">
        <v>185.25580764135756</v>
      </c>
      <c r="E176" s="87">
        <v>185.23746554000769</v>
      </c>
      <c r="F176" s="87">
        <v>185.21139190348137</v>
      </c>
      <c r="G176" s="87">
        <v>185.20300906350414</v>
      </c>
      <c r="H176" s="87">
        <v>185.11775300361887</v>
      </c>
      <c r="I176" s="87">
        <v>185.05045293750882</v>
      </c>
      <c r="J176" s="87">
        <v>185.01826334371188</v>
      </c>
      <c r="K176" s="87">
        <v>186.16232339090854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0</v>
      </c>
      <c r="R176" s="87">
        <v>0</v>
      </c>
      <c r="S176" s="87">
        <v>0</v>
      </c>
      <c r="T176" s="87">
        <v>123.52291421856643</v>
      </c>
      <c r="U176" s="87">
        <v>123.60486091723753</v>
      </c>
      <c r="V176" s="87">
        <v>120.76327211988119</v>
      </c>
      <c r="W176" s="87">
        <v>118.4741964971472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59.331645569620264</v>
      </c>
      <c r="O177" s="87">
        <v>71.797600602226026</v>
      </c>
      <c r="P177" s="87">
        <v>72.120988439936994</v>
      </c>
      <c r="Q177" s="87">
        <v>62.499666892281795</v>
      </c>
      <c r="R177" s="87">
        <v>51.783265745133086</v>
      </c>
      <c r="S177" s="87">
        <v>55.385784017608749</v>
      </c>
      <c r="T177" s="87">
        <v>55.347185015896137</v>
      </c>
      <c r="U177" s="87">
        <v>54.70034291186689</v>
      </c>
      <c r="V177" s="87">
        <v>57.831073005177096</v>
      </c>
      <c r="W177" s="87">
        <v>49.798700160766131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1197.8641552946644</v>
      </c>
      <c r="C179" s="116">
        <v>1444.4179664210087</v>
      </c>
      <c r="D179" s="116">
        <v>1469.2865978313405</v>
      </c>
      <c r="E179" s="116">
        <v>1450.2581562729511</v>
      </c>
      <c r="F179" s="116">
        <v>1429.2905057926471</v>
      </c>
      <c r="G179" s="116">
        <v>1320.0379168169577</v>
      </c>
      <c r="H179" s="116">
        <v>1395.1301299205847</v>
      </c>
      <c r="I179" s="116">
        <v>1309.970470443867</v>
      </c>
      <c r="J179" s="116">
        <v>1185.0331543142347</v>
      </c>
      <c r="K179" s="116">
        <v>1074.7159856227265</v>
      </c>
      <c r="L179" s="116">
        <v>978.30213261346864</v>
      </c>
      <c r="M179" s="116">
        <v>1382.5398228735673</v>
      </c>
      <c r="N179" s="116">
        <v>1381.6619832231413</v>
      </c>
      <c r="O179" s="116">
        <v>1382.3641832678352</v>
      </c>
      <c r="P179" s="116">
        <v>1333.8051303112472</v>
      </c>
      <c r="Q179" s="116">
        <v>1281.0274854249749</v>
      </c>
      <c r="R179" s="116">
        <v>1260.091809370281</v>
      </c>
      <c r="S179" s="116">
        <v>1344.9177850211508</v>
      </c>
      <c r="T179" s="116">
        <v>1307.1594323810368</v>
      </c>
      <c r="U179" s="116">
        <v>1256.8010749612051</v>
      </c>
      <c r="V179" s="116">
        <v>662.95690074778952</v>
      </c>
      <c r="W179" s="116">
        <v>1076.5054874677062</v>
      </c>
      <c r="DA179" s="176" t="s">
        <v>916</v>
      </c>
    </row>
    <row r="180" spans="1:105" ht="11.45" customHeight="1" x14ac:dyDescent="0.25">
      <c r="A180" s="111" t="s">
        <v>110</v>
      </c>
      <c r="B180" s="101">
        <v>593.78064224995774</v>
      </c>
      <c r="C180" s="101">
        <v>562.18630345515101</v>
      </c>
      <c r="D180" s="101">
        <v>558.8533158934697</v>
      </c>
      <c r="E180" s="101">
        <v>556.16806422328477</v>
      </c>
      <c r="F180" s="101">
        <v>554.06101753096277</v>
      </c>
      <c r="G180" s="101">
        <v>551.33845822327532</v>
      </c>
      <c r="H180" s="101">
        <v>548.31902586251226</v>
      </c>
      <c r="I180" s="101">
        <v>541.97761306790255</v>
      </c>
      <c r="J180" s="101">
        <v>537.16053057513329</v>
      </c>
      <c r="K180" s="101">
        <v>532.47324595053817</v>
      </c>
      <c r="L180" s="101">
        <v>527.12515322683362</v>
      </c>
      <c r="M180" s="101">
        <v>512.8391526316409</v>
      </c>
      <c r="N180" s="101">
        <v>505.98851639241968</v>
      </c>
      <c r="O180" s="101">
        <v>489.35262112202815</v>
      </c>
      <c r="P180" s="101">
        <v>479.0967568628601</v>
      </c>
      <c r="Q180" s="101">
        <v>471.96839572849257</v>
      </c>
      <c r="R180" s="101">
        <v>459.71750280173802</v>
      </c>
      <c r="S180" s="101">
        <v>456.9878714782572</v>
      </c>
      <c r="T180" s="101">
        <v>450.95805101227455</v>
      </c>
      <c r="U180" s="101">
        <v>447.00591774340029</v>
      </c>
      <c r="V180" s="101">
        <v>440.26630223144883</v>
      </c>
      <c r="W180" s="101">
        <v>442.81973645664954</v>
      </c>
      <c r="DA180" s="175" t="s">
        <v>917</v>
      </c>
    </row>
    <row r="181" spans="1:105" ht="11.45" customHeight="1" x14ac:dyDescent="0.25">
      <c r="A181" s="111" t="s">
        <v>111</v>
      </c>
      <c r="B181" s="101">
        <v>1628.9032102498716</v>
      </c>
      <c r="C181" s="101">
        <v>1594.8400091522233</v>
      </c>
      <c r="D181" s="101">
        <v>1562.0280684663339</v>
      </c>
      <c r="E181" s="101">
        <v>1533.504912294758</v>
      </c>
      <c r="F181" s="101">
        <v>1517.7728100622321</v>
      </c>
      <c r="G181" s="101">
        <v>1505.7584911460206</v>
      </c>
      <c r="H181" s="101">
        <v>1494.410132381556</v>
      </c>
      <c r="I181" s="101">
        <v>1485.4855180422605</v>
      </c>
      <c r="J181" s="101">
        <v>1474.8230738598152</v>
      </c>
      <c r="K181" s="101">
        <v>1465.0188696522798</v>
      </c>
      <c r="L181" s="101">
        <v>1461.4556080584236</v>
      </c>
      <c r="M181" s="101">
        <v>1455.5264649598028</v>
      </c>
      <c r="N181" s="101">
        <v>1446.9180927004757</v>
      </c>
      <c r="O181" s="101">
        <v>1438.4409911880648</v>
      </c>
      <c r="P181" s="101">
        <v>1430.2706550243054</v>
      </c>
      <c r="Q181" s="101">
        <v>1416.6288922228114</v>
      </c>
      <c r="R181" s="101">
        <v>1404.5794171886823</v>
      </c>
      <c r="S181" s="101">
        <v>1389.7168933799883</v>
      </c>
      <c r="T181" s="101">
        <v>1376.9808122740187</v>
      </c>
      <c r="U181" s="101">
        <v>1365.2649252721014</v>
      </c>
      <c r="V181" s="101">
        <v>1359.7618071998581</v>
      </c>
      <c r="W181" s="101">
        <v>1349.4144957299327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941.22047689587941</v>
      </c>
      <c r="S182" s="101">
        <v>941.22047689587941</v>
      </c>
      <c r="T182" s="101">
        <v>941.2204768958793</v>
      </c>
      <c r="U182" s="101">
        <v>941.2204768958793</v>
      </c>
      <c r="V182" s="101">
        <v>941.22047689587941</v>
      </c>
      <c r="W182" s="101">
        <v>941.2204768958793</v>
      </c>
      <c r="DA182" s="175" t="s">
        <v>919</v>
      </c>
    </row>
    <row r="183" spans="1:105" ht="11.45" customHeight="1" x14ac:dyDescent="0.25">
      <c r="A183" s="111" t="s">
        <v>113</v>
      </c>
      <c r="B183" s="101">
        <v>1027.6403405008464</v>
      </c>
      <c r="C183" s="101">
        <v>989.40562326160682</v>
      </c>
      <c r="D183" s="101">
        <v>984.55449666465586</v>
      </c>
      <c r="E183" s="101">
        <v>974.10333526995839</v>
      </c>
      <c r="F183" s="101">
        <v>961.32761490329096</v>
      </c>
      <c r="G183" s="101">
        <v>949.43026470584653</v>
      </c>
      <c r="H183" s="101">
        <v>940.53541451178705</v>
      </c>
      <c r="I183" s="101">
        <v>932.72060053301107</v>
      </c>
      <c r="J183" s="101">
        <v>921.85484373441238</v>
      </c>
      <c r="K183" s="101">
        <v>917.3834874387004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736.63334897717436</v>
      </c>
      <c r="V183" s="101">
        <v>721.63038819110909</v>
      </c>
      <c r="W183" s="101">
        <v>708.54226024815671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268.86311417025001</v>
      </c>
      <c r="C186" s="152">
        <v>262.65869263366824</v>
      </c>
      <c r="D186" s="152">
        <v>262.69872173779504</v>
      </c>
      <c r="E186" s="152">
        <v>253.29206477032861</v>
      </c>
      <c r="F186" s="152">
        <v>254.7226788345917</v>
      </c>
      <c r="G186" s="152">
        <v>248.29674709242863</v>
      </c>
      <c r="H186" s="152">
        <v>247.5839419320011</v>
      </c>
      <c r="I186" s="152">
        <v>247.52366216674974</v>
      </c>
      <c r="J186" s="152">
        <v>240.17139036918516</v>
      </c>
      <c r="K186" s="152">
        <v>233.82085749705126</v>
      </c>
      <c r="L186" s="152">
        <v>217.44680322786036</v>
      </c>
      <c r="M186" s="152">
        <v>208.78591002105478</v>
      </c>
      <c r="N186" s="152">
        <v>221.17946155826559</v>
      </c>
      <c r="O186" s="152">
        <v>217.38413241530387</v>
      </c>
      <c r="P186" s="152">
        <v>223.13626978741868</v>
      </c>
      <c r="Q186" s="152">
        <v>221.14093286257554</v>
      </c>
      <c r="R186" s="152">
        <v>214.9972537577392</v>
      </c>
      <c r="S186" s="152">
        <v>205.6643963217513</v>
      </c>
      <c r="T186" s="152">
        <v>217.55970568294632</v>
      </c>
      <c r="U186" s="152">
        <v>215.62907704782808</v>
      </c>
      <c r="V186" s="152">
        <v>232.77895489256758</v>
      </c>
      <c r="W186" s="152">
        <v>239.64130467377817</v>
      </c>
      <c r="DA186" s="174" t="s">
        <v>922</v>
      </c>
    </row>
    <row r="187" spans="1:105" ht="11.45" customHeight="1" x14ac:dyDescent="0.25">
      <c r="A187" s="111" t="s">
        <v>110</v>
      </c>
      <c r="B187" s="87">
        <v>249.0762141871204</v>
      </c>
      <c r="C187" s="87">
        <v>245.53147333642309</v>
      </c>
      <c r="D187" s="87">
        <v>244.32661214923507</v>
      </c>
      <c r="E187" s="87">
        <v>241.63516047090482</v>
      </c>
      <c r="F187" s="87">
        <v>239.33601866194533</v>
      </c>
      <c r="G187" s="87">
        <v>236.54141253558043</v>
      </c>
      <c r="H187" s="87">
        <v>233.07092801075376</v>
      </c>
      <c r="I187" s="87">
        <v>230.2238915362984</v>
      </c>
      <c r="J187" s="87">
        <v>227.21725420724263</v>
      </c>
      <c r="K187" s="87">
        <v>223.68377338490293</v>
      </c>
      <c r="L187" s="87">
        <v>215.91424580461464</v>
      </c>
      <c r="M187" s="87">
        <v>215.12228020668357</v>
      </c>
      <c r="N187" s="87">
        <v>212.61469749632334</v>
      </c>
      <c r="O187" s="87">
        <v>209.88457360118528</v>
      </c>
      <c r="P187" s="87">
        <v>206.04190508673253</v>
      </c>
      <c r="Q187" s="87">
        <v>203.04644969160165</v>
      </c>
      <c r="R187" s="87">
        <v>199.40507872394593</v>
      </c>
      <c r="S187" s="87">
        <v>197.16675957100514</v>
      </c>
      <c r="T187" s="87">
        <v>196.46630218483139</v>
      </c>
      <c r="U187" s="87">
        <v>194.38787541797532</v>
      </c>
      <c r="V187" s="87">
        <v>191.90806158130979</v>
      </c>
      <c r="W187" s="87">
        <v>189.31923794795728</v>
      </c>
      <c r="DA187" s="171" t="s">
        <v>923</v>
      </c>
    </row>
    <row r="188" spans="1:105" ht="11.45" customHeight="1" x14ac:dyDescent="0.25">
      <c r="A188" s="111" t="s">
        <v>111</v>
      </c>
      <c r="B188" s="87">
        <v>285.07214698635426</v>
      </c>
      <c r="C188" s="87">
        <v>269.98204348228029</v>
      </c>
      <c r="D188" s="87">
        <v>263.11721794127857</v>
      </c>
      <c r="E188" s="87">
        <v>258.50325418893289</v>
      </c>
      <c r="F188" s="87">
        <v>256.59571892795861</v>
      </c>
      <c r="G188" s="87">
        <v>252.84925797062439</v>
      </c>
      <c r="H188" s="87">
        <v>252.89234357850765</v>
      </c>
      <c r="I188" s="87">
        <v>252.74364182237977</v>
      </c>
      <c r="J188" s="87">
        <v>252.35818556496687</v>
      </c>
      <c r="K188" s="87">
        <v>252.07991294989503</v>
      </c>
      <c r="L188" s="87">
        <v>251.98706060589365</v>
      </c>
      <c r="M188" s="87">
        <v>252.20525116536578</v>
      </c>
      <c r="N188" s="87">
        <v>249.53189390460349</v>
      </c>
      <c r="O188" s="87">
        <v>245.87157540648209</v>
      </c>
      <c r="P188" s="87">
        <v>242.14090794479787</v>
      </c>
      <c r="Q188" s="87">
        <v>237.70735880451792</v>
      </c>
      <c r="R188" s="87">
        <v>233.6894304118218</v>
      </c>
      <c r="S188" s="87">
        <v>228.94743138597994</v>
      </c>
      <c r="T188" s="87">
        <v>224.49874165074488</v>
      </c>
      <c r="U188" s="87">
        <v>219.5757569675973</v>
      </c>
      <c r="V188" s="87">
        <v>216.0552651594476</v>
      </c>
      <c r="W188" s="87">
        <v>213.21026235340128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189.60934599349616</v>
      </c>
      <c r="O189" s="87">
        <v>189.60934599349611</v>
      </c>
      <c r="P189" s="87">
        <v>178.49617857641465</v>
      </c>
      <c r="Q189" s="87">
        <v>179.58905987033285</v>
      </c>
      <c r="R189" s="87">
        <v>223.40435469640298</v>
      </c>
      <c r="S189" s="87">
        <v>207.96164377409255</v>
      </c>
      <c r="T189" s="87">
        <v>198.09675566446447</v>
      </c>
      <c r="U189" s="87">
        <v>190.46164186828028</v>
      </c>
      <c r="V189" s="87">
        <v>190.39289704801709</v>
      </c>
      <c r="W189" s="87">
        <v>190.47152528252965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872.17197064782545</v>
      </c>
      <c r="C192" s="116">
        <v>869.78870879246119</v>
      </c>
      <c r="D192" s="116">
        <v>867.1978469968476</v>
      </c>
      <c r="E192" s="116">
        <v>864.22010590445507</v>
      </c>
      <c r="F192" s="116">
        <v>861.75559508114475</v>
      </c>
      <c r="G192" s="116">
        <v>857.68368476911769</v>
      </c>
      <c r="H192" s="116">
        <v>852.93586525370949</v>
      </c>
      <c r="I192" s="116">
        <v>847.33429003163997</v>
      </c>
      <c r="J192" s="116">
        <v>843.2019408026971</v>
      </c>
      <c r="K192" s="116">
        <v>840.96206051161823</v>
      </c>
      <c r="L192" s="116">
        <v>827.18231272242406</v>
      </c>
      <c r="M192" s="116">
        <v>825.1062532197052</v>
      </c>
      <c r="N192" s="116">
        <v>820.77818640818441</v>
      </c>
      <c r="O192" s="116">
        <v>805.97095498142119</v>
      </c>
      <c r="P192" s="116">
        <v>798.58531033734175</v>
      </c>
      <c r="Q192" s="116">
        <v>795.34040921190206</v>
      </c>
      <c r="R192" s="116">
        <v>786.54280273310462</v>
      </c>
      <c r="S192" s="116">
        <v>771.63632154885443</v>
      </c>
      <c r="T192" s="116">
        <v>757.66231769871695</v>
      </c>
      <c r="U192" s="116">
        <v>747.23084630976143</v>
      </c>
      <c r="V192" s="116">
        <v>740.31366208167037</v>
      </c>
      <c r="W192" s="116">
        <v>724.94264540033635</v>
      </c>
      <c r="DA192" s="176" t="s">
        <v>928</v>
      </c>
    </row>
    <row r="193" spans="1:105" ht="11.45" customHeight="1" x14ac:dyDescent="0.25">
      <c r="A193" s="128" t="s">
        <v>27</v>
      </c>
      <c r="B193" s="101">
        <v>812.79257938186117</v>
      </c>
      <c r="C193" s="101">
        <v>810.51245828810647</v>
      </c>
      <c r="D193" s="101">
        <v>808.0661770171389</v>
      </c>
      <c r="E193" s="101">
        <v>805.27250231860876</v>
      </c>
      <c r="F193" s="101">
        <v>802.64668803575137</v>
      </c>
      <c r="G193" s="101">
        <v>798.60563923069765</v>
      </c>
      <c r="H193" s="101">
        <v>793.53178463756615</v>
      </c>
      <c r="I193" s="101">
        <v>787.69470897192366</v>
      </c>
      <c r="J193" s="101">
        <v>783.70869696392424</v>
      </c>
      <c r="K193" s="101">
        <v>782.83463309346644</v>
      </c>
      <c r="L193" s="101">
        <v>767.86637546503107</v>
      </c>
      <c r="M193" s="101">
        <v>765.26468092913262</v>
      </c>
      <c r="N193" s="101">
        <v>760.90011747748224</v>
      </c>
      <c r="O193" s="101">
        <v>745.67627969393482</v>
      </c>
      <c r="P193" s="101">
        <v>737.63116706965502</v>
      </c>
      <c r="Q193" s="101">
        <v>733.54271549274199</v>
      </c>
      <c r="R193" s="101">
        <v>724.56489528359498</v>
      </c>
      <c r="S193" s="101">
        <v>710.13847794256947</v>
      </c>
      <c r="T193" s="101">
        <v>696.42948489292371</v>
      </c>
      <c r="U193" s="101">
        <v>687.30584115743409</v>
      </c>
      <c r="V193" s="101">
        <v>681.00245365632645</v>
      </c>
      <c r="W193" s="101">
        <v>665.4764518138154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1057.0271661474499</v>
      </c>
      <c r="D194" s="88">
        <v>1049.4783807741758</v>
      </c>
      <c r="E194" s="88">
        <v>1044.035673006342</v>
      </c>
      <c r="F194" s="88">
        <v>1026.1814588387413</v>
      </c>
      <c r="G194" s="88">
        <v>1019.5329509637303</v>
      </c>
      <c r="H194" s="88">
        <v>1000.0986264668069</v>
      </c>
      <c r="I194" s="88">
        <v>986.83995074485392</v>
      </c>
      <c r="J194" s="88">
        <v>983.72292772102321</v>
      </c>
      <c r="K194" s="88">
        <v>972.22481371083541</v>
      </c>
      <c r="L194" s="88">
        <v>960.36408675837151</v>
      </c>
      <c r="M194" s="88">
        <v>942.47398669133918</v>
      </c>
      <c r="N194" s="88">
        <v>927.79761303452176</v>
      </c>
      <c r="O194" s="88">
        <v>910.19482270671847</v>
      </c>
      <c r="P194" s="88">
        <v>902.38642752083206</v>
      </c>
      <c r="Q194" s="88">
        <v>880.90782270303464</v>
      </c>
      <c r="R194" s="88">
        <v>874.31035457300231</v>
      </c>
      <c r="S194" s="88">
        <v>869.11661824918929</v>
      </c>
      <c r="T194" s="88">
        <v>852.6924226599582</v>
      </c>
      <c r="U194" s="88">
        <v>848.02070126653098</v>
      </c>
      <c r="V194" s="88">
        <v>817.73879615028375</v>
      </c>
      <c r="W194" s="88">
        <v>814.62033695427499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1.0725000000065616</v>
      </c>
      <c r="C198" s="150">
        <f>IF(TrRoad_act!C59=0,0,TrRoad_emi!C56/TrRoad_tech!C171)</f>
        <v>1.0725445919240264</v>
      </c>
      <c r="D198" s="150">
        <f>IF(TrRoad_act!D59=0,0,TrRoad_emi!D56/TrRoad_tech!D171)</f>
        <v>1.0727168378109444</v>
      </c>
      <c r="E198" s="150">
        <f>IF(TrRoad_act!E59=0,0,TrRoad_emi!E56/TrRoad_tech!E171)</f>
        <v>1.0730132884946944</v>
      </c>
      <c r="F198" s="150">
        <f>IF(TrRoad_act!F59=0,0,TrRoad_emi!F56/TrRoad_tech!F171)</f>
        <v>1.0735812468603152</v>
      </c>
      <c r="G198" s="150">
        <f>IF(TrRoad_act!G59=0,0,TrRoad_emi!G56/TrRoad_tech!G171)</f>
        <v>1.0743935257256469</v>
      </c>
      <c r="H198" s="150">
        <f>IF(TrRoad_act!H59=0,0,TrRoad_emi!H56/TrRoad_tech!H171)</f>
        <v>1.0724409132189996</v>
      </c>
      <c r="I198" s="150">
        <f>IF(TrRoad_act!I59=0,0,TrRoad_emi!I56/TrRoad_tech!I171)</f>
        <v>1.0792006508723804</v>
      </c>
      <c r="J198" s="150">
        <f>IF(TrRoad_act!J59=0,0,TrRoad_emi!J56/TrRoad_tech!J171)</f>
        <v>1.0831166149230578</v>
      </c>
      <c r="K198" s="150">
        <f>IF(TrRoad_act!K59=0,0,TrRoad_emi!K56/TrRoad_tech!K171)</f>
        <v>1.0764192628387206</v>
      </c>
      <c r="L198" s="150">
        <f>IF(TrRoad_act!L59=0,0,TrRoad_emi!L56/TrRoad_tech!L171)</f>
        <v>1.0569025012841633</v>
      </c>
      <c r="M198" s="150">
        <f>IF(TrRoad_act!M59=0,0,TrRoad_emi!M56/TrRoad_tech!M171)</f>
        <v>1.0643964416681959</v>
      </c>
      <c r="N198" s="150">
        <f>IF(TrRoad_act!N59=0,0,TrRoad_emi!N56/TrRoad_tech!N171)</f>
        <v>1.0747547403404329</v>
      </c>
      <c r="O198" s="150">
        <f>IF(TrRoad_act!O59=0,0,TrRoad_emi!O56/TrRoad_tech!O171)</f>
        <v>1.0826797056291804</v>
      </c>
      <c r="P198" s="150">
        <f>IF(TrRoad_act!P59=0,0,TrRoad_emi!P56/TrRoad_tech!P171)</f>
        <v>1.0948881379604101</v>
      </c>
      <c r="Q198" s="150">
        <f>IF(TrRoad_act!Q59=0,0,TrRoad_emi!Q56/TrRoad_tech!Q171)</f>
        <v>1.1021247586377958</v>
      </c>
      <c r="R198" s="150">
        <f>IF(TrRoad_act!R59=0,0,TrRoad_emi!R56/TrRoad_tech!R171)</f>
        <v>1.1124946254970851</v>
      </c>
      <c r="S198" s="150">
        <f>IF(TrRoad_act!S59=0,0,TrRoad_emi!S56/TrRoad_tech!S171)</f>
        <v>1.1301214065740568</v>
      </c>
      <c r="T198" s="150">
        <f>IF(TrRoad_act!T59=0,0,TrRoad_emi!T56/TrRoad_tech!T171)</f>
        <v>1.1425123801591113</v>
      </c>
      <c r="U198" s="150">
        <f>IF(TrRoad_act!U59=0,0,TrRoad_emi!U56/TrRoad_tech!U171)</f>
        <v>1.1711452057131808</v>
      </c>
      <c r="V198" s="150">
        <f>IF(TrRoad_act!V59=0,0,TrRoad_emi!V56/TrRoad_tech!V171)</f>
        <v>1.1554176113832075</v>
      </c>
      <c r="W198" s="150">
        <f>IF(TrRoad_act!W59=0,0,TrRoad_emi!W56/TrRoad_tech!W171)</f>
        <v>1.2367796227871324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0.97252065576067126</v>
      </c>
      <c r="C199" s="151">
        <f>IF(TrRoad_act!C60=0,0,TrRoad_emi!C57/TrRoad_tech!C172)</f>
        <v>0.92926600266853798</v>
      </c>
      <c r="D199" s="151">
        <f>IF(TrRoad_act!D60=0,0,TrRoad_emi!D57/TrRoad_tech!D172)</f>
        <v>0.93174163119328801</v>
      </c>
      <c r="E199" s="151">
        <f>IF(TrRoad_act!E60=0,0,TrRoad_emi!E57/TrRoad_tech!E172)</f>
        <v>0.94071868258762936</v>
      </c>
      <c r="F199" s="151">
        <f>IF(TrRoad_act!F60=0,0,TrRoad_emi!F57/TrRoad_tech!F172)</f>
        <v>0.9446045057582072</v>
      </c>
      <c r="G199" s="151">
        <f>IF(TrRoad_act!G60=0,0,TrRoad_emi!G57/TrRoad_tech!G172)</f>
        <v>0.9425412981726351</v>
      </c>
      <c r="H199" s="151">
        <f>IF(TrRoad_act!H60=0,0,TrRoad_emi!H57/TrRoad_tech!H172)</f>
        <v>0.9408185709818746</v>
      </c>
      <c r="I199" s="151">
        <f>IF(TrRoad_act!I60=0,0,TrRoad_emi!I57/TrRoad_tech!I172)</f>
        <v>0.94899924583885975</v>
      </c>
      <c r="J199" s="151">
        <f>IF(TrRoad_act!J60=0,0,TrRoad_emi!J57/TrRoad_tech!J172)</f>
        <v>0.95440193836905629</v>
      </c>
      <c r="K199" s="151">
        <f>IF(TrRoad_act!K60=0,0,TrRoad_emi!K57/TrRoad_tech!K172)</f>
        <v>0.95626555165567728</v>
      </c>
      <c r="L199" s="151">
        <f>IF(TrRoad_act!L60=0,0,TrRoad_emi!L57/TrRoad_tech!L172)</f>
        <v>0.94418282782706686</v>
      </c>
      <c r="M199" s="151">
        <f>IF(TrRoad_act!M60=0,0,TrRoad_emi!M57/TrRoad_tech!M172)</f>
        <v>0.93801313813012532</v>
      </c>
      <c r="N199" s="151">
        <f>IF(TrRoad_act!N60=0,0,TrRoad_emi!N57/TrRoad_tech!N172)</f>
        <v>0.95289783181357235</v>
      </c>
      <c r="O199" s="151">
        <f>IF(TrRoad_act!O60=0,0,TrRoad_emi!O57/TrRoad_tech!O172)</f>
        <v>0.9433867651228387</v>
      </c>
      <c r="P199" s="151">
        <f>IF(TrRoad_act!P60=0,0,TrRoad_emi!P57/TrRoad_tech!P172)</f>
        <v>0.94348133839937509</v>
      </c>
      <c r="Q199" s="151">
        <f>IF(TrRoad_act!Q60=0,0,TrRoad_emi!Q57/TrRoad_tech!Q172)</f>
        <v>0.95177187629608551</v>
      </c>
      <c r="R199" s="151">
        <f>IF(TrRoad_act!R60=0,0,TrRoad_emi!R57/TrRoad_tech!R172)</f>
        <v>0.96914248393962232</v>
      </c>
      <c r="S199" s="151">
        <f>IF(TrRoad_act!S60=0,0,TrRoad_emi!S57/TrRoad_tech!S172)</f>
        <v>0.97942373735516919</v>
      </c>
      <c r="T199" s="151">
        <f>IF(TrRoad_act!T60=0,0,TrRoad_emi!T57/TrRoad_tech!T172)</f>
        <v>0.96153887425039508</v>
      </c>
      <c r="U199" s="151">
        <f>IF(TrRoad_act!U60=0,0,TrRoad_emi!U57/TrRoad_tech!U172)</f>
        <v>0.96987413683214252</v>
      </c>
      <c r="V199" s="151">
        <f>IF(TrRoad_act!V60=0,0,TrRoad_emi!V57/TrRoad_tech!V172)</f>
        <v>0.97577649792762711</v>
      </c>
      <c r="W199" s="151">
        <f>IF(TrRoad_act!W60=0,0,TrRoad_emi!W57/TrRoad_tech!W172)</f>
        <v>0.97681050417122595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0.96826544074559007</v>
      </c>
      <c r="C200" s="91">
        <f>IF(TrRoad_act!C61=0,0,TrRoad_emi!C58/TrRoad_tech!C173)</f>
        <v>0.92424994133378646</v>
      </c>
      <c r="D200" s="91">
        <f>IF(TrRoad_act!D61=0,0,TrRoad_emi!D58/TrRoad_tech!D173)</f>
        <v>0.92763556199431974</v>
      </c>
      <c r="E200" s="91">
        <f>IF(TrRoad_act!E61=0,0,TrRoad_emi!E58/TrRoad_tech!E173)</f>
        <v>0.93128969939609263</v>
      </c>
      <c r="F200" s="91">
        <f>IF(TrRoad_act!F61=0,0,TrRoad_emi!F58/TrRoad_tech!F173)</f>
        <v>0.93424023401937528</v>
      </c>
      <c r="G200" s="91">
        <f>IF(TrRoad_act!G61=0,0,TrRoad_emi!G58/TrRoad_tech!G173)</f>
        <v>0.93618263661211576</v>
      </c>
      <c r="H200" s="91">
        <f>IF(TrRoad_act!H61=0,0,TrRoad_emi!H58/TrRoad_tech!H173)</f>
        <v>0.9355371889530989</v>
      </c>
      <c r="I200" s="91">
        <f>IF(TrRoad_act!I61=0,0,TrRoad_emi!I58/TrRoad_tech!I173)</f>
        <v>0.93929970388539097</v>
      </c>
      <c r="J200" s="91">
        <f>IF(TrRoad_act!J61=0,0,TrRoad_emi!J58/TrRoad_tech!J173)</f>
        <v>0.93996948217791698</v>
      </c>
      <c r="K200" s="91">
        <f>IF(TrRoad_act!K61=0,0,TrRoad_emi!K58/TrRoad_tech!K173)</f>
        <v>0.95166658956717609</v>
      </c>
      <c r="L200" s="91">
        <f>IF(TrRoad_act!L61=0,0,TrRoad_emi!L58/TrRoad_tech!L173)</f>
        <v>0.91912593729369785</v>
      </c>
      <c r="M200" s="91">
        <f>IF(TrRoad_act!M61=0,0,TrRoad_emi!M58/TrRoad_tech!M173)</f>
        <v>0.9426725302151906</v>
      </c>
      <c r="N200" s="91">
        <f>IF(TrRoad_act!N61=0,0,TrRoad_emi!N58/TrRoad_tech!N173)</f>
        <v>0.92978316319976995</v>
      </c>
      <c r="O200" s="91">
        <f>IF(TrRoad_act!O61=0,0,TrRoad_emi!O58/TrRoad_tech!O173)</f>
        <v>0.91148123332710973</v>
      </c>
      <c r="P200" s="91">
        <f>IF(TrRoad_act!P61=0,0,TrRoad_emi!P58/TrRoad_tech!P173)</f>
        <v>0.92871200731599224</v>
      </c>
      <c r="Q200" s="91">
        <f>IF(TrRoad_act!Q61=0,0,TrRoad_emi!Q58/TrRoad_tech!Q173)</f>
        <v>0.92186006307757418</v>
      </c>
      <c r="R200" s="91">
        <f>IF(TrRoad_act!R61=0,0,TrRoad_emi!R58/TrRoad_tech!R173)</f>
        <v>1.0012304403110786</v>
      </c>
      <c r="S200" s="91">
        <f>IF(TrRoad_act!S61=0,0,TrRoad_emi!S58/TrRoad_tech!S173)</f>
        <v>1.0053492572479819</v>
      </c>
      <c r="T200" s="91">
        <f>IF(TrRoad_act!T61=0,0,TrRoad_emi!T58/TrRoad_tech!T173)</f>
        <v>1.0053824509098102</v>
      </c>
      <c r="U200" s="91">
        <f>IF(TrRoad_act!U61=0,0,TrRoad_emi!U58/TrRoad_tech!U173)</f>
        <v>1.0145719509583631</v>
      </c>
      <c r="V200" s="91">
        <f>IF(TrRoad_act!V61=0,0,TrRoad_emi!V58/TrRoad_tech!V173)</f>
        <v>1.043098254855477</v>
      </c>
      <c r="W200" s="91">
        <f>IF(TrRoad_act!W61=0,0,TrRoad_emi!W58/TrRoad_tech!W173)</f>
        <v>1.0332019031826285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1.0463133072871615</v>
      </c>
      <c r="C201" s="91">
        <f>IF(TrRoad_act!C62=0,0,TrRoad_emi!C59/TrRoad_tech!C174)</f>
        <v>1.0825207238630297</v>
      </c>
      <c r="D201" s="91">
        <f>IF(TrRoad_act!D62=0,0,TrRoad_emi!D59/TrRoad_tech!D174)</f>
        <v>1.0803034443765165</v>
      </c>
      <c r="E201" s="91">
        <f>IF(TrRoad_act!E62=0,0,TrRoad_emi!E59/TrRoad_tech!E174)</f>
        <v>1.072285539652291</v>
      </c>
      <c r="F201" s="91">
        <f>IF(TrRoad_act!F62=0,0,TrRoad_emi!F59/TrRoad_tech!F174)</f>
        <v>1.0668408793743138</v>
      </c>
      <c r="G201" s="91">
        <f>IF(TrRoad_act!G62=0,0,TrRoad_emi!G59/TrRoad_tech!G174)</f>
        <v>1.0518469266755701</v>
      </c>
      <c r="H201" s="91">
        <f>IF(TrRoad_act!H62=0,0,TrRoad_emi!H59/TrRoad_tech!H174)</f>
        <v>1.0415661949698551</v>
      </c>
      <c r="I201" s="91">
        <f>IF(TrRoad_act!I62=0,0,TrRoad_emi!I59/TrRoad_tech!I174)</f>
        <v>1.0660232695496237</v>
      </c>
      <c r="J201" s="91">
        <f>IF(TrRoad_act!J62=0,0,TrRoad_emi!J59/TrRoad_tech!J174)</f>
        <v>1.0576837844624012</v>
      </c>
      <c r="K201" s="91">
        <f>IF(TrRoad_act!K62=0,0,TrRoad_emi!K59/TrRoad_tech!K174)</f>
        <v>1.0487520883054031</v>
      </c>
      <c r="L201" s="91">
        <f>IF(TrRoad_act!L62=0,0,TrRoad_emi!L59/TrRoad_tech!L174)</f>
        <v>1.0588174270389292</v>
      </c>
      <c r="M201" s="91">
        <f>IF(TrRoad_act!M62=0,0,TrRoad_emi!M59/TrRoad_tech!M174)</f>
        <v>0.99195781905361113</v>
      </c>
      <c r="N201" s="91">
        <f>IF(TrRoad_act!N62=0,0,TrRoad_emi!N59/TrRoad_tech!N174)</f>
        <v>0.99623728707227244</v>
      </c>
      <c r="O201" s="91">
        <f>IF(TrRoad_act!O62=0,0,TrRoad_emi!O59/TrRoad_tech!O174)</f>
        <v>1.0070505723009013</v>
      </c>
      <c r="P201" s="91">
        <f>IF(TrRoad_act!P62=0,0,TrRoad_emi!P59/TrRoad_tech!P174)</f>
        <v>0.99516575704165278</v>
      </c>
      <c r="Q201" s="91">
        <f>IF(TrRoad_act!Q62=0,0,TrRoad_emi!Q59/TrRoad_tech!Q174)</f>
        <v>0.99777776644159866</v>
      </c>
      <c r="R201" s="91">
        <f>IF(TrRoad_act!R62=0,0,TrRoad_emi!R59/TrRoad_tech!R174)</f>
        <v>1.0112151878610875</v>
      </c>
      <c r="S201" s="91">
        <f>IF(TrRoad_act!S62=0,0,TrRoad_emi!S59/TrRoad_tech!S174)</f>
        <v>1.0170335841119993</v>
      </c>
      <c r="T201" s="91">
        <f>IF(TrRoad_act!T62=0,0,TrRoad_emi!T59/TrRoad_tech!T174)</f>
        <v>0.98513321470295057</v>
      </c>
      <c r="U201" s="91">
        <f>IF(TrRoad_act!U62=0,0,TrRoad_emi!U59/TrRoad_tech!U174)</f>
        <v>0.99640879477321309</v>
      </c>
      <c r="V201" s="91">
        <f>IF(TrRoad_act!V62=0,0,TrRoad_emi!V59/TrRoad_tech!V174)</f>
        <v>0.98498751660582418</v>
      </c>
      <c r="W201" s="91">
        <f>IF(TrRoad_act!W62=0,0,TrRoad_emi!W59/TrRoad_tech!W174)</f>
        <v>0.98632817371902659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1.1717308600428886</v>
      </c>
      <c r="C202" s="91">
        <f>IF(TrRoad_act!C63=0,0,TrRoad_emi!C60/TrRoad_tech!C175)</f>
        <v>1.0216005232585086</v>
      </c>
      <c r="D202" s="91">
        <f>IF(TrRoad_act!D63=0,0,TrRoad_emi!D60/TrRoad_tech!D175)</f>
        <v>1.1129549731908213</v>
      </c>
      <c r="E202" s="91">
        <f>IF(TrRoad_act!E63=0,0,TrRoad_emi!E60/TrRoad_tech!E175)</f>
        <v>1.1799494702732201</v>
      </c>
      <c r="F202" s="91">
        <f>IF(TrRoad_act!F63=0,0,TrRoad_emi!F60/TrRoad_tech!F175)</f>
        <v>1.0472250539068002</v>
      </c>
      <c r="G202" s="91">
        <f>IF(TrRoad_act!G63=0,0,TrRoad_emi!G60/TrRoad_tech!G175)</f>
        <v>1.0547328886268512</v>
      </c>
      <c r="H202" s="91">
        <f>IF(TrRoad_act!H63=0,0,TrRoad_emi!H60/TrRoad_tech!H175)</f>
        <v>1.0269474130396101</v>
      </c>
      <c r="I202" s="91">
        <f>IF(TrRoad_act!I63=0,0,TrRoad_emi!I60/TrRoad_tech!I175)</f>
        <v>0.9560275776885433</v>
      </c>
      <c r="J202" s="91">
        <f>IF(TrRoad_act!J63=0,0,TrRoad_emi!J60/TrRoad_tech!J175)</f>
        <v>0.9353393273038717</v>
      </c>
      <c r="K202" s="91">
        <f>IF(TrRoad_act!K63=0,0,TrRoad_emi!K60/TrRoad_tech!K175)</f>
        <v>0.90217061733846626</v>
      </c>
      <c r="L202" s="91">
        <f>IF(TrRoad_act!L63=0,0,TrRoad_emi!L60/TrRoad_tech!L175)</f>
        <v>0.946856353060605</v>
      </c>
      <c r="M202" s="91">
        <f>IF(TrRoad_act!M63=0,0,TrRoad_emi!M60/TrRoad_tech!M175)</f>
        <v>0.933902955098878</v>
      </c>
      <c r="N202" s="91">
        <f>IF(TrRoad_act!N63=0,0,TrRoad_emi!N60/TrRoad_tech!N175)</f>
        <v>0.92928046553648858</v>
      </c>
      <c r="O202" s="91">
        <f>IF(TrRoad_act!O63=0,0,TrRoad_emi!O60/TrRoad_tech!O175)</f>
        <v>1.0758226646367335</v>
      </c>
      <c r="P202" s="91">
        <f>IF(TrRoad_act!P63=0,0,TrRoad_emi!P60/TrRoad_tech!P175)</f>
        <v>1.048983676763406</v>
      </c>
      <c r="Q202" s="91">
        <f>IF(TrRoad_act!Q63=0,0,TrRoad_emi!Q60/TrRoad_tech!Q175)</f>
        <v>1.1965304583341327</v>
      </c>
      <c r="R202" s="91">
        <f>IF(TrRoad_act!R63=0,0,TrRoad_emi!R60/TrRoad_tech!R175)</f>
        <v>1.0422025712540581</v>
      </c>
      <c r="S202" s="91">
        <f>IF(TrRoad_act!S63=0,0,TrRoad_emi!S60/TrRoad_tech!S175)</f>
        <v>1.0425709304973454</v>
      </c>
      <c r="T202" s="91">
        <f>IF(TrRoad_act!T63=0,0,TrRoad_emi!T60/TrRoad_tech!T175)</f>
        <v>1.0427559010766247</v>
      </c>
      <c r="U202" s="91">
        <f>IF(TrRoad_act!U63=0,0,TrRoad_emi!U60/TrRoad_tech!U175)</f>
        <v>0.99703109585604688</v>
      </c>
      <c r="V202" s="91">
        <f>IF(TrRoad_act!V63=0,0,TrRoad_emi!V60/TrRoad_tech!V175)</f>
        <v>1.0432533558579373</v>
      </c>
      <c r="W202" s="91">
        <f>IF(TrRoad_act!W63=0,0,TrRoad_emi!W60/TrRoad_tech!W175)</f>
        <v>1.0368111366905037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1.02777777778159</v>
      </c>
      <c r="C203" s="91">
        <f>IF(TrRoad_act!C64=0,0,TrRoad_emi!C61/TrRoad_tech!C176)</f>
        <v>1.0277777777815902</v>
      </c>
      <c r="D203" s="91">
        <f>IF(TrRoad_act!D64=0,0,TrRoad_emi!D61/TrRoad_tech!D176)</f>
        <v>1.02777777778159</v>
      </c>
      <c r="E203" s="91">
        <f>IF(TrRoad_act!E64=0,0,TrRoad_emi!E61/TrRoad_tech!E176)</f>
        <v>1.02777777778159</v>
      </c>
      <c r="F203" s="91">
        <f>IF(TrRoad_act!F64=0,0,TrRoad_emi!F61/TrRoad_tech!F176)</f>
        <v>1.0277777777815897</v>
      </c>
      <c r="G203" s="91">
        <f>IF(TrRoad_act!G64=0,0,TrRoad_emi!G61/TrRoad_tech!G176)</f>
        <v>1.02777777778159</v>
      </c>
      <c r="H203" s="91">
        <f>IF(TrRoad_act!H64=0,0,TrRoad_emi!H61/TrRoad_tech!H176)</f>
        <v>1.02777777778159</v>
      </c>
      <c r="I203" s="91">
        <f>IF(TrRoad_act!I64=0,0,TrRoad_emi!I61/TrRoad_tech!I176)</f>
        <v>1.02777777778159</v>
      </c>
      <c r="J203" s="91">
        <f>IF(TrRoad_act!J64=0,0,TrRoad_emi!J61/TrRoad_tech!J176)</f>
        <v>1.0277777777815897</v>
      </c>
      <c r="K203" s="91">
        <f>IF(TrRoad_act!K64=0,0,TrRoad_emi!K61/TrRoad_tech!K176)</f>
        <v>1.0300261435050491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0</v>
      </c>
      <c r="R203" s="91">
        <f>IF(TrRoad_act!R64=0,0,TrRoad_emi!R61/TrRoad_tech!R176)</f>
        <v>0</v>
      </c>
      <c r="S203" s="91">
        <f>IF(TrRoad_act!S64=0,0,TrRoad_emi!S61/TrRoad_tech!S176)</f>
        <v>0</v>
      </c>
      <c r="T203" s="91">
        <f>IF(TrRoad_act!T64=0,0,TrRoad_emi!T61/TrRoad_tech!T176)</f>
        <v>0.73499817809907442</v>
      </c>
      <c r="U203" s="91">
        <f>IF(TrRoad_act!U64=0,0,TrRoad_emi!U61/TrRoad_tech!U176)</f>
        <v>1.0946500667115473</v>
      </c>
      <c r="V203" s="91">
        <f>IF(TrRoad_act!V64=0,0,TrRoad_emi!V61/TrRoad_tech!V176)</f>
        <v>1.0951917043606998</v>
      </c>
      <c r="W203" s="91">
        <f>IF(TrRoad_act!W64=0,0,TrRoad_emi!W61/TrRoad_tech!W176)</f>
        <v>1.0956231723325061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0.95801795673640755</v>
      </c>
      <c r="O204" s="91">
        <f>IF(TrRoad_act!O65=0,0,TrRoad_emi!O62/TrRoad_tech!O177)</f>
        <v>0.94066584969304867</v>
      </c>
      <c r="P204" s="91">
        <f>IF(TrRoad_act!P65=0,0,TrRoad_emi!P62/TrRoad_tech!P177)</f>
        <v>0.95963593453602514</v>
      </c>
      <c r="Q204" s="91">
        <f>IF(TrRoad_act!Q65=0,0,TrRoad_emi!Q62/TrRoad_tech!Q177)</f>
        <v>0.95591520671120966</v>
      </c>
      <c r="R204" s="91">
        <f>IF(TrRoad_act!R65=0,0,TrRoad_emi!R62/TrRoad_tech!R177)</f>
        <v>1.0426464098667378</v>
      </c>
      <c r="S204" s="91">
        <f>IF(TrRoad_act!S65=0,0,TrRoad_emi!S62/TrRoad_tech!S177)</f>
        <v>1.0468340853121403</v>
      </c>
      <c r="T204" s="91">
        <f>IF(TrRoad_act!T65=0,0,TrRoad_emi!T62/TrRoad_tech!T177)</f>
        <v>1.0439711762108674</v>
      </c>
      <c r="U204" s="91">
        <f>IF(TrRoad_act!U65=0,0,TrRoad_emi!U62/TrRoad_tech!U177)</f>
        <v>1.0493881120909156</v>
      </c>
      <c r="V204" s="91">
        <f>IF(TrRoad_act!V65=0,0,TrRoad_emi!V62/TrRoad_tech!V177)</f>
        <v>1.0770470876823317</v>
      </c>
      <c r="W204" s="91">
        <f>IF(TrRoad_act!W65=0,0,TrRoad_emi!W62/TrRoad_tech!W177)</f>
        <v>1.0615841173906027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1.5059225524689128</v>
      </c>
      <c r="C206" s="151">
        <f>IF(TrRoad_act!C67=0,0,TrRoad_emi!C64/TrRoad_tech!C179)</f>
        <v>1.3467863822083714</v>
      </c>
      <c r="D206" s="151">
        <f>IF(TrRoad_act!D67=0,0,TrRoad_emi!D64/TrRoad_tech!D179)</f>
        <v>1.2497036278674967</v>
      </c>
      <c r="E206" s="151">
        <f>IF(TrRoad_act!E67=0,0,TrRoad_emi!E64/TrRoad_tech!E179)</f>
        <v>1.2418335073341571</v>
      </c>
      <c r="F206" s="151">
        <f>IF(TrRoad_act!F67=0,0,TrRoad_emi!F64/TrRoad_tech!F179)</f>
        <v>1.260492547599241</v>
      </c>
      <c r="G206" s="151">
        <f>IF(TrRoad_act!G67=0,0,TrRoad_emi!G64/TrRoad_tech!G179)</f>
        <v>1.3529391066918983</v>
      </c>
      <c r="H206" s="151">
        <f>IF(TrRoad_act!H67=0,0,TrRoad_emi!H64/TrRoad_tech!H179)</f>
        <v>1.297679278728894</v>
      </c>
      <c r="I206" s="151">
        <f>IF(TrRoad_act!I67=0,0,TrRoad_emi!I64/TrRoad_tech!I179)</f>
        <v>1.3953571409954566</v>
      </c>
      <c r="J206" s="151">
        <f>IF(TrRoad_act!J67=0,0,TrRoad_emi!J64/TrRoad_tech!J179)</f>
        <v>1.4845467615635763</v>
      </c>
      <c r="K206" s="151">
        <f>IF(TrRoad_act!K67=0,0,TrRoad_emi!K64/TrRoad_tech!K179)</f>
        <v>1.531222507159536</v>
      </c>
      <c r="L206" s="151">
        <f>IF(TrRoad_act!L67=0,0,TrRoad_emi!L64/TrRoad_tech!L179)</f>
        <v>1.7562698597705304</v>
      </c>
      <c r="M206" s="151">
        <f>IF(TrRoad_act!M67=0,0,TrRoad_emi!M64/TrRoad_tech!M179)</f>
        <v>1.1565590246856849</v>
      </c>
      <c r="N206" s="151">
        <f>IF(TrRoad_act!N67=0,0,TrRoad_emi!N64/TrRoad_tech!N179)</f>
        <v>1.1571871077071725</v>
      </c>
      <c r="O206" s="151">
        <f>IF(TrRoad_act!O67=0,0,TrRoad_emi!O64/TrRoad_tech!O179)</f>
        <v>1.1573179590446177</v>
      </c>
      <c r="P206" s="151">
        <f>IF(TrRoad_act!P67=0,0,TrRoad_emi!P64/TrRoad_tech!P179)</f>
        <v>1.1822665799651282</v>
      </c>
      <c r="Q206" s="151">
        <f>IF(TrRoad_act!Q67=0,0,TrRoad_emi!Q64/TrRoad_tech!Q179)</f>
        <v>1.2379103630723374</v>
      </c>
      <c r="R206" s="151">
        <f>IF(TrRoad_act!R67=0,0,TrRoad_emi!R64/TrRoad_tech!R179)</f>
        <v>1.2610245216860665</v>
      </c>
      <c r="S206" s="151">
        <f>IF(TrRoad_act!S67=0,0,TrRoad_emi!S64/TrRoad_tech!S179)</f>
        <v>1.2131570985920188</v>
      </c>
      <c r="T206" s="151">
        <f>IF(TrRoad_act!T67=0,0,TrRoad_emi!T64/TrRoad_tech!T179)</f>
        <v>1.2060932026233788</v>
      </c>
      <c r="U206" s="151">
        <f>IF(TrRoad_act!U67=0,0,TrRoad_emi!U64/TrRoad_tech!U179)</f>
        <v>1.2403602824744757</v>
      </c>
      <c r="V206" s="151">
        <f>IF(TrRoad_act!V67=0,0,TrRoad_emi!V64/TrRoad_tech!V179)</f>
        <v>2.2616701211725188</v>
      </c>
      <c r="W206" s="151">
        <f>IF(TrRoad_act!W67=0,0,TrRoad_emi!W64/TrRoad_tech!W179)</f>
        <v>1.3431672766289613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1.1002736085761922</v>
      </c>
      <c r="D207" s="93">
        <f>IF(TrRoad_act!D68=0,0,TrRoad_emi!D65/TrRoad_tech!D180)</f>
        <v>1.1006445935518203</v>
      </c>
      <c r="E207" s="93">
        <f>IF(TrRoad_act!E68=0,0,TrRoad_emi!E65/TrRoad_tech!E180)</f>
        <v>1.1010459139799051</v>
      </c>
      <c r="F207" s="93">
        <f>IF(TrRoad_act!F68=0,0,TrRoad_emi!F65/TrRoad_tech!F180)</f>
        <v>1.1014293157371793</v>
      </c>
      <c r="G207" s="93">
        <f>IF(TrRoad_act!G68=0,0,TrRoad_emi!G65/TrRoad_tech!G180)</f>
        <v>1.1021149564764381</v>
      </c>
      <c r="H207" s="93">
        <f>IF(TrRoad_act!H68=0,0,TrRoad_emi!H65/TrRoad_tech!H180)</f>
        <v>1.0994448234526266</v>
      </c>
      <c r="I207" s="93">
        <f>IF(TrRoad_act!I68=0,0,TrRoad_emi!I65/TrRoad_tech!I180)</f>
        <v>1.1063330420555963</v>
      </c>
      <c r="J207" s="93">
        <f>IF(TrRoad_act!J68=0,0,TrRoad_emi!J65/TrRoad_tech!J180)</f>
        <v>1.1085719412683965</v>
      </c>
      <c r="K207" s="93">
        <f>IF(TrRoad_act!K68=0,0,TrRoad_emi!K65/TrRoad_tech!K180)</f>
        <v>1.1015683640401885</v>
      </c>
      <c r="L207" s="93">
        <f>IF(TrRoad_act!L68=0,0,TrRoad_emi!L65/TrRoad_tech!L180)</f>
        <v>1.0816926754545684</v>
      </c>
      <c r="M207" s="93">
        <f>IF(TrRoad_act!M68=0,0,TrRoad_emi!M65/TrRoad_tech!M180)</f>
        <v>1.0870742985843431</v>
      </c>
      <c r="N207" s="93">
        <f>IF(TrRoad_act!N68=0,0,TrRoad_emi!N65/TrRoad_tech!N180)</f>
        <v>1.0906184062838826</v>
      </c>
      <c r="O207" s="93">
        <f>IF(TrRoad_act!O68=0,0,TrRoad_emi!O65/TrRoad_tech!O180)</f>
        <v>1.0994324517019753</v>
      </c>
      <c r="P207" s="93">
        <f>IF(TrRoad_act!P68=0,0,TrRoad_emi!P65/TrRoad_tech!P180)</f>
        <v>1.1111454201314466</v>
      </c>
      <c r="Q207" s="93">
        <f>IF(TrRoad_act!Q68=0,0,TrRoad_emi!Q65/TrRoad_tech!Q180)</f>
        <v>1.107260275119089</v>
      </c>
      <c r="R207" s="93">
        <f>IF(TrRoad_act!R68=0,0,TrRoad_emi!R65/TrRoad_tech!R180)</f>
        <v>1.1157754662290917</v>
      </c>
      <c r="S207" s="93">
        <f>IF(TrRoad_act!S68=0,0,TrRoad_emi!S65/TrRoad_tech!S180)</f>
        <v>1.1187141064623458</v>
      </c>
      <c r="T207" s="93">
        <f>IF(TrRoad_act!T68=0,0,TrRoad_emi!T65/TrRoad_tech!T180)</f>
        <v>1.1202715885017491</v>
      </c>
      <c r="U207" s="93">
        <f>IF(TrRoad_act!U68=0,0,TrRoad_emi!U65/TrRoad_tech!U180)</f>
        <v>1.1294232134482267</v>
      </c>
      <c r="V207" s="93">
        <f>IF(TrRoad_act!V68=0,0,TrRoad_emi!V65/TrRoad_tech!V180)</f>
        <v>1.0997442709692382</v>
      </c>
      <c r="W207" s="93">
        <f>IF(TrRoad_act!W68=0,0,TrRoad_emi!W65/TrRoad_tech!W180)</f>
        <v>1.1031932954835133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1.2021115048261943</v>
      </c>
      <c r="C208" s="93">
        <f>IF(TrRoad_act!C69=0,0,TrRoad_emi!C66/TrRoad_tech!C181)</f>
        <v>1.3333835015194284</v>
      </c>
      <c r="D208" s="93">
        <f>IF(TrRoad_act!D69=0,0,TrRoad_emi!D66/TrRoad_tech!D181)</f>
        <v>1.2777908360414327</v>
      </c>
      <c r="E208" s="93">
        <f>IF(TrRoad_act!E69=0,0,TrRoad_emi!E66/TrRoad_tech!E181)</f>
        <v>1.2646573788703455</v>
      </c>
      <c r="F208" s="93">
        <f>IF(TrRoad_act!F69=0,0,TrRoad_emi!F66/TrRoad_tech!F181)</f>
        <v>1.2747554861928678</v>
      </c>
      <c r="G208" s="93">
        <f>IF(TrRoad_act!G69=0,0,TrRoad_emi!G66/TrRoad_tech!G181)</f>
        <v>1.2826064207650472</v>
      </c>
      <c r="H208" s="93">
        <f>IF(TrRoad_act!H69=0,0,TrRoad_emi!H66/TrRoad_tech!H181)</f>
        <v>1.3066654651942815</v>
      </c>
      <c r="I208" s="93">
        <f>IF(TrRoad_act!I69=0,0,TrRoad_emi!I66/TrRoad_tech!I181)</f>
        <v>1.3335957222309278</v>
      </c>
      <c r="J208" s="93">
        <f>IF(TrRoad_act!J69=0,0,TrRoad_emi!J66/TrRoad_tech!J181)</f>
        <v>1.3053035569996112</v>
      </c>
      <c r="K208" s="93">
        <f>IF(TrRoad_act!K69=0,0,TrRoad_emi!K66/TrRoad_tech!K181)</f>
        <v>1.2488685176665633</v>
      </c>
      <c r="L208" s="93">
        <f>IF(TrRoad_act!L69=0,0,TrRoad_emi!L66/TrRoad_tech!L181)</f>
        <v>1.3349939540563489</v>
      </c>
      <c r="M208" s="93">
        <f>IF(TrRoad_act!M69=0,0,TrRoad_emi!M66/TrRoad_tech!M181)</f>
        <v>1.2304665065173548</v>
      </c>
      <c r="N208" s="93">
        <f>IF(TrRoad_act!N69=0,0,TrRoad_emi!N66/TrRoad_tech!N181)</f>
        <v>1.2296890012305788</v>
      </c>
      <c r="O208" s="93">
        <f>IF(TrRoad_act!O69=0,0,TrRoad_emi!O66/TrRoad_tech!O181)</f>
        <v>1.227214905587336</v>
      </c>
      <c r="P208" s="93">
        <f>IF(TrRoad_act!P69=0,0,TrRoad_emi!P66/TrRoad_tech!P181)</f>
        <v>1.2156317943096242</v>
      </c>
      <c r="Q208" s="93">
        <f>IF(TrRoad_act!Q69=0,0,TrRoad_emi!Q66/TrRoad_tech!Q181)</f>
        <v>1.2387649017111313</v>
      </c>
      <c r="R208" s="93">
        <f>IF(TrRoad_act!R69=0,0,TrRoad_emi!R66/TrRoad_tech!R181)</f>
        <v>1.2583474823446621</v>
      </c>
      <c r="S208" s="93">
        <f>IF(TrRoad_act!S69=0,0,TrRoad_emi!S66/TrRoad_tech!S181)</f>
        <v>1.288184498958507</v>
      </c>
      <c r="T208" s="93">
        <f>IF(TrRoad_act!T69=0,0,TrRoad_emi!T66/TrRoad_tech!T181)</f>
        <v>1.2596063911084745</v>
      </c>
      <c r="U208" s="93">
        <f>IF(TrRoad_act!U69=0,0,TrRoad_emi!U66/TrRoad_tech!U181)</f>
        <v>1.266403323530416</v>
      </c>
      <c r="V208" s="93">
        <f>IF(TrRoad_act!V69=0,0,TrRoad_emi!V66/TrRoad_tech!V181)</f>
        <v>1.2490789932865092</v>
      </c>
      <c r="W208" s="93">
        <f>IF(TrRoad_act!W69=0,0,TrRoad_emi!W66/TrRoad_tech!W181)</f>
        <v>1.2726503154309601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1.317263573193203</v>
      </c>
      <c r="S209" s="93">
        <f>IF(TrRoad_act!S70=0,0,TrRoad_emi!S67/TrRoad_tech!S182)</f>
        <v>1.3172635731932034</v>
      </c>
      <c r="T209" s="93">
        <f>IF(TrRoad_act!T70=0,0,TrRoad_emi!T67/TrRoad_tech!T182)</f>
        <v>1.3172635731932036</v>
      </c>
      <c r="U209" s="93">
        <f>IF(TrRoad_act!U70=0,0,TrRoad_emi!U67/TrRoad_tech!U182)</f>
        <v>1.3172635731932034</v>
      </c>
      <c r="V209" s="93">
        <f>IF(TrRoad_act!V70=0,0,TrRoad_emi!V67/TrRoad_tech!V182)</f>
        <v>1.317263573193203</v>
      </c>
      <c r="W209" s="93">
        <f>IF(TrRoad_act!W70=0,0,TrRoad_emi!W67/TrRoad_tech!W182)</f>
        <v>1.3172635731932034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1.0462359890310995</v>
      </c>
      <c r="C210" s="93">
        <f>IF(TrRoad_act!C71=0,0,TrRoad_emi!C68/TrRoad_tech!C183)</f>
        <v>1.3539717088727281</v>
      </c>
      <c r="D210" s="93">
        <f>IF(TrRoad_act!D71=0,0,TrRoad_emi!D68/TrRoad_tech!D183)</f>
        <v>1.1035704326431677</v>
      </c>
      <c r="E210" s="93">
        <f>IF(TrRoad_act!E71=0,0,TrRoad_emi!E68/TrRoad_tech!E183)</f>
        <v>1.1137876942337661</v>
      </c>
      <c r="F210" s="93">
        <f>IF(TrRoad_act!F71=0,0,TrRoad_emi!F68/TrRoad_tech!F183)</f>
        <v>1.1240839425335183</v>
      </c>
      <c r="G210" s="93">
        <f>IF(TrRoad_act!G71=0,0,TrRoad_emi!G68/TrRoad_tech!G183)</f>
        <v>1.108453286232882</v>
      </c>
      <c r="H210" s="93">
        <f>IF(TrRoad_act!H71=0,0,TrRoad_emi!H68/TrRoad_tech!H183)</f>
        <v>1.1997809802812294</v>
      </c>
      <c r="I210" s="93">
        <f>IF(TrRoad_act!I71=0,0,TrRoad_emi!I68/TrRoad_tech!I183)</f>
        <v>1.2821340875045195</v>
      </c>
      <c r="J210" s="93">
        <f>IF(TrRoad_act!J71=0,0,TrRoad_emi!J68/TrRoad_tech!J183)</f>
        <v>1.7434841665189196</v>
      </c>
      <c r="K210" s="93">
        <f>IF(TrRoad_act!K71=0,0,TrRoad_emi!K68/TrRoad_tech!K183)</f>
        <v>2.7002916278462861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0</v>
      </c>
      <c r="U210" s="93">
        <f>IF(TrRoad_act!U71=0,0,TrRoad_emi!U68/TrRoad_tech!U183)</f>
        <v>1.2880360075398358</v>
      </c>
      <c r="V210" s="93">
        <f>IF(TrRoad_act!V71=0,0,TrRoad_emi!V68/TrRoad_tech!V183)</f>
        <v>1.5169941257176758</v>
      </c>
      <c r="W210" s="93">
        <f>IF(TrRoad_act!W71=0,0,TrRoad_emi!W68/TrRoad_tech!W183)</f>
        <v>1.7615745070114988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1.168474634577261</v>
      </c>
      <c r="C213" s="150">
        <f>IF(TrRoad_act!C74=0,0,TrRoad_emi!C71/TrRoad_tech!C186)</f>
        <v>1.2445666807869185</v>
      </c>
      <c r="D213" s="150">
        <f>IF(TrRoad_act!D74=0,0,TrRoad_emi!D71/TrRoad_tech!D186)</f>
        <v>1.2080414594852067</v>
      </c>
      <c r="E213" s="150">
        <f>IF(TrRoad_act!E74=0,0,TrRoad_emi!E71/TrRoad_tech!E186)</f>
        <v>1.2166378018847748</v>
      </c>
      <c r="F213" s="150">
        <f>IF(TrRoad_act!F74=0,0,TrRoad_emi!F71/TrRoad_tech!F186)</f>
        <v>1.2236211965814012</v>
      </c>
      <c r="G213" s="150">
        <f>IF(TrRoad_act!G74=0,0,TrRoad_emi!G71/TrRoad_tech!G186)</f>
        <v>1.2396207055606536</v>
      </c>
      <c r="H213" s="150">
        <f>IF(TrRoad_act!H74=0,0,TrRoad_emi!H71/TrRoad_tech!H186)</f>
        <v>1.260711521045198</v>
      </c>
      <c r="I213" s="150">
        <f>IF(TrRoad_act!I74=0,0,TrRoad_emi!I71/TrRoad_tech!I186)</f>
        <v>1.288039902536704</v>
      </c>
      <c r="J213" s="150">
        <f>IF(TrRoad_act!J74=0,0,TrRoad_emi!J71/TrRoad_tech!J186)</f>
        <v>1.3072700181284818</v>
      </c>
      <c r="K213" s="150">
        <f>IF(TrRoad_act!K74=0,0,TrRoad_emi!K71/TrRoad_tech!K186)</f>
        <v>1.2896784649692605</v>
      </c>
      <c r="L213" s="150">
        <f>IF(TrRoad_act!L74=0,0,TrRoad_emi!L71/TrRoad_tech!L186)</f>
        <v>1.4895418022664395</v>
      </c>
      <c r="M213" s="150">
        <f>IF(TrRoad_act!M74=0,0,TrRoad_emi!M71/TrRoad_tech!M186)</f>
        <v>1.4382350106652768</v>
      </c>
      <c r="N213" s="150">
        <f>IF(TrRoad_act!N74=0,0,TrRoad_emi!N71/TrRoad_tech!N186)</f>
        <v>1.346562378106076</v>
      </c>
      <c r="O213" s="150">
        <f>IF(TrRoad_act!O74=0,0,TrRoad_emi!O71/TrRoad_tech!O186)</f>
        <v>1.3513954307134661</v>
      </c>
      <c r="P213" s="150">
        <f>IF(TrRoad_act!P74=0,0,TrRoad_emi!P71/TrRoad_tech!P186)</f>
        <v>1.2874907401398779</v>
      </c>
      <c r="Q213" s="150">
        <f>IF(TrRoad_act!Q74=0,0,TrRoad_emi!Q71/TrRoad_tech!Q186)</f>
        <v>1.2932249900995159</v>
      </c>
      <c r="R213" s="150">
        <f>IF(TrRoad_act!R74=0,0,TrRoad_emi!R71/TrRoad_tech!R186)</f>
        <v>1.3220689434278456</v>
      </c>
      <c r="S213" s="150">
        <f>IF(TrRoad_act!S74=0,0,TrRoad_emi!S71/TrRoad_tech!S186)</f>
        <v>1.3775479272382216</v>
      </c>
      <c r="T213" s="150">
        <f>IF(TrRoad_act!T74=0,0,TrRoad_emi!T71/TrRoad_tech!T186)</f>
        <v>1.2457237209145768</v>
      </c>
      <c r="U213" s="150">
        <f>IF(TrRoad_act!U74=0,0,TrRoad_emi!U71/TrRoad_tech!U186)</f>
        <v>1.2367257299613281</v>
      </c>
      <c r="V213" s="150">
        <f>IF(TrRoad_act!V74=0,0,TrRoad_emi!V71/TrRoad_tech!V186)</f>
        <v>1.1194487978712713</v>
      </c>
      <c r="W213" s="150">
        <f>IF(TrRoad_act!W74=0,0,TrRoad_emi!W71/TrRoad_tech!W186)</f>
        <v>1.0932755615777643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1.1001307000475105</v>
      </c>
      <c r="D214" s="91">
        <f>IF(TrRoad_act!D75=0,0,TrRoad_emi!D72/TrRoad_tech!D187)</f>
        <v>1.1002827755281233</v>
      </c>
      <c r="E214" s="91">
        <f>IF(TrRoad_act!E75=0,0,TrRoad_emi!E72/TrRoad_tech!E187)</f>
        <v>1.1008963983121267</v>
      </c>
      <c r="F214" s="91">
        <f>IF(TrRoad_act!F75=0,0,TrRoad_emi!F72/TrRoad_tech!F187)</f>
        <v>1.1016565061309032</v>
      </c>
      <c r="G214" s="91">
        <f>IF(TrRoad_act!G75=0,0,TrRoad_emi!G72/TrRoad_tech!G187)</f>
        <v>1.1029312981186667</v>
      </c>
      <c r="H214" s="91">
        <f>IF(TrRoad_act!H75=0,0,TrRoad_emi!H72/TrRoad_tech!H187)</f>
        <v>1.101653648122936</v>
      </c>
      <c r="I214" s="91">
        <f>IF(TrRoad_act!I75=0,0,TrRoad_emi!I72/TrRoad_tech!I187)</f>
        <v>1.107725198428233</v>
      </c>
      <c r="J214" s="91">
        <f>IF(TrRoad_act!J75=0,0,TrRoad_emi!J72/TrRoad_tech!J187)</f>
        <v>1.1095119163535878</v>
      </c>
      <c r="K214" s="91">
        <f>IF(TrRoad_act!K75=0,0,TrRoad_emi!K72/TrRoad_tech!K187)</f>
        <v>1.1027859451645126</v>
      </c>
      <c r="L214" s="91">
        <f>IF(TrRoad_act!L75=0,0,TrRoad_emi!L72/TrRoad_tech!L187)</f>
        <v>1.0900686835665756</v>
      </c>
      <c r="M214" s="91">
        <f>IF(TrRoad_act!M75=0,0,TrRoad_emi!M72/TrRoad_tech!M187)</f>
        <v>1.0924741404879545</v>
      </c>
      <c r="N214" s="91">
        <f>IF(TrRoad_act!N75=0,0,TrRoad_emi!N72/TrRoad_tech!N187)</f>
        <v>1.0983098699916609</v>
      </c>
      <c r="O214" s="91">
        <f>IF(TrRoad_act!O75=0,0,TrRoad_emi!O72/TrRoad_tech!O187)</f>
        <v>1.1021744076388758</v>
      </c>
      <c r="P214" s="91">
        <f>IF(TrRoad_act!P75=0,0,TrRoad_emi!P72/TrRoad_tech!P187)</f>
        <v>1.1115434429097222</v>
      </c>
      <c r="Q214" s="91">
        <f>IF(TrRoad_act!Q75=0,0,TrRoad_emi!Q72/TrRoad_tech!Q187)</f>
        <v>1.1115756073945555</v>
      </c>
      <c r="R214" s="91">
        <f>IF(TrRoad_act!R75=0,0,TrRoad_emi!R72/TrRoad_tech!R187)</f>
        <v>1.1166260497525875</v>
      </c>
      <c r="S214" s="91">
        <f>IF(TrRoad_act!S75=0,0,TrRoad_emi!S72/TrRoad_tech!S187)</f>
        <v>1.1232980604379348</v>
      </c>
      <c r="T214" s="91">
        <f>IF(TrRoad_act!T75=0,0,TrRoad_emi!T72/TrRoad_tech!T187)</f>
        <v>1.1375008147492893</v>
      </c>
      <c r="U214" s="91">
        <f>IF(TrRoad_act!U75=0,0,TrRoad_emi!U72/TrRoad_tech!U187)</f>
        <v>1.1565554099280784</v>
      </c>
      <c r="V214" s="91">
        <f>IF(TrRoad_act!V75=0,0,TrRoad_emi!V72/TrRoad_tech!V187)</f>
        <v>1.1293748457460162</v>
      </c>
      <c r="W214" s="91">
        <f>IF(TrRoad_act!W75=0,0,TrRoad_emi!W72/TrRoad_tech!W187)</f>
        <v>1.1461305513574431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1.2021115048261946</v>
      </c>
      <c r="C215" s="91">
        <f>IF(TrRoad_act!C76=0,0,TrRoad_emi!C73/TrRoad_tech!C188)</f>
        <v>1.3327477775149628</v>
      </c>
      <c r="D215" s="91">
        <f>IF(TrRoad_act!D76=0,0,TrRoad_emi!D73/TrRoad_tech!D188)</f>
        <v>1.2758546675038154</v>
      </c>
      <c r="E215" s="91">
        <f>IF(TrRoad_act!E76=0,0,TrRoad_emi!E73/TrRoad_tech!E188)</f>
        <v>1.2596106777567209</v>
      </c>
      <c r="F215" s="91">
        <f>IF(TrRoad_act!F76=0,0,TrRoad_emi!F73/TrRoad_tech!F188)</f>
        <v>1.2681858506797652</v>
      </c>
      <c r="G215" s="91">
        <f>IF(TrRoad_act!G76=0,0,TrRoad_emi!G73/TrRoad_tech!G188)</f>
        <v>1.2744032730022381</v>
      </c>
      <c r="H215" s="91">
        <f>IF(TrRoad_act!H76=0,0,TrRoad_emi!H73/TrRoad_tech!H188)</f>
        <v>1.2953824165914141</v>
      </c>
      <c r="I215" s="91">
        <f>IF(TrRoad_act!I76=0,0,TrRoad_emi!I73/TrRoad_tech!I188)</f>
        <v>1.3210599868107515</v>
      </c>
      <c r="J215" s="91">
        <f>IF(TrRoad_act!J76=0,0,TrRoad_emi!J73/TrRoad_tech!J188)</f>
        <v>1.2900008053844594</v>
      </c>
      <c r="K215" s="91">
        <f>IF(TrRoad_act!K76=0,0,TrRoad_emi!K73/TrRoad_tech!K188)</f>
        <v>1.2300475191063345</v>
      </c>
      <c r="L215" s="91">
        <f>IF(TrRoad_act!L76=0,0,TrRoad_emi!L73/TrRoad_tech!L188)</f>
        <v>1.3129363077116587</v>
      </c>
      <c r="M215" s="91">
        <f>IF(TrRoad_act!M76=0,0,TrRoad_emi!M73/TrRoad_tech!M188)</f>
        <v>1.2081879153117188</v>
      </c>
      <c r="N215" s="91">
        <f>IF(TrRoad_act!N76=0,0,TrRoad_emi!N73/TrRoad_tech!N188)</f>
        <v>1.2096137049354592</v>
      </c>
      <c r="O215" s="91">
        <f>IF(TrRoad_act!O76=0,0,TrRoad_emi!O73/TrRoad_tech!O188)</f>
        <v>1.2065100225553673</v>
      </c>
      <c r="P215" s="91">
        <f>IF(TrRoad_act!P76=0,0,TrRoad_emi!P73/TrRoad_tech!P188)</f>
        <v>1.1941521472104646</v>
      </c>
      <c r="Q215" s="91">
        <f>IF(TrRoad_act!Q76=0,0,TrRoad_emi!Q73/TrRoad_tech!Q188)</f>
        <v>1.2104559888546369</v>
      </c>
      <c r="R215" s="91">
        <f>IF(TrRoad_act!R76=0,0,TrRoad_emi!R73/TrRoad_tech!R188)</f>
        <v>1.2229271714225938</v>
      </c>
      <c r="S215" s="91">
        <f>IF(TrRoad_act!S76=0,0,TrRoad_emi!S73/TrRoad_tech!S188)</f>
        <v>1.2439819937559686</v>
      </c>
      <c r="T215" s="91">
        <f>IF(TrRoad_act!T76=0,0,TrRoad_emi!T73/TrRoad_tech!T188)</f>
        <v>1.2122109894496798</v>
      </c>
      <c r="U215" s="91">
        <f>IF(TrRoad_act!U76=0,0,TrRoad_emi!U73/TrRoad_tech!U188)</f>
        <v>1.2188888864831531</v>
      </c>
      <c r="V215" s="91">
        <f>IF(TrRoad_act!V76=0,0,TrRoad_emi!V73/TrRoad_tech!V188)</f>
        <v>1.2104073047545714</v>
      </c>
      <c r="W215" s="91">
        <f>IF(TrRoad_act!W76=0,0,TrRoad_emi!W73/TrRoad_tech!W188)</f>
        <v>1.2333911289190944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1.2360000000066975</v>
      </c>
      <c r="O216" s="91">
        <f>IF(TrRoad_act!O77=0,0,TrRoad_emi!O74/TrRoad_tech!O189)</f>
        <v>1.2360000000066977</v>
      </c>
      <c r="P216" s="91">
        <f>IF(TrRoad_act!P77=0,0,TrRoad_emi!P74/TrRoad_tech!P189)</f>
        <v>1.2481886832612159</v>
      </c>
      <c r="Q216" s="91">
        <f>IF(TrRoad_act!Q77=0,0,TrRoad_emi!Q74/TrRoad_tech!Q189)</f>
        <v>1.2552486645442911</v>
      </c>
      <c r="R216" s="91">
        <f>IF(TrRoad_act!R77=0,0,TrRoad_emi!R74/TrRoad_tech!R189)</f>
        <v>1.2218426099588748</v>
      </c>
      <c r="S216" s="91">
        <f>IF(TrRoad_act!S77=0,0,TrRoad_emi!S74/TrRoad_tech!S189)</f>
        <v>1.2280933272528367</v>
      </c>
      <c r="T216" s="91">
        <f>IF(TrRoad_act!T77=0,0,TrRoad_emi!T74/TrRoad_tech!T189)</f>
        <v>1.233963804276667</v>
      </c>
      <c r="U216" s="91">
        <f>IF(TrRoad_act!U77=0,0,TrRoad_emi!U74/TrRoad_tech!U189)</f>
        <v>1.2418501367398753</v>
      </c>
      <c r="V216" s="91">
        <f>IF(TrRoad_act!V77=0,0,TrRoad_emi!V74/TrRoad_tech!V189)</f>
        <v>1.2465390359506225</v>
      </c>
      <c r="W216" s="91">
        <f>IF(TrRoad_act!W77=0,0,TrRoad_emi!W74/TrRoad_tech!W189)</f>
        <v>1.2488325572968588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1.518524510302655</v>
      </c>
      <c r="C219" s="151">
        <f>IF(TrRoad_act!C80=0,0,TrRoad_emi!C77/TrRoad_tech!C192)</f>
        <v>1.9653324761828734</v>
      </c>
      <c r="D219" s="151">
        <f>IF(TrRoad_act!D80=0,0,TrRoad_emi!D77/TrRoad_tech!D192)</f>
        <v>1.7481714497682415</v>
      </c>
      <c r="E219" s="151">
        <f>IF(TrRoad_act!E80=0,0,TrRoad_emi!E77/TrRoad_tech!E192)</f>
        <v>1.6890899269952124</v>
      </c>
      <c r="F219" s="151">
        <f>IF(TrRoad_act!F80=0,0,TrRoad_emi!F77/TrRoad_tech!F192)</f>
        <v>1.7775579633604297</v>
      </c>
      <c r="G219" s="151">
        <f>IF(TrRoad_act!G80=0,0,TrRoad_emi!G77/TrRoad_tech!G192)</f>
        <v>1.8167655038243313</v>
      </c>
      <c r="H219" s="151">
        <f>IF(TrRoad_act!H80=0,0,TrRoad_emi!H77/TrRoad_tech!H192)</f>
        <v>1.9704054352878662</v>
      </c>
      <c r="I219" s="151">
        <f>IF(TrRoad_act!I80=0,0,TrRoad_emi!I77/TrRoad_tech!I192)</f>
        <v>2.0256738658955498</v>
      </c>
      <c r="J219" s="151">
        <f>IF(TrRoad_act!J80=0,0,TrRoad_emi!J77/TrRoad_tech!J192)</f>
        <v>1.942893603297267</v>
      </c>
      <c r="K219" s="151">
        <f>IF(TrRoad_act!K80=0,0,TrRoad_emi!K77/TrRoad_tech!K192)</f>
        <v>1.6907754136218029</v>
      </c>
      <c r="L219" s="151">
        <f>IF(TrRoad_act!L80=0,0,TrRoad_emi!L77/TrRoad_tech!L192)</f>
        <v>2.2578649723705118</v>
      </c>
      <c r="M219" s="151">
        <f>IF(TrRoad_act!M80=0,0,TrRoad_emi!M77/TrRoad_tech!M192)</f>
        <v>1.8603591788338361</v>
      </c>
      <c r="N219" s="151">
        <f>IF(TrRoad_act!N80=0,0,TrRoad_emi!N77/TrRoad_tech!N192)</f>
        <v>1.8762373145200661</v>
      </c>
      <c r="O219" s="151">
        <f>IF(TrRoad_act!O80=0,0,TrRoad_emi!O77/TrRoad_tech!O192)</f>
        <v>1.7843610438487574</v>
      </c>
      <c r="P219" s="151">
        <f>IF(TrRoad_act!P80=0,0,TrRoad_emi!P77/TrRoad_tech!P192)</f>
        <v>1.7650181446955691</v>
      </c>
      <c r="Q219" s="151">
        <f>IF(TrRoad_act!Q80=0,0,TrRoad_emi!Q77/TrRoad_tech!Q192)</f>
        <v>1.823271799111678</v>
      </c>
      <c r="R219" s="151">
        <f>IF(TrRoad_act!R80=0,0,TrRoad_emi!R77/TrRoad_tech!R192)</f>
        <v>1.7603303765810157</v>
      </c>
      <c r="S219" s="151">
        <f>IF(TrRoad_act!S80=0,0,TrRoad_emi!S77/TrRoad_tech!S192)</f>
        <v>1.8388876333759396</v>
      </c>
      <c r="T219" s="151">
        <f>IF(TrRoad_act!T80=0,0,TrRoad_emi!T77/TrRoad_tech!T192)</f>
        <v>1.7967558609570751</v>
      </c>
      <c r="U219" s="151">
        <f>IF(TrRoad_act!U80=0,0,TrRoad_emi!U77/TrRoad_tech!U192)</f>
        <v>1.7375197690706579</v>
      </c>
      <c r="V219" s="151">
        <f>IF(TrRoad_act!V80=0,0,TrRoad_emi!V77/TrRoad_tech!V192)</f>
        <v>1.6131833656353065</v>
      </c>
      <c r="W219" s="151">
        <f>IF(TrRoad_act!W80=0,0,TrRoad_emi!W77/TrRoad_tech!W192)</f>
        <v>1.7132390006285725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1.2139883929560737</v>
      </c>
      <c r="C220" s="93">
        <f>IF(TrRoad_act!C81=0,0,TrRoad_emi!C78/TrRoad_tech!C193)</f>
        <v>1.261163068779942</v>
      </c>
      <c r="D220" s="93">
        <f>IF(TrRoad_act!D81=0,0,TrRoad_emi!D78/TrRoad_tech!D193)</f>
        <v>1.2401685482951976</v>
      </c>
      <c r="E220" s="93">
        <f>IF(TrRoad_act!E81=0,0,TrRoad_emi!E78/TrRoad_tech!E193)</f>
        <v>1.2355207988174772</v>
      </c>
      <c r="F220" s="93">
        <f>IF(TrRoad_act!F81=0,0,TrRoad_emi!F78/TrRoad_tech!F193)</f>
        <v>1.2449467759315205</v>
      </c>
      <c r="G220" s="93">
        <f>IF(TrRoad_act!G81=0,0,TrRoad_emi!G78/TrRoad_tech!G193)</f>
        <v>1.2462054758203747</v>
      </c>
      <c r="H220" s="93">
        <f>IF(TrRoad_act!H81=0,0,TrRoad_emi!H78/TrRoad_tech!H193)</f>
        <v>1.2665390787546398</v>
      </c>
      <c r="I220" s="93">
        <f>IF(TrRoad_act!I81=0,0,TrRoad_emi!I78/TrRoad_tech!I193)</f>
        <v>1.2771731037444249</v>
      </c>
      <c r="J220" s="93">
        <f>IF(TrRoad_act!J81=0,0,TrRoad_emi!J78/TrRoad_tech!J193)</f>
        <v>1.2710708474814179</v>
      </c>
      <c r="K220" s="93">
        <f>IF(TrRoad_act!K81=0,0,TrRoad_emi!K78/TrRoad_tech!K193)</f>
        <v>1.246401476769653</v>
      </c>
      <c r="L220" s="93">
        <f>IF(TrRoad_act!L81=0,0,TrRoad_emi!L78/TrRoad_tech!L193)</f>
        <v>1.2861342365632333</v>
      </c>
      <c r="M220" s="93">
        <f>IF(TrRoad_act!M81=0,0,TrRoad_emi!M78/TrRoad_tech!M193)</f>
        <v>1.2474870910390192</v>
      </c>
      <c r="N220" s="93">
        <f>IF(TrRoad_act!N81=0,0,TrRoad_emi!N78/TrRoad_tech!N193)</f>
        <v>1.2580028554982672</v>
      </c>
      <c r="O220" s="93">
        <f>IF(TrRoad_act!O81=0,0,TrRoad_emi!O78/TrRoad_tech!O193)</f>
        <v>1.2648908492306294</v>
      </c>
      <c r="P220" s="93">
        <f>IF(TrRoad_act!P81=0,0,TrRoad_emi!P78/TrRoad_tech!P193)</f>
        <v>1.2678372574285472</v>
      </c>
      <c r="Q220" s="93">
        <f>IF(TrRoad_act!Q81=0,0,TrRoad_emi!Q78/TrRoad_tech!Q193)</f>
        <v>1.2826487378139728</v>
      </c>
      <c r="R220" s="93">
        <f>IF(TrRoad_act!R81=0,0,TrRoad_emi!R78/TrRoad_tech!R193)</f>
        <v>1.3097244595926703</v>
      </c>
      <c r="S220" s="93">
        <f>IF(TrRoad_act!S81=0,0,TrRoad_emi!S78/TrRoad_tech!S193)</f>
        <v>1.3395960424711415</v>
      </c>
      <c r="T220" s="93">
        <f>IF(TrRoad_act!T81=0,0,TrRoad_emi!T78/TrRoad_tech!T193)</f>
        <v>1.3153248293378592</v>
      </c>
      <c r="U220" s="93">
        <f>IF(TrRoad_act!U81=0,0,TrRoad_emi!U78/TrRoad_tech!U193)</f>
        <v>1.3251864115006773</v>
      </c>
      <c r="V220" s="93">
        <f>IF(TrRoad_act!V81=0,0,TrRoad_emi!V78/TrRoad_tech!V193)</f>
        <v>1.3124241107683108</v>
      </c>
      <c r="W220" s="93">
        <f>IF(TrRoad_act!W81=0,0,TrRoad_emi!W78/TrRoad_tech!W193)</f>
        <v>1.348694809263649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2.9630349381686787</v>
      </c>
      <c r="C221" s="94">
        <f>IF(TrRoad_act!C82=0,0,TrRoad_emi!C79/TrRoad_tech!C194)</f>
        <v>5.6661297707794889</v>
      </c>
      <c r="D221" s="94">
        <f>IF(TrRoad_act!D82=0,0,TrRoad_emi!D79/TrRoad_tech!D194)</f>
        <v>4.9102120364093409</v>
      </c>
      <c r="E221" s="94">
        <f>IF(TrRoad_act!E82=0,0,TrRoad_emi!E79/TrRoad_tech!E194)</f>
        <v>4.9072122462589984</v>
      </c>
      <c r="F221" s="94">
        <f>IF(TrRoad_act!F82=0,0,TrRoad_emi!F79/TrRoad_tech!F194)</f>
        <v>4.7724007420086778</v>
      </c>
      <c r="G221" s="94">
        <f>IF(TrRoad_act!G82=0,0,TrRoad_emi!G79/TrRoad_tech!G194)</f>
        <v>5.3163517688990192</v>
      </c>
      <c r="H221" s="94">
        <f>IF(TrRoad_act!H82=0,0,TrRoad_emi!H79/TrRoad_tech!H194)</f>
        <v>5.5092825390230882</v>
      </c>
      <c r="I221" s="94">
        <f>IF(TrRoad_act!I82=0,0,TrRoad_emi!I79/TrRoad_tech!I194)</f>
        <v>5.9957836138765392</v>
      </c>
      <c r="J221" s="94">
        <f>IF(TrRoad_act!J82=0,0,TrRoad_emi!J79/TrRoad_tech!J194)</f>
        <v>5.3596847445817666</v>
      </c>
      <c r="K221" s="94">
        <f>IF(TrRoad_act!K82=0,0,TrRoad_emi!K79/TrRoad_tech!K194)</f>
        <v>4.5544130000876493</v>
      </c>
      <c r="L221" s="94">
        <f>IF(TrRoad_act!L82=0,0,TrRoad_emi!L79/TrRoad_tech!L194)</f>
        <v>6.8500702792286079</v>
      </c>
      <c r="M221" s="94">
        <f>IF(TrRoad_act!M82=0,0,TrRoad_emi!M79/TrRoad_tech!M194)</f>
        <v>3.9486643854818699</v>
      </c>
      <c r="N221" s="94">
        <f>IF(TrRoad_act!N82=0,0,TrRoad_emi!N79/TrRoad_tech!N194)</f>
        <v>3.4276608467258183</v>
      </c>
      <c r="O221" s="94">
        <f>IF(TrRoad_act!O82=0,0,TrRoad_emi!O79/TrRoad_tech!O194)</f>
        <v>3.0012751996880622</v>
      </c>
      <c r="P221" s="94">
        <f>IF(TrRoad_act!P82=0,0,TrRoad_emi!P79/TrRoad_tech!P194)</f>
        <v>2.8992948995780399</v>
      </c>
      <c r="Q221" s="94">
        <f>IF(TrRoad_act!Q82=0,0,TrRoad_emi!Q79/TrRoad_tech!Q194)</f>
        <v>2.9135546258462961</v>
      </c>
      <c r="R221" s="94">
        <f>IF(TrRoad_act!R82=0,0,TrRoad_emi!R79/TrRoad_tech!R194)</f>
        <v>2.6885567763568217</v>
      </c>
      <c r="S221" s="94">
        <f>IF(TrRoad_act!S82=0,0,TrRoad_emi!S79/TrRoad_tech!S194)</f>
        <v>2.9985743522830997</v>
      </c>
      <c r="T221" s="94">
        <f>IF(TrRoad_act!T82=0,0,TrRoad_emi!T79/TrRoad_tech!T194)</f>
        <v>2.8540680369221949</v>
      </c>
      <c r="U221" s="94">
        <f>IF(TrRoad_act!U82=0,0,TrRoad_emi!U79/TrRoad_tech!U194)</f>
        <v>2.7392987471119912</v>
      </c>
      <c r="V221" s="94">
        <f>IF(TrRoad_act!V82=0,0,TrRoad_emi!V79/TrRoad_tech!V194)</f>
        <v>2.2700496281898497</v>
      </c>
      <c r="W221" s="94">
        <f>IF(TrRoad_act!W82=0,0,TrRoad_emi!W79/TrRoad_tech!W194)</f>
        <v>2.6222802058097057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0</v>
      </c>
      <c r="C225" s="152">
        <v>104.26732346975264</v>
      </c>
      <c r="D225" s="152">
        <v>103.6368026232504</v>
      </c>
      <c r="E225" s="152">
        <v>102.33960721198315</v>
      </c>
      <c r="F225" s="152">
        <v>102.1978846363932</v>
      </c>
      <c r="G225" s="152">
        <v>100.82115104494792</v>
      </c>
      <c r="H225" s="152">
        <v>98.787865929851193</v>
      </c>
      <c r="I225" s="152">
        <v>97.338824901880443</v>
      </c>
      <c r="J225" s="152">
        <v>94.79193581176456</v>
      </c>
      <c r="K225" s="152">
        <v>90.603906101722814</v>
      </c>
      <c r="L225" s="152">
        <v>87.308592509781988</v>
      </c>
      <c r="M225" s="152">
        <v>83.31249565545879</v>
      </c>
      <c r="N225" s="152">
        <v>81.466747441669909</v>
      </c>
      <c r="O225" s="152">
        <v>79.951800633579595</v>
      </c>
      <c r="P225" s="152">
        <v>75.475199999999703</v>
      </c>
      <c r="Q225" s="152">
        <v>73.131377477857242</v>
      </c>
      <c r="R225" s="152">
        <v>72.374186009597565</v>
      </c>
      <c r="S225" s="152">
        <v>71.768432834989852</v>
      </c>
      <c r="T225" s="152">
        <v>71.283830295303645</v>
      </c>
      <c r="U225" s="152">
        <v>70.896148263554693</v>
      </c>
      <c r="V225" s="152">
        <v>70.586002638155549</v>
      </c>
      <c r="W225" s="152">
        <v>70.337886137836207</v>
      </c>
      <c r="DA225" s="174" t="s">
        <v>931</v>
      </c>
    </row>
    <row r="226" spans="1:105" ht="11.45" customHeight="1" x14ac:dyDescent="0.25">
      <c r="A226" s="109" t="s">
        <v>20</v>
      </c>
      <c r="B226" s="116">
        <v>237.82757226297258</v>
      </c>
      <c r="C226" s="116">
        <v>237.0374730768811</v>
      </c>
      <c r="D226" s="116">
        <v>234.72070876270521</v>
      </c>
      <c r="E226" s="116">
        <v>231.62775621498474</v>
      </c>
      <c r="F226" s="116">
        <v>230.02608954825567</v>
      </c>
      <c r="G226" s="116">
        <v>228.17288105638298</v>
      </c>
      <c r="H226" s="116">
        <v>225.61933259161222</v>
      </c>
      <c r="I226" s="116">
        <v>223.18293164249158</v>
      </c>
      <c r="J226" s="116">
        <v>212.44512650045411</v>
      </c>
      <c r="K226" s="116">
        <v>201.12972031904695</v>
      </c>
      <c r="L226" s="116">
        <v>193.70964582585231</v>
      </c>
      <c r="M226" s="116">
        <v>182.12399567072467</v>
      </c>
      <c r="N226" s="116">
        <v>179.58889721118555</v>
      </c>
      <c r="O226" s="116">
        <v>176.23564424367683</v>
      </c>
      <c r="P226" s="116">
        <v>170.78819540629831</v>
      </c>
      <c r="Q226" s="116">
        <v>165.37453288109262</v>
      </c>
      <c r="R226" s="116">
        <v>152.19117681374243</v>
      </c>
      <c r="S226" s="116">
        <v>154.95742725806258</v>
      </c>
      <c r="T226" s="116">
        <v>155.70049797491333</v>
      </c>
      <c r="U226" s="116">
        <v>157.42706994712512</v>
      </c>
      <c r="V226" s="116">
        <v>150.75014296449973</v>
      </c>
      <c r="W226" s="116">
        <v>150.63042680347232</v>
      </c>
      <c r="DA226" s="176" t="s">
        <v>932</v>
      </c>
    </row>
    <row r="227" spans="1:105" ht="11.45" customHeight="1" x14ac:dyDescent="0.25">
      <c r="A227" s="111" t="s">
        <v>110</v>
      </c>
      <c r="B227" s="87">
        <v>245.48060986140445</v>
      </c>
      <c r="C227" s="87">
        <v>244.14419125954657</v>
      </c>
      <c r="D227" s="87">
        <v>242.66781307107004</v>
      </c>
      <c r="E227" s="87">
        <v>239.63040198147476</v>
      </c>
      <c r="F227" s="87">
        <v>239.29855550791817</v>
      </c>
      <c r="G227" s="87">
        <v>236.0749040505105</v>
      </c>
      <c r="H227" s="87">
        <v>231.31392301152405</v>
      </c>
      <c r="I227" s="87">
        <v>227.9209621288324</v>
      </c>
      <c r="J227" s="87">
        <v>216.85489809226931</v>
      </c>
      <c r="K227" s="87">
        <v>204.91858360974638</v>
      </c>
      <c r="L227" s="87">
        <v>197.46558270874417</v>
      </c>
      <c r="M227" s="87">
        <v>188.14160718022069</v>
      </c>
      <c r="N227" s="87">
        <v>182.94013458410524</v>
      </c>
      <c r="O227" s="87">
        <v>180.78451831337563</v>
      </c>
      <c r="P227" s="87">
        <v>170.73701621887776</v>
      </c>
      <c r="Q227" s="87">
        <v>165.48862056413952</v>
      </c>
      <c r="R227" s="87">
        <v>158.25397281319292</v>
      </c>
      <c r="S227" s="87">
        <v>155.85667489476828</v>
      </c>
      <c r="T227" s="87">
        <v>155.57915208090239</v>
      </c>
      <c r="U227" s="87">
        <v>153.81462601705721</v>
      </c>
      <c r="V227" s="87">
        <v>150.99568089430889</v>
      </c>
      <c r="W227" s="87">
        <v>145.51034982405301</v>
      </c>
      <c r="DA227" s="171" t="s">
        <v>933</v>
      </c>
    </row>
    <row r="228" spans="1:105" ht="11.45" customHeight="1" x14ac:dyDescent="0.25">
      <c r="A228" s="111" t="s">
        <v>111</v>
      </c>
      <c r="B228" s="87">
        <v>218.00004045576478</v>
      </c>
      <c r="C228" s="87">
        <v>217.89173501883721</v>
      </c>
      <c r="D228" s="87">
        <v>217.77145875103767</v>
      </c>
      <c r="E228" s="87">
        <v>218.26759835571053</v>
      </c>
      <c r="F228" s="87">
        <v>216.82804177548564</v>
      </c>
      <c r="G228" s="87">
        <v>217.4745267149078</v>
      </c>
      <c r="H228" s="87">
        <v>218.86897969470783</v>
      </c>
      <c r="I228" s="87">
        <v>216.8543522090668</v>
      </c>
      <c r="J228" s="87">
        <v>207.07062955025404</v>
      </c>
      <c r="K228" s="87">
        <v>198.93318830694648</v>
      </c>
      <c r="L228" s="87">
        <v>191.29188666831175</v>
      </c>
      <c r="M228" s="87">
        <v>183.68123251199441</v>
      </c>
      <c r="N228" s="87">
        <v>182.80553741038585</v>
      </c>
      <c r="O228" s="87">
        <v>174.7254768554921</v>
      </c>
      <c r="P228" s="87">
        <v>172.86903473026774</v>
      </c>
      <c r="Q228" s="87">
        <v>165.43144337545726</v>
      </c>
      <c r="R228" s="87">
        <v>151.12230405972036</v>
      </c>
      <c r="S228" s="87">
        <v>154.90179800296318</v>
      </c>
      <c r="T228" s="87">
        <v>156.2671081677704</v>
      </c>
      <c r="U228" s="87">
        <v>159.46490551484769</v>
      </c>
      <c r="V228" s="87">
        <v>152.48368473895579</v>
      </c>
      <c r="W228" s="87">
        <v>156.226840532464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204.11314953734242</v>
      </c>
      <c r="D229" s="87">
        <v>204.00047905063022</v>
      </c>
      <c r="E229" s="87">
        <v>204.46524480831818</v>
      </c>
      <c r="F229" s="87">
        <v>203.1167199204811</v>
      </c>
      <c r="G229" s="87">
        <v>203.7223237865594</v>
      </c>
      <c r="H229" s="87">
        <v>205.02859724187934</v>
      </c>
      <c r="I229" s="87">
        <v>203.14136658944935</v>
      </c>
      <c r="J229" s="87">
        <v>193.97632668595105</v>
      </c>
      <c r="K229" s="87">
        <v>186.35346406932644</v>
      </c>
      <c r="L229" s="87">
        <v>155.03693252471581</v>
      </c>
      <c r="M229" s="87">
        <v>156.74736219874021</v>
      </c>
      <c r="N229" s="87">
        <v>171.24566010029952</v>
      </c>
      <c r="O229" s="87">
        <v>170.62899721626121</v>
      </c>
      <c r="P229" s="87">
        <v>162.03087744276709</v>
      </c>
      <c r="Q229" s="87">
        <v>160.28897123608397</v>
      </c>
      <c r="R229" s="87">
        <v>144.36170846591222</v>
      </c>
      <c r="S229" s="87">
        <v>153.59606328178648</v>
      </c>
      <c r="T229" s="87">
        <v>154.42857142857139</v>
      </c>
      <c r="U229" s="87">
        <v>157.66666666666671</v>
      </c>
      <c r="V229" s="87">
        <v>126.28421052631582</v>
      </c>
      <c r="W229" s="87">
        <v>121.4576923076923</v>
      </c>
      <c r="DA229" s="171" t="s">
        <v>935</v>
      </c>
    </row>
    <row r="230" spans="1:105" ht="11.45" customHeight="1" x14ac:dyDescent="0.25">
      <c r="A230" s="111" t="s">
        <v>113</v>
      </c>
      <c r="B230" s="87">
        <v>179.63881138940377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196.42527558946068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123.52291421856641</v>
      </c>
      <c r="U230" s="87">
        <v>124.4</v>
      </c>
      <c r="V230" s="87">
        <v>108.27272727272728</v>
      </c>
      <c r="W230" s="87">
        <v>102.8947368421053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59.331645569620264</v>
      </c>
      <c r="O231" s="87">
        <v>84.775080347556766</v>
      </c>
      <c r="P231" s="87">
        <v>72.650994575045218</v>
      </c>
      <c r="Q231" s="87">
        <v>56.909945750452088</v>
      </c>
      <c r="R231" s="87">
        <v>48.247711781889009</v>
      </c>
      <c r="S231" s="87">
        <v>58.86593406593407</v>
      </c>
      <c r="T231" s="87">
        <v>55.295479204339962</v>
      </c>
      <c r="U231" s="87">
        <v>53.14285714285716</v>
      </c>
      <c r="V231" s="87">
        <v>60.121212121212118</v>
      </c>
      <c r="W231" s="87">
        <v>40.257352941176471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468.11796584889703</v>
      </c>
      <c r="C233" s="116">
        <v>1377.1416021111686</v>
      </c>
      <c r="D233" s="116">
        <v>1458.425456383515</v>
      </c>
      <c r="E233" s="116">
        <v>1456.5725007631031</v>
      </c>
      <c r="F233" s="116">
        <v>1443.8904732689589</v>
      </c>
      <c r="G233" s="116">
        <v>1297.5763234592052</v>
      </c>
      <c r="H233" s="116">
        <v>1418.1258496620678</v>
      </c>
      <c r="I233" s="116">
        <v>1282.3729525894023</v>
      </c>
      <c r="J233" s="116">
        <v>1128.4222518671543</v>
      </c>
      <c r="K233" s="116">
        <v>993.90698157630845</v>
      </c>
      <c r="L233" s="116">
        <v>874.79320001118822</v>
      </c>
      <c r="M233" s="116">
        <v>1385.3128786139421</v>
      </c>
      <c r="N233" s="116">
        <v>1377.5105002657663</v>
      </c>
      <c r="O233" s="116">
        <v>1353.2934787371582</v>
      </c>
      <c r="P233" s="116">
        <v>1283.0094488185257</v>
      </c>
      <c r="Q233" s="116">
        <v>1214.7538240693325</v>
      </c>
      <c r="R233" s="116">
        <v>1186.2775855850393</v>
      </c>
      <c r="S233" s="116">
        <v>1312.9929701728736</v>
      </c>
      <c r="T233" s="116">
        <v>1266.5167500692762</v>
      </c>
      <c r="U233" s="116">
        <v>1196.2316319937113</v>
      </c>
      <c r="V233" s="116">
        <v>487.75506659545431</v>
      </c>
      <c r="W233" s="116">
        <v>948.7188015163149</v>
      </c>
      <c r="DA233" s="176" t="s">
        <v>939</v>
      </c>
    </row>
    <row r="234" spans="1:105" ht="11.45" customHeight="1" x14ac:dyDescent="0.25">
      <c r="A234" s="111" t="s">
        <v>110</v>
      </c>
      <c r="B234" s="101">
        <v>513.91211468194126</v>
      </c>
      <c r="C234" s="101">
        <v>511.11433073408153</v>
      </c>
      <c r="D234" s="101">
        <v>508.02354227083526</v>
      </c>
      <c r="E234" s="101">
        <v>501.66474123521141</v>
      </c>
      <c r="F234" s="101">
        <v>500.97002272741764</v>
      </c>
      <c r="G234" s="101">
        <v>494.22132865170551</v>
      </c>
      <c r="H234" s="101">
        <v>484.25424475417265</v>
      </c>
      <c r="I234" s="101">
        <v>477.15110246019833</v>
      </c>
      <c r="J234" s="101">
        <v>453.9843669145813</v>
      </c>
      <c r="K234" s="101">
        <v>428.99576752709675</v>
      </c>
      <c r="L234" s="101">
        <v>413.39295695919503</v>
      </c>
      <c r="M234" s="101">
        <v>0</v>
      </c>
      <c r="N234" s="101">
        <v>0</v>
      </c>
      <c r="O234" s="101">
        <v>378.55966209081254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0</v>
      </c>
      <c r="C235" s="101">
        <v>1479.4301653750913</v>
      </c>
      <c r="D235" s="101">
        <v>1477.183388898897</v>
      </c>
      <c r="E235" s="101">
        <v>1472.517202925829</v>
      </c>
      <c r="F235" s="101">
        <v>1472.0068777690371</v>
      </c>
      <c r="G235" s="101">
        <v>1466.9988349285109</v>
      </c>
      <c r="H235" s="101">
        <v>1459.4889118922483</v>
      </c>
      <c r="I235" s="101">
        <v>1454.0773565605928</v>
      </c>
      <c r="J235" s="101">
        <v>1435.7607078771607</v>
      </c>
      <c r="K235" s="101">
        <v>1415.152877333989</v>
      </c>
      <c r="L235" s="101">
        <v>1401.9245657112062</v>
      </c>
      <c r="M235" s="101">
        <v>1385.3128786139421</v>
      </c>
      <c r="N235" s="101">
        <v>1377.5105002657663</v>
      </c>
      <c r="O235" s="101">
        <v>1371.0159117670917</v>
      </c>
      <c r="P235" s="101">
        <v>1350.9834593519574</v>
      </c>
      <c r="Q235" s="101">
        <v>1340.2449215971562</v>
      </c>
      <c r="R235" s="101">
        <v>1330.6532374204278</v>
      </c>
      <c r="S235" s="101">
        <v>1322.0794267138622</v>
      </c>
      <c r="T235" s="101">
        <v>1314.4102406181144</v>
      </c>
      <c r="U235" s="101">
        <v>1307.5460175742467</v>
      </c>
      <c r="V235" s="101">
        <v>1301.3988712938385</v>
      </c>
      <c r="W235" s="101">
        <v>1295.8911525788758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941.22047689587941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933.37868058415006</v>
      </c>
      <c r="D237" s="101">
        <v>0</v>
      </c>
      <c r="E237" s="101">
        <v>929.01726365428487</v>
      </c>
      <c r="F237" s="101">
        <v>928.69529737790151</v>
      </c>
      <c r="G237" s="101">
        <v>925.53570219848689</v>
      </c>
      <c r="H237" s="101">
        <v>920.79766033687736</v>
      </c>
      <c r="I237" s="101">
        <v>917.38348743870051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736.63334897717448</v>
      </c>
      <c r="V237" s="101">
        <v>717.22916768024095</v>
      </c>
      <c r="W237" s="101">
        <v>700.2028151545187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245.33265800112335</v>
      </c>
      <c r="C240" s="152">
        <v>244.94165573058564</v>
      </c>
      <c r="D240" s="152">
        <v>250.41836128465823</v>
      </c>
      <c r="E240" s="152">
        <v>241.28592270867625</v>
      </c>
      <c r="F240" s="152">
        <v>247.63285727301417</v>
      </c>
      <c r="G240" s="152">
        <v>242.42601221889242</v>
      </c>
      <c r="H240" s="152">
        <v>242.50282101593564</v>
      </c>
      <c r="I240" s="152">
        <v>244.68290419986971</v>
      </c>
      <c r="J240" s="152">
        <v>237.37247401318515</v>
      </c>
      <c r="K240" s="152">
        <v>228.73779374016553</v>
      </c>
      <c r="L240" s="152">
        <v>218.38303115062504</v>
      </c>
      <c r="M240" s="152">
        <v>211.23845773580436</v>
      </c>
      <c r="N240" s="152">
        <v>209.2076184911962</v>
      </c>
      <c r="O240" s="152">
        <v>202.74928670376886</v>
      </c>
      <c r="P240" s="152">
        <v>198.48608002595654</v>
      </c>
      <c r="Q240" s="152">
        <v>196.62794547176344</v>
      </c>
      <c r="R240" s="152">
        <v>185.64262916549592</v>
      </c>
      <c r="S240" s="152">
        <v>181.69120871454157</v>
      </c>
      <c r="T240" s="152">
        <v>192.31731930851925</v>
      </c>
      <c r="U240" s="152">
        <v>191.22421483606036</v>
      </c>
      <c r="V240" s="152">
        <v>214.65398018559361</v>
      </c>
      <c r="W240" s="152">
        <v>219.16384118607638</v>
      </c>
      <c r="DA240" s="174" t="s">
        <v>945</v>
      </c>
    </row>
    <row r="241" spans="1:105" ht="11.45" customHeight="1" x14ac:dyDescent="0.25">
      <c r="A241" s="111" t="s">
        <v>110</v>
      </c>
      <c r="B241" s="87">
        <v>222.05316641436144</v>
      </c>
      <c r="C241" s="87">
        <v>220.84428892963811</v>
      </c>
      <c r="D241" s="87">
        <v>219.50880890226892</v>
      </c>
      <c r="E241" s="87">
        <v>216.76127315788764</v>
      </c>
      <c r="F241" s="87">
        <v>216.46109645448817</v>
      </c>
      <c r="G241" s="87">
        <v>213.54509419289289</v>
      </c>
      <c r="H241" s="87">
        <v>209.23847740738569</v>
      </c>
      <c r="I241" s="87">
        <v>206.16932376650496</v>
      </c>
      <c r="J241" s="87">
        <v>196.15934961640704</v>
      </c>
      <c r="K241" s="87">
        <v>185.36217737678183</v>
      </c>
      <c r="L241" s="87">
        <v>178.62045366063577</v>
      </c>
      <c r="M241" s="87">
        <v>170.44503114525065</v>
      </c>
      <c r="N241" s="87">
        <v>166.55970046329148</v>
      </c>
      <c r="O241" s="87">
        <v>174.84303070287419</v>
      </c>
      <c r="P241" s="87">
        <v>167.34632345505869</v>
      </c>
      <c r="Q241" s="87">
        <v>155.18418059457312</v>
      </c>
      <c r="R241" s="87">
        <v>156.73857417233921</v>
      </c>
      <c r="S241" s="87">
        <v>157.15998106162121</v>
      </c>
      <c r="T241" s="87">
        <v>214.12958888786798</v>
      </c>
      <c r="U241" s="87">
        <v>202.17777777777781</v>
      </c>
      <c r="V241" s="87">
        <v>160.89854782561841</v>
      </c>
      <c r="W241" s="87">
        <v>162.50980392156859</v>
      </c>
      <c r="DA241" s="171" t="s">
        <v>946</v>
      </c>
    </row>
    <row r="242" spans="1:105" ht="11.45" customHeight="1" x14ac:dyDescent="0.25">
      <c r="A242" s="111" t="s">
        <v>111</v>
      </c>
      <c r="B242" s="87">
        <v>252.88584474185421</v>
      </c>
      <c r="C242" s="87">
        <v>252.76020755458453</v>
      </c>
      <c r="D242" s="87">
        <v>252.62068388513342</v>
      </c>
      <c r="E242" s="87">
        <v>253.19621902161899</v>
      </c>
      <c r="F242" s="87">
        <v>251.52629510287676</v>
      </c>
      <c r="G242" s="87">
        <v>252.27623482617616</v>
      </c>
      <c r="H242" s="87">
        <v>253.89383736887424</v>
      </c>
      <c r="I242" s="87">
        <v>251.55681590556921</v>
      </c>
      <c r="J242" s="87">
        <v>240.2074374186605</v>
      </c>
      <c r="K242" s="87">
        <v>230.76778915736304</v>
      </c>
      <c r="L242" s="87">
        <v>221.90367603255118</v>
      </c>
      <c r="M242" s="87">
        <v>213.07511480231022</v>
      </c>
      <c r="N242" s="87">
        <v>212.05928519492565</v>
      </c>
      <c r="O242" s="87">
        <v>203.66719921286682</v>
      </c>
      <c r="P242" s="87">
        <v>199.32363702777977</v>
      </c>
      <c r="Q242" s="87">
        <v>197.42863396966266</v>
      </c>
      <c r="R242" s="87">
        <v>186.26890312741813</v>
      </c>
      <c r="S242" s="87">
        <v>182.96688919557965</v>
      </c>
      <c r="T242" s="87">
        <v>192.39723458598257</v>
      </c>
      <c r="U242" s="87">
        <v>191.3841961852861</v>
      </c>
      <c r="V242" s="87">
        <v>216.47234571750229</v>
      </c>
      <c r="W242" s="87">
        <v>221.02447869446959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189.60934599349616</v>
      </c>
      <c r="O243" s="87">
        <v>0</v>
      </c>
      <c r="P243" s="87">
        <v>156.55556889473016</v>
      </c>
      <c r="Q243" s="87">
        <v>190.93528547596856</v>
      </c>
      <c r="R243" s="87">
        <v>192.84777797601379</v>
      </c>
      <c r="S243" s="87">
        <v>150.02058144540385</v>
      </c>
      <c r="T243" s="87">
        <v>150.02058144540385</v>
      </c>
      <c r="U243" s="87">
        <v>171.93917289034925</v>
      </c>
      <c r="V243" s="87">
        <v>175.66666666666671</v>
      </c>
      <c r="W243" s="87">
        <v>216.80374456703441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836.30009551691046</v>
      </c>
      <c r="C246" s="116">
        <v>830.50078840953688</v>
      </c>
      <c r="D246" s="116">
        <v>826.30496392795555</v>
      </c>
      <c r="E246" s="116">
        <v>820.63803572281722</v>
      </c>
      <c r="F246" s="116">
        <v>823.92226295072237</v>
      </c>
      <c r="G246" s="116">
        <v>810.20582188776416</v>
      </c>
      <c r="H246" s="116">
        <v>811.23611336773104</v>
      </c>
      <c r="I246" s="116">
        <v>801.5239589259952</v>
      </c>
      <c r="J246" s="116">
        <v>784.63059838599645</v>
      </c>
      <c r="K246" s="116">
        <v>772.77812953185139</v>
      </c>
      <c r="L246" s="116">
        <v>790.07235993300753</v>
      </c>
      <c r="M246" s="116">
        <v>778.75384164380694</v>
      </c>
      <c r="N246" s="116">
        <v>761.63821338578384</v>
      </c>
      <c r="O246" s="116">
        <v>741.21904729640789</v>
      </c>
      <c r="P246" s="116">
        <v>749.85895528385834</v>
      </c>
      <c r="Q246" s="116">
        <v>750.43315448761621</v>
      </c>
      <c r="R246" s="116">
        <v>692.08088768449477</v>
      </c>
      <c r="S246" s="116">
        <v>674.47141166733502</v>
      </c>
      <c r="T246" s="116">
        <v>673.06508151645903</v>
      </c>
      <c r="U246" s="116">
        <v>644.10969734262574</v>
      </c>
      <c r="V246" s="116">
        <v>674.33657935429596</v>
      </c>
      <c r="W246" s="116">
        <v>637.09269040202628</v>
      </c>
      <c r="DA246" s="176" t="s">
        <v>951</v>
      </c>
    </row>
    <row r="247" spans="1:105" ht="11.45" customHeight="1" x14ac:dyDescent="0.25">
      <c r="A247" s="128" t="s">
        <v>27</v>
      </c>
      <c r="B247" s="101">
        <v>775.98881041382572</v>
      </c>
      <c r="C247" s="101">
        <v>772.89307797371873</v>
      </c>
      <c r="D247" s="101">
        <v>769.46785783570215</v>
      </c>
      <c r="E247" s="101">
        <v>765.20282120794036</v>
      </c>
      <c r="F247" s="101">
        <v>760.1088056288354</v>
      </c>
      <c r="G247" s="101">
        <v>754.19866372445267</v>
      </c>
      <c r="H247" s="101">
        <v>747.48718305990576</v>
      </c>
      <c r="I247" s="101">
        <v>739.99099505452091</v>
      </c>
      <c r="J247" s="101">
        <v>731.72847398914632</v>
      </c>
      <c r="K247" s="101">
        <v>722.71962721399871</v>
      </c>
      <c r="L247" s="101">
        <v>712.98597776633903</v>
      </c>
      <c r="M247" s="101">
        <v>702.55044062607908</v>
      </c>
      <c r="N247" s="101">
        <v>691.4371938850179</v>
      </c>
      <c r="O247" s="101">
        <v>679.67154612031368</v>
      </c>
      <c r="P247" s="101">
        <v>667.279801232458</v>
      </c>
      <c r="Q247" s="101">
        <v>654.28912200821139</v>
      </c>
      <c r="R247" s="101">
        <v>638.71818308122954</v>
      </c>
      <c r="S247" s="101">
        <v>627.81852583234217</v>
      </c>
      <c r="T247" s="101">
        <v>616.37388572101054</v>
      </c>
      <c r="U247" s="101">
        <v>602.38599225160533</v>
      </c>
      <c r="V247" s="101">
        <v>601.33338480734801</v>
      </c>
      <c r="W247" s="101">
        <v>595.32005095927457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0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981.7</v>
      </c>
      <c r="C4" s="28">
        <f t="shared" ref="C4:V4" si="1">SUM(C5,C6,C9)</f>
        <v>966.7</v>
      </c>
      <c r="D4" s="28">
        <f t="shared" si="1"/>
        <v>1008.6</v>
      </c>
      <c r="E4" s="28">
        <f t="shared" si="1"/>
        <v>1015.8</v>
      </c>
      <c r="F4" s="28">
        <f t="shared" si="1"/>
        <v>1069.7</v>
      </c>
      <c r="G4" s="28">
        <f t="shared" si="1"/>
        <v>1161.7</v>
      </c>
      <c r="H4" s="28">
        <f t="shared" si="1"/>
        <v>1265.3</v>
      </c>
      <c r="I4" s="28">
        <f t="shared" si="1"/>
        <v>1254.5999999999999</v>
      </c>
      <c r="J4" s="28">
        <f t="shared" si="1"/>
        <v>1199.3</v>
      </c>
      <c r="K4" s="28">
        <f t="shared" si="1"/>
        <v>919</v>
      </c>
      <c r="L4" s="28">
        <f t="shared" si="1"/>
        <v>1105.502</v>
      </c>
      <c r="M4" s="28">
        <f t="shared" si="1"/>
        <v>1108.6379999999999</v>
      </c>
      <c r="N4" s="28">
        <f t="shared" si="1"/>
        <v>1069.3720000000001</v>
      </c>
      <c r="O4" s="28">
        <f t="shared" si="1"/>
        <v>1098.008</v>
      </c>
      <c r="P4" s="28">
        <f t="shared" si="1"/>
        <v>1028.71</v>
      </c>
      <c r="Q4" s="28">
        <f t="shared" si="1"/>
        <v>945.69</v>
      </c>
      <c r="R4" s="28">
        <f t="shared" si="1"/>
        <v>921.63900000000001</v>
      </c>
      <c r="S4" s="28">
        <f t="shared" si="1"/>
        <v>937.63900000000001</v>
      </c>
      <c r="T4" s="28">
        <f t="shared" si="1"/>
        <v>980.19299999999998</v>
      </c>
      <c r="U4" s="28">
        <f t="shared" si="1"/>
        <v>979.23099999999999</v>
      </c>
      <c r="V4" s="28">
        <f t="shared" si="1"/>
        <v>614.65700000000004</v>
      </c>
      <c r="W4" s="28">
        <f t="shared" ref="W4" si="2">SUM(W5,W6,W9)</f>
        <v>419.512</v>
      </c>
      <c r="DA4" s="173" t="s">
        <v>375</v>
      </c>
    </row>
    <row r="5" spans="1:105" ht="11.45" customHeight="1" x14ac:dyDescent="0.25">
      <c r="A5" s="107" t="s">
        <v>23</v>
      </c>
      <c r="B5" s="108">
        <v>266.70000000000005</v>
      </c>
      <c r="C5" s="108">
        <v>260.70000000000005</v>
      </c>
      <c r="D5" s="108">
        <v>264.60000000000002</v>
      </c>
      <c r="E5" s="108">
        <v>253.79999999999998</v>
      </c>
      <c r="F5" s="108">
        <v>263.70000000000005</v>
      </c>
      <c r="G5" s="108">
        <v>272.7</v>
      </c>
      <c r="H5" s="108">
        <v>279.3</v>
      </c>
      <c r="I5" s="108">
        <v>279.60000000000002</v>
      </c>
      <c r="J5" s="108">
        <v>258.29999999999995</v>
      </c>
      <c r="K5" s="108">
        <v>171</v>
      </c>
      <c r="L5" s="108">
        <v>364.50200000000001</v>
      </c>
      <c r="M5" s="108">
        <v>375.63800000000003</v>
      </c>
      <c r="N5" s="108">
        <v>352.37200000000001</v>
      </c>
      <c r="O5" s="108">
        <v>377.00800000000004</v>
      </c>
      <c r="P5" s="108">
        <v>384.71</v>
      </c>
      <c r="Q5" s="108">
        <v>355.69</v>
      </c>
      <c r="R5" s="108">
        <v>337.63900000000001</v>
      </c>
      <c r="S5" s="108">
        <v>341.63900000000001</v>
      </c>
      <c r="T5" s="108">
        <v>356.19299999999998</v>
      </c>
      <c r="U5" s="108">
        <v>336.23099999999999</v>
      </c>
      <c r="V5" s="108">
        <v>201.65700000000001</v>
      </c>
      <c r="W5" s="108">
        <v>58.512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715</v>
      </c>
      <c r="C6" s="110">
        <f t="shared" ref="C6:V6" si="4">SUM(C7:C8)</f>
        <v>706</v>
      </c>
      <c r="D6" s="110">
        <f t="shared" si="4"/>
        <v>744</v>
      </c>
      <c r="E6" s="110">
        <f t="shared" si="4"/>
        <v>762</v>
      </c>
      <c r="F6" s="110">
        <f t="shared" si="4"/>
        <v>806</v>
      </c>
      <c r="G6" s="110">
        <f t="shared" si="4"/>
        <v>889</v>
      </c>
      <c r="H6" s="110">
        <f t="shared" si="4"/>
        <v>986</v>
      </c>
      <c r="I6" s="110">
        <f t="shared" si="4"/>
        <v>975</v>
      </c>
      <c r="J6" s="110">
        <f t="shared" si="4"/>
        <v>941</v>
      </c>
      <c r="K6" s="110">
        <f t="shared" si="4"/>
        <v>748</v>
      </c>
      <c r="L6" s="110">
        <f t="shared" si="4"/>
        <v>741</v>
      </c>
      <c r="M6" s="110">
        <f t="shared" si="4"/>
        <v>733</v>
      </c>
      <c r="N6" s="110">
        <f t="shared" si="4"/>
        <v>717</v>
      </c>
      <c r="O6" s="110">
        <f t="shared" si="4"/>
        <v>721</v>
      </c>
      <c r="P6" s="110">
        <f t="shared" si="4"/>
        <v>644</v>
      </c>
      <c r="Q6" s="110">
        <f t="shared" si="4"/>
        <v>590</v>
      </c>
      <c r="R6" s="110">
        <f t="shared" si="4"/>
        <v>584</v>
      </c>
      <c r="S6" s="110">
        <f t="shared" si="4"/>
        <v>596</v>
      </c>
      <c r="T6" s="110">
        <f t="shared" si="4"/>
        <v>624</v>
      </c>
      <c r="U6" s="110">
        <f t="shared" si="4"/>
        <v>643</v>
      </c>
      <c r="V6" s="110">
        <f t="shared" si="4"/>
        <v>413</v>
      </c>
      <c r="W6" s="110">
        <f t="shared" ref="W6" si="5">SUM(W7:W8)</f>
        <v>361</v>
      </c>
      <c r="DA6" s="176" t="s">
        <v>377</v>
      </c>
    </row>
    <row r="7" spans="1:105" ht="11.45" customHeight="1" x14ac:dyDescent="0.25">
      <c r="A7" s="111" t="s">
        <v>90</v>
      </c>
      <c r="B7" s="84">
        <v>528.54277713676458</v>
      </c>
      <c r="C7" s="84">
        <v>513.00097351021464</v>
      </c>
      <c r="D7" s="84">
        <v>542.609021059204</v>
      </c>
      <c r="E7" s="84">
        <v>537.32887175027111</v>
      </c>
      <c r="F7" s="84">
        <v>567.74281397134075</v>
      </c>
      <c r="G7" s="84">
        <v>618.4091749760604</v>
      </c>
      <c r="H7" s="84">
        <v>685.93794660474498</v>
      </c>
      <c r="I7" s="84">
        <v>679.40095057365897</v>
      </c>
      <c r="J7" s="84">
        <v>617.5300140303608</v>
      </c>
      <c r="K7" s="84">
        <v>468.78643091042113</v>
      </c>
      <c r="L7" s="84">
        <v>427.18035029641942</v>
      </c>
      <c r="M7" s="84">
        <v>419.32054654303732</v>
      </c>
      <c r="N7" s="84">
        <v>402.9277033658131</v>
      </c>
      <c r="O7" s="84">
        <v>408.32795606806292</v>
      </c>
      <c r="P7" s="84">
        <v>353.45417637717679</v>
      </c>
      <c r="Q7" s="84">
        <v>178.6032653671823</v>
      </c>
      <c r="R7" s="84">
        <v>164.11728551788332</v>
      </c>
      <c r="S7" s="84">
        <v>171.63239873934387</v>
      </c>
      <c r="T7" s="84">
        <v>178.69028165465463</v>
      </c>
      <c r="U7" s="84">
        <v>185.24342188217662</v>
      </c>
      <c r="V7" s="84">
        <v>115.22728525035009</v>
      </c>
      <c r="W7" s="84">
        <v>100.19947711574183</v>
      </c>
      <c r="DA7" s="171" t="s">
        <v>1029</v>
      </c>
    </row>
    <row r="8" spans="1:105" ht="11.45" customHeight="1" x14ac:dyDescent="0.25">
      <c r="A8" s="111" t="s">
        <v>93</v>
      </c>
      <c r="B8" s="84">
        <v>186.45722286323542</v>
      </c>
      <c r="C8" s="84">
        <v>192.99902648978536</v>
      </c>
      <c r="D8" s="84">
        <v>201.390978940796</v>
      </c>
      <c r="E8" s="84">
        <v>224.67112824972889</v>
      </c>
      <c r="F8" s="84">
        <v>238.25718602865925</v>
      </c>
      <c r="G8" s="84">
        <v>270.5908250239396</v>
      </c>
      <c r="H8" s="84">
        <v>300.06205339525502</v>
      </c>
      <c r="I8" s="84">
        <v>295.59904942634103</v>
      </c>
      <c r="J8" s="84">
        <v>323.4699859696392</v>
      </c>
      <c r="K8" s="84">
        <v>279.21356908957887</v>
      </c>
      <c r="L8" s="84">
        <v>313.81964970358058</v>
      </c>
      <c r="M8" s="84">
        <v>313.67945345696268</v>
      </c>
      <c r="N8" s="84">
        <v>314.0722966341869</v>
      </c>
      <c r="O8" s="84">
        <v>312.67204393193708</v>
      </c>
      <c r="P8" s="84">
        <v>290.54582362282321</v>
      </c>
      <c r="Q8" s="84">
        <v>411.3967346328177</v>
      </c>
      <c r="R8" s="84">
        <v>419.88271448211668</v>
      </c>
      <c r="S8" s="84">
        <v>424.3676012606561</v>
      </c>
      <c r="T8" s="84">
        <v>445.30971834534535</v>
      </c>
      <c r="U8" s="84">
        <v>457.75657811782338</v>
      </c>
      <c r="V8" s="84">
        <v>297.77271474964994</v>
      </c>
      <c r="W8" s="84">
        <v>260.80052288425816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13309.999999999998</v>
      </c>
      <c r="C10" s="28">
        <f t="shared" ref="C10:V10" si="7">SUM(C11:C12)</f>
        <v>14179.999999999998</v>
      </c>
      <c r="D10" s="28">
        <f t="shared" si="7"/>
        <v>15020.000000000004</v>
      </c>
      <c r="E10" s="28">
        <f t="shared" si="7"/>
        <v>17955.000000000004</v>
      </c>
      <c r="F10" s="28">
        <f t="shared" si="7"/>
        <v>18618</v>
      </c>
      <c r="G10" s="28">
        <f t="shared" si="7"/>
        <v>19779</v>
      </c>
      <c r="H10" s="28">
        <f t="shared" si="7"/>
        <v>16830.999999999996</v>
      </c>
      <c r="I10" s="28">
        <f t="shared" si="7"/>
        <v>18313</v>
      </c>
      <c r="J10" s="28">
        <f t="shared" si="7"/>
        <v>19581</v>
      </c>
      <c r="K10" s="28">
        <f t="shared" si="7"/>
        <v>18725</v>
      </c>
      <c r="L10" s="28">
        <f t="shared" si="7"/>
        <v>17179</v>
      </c>
      <c r="M10" s="28">
        <f t="shared" si="7"/>
        <v>21410</v>
      </c>
      <c r="N10" s="28">
        <f t="shared" si="7"/>
        <v>21867</v>
      </c>
      <c r="O10" s="28">
        <f t="shared" si="7"/>
        <v>19532</v>
      </c>
      <c r="P10" s="28">
        <f t="shared" si="7"/>
        <v>19440.999999999996</v>
      </c>
      <c r="Q10" s="28">
        <f t="shared" si="7"/>
        <v>18906</v>
      </c>
      <c r="R10" s="28">
        <f t="shared" si="7"/>
        <v>15873</v>
      </c>
      <c r="S10" s="28">
        <f t="shared" si="7"/>
        <v>15013.999999999998</v>
      </c>
      <c r="T10" s="28">
        <f t="shared" si="7"/>
        <v>17859</v>
      </c>
      <c r="U10" s="28">
        <f t="shared" si="7"/>
        <v>15019</v>
      </c>
      <c r="V10" s="28">
        <f t="shared" si="7"/>
        <v>7979</v>
      </c>
      <c r="W10" s="28">
        <f t="shared" ref="W10" si="8">SUM(W11:W12)</f>
        <v>7366.9999999999991</v>
      </c>
      <c r="DA10" s="173" t="s">
        <v>383</v>
      </c>
    </row>
    <row r="11" spans="1:105" ht="11.45" customHeight="1" x14ac:dyDescent="0.25">
      <c r="A11" s="83" t="s">
        <v>90</v>
      </c>
      <c r="B11" s="84">
        <v>13309.999999999998</v>
      </c>
      <c r="C11" s="84">
        <v>14179.999999999998</v>
      </c>
      <c r="D11" s="84">
        <v>15020.000000000004</v>
      </c>
      <c r="E11" s="84">
        <v>17955.000000000004</v>
      </c>
      <c r="F11" s="84">
        <v>18618</v>
      </c>
      <c r="G11" s="84">
        <v>19779</v>
      </c>
      <c r="H11" s="84">
        <v>16830.999999999996</v>
      </c>
      <c r="I11" s="84">
        <v>18313</v>
      </c>
      <c r="J11" s="84">
        <v>19581</v>
      </c>
      <c r="K11" s="84">
        <v>18725</v>
      </c>
      <c r="L11" s="84">
        <v>17179</v>
      </c>
      <c r="M11" s="84">
        <v>21410</v>
      </c>
      <c r="N11" s="84">
        <v>21867</v>
      </c>
      <c r="O11" s="84">
        <v>19532</v>
      </c>
      <c r="P11" s="84">
        <v>19440.999999999996</v>
      </c>
      <c r="Q11" s="84">
        <v>18906</v>
      </c>
      <c r="R11" s="84">
        <v>15873</v>
      </c>
      <c r="S11" s="84">
        <v>15013.999999999998</v>
      </c>
      <c r="T11" s="84">
        <v>17859</v>
      </c>
      <c r="U11" s="84">
        <v>15019</v>
      </c>
      <c r="V11" s="84">
        <v>7979</v>
      </c>
      <c r="W11" s="84">
        <v>7366.9999999999991</v>
      </c>
      <c r="DA11" s="171" t="s">
        <v>1031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0</v>
      </c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20.114568207440819</v>
      </c>
      <c r="C14" s="62">
        <f t="shared" ref="C14:V14" si="10">C15+C21</f>
        <v>20.612047763722753</v>
      </c>
      <c r="D14" s="62">
        <f t="shared" si="10"/>
        <v>21.437765161054262</v>
      </c>
      <c r="E14" s="62">
        <f t="shared" si="10"/>
        <v>24.024884730674717</v>
      </c>
      <c r="F14" s="62">
        <f t="shared" si="10"/>
        <v>24.530507831368908</v>
      </c>
      <c r="G14" s="62">
        <f t="shared" si="10"/>
        <v>25.22757032379679</v>
      </c>
      <c r="H14" s="62">
        <f t="shared" si="10"/>
        <v>23.243153888958432</v>
      </c>
      <c r="I14" s="62">
        <f t="shared" si="10"/>
        <v>24.512681456096942</v>
      </c>
      <c r="J14" s="62">
        <f t="shared" si="10"/>
        <v>25.376149944293459</v>
      </c>
      <c r="K14" s="62">
        <f t="shared" si="10"/>
        <v>23.028019094814674</v>
      </c>
      <c r="L14" s="62">
        <f t="shared" si="10"/>
        <v>23.175272667610798</v>
      </c>
      <c r="M14" s="62">
        <f t="shared" si="10"/>
        <v>26.392354864862906</v>
      </c>
      <c r="N14" s="62">
        <f t="shared" si="10"/>
        <v>27.227813290604306</v>
      </c>
      <c r="O14" s="62">
        <f t="shared" si="10"/>
        <v>25.523960810321849</v>
      </c>
      <c r="P14" s="62">
        <f t="shared" si="10"/>
        <v>25.522639351903365</v>
      </c>
      <c r="Q14" s="62">
        <f t="shared" si="10"/>
        <v>25.443981750003172</v>
      </c>
      <c r="R14" s="62">
        <f t="shared" si="10"/>
        <v>23.033674392421542</v>
      </c>
      <c r="S14" s="62">
        <f t="shared" si="10"/>
        <v>22.325183864187075</v>
      </c>
      <c r="T14" s="62">
        <f t="shared" si="10"/>
        <v>23.394414005079138</v>
      </c>
      <c r="U14" s="62">
        <f t="shared" si="10"/>
        <v>20.737313210661185</v>
      </c>
      <c r="V14" s="62">
        <f t="shared" si="10"/>
        <v>15.268508166463359</v>
      </c>
      <c r="W14" s="62">
        <f t="shared" ref="W14" si="11">W15+W21</f>
        <v>12.970959212957334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9.3266814180438047</v>
      </c>
      <c r="C15" s="29">
        <f t="shared" ref="C15:V15" si="13">SUM(C16,C17,C20)</f>
        <v>9.1817976804408712</v>
      </c>
      <c r="D15" s="29">
        <f t="shared" si="13"/>
        <v>9.4460414614279706</v>
      </c>
      <c r="E15" s="29">
        <f t="shared" si="13"/>
        <v>9.8660361858524972</v>
      </c>
      <c r="F15" s="29">
        <f t="shared" si="13"/>
        <v>9.9970508412881642</v>
      </c>
      <c r="G15" s="29">
        <f t="shared" si="13"/>
        <v>10.50833635064625</v>
      </c>
      <c r="H15" s="29">
        <f t="shared" si="13"/>
        <v>10.409581962043754</v>
      </c>
      <c r="I15" s="29">
        <f t="shared" si="13"/>
        <v>10.481809005899109</v>
      </c>
      <c r="J15" s="29">
        <f t="shared" si="13"/>
        <v>10.36839673027721</v>
      </c>
      <c r="K15" s="29">
        <f t="shared" si="13"/>
        <v>8.6089973487304761</v>
      </c>
      <c r="L15" s="29">
        <f t="shared" si="13"/>
        <v>9.8982629844376451</v>
      </c>
      <c r="M15" s="29">
        <f t="shared" si="13"/>
        <v>10.09805269454932</v>
      </c>
      <c r="N15" s="29">
        <f t="shared" si="13"/>
        <v>9.7600123896919015</v>
      </c>
      <c r="O15" s="29">
        <f t="shared" si="13"/>
        <v>9.938747496833944</v>
      </c>
      <c r="P15" s="29">
        <f t="shared" si="13"/>
        <v>9.8470518899463464</v>
      </c>
      <c r="Q15" s="29">
        <f t="shared" si="13"/>
        <v>9.6818375767174256</v>
      </c>
      <c r="R15" s="29">
        <f t="shared" si="13"/>
        <v>9.5017410025737661</v>
      </c>
      <c r="S15" s="29">
        <f t="shared" si="13"/>
        <v>9.6488701832378965</v>
      </c>
      <c r="T15" s="29">
        <f t="shared" si="13"/>
        <v>9.8799531617457923</v>
      </c>
      <c r="U15" s="29">
        <f t="shared" si="13"/>
        <v>9.6634059763472013</v>
      </c>
      <c r="V15" s="29">
        <f t="shared" si="13"/>
        <v>8.7518222110298325</v>
      </c>
      <c r="W15" s="29">
        <f t="shared" ref="W15" si="14">SUM(W16,W17,W20)</f>
        <v>6.745401445261086</v>
      </c>
      <c r="DA15" s="173" t="s">
        <v>1034</v>
      </c>
    </row>
    <row r="16" spans="1:105" ht="11.45" customHeight="1" x14ac:dyDescent="0.25">
      <c r="A16" s="107" t="s">
        <v>23</v>
      </c>
      <c r="B16" s="115">
        <v>3.896328879682831</v>
      </c>
      <c r="C16" s="115">
        <v>3.7225724123156412</v>
      </c>
      <c r="D16" s="115">
        <v>3.6298926165983723</v>
      </c>
      <c r="E16" s="115">
        <v>3.4637196381450841</v>
      </c>
      <c r="F16" s="115">
        <v>3.5438961944346641</v>
      </c>
      <c r="G16" s="115">
        <v>3.5876156792235951</v>
      </c>
      <c r="H16" s="115">
        <v>3.5570345518076381</v>
      </c>
      <c r="I16" s="115">
        <v>3.5745847899063574</v>
      </c>
      <c r="J16" s="115">
        <v>3.349800772789171</v>
      </c>
      <c r="K16" s="115">
        <v>2.2978142580897294</v>
      </c>
      <c r="L16" s="115">
        <v>4.7750959122604604</v>
      </c>
      <c r="M16" s="115">
        <v>4.9550348481993431</v>
      </c>
      <c r="N16" s="115">
        <v>4.6537452478364614</v>
      </c>
      <c r="O16" s="115">
        <v>4.9556132535845219</v>
      </c>
      <c r="P16" s="115">
        <v>5.1940815590028935</v>
      </c>
      <c r="Q16" s="115">
        <v>4.8998404868466823</v>
      </c>
      <c r="R16" s="115">
        <v>4.6500416648601401</v>
      </c>
      <c r="S16" s="115">
        <v>4.6860547166718645</v>
      </c>
      <c r="T16" s="115">
        <v>4.8361867250966242</v>
      </c>
      <c r="U16" s="115">
        <v>4.5327315303265943</v>
      </c>
      <c r="V16" s="115">
        <v>4.1297484209616053</v>
      </c>
      <c r="W16" s="115">
        <v>1.388218618124258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5.4303525383609736</v>
      </c>
      <c r="C17" s="116">
        <f t="shared" ref="C17:V17" si="16">SUM(C18:C19)</f>
        <v>5.4592252681252296</v>
      </c>
      <c r="D17" s="116">
        <f t="shared" si="16"/>
        <v>5.8161488448295975</v>
      </c>
      <c r="E17" s="116">
        <f t="shared" si="16"/>
        <v>6.4023165477074135</v>
      </c>
      <c r="F17" s="116">
        <f t="shared" si="16"/>
        <v>6.4531546468535002</v>
      </c>
      <c r="G17" s="116">
        <f t="shared" si="16"/>
        <v>6.9207206714226546</v>
      </c>
      <c r="H17" s="116">
        <f t="shared" si="16"/>
        <v>6.8525474102361157</v>
      </c>
      <c r="I17" s="116">
        <f t="shared" si="16"/>
        <v>6.907224215992751</v>
      </c>
      <c r="J17" s="116">
        <f t="shared" si="16"/>
        <v>7.0185959574880386</v>
      </c>
      <c r="K17" s="116">
        <f t="shared" si="16"/>
        <v>6.3111830906407471</v>
      </c>
      <c r="L17" s="116">
        <f t="shared" si="16"/>
        <v>5.1231670721771847</v>
      </c>
      <c r="M17" s="116">
        <f t="shared" si="16"/>
        <v>5.1430178463499781</v>
      </c>
      <c r="N17" s="116">
        <f t="shared" si="16"/>
        <v>5.1062671418554393</v>
      </c>
      <c r="O17" s="116">
        <f t="shared" si="16"/>
        <v>4.983134243249423</v>
      </c>
      <c r="P17" s="116">
        <f t="shared" si="16"/>
        <v>4.652970330943452</v>
      </c>
      <c r="Q17" s="116">
        <f t="shared" si="16"/>
        <v>4.7819970898707433</v>
      </c>
      <c r="R17" s="116">
        <f t="shared" si="16"/>
        <v>4.8516993377136259</v>
      </c>
      <c r="S17" s="116">
        <f t="shared" si="16"/>
        <v>4.9628154665660311</v>
      </c>
      <c r="T17" s="116">
        <f t="shared" si="16"/>
        <v>5.0437664366491672</v>
      </c>
      <c r="U17" s="116">
        <f t="shared" si="16"/>
        <v>5.1306744460206071</v>
      </c>
      <c r="V17" s="116">
        <f t="shared" si="16"/>
        <v>4.6220737900682263</v>
      </c>
      <c r="W17" s="116">
        <f t="shared" ref="W17" si="17">SUM(W18:W19)</f>
        <v>5.3571828271368283</v>
      </c>
      <c r="DA17" s="176" t="s">
        <v>1036</v>
      </c>
    </row>
    <row r="18" spans="1:105" ht="11.45" customHeight="1" x14ac:dyDescent="0.25">
      <c r="A18" s="111" t="s">
        <v>92</v>
      </c>
      <c r="B18" s="87">
        <v>4.3227909677697474</v>
      </c>
      <c r="C18" s="87">
        <v>4.3447074361238265</v>
      </c>
      <c r="D18" s="87">
        <v>4.7699013922137876</v>
      </c>
      <c r="E18" s="87">
        <v>5.1401138515404785</v>
      </c>
      <c r="F18" s="87">
        <v>5.1792026250547911</v>
      </c>
      <c r="G18" s="87">
        <v>5.5135224665525477</v>
      </c>
      <c r="H18" s="87">
        <v>5.4580131272310481</v>
      </c>
      <c r="I18" s="87">
        <v>5.4919605919023651</v>
      </c>
      <c r="J18" s="87">
        <v>5.2935736423134072</v>
      </c>
      <c r="K18" s="87">
        <v>4.49129023177285</v>
      </c>
      <c r="L18" s="87">
        <v>3.8216147624806136</v>
      </c>
      <c r="M18" s="87">
        <v>3.8555317070987725</v>
      </c>
      <c r="N18" s="87">
        <v>3.7269663524168712</v>
      </c>
      <c r="O18" s="87">
        <v>3.7090185910812767</v>
      </c>
      <c r="P18" s="87">
        <v>3.3406922169799147</v>
      </c>
      <c r="Q18" s="87">
        <v>1.7029659734105282</v>
      </c>
      <c r="R18" s="87">
        <v>1.6438376171864268</v>
      </c>
      <c r="S18" s="87">
        <v>1.6971094274116665</v>
      </c>
      <c r="T18" s="87">
        <v>1.5782085524326404</v>
      </c>
      <c r="U18" s="87">
        <v>1.5766986399812613</v>
      </c>
      <c r="V18" s="87">
        <v>1.2627955593287061</v>
      </c>
      <c r="W18" s="87">
        <v>1.0838933967630529</v>
      </c>
      <c r="DA18" s="171" t="s">
        <v>1037</v>
      </c>
    </row>
    <row r="19" spans="1:105" ht="11.45" customHeight="1" x14ac:dyDescent="0.25">
      <c r="A19" s="111" t="s">
        <v>93</v>
      </c>
      <c r="B19" s="87">
        <v>1.1075615705912263</v>
      </c>
      <c r="C19" s="87">
        <v>1.1145178320014031</v>
      </c>
      <c r="D19" s="87">
        <v>1.0462474526158099</v>
      </c>
      <c r="E19" s="87">
        <v>1.262202696166935</v>
      </c>
      <c r="F19" s="87">
        <v>1.273952021798709</v>
      </c>
      <c r="G19" s="87">
        <v>1.4071982048701068</v>
      </c>
      <c r="H19" s="87">
        <v>1.3945342830050675</v>
      </c>
      <c r="I19" s="87">
        <v>1.415263624090386</v>
      </c>
      <c r="J19" s="87">
        <v>1.7250223151746313</v>
      </c>
      <c r="K19" s="87">
        <v>1.8198928588678971</v>
      </c>
      <c r="L19" s="87">
        <v>1.3015523096965711</v>
      </c>
      <c r="M19" s="87">
        <v>1.2874861392512056</v>
      </c>
      <c r="N19" s="87">
        <v>1.379300789438568</v>
      </c>
      <c r="O19" s="87">
        <v>1.2741156521681463</v>
      </c>
      <c r="P19" s="87">
        <v>1.3122781139635373</v>
      </c>
      <c r="Q19" s="87">
        <v>3.0790311164602149</v>
      </c>
      <c r="R19" s="87">
        <v>3.2078617205271995</v>
      </c>
      <c r="S19" s="87">
        <v>3.2657060391543644</v>
      </c>
      <c r="T19" s="87">
        <v>3.4655578842165271</v>
      </c>
      <c r="U19" s="87">
        <v>3.5539758060393458</v>
      </c>
      <c r="V19" s="87">
        <v>3.3592782307395201</v>
      </c>
      <c r="W19" s="87">
        <v>4.2732894303737758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10.787886789397014</v>
      </c>
      <c r="C21" s="29">
        <f t="shared" ref="C21:V21" si="19">SUM(C22:C23)</f>
        <v>11.430250083281882</v>
      </c>
      <c r="D21" s="29">
        <f t="shared" si="19"/>
        <v>11.991723699626291</v>
      </c>
      <c r="E21" s="29">
        <f t="shared" si="19"/>
        <v>14.15884854482222</v>
      </c>
      <c r="F21" s="29">
        <f t="shared" si="19"/>
        <v>14.533456990080742</v>
      </c>
      <c r="G21" s="29">
        <f t="shared" si="19"/>
        <v>14.719233973150542</v>
      </c>
      <c r="H21" s="29">
        <f t="shared" si="19"/>
        <v>12.833571926914678</v>
      </c>
      <c r="I21" s="29">
        <f t="shared" si="19"/>
        <v>14.030872450197831</v>
      </c>
      <c r="J21" s="29">
        <f t="shared" si="19"/>
        <v>15.007753214016251</v>
      </c>
      <c r="K21" s="29">
        <f t="shared" si="19"/>
        <v>14.4190217460842</v>
      </c>
      <c r="L21" s="29">
        <f t="shared" si="19"/>
        <v>13.277009683173153</v>
      </c>
      <c r="M21" s="29">
        <f t="shared" si="19"/>
        <v>16.294302170313586</v>
      </c>
      <c r="N21" s="29">
        <f t="shared" si="19"/>
        <v>17.467800900912405</v>
      </c>
      <c r="O21" s="29">
        <f t="shared" si="19"/>
        <v>15.585213313487905</v>
      </c>
      <c r="P21" s="29">
        <f t="shared" si="19"/>
        <v>15.675587461957019</v>
      </c>
      <c r="Q21" s="29">
        <f t="shared" si="19"/>
        <v>15.762144173285746</v>
      </c>
      <c r="R21" s="29">
        <f t="shared" si="19"/>
        <v>13.531933389847776</v>
      </c>
      <c r="S21" s="29">
        <f t="shared" si="19"/>
        <v>12.676313680949178</v>
      </c>
      <c r="T21" s="29">
        <f t="shared" si="19"/>
        <v>13.514460843333346</v>
      </c>
      <c r="U21" s="29">
        <f t="shared" si="19"/>
        <v>11.073907234313985</v>
      </c>
      <c r="V21" s="29">
        <f t="shared" si="19"/>
        <v>6.5166859554335277</v>
      </c>
      <c r="W21" s="29">
        <f t="shared" ref="W21" si="20">SUM(W22:W23)</f>
        <v>6.2255577676962481</v>
      </c>
      <c r="DA21" s="173" t="s">
        <v>1040</v>
      </c>
    </row>
    <row r="22" spans="1:105" ht="11.45" customHeight="1" x14ac:dyDescent="0.25">
      <c r="A22" s="83" t="s">
        <v>92</v>
      </c>
      <c r="B22" s="87">
        <v>10.787886789397014</v>
      </c>
      <c r="C22" s="87">
        <v>11.430250083281882</v>
      </c>
      <c r="D22" s="87">
        <v>11.991723699626291</v>
      </c>
      <c r="E22" s="87">
        <v>14.15884854482222</v>
      </c>
      <c r="F22" s="87">
        <v>14.533456990080742</v>
      </c>
      <c r="G22" s="87">
        <v>14.719233973150542</v>
      </c>
      <c r="H22" s="87">
        <v>12.833571926914678</v>
      </c>
      <c r="I22" s="87">
        <v>14.030872450197831</v>
      </c>
      <c r="J22" s="87">
        <v>15.007753214016251</v>
      </c>
      <c r="K22" s="87">
        <v>14.4190217460842</v>
      </c>
      <c r="L22" s="87">
        <v>13.277009683173153</v>
      </c>
      <c r="M22" s="87">
        <v>16.294302170313586</v>
      </c>
      <c r="N22" s="87">
        <v>17.467800900912405</v>
      </c>
      <c r="O22" s="87">
        <v>15.585213313487905</v>
      </c>
      <c r="P22" s="87">
        <v>15.675587461957019</v>
      </c>
      <c r="Q22" s="87">
        <v>15.762144173285746</v>
      </c>
      <c r="R22" s="87">
        <v>13.531933389847776</v>
      </c>
      <c r="S22" s="87">
        <v>12.676313680949178</v>
      </c>
      <c r="T22" s="87">
        <v>13.514460843333346</v>
      </c>
      <c r="U22" s="87">
        <v>11.073907234313985</v>
      </c>
      <c r="V22" s="87">
        <v>6.5166859554335277</v>
      </c>
      <c r="W22" s="87">
        <v>6.2255577676962481</v>
      </c>
      <c r="DA22" s="171" t="s">
        <v>1041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125.56295700000001</v>
      </c>
      <c r="C25" s="62">
        <f t="shared" ref="C25:V25" si="22">C26+C32</f>
        <v>127.387655</v>
      </c>
      <c r="D25" s="62">
        <f t="shared" si="22"/>
        <v>131.73196999999999</v>
      </c>
      <c r="E25" s="62">
        <f t="shared" si="22"/>
        <v>144.96471500000001</v>
      </c>
      <c r="F25" s="62">
        <f t="shared" si="22"/>
        <v>147.90555599999999</v>
      </c>
      <c r="G25" s="62">
        <f t="shared" si="22"/>
        <v>152.348997</v>
      </c>
      <c r="H25" s="62">
        <f t="shared" si="22"/>
        <v>146.222556</v>
      </c>
      <c r="I25" s="62">
        <f t="shared" si="22"/>
        <v>148.69875100000002</v>
      </c>
      <c r="J25" s="62">
        <f t="shared" si="22"/>
        <v>152.28214199999999</v>
      </c>
      <c r="K25" s="62">
        <f t="shared" si="22"/>
        <v>143.546978</v>
      </c>
      <c r="L25" s="62">
        <f t="shared" si="22"/>
        <v>151.03214600000001</v>
      </c>
      <c r="M25" s="62">
        <f t="shared" si="22"/>
        <v>163.81806599999999</v>
      </c>
      <c r="N25" s="62">
        <f t="shared" si="22"/>
        <v>164.40972099999999</v>
      </c>
      <c r="O25" s="62">
        <f t="shared" si="22"/>
        <v>160.90200699999997</v>
      </c>
      <c r="P25" s="62">
        <f t="shared" si="22"/>
        <v>156.61666499999998</v>
      </c>
      <c r="Q25" s="62">
        <f t="shared" si="22"/>
        <v>163.27102300000001</v>
      </c>
      <c r="R25" s="62">
        <f t="shared" si="22"/>
        <v>153.583192</v>
      </c>
      <c r="S25" s="62">
        <f t="shared" si="22"/>
        <v>146.02040899999997</v>
      </c>
      <c r="T25" s="62">
        <f t="shared" si="22"/>
        <v>145.385201</v>
      </c>
      <c r="U25" s="62">
        <f t="shared" si="22"/>
        <v>137.58951099999999</v>
      </c>
      <c r="V25" s="62">
        <f t="shared" si="22"/>
        <v>125.82239</v>
      </c>
      <c r="W25" s="62">
        <f t="shared" ref="W25" si="23">W26+W32</f>
        <v>121.22744600000001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71.623523000000006</v>
      </c>
      <c r="C26" s="29">
        <f t="shared" ref="C26:V26" si="25">SUM(C27,C28,C31)</f>
        <v>70.236403999999993</v>
      </c>
      <c r="D26" s="29">
        <f t="shared" si="25"/>
        <v>71.773350999999991</v>
      </c>
      <c r="E26" s="29">
        <f t="shared" si="25"/>
        <v>74.170472000000004</v>
      </c>
      <c r="F26" s="29">
        <f t="shared" si="25"/>
        <v>75.238270999999997</v>
      </c>
      <c r="G26" s="29">
        <f t="shared" si="25"/>
        <v>78.752826999999996</v>
      </c>
      <c r="H26" s="29">
        <f t="shared" si="25"/>
        <v>78.020329000000004</v>
      </c>
      <c r="I26" s="29">
        <f t="shared" si="25"/>
        <v>78.544387999999998</v>
      </c>
      <c r="J26" s="29">
        <f t="shared" si="25"/>
        <v>77.243375</v>
      </c>
      <c r="K26" s="29">
        <f t="shared" si="25"/>
        <v>71.451869000000002</v>
      </c>
      <c r="L26" s="29">
        <f t="shared" si="25"/>
        <v>84.330979999999997</v>
      </c>
      <c r="M26" s="29">
        <f t="shared" si="25"/>
        <v>82.346554999999995</v>
      </c>
      <c r="N26" s="29">
        <f t="shared" si="25"/>
        <v>77.070716000000004</v>
      </c>
      <c r="O26" s="29">
        <f t="shared" si="25"/>
        <v>78.95694499999999</v>
      </c>
      <c r="P26" s="29">
        <f t="shared" si="25"/>
        <v>78.238726999999983</v>
      </c>
      <c r="Q26" s="29">
        <f t="shared" si="25"/>
        <v>84.460301999999999</v>
      </c>
      <c r="R26" s="29">
        <f t="shared" si="25"/>
        <v>80.166414000000003</v>
      </c>
      <c r="S26" s="29">
        <f t="shared" si="25"/>
        <v>77.997573999999986</v>
      </c>
      <c r="T26" s="29">
        <f t="shared" si="25"/>
        <v>77.812895999999995</v>
      </c>
      <c r="U26" s="29">
        <f t="shared" si="25"/>
        <v>75.411148999999995</v>
      </c>
      <c r="V26" s="29">
        <f t="shared" si="25"/>
        <v>69.037970999999999</v>
      </c>
      <c r="W26" s="29">
        <f t="shared" ref="W26" si="26">SUM(W27,W28,W31)</f>
        <v>69.836970000000008</v>
      </c>
      <c r="DA26" s="173" t="s">
        <v>1044</v>
      </c>
    </row>
    <row r="27" spans="1:105" ht="11.45" customHeight="1" x14ac:dyDescent="0.25">
      <c r="A27" s="107" t="s">
        <v>23</v>
      </c>
      <c r="B27" s="115">
        <v>35.421171999999999</v>
      </c>
      <c r="C27" s="115">
        <v>33.841567999999995</v>
      </c>
      <c r="D27" s="115">
        <v>32.999023999999999</v>
      </c>
      <c r="E27" s="115">
        <v>31.488361000000001</v>
      </c>
      <c r="F27" s="115">
        <v>32.217238999999999</v>
      </c>
      <c r="G27" s="115">
        <v>32.614688000000001</v>
      </c>
      <c r="H27" s="115">
        <v>32.336677999999999</v>
      </c>
      <c r="I27" s="115">
        <v>32.496226</v>
      </c>
      <c r="J27" s="115">
        <v>30.452735000000001</v>
      </c>
      <c r="K27" s="115">
        <v>26.910617999999999</v>
      </c>
      <c r="L27" s="115">
        <v>43.409962999999998</v>
      </c>
      <c r="M27" s="115">
        <v>45.045771999999999</v>
      </c>
      <c r="N27" s="115">
        <v>42.306774999999995</v>
      </c>
      <c r="O27" s="115">
        <v>45.051029999999997</v>
      </c>
      <c r="P27" s="115">
        <v>47.218923999999994</v>
      </c>
      <c r="Q27" s="115">
        <v>44.544004999999999</v>
      </c>
      <c r="R27" s="115">
        <v>42.273106999999996</v>
      </c>
      <c r="S27" s="115">
        <v>42.600497999999995</v>
      </c>
      <c r="T27" s="115">
        <v>43.965333999999999</v>
      </c>
      <c r="U27" s="115">
        <v>41.206651000000001</v>
      </c>
      <c r="V27" s="115">
        <v>37.664533999999996</v>
      </c>
      <c r="W27" s="115">
        <v>34.122416999999999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36.202351</v>
      </c>
      <c r="C28" s="116">
        <f t="shared" ref="C28:V28" si="28">SUM(C29:C30)</f>
        <v>36.394835999999998</v>
      </c>
      <c r="D28" s="116">
        <f t="shared" si="28"/>
        <v>38.774327</v>
      </c>
      <c r="E28" s="116">
        <f t="shared" si="28"/>
        <v>42.682110999999999</v>
      </c>
      <c r="F28" s="116">
        <f t="shared" si="28"/>
        <v>43.021031999999991</v>
      </c>
      <c r="G28" s="116">
        <f t="shared" si="28"/>
        <v>46.138138999999995</v>
      </c>
      <c r="H28" s="116">
        <f t="shared" si="28"/>
        <v>45.683650999999998</v>
      </c>
      <c r="I28" s="116">
        <f t="shared" si="28"/>
        <v>46.048161999999998</v>
      </c>
      <c r="J28" s="116">
        <f t="shared" si="28"/>
        <v>46.790639999999996</v>
      </c>
      <c r="K28" s="116">
        <f t="shared" si="28"/>
        <v>44.541251000000003</v>
      </c>
      <c r="L28" s="116">
        <f t="shared" si="28"/>
        <v>40.921016999999999</v>
      </c>
      <c r="M28" s="116">
        <f t="shared" si="28"/>
        <v>37.300782999999996</v>
      </c>
      <c r="N28" s="116">
        <f t="shared" si="28"/>
        <v>34.763941000000003</v>
      </c>
      <c r="O28" s="116">
        <f t="shared" si="28"/>
        <v>33.905915</v>
      </c>
      <c r="P28" s="116">
        <f t="shared" si="28"/>
        <v>31.019802999999996</v>
      </c>
      <c r="Q28" s="116">
        <f t="shared" si="28"/>
        <v>39.916297</v>
      </c>
      <c r="R28" s="116">
        <f t="shared" si="28"/>
        <v>37.893307</v>
      </c>
      <c r="S28" s="116">
        <f t="shared" si="28"/>
        <v>35.397075999999998</v>
      </c>
      <c r="T28" s="116">
        <f t="shared" si="28"/>
        <v>33.847562000000003</v>
      </c>
      <c r="U28" s="116">
        <f t="shared" si="28"/>
        <v>34.204498000000001</v>
      </c>
      <c r="V28" s="116">
        <f t="shared" si="28"/>
        <v>31.373437000000003</v>
      </c>
      <c r="W28" s="116">
        <f t="shared" ref="W28" si="29">SUM(W29:W30)</f>
        <v>35.714553000000002</v>
      </c>
      <c r="DA28" s="176" t="s">
        <v>1046</v>
      </c>
    </row>
    <row r="29" spans="1:105" ht="11.45" customHeight="1" x14ac:dyDescent="0.25">
      <c r="A29" s="111" t="s">
        <v>92</v>
      </c>
      <c r="B29" s="87">
        <v>28.818607</v>
      </c>
      <c r="C29" s="87">
        <v>28.964717</v>
      </c>
      <c r="D29" s="87">
        <v>31.799343</v>
      </c>
      <c r="E29" s="87">
        <v>34.267426</v>
      </c>
      <c r="F29" s="87">
        <v>34.528017999999996</v>
      </c>
      <c r="G29" s="87">
        <v>36.756816999999998</v>
      </c>
      <c r="H29" s="87">
        <v>36.386755000000001</v>
      </c>
      <c r="I29" s="87">
        <v>36.613070999999998</v>
      </c>
      <c r="J29" s="87">
        <v>35.290490999999996</v>
      </c>
      <c r="K29" s="87">
        <v>32.408631</v>
      </c>
      <c r="L29" s="87">
        <v>29.526771</v>
      </c>
      <c r="M29" s="87">
        <v>26.644911</v>
      </c>
      <c r="N29" s="87">
        <v>24.846443000000001</v>
      </c>
      <c r="O29" s="87">
        <v>24.726791000000002</v>
      </c>
      <c r="P29" s="87">
        <v>22.271281999999999</v>
      </c>
      <c r="Q29" s="87">
        <v>19.389422</v>
      </c>
      <c r="R29" s="87">
        <v>16.507562</v>
      </c>
      <c r="S29" s="87">
        <v>13.625701999999999</v>
      </c>
      <c r="T29" s="87">
        <v>10.743841999999999</v>
      </c>
      <c r="U29" s="87">
        <v>10.511324999999999</v>
      </c>
      <c r="V29" s="87">
        <v>8.4186379999999996</v>
      </c>
      <c r="W29" s="87">
        <v>7.225956</v>
      </c>
      <c r="DA29" s="171" t="s">
        <v>1047</v>
      </c>
    </row>
    <row r="30" spans="1:105" ht="11.45" customHeight="1" x14ac:dyDescent="0.25">
      <c r="A30" s="111" t="s">
        <v>93</v>
      </c>
      <c r="B30" s="87">
        <v>7.3837440000000001</v>
      </c>
      <c r="C30" s="87">
        <v>7.4301190000000004</v>
      </c>
      <c r="D30" s="87">
        <v>6.9749840000000001</v>
      </c>
      <c r="E30" s="87">
        <v>8.4146849999999986</v>
      </c>
      <c r="F30" s="87">
        <v>8.4930139999999987</v>
      </c>
      <c r="G30" s="87">
        <v>9.3813219999999991</v>
      </c>
      <c r="H30" s="87">
        <v>9.2968959999999985</v>
      </c>
      <c r="I30" s="87">
        <v>9.4350909999999999</v>
      </c>
      <c r="J30" s="87">
        <v>11.500148999999999</v>
      </c>
      <c r="K30" s="87">
        <v>12.132619999999999</v>
      </c>
      <c r="L30" s="87">
        <v>11.394245999999999</v>
      </c>
      <c r="M30" s="87">
        <v>10.655871999999999</v>
      </c>
      <c r="N30" s="87">
        <v>9.9174979999999984</v>
      </c>
      <c r="O30" s="87">
        <v>9.1791239999999998</v>
      </c>
      <c r="P30" s="87">
        <v>8.7485209999999984</v>
      </c>
      <c r="Q30" s="87">
        <v>20.526875</v>
      </c>
      <c r="R30" s="87">
        <v>21.385745</v>
      </c>
      <c r="S30" s="87">
        <v>21.771374000000002</v>
      </c>
      <c r="T30" s="87">
        <v>23.103720000000003</v>
      </c>
      <c r="U30" s="87">
        <v>23.693173000000002</v>
      </c>
      <c r="V30" s="87">
        <v>22.954799000000001</v>
      </c>
      <c r="W30" s="87">
        <v>28.488597000000002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53.939433999999999</v>
      </c>
      <c r="C32" s="29">
        <f t="shared" ref="C32:V32" si="31">SUM(C33:C34)</f>
        <v>57.151250999999995</v>
      </c>
      <c r="D32" s="29">
        <f t="shared" si="31"/>
        <v>59.958618999999999</v>
      </c>
      <c r="E32" s="29">
        <f t="shared" si="31"/>
        <v>70.794242999999994</v>
      </c>
      <c r="F32" s="29">
        <f t="shared" si="31"/>
        <v>72.667284999999993</v>
      </c>
      <c r="G32" s="29">
        <f t="shared" si="31"/>
        <v>73.596170000000001</v>
      </c>
      <c r="H32" s="29">
        <f t="shared" si="31"/>
        <v>68.202226999999993</v>
      </c>
      <c r="I32" s="29">
        <f t="shared" si="31"/>
        <v>70.154363000000004</v>
      </c>
      <c r="J32" s="29">
        <f t="shared" si="31"/>
        <v>75.038766999999993</v>
      </c>
      <c r="K32" s="29">
        <f t="shared" si="31"/>
        <v>72.095108999999994</v>
      </c>
      <c r="L32" s="29">
        <f t="shared" si="31"/>
        <v>66.701166000000001</v>
      </c>
      <c r="M32" s="29">
        <f t="shared" si="31"/>
        <v>81.471510999999992</v>
      </c>
      <c r="N32" s="29">
        <f t="shared" si="31"/>
        <v>87.339005</v>
      </c>
      <c r="O32" s="29">
        <f t="shared" si="31"/>
        <v>81.945061999999993</v>
      </c>
      <c r="P32" s="29">
        <f t="shared" si="31"/>
        <v>78.377938</v>
      </c>
      <c r="Q32" s="29">
        <f t="shared" si="31"/>
        <v>78.810721000000001</v>
      </c>
      <c r="R32" s="29">
        <f t="shared" si="31"/>
        <v>73.416777999999994</v>
      </c>
      <c r="S32" s="29">
        <f t="shared" si="31"/>
        <v>68.022835000000001</v>
      </c>
      <c r="T32" s="29">
        <f t="shared" si="31"/>
        <v>67.572305</v>
      </c>
      <c r="U32" s="29">
        <f t="shared" si="31"/>
        <v>62.178362</v>
      </c>
      <c r="V32" s="29">
        <f t="shared" si="31"/>
        <v>56.784419</v>
      </c>
      <c r="W32" s="29">
        <f t="shared" ref="W32" si="32">SUM(W33:W34)</f>
        <v>51.390476</v>
      </c>
      <c r="DA32" s="173" t="s">
        <v>1050</v>
      </c>
    </row>
    <row r="33" spans="1:105" ht="11.45" customHeight="1" x14ac:dyDescent="0.25">
      <c r="A33" s="83" t="s">
        <v>92</v>
      </c>
      <c r="B33" s="87">
        <v>53.939433999999999</v>
      </c>
      <c r="C33" s="87">
        <v>57.151250999999995</v>
      </c>
      <c r="D33" s="87">
        <v>59.958618999999999</v>
      </c>
      <c r="E33" s="87">
        <v>70.794242999999994</v>
      </c>
      <c r="F33" s="87">
        <v>72.667284999999993</v>
      </c>
      <c r="G33" s="87">
        <v>73.596170000000001</v>
      </c>
      <c r="H33" s="87">
        <v>68.202226999999993</v>
      </c>
      <c r="I33" s="87">
        <v>70.154363000000004</v>
      </c>
      <c r="J33" s="87">
        <v>75.038766999999993</v>
      </c>
      <c r="K33" s="87">
        <v>72.095108999999994</v>
      </c>
      <c r="L33" s="87">
        <v>66.701166000000001</v>
      </c>
      <c r="M33" s="87">
        <v>81.471510999999992</v>
      </c>
      <c r="N33" s="87">
        <v>87.339005</v>
      </c>
      <c r="O33" s="87">
        <v>81.945061999999993</v>
      </c>
      <c r="P33" s="87">
        <v>78.377938</v>
      </c>
      <c r="Q33" s="87">
        <v>78.810721000000001</v>
      </c>
      <c r="R33" s="87">
        <v>73.416777999999994</v>
      </c>
      <c r="S33" s="87">
        <v>68.022835000000001</v>
      </c>
      <c r="T33" s="87">
        <v>67.572305</v>
      </c>
      <c r="U33" s="87">
        <v>62.178362</v>
      </c>
      <c r="V33" s="87">
        <v>56.784419</v>
      </c>
      <c r="W33" s="87">
        <v>51.390476</v>
      </c>
      <c r="DA33" s="171" t="s">
        <v>1051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6.8681339999999977</v>
      </c>
      <c r="D36" s="54">
        <f t="shared" ref="D36:V36" si="34">D37+D43</f>
        <v>9.1790450000000092</v>
      </c>
      <c r="E36" s="54">
        <f t="shared" si="34"/>
        <v>18.207239999999995</v>
      </c>
      <c r="F36" s="54">
        <f t="shared" si="34"/>
        <v>7.5327259999999931</v>
      </c>
      <c r="G36" s="54">
        <f t="shared" si="34"/>
        <v>9.0353260000000137</v>
      </c>
      <c r="H36" s="54">
        <f t="shared" si="34"/>
        <v>1.5733360000000012</v>
      </c>
      <c r="I36" s="54">
        <f t="shared" si="34"/>
        <v>7.0680800000000108</v>
      </c>
      <c r="J36" s="54">
        <f t="shared" si="34"/>
        <v>9.447802999999988</v>
      </c>
      <c r="K36" s="54">
        <f t="shared" si="34"/>
        <v>0.8447610000000001</v>
      </c>
      <c r="L36" s="54">
        <f t="shared" si="34"/>
        <v>17.627397999999999</v>
      </c>
      <c r="M36" s="54">
        <f t="shared" si="34"/>
        <v>19.820257999999995</v>
      </c>
      <c r="N36" s="54">
        <f t="shared" si="34"/>
        <v>8.1535450000000083</v>
      </c>
      <c r="O36" s="54">
        <f t="shared" si="34"/>
        <v>4.7181470000000054</v>
      </c>
      <c r="P36" s="54">
        <f t="shared" si="34"/>
        <v>3.2959469999999982</v>
      </c>
      <c r="Q36" s="54">
        <f t="shared" si="34"/>
        <v>14.709478000000002</v>
      </c>
      <c r="R36" s="54">
        <f t="shared" si="34"/>
        <v>1.071159999999999</v>
      </c>
      <c r="S36" s="54">
        <f t="shared" si="34"/>
        <v>2.0533630000000009</v>
      </c>
      <c r="T36" s="54">
        <f t="shared" si="34"/>
        <v>5.8730460000000058</v>
      </c>
      <c r="U36" s="54">
        <f t="shared" si="34"/>
        <v>1.5347169999999988</v>
      </c>
      <c r="V36" s="54">
        <f t="shared" si="34"/>
        <v>0</v>
      </c>
      <c r="W36" s="54">
        <f t="shared" ref="W36" si="35">W37+W43</f>
        <v>5.7460880000000003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1.3702660000000009</v>
      </c>
      <c r="D37" s="28">
        <f t="shared" ref="D37:V37" si="37">SUM(D38,D39,D42)</f>
        <v>4.0856260000000049</v>
      </c>
      <c r="E37" s="28">
        <f t="shared" si="37"/>
        <v>5.0855649999999981</v>
      </c>
      <c r="F37" s="28">
        <f t="shared" si="37"/>
        <v>3.3736329999999946</v>
      </c>
      <c r="G37" s="28">
        <f t="shared" si="37"/>
        <v>5.8203900000000051</v>
      </c>
      <c r="H37" s="28">
        <f t="shared" si="37"/>
        <v>1.5733360000000012</v>
      </c>
      <c r="I37" s="28">
        <f t="shared" si="37"/>
        <v>2.8298930000000002</v>
      </c>
      <c r="J37" s="28">
        <f t="shared" si="37"/>
        <v>2.2773479999999982</v>
      </c>
      <c r="K37" s="28">
        <f t="shared" si="37"/>
        <v>0.8447610000000001</v>
      </c>
      <c r="L37" s="28">
        <f t="shared" si="37"/>
        <v>17.627397999999999</v>
      </c>
      <c r="M37" s="28">
        <f t="shared" si="37"/>
        <v>2.7638620000000031</v>
      </c>
      <c r="N37" s="28">
        <f t="shared" si="37"/>
        <v>0</v>
      </c>
      <c r="O37" s="28">
        <f t="shared" si="37"/>
        <v>4.7181470000000054</v>
      </c>
      <c r="P37" s="28">
        <f t="shared" si="37"/>
        <v>3.2959469999999982</v>
      </c>
      <c r="Q37" s="28">
        <f t="shared" si="37"/>
        <v>11.990644000000001</v>
      </c>
      <c r="R37" s="28">
        <f t="shared" si="37"/>
        <v>1.071159999999999</v>
      </c>
      <c r="S37" s="28">
        <f t="shared" si="37"/>
        <v>2.0533630000000009</v>
      </c>
      <c r="T37" s="28">
        <f t="shared" si="37"/>
        <v>4.0375250000000058</v>
      </c>
      <c r="U37" s="28">
        <f t="shared" si="37"/>
        <v>1.5347169999999988</v>
      </c>
      <c r="V37" s="28">
        <f t="shared" si="37"/>
        <v>0</v>
      </c>
      <c r="W37" s="28">
        <f t="shared" ref="W37" si="38">SUM(W38,W39,W42)</f>
        <v>5.7460880000000003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0.28550900000000468</v>
      </c>
      <c r="E38" s="108">
        <v>0</v>
      </c>
      <c r="F38" s="108">
        <v>1.8569309999999994</v>
      </c>
      <c r="G38" s="108">
        <v>1.525502000000003</v>
      </c>
      <c r="H38" s="108">
        <v>0.85004299999999944</v>
      </c>
      <c r="I38" s="108">
        <v>1.2876010000000022</v>
      </c>
      <c r="J38" s="108">
        <v>0</v>
      </c>
      <c r="K38" s="108">
        <v>0</v>
      </c>
      <c r="L38" s="108">
        <v>17.627397999999999</v>
      </c>
      <c r="M38" s="108">
        <v>2.7638620000000031</v>
      </c>
      <c r="N38" s="108">
        <v>0</v>
      </c>
      <c r="O38" s="108">
        <v>3.8723080000000039</v>
      </c>
      <c r="P38" s="108">
        <v>3.2959469999999982</v>
      </c>
      <c r="Q38" s="108">
        <v>0</v>
      </c>
      <c r="R38" s="108">
        <v>0</v>
      </c>
      <c r="S38" s="108">
        <v>1.455444</v>
      </c>
      <c r="T38" s="108">
        <v>2.4928890000000052</v>
      </c>
      <c r="U38" s="108">
        <v>0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1.3702660000000009</v>
      </c>
      <c r="D39" s="110">
        <f t="shared" ref="D39:V39" si="40">SUM(D40:D41)</f>
        <v>3.8001170000000002</v>
      </c>
      <c r="E39" s="110">
        <f t="shared" si="40"/>
        <v>5.0855649999999981</v>
      </c>
      <c r="F39" s="110">
        <f t="shared" si="40"/>
        <v>1.5167019999999951</v>
      </c>
      <c r="G39" s="110">
        <f t="shared" si="40"/>
        <v>4.294888000000002</v>
      </c>
      <c r="H39" s="110">
        <f t="shared" si="40"/>
        <v>0.72329300000000174</v>
      </c>
      <c r="I39" s="110">
        <f t="shared" si="40"/>
        <v>1.542291999999998</v>
      </c>
      <c r="J39" s="110">
        <f t="shared" si="40"/>
        <v>2.2773479999999982</v>
      </c>
      <c r="K39" s="110">
        <f t="shared" si="40"/>
        <v>0.8447610000000001</v>
      </c>
      <c r="L39" s="110">
        <f t="shared" si="40"/>
        <v>0</v>
      </c>
      <c r="M39" s="110">
        <f t="shared" si="40"/>
        <v>0</v>
      </c>
      <c r="N39" s="110">
        <f t="shared" si="40"/>
        <v>0</v>
      </c>
      <c r="O39" s="110">
        <f t="shared" si="40"/>
        <v>0.84583900000000156</v>
      </c>
      <c r="P39" s="110">
        <f t="shared" si="40"/>
        <v>0</v>
      </c>
      <c r="Q39" s="110">
        <f t="shared" si="40"/>
        <v>11.990644000000001</v>
      </c>
      <c r="R39" s="110">
        <f t="shared" si="40"/>
        <v>1.071159999999999</v>
      </c>
      <c r="S39" s="110">
        <f t="shared" si="40"/>
        <v>0.59791900000000098</v>
      </c>
      <c r="T39" s="110">
        <f t="shared" si="40"/>
        <v>1.5446360000000006</v>
      </c>
      <c r="U39" s="110">
        <f t="shared" si="40"/>
        <v>1.5347169999999988</v>
      </c>
      <c r="V39" s="110">
        <f t="shared" si="40"/>
        <v>0</v>
      </c>
      <c r="W39" s="110">
        <f t="shared" ref="W39" si="41">SUM(W40:W41)</f>
        <v>5.7460880000000003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1.1116010000000003</v>
      </c>
      <c r="D40" s="84">
        <v>3.8001170000000002</v>
      </c>
      <c r="E40" s="84">
        <v>3.4335740000000001</v>
      </c>
      <c r="F40" s="84">
        <v>1.2260829999999956</v>
      </c>
      <c r="G40" s="84">
        <v>3.1942900000000023</v>
      </c>
      <c r="H40" s="84">
        <v>0.59542900000000287</v>
      </c>
      <c r="I40" s="84">
        <v>1.1918069999999972</v>
      </c>
      <c r="J40" s="84">
        <v>0</v>
      </c>
      <c r="K40" s="84">
        <v>0</v>
      </c>
      <c r="L40" s="84">
        <v>0</v>
      </c>
      <c r="M40" s="84">
        <v>0</v>
      </c>
      <c r="N40" s="84">
        <v>0</v>
      </c>
      <c r="O40" s="84">
        <v>0.84583900000000156</v>
      </c>
      <c r="P40" s="84">
        <v>0</v>
      </c>
      <c r="Q40" s="84">
        <v>0</v>
      </c>
      <c r="R40" s="84">
        <v>0</v>
      </c>
      <c r="S40" s="84">
        <v>0</v>
      </c>
      <c r="T40" s="84">
        <v>0</v>
      </c>
      <c r="U40" s="84">
        <v>0.73297400000000046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0.25866500000000059</v>
      </c>
      <c r="D41" s="84">
        <v>0</v>
      </c>
      <c r="E41" s="84">
        <v>1.651990999999998</v>
      </c>
      <c r="F41" s="84">
        <v>0.29061899999999952</v>
      </c>
      <c r="G41" s="84">
        <v>1.1005979999999997</v>
      </c>
      <c r="H41" s="84">
        <v>0.12786399999999887</v>
      </c>
      <c r="I41" s="84">
        <v>0.35048500000000082</v>
      </c>
      <c r="J41" s="84">
        <v>2.2773479999999982</v>
      </c>
      <c r="K41" s="84">
        <v>0.8447610000000001</v>
      </c>
      <c r="L41" s="84">
        <v>0</v>
      </c>
      <c r="M41" s="84">
        <v>0</v>
      </c>
      <c r="N41" s="84">
        <v>0</v>
      </c>
      <c r="O41" s="84">
        <v>0</v>
      </c>
      <c r="P41" s="84">
        <v>0</v>
      </c>
      <c r="Q41" s="84">
        <v>11.990644000000001</v>
      </c>
      <c r="R41" s="84">
        <v>1.071159999999999</v>
      </c>
      <c r="S41" s="84">
        <v>0.59791900000000098</v>
      </c>
      <c r="T41" s="84">
        <v>1.5446360000000006</v>
      </c>
      <c r="U41" s="84">
        <v>0.80174299999999832</v>
      </c>
      <c r="V41" s="84">
        <v>0</v>
      </c>
      <c r="W41" s="84">
        <v>5.7460880000000003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5.4978679999999969</v>
      </c>
      <c r="D43" s="28">
        <f t="shared" ref="D43:V43" si="43">SUM(D44:D45)</f>
        <v>5.0934190000000044</v>
      </c>
      <c r="E43" s="28">
        <f t="shared" si="43"/>
        <v>13.121674999999996</v>
      </c>
      <c r="F43" s="28">
        <f t="shared" si="43"/>
        <v>4.1590929999999986</v>
      </c>
      <c r="G43" s="28">
        <f t="shared" si="43"/>
        <v>3.2149360000000087</v>
      </c>
      <c r="H43" s="28">
        <f t="shared" si="43"/>
        <v>0</v>
      </c>
      <c r="I43" s="28">
        <f t="shared" si="43"/>
        <v>4.2381870000000106</v>
      </c>
      <c r="J43" s="28">
        <f t="shared" si="43"/>
        <v>7.1704549999999898</v>
      </c>
      <c r="K43" s="28">
        <f t="shared" si="43"/>
        <v>0</v>
      </c>
      <c r="L43" s="28">
        <f t="shared" si="43"/>
        <v>0</v>
      </c>
      <c r="M43" s="28">
        <f t="shared" si="43"/>
        <v>17.056395999999992</v>
      </c>
      <c r="N43" s="28">
        <f t="shared" si="43"/>
        <v>8.1535450000000083</v>
      </c>
      <c r="O43" s="28">
        <f t="shared" si="43"/>
        <v>0</v>
      </c>
      <c r="P43" s="28">
        <f t="shared" si="43"/>
        <v>0</v>
      </c>
      <c r="Q43" s="28">
        <f t="shared" si="43"/>
        <v>2.7188340000000011</v>
      </c>
      <c r="R43" s="28">
        <f t="shared" si="43"/>
        <v>0</v>
      </c>
      <c r="S43" s="28">
        <f t="shared" si="43"/>
        <v>0</v>
      </c>
      <c r="T43" s="28">
        <f t="shared" si="43"/>
        <v>1.835521</v>
      </c>
      <c r="U43" s="28">
        <f t="shared" si="43"/>
        <v>0</v>
      </c>
      <c r="V43" s="28">
        <f t="shared" si="43"/>
        <v>0</v>
      </c>
      <c r="W43" s="28">
        <f t="shared" ref="W43" si="44">SUM(W44:W45)</f>
        <v>0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5.4978679999999969</v>
      </c>
      <c r="D44" s="84">
        <v>5.0934190000000044</v>
      </c>
      <c r="E44" s="84">
        <v>13.121674999999996</v>
      </c>
      <c r="F44" s="84">
        <v>4.1590929999999986</v>
      </c>
      <c r="G44" s="84">
        <v>3.2149360000000087</v>
      </c>
      <c r="H44" s="84">
        <v>0</v>
      </c>
      <c r="I44" s="84">
        <v>4.2381870000000106</v>
      </c>
      <c r="J44" s="84">
        <v>7.1704549999999898</v>
      </c>
      <c r="K44" s="84">
        <v>0</v>
      </c>
      <c r="L44" s="84">
        <v>0</v>
      </c>
      <c r="M44" s="84">
        <v>17.056395999999992</v>
      </c>
      <c r="N44" s="84">
        <v>8.1535450000000083</v>
      </c>
      <c r="O44" s="84">
        <v>0</v>
      </c>
      <c r="P44" s="84">
        <v>0</v>
      </c>
      <c r="Q44" s="84">
        <v>2.7188340000000011</v>
      </c>
      <c r="R44" s="84">
        <v>0</v>
      </c>
      <c r="S44" s="84">
        <v>0</v>
      </c>
      <c r="T44" s="84">
        <v>1.835521</v>
      </c>
      <c r="U44" s="84">
        <v>0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105.25716018355257</v>
      </c>
      <c r="C50" s="29">
        <f t="shared" si="45"/>
        <v>105.28439349728551</v>
      </c>
      <c r="D50" s="29">
        <f t="shared" si="45"/>
        <v>106.77488597933051</v>
      </c>
      <c r="E50" s="29">
        <f t="shared" si="45"/>
        <v>102.95928180930622</v>
      </c>
      <c r="F50" s="29">
        <f t="shared" si="45"/>
        <v>107.0015564572406</v>
      </c>
      <c r="G50" s="29">
        <f t="shared" si="45"/>
        <v>110.55032511674</v>
      </c>
      <c r="H50" s="29">
        <f t="shared" si="45"/>
        <v>121.55147100177869</v>
      </c>
      <c r="I50" s="29">
        <f t="shared" si="45"/>
        <v>119.69307962909049</v>
      </c>
      <c r="J50" s="29">
        <f t="shared" si="45"/>
        <v>115.66879925590342</v>
      </c>
      <c r="K50" s="29">
        <f t="shared" ref="K50:V50" si="46">IF(K4=0,0,K4/K15)</f>
        <v>106.74878418164691</v>
      </c>
      <c r="L50" s="29">
        <f t="shared" si="46"/>
        <v>111.68646476034273</v>
      </c>
      <c r="M50" s="29">
        <f t="shared" si="46"/>
        <v>109.7873058830853</v>
      </c>
      <c r="N50" s="29">
        <f t="shared" si="46"/>
        <v>109.56666419085943</v>
      </c>
      <c r="O50" s="29">
        <f t="shared" si="46"/>
        <v>110.47750235628564</v>
      </c>
      <c r="P50" s="29">
        <f t="shared" si="46"/>
        <v>104.4688310265018</v>
      </c>
      <c r="Q50" s="29">
        <f t="shared" si="46"/>
        <v>97.676705739638223</v>
      </c>
      <c r="R50" s="29">
        <f t="shared" si="46"/>
        <v>96.996855602605123</v>
      </c>
      <c r="S50" s="29">
        <f t="shared" si="46"/>
        <v>97.176040530514641</v>
      </c>
      <c r="T50" s="29">
        <f t="shared" si="46"/>
        <v>99.210288141365993</v>
      </c>
      <c r="U50" s="29">
        <f t="shared" si="46"/>
        <v>101.33393985483289</v>
      </c>
      <c r="V50" s="29">
        <f t="shared" si="46"/>
        <v>70.23188830611231</v>
      </c>
      <c r="W50" s="29">
        <f t="shared" ref="W50" si="47">IF(W4=0,0,W4/W15)</f>
        <v>62.192295507441436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68.449047356010141</v>
      </c>
      <c r="C51" s="115">
        <f t="shared" si="48"/>
        <v>70.032217274675006</v>
      </c>
      <c r="D51" s="115">
        <f t="shared" si="48"/>
        <v>72.894718369922671</v>
      </c>
      <c r="E51" s="115">
        <f t="shared" si="48"/>
        <v>73.273828864485338</v>
      </c>
      <c r="F51" s="115">
        <f t="shared" si="48"/>
        <v>74.40962870586182</v>
      </c>
      <c r="G51" s="115">
        <f t="shared" si="48"/>
        <v>76.011486285792927</v>
      </c>
      <c r="H51" s="115">
        <f t="shared" si="48"/>
        <v>78.520463023915084</v>
      </c>
      <c r="I51" s="115">
        <f t="shared" si="48"/>
        <v>78.218874759808017</v>
      </c>
      <c r="J51" s="115">
        <f t="shared" si="48"/>
        <v>77.109063350334594</v>
      </c>
      <c r="K51" s="115">
        <f t="shared" ref="K51:V51" si="49">IF(K5=0,0,K5/K16)</f>
        <v>74.418547712450689</v>
      </c>
      <c r="L51" s="115">
        <f t="shared" si="49"/>
        <v>76.333964112450701</v>
      </c>
      <c r="M51" s="115">
        <f t="shared" si="49"/>
        <v>75.809355838638893</v>
      </c>
      <c r="N51" s="115">
        <f t="shared" si="49"/>
        <v>75.717939258453967</v>
      </c>
      <c r="O51" s="115">
        <f t="shared" si="49"/>
        <v>76.07696176195762</v>
      </c>
      <c r="P51" s="115">
        <f t="shared" si="49"/>
        <v>74.066992524055138</v>
      </c>
      <c r="Q51" s="115">
        <f t="shared" si="49"/>
        <v>72.592159062081251</v>
      </c>
      <c r="R51" s="115">
        <f t="shared" si="49"/>
        <v>72.609887036389651</v>
      </c>
      <c r="S51" s="115">
        <f t="shared" si="49"/>
        <v>72.905465398116235</v>
      </c>
      <c r="T51" s="115">
        <f t="shared" si="49"/>
        <v>73.651622703398303</v>
      </c>
      <c r="U51" s="115">
        <f t="shared" si="49"/>
        <v>74.178450179636769</v>
      </c>
      <c r="V51" s="115">
        <f t="shared" si="49"/>
        <v>48.830335275736843</v>
      </c>
      <c r="W51" s="115">
        <f t="shared" ref="W51" si="50">IF(W5=0,0,W5/W16)</f>
        <v>42.148980885345431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131.6673263750582</v>
      </c>
      <c r="C52" s="116">
        <f t="shared" si="51"/>
        <v>129.3223791518773</v>
      </c>
      <c r="D52" s="116">
        <f t="shared" si="51"/>
        <v>127.91969735461574</v>
      </c>
      <c r="E52" s="116">
        <f t="shared" si="51"/>
        <v>119.0194196619132</v>
      </c>
      <c r="F52" s="116">
        <f t="shared" si="51"/>
        <v>124.90015257777812</v>
      </c>
      <c r="G52" s="116">
        <f t="shared" si="51"/>
        <v>128.45483038650846</v>
      </c>
      <c r="H52" s="116">
        <f t="shared" si="51"/>
        <v>143.88809605711663</v>
      </c>
      <c r="I52" s="116">
        <f t="shared" si="51"/>
        <v>141.15655862777965</v>
      </c>
      <c r="J52" s="116">
        <f t="shared" si="51"/>
        <v>134.07239933737185</v>
      </c>
      <c r="K52" s="116">
        <f t="shared" ref="K52:V52" si="52">IF(K6=0,0,K6/K17)</f>
        <v>118.51977501797667</v>
      </c>
      <c r="L52" s="116">
        <f t="shared" si="52"/>
        <v>144.63709450824103</v>
      </c>
      <c r="M52" s="116">
        <f t="shared" si="52"/>
        <v>142.52332422299745</v>
      </c>
      <c r="N52" s="116">
        <f t="shared" si="52"/>
        <v>140.41568529050113</v>
      </c>
      <c r="O52" s="116">
        <f t="shared" si="52"/>
        <v>144.68805470708077</v>
      </c>
      <c r="P52" s="116">
        <f t="shared" si="52"/>
        <v>138.40621241816953</v>
      </c>
      <c r="Q52" s="116">
        <f t="shared" si="52"/>
        <v>123.37941427228004</v>
      </c>
      <c r="R52" s="116">
        <f t="shared" si="52"/>
        <v>120.37019595596196</v>
      </c>
      <c r="S52" s="116">
        <f t="shared" si="52"/>
        <v>120.09312133710989</v>
      </c>
      <c r="T52" s="116">
        <f t="shared" si="52"/>
        <v>123.71706894789426</v>
      </c>
      <c r="U52" s="116">
        <f t="shared" si="52"/>
        <v>125.32465405181107</v>
      </c>
      <c r="V52" s="116">
        <f t="shared" si="52"/>
        <v>89.35383093351777</v>
      </c>
      <c r="W52" s="116">
        <f t="shared" ref="W52" si="53">IF(W6=0,0,W6/W17)</f>
        <v>67.386163894081278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122.26887237377917</v>
      </c>
      <c r="C53" s="87">
        <f t="shared" si="54"/>
        <v>118.07491782873498</v>
      </c>
      <c r="D53" s="87">
        <f t="shared" si="54"/>
        <v>113.75686339028708</v>
      </c>
      <c r="E53" s="87">
        <f t="shared" si="54"/>
        <v>104.53637551028856</v>
      </c>
      <c r="F53" s="87">
        <f t="shared" si="54"/>
        <v>109.6197339769719</v>
      </c>
      <c r="G53" s="87">
        <f t="shared" si="54"/>
        <v>112.16226626944979</v>
      </c>
      <c r="H53" s="87">
        <f t="shared" si="54"/>
        <v>125.67539333726998</v>
      </c>
      <c r="I53" s="87">
        <f t="shared" si="54"/>
        <v>123.70827124568289</v>
      </c>
      <c r="J53" s="87">
        <f t="shared" si="54"/>
        <v>116.65654541843432</v>
      </c>
      <c r="K53" s="87">
        <f t="shared" ref="K53:V53" si="55">IF(K7=0,0,K7/K18)</f>
        <v>104.37678411296451</v>
      </c>
      <c r="L53" s="87">
        <f t="shared" si="55"/>
        <v>111.78006597900419</v>
      </c>
      <c r="M53" s="87">
        <f t="shared" si="55"/>
        <v>108.75816317915059</v>
      </c>
      <c r="N53" s="87">
        <f t="shared" si="55"/>
        <v>108.11144112007388</v>
      </c>
      <c r="O53" s="87">
        <f t="shared" si="55"/>
        <v>110.09056601925109</v>
      </c>
      <c r="P53" s="87">
        <f t="shared" si="55"/>
        <v>105.80267603841395</v>
      </c>
      <c r="Q53" s="87">
        <f t="shared" si="55"/>
        <v>104.87776512028231</v>
      </c>
      <c r="R53" s="87">
        <f t="shared" si="55"/>
        <v>99.83789384184098</v>
      </c>
      <c r="S53" s="87">
        <f t="shared" si="55"/>
        <v>101.13219334424871</v>
      </c>
      <c r="T53" s="87">
        <f t="shared" si="55"/>
        <v>113.22349088732449</v>
      </c>
      <c r="U53" s="87">
        <f t="shared" si="55"/>
        <v>117.48815987079065</v>
      </c>
      <c r="V53" s="87">
        <f t="shared" si="55"/>
        <v>91.247775143907035</v>
      </c>
      <c r="W53" s="87">
        <f t="shared" ref="W53" si="56">IF(W7=0,0,W7/W18)</f>
        <v>92.44403316320431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168.34930699491755</v>
      </c>
      <c r="C54" s="87">
        <f t="shared" si="57"/>
        <v>173.16818174475148</v>
      </c>
      <c r="D54" s="87">
        <f t="shared" si="57"/>
        <v>192.48885953058402</v>
      </c>
      <c r="E54" s="87">
        <f t="shared" si="57"/>
        <v>177.99924602602385</v>
      </c>
      <c r="F54" s="87">
        <f t="shared" si="57"/>
        <v>187.02210283575744</v>
      </c>
      <c r="G54" s="87">
        <f t="shared" si="57"/>
        <v>192.29048479984155</v>
      </c>
      <c r="H54" s="87">
        <f t="shared" si="57"/>
        <v>215.1700801135232</v>
      </c>
      <c r="I54" s="87">
        <f t="shared" si="57"/>
        <v>208.86500888929973</v>
      </c>
      <c r="J54" s="87">
        <f t="shared" si="57"/>
        <v>187.51640667146555</v>
      </c>
      <c r="K54" s="87">
        <f t="shared" ref="K54:V54" si="58">IF(K8=0,0,K8/K19)</f>
        <v>153.42308077590326</v>
      </c>
      <c r="L54" s="87">
        <f t="shared" si="58"/>
        <v>241.11182267944412</v>
      </c>
      <c r="M54" s="87">
        <f t="shared" si="58"/>
        <v>243.63714986430597</v>
      </c>
      <c r="N54" s="87">
        <f t="shared" si="58"/>
        <v>227.70399251495186</v>
      </c>
      <c r="O54" s="87">
        <f t="shared" si="58"/>
        <v>245.4031887920591</v>
      </c>
      <c r="P54" s="87">
        <f t="shared" si="58"/>
        <v>221.40567653397309</v>
      </c>
      <c r="Q54" s="87">
        <f t="shared" si="58"/>
        <v>133.61239918412286</v>
      </c>
      <c r="R54" s="87">
        <f t="shared" si="58"/>
        <v>130.89177497747957</v>
      </c>
      <c r="S54" s="87">
        <f t="shared" si="58"/>
        <v>129.94666273469721</v>
      </c>
      <c r="T54" s="87">
        <f t="shared" si="58"/>
        <v>128.49582469058032</v>
      </c>
      <c r="U54" s="87">
        <f t="shared" si="58"/>
        <v>128.80126458372283</v>
      </c>
      <c r="V54" s="87">
        <f t="shared" si="58"/>
        <v>88.641873133592</v>
      </c>
      <c r="W54" s="87">
        <f t="shared" ref="W54" si="59">IF(W8=0,0,W8/W19)</f>
        <v>61.030390553594323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1233.7912197115259</v>
      </c>
      <c r="C56" s="29">
        <f t="shared" si="63"/>
        <v>1240.5677825667137</v>
      </c>
      <c r="D56" s="29">
        <f t="shared" si="63"/>
        <v>1252.5305265720961</v>
      </c>
      <c r="E56" s="29">
        <f t="shared" si="63"/>
        <v>1268.1115941851081</v>
      </c>
      <c r="F56" s="29">
        <f t="shared" si="63"/>
        <v>1281.0441461179544</v>
      </c>
      <c r="G56" s="29">
        <f t="shared" si="63"/>
        <v>1343.7519938930934</v>
      </c>
      <c r="H56" s="29">
        <f t="shared" si="63"/>
        <v>1311.4821108145175</v>
      </c>
      <c r="I56" s="29">
        <f t="shared" si="63"/>
        <v>1305.1932490300553</v>
      </c>
      <c r="J56" s="29">
        <f t="shared" si="63"/>
        <v>1304.7256122064052</v>
      </c>
      <c r="K56" s="29">
        <f t="shared" ref="K56:V56" si="64">IF(K10=0,0,K10/K21)</f>
        <v>1298.6317886014135</v>
      </c>
      <c r="L56" s="29">
        <f t="shared" si="64"/>
        <v>1293.8907487408178</v>
      </c>
      <c r="M56" s="29">
        <f t="shared" si="64"/>
        <v>1313.9562391942534</v>
      </c>
      <c r="N56" s="29">
        <f t="shared" si="64"/>
        <v>1251.8461896859501</v>
      </c>
      <c r="O56" s="29">
        <f t="shared" si="64"/>
        <v>1253.2391830079366</v>
      </c>
      <c r="P56" s="29">
        <f t="shared" si="64"/>
        <v>1240.2087033217244</v>
      </c>
      <c r="Q56" s="29">
        <f t="shared" si="64"/>
        <v>1199.4561014130663</v>
      </c>
      <c r="R56" s="29">
        <f t="shared" si="64"/>
        <v>1173.0031136503073</v>
      </c>
      <c r="S56" s="29">
        <f t="shared" si="64"/>
        <v>1184.4137324058217</v>
      </c>
      <c r="T56" s="29">
        <f t="shared" si="64"/>
        <v>1321.4733615370092</v>
      </c>
      <c r="U56" s="29">
        <f t="shared" si="64"/>
        <v>1356.2512022370584</v>
      </c>
      <c r="V56" s="29">
        <f t="shared" si="64"/>
        <v>1224.3953528782854</v>
      </c>
      <c r="W56" s="29">
        <f t="shared" ref="W56" si="65">IF(W10=0,0,W10/W21)</f>
        <v>1183.347785836407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1233.7912197115259</v>
      </c>
      <c r="C57" s="87">
        <f t="shared" si="66"/>
        <v>1240.5677825667137</v>
      </c>
      <c r="D57" s="87">
        <f t="shared" si="66"/>
        <v>1252.5305265720961</v>
      </c>
      <c r="E57" s="87">
        <f t="shared" si="66"/>
        <v>1268.1115941851081</v>
      </c>
      <c r="F57" s="87">
        <f t="shared" si="66"/>
        <v>1281.0441461179544</v>
      </c>
      <c r="G57" s="87">
        <f t="shared" si="66"/>
        <v>1343.7519938930934</v>
      </c>
      <c r="H57" s="87">
        <f t="shared" si="66"/>
        <v>1311.4821108145175</v>
      </c>
      <c r="I57" s="87">
        <f t="shared" si="66"/>
        <v>1305.1932490300553</v>
      </c>
      <c r="J57" s="87">
        <f t="shared" si="66"/>
        <v>1304.7256122064052</v>
      </c>
      <c r="K57" s="87">
        <f t="shared" ref="K57:V57" si="67">IF(K11=0,0,K11/K22)</f>
        <v>1298.6317886014135</v>
      </c>
      <c r="L57" s="87">
        <f t="shared" si="67"/>
        <v>1293.8907487408178</v>
      </c>
      <c r="M57" s="87">
        <f t="shared" si="67"/>
        <v>1313.9562391942534</v>
      </c>
      <c r="N57" s="87">
        <f t="shared" si="67"/>
        <v>1251.8461896859501</v>
      </c>
      <c r="O57" s="87">
        <f t="shared" si="67"/>
        <v>1253.2391830079366</v>
      </c>
      <c r="P57" s="87">
        <f t="shared" si="67"/>
        <v>1240.2087033217244</v>
      </c>
      <c r="Q57" s="87">
        <f t="shared" si="67"/>
        <v>1199.4561014130663</v>
      </c>
      <c r="R57" s="87">
        <f t="shared" si="67"/>
        <v>1173.0031136503073</v>
      </c>
      <c r="S57" s="87">
        <f t="shared" si="67"/>
        <v>1184.4137324058217</v>
      </c>
      <c r="T57" s="87">
        <f t="shared" si="67"/>
        <v>1321.4733615370092</v>
      </c>
      <c r="U57" s="87">
        <f t="shared" si="67"/>
        <v>1356.2512022370584</v>
      </c>
      <c r="V57" s="87">
        <f t="shared" si="67"/>
        <v>1224.3953528782854</v>
      </c>
      <c r="W57" s="87">
        <f t="shared" ref="W57" si="68">IF(W11=0,0,W11/W22)</f>
        <v>1183.347785836407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0</v>
      </c>
      <c r="E58" s="88">
        <f t="shared" si="69"/>
        <v>0</v>
      </c>
      <c r="F58" s="88">
        <f t="shared" si="69"/>
        <v>0</v>
      </c>
      <c r="G58" s="88">
        <f t="shared" si="69"/>
        <v>0</v>
      </c>
      <c r="H58" s="88">
        <f t="shared" si="69"/>
        <v>0</v>
      </c>
      <c r="I58" s="88">
        <f t="shared" si="69"/>
        <v>0</v>
      </c>
      <c r="J58" s="88">
        <f t="shared" si="69"/>
        <v>0</v>
      </c>
      <c r="K58" s="88">
        <f t="shared" ref="K58:V58" si="70">IF(K12=0,0,K12/K23)</f>
        <v>0</v>
      </c>
      <c r="L58" s="88">
        <f t="shared" si="70"/>
        <v>0</v>
      </c>
      <c r="M58" s="88">
        <f t="shared" si="70"/>
        <v>0</v>
      </c>
      <c r="N58" s="88">
        <f t="shared" si="70"/>
        <v>0</v>
      </c>
      <c r="O58" s="88">
        <f t="shared" si="70"/>
        <v>0</v>
      </c>
      <c r="P58" s="88">
        <f t="shared" si="70"/>
        <v>0</v>
      </c>
      <c r="Q58" s="88">
        <f t="shared" si="70"/>
        <v>0</v>
      </c>
      <c r="R58" s="88">
        <f t="shared" si="70"/>
        <v>0</v>
      </c>
      <c r="S58" s="88">
        <f t="shared" si="70"/>
        <v>0</v>
      </c>
      <c r="T58" s="88">
        <f t="shared" si="70"/>
        <v>0</v>
      </c>
      <c r="U58" s="88">
        <f t="shared" si="70"/>
        <v>0</v>
      </c>
      <c r="V58" s="88">
        <f t="shared" si="70"/>
        <v>0</v>
      </c>
      <c r="W58" s="88">
        <f t="shared" ref="W58" si="71">IF(W12=0,0,W12/W23)</f>
        <v>0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359.56373047999881</v>
      </c>
      <c r="C61" s="29">
        <f t="shared" ref="C61" si="73">IF(C26=0,0,(C62*C27+C64*C29+C65*C30+C66*C31)/(C27+C29+C30+C31))</f>
        <v>358.54590049912014</v>
      </c>
      <c r="D61" s="29">
        <f t="shared" ref="D61" si="74">IF(D26=0,0,(D62*D27+D64*D29+D65*D30+D66*D31)/(D27+D29+D30+D31))</f>
        <v>356.78136638764437</v>
      </c>
      <c r="E61" s="29">
        <f t="shared" ref="E61" si="75">IF(E26=0,0,(E62*E27+E64*E29+E65*E30+E66*E31)/(E27+E29+E30+E31))</f>
        <v>353.96323108204035</v>
      </c>
      <c r="F61" s="29">
        <f t="shared" ref="F61" si="76">IF(F26=0,0,(F62*F27+F64*F29+F65*F30+F66*F31)/(F27+F29+F30+F31))</f>
        <v>354.25622473435095</v>
      </c>
      <c r="G61" s="29">
        <f t="shared" ref="G61" si="77">IF(G26=0,0,(G62*G27+G64*G29+G65*G30+G66*G31)/(G27+G29+G30+G31))</f>
        <v>353.13119210311021</v>
      </c>
      <c r="H61" s="29">
        <f t="shared" ref="H61" si="78">IF(H26=0,0,(H62*H27+H64*H29+H65*H30+H66*H31)/(H27+H29+H30+H31))</f>
        <v>353.15718189293972</v>
      </c>
      <c r="I61" s="29">
        <f t="shared" ref="I61" si="79">IF(I26=0,0,(I62*I27+I64*I29+I65*I30+I66*I31)/(I27+I29+I30+I31))</f>
        <v>353.09845739710903</v>
      </c>
      <c r="J61" s="29">
        <f t="shared" ref="J61" si="80">IF(J26=0,0,(J62*J27+J64*J29+J65*J30+J66*J31)/(J27+J29+J30+J31))</f>
        <v>351.53951779036072</v>
      </c>
      <c r="K61" s="29">
        <f t="shared" ref="K61" si="81">IF(K26=0,0,(K62*K27+K64*K29+K65*K30+K66*K31)/(K27+K29+K30+K31))</f>
        <v>350.13006475729838</v>
      </c>
      <c r="L61" s="29">
        <f t="shared" ref="L61" si="82">IF(L26=0,0,(L62*L27+L64*L29+L65*L30+L66*L31)/(L27+L29+L30+L31))</f>
        <v>361.18056069074493</v>
      </c>
      <c r="M61" s="29">
        <f t="shared" ref="M61" si="83">IF(M26=0,0,(M62*M27+M64*M29+M65*M30+M66*M31)/(M27+M29+M30+M31))</f>
        <v>363.76214354079531</v>
      </c>
      <c r="N61" s="29">
        <f t="shared" ref="N61" si="84">IF(N26=0,0,(N62*N27+N64*N29+N65*N30+N66*N31)/(N27+N29+N30+N31))</f>
        <v>363.91476004971855</v>
      </c>
      <c r="O61" s="29">
        <f t="shared" ref="O61" si="85">IF(O26=0,0,(O62*O27+O64*O29+O65*O30+O66*O31)/(O27+O29+O30+O31))</f>
        <v>365.64617336701667</v>
      </c>
      <c r="P61" s="29">
        <f t="shared" ref="P61" si="86">IF(P26=0,0,(P62*P27+P64*P29+P65*P30+P66*P31)/(P27+P29+P30+P31))</f>
        <v>368.28189395259454</v>
      </c>
      <c r="Q61" s="29">
        <f t="shared" ref="Q61" si="87">IF(Q26=0,0,(Q62*Q27+Q64*Q29+Q65*Q30+Q66*Q31)/(Q27+Q29+Q30+Q31))</f>
        <v>362.19166064549478</v>
      </c>
      <c r="R61" s="29">
        <f t="shared" ref="R61" si="88">IF(R26=0,0,(R62*R27+R64*R29+R65*R30+R66*R31)/(R27+R29+R30+R31))</f>
        <v>362.18535408107442</v>
      </c>
      <c r="S61" s="29">
        <f t="shared" ref="S61" si="89">IF(S26=0,0,(S62*S27+S64*S29+S65*S30+S66*S31)/(S27+S29+S30+S31))</f>
        <v>363.694177462494</v>
      </c>
      <c r="T61" s="29">
        <f t="shared" ref="T61" si="90">IF(T26=0,0,(T62*T27+T64*T29+T65*T30+T66*T31)/(T27+T29+T30+T31))</f>
        <v>365.20107720961835</v>
      </c>
      <c r="U61" s="29">
        <f t="shared" ref="U61" si="91">IF(U26=0,0,(U62*U27+U64*U29+U65*U30+U66*U31)/(U27+U29+U30+U31))</f>
        <v>363.71412083908183</v>
      </c>
      <c r="V61" s="29">
        <f t="shared" ref="V61" si="92">IF(V26=0,0,(V62*V27+V64*V29+V65*V30+V66*V31)/(V27+V29+V30+V31))</f>
        <v>363.6450068904835</v>
      </c>
      <c r="W61" s="29">
        <f t="shared" ref="W61" si="93">IF(W26=0,0,(W62*W27+W64*W29+W65*W30+W66*W31)/(W27+W29+W30+W31))</f>
        <v>359.08808414798074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320.00000000000006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320.00000000000006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320.00000000000006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320.00000000000006</v>
      </c>
      <c r="S63" s="116">
        <f t="shared" ref="S63" si="111">IF(S28=0,0,(S64*S29+S65*S30)/(S29+S30))</f>
        <v>320.00000000000006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0.29273575519710998</v>
      </c>
      <c r="C72" s="30">
        <f t="shared" ref="C72:J72" si="138">IF(C50=0,0,C50/C61)</f>
        <v>0.29364272008332132</v>
      </c>
      <c r="D72" s="30">
        <f t="shared" si="138"/>
        <v>0.29927259671773099</v>
      </c>
      <c r="E72" s="30">
        <f t="shared" si="138"/>
        <v>0.2908756412200415</v>
      </c>
      <c r="F72" s="30">
        <f t="shared" si="138"/>
        <v>0.30204566352356615</v>
      </c>
      <c r="G72" s="30">
        <f t="shared" si="138"/>
        <v>0.31305737807624934</v>
      </c>
      <c r="H72" s="30">
        <f t="shared" si="138"/>
        <v>0.34418518788222535</v>
      </c>
      <c r="I72" s="30">
        <f t="shared" si="138"/>
        <v>0.3389793331622481</v>
      </c>
      <c r="J72" s="30">
        <f t="shared" si="138"/>
        <v>0.32903498298840494</v>
      </c>
      <c r="K72" s="30">
        <f t="shared" ref="K72:V72" si="139">IF(K50=0,0,K50/K61)</f>
        <v>0.30488322748188607</v>
      </c>
      <c r="L72" s="30">
        <f t="shared" si="139"/>
        <v>0.30922612376132969</v>
      </c>
      <c r="M72" s="30">
        <f t="shared" si="139"/>
        <v>0.30181069644695679</v>
      </c>
      <c r="N72" s="30">
        <f t="shared" si="139"/>
        <v>0.30107782431218311</v>
      </c>
      <c r="O72" s="30">
        <f t="shared" si="139"/>
        <v>0.30214319307368781</v>
      </c>
      <c r="P72" s="30">
        <f t="shared" si="139"/>
        <v>0.28366540072140795</v>
      </c>
      <c r="Q72" s="30">
        <f t="shared" si="139"/>
        <v>0.26968237083526347</v>
      </c>
      <c r="R72" s="30">
        <f t="shared" si="139"/>
        <v>0.2678099887520371</v>
      </c>
      <c r="S72" s="30">
        <f t="shared" si="139"/>
        <v>0.26719163119001521</v>
      </c>
      <c r="T72" s="30">
        <f t="shared" si="139"/>
        <v>0.27165935242962386</v>
      </c>
      <c r="U72" s="30">
        <f t="shared" si="139"/>
        <v>0.2786087590469607</v>
      </c>
      <c r="V72" s="30">
        <f t="shared" si="139"/>
        <v>0.19313310227098368</v>
      </c>
      <c r="W72" s="30">
        <f t="shared" ref="W72" si="140">IF(W50=0,0,W50/W61)</f>
        <v>0.17319509683816714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0.17112261839002535</v>
      </c>
      <c r="C73" s="118">
        <f t="shared" si="141"/>
        <v>0.1750805431866875</v>
      </c>
      <c r="D73" s="118">
        <f t="shared" si="141"/>
        <v>0.18223679592480668</v>
      </c>
      <c r="E73" s="118">
        <f t="shared" si="141"/>
        <v>0.18318457216121334</v>
      </c>
      <c r="F73" s="118">
        <f t="shared" si="141"/>
        <v>0.18602407176465455</v>
      </c>
      <c r="G73" s="118">
        <f t="shared" si="141"/>
        <v>0.19002871571448232</v>
      </c>
      <c r="H73" s="118">
        <f t="shared" si="141"/>
        <v>0.19630115755978772</v>
      </c>
      <c r="I73" s="118">
        <f t="shared" si="141"/>
        <v>0.19554718689952005</v>
      </c>
      <c r="J73" s="118">
        <f t="shared" si="141"/>
        <v>0.19277265837583649</v>
      </c>
      <c r="K73" s="118">
        <f t="shared" ref="K73:V73" si="142">IF(K51=0,0,K51/K62)</f>
        <v>0.18604636928112672</v>
      </c>
      <c r="L73" s="118">
        <f t="shared" si="142"/>
        <v>0.19083491028112676</v>
      </c>
      <c r="M73" s="118">
        <f t="shared" si="142"/>
        <v>0.18952338959659723</v>
      </c>
      <c r="N73" s="118">
        <f t="shared" si="142"/>
        <v>0.18929484814613493</v>
      </c>
      <c r="O73" s="118">
        <f t="shared" si="142"/>
        <v>0.19019240440489404</v>
      </c>
      <c r="P73" s="118">
        <f t="shared" si="142"/>
        <v>0.18516748131013785</v>
      </c>
      <c r="Q73" s="118">
        <f t="shared" si="142"/>
        <v>0.18148039765520313</v>
      </c>
      <c r="R73" s="118">
        <f t="shared" si="142"/>
        <v>0.18152471759097413</v>
      </c>
      <c r="S73" s="118">
        <f t="shared" si="142"/>
        <v>0.18226366349529058</v>
      </c>
      <c r="T73" s="118">
        <f t="shared" si="142"/>
        <v>0.18412905675849575</v>
      </c>
      <c r="U73" s="118">
        <f t="shared" si="142"/>
        <v>0.18544612544909192</v>
      </c>
      <c r="V73" s="118">
        <f t="shared" si="142"/>
        <v>0.1220758381893421</v>
      </c>
      <c r="W73" s="118">
        <f t="shared" ref="W73" si="143">IF(W51=0,0,W51/W62)</f>
        <v>0.10537245221336358</v>
      </c>
      <c r="DA73" s="203"/>
    </row>
    <row r="74" spans="1:105" ht="11.45" customHeight="1" x14ac:dyDescent="0.25">
      <c r="A74" s="109" t="s">
        <v>24</v>
      </c>
      <c r="B74" s="119">
        <f t="shared" si="141"/>
        <v>0.41146039492205688</v>
      </c>
      <c r="C74" s="119">
        <f t="shared" si="141"/>
        <v>0.40413243484961647</v>
      </c>
      <c r="D74" s="119">
        <f t="shared" si="141"/>
        <v>0.39974905423317419</v>
      </c>
      <c r="E74" s="119">
        <f t="shared" si="141"/>
        <v>0.37193568644347874</v>
      </c>
      <c r="F74" s="119">
        <f t="shared" si="141"/>
        <v>0.39031297680555654</v>
      </c>
      <c r="G74" s="119">
        <f t="shared" si="141"/>
        <v>0.40142134495783888</v>
      </c>
      <c r="H74" s="119">
        <f t="shared" si="141"/>
        <v>0.44965030017848945</v>
      </c>
      <c r="I74" s="119">
        <f t="shared" si="141"/>
        <v>0.4411142457118114</v>
      </c>
      <c r="J74" s="119">
        <f t="shared" si="141"/>
        <v>0.418976247929287</v>
      </c>
      <c r="K74" s="119">
        <f t="shared" ref="K74:V74" si="144">IF(K52=0,0,K52/K63)</f>
        <v>0.37037429693117707</v>
      </c>
      <c r="L74" s="119">
        <f t="shared" si="144"/>
        <v>0.45199092033825322</v>
      </c>
      <c r="M74" s="119">
        <f t="shared" si="144"/>
        <v>0.44538538819686696</v>
      </c>
      <c r="N74" s="119">
        <f t="shared" si="144"/>
        <v>0.43879901653281606</v>
      </c>
      <c r="O74" s="119">
        <f t="shared" si="144"/>
        <v>0.45215017095962734</v>
      </c>
      <c r="P74" s="119">
        <f t="shared" si="144"/>
        <v>0.43251941380677977</v>
      </c>
      <c r="Q74" s="119">
        <f t="shared" si="144"/>
        <v>0.38556066960087515</v>
      </c>
      <c r="R74" s="119">
        <f t="shared" si="144"/>
        <v>0.37615686236238105</v>
      </c>
      <c r="S74" s="119">
        <f t="shared" si="144"/>
        <v>0.37529100417846833</v>
      </c>
      <c r="T74" s="119">
        <f t="shared" si="144"/>
        <v>0.38661584046216957</v>
      </c>
      <c r="U74" s="119">
        <f t="shared" si="144"/>
        <v>0.39163954391190958</v>
      </c>
      <c r="V74" s="119">
        <f t="shared" si="144"/>
        <v>0.27923072166724305</v>
      </c>
      <c r="W74" s="119">
        <f t="shared" ref="W74" si="145">IF(W52=0,0,W52/W63)</f>
        <v>0.21058176216900398</v>
      </c>
      <c r="DA74" s="176"/>
    </row>
    <row r="75" spans="1:105" ht="11.45" customHeight="1" x14ac:dyDescent="0.25">
      <c r="A75" s="111" t="s">
        <v>92</v>
      </c>
      <c r="B75" s="120">
        <f t="shared" si="141"/>
        <v>0.38209022616805993</v>
      </c>
      <c r="C75" s="120">
        <f t="shared" si="141"/>
        <v>0.36898411821479682</v>
      </c>
      <c r="D75" s="120">
        <f t="shared" si="141"/>
        <v>0.3554901980946471</v>
      </c>
      <c r="E75" s="120">
        <f t="shared" si="141"/>
        <v>0.32667617346965178</v>
      </c>
      <c r="F75" s="120">
        <f t="shared" si="141"/>
        <v>0.34256166867803717</v>
      </c>
      <c r="G75" s="120">
        <f t="shared" si="141"/>
        <v>0.35050708209203058</v>
      </c>
      <c r="H75" s="120">
        <f t="shared" si="141"/>
        <v>0.39273560417896869</v>
      </c>
      <c r="I75" s="120">
        <f t="shared" si="141"/>
        <v>0.38658834764275907</v>
      </c>
      <c r="J75" s="120">
        <f t="shared" si="141"/>
        <v>0.36455170443260726</v>
      </c>
      <c r="K75" s="120">
        <f t="shared" ref="K75:V75" si="146">IF(K53=0,0,K53/K64)</f>
        <v>0.3261774503530141</v>
      </c>
      <c r="L75" s="120">
        <f t="shared" si="146"/>
        <v>0.34931270618438809</v>
      </c>
      <c r="M75" s="120">
        <f t="shared" si="146"/>
        <v>0.33986925993484557</v>
      </c>
      <c r="N75" s="120">
        <f t="shared" si="146"/>
        <v>0.33784825350023084</v>
      </c>
      <c r="O75" s="120">
        <f t="shared" si="146"/>
        <v>0.34403301881015963</v>
      </c>
      <c r="P75" s="120">
        <f t="shared" si="146"/>
        <v>0.33063336262004361</v>
      </c>
      <c r="Q75" s="120">
        <f t="shared" si="146"/>
        <v>0.32774301600088218</v>
      </c>
      <c r="R75" s="120">
        <f t="shared" si="146"/>
        <v>0.31199341825575305</v>
      </c>
      <c r="S75" s="120">
        <f t="shared" si="146"/>
        <v>0.31603810420077721</v>
      </c>
      <c r="T75" s="120">
        <f t="shared" si="146"/>
        <v>0.353823409022889</v>
      </c>
      <c r="U75" s="120">
        <f t="shared" si="146"/>
        <v>0.36715049959622081</v>
      </c>
      <c r="V75" s="120">
        <f t="shared" si="146"/>
        <v>0.28514929732470951</v>
      </c>
      <c r="W75" s="120">
        <f t="shared" ref="W75" si="147">IF(W53=0,0,W53/W64)</f>
        <v>0.28888760363501348</v>
      </c>
      <c r="DA75" s="171"/>
    </row>
    <row r="76" spans="1:105" ht="11.45" customHeight="1" x14ac:dyDescent="0.25">
      <c r="A76" s="111" t="s">
        <v>93</v>
      </c>
      <c r="B76" s="120">
        <f t="shared" si="141"/>
        <v>0.5260915843591174</v>
      </c>
      <c r="C76" s="120">
        <f t="shared" si="141"/>
        <v>0.54115056795234839</v>
      </c>
      <c r="D76" s="120">
        <f t="shared" si="141"/>
        <v>0.60152768603307505</v>
      </c>
      <c r="E76" s="120">
        <f t="shared" si="141"/>
        <v>0.55624764383132452</v>
      </c>
      <c r="F76" s="120">
        <f t="shared" si="141"/>
        <v>0.58444407136174203</v>
      </c>
      <c r="G76" s="120">
        <f t="shared" si="141"/>
        <v>0.60090776499950482</v>
      </c>
      <c r="H76" s="120">
        <f t="shared" si="141"/>
        <v>0.67240650035476002</v>
      </c>
      <c r="I76" s="120">
        <f t="shared" si="141"/>
        <v>0.65270315277906166</v>
      </c>
      <c r="J76" s="120">
        <f t="shared" si="141"/>
        <v>0.58598877084832979</v>
      </c>
      <c r="K76" s="120">
        <f t="shared" ref="K76:V76" si="148">IF(K54=0,0,K54/K65)</f>
        <v>0.47944712742469769</v>
      </c>
      <c r="L76" s="120">
        <f t="shared" si="148"/>
        <v>0.75347444587326284</v>
      </c>
      <c r="M76" s="120">
        <f t="shared" si="148"/>
        <v>0.76136609332595617</v>
      </c>
      <c r="N76" s="120">
        <f t="shared" si="148"/>
        <v>0.71157497660922453</v>
      </c>
      <c r="O76" s="120">
        <f t="shared" si="148"/>
        <v>0.76688496497518466</v>
      </c>
      <c r="P76" s="120">
        <f t="shared" si="148"/>
        <v>0.69189273916866589</v>
      </c>
      <c r="Q76" s="120">
        <f t="shared" si="148"/>
        <v>0.41753874745038394</v>
      </c>
      <c r="R76" s="120">
        <f t="shared" si="148"/>
        <v>0.40903679680462368</v>
      </c>
      <c r="S76" s="120">
        <f t="shared" si="148"/>
        <v>0.40608332104592881</v>
      </c>
      <c r="T76" s="120">
        <f t="shared" si="148"/>
        <v>0.40154945215806348</v>
      </c>
      <c r="U76" s="120">
        <f t="shared" si="148"/>
        <v>0.40250395182413384</v>
      </c>
      <c r="V76" s="120">
        <f t="shared" si="148"/>
        <v>0.27700585354247498</v>
      </c>
      <c r="W76" s="120">
        <f t="shared" ref="W76" si="149">IF(W54=0,0,W54/W65)</f>
        <v>0.19071997047998226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0.58751962843405992</v>
      </c>
      <c r="C78" s="30">
        <f t="shared" si="141"/>
        <v>0.59074656312700657</v>
      </c>
      <c r="D78" s="30">
        <f t="shared" si="141"/>
        <v>0.59644310789147426</v>
      </c>
      <c r="E78" s="30">
        <f t="shared" si="141"/>
        <v>0.60386266389767052</v>
      </c>
      <c r="F78" s="30">
        <f t="shared" si="141"/>
        <v>0.61002102196093066</v>
      </c>
      <c r="G78" s="30">
        <f t="shared" si="141"/>
        <v>0.63988190185385396</v>
      </c>
      <c r="H78" s="30">
        <f t="shared" si="141"/>
        <v>0.62451529086405588</v>
      </c>
      <c r="I78" s="30">
        <f t="shared" si="141"/>
        <v>0.62152059477621679</v>
      </c>
      <c r="J78" s="30">
        <f t="shared" si="141"/>
        <v>0.6212979105744787</v>
      </c>
      <c r="K78" s="30">
        <f t="shared" ref="K78:V78" si="152">IF(K56=0,0,K56/K67)</f>
        <v>0.61839608981019689</v>
      </c>
      <c r="L78" s="30">
        <f t="shared" si="152"/>
        <v>0.61613845178134186</v>
      </c>
      <c r="M78" s="30">
        <f t="shared" si="152"/>
        <v>0.6256934472353588</v>
      </c>
      <c r="N78" s="30">
        <f t="shared" si="152"/>
        <v>0.59611723318378573</v>
      </c>
      <c r="O78" s="30">
        <f t="shared" si="152"/>
        <v>0.59678056333711271</v>
      </c>
      <c r="P78" s="30">
        <f t="shared" si="152"/>
        <v>0.59057557301034502</v>
      </c>
      <c r="Q78" s="30">
        <f t="shared" si="152"/>
        <v>0.57116957210146013</v>
      </c>
      <c r="R78" s="30">
        <f t="shared" si="152"/>
        <v>0.55857291126205111</v>
      </c>
      <c r="S78" s="30">
        <f t="shared" si="152"/>
        <v>0.56400653924086752</v>
      </c>
      <c r="T78" s="30">
        <f t="shared" si="152"/>
        <v>0.62927302930333773</v>
      </c>
      <c r="U78" s="30">
        <f t="shared" si="152"/>
        <v>0.6458339058271706</v>
      </c>
      <c r="V78" s="30">
        <f t="shared" si="152"/>
        <v>0.58304540613251687</v>
      </c>
      <c r="W78" s="30">
        <f t="shared" ref="W78" si="153">IF(W56=0,0,W56/W67)</f>
        <v>0.56349894563638425</v>
      </c>
      <c r="DA78" s="173"/>
    </row>
    <row r="79" spans="1:105" ht="11.45" customHeight="1" x14ac:dyDescent="0.25">
      <c r="A79" s="83" t="s">
        <v>92</v>
      </c>
      <c r="B79" s="120">
        <f t="shared" si="141"/>
        <v>0.58751962843405992</v>
      </c>
      <c r="C79" s="120">
        <f t="shared" si="141"/>
        <v>0.59074656312700657</v>
      </c>
      <c r="D79" s="120">
        <f t="shared" si="141"/>
        <v>0.59644310789147426</v>
      </c>
      <c r="E79" s="120">
        <f t="shared" si="141"/>
        <v>0.60386266389767052</v>
      </c>
      <c r="F79" s="120">
        <f t="shared" si="141"/>
        <v>0.61002102196093066</v>
      </c>
      <c r="G79" s="120">
        <f t="shared" si="141"/>
        <v>0.63988190185385396</v>
      </c>
      <c r="H79" s="120">
        <f t="shared" si="141"/>
        <v>0.62451529086405588</v>
      </c>
      <c r="I79" s="120">
        <f t="shared" si="141"/>
        <v>0.62152059477621679</v>
      </c>
      <c r="J79" s="120">
        <f t="shared" si="141"/>
        <v>0.6212979105744787</v>
      </c>
      <c r="K79" s="120">
        <f t="shared" ref="K79:V79" si="154">IF(K57=0,0,K57/K68)</f>
        <v>0.61839608981019689</v>
      </c>
      <c r="L79" s="120">
        <f t="shared" si="154"/>
        <v>0.61613845178134186</v>
      </c>
      <c r="M79" s="120">
        <f t="shared" si="154"/>
        <v>0.6256934472353588</v>
      </c>
      <c r="N79" s="120">
        <f t="shared" si="154"/>
        <v>0.59611723318378573</v>
      </c>
      <c r="O79" s="120">
        <f t="shared" si="154"/>
        <v>0.59678056333711271</v>
      </c>
      <c r="P79" s="120">
        <f t="shared" si="154"/>
        <v>0.59057557301034502</v>
      </c>
      <c r="Q79" s="120">
        <f t="shared" si="154"/>
        <v>0.57116957210146013</v>
      </c>
      <c r="R79" s="120">
        <f t="shared" si="154"/>
        <v>0.55857291126205111</v>
      </c>
      <c r="S79" s="120">
        <f t="shared" si="154"/>
        <v>0.56400653924086752</v>
      </c>
      <c r="T79" s="120">
        <f t="shared" si="154"/>
        <v>0.62927302930333773</v>
      </c>
      <c r="U79" s="120">
        <f t="shared" si="154"/>
        <v>0.6458339058271706</v>
      </c>
      <c r="V79" s="120">
        <f t="shared" si="154"/>
        <v>0.58304540613251687</v>
      </c>
      <c r="W79" s="120">
        <f t="shared" ref="W79" si="155">IF(W57=0,0,W57/W68)</f>
        <v>0.56349894563638425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</v>
      </c>
      <c r="E80" s="122">
        <f t="shared" si="141"/>
        <v>0</v>
      </c>
      <c r="F80" s="122">
        <f t="shared" si="141"/>
        <v>0</v>
      </c>
      <c r="G80" s="122">
        <f t="shared" si="141"/>
        <v>0</v>
      </c>
      <c r="H80" s="122">
        <f t="shared" si="141"/>
        <v>0</v>
      </c>
      <c r="I80" s="122">
        <f t="shared" si="141"/>
        <v>0</v>
      </c>
      <c r="J80" s="122">
        <f t="shared" si="141"/>
        <v>0</v>
      </c>
      <c r="K80" s="122">
        <f t="shared" ref="K80:V80" si="156">IF(K58=0,0,K58/K69)</f>
        <v>0</v>
      </c>
      <c r="L80" s="122">
        <f t="shared" si="156"/>
        <v>0</v>
      </c>
      <c r="M80" s="122">
        <f t="shared" si="156"/>
        <v>0</v>
      </c>
      <c r="N80" s="122">
        <f t="shared" si="156"/>
        <v>0</v>
      </c>
      <c r="O80" s="122">
        <f t="shared" si="156"/>
        <v>0</v>
      </c>
      <c r="P80" s="122">
        <f t="shared" si="156"/>
        <v>0</v>
      </c>
      <c r="Q80" s="122">
        <f t="shared" si="156"/>
        <v>0</v>
      </c>
      <c r="R80" s="122">
        <f t="shared" si="156"/>
        <v>0</v>
      </c>
      <c r="S80" s="122">
        <f t="shared" si="156"/>
        <v>0</v>
      </c>
      <c r="T80" s="122">
        <f t="shared" si="156"/>
        <v>0</v>
      </c>
      <c r="U80" s="122">
        <f t="shared" si="156"/>
        <v>0</v>
      </c>
      <c r="V80" s="122">
        <f t="shared" si="156"/>
        <v>0</v>
      </c>
      <c r="W80" s="122">
        <f t="shared" ref="W80" si="157">IF(W58=0,0,W58/W69)</f>
        <v>0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160195.0821167808</v>
      </c>
      <c r="C82" s="54">
        <f t="shared" si="158"/>
        <v>161805.69273940049</v>
      </c>
      <c r="D82" s="54">
        <f t="shared" si="158"/>
        <v>162737.75577070823</v>
      </c>
      <c r="E82" s="54">
        <f t="shared" si="158"/>
        <v>165729.18955260742</v>
      </c>
      <c r="F82" s="54">
        <f t="shared" si="158"/>
        <v>165852.51085070064</v>
      </c>
      <c r="G82" s="54">
        <f t="shared" si="158"/>
        <v>165590.65580062065</v>
      </c>
      <c r="H82" s="54">
        <f t="shared" si="158"/>
        <v>158957.37651418455</v>
      </c>
      <c r="I82" s="54">
        <f t="shared" si="158"/>
        <v>164847.93107708712</v>
      </c>
      <c r="J82" s="54">
        <f t="shared" si="158"/>
        <v>166639.03994923751</v>
      </c>
      <c r="K82" s="54">
        <f t="shared" ref="K82:V82" si="159">IF(K14=0,0,K14/K25*1000000)</f>
        <v>160421.48302707338</v>
      </c>
      <c r="L82" s="54">
        <f t="shared" si="159"/>
        <v>153445.96022366523</v>
      </c>
      <c r="M82" s="54">
        <f t="shared" si="159"/>
        <v>161107.71851538587</v>
      </c>
      <c r="N82" s="54">
        <f t="shared" si="159"/>
        <v>165609.50973576744</v>
      </c>
      <c r="O82" s="54">
        <f t="shared" si="159"/>
        <v>158630.46885625145</v>
      </c>
      <c r="P82" s="54">
        <f t="shared" si="159"/>
        <v>162962.47498248905</v>
      </c>
      <c r="Q82" s="54">
        <f t="shared" si="159"/>
        <v>155838.93138222798</v>
      </c>
      <c r="R82" s="54">
        <f t="shared" si="159"/>
        <v>149975.22901087732</v>
      </c>
      <c r="S82" s="54">
        <f t="shared" si="159"/>
        <v>152890.84599254257</v>
      </c>
      <c r="T82" s="54">
        <f t="shared" si="159"/>
        <v>160913.31059946836</v>
      </c>
      <c r="U82" s="54">
        <f t="shared" si="159"/>
        <v>150718.70711613464</v>
      </c>
      <c r="V82" s="54">
        <f t="shared" si="159"/>
        <v>121349.69115165719</v>
      </c>
      <c r="W82" s="54">
        <f t="shared" ref="W82" si="160">IF(W14=0,0,W14/W25*1000000)</f>
        <v>106996.88594410653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130218.13263840435</v>
      </c>
      <c r="C83" s="28">
        <f t="shared" si="161"/>
        <v>130727.04690919073</v>
      </c>
      <c r="D83" s="28">
        <f t="shared" si="161"/>
        <v>131609.3136215414</v>
      </c>
      <c r="E83" s="28">
        <f t="shared" si="161"/>
        <v>133018.38211104408</v>
      </c>
      <c r="F83" s="28">
        <f t="shared" si="161"/>
        <v>132871.88432716863</v>
      </c>
      <c r="G83" s="28">
        <f t="shared" si="161"/>
        <v>133434.40167101874</v>
      </c>
      <c r="H83" s="28">
        <f t="shared" si="161"/>
        <v>133421.40561908873</v>
      </c>
      <c r="I83" s="28">
        <f t="shared" si="161"/>
        <v>133450.7693394862</v>
      </c>
      <c r="J83" s="28">
        <f t="shared" si="161"/>
        <v>134230.23955487716</v>
      </c>
      <c r="K83" s="28">
        <f t="shared" ref="K83:V83" si="162">IF(K15=0,0,K15/K26*1000000)</f>
        <v>120486.66422890178</v>
      </c>
      <c r="L83" s="28">
        <f t="shared" si="162"/>
        <v>117373.98266257127</v>
      </c>
      <c r="M83" s="28">
        <f t="shared" si="162"/>
        <v>122628.72071028741</v>
      </c>
      <c r="N83" s="28">
        <f t="shared" si="162"/>
        <v>126637.10545639542</v>
      </c>
      <c r="O83" s="28">
        <f t="shared" si="162"/>
        <v>125875.53250488537</v>
      </c>
      <c r="P83" s="28">
        <f t="shared" si="162"/>
        <v>125859.05046673815</v>
      </c>
      <c r="Q83" s="28">
        <f t="shared" si="162"/>
        <v>114631.81337804625</v>
      </c>
      <c r="R83" s="28">
        <f t="shared" si="162"/>
        <v>118525.20935480244</v>
      </c>
      <c r="S83" s="28">
        <f t="shared" si="162"/>
        <v>123707.31150225131</v>
      </c>
      <c r="T83" s="28">
        <f t="shared" si="162"/>
        <v>126970.63943932626</v>
      </c>
      <c r="U83" s="28">
        <f t="shared" si="162"/>
        <v>128142.93515600992</v>
      </c>
      <c r="V83" s="28">
        <f t="shared" si="162"/>
        <v>126768.24194369548</v>
      </c>
      <c r="W83" s="28">
        <f t="shared" ref="W83" si="163">IF(W15=0,0,W15/W26*1000000)</f>
        <v>96587.830847487872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109999.99886177768</v>
      </c>
      <c r="C84" s="108">
        <f t="shared" si="161"/>
        <v>109999.99799996387</v>
      </c>
      <c r="D84" s="108">
        <f t="shared" si="161"/>
        <v>109999.99929083879</v>
      </c>
      <c r="E84" s="108">
        <f t="shared" si="161"/>
        <v>109999.99771804838</v>
      </c>
      <c r="F84" s="108">
        <f t="shared" si="161"/>
        <v>109999.99703372049</v>
      </c>
      <c r="G84" s="108">
        <f t="shared" si="161"/>
        <v>109999.99997619462</v>
      </c>
      <c r="H84" s="108">
        <f t="shared" si="161"/>
        <v>109999.99912816146</v>
      </c>
      <c r="I84" s="108">
        <f t="shared" si="161"/>
        <v>109999.99784302205</v>
      </c>
      <c r="J84" s="108">
        <f t="shared" si="161"/>
        <v>109999.99746456831</v>
      </c>
      <c r="K84" s="108">
        <f t="shared" ref="K84:V84" si="164">IF(K16=0,0,K16/K27*1000000)</f>
        <v>85386.900371062802</v>
      </c>
      <c r="L84" s="108">
        <f t="shared" si="164"/>
        <v>109999.99959134866</v>
      </c>
      <c r="M84" s="108">
        <f t="shared" si="164"/>
        <v>109999.99840605113</v>
      </c>
      <c r="N84" s="108">
        <f t="shared" si="164"/>
        <v>109999.99994886071</v>
      </c>
      <c r="O84" s="108">
        <f t="shared" si="164"/>
        <v>109999.99896971328</v>
      </c>
      <c r="P84" s="108">
        <f t="shared" si="164"/>
        <v>109999.99828464736</v>
      </c>
      <c r="Q84" s="108">
        <f t="shared" si="164"/>
        <v>109999.99858222633</v>
      </c>
      <c r="R84" s="108">
        <f t="shared" si="164"/>
        <v>109999.99751284286</v>
      </c>
      <c r="S84" s="108">
        <f t="shared" si="164"/>
        <v>109999.99851344145</v>
      </c>
      <c r="T84" s="108">
        <f t="shared" si="164"/>
        <v>109999.99966101986</v>
      </c>
      <c r="U84" s="108">
        <f t="shared" si="164"/>
        <v>109999.99806649161</v>
      </c>
      <c r="V84" s="108">
        <f t="shared" si="164"/>
        <v>109645.54668223443</v>
      </c>
      <c r="W84" s="108">
        <f t="shared" ref="W84" si="165">IF(W16=0,0,W16/W27*1000000)</f>
        <v>40683.478492284354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149999.99691624928</v>
      </c>
      <c r="C85" s="110">
        <f t="shared" si="161"/>
        <v>149999.99637655271</v>
      </c>
      <c r="D85" s="110">
        <f t="shared" si="161"/>
        <v>149999.99470860185</v>
      </c>
      <c r="E85" s="110">
        <f t="shared" si="161"/>
        <v>149999.99760338504</v>
      </c>
      <c r="F85" s="110">
        <f t="shared" si="161"/>
        <v>149999.99644019469</v>
      </c>
      <c r="G85" s="110">
        <f t="shared" si="161"/>
        <v>149999.996129507</v>
      </c>
      <c r="H85" s="110">
        <f t="shared" si="161"/>
        <v>149999.99475164793</v>
      </c>
      <c r="I85" s="110">
        <f t="shared" si="161"/>
        <v>149999.99817566553</v>
      </c>
      <c r="J85" s="110">
        <f t="shared" si="161"/>
        <v>149999.99909144305</v>
      </c>
      <c r="K85" s="110">
        <f t="shared" ref="K85:V85" si="166">IF(K17=0,0,K17/K28*1000000)</f>
        <v>141692.99130463909</v>
      </c>
      <c r="L85" s="110">
        <f t="shared" si="166"/>
        <v>125196.47476447579</v>
      </c>
      <c r="M85" s="110">
        <f t="shared" si="166"/>
        <v>137879.62162483233</v>
      </c>
      <c r="N85" s="110">
        <f t="shared" si="166"/>
        <v>146884.01242699838</v>
      </c>
      <c r="O85" s="110">
        <f t="shared" si="166"/>
        <v>146969.46663286988</v>
      </c>
      <c r="P85" s="110">
        <f t="shared" si="166"/>
        <v>149999.99616191801</v>
      </c>
      <c r="Q85" s="110">
        <f t="shared" si="166"/>
        <v>119800.61902712929</v>
      </c>
      <c r="R85" s="110">
        <f t="shared" si="166"/>
        <v>128035.7857843768</v>
      </c>
      <c r="S85" s="110">
        <f t="shared" si="166"/>
        <v>140204.10800502368</v>
      </c>
      <c r="T85" s="110">
        <f t="shared" si="166"/>
        <v>149014.17232500133</v>
      </c>
      <c r="U85" s="110">
        <f t="shared" si="166"/>
        <v>149999.99257467853</v>
      </c>
      <c r="V85" s="110">
        <f t="shared" si="166"/>
        <v>147324.43213245098</v>
      </c>
      <c r="W85" s="110">
        <f t="shared" ref="W85" si="167">IF(W17=0,0,W17/W28*1000000)</f>
        <v>149999.99655985693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149999.99714662641</v>
      </c>
      <c r="C86" s="84">
        <f t="shared" si="161"/>
        <v>149999.99606845205</v>
      </c>
      <c r="D86" s="84">
        <f t="shared" si="161"/>
        <v>149999.99818278599</v>
      </c>
      <c r="E86" s="84">
        <f t="shared" si="161"/>
        <v>149999.99858584296</v>
      </c>
      <c r="F86" s="84">
        <f t="shared" si="161"/>
        <v>149999.99782943787</v>
      </c>
      <c r="G86" s="84">
        <f t="shared" si="161"/>
        <v>149999.99772974214</v>
      </c>
      <c r="H86" s="84">
        <f t="shared" si="161"/>
        <v>149999.9966259989</v>
      </c>
      <c r="I86" s="84">
        <f t="shared" si="161"/>
        <v>149999.99841319965</v>
      </c>
      <c r="J86" s="84">
        <f t="shared" si="161"/>
        <v>149999.99978219083</v>
      </c>
      <c r="K86" s="84">
        <f t="shared" ref="K86:V86" si="168">IF(K18=0,0,K18/K29*1000000)</f>
        <v>138583.15187003271</v>
      </c>
      <c r="L86" s="84">
        <f t="shared" si="168"/>
        <v>129428.80758890344</v>
      </c>
      <c r="M86" s="84">
        <f t="shared" si="168"/>
        <v>144700.4911031143</v>
      </c>
      <c r="N86" s="84">
        <f t="shared" si="168"/>
        <v>149999.99607255135</v>
      </c>
      <c r="O86" s="84">
        <f t="shared" si="168"/>
        <v>149999.99761721108</v>
      </c>
      <c r="P86" s="84">
        <f t="shared" si="168"/>
        <v>149999.99627232572</v>
      </c>
      <c r="Q86" s="84">
        <f t="shared" si="168"/>
        <v>87829.640997577357</v>
      </c>
      <c r="R86" s="84">
        <f t="shared" si="168"/>
        <v>99580.88403281034</v>
      </c>
      <c r="S86" s="84">
        <f t="shared" si="168"/>
        <v>124552.07279681199</v>
      </c>
      <c r="T86" s="84">
        <f t="shared" si="168"/>
        <v>146894.24438972955</v>
      </c>
      <c r="U86" s="84">
        <f t="shared" si="168"/>
        <v>149999.98953331396</v>
      </c>
      <c r="V86" s="84">
        <f t="shared" si="168"/>
        <v>149999.98329049262</v>
      </c>
      <c r="W86" s="84">
        <f t="shared" ref="W86" si="169">IF(W18=0,0,W18/W29*1000000)</f>
        <v>149999.99955203891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149999.99601709191</v>
      </c>
      <c r="C87" s="84">
        <f t="shared" si="161"/>
        <v>149999.9975776166</v>
      </c>
      <c r="D87" s="84">
        <f t="shared" si="161"/>
        <v>149999.97886960168</v>
      </c>
      <c r="E87" s="84">
        <f t="shared" si="161"/>
        <v>149999.99360248604</v>
      </c>
      <c r="F87" s="84">
        <f t="shared" si="161"/>
        <v>149999.9907922805</v>
      </c>
      <c r="G87" s="84">
        <f t="shared" si="161"/>
        <v>149999.9898596495</v>
      </c>
      <c r="H87" s="84">
        <f t="shared" si="161"/>
        <v>149999.98741569958</v>
      </c>
      <c r="I87" s="84">
        <f t="shared" si="161"/>
        <v>149999.99725390947</v>
      </c>
      <c r="J87" s="84">
        <f t="shared" si="161"/>
        <v>149999.99697174632</v>
      </c>
      <c r="K87" s="84">
        <f t="shared" ref="K87:V87" si="170">IF(K19=0,0,K19/K30*1000000)</f>
        <v>149999.98836754941</v>
      </c>
      <c r="L87" s="84">
        <f t="shared" si="170"/>
        <v>114228.91077624366</v>
      </c>
      <c r="M87" s="84">
        <f t="shared" si="170"/>
        <v>120824.0995435386</v>
      </c>
      <c r="N87" s="84">
        <f t="shared" si="170"/>
        <v>139077.49610219919</v>
      </c>
      <c r="O87" s="84">
        <f t="shared" si="170"/>
        <v>138805.80022321807</v>
      </c>
      <c r="P87" s="84">
        <f t="shared" si="170"/>
        <v>149999.99588085088</v>
      </c>
      <c r="Q87" s="84">
        <f t="shared" si="170"/>
        <v>149999.99349439284</v>
      </c>
      <c r="R87" s="84">
        <f t="shared" si="170"/>
        <v>149999.99862184832</v>
      </c>
      <c r="S87" s="84">
        <f t="shared" si="170"/>
        <v>149999.99720524595</v>
      </c>
      <c r="T87" s="84">
        <f t="shared" si="170"/>
        <v>149999.99498853547</v>
      </c>
      <c r="U87" s="84">
        <f t="shared" si="170"/>
        <v>149999.99392396052</v>
      </c>
      <c r="V87" s="84">
        <f t="shared" si="170"/>
        <v>146343.17777034422</v>
      </c>
      <c r="W87" s="84">
        <f t="shared" ref="W87" si="171">IF(W19=0,0,W19/W30*1000000)</f>
        <v>149999.99580090854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199999.99980342796</v>
      </c>
      <c r="C89" s="28">
        <f t="shared" si="161"/>
        <v>199999.99795773294</v>
      </c>
      <c r="D89" s="28">
        <f t="shared" si="161"/>
        <v>199999.99832595032</v>
      </c>
      <c r="E89" s="28">
        <f t="shared" si="161"/>
        <v>199999.99922058947</v>
      </c>
      <c r="F89" s="28">
        <f t="shared" si="161"/>
        <v>199999.99986349762</v>
      </c>
      <c r="G89" s="28">
        <f t="shared" si="161"/>
        <v>199999.9996351786</v>
      </c>
      <c r="H89" s="28">
        <f t="shared" si="161"/>
        <v>188169.39697459847</v>
      </c>
      <c r="I89" s="28">
        <f t="shared" si="161"/>
        <v>199999.99786467777</v>
      </c>
      <c r="J89" s="28">
        <f t="shared" si="161"/>
        <v>199999.99752149783</v>
      </c>
      <c r="K89" s="28">
        <f t="shared" ref="K89:V89" si="174">IF(K21=0,0,K21/K32*1000000)</f>
        <v>199999.99925215734</v>
      </c>
      <c r="L89" s="28">
        <f t="shared" si="174"/>
        <v>199052.1377568295</v>
      </c>
      <c r="M89" s="28">
        <f t="shared" si="174"/>
        <v>199999.99963562214</v>
      </c>
      <c r="N89" s="28">
        <f t="shared" si="174"/>
        <v>199999.99886548289</v>
      </c>
      <c r="O89" s="28">
        <f t="shared" si="174"/>
        <v>190191.00032516796</v>
      </c>
      <c r="P89" s="28">
        <f t="shared" si="174"/>
        <v>199999.99823875207</v>
      </c>
      <c r="Q89" s="28">
        <f t="shared" si="174"/>
        <v>199999.99966103275</v>
      </c>
      <c r="R89" s="28">
        <f t="shared" si="174"/>
        <v>184316.63386055676</v>
      </c>
      <c r="S89" s="28">
        <f t="shared" si="174"/>
        <v>186353.7984112126</v>
      </c>
      <c r="T89" s="28">
        <f t="shared" si="174"/>
        <v>199999.99768149605</v>
      </c>
      <c r="U89" s="28">
        <f t="shared" si="174"/>
        <v>178099.05050753805</v>
      </c>
      <c r="V89" s="28">
        <f t="shared" si="174"/>
        <v>114761.86725505684</v>
      </c>
      <c r="W89" s="28">
        <f t="shared" ref="W89" si="175">IF(W21=0,0,W21/W32*1000000)</f>
        <v>121142.24759654392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199999.99980342796</v>
      </c>
      <c r="C90" s="84">
        <f t="shared" si="161"/>
        <v>199999.99795773294</v>
      </c>
      <c r="D90" s="84">
        <f t="shared" si="161"/>
        <v>199999.99832595032</v>
      </c>
      <c r="E90" s="84">
        <f t="shared" si="161"/>
        <v>199999.99922058947</v>
      </c>
      <c r="F90" s="84">
        <f t="shared" si="161"/>
        <v>199999.99986349762</v>
      </c>
      <c r="G90" s="84">
        <f t="shared" si="161"/>
        <v>199999.9996351786</v>
      </c>
      <c r="H90" s="84">
        <f t="shared" si="161"/>
        <v>188169.39697459847</v>
      </c>
      <c r="I90" s="84">
        <f t="shared" si="161"/>
        <v>199999.99786467777</v>
      </c>
      <c r="J90" s="84">
        <f t="shared" si="161"/>
        <v>199999.99752149783</v>
      </c>
      <c r="K90" s="84">
        <f t="shared" ref="K90:V90" si="176">IF(K22=0,0,K22/K33*1000000)</f>
        <v>199999.99925215734</v>
      </c>
      <c r="L90" s="84">
        <f t="shared" si="176"/>
        <v>199052.1377568295</v>
      </c>
      <c r="M90" s="84">
        <f t="shared" si="176"/>
        <v>199999.99963562214</v>
      </c>
      <c r="N90" s="84">
        <f t="shared" si="176"/>
        <v>199999.99886548289</v>
      </c>
      <c r="O90" s="84">
        <f t="shared" si="176"/>
        <v>190191.00032516796</v>
      </c>
      <c r="P90" s="84">
        <f t="shared" si="176"/>
        <v>199999.99823875207</v>
      </c>
      <c r="Q90" s="84">
        <f t="shared" si="176"/>
        <v>199999.99966103275</v>
      </c>
      <c r="R90" s="84">
        <f t="shared" si="176"/>
        <v>184316.63386055676</v>
      </c>
      <c r="S90" s="84">
        <f t="shared" si="176"/>
        <v>186353.7984112126</v>
      </c>
      <c r="T90" s="84">
        <f t="shared" si="176"/>
        <v>199999.99768149605</v>
      </c>
      <c r="U90" s="84">
        <f t="shared" si="176"/>
        <v>178099.05050753805</v>
      </c>
      <c r="V90" s="84">
        <f t="shared" si="176"/>
        <v>114761.86725505684</v>
      </c>
      <c r="W90" s="84">
        <f t="shared" ref="W90" si="177">IF(W22=0,0,W22/W33*1000000)</f>
        <v>121142.24759654392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0</v>
      </c>
      <c r="E91" s="86">
        <f t="shared" si="161"/>
        <v>0</v>
      </c>
      <c r="F91" s="86">
        <f t="shared" si="161"/>
        <v>0</v>
      </c>
      <c r="G91" s="86">
        <f t="shared" si="161"/>
        <v>0</v>
      </c>
      <c r="H91" s="86">
        <f t="shared" si="161"/>
        <v>0</v>
      </c>
      <c r="I91" s="86">
        <f t="shared" si="161"/>
        <v>0</v>
      </c>
      <c r="J91" s="86">
        <f t="shared" si="161"/>
        <v>0</v>
      </c>
      <c r="K91" s="86">
        <f t="shared" ref="K91:V91" si="178">IF(K23=0,0,K23/K34*1000000)</f>
        <v>0</v>
      </c>
      <c r="L91" s="86">
        <f t="shared" si="178"/>
        <v>0</v>
      </c>
      <c r="M91" s="86">
        <f t="shared" si="178"/>
        <v>0</v>
      </c>
      <c r="N91" s="86">
        <f t="shared" si="178"/>
        <v>0</v>
      </c>
      <c r="O91" s="86">
        <f t="shared" si="178"/>
        <v>0</v>
      </c>
      <c r="P91" s="86">
        <f t="shared" si="178"/>
        <v>0</v>
      </c>
      <c r="Q91" s="86">
        <f t="shared" si="178"/>
        <v>0</v>
      </c>
      <c r="R91" s="86">
        <f t="shared" si="178"/>
        <v>0</v>
      </c>
      <c r="S91" s="86">
        <f t="shared" si="178"/>
        <v>0</v>
      </c>
      <c r="T91" s="86">
        <f t="shared" si="178"/>
        <v>0</v>
      </c>
      <c r="U91" s="86">
        <f t="shared" si="178"/>
        <v>0</v>
      </c>
      <c r="V91" s="86">
        <f t="shared" si="178"/>
        <v>0</v>
      </c>
      <c r="W91" s="86">
        <f t="shared" ref="W91" si="179">IF(W23=0,0,W23/W34*1000000)</f>
        <v>0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13706390.845923621</v>
      </c>
      <c r="C94" s="28">
        <f t="shared" si="180"/>
        <v>13763517.84752534</v>
      </c>
      <c r="D94" s="28">
        <f t="shared" si="180"/>
        <v>14052569.45575803</v>
      </c>
      <c r="E94" s="28">
        <f t="shared" si="180"/>
        <v>13695477.089588966</v>
      </c>
      <c r="F94" s="28">
        <f t="shared" si="180"/>
        <v>14217498.432413474</v>
      </c>
      <c r="G94" s="28">
        <f t="shared" si="180"/>
        <v>14751216.486488797</v>
      </c>
      <c r="H94" s="28">
        <f t="shared" si="180"/>
        <v>16217568.116125222</v>
      </c>
      <c r="I94" s="28">
        <f t="shared" si="180"/>
        <v>15973133.561114512</v>
      </c>
      <c r="J94" s="28">
        <f t="shared" si="180"/>
        <v>15526250.633144913</v>
      </c>
      <c r="K94" s="28">
        <f t="shared" ref="K94:V94" si="181">IF(K4=0,0,K4/K26*1000000)</f>
        <v>12861804.916537592</v>
      </c>
      <c r="L94" s="28">
        <f t="shared" si="181"/>
        <v>13109085.178424345</v>
      </c>
      <c r="M94" s="28">
        <f t="shared" si="181"/>
        <v>13463076.87067176</v>
      </c>
      <c r="N94" s="28">
        <f t="shared" si="181"/>
        <v>13875205.20764333</v>
      </c>
      <c r="O94" s="28">
        <f t="shared" si="181"/>
        <v>13906414.43890718</v>
      </c>
      <c r="P94" s="28">
        <f t="shared" si="181"/>
        <v>13148347.87636563</v>
      </c>
      <c r="Q94" s="28">
        <f t="shared" si="181"/>
        <v>11196857.903728548</v>
      </c>
      <c r="R94" s="28">
        <f t="shared" si="181"/>
        <v>11496572.617056314</v>
      </c>
      <c r="S94" s="28">
        <f t="shared" si="181"/>
        <v>12021386.716463773</v>
      </c>
      <c r="T94" s="28">
        <f t="shared" si="181"/>
        <v>12596793.724269046</v>
      </c>
      <c r="U94" s="28">
        <f t="shared" si="181"/>
        <v>12985228.483920859</v>
      </c>
      <c r="V94" s="28">
        <f t="shared" si="181"/>
        <v>8903173.0089518428</v>
      </c>
      <c r="W94" s="28">
        <f t="shared" ref="W94" si="182">IF(W4=0,0,W4/W26*1000000)</f>
        <v>6007018.9184897337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7529395.1312508816</v>
      </c>
      <c r="C95" s="108">
        <f t="shared" si="180"/>
        <v>7703543.7601472866</v>
      </c>
      <c r="D95" s="108">
        <f t="shared" si="180"/>
        <v>8018418.9689973881</v>
      </c>
      <c r="E95" s="108">
        <f t="shared" si="180"/>
        <v>8060121.0078860549</v>
      </c>
      <c r="F95" s="108">
        <f t="shared" si="180"/>
        <v>8185058.9369250443</v>
      </c>
      <c r="G95" s="108">
        <f t="shared" si="180"/>
        <v>8361263.4896277403</v>
      </c>
      <c r="H95" s="108">
        <f t="shared" si="180"/>
        <v>8637250.8641734943</v>
      </c>
      <c r="I95" s="108">
        <f t="shared" si="180"/>
        <v>8604076.0548624936</v>
      </c>
      <c r="J95" s="108">
        <f t="shared" si="180"/>
        <v>8481996.7730320431</v>
      </c>
      <c r="K95" s="108">
        <f t="shared" ref="K95:V95" si="183">IF(K5=0,0,K5/K27*1000000)</f>
        <v>6354369.1192822112</v>
      </c>
      <c r="L95" s="108">
        <f t="shared" si="183"/>
        <v>8396736.0211756006</v>
      </c>
      <c r="M95" s="108">
        <f t="shared" si="183"/>
        <v>8339029.0214140425</v>
      </c>
      <c r="N95" s="108">
        <f t="shared" si="183"/>
        <v>8328973.3145577768</v>
      </c>
      <c r="O95" s="108">
        <f t="shared" si="183"/>
        <v>8368465.7154342541</v>
      </c>
      <c r="P95" s="108">
        <f t="shared" si="183"/>
        <v>8147369.0505950544</v>
      </c>
      <c r="Q95" s="108">
        <f t="shared" si="183"/>
        <v>7985137.3939096862</v>
      </c>
      <c r="R95" s="108">
        <f t="shared" si="183"/>
        <v>7987087.3934106631</v>
      </c>
      <c r="S95" s="108">
        <f t="shared" si="183"/>
        <v>8019601.0854145428</v>
      </c>
      <c r="T95" s="108">
        <f t="shared" si="183"/>
        <v>8101678.4724073755</v>
      </c>
      <c r="U95" s="108">
        <f t="shared" si="183"/>
        <v>8159629.376335388</v>
      </c>
      <c r="V95" s="108">
        <f t="shared" si="183"/>
        <v>5354028.8059849627</v>
      </c>
      <c r="W95" s="108">
        <f t="shared" ref="W95" si="184">IF(W5=0,0,W5/W27*1000000)</f>
        <v>1714767.1573206554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19750098.550229512</v>
      </c>
      <c r="C96" s="110">
        <f t="shared" si="180"/>
        <v>19398356.404188771</v>
      </c>
      <c r="D96" s="110">
        <f t="shared" si="180"/>
        <v>19187953.926318306</v>
      </c>
      <c r="E96" s="110">
        <f t="shared" si="180"/>
        <v>17852912.664043255</v>
      </c>
      <c r="F96" s="110">
        <f t="shared" si="180"/>
        <v>18735022.44204649</v>
      </c>
      <c r="G96" s="110">
        <f t="shared" si="180"/>
        <v>19268224.060792744</v>
      </c>
      <c r="H96" s="110">
        <f t="shared" si="180"/>
        <v>21583213.653392106</v>
      </c>
      <c r="I96" s="110">
        <f t="shared" si="180"/>
        <v>21173483.53665017</v>
      </c>
      <c r="J96" s="110">
        <f t="shared" si="180"/>
        <v>20110859.778793365</v>
      </c>
      <c r="K96" s="110">
        <f t="shared" ref="K96:V96" si="185">IF(K6=0,0,K6/K28*1000000)</f>
        <v>16793421.451049946</v>
      </c>
      <c r="L96" s="110">
        <f t="shared" si="185"/>
        <v>18108054.3526081</v>
      </c>
      <c r="M96" s="110">
        <f t="shared" si="185"/>
        <v>19651062.016580191</v>
      </c>
      <c r="N96" s="110">
        <f t="shared" si="185"/>
        <v>20624819.263155464</v>
      </c>
      <c r="O96" s="110">
        <f t="shared" si="185"/>
        <v>21264726.228447158</v>
      </c>
      <c r="P96" s="110">
        <f t="shared" si="185"/>
        <v>20760931.331511039</v>
      </c>
      <c r="Q96" s="110">
        <f t="shared" si="185"/>
        <v>14780930.205023777</v>
      </c>
      <c r="R96" s="110">
        <f t="shared" si="185"/>
        <v>15411692.624241004</v>
      </c>
      <c r="S96" s="110">
        <f t="shared" si="185"/>
        <v>16837548.954608567</v>
      </c>
      <c r="T96" s="110">
        <f t="shared" si="185"/>
        <v>18435596.631745584</v>
      </c>
      <c r="U96" s="110">
        <f t="shared" si="185"/>
        <v>18798697.177195817</v>
      </c>
      <c r="V96" s="110">
        <f t="shared" si="185"/>
        <v>13164002.401139535</v>
      </c>
      <c r="W96" s="110">
        <f t="shared" ref="W96" si="186">IF(W6=0,0,W6/W28*1000000)</f>
        <v>10107924.352294147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18340330.507188104</v>
      </c>
      <c r="C97" s="84">
        <f t="shared" si="180"/>
        <v>17711237.210093047</v>
      </c>
      <c r="D97" s="84">
        <f t="shared" si="180"/>
        <v>17063529.301822495</v>
      </c>
      <c r="E97" s="84">
        <f t="shared" si="180"/>
        <v>15680456.178712435</v>
      </c>
      <c r="F97" s="84">
        <f t="shared" si="180"/>
        <v>16442959.858609341</v>
      </c>
      <c r="G97" s="84">
        <f t="shared" si="180"/>
        <v>16824339.685780201</v>
      </c>
      <c r="H97" s="84">
        <f t="shared" si="180"/>
        <v>18851308.576561581</v>
      </c>
      <c r="I97" s="84">
        <f t="shared" si="180"/>
        <v>18556240.490552101</v>
      </c>
      <c r="J97" s="84">
        <f t="shared" si="180"/>
        <v>17498481.787356284</v>
      </c>
      <c r="K97" s="84">
        <f t="shared" ref="K97:V97" si="187">IF(K7=0,0,K7/K29*1000000)</f>
        <v>14464863.724432578</v>
      </c>
      <c r="L97" s="84">
        <f t="shared" si="187"/>
        <v>14467560.651871463</v>
      </c>
      <c r="M97" s="84">
        <f t="shared" si="187"/>
        <v>15737359.623495733</v>
      </c>
      <c r="N97" s="84">
        <f t="shared" si="187"/>
        <v>16216715.743408952</v>
      </c>
      <c r="O97" s="84">
        <f t="shared" si="187"/>
        <v>16513584.640565082</v>
      </c>
      <c r="P97" s="84">
        <f t="shared" si="187"/>
        <v>15870401.011364179</v>
      </c>
      <c r="Q97" s="84">
        <f t="shared" si="187"/>
        <v>9211376.4591426346</v>
      </c>
      <c r="R97" s="84">
        <f t="shared" si="187"/>
        <v>9941945.7287443969</v>
      </c>
      <c r="S97" s="84">
        <f t="shared" si="187"/>
        <v>12596224.307514129</v>
      </c>
      <c r="T97" s="84">
        <f t="shared" si="187"/>
        <v>16631879.141060956</v>
      </c>
      <c r="U97" s="84">
        <f t="shared" si="187"/>
        <v>17623222.750906914</v>
      </c>
      <c r="V97" s="84">
        <f t="shared" si="187"/>
        <v>13687164.746880682</v>
      </c>
      <c r="W97" s="84">
        <f t="shared" ref="W97" si="188">IF(W7=0,0,W7/W29*1000000)</f>
        <v>13866604.933069317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25252395.378717817</v>
      </c>
      <c r="C98" s="84">
        <f t="shared" si="180"/>
        <v>25975226.842232991</v>
      </c>
      <c r="D98" s="84">
        <f t="shared" si="180"/>
        <v>28873324.862221334</v>
      </c>
      <c r="E98" s="84">
        <f t="shared" si="180"/>
        <v>26699885.765150916</v>
      </c>
      <c r="F98" s="84">
        <f t="shared" si="180"/>
        <v>28053313.703316547</v>
      </c>
      <c r="G98" s="84">
        <f t="shared" si="180"/>
        <v>28843570.770083323</v>
      </c>
      <c r="H98" s="84">
        <f t="shared" si="180"/>
        <v>32275509.309263546</v>
      </c>
      <c r="I98" s="84">
        <f t="shared" si="180"/>
        <v>31329750.759832736</v>
      </c>
      <c r="J98" s="84">
        <f t="shared" si="180"/>
        <v>28127460.432872586</v>
      </c>
      <c r="K98" s="84">
        <f t="shared" ref="K98:V98" si="189">IF(K8=0,0,K8/K30*1000000)</f>
        <v>23013460.331699081</v>
      </c>
      <c r="L98" s="84">
        <f t="shared" si="189"/>
        <v>27541940.879947703</v>
      </c>
      <c r="M98" s="84">
        <f t="shared" si="189"/>
        <v>29437239.247708939</v>
      </c>
      <c r="N98" s="84">
        <f t="shared" si="189"/>
        <v>31668501.13145341</v>
      </c>
      <c r="O98" s="84">
        <f t="shared" si="189"/>
        <v>34063385.997611217</v>
      </c>
      <c r="P98" s="84">
        <f t="shared" si="189"/>
        <v>33210850.568092965</v>
      </c>
      <c r="Q98" s="84">
        <f t="shared" si="189"/>
        <v>20041859.008388646</v>
      </c>
      <c r="R98" s="84">
        <f t="shared" si="189"/>
        <v>19633766.066233218</v>
      </c>
      <c r="S98" s="84">
        <f t="shared" si="189"/>
        <v>19491999.04703562</v>
      </c>
      <c r="T98" s="84">
        <f t="shared" si="189"/>
        <v>19274373.059634782</v>
      </c>
      <c r="U98" s="84">
        <f t="shared" si="189"/>
        <v>19320188.904956859</v>
      </c>
      <c r="V98" s="84">
        <f t="shared" si="189"/>
        <v>12972133.397885554</v>
      </c>
      <c r="W98" s="84">
        <f t="shared" ref="W98" si="190">IF(W8=0,0,W8/W30*1000000)</f>
        <v>9154558.3267669566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246758243.69977626</v>
      </c>
      <c r="C100" s="28">
        <f t="shared" si="180"/>
        <v>248113553.979772</v>
      </c>
      <c r="D100" s="28">
        <f t="shared" si="180"/>
        <v>250506103.21762088</v>
      </c>
      <c r="E100" s="28">
        <f t="shared" si="180"/>
        <v>253622317.84864211</v>
      </c>
      <c r="F100" s="28">
        <f t="shared" si="180"/>
        <v>256208829.04872531</v>
      </c>
      <c r="G100" s="28">
        <f t="shared" si="180"/>
        <v>268750398.28838921</v>
      </c>
      <c r="H100" s="28">
        <f t="shared" si="180"/>
        <v>246780797.93494129</v>
      </c>
      <c r="I100" s="28">
        <f t="shared" si="180"/>
        <v>261038647.01900294</v>
      </c>
      <c r="J100" s="28">
        <f t="shared" si="180"/>
        <v>260945119.20751581</v>
      </c>
      <c r="K100" s="28">
        <f t="shared" ref="K100:V100" si="193">IF(K10=0,0,K10/K32*1000000)</f>
        <v>259726356.74911043</v>
      </c>
      <c r="L100" s="28">
        <f t="shared" si="193"/>
        <v>257551719.5606446</v>
      </c>
      <c r="M100" s="28">
        <f t="shared" si="193"/>
        <v>262791247.36007413</v>
      </c>
      <c r="N100" s="28">
        <f t="shared" si="193"/>
        <v>250369236.51694909</v>
      </c>
      <c r="O100" s="28">
        <f t="shared" si="193"/>
        <v>238354813.86297569</v>
      </c>
      <c r="P100" s="28">
        <f t="shared" si="193"/>
        <v>248041738.48002988</v>
      </c>
      <c r="Q100" s="28">
        <f t="shared" si="193"/>
        <v>239891219.87603691</v>
      </c>
      <c r="R100" s="28">
        <f t="shared" si="193"/>
        <v>216203985.41597673</v>
      </c>
      <c r="S100" s="28">
        <f t="shared" si="193"/>
        <v>220719997.92422643</v>
      </c>
      <c r="T100" s="28">
        <f t="shared" si="193"/>
        <v>264294669.24356064</v>
      </c>
      <c r="U100" s="28">
        <f t="shared" si="193"/>
        <v>241547051.36812705</v>
      </c>
      <c r="V100" s="28">
        <f t="shared" si="193"/>
        <v>140513896.95472625</v>
      </c>
      <c r="W100" s="28">
        <f t="shared" ref="W100" si="194">IF(W10=0,0,W10/W32*1000000)</f>
        <v>143353410.46461606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246758243.69977626</v>
      </c>
      <c r="C101" s="84">
        <f t="shared" si="180"/>
        <v>248113553.979772</v>
      </c>
      <c r="D101" s="84">
        <f t="shared" si="180"/>
        <v>250506103.21762088</v>
      </c>
      <c r="E101" s="84">
        <f t="shared" si="180"/>
        <v>253622317.84864211</v>
      </c>
      <c r="F101" s="84">
        <f t="shared" si="180"/>
        <v>256208829.04872531</v>
      </c>
      <c r="G101" s="84">
        <f t="shared" si="180"/>
        <v>268750398.28838921</v>
      </c>
      <c r="H101" s="84">
        <f t="shared" si="180"/>
        <v>246780797.93494129</v>
      </c>
      <c r="I101" s="84">
        <f t="shared" si="180"/>
        <v>261038647.01900294</v>
      </c>
      <c r="J101" s="84">
        <f t="shared" si="180"/>
        <v>260945119.20751581</v>
      </c>
      <c r="K101" s="84">
        <f t="shared" ref="K101:V101" si="195">IF(K11=0,0,K11/K33*1000000)</f>
        <v>259726356.74911043</v>
      </c>
      <c r="L101" s="84">
        <f t="shared" si="195"/>
        <v>257551719.5606446</v>
      </c>
      <c r="M101" s="84">
        <f t="shared" si="195"/>
        <v>262791247.36007413</v>
      </c>
      <c r="N101" s="84">
        <f t="shared" si="195"/>
        <v>250369236.51694909</v>
      </c>
      <c r="O101" s="84">
        <f t="shared" si="195"/>
        <v>238354813.86297569</v>
      </c>
      <c r="P101" s="84">
        <f t="shared" si="195"/>
        <v>248041738.48002988</v>
      </c>
      <c r="Q101" s="84">
        <f t="shared" si="195"/>
        <v>239891219.87603691</v>
      </c>
      <c r="R101" s="84">
        <f t="shared" si="195"/>
        <v>216203985.41597673</v>
      </c>
      <c r="S101" s="84">
        <f t="shared" si="195"/>
        <v>220719997.92422643</v>
      </c>
      <c r="T101" s="84">
        <f t="shared" si="195"/>
        <v>264294669.24356064</v>
      </c>
      <c r="U101" s="84">
        <f t="shared" si="195"/>
        <v>241547051.36812705</v>
      </c>
      <c r="V101" s="84">
        <f t="shared" si="195"/>
        <v>140513896.95472625</v>
      </c>
      <c r="W101" s="84">
        <f t="shared" ref="W101" si="196">IF(W11=0,0,W11/W33*1000000)</f>
        <v>143353410.46461606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0</v>
      </c>
      <c r="E102" s="86">
        <f t="shared" si="180"/>
        <v>0</v>
      </c>
      <c r="F102" s="86">
        <f t="shared" si="180"/>
        <v>0</v>
      </c>
      <c r="G102" s="86">
        <f t="shared" si="180"/>
        <v>0</v>
      </c>
      <c r="H102" s="86">
        <f t="shared" si="180"/>
        <v>0</v>
      </c>
      <c r="I102" s="86">
        <f t="shared" si="180"/>
        <v>0</v>
      </c>
      <c r="J102" s="86">
        <f t="shared" si="180"/>
        <v>0</v>
      </c>
      <c r="K102" s="86">
        <f t="shared" ref="K102:V102" si="197">IF(K12=0,0,K12/K34*1000000)</f>
        <v>0</v>
      </c>
      <c r="L102" s="86">
        <f t="shared" si="197"/>
        <v>0</v>
      </c>
      <c r="M102" s="86">
        <f t="shared" si="197"/>
        <v>0</v>
      </c>
      <c r="N102" s="86">
        <f t="shared" si="197"/>
        <v>0</v>
      </c>
      <c r="O102" s="86">
        <f t="shared" si="197"/>
        <v>0</v>
      </c>
      <c r="P102" s="86">
        <f t="shared" si="197"/>
        <v>0</v>
      </c>
      <c r="Q102" s="86">
        <f t="shared" si="197"/>
        <v>0</v>
      </c>
      <c r="R102" s="86">
        <f t="shared" si="197"/>
        <v>0</v>
      </c>
      <c r="S102" s="86">
        <f t="shared" si="197"/>
        <v>0</v>
      </c>
      <c r="T102" s="86">
        <f t="shared" si="197"/>
        <v>0</v>
      </c>
      <c r="U102" s="86">
        <f t="shared" si="197"/>
        <v>0</v>
      </c>
      <c r="V102" s="86">
        <f t="shared" si="197"/>
        <v>0</v>
      </c>
      <c r="W102" s="86">
        <f t="shared" ref="W102" si="198">IF(W12=0,0,W12/W34*1000000)</f>
        <v>0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0.2716715900988082</v>
      </c>
      <c r="C106" s="123">
        <f t="shared" si="199"/>
        <v>0.26968035584979833</v>
      </c>
      <c r="D106" s="123">
        <f t="shared" si="199"/>
        <v>0.26234384295062463</v>
      </c>
      <c r="E106" s="123">
        <f t="shared" si="199"/>
        <v>0.24985233313644417</v>
      </c>
      <c r="F106" s="123">
        <f t="shared" si="199"/>
        <v>0.24651771524726562</v>
      </c>
      <c r="G106" s="123">
        <f t="shared" si="199"/>
        <v>0.23474218817250578</v>
      </c>
      <c r="H106" s="123">
        <f t="shared" si="199"/>
        <v>0.22073816486208805</v>
      </c>
      <c r="I106" s="123">
        <f t="shared" si="199"/>
        <v>0.22285987565758014</v>
      </c>
      <c r="J106" s="123">
        <f t="shared" si="199"/>
        <v>0.21537563578754271</v>
      </c>
      <c r="K106" s="123">
        <f t="shared" ref="K106:V106" si="202">IF(K5=0,0,K5/K$4)</f>
        <v>0.18607181719260066</v>
      </c>
      <c r="L106" s="123">
        <f t="shared" si="202"/>
        <v>0.32971627369285628</v>
      </c>
      <c r="M106" s="123">
        <f t="shared" si="202"/>
        <v>0.33882836417297629</v>
      </c>
      <c r="N106" s="123">
        <f t="shared" si="202"/>
        <v>0.32951302259643978</v>
      </c>
      <c r="O106" s="123">
        <f t="shared" si="202"/>
        <v>0.34335633255859704</v>
      </c>
      <c r="P106" s="123">
        <f t="shared" si="202"/>
        <v>0.37397322860670157</v>
      </c>
      <c r="Q106" s="123">
        <f t="shared" si="202"/>
        <v>0.37611690934661463</v>
      </c>
      <c r="R106" s="123">
        <f t="shared" si="202"/>
        <v>0.36634625921863118</v>
      </c>
      <c r="S106" s="123">
        <f t="shared" si="202"/>
        <v>0.36436091075563198</v>
      </c>
      <c r="T106" s="123">
        <f t="shared" si="202"/>
        <v>0.36339067918256912</v>
      </c>
      <c r="U106" s="123">
        <f t="shared" si="202"/>
        <v>0.34336229143072472</v>
      </c>
      <c r="V106" s="123">
        <f t="shared" si="202"/>
        <v>0.32808053922756919</v>
      </c>
      <c r="W106" s="123">
        <f t="shared" ref="W106" si="203">IF(W5=0,0,W5/W$4)</f>
        <v>0.13947634394248556</v>
      </c>
      <c r="DA106" s="203"/>
    </row>
    <row r="107" spans="1:105" ht="11.45" customHeight="1" x14ac:dyDescent="0.25">
      <c r="A107" s="109" t="s">
        <v>24</v>
      </c>
      <c r="B107" s="124">
        <f t="shared" si="199"/>
        <v>0.72832840990119174</v>
      </c>
      <c r="C107" s="124">
        <f t="shared" si="199"/>
        <v>0.73031964415020167</v>
      </c>
      <c r="D107" s="124">
        <f t="shared" si="199"/>
        <v>0.73765615704937537</v>
      </c>
      <c r="E107" s="124">
        <f t="shared" si="199"/>
        <v>0.75014766686355583</v>
      </c>
      <c r="F107" s="124">
        <f t="shared" si="199"/>
        <v>0.75348228475273438</v>
      </c>
      <c r="G107" s="124">
        <f t="shared" si="199"/>
        <v>0.76525781182749419</v>
      </c>
      <c r="H107" s="124">
        <f t="shared" si="199"/>
        <v>0.77926183513791203</v>
      </c>
      <c r="I107" s="124">
        <f t="shared" si="199"/>
        <v>0.77714012434241997</v>
      </c>
      <c r="J107" s="124">
        <f t="shared" si="199"/>
        <v>0.78462436421245729</v>
      </c>
      <c r="K107" s="124">
        <f t="shared" ref="K107:V107" si="204">IF(K6=0,0,K6/K$4)</f>
        <v>0.81392818280739931</v>
      </c>
      <c r="L107" s="124">
        <f t="shared" si="204"/>
        <v>0.67028372630714372</v>
      </c>
      <c r="M107" s="124">
        <f t="shared" si="204"/>
        <v>0.66117163582702387</v>
      </c>
      <c r="N107" s="124">
        <f t="shared" si="204"/>
        <v>0.67048697740356022</v>
      </c>
      <c r="O107" s="124">
        <f t="shared" si="204"/>
        <v>0.6566436674414029</v>
      </c>
      <c r="P107" s="124">
        <f t="shared" si="204"/>
        <v>0.62602677139329843</v>
      </c>
      <c r="Q107" s="124">
        <f t="shared" si="204"/>
        <v>0.62388309065338532</v>
      </c>
      <c r="R107" s="124">
        <f t="shared" si="204"/>
        <v>0.63365374078136882</v>
      </c>
      <c r="S107" s="124">
        <f t="shared" si="204"/>
        <v>0.63563908924436807</v>
      </c>
      <c r="T107" s="124">
        <f t="shared" si="204"/>
        <v>0.63660932081743082</v>
      </c>
      <c r="U107" s="124">
        <f t="shared" si="204"/>
        <v>0.65663770856927528</v>
      </c>
      <c r="V107" s="124">
        <f t="shared" si="204"/>
        <v>0.67191946077243081</v>
      </c>
      <c r="W107" s="124">
        <f t="shared" ref="W107" si="205">IF(W6=0,0,W6/W$4)</f>
        <v>0.86052365605751446</v>
      </c>
      <c r="DA107" s="176"/>
    </row>
    <row r="108" spans="1:105" ht="11.45" customHeight="1" x14ac:dyDescent="0.25">
      <c r="A108" s="111" t="s">
        <v>92</v>
      </c>
      <c r="B108" s="125">
        <f t="shared" si="199"/>
        <v>0.53839541319829332</v>
      </c>
      <c r="C108" s="125">
        <f t="shared" si="199"/>
        <v>0.53067236320493905</v>
      </c>
      <c r="D108" s="125">
        <f t="shared" si="199"/>
        <v>0.53798237265437632</v>
      </c>
      <c r="E108" s="125">
        <f t="shared" si="199"/>
        <v>0.52897112792899303</v>
      </c>
      <c r="F108" s="125">
        <f t="shared" si="199"/>
        <v>0.53074956901125614</v>
      </c>
      <c r="G108" s="125">
        <f t="shared" si="199"/>
        <v>0.53233121716110909</v>
      </c>
      <c r="H108" s="125">
        <f t="shared" si="199"/>
        <v>0.5421148712595788</v>
      </c>
      <c r="I108" s="125">
        <f t="shared" si="199"/>
        <v>0.54152793764838114</v>
      </c>
      <c r="J108" s="125">
        <f t="shared" si="199"/>
        <v>0.51490870843855652</v>
      </c>
      <c r="K108" s="125">
        <f t="shared" ref="K108:V108" si="206">IF(K7=0,0,K7/K$4)</f>
        <v>0.51010493026161163</v>
      </c>
      <c r="L108" s="125">
        <f t="shared" si="206"/>
        <v>0.386413005400641</v>
      </c>
      <c r="M108" s="125">
        <f t="shared" si="206"/>
        <v>0.37823035701738289</v>
      </c>
      <c r="N108" s="125">
        <f t="shared" si="206"/>
        <v>0.37678909057448023</v>
      </c>
      <c r="O108" s="125">
        <f t="shared" si="206"/>
        <v>0.37188067488402898</v>
      </c>
      <c r="P108" s="125">
        <f t="shared" si="206"/>
        <v>0.34358971564112023</v>
      </c>
      <c r="Q108" s="125">
        <f t="shared" si="206"/>
        <v>0.18886026643739734</v>
      </c>
      <c r="R108" s="125">
        <f t="shared" si="206"/>
        <v>0.17807111625905947</v>
      </c>
      <c r="S108" s="125">
        <f t="shared" si="206"/>
        <v>0.18304741882466904</v>
      </c>
      <c r="T108" s="125">
        <f t="shared" si="206"/>
        <v>0.18230111993725179</v>
      </c>
      <c r="U108" s="125">
        <f t="shared" si="206"/>
        <v>0.18917234225854432</v>
      </c>
      <c r="V108" s="125">
        <f t="shared" si="206"/>
        <v>0.1874659936360443</v>
      </c>
      <c r="W108" s="125">
        <f t="shared" ref="W108" si="207">IF(W7=0,0,W7/W$4)</f>
        <v>0.23884770189110641</v>
      </c>
      <c r="DA108" s="171"/>
    </row>
    <row r="109" spans="1:105" ht="11.45" customHeight="1" x14ac:dyDescent="0.25">
      <c r="A109" s="111" t="s">
        <v>93</v>
      </c>
      <c r="B109" s="125">
        <f t="shared" si="199"/>
        <v>0.18993299670289845</v>
      </c>
      <c r="C109" s="125">
        <f t="shared" si="199"/>
        <v>0.1996472809452626</v>
      </c>
      <c r="D109" s="125">
        <f t="shared" si="199"/>
        <v>0.199673784394999</v>
      </c>
      <c r="E109" s="125">
        <f t="shared" si="199"/>
        <v>0.22117653893456282</v>
      </c>
      <c r="F109" s="125">
        <f t="shared" si="199"/>
        <v>0.22273271574147821</v>
      </c>
      <c r="G109" s="125">
        <f t="shared" si="199"/>
        <v>0.23292659466638513</v>
      </c>
      <c r="H109" s="125">
        <f t="shared" si="199"/>
        <v>0.23714696387833323</v>
      </c>
      <c r="I109" s="125">
        <f t="shared" si="199"/>
        <v>0.23561218669403877</v>
      </c>
      <c r="J109" s="125">
        <f t="shared" si="199"/>
        <v>0.26971565577390078</v>
      </c>
      <c r="K109" s="125">
        <f t="shared" ref="K109:V109" si="208">IF(K8=0,0,K8/K$4)</f>
        <v>0.30382325254578768</v>
      </c>
      <c r="L109" s="125">
        <f t="shared" si="208"/>
        <v>0.28387072090650273</v>
      </c>
      <c r="M109" s="125">
        <f t="shared" si="208"/>
        <v>0.28294127880964093</v>
      </c>
      <c r="N109" s="125">
        <f t="shared" si="208"/>
        <v>0.29369788682907993</v>
      </c>
      <c r="O109" s="125">
        <f t="shared" si="208"/>
        <v>0.28476299255737397</v>
      </c>
      <c r="P109" s="125">
        <f t="shared" si="208"/>
        <v>0.28243705575217815</v>
      </c>
      <c r="Q109" s="125">
        <f t="shared" si="208"/>
        <v>0.43502282421598798</v>
      </c>
      <c r="R109" s="125">
        <f t="shared" si="208"/>
        <v>0.45558262452230935</v>
      </c>
      <c r="S109" s="125">
        <f t="shared" si="208"/>
        <v>0.45259167041969894</v>
      </c>
      <c r="T109" s="125">
        <f t="shared" si="208"/>
        <v>0.45430820088017904</v>
      </c>
      <c r="U109" s="125">
        <f t="shared" si="208"/>
        <v>0.46746536631073093</v>
      </c>
      <c r="V109" s="125">
        <f t="shared" si="208"/>
        <v>0.48445346713638648</v>
      </c>
      <c r="W109" s="125">
        <f t="shared" ref="W109" si="209">IF(W8=0,0,W8/W$4)</f>
        <v>0.62167595416640797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1</v>
      </c>
      <c r="C112" s="125">
        <f t="shared" si="212"/>
        <v>1</v>
      </c>
      <c r="D112" s="125">
        <f t="shared" si="212"/>
        <v>1</v>
      </c>
      <c r="E112" s="125">
        <f t="shared" si="212"/>
        <v>1</v>
      </c>
      <c r="F112" s="125">
        <f t="shared" si="212"/>
        <v>1</v>
      </c>
      <c r="G112" s="125">
        <f t="shared" si="212"/>
        <v>1</v>
      </c>
      <c r="H112" s="125">
        <f t="shared" si="212"/>
        <v>1</v>
      </c>
      <c r="I112" s="125">
        <f t="shared" si="212"/>
        <v>1</v>
      </c>
      <c r="J112" s="125">
        <f t="shared" si="212"/>
        <v>1</v>
      </c>
      <c r="K112" s="125">
        <f t="shared" ref="K112:V112" si="215">IF(K11=0,0,K11/K$10)</f>
        <v>1</v>
      </c>
      <c r="L112" s="125">
        <f t="shared" si="215"/>
        <v>1</v>
      </c>
      <c r="M112" s="125">
        <f t="shared" si="215"/>
        <v>1</v>
      </c>
      <c r="N112" s="125">
        <f t="shared" si="215"/>
        <v>1</v>
      </c>
      <c r="O112" s="125">
        <f t="shared" si="215"/>
        <v>1</v>
      </c>
      <c r="P112" s="125">
        <f t="shared" si="215"/>
        <v>1</v>
      </c>
      <c r="Q112" s="125">
        <f t="shared" si="215"/>
        <v>1</v>
      </c>
      <c r="R112" s="125">
        <f t="shared" si="215"/>
        <v>1</v>
      </c>
      <c r="S112" s="125">
        <f t="shared" si="215"/>
        <v>1</v>
      </c>
      <c r="T112" s="125">
        <f t="shared" si="215"/>
        <v>1</v>
      </c>
      <c r="U112" s="125">
        <f t="shared" si="215"/>
        <v>1</v>
      </c>
      <c r="V112" s="125">
        <f t="shared" si="215"/>
        <v>1</v>
      </c>
      <c r="W112" s="125">
        <f t="shared" ref="W112" si="216">IF(W11=0,0,W11/W$10)</f>
        <v>1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0</v>
      </c>
      <c r="E113" s="127">
        <f t="shared" si="212"/>
        <v>0</v>
      </c>
      <c r="F113" s="127">
        <f t="shared" si="212"/>
        <v>0</v>
      </c>
      <c r="G113" s="127">
        <f t="shared" si="212"/>
        <v>0</v>
      </c>
      <c r="H113" s="127">
        <f t="shared" si="212"/>
        <v>0</v>
      </c>
      <c r="I113" s="127">
        <f t="shared" si="212"/>
        <v>0</v>
      </c>
      <c r="J113" s="127">
        <f t="shared" si="212"/>
        <v>0</v>
      </c>
      <c r="K113" s="127">
        <f t="shared" ref="K113:V113" si="217">IF(K12=0,0,K12/K$10)</f>
        <v>0</v>
      </c>
      <c r="L113" s="127">
        <f t="shared" si="217"/>
        <v>0</v>
      </c>
      <c r="M113" s="127">
        <f t="shared" si="217"/>
        <v>0</v>
      </c>
      <c r="N113" s="127">
        <f t="shared" si="217"/>
        <v>0</v>
      </c>
      <c r="O113" s="127">
        <f t="shared" si="217"/>
        <v>0</v>
      </c>
      <c r="P113" s="127">
        <f t="shared" si="217"/>
        <v>0</v>
      </c>
      <c r="Q113" s="127">
        <f t="shared" si="217"/>
        <v>0</v>
      </c>
      <c r="R113" s="127">
        <f t="shared" si="217"/>
        <v>0</v>
      </c>
      <c r="S113" s="127">
        <f t="shared" si="217"/>
        <v>0</v>
      </c>
      <c r="T113" s="127">
        <f t="shared" si="217"/>
        <v>0</v>
      </c>
      <c r="U113" s="127">
        <f t="shared" si="217"/>
        <v>0</v>
      </c>
      <c r="V113" s="127">
        <f t="shared" si="217"/>
        <v>0</v>
      </c>
      <c r="W113" s="127">
        <f t="shared" ref="W113" si="218">IF(W12=0,0,W12/W$10)</f>
        <v>0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0.41776154937004961</v>
      </c>
      <c r="C117" s="123">
        <f t="shared" si="219"/>
        <v>0.40542958382163991</v>
      </c>
      <c r="D117" s="123">
        <f t="shared" si="219"/>
        <v>0.38427659156702837</v>
      </c>
      <c r="E117" s="123">
        <f t="shared" si="219"/>
        <v>0.3510750997560621</v>
      </c>
      <c r="F117" s="123">
        <f t="shared" si="219"/>
        <v>0.35449416539908457</v>
      </c>
      <c r="G117" s="123">
        <f t="shared" si="219"/>
        <v>0.34140662798664234</v>
      </c>
      <c r="H117" s="123">
        <f t="shared" si="219"/>
        <v>0.34170772320901843</v>
      </c>
      <c r="I117" s="123">
        <f t="shared" si="219"/>
        <v>0.34102746843551524</v>
      </c>
      <c r="J117" s="123">
        <f t="shared" si="219"/>
        <v>0.32307798977321833</v>
      </c>
      <c r="K117" s="123">
        <f t="shared" ref="K117:V117" si="222">IF(K16=0,0,K16/K$15)</f>
        <v>0.26690846390242834</v>
      </c>
      <c r="L117" s="123">
        <f t="shared" si="222"/>
        <v>0.48241756354301896</v>
      </c>
      <c r="M117" s="123">
        <f t="shared" si="222"/>
        <v>0.49069211639922899</v>
      </c>
      <c r="N117" s="123">
        <f t="shared" si="222"/>
        <v>0.47681755534978049</v>
      </c>
      <c r="O117" s="123">
        <f t="shared" si="222"/>
        <v>0.49861546992346534</v>
      </c>
      <c r="P117" s="123">
        <f t="shared" si="222"/>
        <v>0.52747579854900051</v>
      </c>
      <c r="Q117" s="123">
        <f t="shared" si="222"/>
        <v>0.50608579704225387</v>
      </c>
      <c r="R117" s="123">
        <f t="shared" si="222"/>
        <v>0.48938838299218734</v>
      </c>
      <c r="S117" s="123">
        <f t="shared" si="222"/>
        <v>0.4856583856639009</v>
      </c>
      <c r="T117" s="123">
        <f t="shared" si="222"/>
        <v>0.48949490406714313</v>
      </c>
      <c r="U117" s="123">
        <f t="shared" si="222"/>
        <v>0.4690614821959474</v>
      </c>
      <c r="V117" s="123">
        <f t="shared" si="222"/>
        <v>0.47187297929303518</v>
      </c>
      <c r="W117" s="123">
        <f t="shared" ref="W117" si="223">IF(W16=0,0,W16/W$15)</f>
        <v>0.2058022238394035</v>
      </c>
      <c r="DA117" s="203"/>
    </row>
    <row r="118" spans="1:105" ht="11.45" customHeight="1" x14ac:dyDescent="0.25">
      <c r="A118" s="109" t="s">
        <v>24</v>
      </c>
      <c r="B118" s="124">
        <f t="shared" si="219"/>
        <v>0.58223845062995039</v>
      </c>
      <c r="C118" s="124">
        <f t="shared" si="219"/>
        <v>0.59457041617836004</v>
      </c>
      <c r="D118" s="124">
        <f t="shared" si="219"/>
        <v>0.61572340843297146</v>
      </c>
      <c r="E118" s="124">
        <f t="shared" si="219"/>
        <v>0.6489249002439379</v>
      </c>
      <c r="F118" s="124">
        <f t="shared" si="219"/>
        <v>0.64550583460091537</v>
      </c>
      <c r="G118" s="124">
        <f t="shared" si="219"/>
        <v>0.65859337201335766</v>
      </c>
      <c r="H118" s="124">
        <f t="shared" si="219"/>
        <v>0.65829227679098157</v>
      </c>
      <c r="I118" s="124">
        <f t="shared" si="219"/>
        <v>0.65897253156448476</v>
      </c>
      <c r="J118" s="124">
        <f t="shared" si="219"/>
        <v>0.67692201022678156</v>
      </c>
      <c r="K118" s="124">
        <f t="shared" ref="K118:V118" si="224">IF(K17=0,0,K17/K$15)</f>
        <v>0.73309153609757172</v>
      </c>
      <c r="L118" s="124">
        <f t="shared" si="224"/>
        <v>0.51758243645698099</v>
      </c>
      <c r="M118" s="124">
        <f t="shared" si="224"/>
        <v>0.50930788360077106</v>
      </c>
      <c r="N118" s="124">
        <f t="shared" si="224"/>
        <v>0.52318244465021946</v>
      </c>
      <c r="O118" s="124">
        <f t="shared" si="224"/>
        <v>0.50138453007653472</v>
      </c>
      <c r="P118" s="124">
        <f t="shared" si="224"/>
        <v>0.47252420145099944</v>
      </c>
      <c r="Q118" s="124">
        <f t="shared" si="224"/>
        <v>0.49391420295774613</v>
      </c>
      <c r="R118" s="124">
        <f t="shared" si="224"/>
        <v>0.51061161700781266</v>
      </c>
      <c r="S118" s="124">
        <f t="shared" si="224"/>
        <v>0.51434161433609904</v>
      </c>
      <c r="T118" s="124">
        <f t="shared" si="224"/>
        <v>0.51050509593285676</v>
      </c>
      <c r="U118" s="124">
        <f t="shared" si="224"/>
        <v>0.53093851780405266</v>
      </c>
      <c r="V118" s="124">
        <f t="shared" si="224"/>
        <v>0.52812702070696471</v>
      </c>
      <c r="W118" s="124">
        <f t="shared" ref="W118" si="225">IF(W17=0,0,W17/W$15)</f>
        <v>0.7941977761605965</v>
      </c>
      <c r="DA118" s="176"/>
    </row>
    <row r="119" spans="1:105" ht="11.45" customHeight="1" x14ac:dyDescent="0.25">
      <c r="A119" s="111" t="s">
        <v>92</v>
      </c>
      <c r="B119" s="125">
        <f t="shared" si="219"/>
        <v>0.46348650436442351</v>
      </c>
      <c r="C119" s="125">
        <f t="shared" si="219"/>
        <v>0.47318701493270238</v>
      </c>
      <c r="D119" s="125">
        <f t="shared" si="219"/>
        <v>0.50496299552476398</v>
      </c>
      <c r="E119" s="125">
        <f t="shared" si="219"/>
        <v>0.52099077630702362</v>
      </c>
      <c r="F119" s="125">
        <f t="shared" si="219"/>
        <v>0.51807305047049534</v>
      </c>
      <c r="G119" s="125">
        <f t="shared" si="219"/>
        <v>0.52468081364882013</v>
      </c>
      <c r="H119" s="125">
        <f t="shared" si="219"/>
        <v>0.52432587083059534</v>
      </c>
      <c r="I119" s="125">
        <f t="shared" si="219"/>
        <v>0.52395159927179724</v>
      </c>
      <c r="J119" s="125">
        <f t="shared" si="219"/>
        <v>0.51054890934636121</v>
      </c>
      <c r="K119" s="125">
        <f t="shared" ref="K119:V119" si="226">IF(K18=0,0,K18/K$15)</f>
        <v>0.52169724880158752</v>
      </c>
      <c r="L119" s="125">
        <f t="shared" si="226"/>
        <v>0.38608943493308617</v>
      </c>
      <c r="M119" s="125">
        <f t="shared" si="226"/>
        <v>0.38180942640355731</v>
      </c>
      <c r="N119" s="125">
        <f t="shared" si="226"/>
        <v>0.38186082185235032</v>
      </c>
      <c r="O119" s="125">
        <f t="shared" si="226"/>
        <v>0.37318772735325151</v>
      </c>
      <c r="P119" s="125">
        <f t="shared" si="226"/>
        <v>0.33925811037826442</v>
      </c>
      <c r="Q119" s="125">
        <f t="shared" si="226"/>
        <v>0.17589284677794703</v>
      </c>
      <c r="R119" s="125">
        <f t="shared" si="226"/>
        <v>0.17300383337549988</v>
      </c>
      <c r="S119" s="125">
        <f t="shared" si="226"/>
        <v>0.17588685464541748</v>
      </c>
      <c r="T119" s="125">
        <f t="shared" si="226"/>
        <v>0.15973846501047281</v>
      </c>
      <c r="U119" s="125">
        <f t="shared" si="226"/>
        <v>0.16316179241982529</v>
      </c>
      <c r="V119" s="125">
        <f t="shared" si="226"/>
        <v>0.14428944383001951</v>
      </c>
      <c r="W119" s="125">
        <f t="shared" ref="W119" si="227">IF(W18=0,0,W18/W$15)</f>
        <v>0.16068626983269191</v>
      </c>
      <c r="DA119" s="171"/>
    </row>
    <row r="120" spans="1:105" ht="11.45" customHeight="1" x14ac:dyDescent="0.25">
      <c r="A120" s="111" t="s">
        <v>93</v>
      </c>
      <c r="B120" s="125">
        <f t="shared" si="219"/>
        <v>0.11875194626552692</v>
      </c>
      <c r="C120" s="125">
        <f t="shared" si="219"/>
        <v>0.12138340124565766</v>
      </c>
      <c r="D120" s="125">
        <f t="shared" si="219"/>
        <v>0.1107604129082075</v>
      </c>
      <c r="E120" s="125">
        <f t="shared" si="219"/>
        <v>0.12793412393691433</v>
      </c>
      <c r="F120" s="125">
        <f t="shared" si="219"/>
        <v>0.12743278413042008</v>
      </c>
      <c r="G120" s="125">
        <f t="shared" si="219"/>
        <v>0.1339125583645375</v>
      </c>
      <c r="H120" s="125">
        <f t="shared" si="219"/>
        <v>0.13396640596038625</v>
      </c>
      <c r="I120" s="125">
        <f t="shared" si="219"/>
        <v>0.13502093229268752</v>
      </c>
      <c r="J120" s="125">
        <f t="shared" si="219"/>
        <v>0.1663731008804204</v>
      </c>
      <c r="K120" s="125">
        <f t="shared" ref="K120:V120" si="228">IF(K19=0,0,K19/K$15)</f>
        <v>0.21139428729598425</v>
      </c>
      <c r="L120" s="125">
        <f t="shared" si="228"/>
        <v>0.13149300152389484</v>
      </c>
      <c r="M120" s="125">
        <f t="shared" si="228"/>
        <v>0.12749845719721375</v>
      </c>
      <c r="N120" s="125">
        <f t="shared" si="228"/>
        <v>0.14132162279786911</v>
      </c>
      <c r="O120" s="125">
        <f t="shared" si="228"/>
        <v>0.12819680272328324</v>
      </c>
      <c r="P120" s="125">
        <f t="shared" si="228"/>
        <v>0.13326609107273502</v>
      </c>
      <c r="Q120" s="125">
        <f t="shared" si="228"/>
        <v>0.31802135617979904</v>
      </c>
      <c r="R120" s="125">
        <f t="shared" si="228"/>
        <v>0.33760778363231286</v>
      </c>
      <c r="S120" s="125">
        <f t="shared" si="228"/>
        <v>0.33845475969068151</v>
      </c>
      <c r="T120" s="125">
        <f t="shared" si="228"/>
        <v>0.35076663092238397</v>
      </c>
      <c r="U120" s="125">
        <f t="shared" si="228"/>
        <v>0.36777672538422734</v>
      </c>
      <c r="V120" s="125">
        <f t="shared" si="228"/>
        <v>0.38383757687694525</v>
      </c>
      <c r="W120" s="125">
        <f t="shared" ref="W120" si="229">IF(W19=0,0,W19/W$15)</f>
        <v>0.63351150632790465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1</v>
      </c>
      <c r="C123" s="125">
        <f t="shared" si="232"/>
        <v>1</v>
      </c>
      <c r="D123" s="125">
        <f t="shared" si="232"/>
        <v>1</v>
      </c>
      <c r="E123" s="125">
        <f t="shared" si="232"/>
        <v>1</v>
      </c>
      <c r="F123" s="125">
        <f t="shared" si="232"/>
        <v>1</v>
      </c>
      <c r="G123" s="125">
        <f t="shared" si="232"/>
        <v>1</v>
      </c>
      <c r="H123" s="125">
        <f t="shared" si="232"/>
        <v>1</v>
      </c>
      <c r="I123" s="125">
        <f t="shared" si="232"/>
        <v>1</v>
      </c>
      <c r="J123" s="125">
        <f t="shared" si="232"/>
        <v>1</v>
      </c>
      <c r="K123" s="125">
        <f t="shared" ref="K123:V123" si="235">IF(K22=0,0,K22/K$21)</f>
        <v>1</v>
      </c>
      <c r="L123" s="125">
        <f t="shared" si="235"/>
        <v>1</v>
      </c>
      <c r="M123" s="125">
        <f t="shared" si="235"/>
        <v>1</v>
      </c>
      <c r="N123" s="125">
        <f t="shared" si="235"/>
        <v>1</v>
      </c>
      <c r="O123" s="125">
        <f t="shared" si="235"/>
        <v>1</v>
      </c>
      <c r="P123" s="125">
        <f t="shared" si="235"/>
        <v>1</v>
      </c>
      <c r="Q123" s="125">
        <f t="shared" si="235"/>
        <v>1</v>
      </c>
      <c r="R123" s="125">
        <f t="shared" si="235"/>
        <v>1</v>
      </c>
      <c r="S123" s="125">
        <f t="shared" si="235"/>
        <v>1</v>
      </c>
      <c r="T123" s="125">
        <f t="shared" si="235"/>
        <v>1</v>
      </c>
      <c r="U123" s="125">
        <f t="shared" si="235"/>
        <v>1</v>
      </c>
      <c r="V123" s="125">
        <f t="shared" si="235"/>
        <v>1</v>
      </c>
      <c r="W123" s="125">
        <f t="shared" ref="W123" si="236">IF(W22=0,0,W22/W$21)</f>
        <v>1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0</v>
      </c>
      <c r="E124" s="127">
        <f t="shared" si="232"/>
        <v>0</v>
      </c>
      <c r="F124" s="127">
        <f t="shared" si="232"/>
        <v>0</v>
      </c>
      <c r="G124" s="127">
        <f t="shared" si="232"/>
        <v>0</v>
      </c>
      <c r="H124" s="127">
        <f t="shared" si="232"/>
        <v>0</v>
      </c>
      <c r="I124" s="127">
        <f t="shared" si="232"/>
        <v>0</v>
      </c>
      <c r="J124" s="127">
        <f t="shared" si="232"/>
        <v>0</v>
      </c>
      <c r="K124" s="127">
        <f t="shared" ref="K124:V124" si="237">IF(K23=0,0,K23/K$21)</f>
        <v>0</v>
      </c>
      <c r="L124" s="127">
        <f t="shared" si="237"/>
        <v>0</v>
      </c>
      <c r="M124" s="127">
        <f t="shared" si="237"/>
        <v>0</v>
      </c>
      <c r="N124" s="127">
        <f t="shared" si="237"/>
        <v>0</v>
      </c>
      <c r="O124" s="127">
        <f t="shared" si="237"/>
        <v>0</v>
      </c>
      <c r="P124" s="127">
        <f t="shared" si="237"/>
        <v>0</v>
      </c>
      <c r="Q124" s="127">
        <f t="shared" si="237"/>
        <v>0</v>
      </c>
      <c r="R124" s="127">
        <f t="shared" si="237"/>
        <v>0</v>
      </c>
      <c r="S124" s="127">
        <f t="shared" si="237"/>
        <v>0</v>
      </c>
      <c r="T124" s="127">
        <f t="shared" si="237"/>
        <v>0</v>
      </c>
      <c r="U124" s="127">
        <f t="shared" si="237"/>
        <v>0</v>
      </c>
      <c r="V124" s="127">
        <f t="shared" si="237"/>
        <v>0</v>
      </c>
      <c r="W124" s="127">
        <f t="shared" ref="W124" si="238">IF(W23=0,0,W23/W$21)</f>
        <v>0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69.233104041272568</v>
      </c>
      <c r="C4" s="146">
        <f t="shared" ref="C4:V4" si="0">SUM(C5,C8)</f>
        <v>71.176784178847797</v>
      </c>
      <c r="D4" s="146">
        <f t="shared" si="0"/>
        <v>74.049355116079099</v>
      </c>
      <c r="E4" s="146">
        <f t="shared" si="0"/>
        <v>84.455889939810831</v>
      </c>
      <c r="F4" s="146">
        <f t="shared" si="0"/>
        <v>86.48564058469475</v>
      </c>
      <c r="G4" s="146">
        <f t="shared" si="0"/>
        <v>86.657609630266549</v>
      </c>
      <c r="H4" s="146">
        <f t="shared" si="0"/>
        <v>76.423043852106616</v>
      </c>
      <c r="I4" s="146">
        <f t="shared" si="0"/>
        <v>82.512209802235589</v>
      </c>
      <c r="J4" s="146">
        <f t="shared" si="0"/>
        <v>82.856147893379188</v>
      </c>
      <c r="K4" s="146">
        <f t="shared" si="0"/>
        <v>77.523903697334475</v>
      </c>
      <c r="L4" s="146">
        <f t="shared" si="0"/>
        <v>70.419862424763537</v>
      </c>
      <c r="M4" s="146">
        <f t="shared" si="0"/>
        <v>80.315821152192612</v>
      </c>
      <c r="N4" s="146">
        <f t="shared" si="0"/>
        <v>85.390025795356834</v>
      </c>
      <c r="O4" s="146">
        <f t="shared" si="0"/>
        <v>76.296646603611336</v>
      </c>
      <c r="P4" s="146">
        <f t="shared" si="0"/>
        <v>74.22665520206364</v>
      </c>
      <c r="Q4" s="146">
        <f t="shared" si="0"/>
        <v>73.417712811693889</v>
      </c>
      <c r="R4" s="146">
        <f t="shared" si="0"/>
        <v>63.269131556319856</v>
      </c>
      <c r="S4" s="146">
        <f t="shared" si="0"/>
        <v>58.723387790197769</v>
      </c>
      <c r="T4" s="146">
        <f t="shared" si="0"/>
        <v>61.126827171109191</v>
      </c>
      <c r="U4" s="146">
        <f t="shared" si="0"/>
        <v>51.001375752364567</v>
      </c>
      <c r="V4" s="146">
        <f t="shared" si="0"/>
        <v>32.28486672398968</v>
      </c>
      <c r="W4" s="146">
        <f t="shared" ref="W4" si="1">SUM(W5,W8)</f>
        <v>30.941186586414439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65.965692175408421</v>
      </c>
      <c r="C5" s="101">
        <f t="shared" ref="C5:V5" si="2">SUM(C6:C7)</f>
        <v>67.995356835769556</v>
      </c>
      <c r="D5" s="101">
        <f t="shared" si="2"/>
        <v>71.039896818572643</v>
      </c>
      <c r="E5" s="101">
        <f t="shared" si="2"/>
        <v>81.188478073946683</v>
      </c>
      <c r="F5" s="101">
        <f t="shared" si="2"/>
        <v>83.218228718830602</v>
      </c>
      <c r="G5" s="101">
        <f t="shared" si="2"/>
        <v>83.218228718830602</v>
      </c>
      <c r="H5" s="101">
        <f t="shared" si="2"/>
        <v>73.069647463456576</v>
      </c>
      <c r="I5" s="101">
        <f t="shared" si="2"/>
        <v>79.158813413585548</v>
      </c>
      <c r="J5" s="101">
        <f t="shared" si="2"/>
        <v>79.158813413585548</v>
      </c>
      <c r="K5" s="101">
        <f t="shared" si="2"/>
        <v>74.084522785898528</v>
      </c>
      <c r="L5" s="101">
        <f t="shared" si="2"/>
        <v>66.980481513327589</v>
      </c>
      <c r="M5" s="101">
        <f t="shared" si="2"/>
        <v>76.876440240756665</v>
      </c>
      <c r="N5" s="101">
        <f t="shared" si="2"/>
        <v>81.950644883920887</v>
      </c>
      <c r="O5" s="101">
        <f t="shared" si="2"/>
        <v>72.943250214961296</v>
      </c>
      <c r="P5" s="101">
        <f t="shared" si="2"/>
        <v>70.787274290627693</v>
      </c>
      <c r="Q5" s="101">
        <f t="shared" si="2"/>
        <v>67.742734307824591</v>
      </c>
      <c r="R5" s="101">
        <f t="shared" si="2"/>
        <v>57.594153052450551</v>
      </c>
      <c r="S5" s="101">
        <f t="shared" si="2"/>
        <v>53.07368873602752</v>
      </c>
      <c r="T5" s="101">
        <f t="shared" si="2"/>
        <v>55.261650902837481</v>
      </c>
      <c r="U5" s="101">
        <f t="shared" si="2"/>
        <v>45.185124677558029</v>
      </c>
      <c r="V5" s="101">
        <f t="shared" si="2"/>
        <v>26.881255374032676</v>
      </c>
      <c r="W5" s="101">
        <f t="shared" ref="W5" si="3">SUM(W6:W7)</f>
        <v>25.302837489251928</v>
      </c>
      <c r="DA5" s="175"/>
    </row>
    <row r="6" spans="1:105" ht="11.45" customHeight="1" x14ac:dyDescent="0.25">
      <c r="A6" s="164" t="s">
        <v>182</v>
      </c>
      <c r="B6" s="165">
        <v>65.965692175408421</v>
      </c>
      <c r="C6" s="165">
        <v>67.995356835769556</v>
      </c>
      <c r="D6" s="165">
        <v>71.039896818572643</v>
      </c>
      <c r="E6" s="165">
        <v>81.188478073946683</v>
      </c>
      <c r="F6" s="165">
        <v>83.218228718830602</v>
      </c>
      <c r="G6" s="165">
        <v>83.218228718830602</v>
      </c>
      <c r="H6" s="165">
        <v>73.069647463456576</v>
      </c>
      <c r="I6" s="165">
        <v>79.158813413585548</v>
      </c>
      <c r="J6" s="165">
        <v>79.158813413585548</v>
      </c>
      <c r="K6" s="165">
        <v>74.084522785898528</v>
      </c>
      <c r="L6" s="165">
        <v>66.980481513327589</v>
      </c>
      <c r="M6" s="165">
        <v>75.099398108340495</v>
      </c>
      <c r="N6" s="165">
        <v>80.173602751504717</v>
      </c>
      <c r="O6" s="165">
        <v>72.05477214101461</v>
      </c>
      <c r="P6" s="165">
        <v>69.010232158211522</v>
      </c>
      <c r="Q6" s="165">
        <v>65.965692175408421</v>
      </c>
      <c r="R6" s="165">
        <v>55.817110920034388</v>
      </c>
      <c r="S6" s="165">
        <v>52.372656921754093</v>
      </c>
      <c r="T6" s="165">
        <v>53.38856405846947</v>
      </c>
      <c r="U6" s="165">
        <v>43.862080825451407</v>
      </c>
      <c r="V6" s="165">
        <v>25.866638005159071</v>
      </c>
      <c r="W6" s="165">
        <v>24.388993981083399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1.7770421324161649</v>
      </c>
      <c r="N7" s="167">
        <v>1.7770421324161649</v>
      </c>
      <c r="O7" s="167">
        <v>0.88847807394668954</v>
      </c>
      <c r="P7" s="167">
        <v>1.7770421324161649</v>
      </c>
      <c r="Q7" s="167">
        <v>1.7770421324161649</v>
      </c>
      <c r="R7" s="167">
        <v>1.7770421324161649</v>
      </c>
      <c r="S7" s="167">
        <v>0.70103181427343075</v>
      </c>
      <c r="T7" s="167">
        <v>1.873086844368014</v>
      </c>
      <c r="U7" s="167">
        <v>1.323043852106621</v>
      </c>
      <c r="V7" s="167">
        <v>1.0146173688736031</v>
      </c>
      <c r="W7" s="167">
        <v>0.91384350816852966</v>
      </c>
      <c r="DA7" s="177" t="s">
        <v>1103</v>
      </c>
    </row>
    <row r="8" spans="1:105" ht="11.45" customHeight="1" x14ac:dyDescent="0.25">
      <c r="A8" s="85" t="s">
        <v>91</v>
      </c>
      <c r="B8" s="88">
        <v>3.267411865864144</v>
      </c>
      <c r="C8" s="88">
        <v>3.181427343078246</v>
      </c>
      <c r="D8" s="88">
        <v>3.0094582975064492</v>
      </c>
      <c r="E8" s="88">
        <v>3.267411865864144</v>
      </c>
      <c r="F8" s="88">
        <v>3.267411865864144</v>
      </c>
      <c r="G8" s="88">
        <v>3.4393809114359408</v>
      </c>
      <c r="H8" s="88">
        <v>3.3533963886500429</v>
      </c>
      <c r="I8" s="88">
        <v>3.3533963886500429</v>
      </c>
      <c r="J8" s="88">
        <v>3.6973344797936369</v>
      </c>
      <c r="K8" s="88">
        <v>3.4393809114359408</v>
      </c>
      <c r="L8" s="88">
        <v>3.4393809114359408</v>
      </c>
      <c r="M8" s="88">
        <v>3.4393809114359408</v>
      </c>
      <c r="N8" s="88">
        <v>3.4393809114359408</v>
      </c>
      <c r="O8" s="88">
        <v>3.3533963886500429</v>
      </c>
      <c r="P8" s="88">
        <v>3.4393809114359408</v>
      </c>
      <c r="Q8" s="88">
        <v>5.674978503869303</v>
      </c>
      <c r="R8" s="88">
        <v>5.674978503869303</v>
      </c>
      <c r="S8" s="88">
        <v>5.6496990541702496</v>
      </c>
      <c r="T8" s="88">
        <v>5.8651762682717106</v>
      </c>
      <c r="U8" s="88">
        <v>5.8162510748065346</v>
      </c>
      <c r="V8" s="88">
        <v>5.4036113499570071</v>
      </c>
      <c r="W8" s="88">
        <v>5.6383490971625099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69.233104041272568</v>
      </c>
      <c r="C10" s="62">
        <f t="shared" ref="C10:V10" si="5">SUM(C11,C17)</f>
        <v>71.176784178847797</v>
      </c>
      <c r="D10" s="62">
        <f t="shared" si="5"/>
        <v>74.049355116079084</v>
      </c>
      <c r="E10" s="62">
        <f t="shared" si="5"/>
        <v>84.455889939810817</v>
      </c>
      <c r="F10" s="62">
        <f t="shared" si="5"/>
        <v>86.48564058469475</v>
      </c>
      <c r="G10" s="62">
        <f t="shared" si="5"/>
        <v>86.657609630266549</v>
      </c>
      <c r="H10" s="62">
        <f t="shared" si="5"/>
        <v>76.423043852106616</v>
      </c>
      <c r="I10" s="62">
        <f t="shared" si="5"/>
        <v>82.512209802235589</v>
      </c>
      <c r="J10" s="62">
        <f t="shared" si="5"/>
        <v>82.856147893379188</v>
      </c>
      <c r="K10" s="62">
        <f t="shared" si="5"/>
        <v>77.523903697334489</v>
      </c>
      <c r="L10" s="62">
        <f t="shared" si="5"/>
        <v>70.419862424763537</v>
      </c>
      <c r="M10" s="62">
        <f t="shared" si="5"/>
        <v>80.315821152192598</v>
      </c>
      <c r="N10" s="62">
        <f t="shared" si="5"/>
        <v>85.39002579535682</v>
      </c>
      <c r="O10" s="62">
        <f t="shared" si="5"/>
        <v>76.296646603611336</v>
      </c>
      <c r="P10" s="62">
        <f t="shared" si="5"/>
        <v>74.22665520206364</v>
      </c>
      <c r="Q10" s="62">
        <f t="shared" si="5"/>
        <v>73.417712811693889</v>
      </c>
      <c r="R10" s="62">
        <f t="shared" si="5"/>
        <v>63.269131556319849</v>
      </c>
      <c r="S10" s="62">
        <f t="shared" si="5"/>
        <v>58.723387790197776</v>
      </c>
      <c r="T10" s="62">
        <f t="shared" si="5"/>
        <v>61.126827171109191</v>
      </c>
      <c r="U10" s="62">
        <f t="shared" si="5"/>
        <v>51.001375752364567</v>
      </c>
      <c r="V10" s="62">
        <f t="shared" si="5"/>
        <v>32.28486672398968</v>
      </c>
      <c r="W10" s="62">
        <f t="shared" ref="W10" si="6">SUM(W11,W17)</f>
        <v>30.941186586414439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15.620378866693168</v>
      </c>
      <c r="C11" s="29">
        <f t="shared" ref="C11:V11" si="8">SUM(C12,C13,C16)</f>
        <v>14.691730717499341</v>
      </c>
      <c r="D11" s="29">
        <f t="shared" si="8"/>
        <v>15.20173637443958</v>
      </c>
      <c r="E11" s="29">
        <f t="shared" si="8"/>
        <v>15.446870077149404</v>
      </c>
      <c r="F11" s="29">
        <f t="shared" si="8"/>
        <v>15.36304385871175</v>
      </c>
      <c r="G11" s="29">
        <f t="shared" si="8"/>
        <v>15.486995613477916</v>
      </c>
      <c r="H11" s="29">
        <f t="shared" si="8"/>
        <v>14.898984850922041</v>
      </c>
      <c r="I11" s="29">
        <f t="shared" si="8"/>
        <v>14.910338400278</v>
      </c>
      <c r="J11" s="29">
        <f t="shared" si="8"/>
        <v>14.551115375903873</v>
      </c>
      <c r="K11" s="29">
        <f t="shared" si="8"/>
        <v>12.521797354525157</v>
      </c>
      <c r="L11" s="29">
        <f t="shared" si="8"/>
        <v>10.980887857589098</v>
      </c>
      <c r="M11" s="29">
        <f t="shared" si="8"/>
        <v>10.937784676325244</v>
      </c>
      <c r="N11" s="29">
        <f t="shared" si="8"/>
        <v>10.527712404804321</v>
      </c>
      <c r="O11" s="29">
        <f t="shared" si="8"/>
        <v>10.240249234516313</v>
      </c>
      <c r="P11" s="29">
        <f t="shared" si="8"/>
        <v>9.4138665169191995</v>
      </c>
      <c r="Q11" s="29">
        <f t="shared" si="8"/>
        <v>8.6994180750328987</v>
      </c>
      <c r="R11" s="29">
        <f t="shared" si="8"/>
        <v>8.5501530550271205</v>
      </c>
      <c r="S11" s="29">
        <f t="shared" si="8"/>
        <v>8.5548928754954652</v>
      </c>
      <c r="T11" s="29">
        <f t="shared" si="8"/>
        <v>8.4970183483270514</v>
      </c>
      <c r="U11" s="29">
        <f t="shared" si="8"/>
        <v>8.3944519592629909</v>
      </c>
      <c r="V11" s="29">
        <f t="shared" si="8"/>
        <v>7.4383356680343153</v>
      </c>
      <c r="W11" s="29">
        <f t="shared" ref="W11" si="9">SUM(W12,W13,W16)</f>
        <v>7.3656279352895142</v>
      </c>
      <c r="DA11" s="173" t="s">
        <v>394</v>
      </c>
    </row>
    <row r="12" spans="1:105" ht="11.45" customHeight="1" x14ac:dyDescent="0.25">
      <c r="A12" s="107" t="s">
        <v>23</v>
      </c>
      <c r="B12" s="115">
        <v>1.3775999255827618</v>
      </c>
      <c r="C12" s="115">
        <v>1.3051791587788704</v>
      </c>
      <c r="D12" s="115">
        <v>1.2632757724056511</v>
      </c>
      <c r="E12" s="115">
        <v>1.1976202107606553</v>
      </c>
      <c r="F12" s="115">
        <v>1.2166732916131899</v>
      </c>
      <c r="G12" s="115">
        <v>1.2227640807953128</v>
      </c>
      <c r="H12" s="115">
        <v>1.2010651664284575</v>
      </c>
      <c r="I12" s="115">
        <v>1.2003741068608713</v>
      </c>
      <c r="J12" s="115">
        <v>1.1183524524615787</v>
      </c>
      <c r="K12" s="115">
        <v>0.76279432504931344</v>
      </c>
      <c r="L12" s="115">
        <v>1.5697642180426288</v>
      </c>
      <c r="M12" s="115">
        <v>1.6226992575053456</v>
      </c>
      <c r="N12" s="115">
        <v>1.5133648880476496</v>
      </c>
      <c r="O12" s="115">
        <v>1.600507197807173</v>
      </c>
      <c r="P12" s="115">
        <v>1.6589641380244542</v>
      </c>
      <c r="Q12" s="115">
        <v>1.5491987255623259</v>
      </c>
      <c r="R12" s="115">
        <v>1.4590821555678652</v>
      </c>
      <c r="S12" s="115">
        <v>1.4620207678121431</v>
      </c>
      <c r="T12" s="115">
        <v>1.5024212254823825</v>
      </c>
      <c r="U12" s="115">
        <v>1.4036392191567251</v>
      </c>
      <c r="V12" s="115">
        <v>1.2757754153348266</v>
      </c>
      <c r="W12" s="115">
        <v>0.42807991948100887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14.242778941110405</v>
      </c>
      <c r="C13" s="116">
        <f t="shared" ref="C13:V13" si="11">SUM(C14:C15)</f>
        <v>13.386551558720472</v>
      </c>
      <c r="D13" s="116">
        <f t="shared" si="11"/>
        <v>13.938460602033929</v>
      </c>
      <c r="E13" s="116">
        <f t="shared" si="11"/>
        <v>14.249249866388748</v>
      </c>
      <c r="F13" s="116">
        <f t="shared" si="11"/>
        <v>14.146370567098559</v>
      </c>
      <c r="G13" s="116">
        <f t="shared" si="11"/>
        <v>14.264231532682603</v>
      </c>
      <c r="H13" s="116">
        <f t="shared" si="11"/>
        <v>13.697919684493582</v>
      </c>
      <c r="I13" s="116">
        <f t="shared" si="11"/>
        <v>13.70996429341713</v>
      </c>
      <c r="J13" s="116">
        <f t="shared" si="11"/>
        <v>13.432762923442294</v>
      </c>
      <c r="K13" s="116">
        <f t="shared" si="11"/>
        <v>11.759003029475844</v>
      </c>
      <c r="L13" s="116">
        <f t="shared" si="11"/>
        <v>9.411123639546469</v>
      </c>
      <c r="M13" s="116">
        <f t="shared" si="11"/>
        <v>9.3150854188198977</v>
      </c>
      <c r="N13" s="116">
        <f t="shared" si="11"/>
        <v>9.014347516756672</v>
      </c>
      <c r="O13" s="116">
        <f t="shared" si="11"/>
        <v>8.6397420367091389</v>
      </c>
      <c r="P13" s="116">
        <f t="shared" si="11"/>
        <v>7.7549023788947462</v>
      </c>
      <c r="Q13" s="116">
        <f t="shared" si="11"/>
        <v>7.1502193494705732</v>
      </c>
      <c r="R13" s="116">
        <f t="shared" si="11"/>
        <v>7.0910708994592557</v>
      </c>
      <c r="S13" s="116">
        <f t="shared" si="11"/>
        <v>7.0928721076833217</v>
      </c>
      <c r="T13" s="116">
        <f t="shared" si="11"/>
        <v>6.9945971228446684</v>
      </c>
      <c r="U13" s="116">
        <f t="shared" si="11"/>
        <v>6.9908127401062661</v>
      </c>
      <c r="V13" s="116">
        <f t="shared" si="11"/>
        <v>6.1625602526994889</v>
      </c>
      <c r="W13" s="116">
        <f t="shared" ref="W13" si="12">SUM(W14:W15)</f>
        <v>6.9375480158085052</v>
      </c>
      <c r="DA13" s="176" t="s">
        <v>396</v>
      </c>
    </row>
    <row r="14" spans="1:105" ht="11.45" customHeight="1" x14ac:dyDescent="0.25">
      <c r="A14" s="111" t="s">
        <v>95</v>
      </c>
      <c r="B14" s="87">
        <v>12.352967000829024</v>
      </c>
      <c r="C14" s="87">
        <v>11.510303374421095</v>
      </c>
      <c r="D14" s="87">
        <v>12.192278076933132</v>
      </c>
      <c r="E14" s="87">
        <v>12.17945821128526</v>
      </c>
      <c r="F14" s="87">
        <v>12.095631992847606</v>
      </c>
      <c r="G14" s="87">
        <v>12.047614702041974</v>
      </c>
      <c r="H14" s="87">
        <v>11.545588462271997</v>
      </c>
      <c r="I14" s="87">
        <v>11.556942011627958</v>
      </c>
      <c r="J14" s="87">
        <v>10.853780896110235</v>
      </c>
      <c r="K14" s="87">
        <v>9.0824164430892171</v>
      </c>
      <c r="L14" s="87">
        <v>7.5415069461531559</v>
      </c>
      <c r="M14" s="87">
        <v>7.4984037648893027</v>
      </c>
      <c r="N14" s="87">
        <v>7.0883314933683801</v>
      </c>
      <c r="O14" s="87">
        <v>6.8868528458662697</v>
      </c>
      <c r="P14" s="87">
        <v>5.9744856054832596</v>
      </c>
      <c r="Q14" s="87">
        <v>3.0244395711635961</v>
      </c>
      <c r="R14" s="87">
        <v>2.8751745511578171</v>
      </c>
      <c r="S14" s="87">
        <v>2.9051938213252151</v>
      </c>
      <c r="T14" s="87">
        <v>2.6318420800553404</v>
      </c>
      <c r="U14" s="87">
        <v>2.5782008844564568</v>
      </c>
      <c r="V14" s="87">
        <v>2.0347243180773078</v>
      </c>
      <c r="W14" s="87">
        <v>1.7272788381270043</v>
      </c>
      <c r="DA14" s="171" t="s">
        <v>1106</v>
      </c>
    </row>
    <row r="15" spans="1:105" ht="11.45" customHeight="1" x14ac:dyDescent="0.25">
      <c r="A15" s="111" t="s">
        <v>93</v>
      </c>
      <c r="B15" s="87">
        <v>1.8898119402813822</v>
      </c>
      <c r="C15" s="87">
        <v>1.8762481842993759</v>
      </c>
      <c r="D15" s="87">
        <v>1.7461825251007981</v>
      </c>
      <c r="E15" s="87">
        <v>2.0697916551034887</v>
      </c>
      <c r="F15" s="87">
        <v>2.0507385742509538</v>
      </c>
      <c r="G15" s="87">
        <v>2.216616830640628</v>
      </c>
      <c r="H15" s="87">
        <v>2.1523312222215853</v>
      </c>
      <c r="I15" s="87">
        <v>2.1530222817891715</v>
      </c>
      <c r="J15" s="87">
        <v>2.5789820273320587</v>
      </c>
      <c r="K15" s="87">
        <v>2.6765865863866272</v>
      </c>
      <c r="L15" s="87">
        <v>1.8696166933933125</v>
      </c>
      <c r="M15" s="87">
        <v>1.816681653930595</v>
      </c>
      <c r="N15" s="87">
        <v>1.9260160233882913</v>
      </c>
      <c r="O15" s="87">
        <v>1.7528891908428699</v>
      </c>
      <c r="P15" s="87">
        <v>1.7804167734114864</v>
      </c>
      <c r="Q15" s="87">
        <v>4.1257797783069767</v>
      </c>
      <c r="R15" s="87">
        <v>4.2158963483014382</v>
      </c>
      <c r="S15" s="87">
        <v>4.1876782863581061</v>
      </c>
      <c r="T15" s="87">
        <v>4.3627550427893276</v>
      </c>
      <c r="U15" s="87">
        <v>4.4126118556498097</v>
      </c>
      <c r="V15" s="87">
        <v>4.1278359346221807</v>
      </c>
      <c r="W15" s="87">
        <v>5.2102691776815009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53.612725174579396</v>
      </c>
      <c r="C17" s="29">
        <f t="shared" si="13"/>
        <v>56.485053461348457</v>
      </c>
      <c r="D17" s="29">
        <f t="shared" si="13"/>
        <v>58.847618741639508</v>
      </c>
      <c r="E17" s="29">
        <f t="shared" si="13"/>
        <v>69.009019862661418</v>
      </c>
      <c r="F17" s="29">
        <f t="shared" si="13"/>
        <v>71.122596725983001</v>
      </c>
      <c r="G17" s="29">
        <f t="shared" si="13"/>
        <v>71.170614016788633</v>
      </c>
      <c r="H17" s="29">
        <f t="shared" si="13"/>
        <v>61.524059001184575</v>
      </c>
      <c r="I17" s="29">
        <f t="shared" si="13"/>
        <v>67.601871401957595</v>
      </c>
      <c r="J17" s="29">
        <f t="shared" si="13"/>
        <v>68.305032517475311</v>
      </c>
      <c r="K17" s="29">
        <f t="shared" si="13"/>
        <v>65.002106342809327</v>
      </c>
      <c r="L17" s="29">
        <f t="shared" si="13"/>
        <v>59.438974567174441</v>
      </c>
      <c r="M17" s="29">
        <f t="shared" si="13"/>
        <v>69.378036475867361</v>
      </c>
      <c r="N17" s="29">
        <f t="shared" si="13"/>
        <v>74.862313390552501</v>
      </c>
      <c r="O17" s="29">
        <f t="shared" si="13"/>
        <v>66.056397369095023</v>
      </c>
      <c r="P17" s="29">
        <f t="shared" si="13"/>
        <v>64.81278868514444</v>
      </c>
      <c r="Q17" s="29">
        <f t="shared" si="13"/>
        <v>64.718294736660994</v>
      </c>
      <c r="R17" s="29">
        <f t="shared" si="13"/>
        <v>54.718978501292732</v>
      </c>
      <c r="S17" s="29">
        <f t="shared" si="13"/>
        <v>50.168494914702308</v>
      </c>
      <c r="T17" s="29">
        <f t="shared" si="13"/>
        <v>52.629808822782138</v>
      </c>
      <c r="U17" s="29">
        <f t="shared" si="13"/>
        <v>42.606923793101572</v>
      </c>
      <c r="V17" s="29">
        <f t="shared" si="13"/>
        <v>24.846531055955367</v>
      </c>
      <c r="W17" s="29">
        <f t="shared" si="13"/>
        <v>23.575558651124926</v>
      </c>
      <c r="DA17" s="173" t="s">
        <v>401</v>
      </c>
    </row>
    <row r="18" spans="1:105" ht="11.45" customHeight="1" x14ac:dyDescent="0.25">
      <c r="A18" s="83" t="s">
        <v>95</v>
      </c>
      <c r="B18" s="87">
        <v>53.612725174579396</v>
      </c>
      <c r="C18" s="87">
        <v>56.485053461348457</v>
      </c>
      <c r="D18" s="87">
        <v>58.847618741639508</v>
      </c>
      <c r="E18" s="87">
        <v>69.009019862661418</v>
      </c>
      <c r="F18" s="87">
        <v>71.122596725983001</v>
      </c>
      <c r="G18" s="87">
        <v>71.170614016788633</v>
      </c>
      <c r="H18" s="87">
        <v>61.524059001184575</v>
      </c>
      <c r="I18" s="87">
        <v>67.601871401957595</v>
      </c>
      <c r="J18" s="87">
        <v>68.305032517475311</v>
      </c>
      <c r="K18" s="87">
        <v>65.002106342809327</v>
      </c>
      <c r="L18" s="87">
        <v>59.438974567174441</v>
      </c>
      <c r="M18" s="87">
        <v>69.378036475867361</v>
      </c>
      <c r="N18" s="87">
        <v>74.862313390552501</v>
      </c>
      <c r="O18" s="87">
        <v>66.056397369095023</v>
      </c>
      <c r="P18" s="87">
        <v>64.81278868514444</v>
      </c>
      <c r="Q18" s="87">
        <v>64.718294736660994</v>
      </c>
      <c r="R18" s="87">
        <v>54.718978501292732</v>
      </c>
      <c r="S18" s="87">
        <v>50.168494914702308</v>
      </c>
      <c r="T18" s="87">
        <v>52.629808822782138</v>
      </c>
      <c r="U18" s="87">
        <v>42.606923793101572</v>
      </c>
      <c r="V18" s="87">
        <v>24.846531055955367</v>
      </c>
      <c r="W18" s="87">
        <v>23.575558651124926</v>
      </c>
      <c r="DA18" s="171" t="s">
        <v>1108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344.19383666243323</v>
      </c>
      <c r="C23" s="62">
        <f>IF(C10=0,0,C10/TrRail_act!C14*100)</f>
        <v>345.31641394757042</v>
      </c>
      <c r="D23" s="62">
        <f>IF(D10=0,0,D10/TrRail_act!D14*100)</f>
        <v>345.4154598661417</v>
      </c>
      <c r="E23" s="62">
        <f>IF(E10=0,0,E10/TrRail_act!E14*100)</f>
        <v>351.53504745843145</v>
      </c>
      <c r="F23" s="62">
        <f>IF(F10=0,0,F10/TrRail_act!F14*100)</f>
        <v>352.56359623382684</v>
      </c>
      <c r="G23" s="62">
        <f>IF(G10=0,0,G10/TrRail_act!G14*100)</f>
        <v>343.50358959667125</v>
      </c>
      <c r="H23" s="62">
        <f>IF(H10=0,0,H10/TrRail_act!H14*100)</f>
        <v>328.79808057550696</v>
      </c>
      <c r="I23" s="62">
        <f>IF(I10=0,0,I10/TrRail_act!I14*100)</f>
        <v>336.6102967968551</v>
      </c>
      <c r="J23" s="62">
        <f>IF(J10=0,0,J10/TrRail_act!J14*100)</f>
        <v>326.51189433884838</v>
      </c>
      <c r="K23" s="62">
        <f>IF(K10=0,0,K10/TrRail_act!K14*100)</f>
        <v>336.65033617585851</v>
      </c>
      <c r="L23" s="62">
        <f>IF(L10=0,0,L10/TrRail_act!L14*100)</f>
        <v>303.85775146965426</v>
      </c>
      <c r="M23" s="62">
        <f>IF(M10=0,0,M10/TrRail_act!M14*100)</f>
        <v>304.31472130256913</v>
      </c>
      <c r="N23" s="62">
        <f>IF(N10=0,0,N10/TrRail_act!N14*100)</f>
        <v>313.61323395302907</v>
      </c>
      <c r="O23" s="62">
        <f>IF(O10=0,0,O10/TrRail_act!O14*100)</f>
        <v>298.92165706804053</v>
      </c>
      <c r="P23" s="62">
        <f>IF(P10=0,0,P10/TrRail_act!P14*100)</f>
        <v>290.82672124396942</v>
      </c>
      <c r="Q23" s="62">
        <f>IF(Q10=0,0,Q10/TrRail_act!Q14*100)</f>
        <v>288.54647646367198</v>
      </c>
      <c r="R23" s="62">
        <f>IF(R10=0,0,R10/TrRail_act!R14*100)</f>
        <v>274.68101909583493</v>
      </c>
      <c r="S23" s="62">
        <f>IF(S10=0,0,S10/TrRail_act!S14*100)</f>
        <v>263.03652479386227</v>
      </c>
      <c r="T23" s="62">
        <f>IF(T10=0,0,T10/TrRail_act!T14*100)</f>
        <v>261.28813125149452</v>
      </c>
      <c r="U23" s="62">
        <f>IF(U10=0,0,U10/TrRail_act!U14*100)</f>
        <v>245.94013329626731</v>
      </c>
      <c r="V23" s="62">
        <f>IF(V10=0,0,V10/TrRail_act!V14*100)</f>
        <v>211.44742087443777</v>
      </c>
      <c r="W23" s="62">
        <f>IF(W10=0,0,W10/TrRail_act!W14*100)</f>
        <v>238.54200817704952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167.48056641533077</v>
      </c>
      <c r="C24" s="29">
        <f>IF(C11=0,0,C11/TrRail_act!C15*100)</f>
        <v>160.00930568091005</v>
      </c>
      <c r="D24" s="29">
        <f>IF(D11=0,0,D11/TrRail_act!D15*100)</f>
        <v>160.93234860882683</v>
      </c>
      <c r="E24" s="29">
        <f>IF(E11=0,0,E11/TrRail_act!E15*100)</f>
        <v>156.56612023478689</v>
      </c>
      <c r="F24" s="29">
        <f>IF(F11=0,0,F11/TrRail_act!F15*100)</f>
        <v>153.67576000775998</v>
      </c>
      <c r="G24" s="29">
        <f>IF(G11=0,0,G11/TrRail_act!G15*100)</f>
        <v>147.37818715257896</v>
      </c>
      <c r="H24" s="29">
        <f>IF(H11=0,0,H11/TrRail_act!H15*100)</f>
        <v>143.12760017883431</v>
      </c>
      <c r="I24" s="29">
        <f>IF(I11=0,0,I11/TrRail_act!I15*100)</f>
        <v>142.24966694095016</v>
      </c>
      <c r="J24" s="29">
        <f>IF(J11=0,0,J11/TrRail_act!J15*100)</f>
        <v>140.34103588467562</v>
      </c>
      <c r="K24" s="29">
        <f>IF(K11=0,0,K11/TrRail_act!K15*100)</f>
        <v>145.45012441398509</v>
      </c>
      <c r="L24" s="29">
        <f>IF(L11=0,0,L11/TrRail_act!L15*100)</f>
        <v>110.93752383477373</v>
      </c>
      <c r="M24" s="29">
        <f>IF(M11=0,0,M11/TrRail_act!M15*100)</f>
        <v>108.31578134098261</v>
      </c>
      <c r="N24" s="29">
        <f>IF(N11=0,0,N11/TrRail_act!N15*100)</f>
        <v>107.86576885827759</v>
      </c>
      <c r="O24" s="29">
        <f>IF(O11=0,0,O11/TrRail_act!O15*100)</f>
        <v>103.03359892962784</v>
      </c>
      <c r="P24" s="29">
        <f>IF(P11=0,0,P11/TrRail_act!P15*100)</f>
        <v>95.600862289865447</v>
      </c>
      <c r="Q24" s="29">
        <f>IF(Q11=0,0,Q11/TrRail_act!Q15*100)</f>
        <v>89.85296444089272</v>
      </c>
      <c r="R24" s="29">
        <f>IF(R11=0,0,R11/TrRail_act!R15*100)</f>
        <v>89.985120123892187</v>
      </c>
      <c r="S24" s="29">
        <f>IF(S11=0,0,S11/TrRail_act!S15*100)</f>
        <v>88.662120155343189</v>
      </c>
      <c r="T24" s="29">
        <f>IF(T11=0,0,T11/TrRail_act!T15*100)</f>
        <v>86.002617717123115</v>
      </c>
      <c r="U24" s="29">
        <f>IF(U11=0,0,U11/TrRail_act!U15*100)</f>
        <v>86.868460042037071</v>
      </c>
      <c r="V24" s="29">
        <f>IF(V11=0,0,V11/TrRail_act!V15*100)</f>
        <v>84.991850710356715</v>
      </c>
      <c r="W24" s="29">
        <f>IF(W11=0,0,W11/TrRail_act!W15*100)</f>
        <v>109.19480471342683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35.35635640939276</v>
      </c>
      <c r="C25" s="115">
        <f>IF(C12=0,0,C12/TrRail_act!C16*100)</f>
        <v>35.061216121971377</v>
      </c>
      <c r="D25" s="115">
        <f>IF(D12=0,0,D12/TrRail_act!D16*100)</f>
        <v>34.802014986037968</v>
      </c>
      <c r="E25" s="115">
        <f>IF(E12=0,0,E12/TrRail_act!E16*100)</f>
        <v>34.576130168607222</v>
      </c>
      <c r="F25" s="115">
        <f>IF(F12=0,0,F12/TrRail_act!F16*100)</f>
        <v>34.331516073293969</v>
      </c>
      <c r="G25" s="115">
        <f>IF(G12=0,0,G12/TrRail_act!G16*100)</f>
        <v>34.082917183033786</v>
      </c>
      <c r="H25" s="115">
        <f>IF(H12=0,0,H12/TrRail_act!H16*100)</f>
        <v>33.765912277070576</v>
      </c>
      <c r="I25" s="115">
        <f>IF(I12=0,0,I12/TrRail_act!I16*100)</f>
        <v>33.580798258035372</v>
      </c>
      <c r="J25" s="115">
        <f>IF(J12=0,0,J12/TrRail_act!J16*100)</f>
        <v>33.385640768432808</v>
      </c>
      <c r="K25" s="115">
        <f>IF(K12=0,0,K12/TrRail_act!K16*100)</f>
        <v>33.19651805466021</v>
      </c>
      <c r="L25" s="115">
        <f>IF(L12=0,0,L12/TrRail_act!L16*100)</f>
        <v>32.873982991883516</v>
      </c>
      <c r="M25" s="115">
        <f>IF(M12=0,0,M12/TrRail_act!M16*100)</f>
        <v>32.748493345007127</v>
      </c>
      <c r="N25" s="115">
        <f>IF(N12=0,0,N12/TrRail_act!N16*100)</f>
        <v>32.519289463711338</v>
      </c>
      <c r="O25" s="115">
        <f>IF(O12=0,0,O12/TrRail_act!O16*100)</f>
        <v>32.296854413517543</v>
      </c>
      <c r="P25" s="115">
        <f>IF(P12=0,0,P12/TrRail_act!P16*100)</f>
        <v>31.939508827099072</v>
      </c>
      <c r="Q25" s="115">
        <f>IF(Q12=0,0,Q12/TrRail_act!Q16*100)</f>
        <v>31.617329782899127</v>
      </c>
      <c r="R25" s="115">
        <f>IF(R12=0,0,R12/TrRail_act!R16*100)</f>
        <v>31.377829721268753</v>
      </c>
      <c r="S25" s="115">
        <f>IF(S12=0,0,S12/TrRail_act!S16*100)</f>
        <v>31.19939599959476</v>
      </c>
      <c r="T25" s="115">
        <f>IF(T12=0,0,T12/TrRail_act!T16*100)</f>
        <v>31.066236911114409</v>
      </c>
      <c r="U25" s="115">
        <f>IF(U12=0,0,U12/TrRail_act!U16*100)</f>
        <v>30.966740689704814</v>
      </c>
      <c r="V25" s="115">
        <f>IF(V12=0,0,V12/TrRail_act!V16*100)</f>
        <v>30.892327698687378</v>
      </c>
      <c r="W25" s="115">
        <f>IF(W12=0,0,W12/TrRail_act!W16*100)</f>
        <v>30.836635807364736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262.28092633943908</v>
      </c>
      <c r="C26" s="116">
        <f>IF(C13=0,0,C13/TrRail_act!C17*100)</f>
        <v>245.20973034178516</v>
      </c>
      <c r="D26" s="116">
        <f>IF(D13=0,0,D13/TrRail_act!D17*100)</f>
        <v>239.65102981201815</v>
      </c>
      <c r="E26" s="116">
        <f>IF(E13=0,0,E13/TrRail_act!E17*100)</f>
        <v>222.56396977889543</v>
      </c>
      <c r="F26" s="116">
        <f>IF(F13=0,0,F13/TrRail_act!F17*100)</f>
        <v>219.21635759955331</v>
      </c>
      <c r="G26" s="116">
        <f>IF(G13=0,0,G13/TrRail_act!G17*100)</f>
        <v>206.1090486079448</v>
      </c>
      <c r="H26" s="116">
        <f>IF(H13=0,0,H13/TrRail_act!H17*100)</f>
        <v>199.89529242850722</v>
      </c>
      <c r="I26" s="116">
        <f>IF(I13=0,0,I13/TrRail_act!I17*100)</f>
        <v>198.48732087882058</v>
      </c>
      <c r="J26" s="116">
        <f>IF(J13=0,0,J13/TrRail_act!J17*100)</f>
        <v>191.38817798894766</v>
      </c>
      <c r="K26" s="116">
        <f>IF(K13=0,0,K13/TrRail_act!K17*100)</f>
        <v>186.32010608144159</v>
      </c>
      <c r="L26" s="116">
        <f>IF(L13=0,0,L13/TrRail_act!L17*100)</f>
        <v>183.6973791203541</v>
      </c>
      <c r="M26" s="116">
        <f>IF(M13=0,0,M13/TrRail_act!M17*100)</f>
        <v>181.12100127031164</v>
      </c>
      <c r="N26" s="116">
        <f>IF(N13=0,0,N13/TrRail_act!N17*100)</f>
        <v>176.5349768496674</v>
      </c>
      <c r="O26" s="116">
        <f>IF(O13=0,0,O13/TrRail_act!O17*100)</f>
        <v>173.37967662447119</v>
      </c>
      <c r="P26" s="116">
        <f>IF(P13=0,0,P13/TrRail_act!P17*100)</f>
        <v>166.66563135644012</v>
      </c>
      <c r="Q26" s="116">
        <f>IF(Q13=0,0,Q13/TrRail_act!Q17*100)</f>
        <v>149.52370767050891</v>
      </c>
      <c r="R26" s="116">
        <f>IF(R13=0,0,R13/TrRail_act!R17*100)</f>
        <v>146.15643727834419</v>
      </c>
      <c r="S26" s="116">
        <f>IF(S13=0,0,S13/TrRail_act!S17*100)</f>
        <v>142.92032729137844</v>
      </c>
      <c r="T26" s="116">
        <f>IF(T13=0,0,T13/TrRail_act!T17*100)</f>
        <v>138.67805360732638</v>
      </c>
      <c r="U26" s="116">
        <f>IF(U13=0,0,U13/TrRail_act!U17*100)</f>
        <v>136.25523922158806</v>
      </c>
      <c r="V26" s="116">
        <f>IF(V13=0,0,V13/TrRail_act!V17*100)</f>
        <v>133.32890240613239</v>
      </c>
      <c r="W26" s="116">
        <f>IF(W13=0,0,W13/TrRail_act!W17*100)</f>
        <v>129.49993008762613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285.7636904706099</v>
      </c>
      <c r="C27" s="87">
        <f>IF(C14=0,0,C14/TrRail_act!C18*100)</f>
        <v>264.92700702282787</v>
      </c>
      <c r="D27" s="87">
        <f>IF(D14=0,0,D14/TrRail_act!D18*100)</f>
        <v>255.60859804849133</v>
      </c>
      <c r="E27" s="87">
        <f>IF(E14=0,0,E14/TrRail_act!E18*100)</f>
        <v>236.94919145876719</v>
      </c>
      <c r="F27" s="87">
        <f>IF(F14=0,0,F14/TrRail_act!F18*100)</f>
        <v>233.54235909470034</v>
      </c>
      <c r="G27" s="87">
        <f>IF(G14=0,0,G14/TrRail_act!G18*100)</f>
        <v>218.51030398675445</v>
      </c>
      <c r="H27" s="87">
        <f>IF(H14=0,0,H14/TrRail_act!H18*100)</f>
        <v>211.5346407774085</v>
      </c>
      <c r="I27" s="87">
        <f>IF(I14=0,0,I14/TrRail_act!I18*100)</f>
        <v>210.43381171868057</v>
      </c>
      <c r="J27" s="87">
        <f>IF(J14=0,0,J14/TrRail_act!J18*100)</f>
        <v>205.03693023843334</v>
      </c>
      <c r="K27" s="87">
        <f>IF(K14=0,0,K14/TrRail_act!K18*100)</f>
        <v>202.22287971588307</v>
      </c>
      <c r="L27" s="87">
        <f>IF(L14=0,0,L14/TrRail_act!L18*100)</f>
        <v>197.33823043058263</v>
      </c>
      <c r="M27" s="87">
        <f>IF(M14=0,0,M14/TrRail_act!M18*100)</f>
        <v>194.48429774506343</v>
      </c>
      <c r="N27" s="87">
        <f>IF(N14=0,0,N14/TrRail_act!N18*100)</f>
        <v>190.19038067708135</v>
      </c>
      <c r="O27" s="87">
        <f>IF(O14=0,0,O14/TrRail_act!O18*100)</f>
        <v>185.67857444625452</v>
      </c>
      <c r="P27" s="87">
        <f>IF(P14=0,0,P14/TrRail_act!P18*100)</f>
        <v>178.83974989124775</v>
      </c>
      <c r="Q27" s="87">
        <f>IF(Q14=0,0,Q14/TrRail_act!Q18*100)</f>
        <v>177.59835594991685</v>
      </c>
      <c r="R27" s="87">
        <f>IF(R14=0,0,R14/TrRail_act!R18*100)</f>
        <v>174.90623897991409</v>
      </c>
      <c r="S27" s="87">
        <f>IF(S14=0,0,S14/TrRail_act!S18*100)</f>
        <v>171.18482605780167</v>
      </c>
      <c r="T27" s="87">
        <f>IF(T14=0,0,T14/TrRail_act!T18*100)</f>
        <v>166.76136217856862</v>
      </c>
      <c r="U27" s="87">
        <f>IF(U14=0,0,U14/TrRail_act!U18*100)</f>
        <v>163.51893881807993</v>
      </c>
      <c r="V27" s="87">
        <f>IF(V14=0,0,V14/TrRail_act!V18*100)</f>
        <v>161.12856139270508</v>
      </c>
      <c r="W27" s="87">
        <f>IF(W14=0,0,W14/TrRail_act!W18*100)</f>
        <v>159.3587379797093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170.62816103962362</v>
      </c>
      <c r="C28" s="87">
        <f>IF(C15=0,0,C15/TrRail_act!C19*100)</f>
        <v>168.3461789866646</v>
      </c>
      <c r="D28" s="87">
        <f>IF(D15=0,0,D15/TrRail_act!D19*100)</f>
        <v>166.89957244197083</v>
      </c>
      <c r="E28" s="87">
        <f>IF(E15=0,0,E15/TrRail_act!E19*100)</f>
        <v>163.98250941699339</v>
      </c>
      <c r="F28" s="87">
        <f>IF(F15=0,0,F15/TrRail_act!F19*100)</f>
        <v>160.97455313548542</v>
      </c>
      <c r="G28" s="87">
        <f>IF(G15=0,0,G15/TrRail_act!G19*100)</f>
        <v>157.51987338878359</v>
      </c>
      <c r="H28" s="87">
        <f>IF(H15=0,0,H15/TrRail_act!H19*100)</f>
        <v>154.34050266469956</v>
      </c>
      <c r="I28" s="87">
        <f>IF(I15=0,0,I15/TrRail_act!I19*100)</f>
        <v>152.12870910696626</v>
      </c>
      <c r="J28" s="87">
        <f>IF(J15=0,0,J15/TrRail_act!J19*100)</f>
        <v>149.50427044597262</v>
      </c>
      <c r="K28" s="87">
        <f>IF(K15=0,0,K15/TrRail_act!K19*100)</f>
        <v>147.0738551087922</v>
      </c>
      <c r="L28" s="87">
        <f>IF(L15=0,0,L15/TrRail_act!L19*100)</f>
        <v>143.64514429920789</v>
      </c>
      <c r="M28" s="87">
        <f>IF(M15=0,0,M15/TrRail_act!M19*100)</f>
        <v>141.1030067467108</v>
      </c>
      <c r="N28" s="87">
        <f>IF(N15=0,0,N15/TrRail_act!N19*100)</f>
        <v>139.637129053791</v>
      </c>
      <c r="O28" s="87">
        <f>IF(O15=0,0,O15/TrRail_act!O19*100)</f>
        <v>137.57692936744016</v>
      </c>
      <c r="P28" s="87">
        <f>IF(P15=0,0,P15/TrRail_act!P19*100)</f>
        <v>135.67373824699453</v>
      </c>
      <c r="Q28" s="87">
        <f>IF(Q15=0,0,Q15/TrRail_act!Q19*100)</f>
        <v>133.99604038591687</v>
      </c>
      <c r="R28" s="87">
        <f>IF(R15=0,0,R15/TrRail_act!R19*100)</f>
        <v>131.42388031640505</v>
      </c>
      <c r="S28" s="87">
        <f>IF(S15=0,0,S15/TrRail_act!S19*100)</f>
        <v>128.23194237784122</v>
      </c>
      <c r="T28" s="87">
        <f>IF(T15=0,0,T15/TrRail_act!T19*100)</f>
        <v>125.88896762218225</v>
      </c>
      <c r="U28" s="87">
        <f>IF(U15=0,0,U15/TrRail_act!U19*100)</f>
        <v>124.15987323693554</v>
      </c>
      <c r="V28" s="87">
        <f>IF(V15=0,0,V15/TrRail_act!V19*100)</f>
        <v>122.87865580319819</v>
      </c>
      <c r="W28" s="87">
        <f>IF(W15=0,0,W15/TrRail_act!W19*100)</f>
        <v>121.92642840075003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496.97152205261574</v>
      </c>
      <c r="C30" s="29">
        <f>IF(C17=0,0,C17/TrRail_act!C21*100)</f>
        <v>494.17163272713213</v>
      </c>
      <c r="D30" s="29">
        <f>IF(D17=0,0,D17/TrRail_act!D21*100)</f>
        <v>490.73527889467152</v>
      </c>
      <c r="E30" s="29">
        <f>IF(E17=0,0,E17/TrRail_act!E21*100)</f>
        <v>487.39146862261958</v>
      </c>
      <c r="F30" s="29">
        <f>IF(F17=0,0,F17/TrRail_act!F21*100)</f>
        <v>489.37150173234778</v>
      </c>
      <c r="G30" s="29">
        <f>IF(G17=0,0,G17/TrRail_act!G21*100)</f>
        <v>483.52118151400714</v>
      </c>
      <c r="H30" s="29">
        <f>IF(H17=0,0,H17/TrRail_act!H21*100)</f>
        <v>479.39933910492829</v>
      </c>
      <c r="I30" s="29">
        <f>IF(I17=0,0,I17/TrRail_act!I21*100)</f>
        <v>481.8080389648502</v>
      </c>
      <c r="J30" s="29">
        <f>IF(J17=0,0,J17/TrRail_act!J21*100)</f>
        <v>455.13163458526833</v>
      </c>
      <c r="K30" s="29">
        <f>IF(K17=0,0,K17/TrRail_act!K21*100)</f>
        <v>450.8080193475127</v>
      </c>
      <c r="L30" s="29">
        <f>IF(L17=0,0,L17/TrRail_act!L21*100)</f>
        <v>447.68344669135433</v>
      </c>
      <c r="M30" s="29">
        <f>IF(M17=0,0,M17/TrRail_act!M21*100)</f>
        <v>425.78096165582633</v>
      </c>
      <c r="N30" s="29">
        <f>IF(N17=0,0,N17/TrRail_act!N21*100)</f>
        <v>428.57320057181425</v>
      </c>
      <c r="O30" s="29">
        <f>IF(O17=0,0,O17/TrRail_act!O21*100)</f>
        <v>423.84018774980677</v>
      </c>
      <c r="P30" s="29">
        <f>IF(P17=0,0,P17/TrRail_act!P21*100)</f>
        <v>413.46322007030471</v>
      </c>
      <c r="Q30" s="29">
        <f>IF(Q17=0,0,Q17/TrRail_act!Q21*100)</f>
        <v>410.59321641244662</v>
      </c>
      <c r="R30" s="29">
        <f>IF(R17=0,0,R17/TrRail_act!R21*100)</f>
        <v>404.36925696327484</v>
      </c>
      <c r="S30" s="29">
        <f>IF(S17=0,0,S17/TrRail_act!S21*100)</f>
        <v>395.76564746972866</v>
      </c>
      <c r="T30" s="29">
        <f>IF(T17=0,0,T17/TrRail_act!T21*100)</f>
        <v>389.4332850780674</v>
      </c>
      <c r="U30" s="29">
        <f>IF(U17=0,0,U17/TrRail_act!U21*100)</f>
        <v>384.75059336851143</v>
      </c>
      <c r="V30" s="29">
        <f>IF(V17=0,0,V17/TrRail_act!V21*100)</f>
        <v>381.27556285321151</v>
      </c>
      <c r="W30" s="29">
        <f>IF(W17=0,0,W17/TrRail_act!W21*100)</f>
        <v>378.68990266954029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496.97152205261574</v>
      </c>
      <c r="C31" s="87">
        <f>IF(C18=0,0,C18/TrRail_act!C22*100)</f>
        <v>494.17163272713213</v>
      </c>
      <c r="D31" s="87">
        <f>IF(D18=0,0,D18/TrRail_act!D22*100)</f>
        <v>490.73527889467152</v>
      </c>
      <c r="E31" s="87">
        <f>IF(E18=0,0,E18/TrRail_act!E22*100)</f>
        <v>487.39146862261958</v>
      </c>
      <c r="F31" s="87">
        <f>IF(F18=0,0,F18/TrRail_act!F22*100)</f>
        <v>489.37150173234778</v>
      </c>
      <c r="G31" s="87">
        <f>IF(G18=0,0,G18/TrRail_act!G22*100)</f>
        <v>483.52118151400714</v>
      </c>
      <c r="H31" s="87">
        <f>IF(H18=0,0,H18/TrRail_act!H22*100)</f>
        <v>479.39933910492829</v>
      </c>
      <c r="I31" s="87">
        <f>IF(I18=0,0,I18/TrRail_act!I22*100)</f>
        <v>481.8080389648502</v>
      </c>
      <c r="J31" s="87">
        <f>IF(J18=0,0,J18/TrRail_act!J22*100)</f>
        <v>455.13163458526833</v>
      </c>
      <c r="K31" s="87">
        <f>IF(K18=0,0,K18/TrRail_act!K22*100)</f>
        <v>450.8080193475127</v>
      </c>
      <c r="L31" s="87">
        <f>IF(L18=0,0,L18/TrRail_act!L22*100)</f>
        <v>447.68344669135433</v>
      </c>
      <c r="M31" s="87">
        <f>IF(M18=0,0,M18/TrRail_act!M22*100)</f>
        <v>425.78096165582633</v>
      </c>
      <c r="N31" s="87">
        <f>IF(N18=0,0,N18/TrRail_act!N22*100)</f>
        <v>428.57320057181425</v>
      </c>
      <c r="O31" s="87">
        <f>IF(O18=0,0,O18/TrRail_act!O22*100)</f>
        <v>423.84018774980677</v>
      </c>
      <c r="P31" s="87">
        <f>IF(P18=0,0,P18/TrRail_act!P22*100)</f>
        <v>413.46322007030471</v>
      </c>
      <c r="Q31" s="87">
        <f>IF(Q18=0,0,Q18/TrRail_act!Q22*100)</f>
        <v>410.59321641244662</v>
      </c>
      <c r="R31" s="87">
        <f>IF(R18=0,0,R18/TrRail_act!R22*100)</f>
        <v>404.36925696327484</v>
      </c>
      <c r="S31" s="87">
        <f>IF(S18=0,0,S18/TrRail_act!S22*100)</f>
        <v>395.76564746972866</v>
      </c>
      <c r="T31" s="87">
        <f>IF(T18=0,0,T18/TrRail_act!T22*100)</f>
        <v>389.4332850780674</v>
      </c>
      <c r="U31" s="87">
        <f>IF(U18=0,0,U18/TrRail_act!U22*100)</f>
        <v>384.75059336851143</v>
      </c>
      <c r="V31" s="87">
        <f>IF(V18=0,0,V18/TrRail_act!V22*100)</f>
        <v>381.27556285321151</v>
      </c>
      <c r="W31" s="87">
        <f>IF(W18=0,0,W18/TrRail_act!W22*100)</f>
        <v>378.68990266954029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0</v>
      </c>
      <c r="E32" s="88">
        <f>IF(E19=0,0,E19/TrRail_act!E23*100)</f>
        <v>0</v>
      </c>
      <c r="F32" s="88">
        <f>IF(F19=0,0,F19/TrRail_act!F23*100)</f>
        <v>0</v>
      </c>
      <c r="G32" s="88">
        <f>IF(G19=0,0,G19/TrRail_act!G23*100)</f>
        <v>0</v>
      </c>
      <c r="H32" s="88">
        <f>IF(H19=0,0,H19/TrRail_act!H23*100)</f>
        <v>0</v>
      </c>
      <c r="I32" s="88">
        <f>IF(I19=0,0,I19/TrRail_act!I23*100)</f>
        <v>0</v>
      </c>
      <c r="J32" s="88">
        <f>IF(J19=0,0,J19/TrRail_act!J23*100)</f>
        <v>0</v>
      </c>
      <c r="K32" s="88">
        <f>IF(K19=0,0,K19/TrRail_act!K23*100)</f>
        <v>0</v>
      </c>
      <c r="L32" s="88">
        <f>IF(L19=0,0,L19/TrRail_act!L23*100)</f>
        <v>0</v>
      </c>
      <c r="M32" s="88">
        <f>IF(M19=0,0,M19/TrRail_act!M23*100)</f>
        <v>0</v>
      </c>
      <c r="N32" s="88">
        <f>IF(N19=0,0,N19/TrRail_act!N23*100)</f>
        <v>0</v>
      </c>
      <c r="O32" s="88">
        <f>IF(O19=0,0,O19/TrRail_act!O23*100)</f>
        <v>0</v>
      </c>
      <c r="P32" s="88">
        <f>IF(P19=0,0,P19/TrRail_act!P23*100)</f>
        <v>0</v>
      </c>
      <c r="Q32" s="88">
        <f>IF(Q19=0,0,Q19/TrRail_act!Q23*100)</f>
        <v>0</v>
      </c>
      <c r="R32" s="88">
        <f>IF(R19=0,0,R19/TrRail_act!R23*100)</f>
        <v>0</v>
      </c>
      <c r="S32" s="88">
        <f>IF(S19=0,0,S19/TrRail_act!S23*100)</f>
        <v>0</v>
      </c>
      <c r="T32" s="88">
        <f>IF(T19=0,0,T19/TrRail_act!T23*100)</f>
        <v>0</v>
      </c>
      <c r="U32" s="88">
        <f>IF(U19=0,0,U19/TrRail_act!U23*100)</f>
        <v>0</v>
      </c>
      <c r="V32" s="88">
        <f>IF(V19=0,0,V19/TrRail_act!V23*100)</f>
        <v>0</v>
      </c>
      <c r="W32" s="88">
        <f>IF(W19=0,0,W19/TrRail_act!W23*100)</f>
        <v>0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15.911560422423518</v>
      </c>
      <c r="C35" s="29">
        <f>IF(C11=0,0,C11/TrRail_act!C4*1000)</f>
        <v>15.197818058859356</v>
      </c>
      <c r="D35" s="29">
        <f>IF(D11=0,0,D11/TrRail_act!D4*1000)</f>
        <v>15.072116175331727</v>
      </c>
      <c r="E35" s="29">
        <f>IF(E11=0,0,E11/TrRail_act!E4*1000)</f>
        <v>15.206605706979134</v>
      </c>
      <c r="F35" s="29">
        <f>IF(F11=0,0,F11/TrRail_act!F4*1000)</f>
        <v>14.362011646921331</v>
      </c>
      <c r="G35" s="29">
        <f>IF(G11=0,0,G11/TrRail_act!G4*1000)</f>
        <v>13.331321006695287</v>
      </c>
      <c r="H35" s="29">
        <f>IF(H11=0,0,H11/TrRail_act!H4*1000)</f>
        <v>11.775061132476125</v>
      </c>
      <c r="I35" s="29">
        <f>IF(I11=0,0,I11/TrRail_act!I4*1000)</f>
        <v>11.884535629107287</v>
      </c>
      <c r="J35" s="29">
        <f>IF(J11=0,0,J11/TrRail_act!J4*1000)</f>
        <v>12.133007067375862</v>
      </c>
      <c r="K35" s="29">
        <f>IF(K11=0,0,K11/TrRail_act!K4*1000)</f>
        <v>13.625459580549681</v>
      </c>
      <c r="L35" s="29">
        <f>IF(L11=0,0,L11/TrRail_act!L4*1000)</f>
        <v>9.9329425524233308</v>
      </c>
      <c r="M35" s="29">
        <f>IF(M11=0,0,M11/TrRail_act!M4*1000)</f>
        <v>9.8659658755384925</v>
      </c>
      <c r="N35" s="29">
        <f>IF(N11=0,0,N11/TrRail_act!N4*1000)</f>
        <v>9.8447616028887239</v>
      </c>
      <c r="O35" s="29">
        <f>IF(O11=0,0,O11/TrRail_act!O4*1000)</f>
        <v>9.3262063978735235</v>
      </c>
      <c r="P35" s="29">
        <f>IF(P11=0,0,P11/TrRail_act!P4*1000)</f>
        <v>9.1511373632211193</v>
      </c>
      <c r="Q35" s="29">
        <f>IF(Q11=0,0,Q11/TrRail_act!Q4*1000)</f>
        <v>9.1990166704024556</v>
      </c>
      <c r="R35" s="29">
        <f>IF(R11=0,0,R11/TrRail_act!R4*1000)</f>
        <v>9.2771172389917531</v>
      </c>
      <c r="S35" s="29">
        <f>IF(S11=0,0,S11/TrRail_act!S4*1000)</f>
        <v>9.1238663019514608</v>
      </c>
      <c r="T35" s="29">
        <f>IF(T11=0,0,T11/TrRail_act!T4*1000)</f>
        <v>8.6687196790091861</v>
      </c>
      <c r="U35" s="29">
        <f>IF(U11=0,0,U11/TrRail_act!U4*1000)</f>
        <v>8.5724940889973773</v>
      </c>
      <c r="V35" s="29">
        <f>IF(V11=0,0,V11/TrRail_act!V4*1000)</f>
        <v>12.10160409469723</v>
      </c>
      <c r="W35" s="29">
        <f>IF(W11=0,0,W11/TrRail_act!W4*1000)</f>
        <v>17.557609639985301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5.1653540516788956</v>
      </c>
      <c r="C36" s="115">
        <f>IF(C12=0,0,C12/TrRail_act!C5*1000)</f>
        <v>5.006440961944266</v>
      </c>
      <c r="D36" s="115">
        <f>IF(D12=0,0,D12/TrRail_act!D5*1000)</f>
        <v>4.7742848541407827</v>
      </c>
      <c r="E36" s="115">
        <f>IF(E12=0,0,E12/TrRail_act!E5*1000)</f>
        <v>4.7187557555581376</v>
      </c>
      <c r="F36" s="115">
        <f>IF(F12=0,0,F12/TrRail_act!F5*1000)</f>
        <v>4.613853968954075</v>
      </c>
      <c r="G36" s="115">
        <f>IF(G12=0,0,G12/TrRail_act!G5*1000)</f>
        <v>4.4839166879182732</v>
      </c>
      <c r="H36" s="115">
        <f>IF(H12=0,0,H12/TrRail_act!H5*1000)</f>
        <v>4.3002691243410585</v>
      </c>
      <c r="I36" s="115">
        <f>IF(I12=0,0,I12/TrRail_act!I5*1000)</f>
        <v>4.293183500933015</v>
      </c>
      <c r="J36" s="115">
        <f>IF(J12=0,0,J12/TrRail_act!J5*1000)</f>
        <v>4.3296649340363098</v>
      </c>
      <c r="K36" s="115">
        <f>IF(K12=0,0,K12/TrRail_act!K5*1000)</f>
        <v>4.4607855266041714</v>
      </c>
      <c r="L36" s="115">
        <f>IF(L12=0,0,L12/TrRail_act!L5*1000)</f>
        <v>4.3065997389386856</v>
      </c>
      <c r="M36" s="115">
        <f>IF(M12=0,0,M12/TrRail_act!M5*1000)</f>
        <v>4.3198485177360801</v>
      </c>
      <c r="N36" s="115">
        <f>IF(N12=0,0,N12/TrRail_act!N5*1000)</f>
        <v>4.2947932527205612</v>
      </c>
      <c r="O36" s="115">
        <f>IF(O12=0,0,O12/TrRail_act!O5*1000)</f>
        <v>4.2452870968445566</v>
      </c>
      <c r="P36" s="115">
        <f>IF(P12=0,0,P12/TrRail_act!P5*1000)</f>
        <v>4.3122459463607763</v>
      </c>
      <c r="Q36" s="115">
        <f>IF(Q12=0,0,Q12/TrRail_act!Q5*1000)</f>
        <v>4.3554745018480299</v>
      </c>
      <c r="R36" s="115">
        <f>IF(R12=0,0,R12/TrRail_act!R5*1000)</f>
        <v>4.3214265993201764</v>
      </c>
      <c r="S36" s="115">
        <f>IF(S12=0,0,S12/TrRail_act!S5*1000)</f>
        <v>4.2794317036759351</v>
      </c>
      <c r="T36" s="115">
        <f>IF(T12=0,0,T12/TrRail_act!T5*1000)</f>
        <v>4.217997617815012</v>
      </c>
      <c r="U36" s="115">
        <f>IF(U12=0,0,U12/TrRail_act!U5*1000)</f>
        <v>4.1746276195732257</v>
      </c>
      <c r="V36" s="115">
        <f>IF(V12=0,0,V12/TrRail_act!V5*1000)</f>
        <v>6.3264623362185626</v>
      </c>
      <c r="W36" s="115">
        <f>IF(W12=0,0,W12/TrRail_act!W5*1000)</f>
        <v>7.3161047217837174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19.919970547007559</v>
      </c>
      <c r="C37" s="116">
        <f>IF(C13=0,0,C13/TrRail_act!C6*1000)</f>
        <v>18.961121187989338</v>
      </c>
      <c r="D37" s="116">
        <f>IF(D13=0,0,D13/TrRail_act!D6*1000)</f>
        <v>18.734490056497215</v>
      </c>
      <c r="E37" s="116">
        <f>IF(E13=0,0,E13/TrRail_act!E6*1000)</f>
        <v>18.699802974263449</v>
      </c>
      <c r="F37" s="116">
        <f>IF(F13=0,0,F13/TrRail_act!F6*1000)</f>
        <v>17.551328247020546</v>
      </c>
      <c r="G37" s="116">
        <f>IF(G13=0,0,G13/TrRail_act!G6*1000)</f>
        <v>16.045254817415753</v>
      </c>
      <c r="H37" s="116">
        <f>IF(H13=0,0,H13/TrRail_act!H6*1000)</f>
        <v>13.892413473117223</v>
      </c>
      <c r="I37" s="116">
        <f>IF(I13=0,0,I13/TrRail_act!I6*1000)</f>
        <v>14.061501839402183</v>
      </c>
      <c r="J37" s="116">
        <f>IF(J13=0,0,J13/TrRail_act!J6*1000)</f>
        <v>14.27498716625111</v>
      </c>
      <c r="K37" s="116">
        <f>IF(K13=0,0,K13/TrRail_act!K6*1000)</f>
        <v>15.720592285395515</v>
      </c>
      <c r="L37" s="116">
        <f>IF(L13=0,0,L13/TrRail_act!L6*1000)</f>
        <v>12.700571713288083</v>
      </c>
      <c r="M37" s="116">
        <f>IF(M13=0,0,M13/TrRail_act!M6*1000)</f>
        <v>12.708165646411866</v>
      </c>
      <c r="N37" s="116">
        <f>IF(N13=0,0,N13/TrRail_act!N6*1000)</f>
        <v>12.572311738851704</v>
      </c>
      <c r="O37" s="116">
        <f>IF(O13=0,0,O13/TrRail_act!O6*1000)</f>
        <v>11.982998663951649</v>
      </c>
      <c r="P37" s="116">
        <f>IF(P13=0,0,P13/TrRail_act!P6*1000)</f>
        <v>12.041773880271347</v>
      </c>
      <c r="Q37" s="116">
        <f>IF(Q13=0,0,Q13/TrRail_act!Q6*1000)</f>
        <v>12.119015846560295</v>
      </c>
      <c r="R37" s="116">
        <f>IF(R13=0,0,R13/TrRail_act!R6*1000)</f>
        <v>12.142244690854891</v>
      </c>
      <c r="S37" s="116">
        <f>IF(S13=0,0,S13/TrRail_act!S6*1000)</f>
        <v>11.90079212698544</v>
      </c>
      <c r="T37" s="116">
        <f>IF(T13=0,0,T13/TrRail_act!T6*1000)</f>
        <v>11.20929026096902</v>
      </c>
      <c r="U37" s="116">
        <f>IF(U13=0,0,U13/TrRail_act!U6*1000)</f>
        <v>10.872181555375219</v>
      </c>
      <c r="V37" s="116">
        <f>IF(V13=0,0,V13/TrRail_act!V6*1000)</f>
        <v>14.921453396366802</v>
      </c>
      <c r="W37" s="116">
        <f>IF(W13=0,0,W13/TrRail_act!W6*1000)</f>
        <v>19.2175845313255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23.371744984857862</v>
      </c>
      <c r="C38" s="87">
        <f>IF(C14=0,0,C14/TrRail_act!C7*1000)</f>
        <v>22.437195967995386</v>
      </c>
      <c r="D38" s="87">
        <f>IF(D14=0,0,D14/TrRail_act!D7*1000)</f>
        <v>22.469729775470935</v>
      </c>
      <c r="E38" s="87">
        <f>IF(E14=0,0,E14/TrRail_act!E7*1000)</f>
        <v>22.666673710668917</v>
      </c>
      <c r="F38" s="87">
        <f>IF(F14=0,0,F14/TrRail_act!F7*1000)</f>
        <v>21.304773385398033</v>
      </c>
      <c r="G38" s="87">
        <f>IF(G14=0,0,G14/TrRail_act!G7*1000)</f>
        <v>19.481623477705284</v>
      </c>
      <c r="H38" s="87">
        <f>IF(H14=0,0,H14/TrRail_act!H7*1000)</f>
        <v>16.831826434767663</v>
      </c>
      <c r="I38" s="87">
        <f>IF(I14=0,0,I14/TrRail_act!I7*1000)</f>
        <v>17.010488433773517</v>
      </c>
      <c r="J38" s="87">
        <f>IF(J14=0,0,J14/TrRail_act!J7*1000)</f>
        <v>17.576118811249568</v>
      </c>
      <c r="K38" s="87">
        <f>IF(K14=0,0,K14/TrRail_act!K7*1000)</f>
        <v>19.374315987453883</v>
      </c>
      <c r="L38" s="87">
        <f>IF(L14=0,0,L14/TrRail_act!L7*1000)</f>
        <v>17.654152258923244</v>
      </c>
      <c r="M38" s="87">
        <f>IF(M14=0,0,M14/TrRail_act!M7*1000)</f>
        <v>17.88227127601461</v>
      </c>
      <c r="N38" s="87">
        <f>IF(N14=0,0,N14/TrRail_act!N7*1000)</f>
        <v>17.592067842833259</v>
      </c>
      <c r="O38" s="87">
        <f>IF(O14=0,0,O14/TrRail_act!O7*1000)</f>
        <v>16.865984176499346</v>
      </c>
      <c r="P38" s="87">
        <f>IF(P14=0,0,P14/TrRail_act!P7*1000)</f>
        <v>16.903140505285151</v>
      </c>
      <c r="Q38" s="87">
        <f>IF(Q14=0,0,Q14/TrRail_act!Q7*1000)</f>
        <v>16.933842530514706</v>
      </c>
      <c r="R38" s="87">
        <f>IF(R14=0,0,R14/TrRail_act!R7*1000)</f>
        <v>17.519023313632122</v>
      </c>
      <c r="S38" s="87">
        <f>IF(S14=0,0,S14/TrRail_act!S7*1000)</f>
        <v>16.926838071740168</v>
      </c>
      <c r="T38" s="87">
        <f>IF(T14=0,0,T14/TrRail_act!T7*1000)</f>
        <v>14.728512685103739</v>
      </c>
      <c r="U38" s="87">
        <f>IF(U14=0,0,U14/TrRail_act!U7*1000)</f>
        <v>13.917907897945828</v>
      </c>
      <c r="V38" s="87">
        <f>IF(V14=0,0,V14/TrRail_act!V7*1000)</f>
        <v>17.658355081928182</v>
      </c>
      <c r="W38" s="87">
        <f>IF(W14=0,0,W14/TrRail_act!W7*1000)</f>
        <v>17.238401714729513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10.135364622841889</v>
      </c>
      <c r="C39" s="87">
        <f>IF(C15=0,0,C15/TrRail_act!C8*1000)</f>
        <v>9.7215422192747578</v>
      </c>
      <c r="D39" s="87">
        <f>IF(D15=0,0,D15/TrRail_act!D8*1000)</f>
        <v>8.6706094497615638</v>
      </c>
      <c r="E39" s="87">
        <f>IF(E15=0,0,E15/TrRail_act!E8*1000)</f>
        <v>9.2125395516011803</v>
      </c>
      <c r="F39" s="87">
        <f>IF(F15=0,0,F15/TrRail_act!F8*1000)</f>
        <v>8.6072475228691587</v>
      </c>
      <c r="G39" s="87">
        <f>IF(G15=0,0,G15/TrRail_act!G8*1000)</f>
        <v>8.1917664076175534</v>
      </c>
      <c r="H39" s="87">
        <f>IF(H15=0,0,H15/TrRail_act!H8*1000)</f>
        <v>7.1729537202974463</v>
      </c>
      <c r="I39" s="87">
        <f>IF(I15=0,0,I15/TrRail_act!I8*1000)</f>
        <v>7.2835900046616127</v>
      </c>
      <c r="J39" s="87">
        <f>IF(J15=0,0,J15/TrRail_act!J8*1000)</f>
        <v>7.9728634469787281</v>
      </c>
      <c r="K39" s="87">
        <f>IF(K15=0,0,K15/TrRail_act!K8*1000)</f>
        <v>9.5861622882944832</v>
      </c>
      <c r="L39" s="87">
        <f>IF(L15=0,0,L15/TrRail_act!L8*1000)</f>
        <v>5.9576151307264071</v>
      </c>
      <c r="M39" s="87">
        <f>IF(M15=0,0,M15/TrRail_act!M8*1000)</f>
        <v>5.7915226321313602</v>
      </c>
      <c r="N39" s="87">
        <f>IF(N15=0,0,N15/TrRail_act!N8*1000)</f>
        <v>6.132397043702337</v>
      </c>
      <c r="O39" s="87">
        <f>IF(O15=0,0,O15/TrRail_act!O8*1000)</f>
        <v>5.6061589926614648</v>
      </c>
      <c r="P39" s="87">
        <f>IF(P15=0,0,P15/TrRail_act!P8*1000)</f>
        <v>6.1278346775438886</v>
      </c>
      <c r="Q39" s="87">
        <f>IF(Q15=0,0,Q15/TrRail_act!Q8*1000)</f>
        <v>10.028712994013778</v>
      </c>
      <c r="R39" s="87">
        <f>IF(R15=0,0,R15/TrRail_act!R8*1000)</f>
        <v>10.040652312875809</v>
      </c>
      <c r="S39" s="87">
        <f>IF(S15=0,0,S15/TrRail_act!S8*1000)</f>
        <v>9.8680442944227984</v>
      </c>
      <c r="T39" s="87">
        <f>IF(T15=0,0,T15/TrRail_act!T8*1000)</f>
        <v>9.7971251537024315</v>
      </c>
      <c r="U39" s="87">
        <f>IF(U15=0,0,U15/TrRail_act!U8*1000)</f>
        <v>9.6396470669920848</v>
      </c>
      <c r="V39" s="87">
        <f>IF(V15=0,0,V15/TrRail_act!V8*1000)</f>
        <v>13.862371299172345</v>
      </c>
      <c r="W39" s="87">
        <f>IF(W15=0,0,W15/TrRail_act!W8*1000)</f>
        <v>19.977985933693045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4.0280033940330133</v>
      </c>
      <c r="C41" s="29">
        <f>IF(C17=0,0,C17/TrRail_act!C10*1000)</f>
        <v>3.9834311326761962</v>
      </c>
      <c r="D41" s="29">
        <f>IF(D17=0,0,D17/TrRail_act!D10*1000)</f>
        <v>3.9179506485778623</v>
      </c>
      <c r="E41" s="29">
        <f>IF(E17=0,0,E17/TrRail_act!E10*1000)</f>
        <v>3.843443044425586</v>
      </c>
      <c r="F41" s="29">
        <f>IF(F17=0,0,F17/TrRail_act!F10*1000)</f>
        <v>3.8200986532378884</v>
      </c>
      <c r="G41" s="29">
        <f>IF(G17=0,0,G17/TrRail_act!G10*1000)</f>
        <v>3.5982918255113319</v>
      </c>
      <c r="H41" s="29">
        <f>IF(H17=0,0,H17/TrRail_act!H10*1000)</f>
        <v>3.6554012834165879</v>
      </c>
      <c r="I41" s="29">
        <f>IF(I17=0,0,I17/TrRail_act!I10*1000)</f>
        <v>3.6914689784283072</v>
      </c>
      <c r="J41" s="29">
        <f>IF(J17=0,0,J17/TrRail_act!J10*1000)</f>
        <v>3.4883321851527151</v>
      </c>
      <c r="K41" s="29">
        <f>IF(K17=0,0,K17/TrRail_act!K10*1000)</f>
        <v>3.4714075483476274</v>
      </c>
      <c r="L41" s="29">
        <f>IF(L17=0,0,L17/TrRail_act!L10*1000)</f>
        <v>3.4599787279337821</v>
      </c>
      <c r="M41" s="29">
        <f>IF(M17=0,0,M17/TrRail_act!M10*1000)</f>
        <v>3.2404500922871255</v>
      </c>
      <c r="N41" s="29">
        <f>IF(N17=0,0,N17/TrRail_act!N10*1000)</f>
        <v>3.4235292171103722</v>
      </c>
      <c r="O41" s="29">
        <f>IF(O17=0,0,O17/TrRail_act!O10*1000)</f>
        <v>3.3819576781228253</v>
      </c>
      <c r="P41" s="29">
        <f>IF(P17=0,0,P17/TrRail_act!P10*1000)</f>
        <v>3.3338196947247805</v>
      </c>
      <c r="Q41" s="29">
        <f>IF(Q17=0,0,Q17/TrRail_act!Q10*1000)</f>
        <v>3.4231616807712362</v>
      </c>
      <c r="R41" s="29">
        <f>IF(R17=0,0,R17/TrRail_act!R10*1000)</f>
        <v>3.4472990928805349</v>
      </c>
      <c r="S41" s="29">
        <f>IF(S17=0,0,S17/TrRail_act!S10*1000)</f>
        <v>3.341447643179853</v>
      </c>
      <c r="T41" s="29">
        <f>IF(T17=0,0,T17/TrRail_act!T10*1000)</f>
        <v>2.9469628099435656</v>
      </c>
      <c r="U41" s="29">
        <f>IF(U17=0,0,U17/TrRail_act!U10*1000)</f>
        <v>2.836868219795031</v>
      </c>
      <c r="V41" s="29">
        <f>IF(V17=0,0,V17/TrRail_act!V10*1000)</f>
        <v>3.1139906073386849</v>
      </c>
      <c r="W41" s="29">
        <f>IF(W17=0,0,W17/TrRail_act!W10*1000)</f>
        <v>3.2001572758415811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4.0280033940330133</v>
      </c>
      <c r="C42" s="87">
        <f>IF(C18=0,0,C18/TrRail_act!C11*1000)</f>
        <v>3.9834311326761962</v>
      </c>
      <c r="D42" s="87">
        <f>IF(D18=0,0,D18/TrRail_act!D11*1000)</f>
        <v>3.9179506485778623</v>
      </c>
      <c r="E42" s="87">
        <f>IF(E18=0,0,E18/TrRail_act!E11*1000)</f>
        <v>3.843443044425586</v>
      </c>
      <c r="F42" s="87">
        <f>IF(F18=0,0,F18/TrRail_act!F11*1000)</f>
        <v>3.8200986532378884</v>
      </c>
      <c r="G42" s="87">
        <f>IF(G18=0,0,G18/TrRail_act!G11*1000)</f>
        <v>3.5982918255113319</v>
      </c>
      <c r="H42" s="87">
        <f>IF(H18=0,0,H18/TrRail_act!H11*1000)</f>
        <v>3.6554012834165879</v>
      </c>
      <c r="I42" s="87">
        <f>IF(I18=0,0,I18/TrRail_act!I11*1000)</f>
        <v>3.6914689784283072</v>
      </c>
      <c r="J42" s="87">
        <f>IF(J18=0,0,J18/TrRail_act!J11*1000)</f>
        <v>3.4883321851527151</v>
      </c>
      <c r="K42" s="87">
        <f>IF(K18=0,0,K18/TrRail_act!K11*1000)</f>
        <v>3.4714075483476274</v>
      </c>
      <c r="L42" s="87">
        <f>IF(L18=0,0,L18/TrRail_act!L11*1000)</f>
        <v>3.4599787279337821</v>
      </c>
      <c r="M42" s="87">
        <f>IF(M18=0,0,M18/TrRail_act!M11*1000)</f>
        <v>3.2404500922871255</v>
      </c>
      <c r="N42" s="87">
        <f>IF(N18=0,0,N18/TrRail_act!N11*1000)</f>
        <v>3.4235292171103722</v>
      </c>
      <c r="O42" s="87">
        <f>IF(O18=0,0,O18/TrRail_act!O11*1000)</f>
        <v>3.3819576781228253</v>
      </c>
      <c r="P42" s="87">
        <f>IF(P18=0,0,P18/TrRail_act!P11*1000)</f>
        <v>3.3338196947247805</v>
      </c>
      <c r="Q42" s="87">
        <f>IF(Q18=0,0,Q18/TrRail_act!Q11*1000)</f>
        <v>3.4231616807712362</v>
      </c>
      <c r="R42" s="87">
        <f>IF(R18=0,0,R18/TrRail_act!R11*1000)</f>
        <v>3.4472990928805349</v>
      </c>
      <c r="S42" s="87">
        <f>IF(S18=0,0,S18/TrRail_act!S11*1000)</f>
        <v>3.341447643179853</v>
      </c>
      <c r="T42" s="87">
        <f>IF(T18=0,0,T18/TrRail_act!T11*1000)</f>
        <v>2.9469628099435656</v>
      </c>
      <c r="U42" s="87">
        <f>IF(U18=0,0,U18/TrRail_act!U11*1000)</f>
        <v>2.836868219795031</v>
      </c>
      <c r="V42" s="87">
        <f>IF(V18=0,0,V18/TrRail_act!V11*1000)</f>
        <v>3.1139906073386849</v>
      </c>
      <c r="W42" s="87">
        <f>IF(W18=0,0,W18/TrRail_act!W11*1000)</f>
        <v>3.2001572758415811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0</v>
      </c>
      <c r="E43" s="88">
        <f>IF(E19=0,0,E19/TrRail_act!E12*1000)</f>
        <v>0</v>
      </c>
      <c r="F43" s="88">
        <f>IF(F19=0,0,F19/TrRail_act!F12*1000)</f>
        <v>0</v>
      </c>
      <c r="G43" s="88">
        <f>IF(G19=0,0,G19/TrRail_act!G12*1000)</f>
        <v>0</v>
      </c>
      <c r="H43" s="88">
        <f>IF(H19=0,0,H19/TrRail_act!H12*1000)</f>
        <v>0</v>
      </c>
      <c r="I43" s="88">
        <f>IF(I19=0,0,I19/TrRail_act!I12*1000)</f>
        <v>0</v>
      </c>
      <c r="J43" s="88">
        <f>IF(J19=0,0,J19/TrRail_act!J12*1000)</f>
        <v>0</v>
      </c>
      <c r="K43" s="88">
        <f>IF(K19=0,0,K19/TrRail_act!K12*1000)</f>
        <v>0</v>
      </c>
      <c r="L43" s="88">
        <f>IF(L19=0,0,L19/TrRail_act!L12*1000)</f>
        <v>0</v>
      </c>
      <c r="M43" s="88">
        <f>IF(M19=0,0,M19/TrRail_act!M12*1000)</f>
        <v>0</v>
      </c>
      <c r="N43" s="88">
        <f>IF(N19=0,0,N19/TrRail_act!N12*1000)</f>
        <v>0</v>
      </c>
      <c r="O43" s="88">
        <f>IF(O19=0,0,O19/TrRail_act!O12*1000)</f>
        <v>0</v>
      </c>
      <c r="P43" s="88">
        <f>IF(P19=0,0,P19/TrRail_act!P12*1000)</f>
        <v>0</v>
      </c>
      <c r="Q43" s="88">
        <f>IF(Q19=0,0,Q19/TrRail_act!Q12*1000)</f>
        <v>0</v>
      </c>
      <c r="R43" s="88">
        <f>IF(R19=0,0,R19/TrRail_act!R12*1000)</f>
        <v>0</v>
      </c>
      <c r="S43" s="88">
        <f>IF(S19=0,0,S19/TrRail_act!S12*1000)</f>
        <v>0</v>
      </c>
      <c r="T43" s="88">
        <f>IF(T19=0,0,T19/TrRail_act!T12*1000)</f>
        <v>0</v>
      </c>
      <c r="U43" s="88">
        <f>IF(U19=0,0,U19/TrRail_act!U12*1000)</f>
        <v>0</v>
      </c>
      <c r="V43" s="88">
        <f>IF(V19=0,0,V19/TrRail_act!V12*1000)</f>
        <v>0</v>
      </c>
      <c r="W43" s="88">
        <f>IF(W19=0,0,W19/TrRail_act!W12*1000)</f>
        <v>0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551381.59928228322</v>
      </c>
      <c r="C45" s="54">
        <f>IF(C10=0,0,1000000*C10/TrRail_act!C25)</f>
        <v>558741.61573072209</v>
      </c>
      <c r="D45" s="54">
        <f>IF(D10=0,0,1000000*D10/TrRail_act!D25)</f>
        <v>562121.36747123033</v>
      </c>
      <c r="E45" s="54">
        <f>IF(E10=0,0,1000000*E10/TrRail_act!E25)</f>
        <v>582596.18514623237</v>
      </c>
      <c r="F45" s="54">
        <f>IF(F10=0,0,1000000*F10/TrRail_act!F25)</f>
        <v>584735.57669932803</v>
      </c>
      <c r="G45" s="54">
        <f>IF(G10=0,0,1000000*G10/TrRail_act!G25)</f>
        <v>568809.84671180043</v>
      </c>
      <c r="H45" s="54">
        <f>IF(H10=0,0,1000000*H10/TrRail_act!H25)</f>
        <v>522648.80291182036</v>
      </c>
      <c r="I45" s="54">
        <f>IF(I10=0,0,1000000*I10/TrRail_act!I25)</f>
        <v>554895.1100620582</v>
      </c>
      <c r="J45" s="54">
        <f>IF(J10=0,0,1000000*J10/TrRail_act!J25)</f>
        <v>544096.28604632569</v>
      </c>
      <c r="K45" s="54">
        <f>IF(K10=0,0,1000000*K10/TrRail_act!K25)</f>
        <v>540059.46190894023</v>
      </c>
      <c r="L45" s="54">
        <f>IF(L10=0,0,1000000*L10/TrRail_act!L25)</f>
        <v>466257.44445664913</v>
      </c>
      <c r="M45" s="54">
        <f>IF(M10=0,0,1000000*M10/TrRail_act!M25)</f>
        <v>490274.50459702412</v>
      </c>
      <c r="N45" s="54">
        <f>IF(N10=0,0,1000000*N10/TrRail_act!N25)</f>
        <v>519373.33921609679</v>
      </c>
      <c r="O45" s="54">
        <f>IF(O10=0,0,1000000*O10/TrRail_act!O25)</f>
        <v>474180.82611990883</v>
      </c>
      <c r="P45" s="54">
        <f>IF(P10=0,0,1000000*P10/TrRail_act!P25)</f>
        <v>473938.42284959677</v>
      </c>
      <c r="Q45" s="54">
        <f>IF(Q10=0,0,1000000*Q10/TrRail_act!Q25)</f>
        <v>449667.7454620584</v>
      </c>
      <c r="R45" s="54">
        <f>IF(R10=0,0,1000000*R10/TrRail_act!R25)</f>
        <v>411953.48743839009</v>
      </c>
      <c r="S45" s="54">
        <f>IF(S10=0,0,1000000*S10/TrRail_act!S25)</f>
        <v>402158.76802672003</v>
      </c>
      <c r="T45" s="54">
        <f>IF(T10=0,0,1000000*T10/TrRail_act!T25)</f>
        <v>420447.38220026391</v>
      </c>
      <c r="U45" s="54">
        <f>IF(U10=0,0,1000000*U10/TrRail_act!U25)</f>
        <v>370677.7891838323</v>
      </c>
      <c r="V45" s="54">
        <f>IF(V10=0,0,1000000*V10/TrRail_act!V25)</f>
        <v>256590.79217927493</v>
      </c>
      <c r="W45" s="54">
        <f>IF(W10=0,0,1000000*W10/TrRail_act!W25)</f>
        <v>255232.5204179789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218090.06611826629</v>
      </c>
      <c r="C46" s="28">
        <f>IF(C11=0,0,1000000*C11/TrRail_act!C26)</f>
        <v>209175.44009655368</v>
      </c>
      <c r="D46" s="28">
        <f>IF(D11=0,0,1000000*D11/TrRail_act!D26)</f>
        <v>211801.95939910319</v>
      </c>
      <c r="E46" s="28">
        <f>IF(E11=0,0,1000000*E11/TrRail_act!E26)</f>
        <v>208261.72007034556</v>
      </c>
      <c r="F46" s="28">
        <f>IF(F11=0,0,1000000*F11/TrRail_act!F26)</f>
        <v>204191.87807640809</v>
      </c>
      <c r="G46" s="28">
        <f>IF(G11=0,0,1000000*G11/TrRail_act!G26)</f>
        <v>196653.20222063796</v>
      </c>
      <c r="H46" s="28">
        <f>IF(H11=0,0,1000000*H11/TrRail_act!H26)</f>
        <v>190962.85598747013</v>
      </c>
      <c r="I46" s="28">
        <f>IF(I11=0,0,1000000*I11/TrRail_act!I26)</f>
        <v>189833.27491555476</v>
      </c>
      <c r="J46" s="28">
        <f>IF(J11=0,0,1000000*J11/TrRail_act!J26)</f>
        <v>188380.1086617962</v>
      </c>
      <c r="K46" s="28">
        <f>IF(K11=0,0,1000000*K11/TrRail_act!K26)</f>
        <v>175248.00302319811</v>
      </c>
      <c r="L46" s="28">
        <f>IF(L11=0,0,1000000*L11/TrRail_act!L26)</f>
        <v>130211.78999211319</v>
      </c>
      <c r="M46" s="28">
        <f>IF(M11=0,0,1000000*M11/TrRail_act!M26)</f>
        <v>132826.25698579915</v>
      </c>
      <c r="N46" s="28">
        <f>IF(N11=0,0,1000000*N11/TrRail_act!N26)</f>
        <v>136598.08746040871</v>
      </c>
      <c r="O46" s="28">
        <f>IF(O11=0,0,1000000*O11/TrRail_act!O26)</f>
        <v>129694.09131161691</v>
      </c>
      <c r="P46" s="28">
        <f>IF(P11=0,0,1000000*P11/TrRail_act!P26)</f>
        <v>120322.33751603859</v>
      </c>
      <c r="Q46" s="28">
        <f>IF(Q11=0,0,1000000*Q11/TrRail_act!Q26)</f>
        <v>103000.08251252641</v>
      </c>
      <c r="R46" s="28">
        <f>IF(R11=0,0,1000000*R11/TrRail_act!R26)</f>
        <v>106655.05201501366</v>
      </c>
      <c r="S46" s="28">
        <f>IF(S11=0,0,1000000*S11/TrRail_act!S26)</f>
        <v>109681.52516507074</v>
      </c>
      <c r="T46" s="28">
        <f>IF(T11=0,0,1000000*T11/TrRail_act!T26)</f>
        <v>109198.07364999052</v>
      </c>
      <c r="U46" s="28">
        <f>IF(U11=0,0,1000000*U11/TrRail_act!U26)</f>
        <v>111315.79442269195</v>
      </c>
      <c r="V46" s="28">
        <f>IF(V11=0,0,1000000*V11/TrRail_act!V26)</f>
        <v>107742.67494092947</v>
      </c>
      <c r="W46" s="28">
        <f>IF(W11=0,0,1000000*W11/TrRail_act!W26)</f>
        <v>105468.89327084942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38891.991647898096</v>
      </c>
      <c r="C47" s="108">
        <f>IF(C12=0,0,1000000*C12/TrRail_act!C27)</f>
        <v>38567.337032931529</v>
      </c>
      <c r="D47" s="108">
        <f>IF(D12=0,0,1000000*D12/TrRail_act!D27)</f>
        <v>38282.216237839377</v>
      </c>
      <c r="E47" s="108">
        <f>IF(E12=0,0,1000000*E12/TrRail_act!E27)</f>
        <v>38033.74239645739</v>
      </c>
      <c r="F47" s="108">
        <f>IF(F12=0,0,1000000*F12/TrRail_act!F27)</f>
        <v>37764.66666225464</v>
      </c>
      <c r="G47" s="108">
        <f>IF(G12=0,0,1000000*G12/TrRail_act!G27)</f>
        <v>37491.208893223593</v>
      </c>
      <c r="H47" s="108">
        <f>IF(H12=0,0,1000000*H12/TrRail_act!H27)</f>
        <v>37142.503210393399</v>
      </c>
      <c r="I47" s="108">
        <f>IF(I12=0,0,1000000*I12/TrRail_act!I27)</f>
        <v>36938.8773595085</v>
      </c>
      <c r="J47" s="108">
        <f>IF(J12=0,0,1000000*J12/TrRail_act!J27)</f>
        <v>36724.203998805977</v>
      </c>
      <c r="K47" s="108">
        <f>IF(K12=0,0,1000000*K12/TrRail_act!K27)</f>
        <v>28345.477797994587</v>
      </c>
      <c r="L47" s="108">
        <f>IF(L12=0,0,1000000*L12/TrRail_act!L27)</f>
        <v>36161.381156731899</v>
      </c>
      <c r="M47" s="108">
        <f>IF(M12=0,0,1000000*M12/TrRail_act!M27)</f>
        <v>36023.342157513602</v>
      </c>
      <c r="N47" s="108">
        <f>IF(N12=0,0,1000000*N12/TrRail_act!N27)</f>
        <v>35771.218393452342</v>
      </c>
      <c r="O47" s="108">
        <f>IF(O12=0,0,1000000*O12/TrRail_act!O27)</f>
        <v>35526.539522119099</v>
      </c>
      <c r="P47" s="108">
        <f>IF(P12=0,0,1000000*P12/TrRail_act!P27)</f>
        <v>35133.459161933773</v>
      </c>
      <c r="Q47" s="108">
        <f>IF(Q12=0,0,1000000*Q12/TrRail_act!Q27)</f>
        <v>34779.062312926864</v>
      </c>
      <c r="R47" s="108">
        <f>IF(R12=0,0,1000000*R12/TrRail_act!R27)</f>
        <v>34515.611912979701</v>
      </c>
      <c r="S47" s="108">
        <f>IF(S12=0,0,1000000*S12/TrRail_act!S27)</f>
        <v>34319.335135756941</v>
      </c>
      <c r="T47" s="108">
        <f>IF(T12=0,0,1000000*T12/TrRail_act!T27)</f>
        <v>34172.86049691747</v>
      </c>
      <c r="U47" s="108">
        <f>IF(U12=0,0,1000000*U12/TrRail_act!U27)</f>
        <v>34063.414159930762</v>
      </c>
      <c r="V47" s="108">
        <f>IF(V12=0,0,1000000*V12/TrRail_act!V27)</f>
        <v>33872.061588093107</v>
      </c>
      <c r="W47" s="108">
        <f>IF(W12=0,0,1000000*W12/TrRail_act!W27)</f>
        <v>12545.41609643329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393421.38142106863</v>
      </c>
      <c r="C48" s="110">
        <f>IF(C13=0,0,1000000*C13/TrRail_act!C28)</f>
        <v>367814.58662763232</v>
      </c>
      <c r="D48" s="110">
        <f>IF(D13=0,0,1000000*D13/TrRail_act!D28)</f>
        <v>359476.53203713708</v>
      </c>
      <c r="E48" s="110">
        <f>IF(E13=0,0,1000000*E13/TrRail_act!E28)</f>
        <v>333845.94933434168</v>
      </c>
      <c r="F48" s="110">
        <f>IF(F13=0,0,1000000*F13/TrRail_act!F28)</f>
        <v>328824.52859565441</v>
      </c>
      <c r="G48" s="110">
        <f>IF(G13=0,0,1000000*G13/TrRail_act!G28)</f>
        <v>309163.56493448088</v>
      </c>
      <c r="H48" s="110">
        <f>IF(H13=0,0,1000000*H13/TrRail_act!H28)</f>
        <v>299842.92815155216</v>
      </c>
      <c r="I48" s="110">
        <f>IF(I13=0,0,1000000*I13/TrRail_act!I28)</f>
        <v>297730.97769715823</v>
      </c>
      <c r="J48" s="110">
        <f>IF(J13=0,0,1000000*J13/TrRail_act!J28)</f>
        <v>287082.26524455094</v>
      </c>
      <c r="K48" s="110">
        <f>IF(K13=0,0,1000000*K13/TrRail_act!K28)</f>
        <v>264002.5317087713</v>
      </c>
      <c r="L48" s="110">
        <f>IF(L13=0,0,1000000*L13/TrRail_act!L28)</f>
        <v>229982.64289341756</v>
      </c>
      <c r="M48" s="110">
        <f>IF(M13=0,0,1000000*M13/TrRail_act!M28)</f>
        <v>249728.95123461343</v>
      </c>
      <c r="N48" s="110">
        <f>IF(N13=0,0,1000000*N13/TrRail_act!N28)</f>
        <v>259301.65733386419</v>
      </c>
      <c r="O48" s="110">
        <f>IF(O13=0,0,1000000*O13/TrRail_act!O28)</f>
        <v>254815.18598477991</v>
      </c>
      <c r="P48" s="110">
        <f>IF(P13=0,0,1000000*P13/TrRail_act!P28)</f>
        <v>249998.44063789662</v>
      </c>
      <c r="Q48" s="110">
        <f>IF(Q13=0,0,1000000*Q13/TrRail_act!Q28)</f>
        <v>179130.32738158485</v>
      </c>
      <c r="R48" s="110">
        <f>IF(R13=0,0,1000000*R13/TrRail_act!R28)</f>
        <v>187132.54294377781</v>
      </c>
      <c r="S48" s="110">
        <f>IF(S13=0,0,1000000*S13/TrRail_act!S28)</f>
        <v>200380.17003673755</v>
      </c>
      <c r="T48" s="110">
        <f>IF(T13=0,0,1000000*T13/TrRail_act!T28)</f>
        <v>206649.95377937908</v>
      </c>
      <c r="U48" s="110">
        <f>IF(U13=0,0,1000000*U13/TrRail_act!U28)</f>
        <v>204382.84871499258</v>
      </c>
      <c r="V48" s="110">
        <f>IF(V13=0,0,1000000*V13/TrRail_act!V28)</f>
        <v>196426.04833826426</v>
      </c>
      <c r="W48" s="110">
        <f>IF(W13=0,0,1000000*W13/TrRail_act!W28)</f>
        <v>194249.8906764563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428645.52755200915</v>
      </c>
      <c r="C49" s="84">
        <f>IF(C14=0,0,1000000*C14/TrRail_act!C29)</f>
        <v>397390.50011850952</v>
      </c>
      <c r="D49" s="84">
        <f>IF(D14=0,0,1000000*D14/TrRail_act!D29)</f>
        <v>383412.89242778165</v>
      </c>
      <c r="E49" s="84">
        <f>IF(E14=0,0,1000000*E14/TrRail_act!E29)</f>
        <v>355423.78383731708</v>
      </c>
      <c r="F49" s="84">
        <f>IF(F14=0,0,1000000*F14/TrRail_act!F29)</f>
        <v>350313.5335728685</v>
      </c>
      <c r="G49" s="84">
        <f>IF(G14=0,0,1000000*G14/TrRail_act!G29)</f>
        <v>327765.45101938437</v>
      </c>
      <c r="H49" s="84">
        <f>IF(H14=0,0,1000000*H14/TrRail_act!H29)</f>
        <v>317301.95402893162</v>
      </c>
      <c r="I49" s="84">
        <f>IF(I14=0,0,1000000*I14/TrRail_act!I29)</f>
        <v>315650.7142388564</v>
      </c>
      <c r="J49" s="84">
        <f>IF(J14=0,0,1000000*J14/TrRail_act!J29)</f>
        <v>307555.39491106075</v>
      </c>
      <c r="K49" s="84">
        <f>IF(K14=0,0,1000000*K14/TrRail_act!K29)</f>
        <v>280246.8405126158</v>
      </c>
      <c r="L49" s="84">
        <f>IF(L14=0,0,1000000*L14/TrRail_act!L29)</f>
        <v>255412.51856334563</v>
      </c>
      <c r="M49" s="84">
        <f>IF(M14=0,0,1000000*M14/TrRail_act!M29)</f>
        <v>281419.73395554983</v>
      </c>
      <c r="N49" s="84">
        <f>IF(N14=0,0,1000000*N14/TrRail_act!N29)</f>
        <v>285285.56354599248</v>
      </c>
      <c r="O49" s="84">
        <f>IF(O14=0,0,1000000*O14/TrRail_act!O29)</f>
        <v>278517.85724505328</v>
      </c>
      <c r="P49" s="84">
        <f>IF(P14=0,0,1000000*P14/TrRail_act!P29)</f>
        <v>268259.6181703083</v>
      </c>
      <c r="Q49" s="84">
        <f>IF(Q14=0,0,1000000*Q14/TrRail_act!Q29)</f>
        <v>155983.99844841153</v>
      </c>
      <c r="R49" s="84">
        <f>IF(R14=0,0,1000000*R14/TrRail_act!R29)</f>
        <v>174173.1790047384</v>
      </c>
      <c r="S49" s="84">
        <f>IF(S14=0,0,1000000*S14/TrRail_act!S29)</f>
        <v>213214.24916860909</v>
      </c>
      <c r="T49" s="84">
        <f>IF(T14=0,0,1000000*T14/TrRail_act!T29)</f>
        <v>244962.84290622856</v>
      </c>
      <c r="U49" s="84">
        <f>IF(U14=0,0,1000000*U14/TrRail_act!U29)</f>
        <v>245278.39111210592</v>
      </c>
      <c r="V49" s="84">
        <f>IF(V14=0,0,1000000*V14/TrRail_act!V29)</f>
        <v>241692.81516526878</v>
      </c>
      <c r="W49" s="84">
        <f>IF(W14=0,0,1000000*W14/TrRail_act!W29)</f>
        <v>239038.10625569883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255942.2347634726</v>
      </c>
      <c r="C50" s="84">
        <f>IF(C15=0,0,1000000*C15/TrRail_act!C30)</f>
        <v>252519.26440200699</v>
      </c>
      <c r="D50" s="84">
        <f>IF(D15=0,0,1000000*D15/TrRail_act!D30)</f>
        <v>250349.32339641181</v>
      </c>
      <c r="E50" s="84">
        <f>IF(E15=0,0,1000000*E15/TrRail_act!E30)</f>
        <v>245973.75363468617</v>
      </c>
      <c r="F50" s="84">
        <f>IF(F15=0,0,1000000*F15/TrRail_act!F30)</f>
        <v>241461.81488114278</v>
      </c>
      <c r="G50" s="84">
        <f>IF(G15=0,0,1000000*G15/TrRail_act!G30)</f>
        <v>236279.79411010817</v>
      </c>
      <c r="H50" s="84">
        <f>IF(H15=0,0,1000000*H15/TrRail_act!H30)</f>
        <v>231510.73457437684</v>
      </c>
      <c r="I50" s="84">
        <f>IF(I15=0,0,1000000*I15/TrRail_act!I30)</f>
        <v>228193.05948285729</v>
      </c>
      <c r="J50" s="84">
        <f>IF(J15=0,0,1000000*J15/TrRail_act!J30)</f>
        <v>224256.40114159032</v>
      </c>
      <c r="K50" s="84">
        <f>IF(K15=0,0,1000000*K15/TrRail_act!K30)</f>
        <v>220610.76555489475</v>
      </c>
      <c r="L50" s="84">
        <f>IF(L15=0,0,1000000*L15/TrRail_act!L30)</f>
        <v>164084.28371594861</v>
      </c>
      <c r="M50" s="84">
        <f>IF(M15=0,0,1000000*M15/TrRail_act!M30)</f>
        <v>170486.43733057185</v>
      </c>
      <c r="N50" s="84">
        <f>IF(N15=0,0,1000000*N15/TrRail_act!N30)</f>
        <v>194203.82271700902</v>
      </c>
      <c r="O50" s="84">
        <f>IF(O15=0,0,1000000*O15/TrRail_act!O30)</f>
        <v>190964.7577310068</v>
      </c>
      <c r="P50" s="84">
        <f>IF(P15=0,0,1000000*P15/TrRail_act!P30)</f>
        <v>203510.60178188822</v>
      </c>
      <c r="Q50" s="84">
        <f>IF(Q15=0,0,1000000*Q15/TrRail_act!Q30)</f>
        <v>200994.05186161931</v>
      </c>
      <c r="R50" s="84">
        <f>IF(R15=0,0,1000000*R15/TrRail_act!R30)</f>
        <v>197135.81866338715</v>
      </c>
      <c r="S50" s="84">
        <f>IF(S15=0,0,1000000*S15/TrRail_act!S30)</f>
        <v>192347.90998299443</v>
      </c>
      <c r="T50" s="84">
        <f>IF(T15=0,0,1000000*T15/TrRail_act!T30)</f>
        <v>188833.4451243924</v>
      </c>
      <c r="U50" s="84">
        <f>IF(U15=0,0,1000000*U15/TrRail_act!U30)</f>
        <v>186239.80231140039</v>
      </c>
      <c r="V50" s="84">
        <f>IF(V15=0,0,1000000*V15/TrRail_act!V30)</f>
        <v>179824.52970388372</v>
      </c>
      <c r="W50" s="84">
        <f>IF(W15=0,0,1000000*W15/TrRail_act!W30)</f>
        <v>182889.6374813228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993943.04312832421</v>
      </c>
      <c r="C52" s="28">
        <f>IF(C17=0,0,1000000*C17/TrRail_act!C32)</f>
        <v>988343.25536195992</v>
      </c>
      <c r="D52" s="28">
        <f>IF(D17=0,0,1000000*D17/TrRail_act!D32)</f>
        <v>981470.54957419063</v>
      </c>
      <c r="E52" s="28">
        <f>IF(E17=0,0,1000000*E17/TrRail_act!E32)</f>
        <v>974782.93344645877</v>
      </c>
      <c r="F52" s="28">
        <f>IF(F17=0,0,1000000*F17/TrRail_act!F32)</f>
        <v>978743.00279669208</v>
      </c>
      <c r="G52" s="28">
        <f>IF(G17=0,0,1000000*G17/TrRail_act!G32)</f>
        <v>967042.36126402544</v>
      </c>
      <c r="H52" s="28">
        <f>IF(H17=0,0,1000000*H17/TrRail_act!H32)</f>
        <v>902082.84549395402</v>
      </c>
      <c r="I52" s="28">
        <f>IF(I17=0,0,1000000*I17/TrRail_act!I32)</f>
        <v>963616.06764154637</v>
      </c>
      <c r="J52" s="28">
        <f>IF(J17=0,0,1000000*J17/TrRail_act!J32)</f>
        <v>910263.25789008918</v>
      </c>
      <c r="K52" s="28">
        <f>IF(K17=0,0,1000000*K17/TrRail_act!K32)</f>
        <v>901616.03532369074</v>
      </c>
      <c r="L52" s="28">
        <f>IF(L17=0,0,1000000*L17/TrRail_act!L32)</f>
        <v>891123.47102259716</v>
      </c>
      <c r="M52" s="28">
        <f>IF(M17=0,0,1000000*M17/TrRail_act!M32)</f>
        <v>851561.9217602011</v>
      </c>
      <c r="N52" s="28">
        <f>IF(N17=0,0,1000000*N17/TrRail_act!N32)</f>
        <v>857146.39628139231</v>
      </c>
      <c r="O52" s="28">
        <f>IF(O17=0,0,1000000*O17/TrRail_act!O32)</f>
        <v>806105.89286142739</v>
      </c>
      <c r="P52" s="28">
        <f>IF(P17=0,0,1000000*P17/TrRail_act!P32)</f>
        <v>826926.43285849702</v>
      </c>
      <c r="Q52" s="28">
        <f>IF(Q17=0,0,1000000*Q17/TrRail_act!Q32)</f>
        <v>821186.43143311678</v>
      </c>
      <c r="R52" s="28">
        <f>IF(R17=0,0,1000000*R17/TrRail_act!R32)</f>
        <v>745319.80280165304</v>
      </c>
      <c r="S52" s="28">
        <f>IF(S17=0,0,1000000*S17/TrRail_act!S32)</f>
        <v>737524.31686656852</v>
      </c>
      <c r="T52" s="28">
        <f>IF(T17=0,0,1000000*T17/TrRail_act!T32)</f>
        <v>778866.56112710875</v>
      </c>
      <c r="U52" s="28">
        <f>IF(U17=0,0,1000000*U17/TrRail_act!U32)</f>
        <v>685237.15361143753</v>
      </c>
      <c r="V52" s="28">
        <f>IF(V17=0,0,1000000*V17/TrRail_act!V32)</f>
        <v>437558.95531757339</v>
      </c>
      <c r="W52" s="28">
        <f>IF(W17=0,0,1000000*W17/TrRail_act!W32)</f>
        <v>458753.45951504563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993943.04312832421</v>
      </c>
      <c r="C53" s="84">
        <f>IF(C18=0,0,1000000*C18/TrRail_act!C33)</f>
        <v>988343.25536195992</v>
      </c>
      <c r="D53" s="84">
        <f>IF(D18=0,0,1000000*D18/TrRail_act!D33)</f>
        <v>981470.54957419063</v>
      </c>
      <c r="E53" s="84">
        <f>IF(E18=0,0,1000000*E18/TrRail_act!E33)</f>
        <v>974782.93344645877</v>
      </c>
      <c r="F53" s="84">
        <f>IF(F18=0,0,1000000*F18/TrRail_act!F33)</f>
        <v>978743.00279669208</v>
      </c>
      <c r="G53" s="84">
        <f>IF(G18=0,0,1000000*G18/TrRail_act!G33)</f>
        <v>967042.36126402544</v>
      </c>
      <c r="H53" s="84">
        <f>IF(H18=0,0,1000000*H18/TrRail_act!H33)</f>
        <v>902082.84549395402</v>
      </c>
      <c r="I53" s="84">
        <f>IF(I18=0,0,1000000*I18/TrRail_act!I33)</f>
        <v>963616.06764154637</v>
      </c>
      <c r="J53" s="84">
        <f>IF(J18=0,0,1000000*J18/TrRail_act!J33)</f>
        <v>910263.25789008918</v>
      </c>
      <c r="K53" s="84">
        <f>IF(K18=0,0,1000000*K18/TrRail_act!K33)</f>
        <v>901616.03532369074</v>
      </c>
      <c r="L53" s="84">
        <f>IF(L18=0,0,1000000*L18/TrRail_act!L33)</f>
        <v>891123.47102259716</v>
      </c>
      <c r="M53" s="84">
        <f>IF(M18=0,0,1000000*M18/TrRail_act!M33)</f>
        <v>851561.9217602011</v>
      </c>
      <c r="N53" s="84">
        <f>IF(N18=0,0,1000000*N18/TrRail_act!N33)</f>
        <v>857146.39628139231</v>
      </c>
      <c r="O53" s="84">
        <f>IF(O18=0,0,1000000*O18/TrRail_act!O33)</f>
        <v>806105.89286142739</v>
      </c>
      <c r="P53" s="84">
        <f>IF(P18=0,0,1000000*P18/TrRail_act!P33)</f>
        <v>826926.43285849702</v>
      </c>
      <c r="Q53" s="84">
        <f>IF(Q18=0,0,1000000*Q18/TrRail_act!Q33)</f>
        <v>821186.43143311678</v>
      </c>
      <c r="R53" s="84">
        <f>IF(R18=0,0,1000000*R18/TrRail_act!R33)</f>
        <v>745319.80280165304</v>
      </c>
      <c r="S53" s="84">
        <f>IF(S18=0,0,1000000*S18/TrRail_act!S33)</f>
        <v>737524.31686656852</v>
      </c>
      <c r="T53" s="84">
        <f>IF(T18=0,0,1000000*T18/TrRail_act!T33)</f>
        <v>778866.56112710875</v>
      </c>
      <c r="U53" s="84">
        <f>IF(U18=0,0,1000000*U18/TrRail_act!U33)</f>
        <v>685237.15361143753</v>
      </c>
      <c r="V53" s="84">
        <f>IF(V18=0,0,1000000*V18/TrRail_act!V33)</f>
        <v>437558.95531757339</v>
      </c>
      <c r="W53" s="84">
        <f>IF(W18=0,0,1000000*W18/TrRail_act!W33)</f>
        <v>458753.45951504563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0</v>
      </c>
      <c r="E54" s="86">
        <f>IF(E19=0,0,1000000*E19/TrRail_act!E34)</f>
        <v>0</v>
      </c>
      <c r="F54" s="86">
        <f>IF(F19=0,0,1000000*F19/TrRail_act!F34)</f>
        <v>0</v>
      </c>
      <c r="G54" s="86">
        <f>IF(G19=0,0,1000000*G19/TrRail_act!G34)</f>
        <v>0</v>
      </c>
      <c r="H54" s="86">
        <f>IF(H19=0,0,1000000*H19/TrRail_act!H34)</f>
        <v>0</v>
      </c>
      <c r="I54" s="86">
        <f>IF(I19=0,0,1000000*I19/TrRail_act!I34)</f>
        <v>0</v>
      </c>
      <c r="J54" s="86">
        <f>IF(J19=0,0,1000000*J19/TrRail_act!J34)</f>
        <v>0</v>
      </c>
      <c r="K54" s="86">
        <f>IF(K19=0,0,1000000*K19/TrRail_act!K34)</f>
        <v>0</v>
      </c>
      <c r="L54" s="86">
        <f>IF(L19=0,0,1000000*L19/TrRail_act!L34)</f>
        <v>0</v>
      </c>
      <c r="M54" s="86">
        <f>IF(M19=0,0,1000000*M19/TrRail_act!M34)</f>
        <v>0</v>
      </c>
      <c r="N54" s="86">
        <f>IF(N19=0,0,1000000*N19/TrRail_act!N34)</f>
        <v>0</v>
      </c>
      <c r="O54" s="86">
        <f>IF(O19=0,0,1000000*O19/TrRail_act!O34)</f>
        <v>0</v>
      </c>
      <c r="P54" s="86">
        <f>IF(P19=0,0,1000000*P19/TrRail_act!P34)</f>
        <v>0</v>
      </c>
      <c r="Q54" s="86">
        <f>IF(Q19=0,0,1000000*Q19/TrRail_act!Q34)</f>
        <v>0</v>
      </c>
      <c r="R54" s="86">
        <f>IF(R19=0,0,1000000*R19/TrRail_act!R34)</f>
        <v>0</v>
      </c>
      <c r="S54" s="86">
        <f>IF(S19=0,0,1000000*S19/TrRail_act!S34)</f>
        <v>0</v>
      </c>
      <c r="T54" s="86">
        <f>IF(T19=0,0,1000000*T19/TrRail_act!T34)</f>
        <v>0</v>
      </c>
      <c r="U54" s="86">
        <f>IF(U19=0,0,1000000*U19/TrRail_act!U34)</f>
        <v>0</v>
      </c>
      <c r="V54" s="86">
        <f>IF(V19=0,0,1000000*V19/TrRail_act!V34)</f>
        <v>0</v>
      </c>
      <c r="W54" s="86">
        <f>IF(W19=0,0,1000000*W19/TrRail_act!W34)</f>
        <v>0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0.22562008569457245</v>
      </c>
      <c r="C57" s="31">
        <f t="shared" ref="C57:V57" si="17">IF(C11=0,0,C11/C$10)</f>
        <v>0.20641183620466808</v>
      </c>
      <c r="D57" s="31">
        <f t="shared" si="17"/>
        <v>0.20529194819603058</v>
      </c>
      <c r="E57" s="31">
        <f t="shared" si="17"/>
        <v>0.18289867158060766</v>
      </c>
      <c r="F57" s="31">
        <f t="shared" si="17"/>
        <v>0.17763693203690656</v>
      </c>
      <c r="G57" s="31">
        <f t="shared" si="17"/>
        <v>0.17871477968934002</v>
      </c>
      <c r="H57" s="31">
        <f t="shared" si="17"/>
        <v>0.19495408845209647</v>
      </c>
      <c r="I57" s="31">
        <f t="shared" si="17"/>
        <v>0.18070463069665624</v>
      </c>
      <c r="J57" s="31">
        <f t="shared" si="17"/>
        <v>0.17561901857456028</v>
      </c>
      <c r="K57" s="31">
        <f t="shared" si="17"/>
        <v>0.16152175983567885</v>
      </c>
      <c r="L57" s="31">
        <f t="shared" si="17"/>
        <v>0.15593452584945136</v>
      </c>
      <c r="M57" s="31">
        <f t="shared" si="17"/>
        <v>0.13618468340875134</v>
      </c>
      <c r="N57" s="31">
        <f t="shared" si="17"/>
        <v>0.12328972039468311</v>
      </c>
      <c r="O57" s="31">
        <f t="shared" si="17"/>
        <v>0.13421624265766371</v>
      </c>
      <c r="P57" s="31">
        <f t="shared" si="17"/>
        <v>0.12682595613788988</v>
      </c>
      <c r="Q57" s="31">
        <f t="shared" si="17"/>
        <v>0.11849208783370414</v>
      </c>
      <c r="R57" s="31">
        <f t="shared" si="17"/>
        <v>0.13513940913533939</v>
      </c>
      <c r="S57" s="31">
        <f t="shared" si="17"/>
        <v>0.1456811876395773</v>
      </c>
      <c r="T57" s="31">
        <f t="shared" si="17"/>
        <v>0.13900636989617968</v>
      </c>
      <c r="U57" s="31">
        <f t="shared" si="17"/>
        <v>0.16459265726520722</v>
      </c>
      <c r="V57" s="31">
        <f t="shared" si="17"/>
        <v>0.23039697613207633</v>
      </c>
      <c r="W57" s="31">
        <f t="shared" ref="W57" si="18">IF(W11=0,0,W11/W$10)</f>
        <v>0.23805253604991322</v>
      </c>
      <c r="DA57" s="173"/>
    </row>
    <row r="58" spans="1:105" ht="11.45" customHeight="1" x14ac:dyDescent="0.25">
      <c r="A58" s="107" t="s">
        <v>23</v>
      </c>
      <c r="B58" s="123">
        <f t="shared" si="14"/>
        <v>1.9897994531077511E-2</v>
      </c>
      <c r="C58" s="123">
        <f t="shared" ref="C58:V58" si="19">IF(C12=0,0,C12/C$10)</f>
        <v>1.8337147060470054E-2</v>
      </c>
      <c r="D58" s="123">
        <f t="shared" si="19"/>
        <v>1.7059915922635002E-2</v>
      </c>
      <c r="E58" s="123">
        <f t="shared" si="19"/>
        <v>1.4180422604203961E-2</v>
      </c>
      <c r="F58" s="123">
        <f t="shared" si="19"/>
        <v>1.4067922528962606E-2</v>
      </c>
      <c r="G58" s="123">
        <f t="shared" si="19"/>
        <v>1.4110290902464993E-2</v>
      </c>
      <c r="H58" s="123">
        <f t="shared" si="19"/>
        <v>1.5716007972055537E-2</v>
      </c>
      <c r="I58" s="123">
        <f t="shared" si="19"/>
        <v>1.4547836129197311E-2</v>
      </c>
      <c r="J58" s="123">
        <f t="shared" si="19"/>
        <v>1.3497519265567295E-2</v>
      </c>
      <c r="K58" s="123">
        <f t="shared" si="19"/>
        <v>9.8394725841900645E-3</v>
      </c>
      <c r="L58" s="123">
        <f t="shared" si="19"/>
        <v>2.2291497938096119E-2</v>
      </c>
      <c r="M58" s="123">
        <f t="shared" si="19"/>
        <v>2.0203980165133958E-2</v>
      </c>
      <c r="N58" s="123">
        <f t="shared" si="19"/>
        <v>1.7722970264402244E-2</v>
      </c>
      <c r="O58" s="123">
        <f t="shared" si="19"/>
        <v>2.0977425208769482E-2</v>
      </c>
      <c r="P58" s="123">
        <f t="shared" si="19"/>
        <v>2.2349978367048013E-2</v>
      </c>
      <c r="Q58" s="123">
        <f t="shared" si="19"/>
        <v>2.1101157557656458E-2</v>
      </c>
      <c r="R58" s="123">
        <f t="shared" si="19"/>
        <v>2.3061517041197951E-2</v>
      </c>
      <c r="S58" s="123">
        <f t="shared" si="19"/>
        <v>2.4896737447020836E-2</v>
      </c>
      <c r="T58" s="123">
        <f t="shared" si="19"/>
        <v>2.4578753634255084E-2</v>
      </c>
      <c r="U58" s="123">
        <f t="shared" si="19"/>
        <v>2.7521595220725951E-2</v>
      </c>
      <c r="V58" s="123">
        <f t="shared" si="19"/>
        <v>3.951620510754178E-2</v>
      </c>
      <c r="W58" s="123">
        <f t="shared" ref="W58" si="20">IF(W12=0,0,W12/W$10)</f>
        <v>1.383527804550873E-2</v>
      </c>
      <c r="DA58" s="203"/>
    </row>
    <row r="59" spans="1:105" ht="11.45" customHeight="1" x14ac:dyDescent="0.25">
      <c r="A59" s="109" t="s">
        <v>24</v>
      </c>
      <c r="B59" s="124">
        <f t="shared" si="14"/>
        <v>0.20572209116349494</v>
      </c>
      <c r="C59" s="124">
        <f t="shared" ref="C59:V59" si="21">IF(C13=0,0,C13/C$10)</f>
        <v>0.18807468914419803</v>
      </c>
      <c r="D59" s="124">
        <f t="shared" si="21"/>
        <v>0.18823203227339561</v>
      </c>
      <c r="E59" s="124">
        <f t="shared" si="21"/>
        <v>0.16871824897640367</v>
      </c>
      <c r="F59" s="124">
        <f t="shared" si="21"/>
        <v>0.16356900950794395</v>
      </c>
      <c r="G59" s="124">
        <f t="shared" si="21"/>
        <v>0.164604488786875</v>
      </c>
      <c r="H59" s="124">
        <f t="shared" si="21"/>
        <v>0.17923808048004092</v>
      </c>
      <c r="I59" s="124">
        <f t="shared" si="21"/>
        <v>0.16615679456745894</v>
      </c>
      <c r="J59" s="124">
        <f t="shared" si="21"/>
        <v>0.16212149930899297</v>
      </c>
      <c r="K59" s="124">
        <f t="shared" si="21"/>
        <v>0.1516822872514888</v>
      </c>
      <c r="L59" s="124">
        <f t="shared" si="21"/>
        <v>0.13364302791135524</v>
      </c>
      <c r="M59" s="124">
        <f t="shared" si="21"/>
        <v>0.11598070324361738</v>
      </c>
      <c r="N59" s="124">
        <f t="shared" si="21"/>
        <v>0.10556675013028087</v>
      </c>
      <c r="O59" s="124">
        <f t="shared" si="21"/>
        <v>0.11323881744889422</v>
      </c>
      <c r="P59" s="124">
        <f t="shared" si="21"/>
        <v>0.10447597777084189</v>
      </c>
      <c r="Q59" s="124">
        <f t="shared" si="21"/>
        <v>9.7390930276047699E-2</v>
      </c>
      <c r="R59" s="124">
        <f t="shared" si="21"/>
        <v>0.11207789209414146</v>
      </c>
      <c r="S59" s="124">
        <f t="shared" si="21"/>
        <v>0.12078445019255646</v>
      </c>
      <c r="T59" s="124">
        <f t="shared" si="21"/>
        <v>0.1144276162619246</v>
      </c>
      <c r="U59" s="124">
        <f t="shared" si="21"/>
        <v>0.13707106204448127</v>
      </c>
      <c r="V59" s="124">
        <f t="shared" si="21"/>
        <v>0.19088077102453455</v>
      </c>
      <c r="W59" s="124">
        <f t="shared" ref="W59" si="22">IF(W13=0,0,W13/W$10)</f>
        <v>0.22421725800440448</v>
      </c>
      <c r="DA59" s="176"/>
    </row>
    <row r="60" spans="1:105" ht="11.45" customHeight="1" x14ac:dyDescent="0.25">
      <c r="A60" s="111" t="s">
        <v>92</v>
      </c>
      <c r="B60" s="125">
        <f t="shared" si="14"/>
        <v>0.17842572815260363</v>
      </c>
      <c r="C60" s="125">
        <f t="shared" ref="C60:V60" si="23">IF(C14=0,0,C14/C$10)</f>
        <v>0.16171429360307779</v>
      </c>
      <c r="D60" s="125">
        <f t="shared" si="23"/>
        <v>0.16465069895369958</v>
      </c>
      <c r="E60" s="125">
        <f t="shared" si="23"/>
        <v>0.14421088002228377</v>
      </c>
      <c r="F60" s="125">
        <f t="shared" si="23"/>
        <v>0.13985711282328356</v>
      </c>
      <c r="G60" s="125">
        <f t="shared" si="23"/>
        <v>0.13902546762418602</v>
      </c>
      <c r="H60" s="125">
        <f t="shared" si="23"/>
        <v>0.15107470051330257</v>
      </c>
      <c r="I60" s="125">
        <f t="shared" si="23"/>
        <v>0.1400634165455939</v>
      </c>
      <c r="J60" s="125">
        <f t="shared" si="23"/>
        <v>0.13099548038459474</v>
      </c>
      <c r="K60" s="125">
        <f t="shared" si="23"/>
        <v>0.11715633514210531</v>
      </c>
      <c r="L60" s="125">
        <f t="shared" si="23"/>
        <v>0.1070934632144516</v>
      </c>
      <c r="M60" s="125">
        <f t="shared" si="23"/>
        <v>9.336147794194094E-2</v>
      </c>
      <c r="N60" s="125">
        <f t="shared" si="23"/>
        <v>8.301123494629295E-2</v>
      </c>
      <c r="O60" s="125">
        <f t="shared" si="23"/>
        <v>9.0264161695676609E-2</v>
      </c>
      <c r="P60" s="125">
        <f t="shared" si="23"/>
        <v>8.0489759227587526E-2</v>
      </c>
      <c r="Q60" s="125">
        <f t="shared" si="23"/>
        <v>4.119495766533695E-2</v>
      </c>
      <c r="R60" s="125">
        <f t="shared" si="23"/>
        <v>4.5443559606922097E-2</v>
      </c>
      <c r="S60" s="125">
        <f t="shared" si="23"/>
        <v>4.9472517350406607E-2</v>
      </c>
      <c r="T60" s="125">
        <f t="shared" si="23"/>
        <v>4.305543411713747E-2</v>
      </c>
      <c r="U60" s="125">
        <f t="shared" si="23"/>
        <v>5.0551594862358669E-2</v>
      </c>
      <c r="V60" s="125">
        <f t="shared" si="23"/>
        <v>6.3024089133543806E-2</v>
      </c>
      <c r="W60" s="125">
        <f t="shared" ref="W60" si="24">IF(W14=0,0,W14/W$10)</f>
        <v>5.5824582981100428E-2</v>
      </c>
      <c r="DA60" s="171"/>
    </row>
    <row r="61" spans="1:105" ht="11.45" customHeight="1" x14ac:dyDescent="0.25">
      <c r="A61" s="111" t="s">
        <v>93</v>
      </c>
      <c r="B61" s="125">
        <f t="shared" si="14"/>
        <v>2.7296363010891309E-2</v>
      </c>
      <c r="C61" s="125">
        <f t="shared" ref="C61:V61" si="25">IF(C15=0,0,C15/C$10)</f>
        <v>2.6360395541120223E-2</v>
      </c>
      <c r="D61" s="125">
        <f t="shared" si="25"/>
        <v>2.3581333319696012E-2</v>
      </c>
      <c r="E61" s="125">
        <f t="shared" si="25"/>
        <v>2.4507368954119924E-2</v>
      </c>
      <c r="F61" s="125">
        <f t="shared" si="25"/>
        <v>2.3711896684660394E-2</v>
      </c>
      <c r="G61" s="125">
        <f t="shared" si="25"/>
        <v>2.5579021162688974E-2</v>
      </c>
      <c r="H61" s="125">
        <f t="shared" si="25"/>
        <v>2.8163379966738344E-2</v>
      </c>
      <c r="I61" s="125">
        <f t="shared" si="25"/>
        <v>2.6093378021865045E-2</v>
      </c>
      <c r="J61" s="125">
        <f t="shared" si="25"/>
        <v>3.1126018924398226E-2</v>
      </c>
      <c r="K61" s="125">
        <f t="shared" si="25"/>
        <v>3.4525952109383473E-2</v>
      </c>
      <c r="L61" s="125">
        <f t="shared" si="25"/>
        <v>2.654956469690363E-2</v>
      </c>
      <c r="M61" s="125">
        <f t="shared" si="25"/>
        <v>2.2619225301676444E-2</v>
      </c>
      <c r="N61" s="125">
        <f t="shared" si="25"/>
        <v>2.2555515183987924E-2</v>
      </c>
      <c r="O61" s="125">
        <f t="shared" si="25"/>
        <v>2.297465575321761E-2</v>
      </c>
      <c r="P61" s="125">
        <f t="shared" si="25"/>
        <v>2.3986218543254358E-2</v>
      </c>
      <c r="Q61" s="125">
        <f t="shared" si="25"/>
        <v>5.6195972610710743E-2</v>
      </c>
      <c r="R61" s="125">
        <f t="shared" si="25"/>
        <v>6.6634332487219339E-2</v>
      </c>
      <c r="S61" s="125">
        <f t="shared" si="25"/>
        <v>7.1311932842149844E-2</v>
      </c>
      <c r="T61" s="125">
        <f t="shared" si="25"/>
        <v>7.1372182144787119E-2</v>
      </c>
      <c r="U61" s="125">
        <f t="shared" si="25"/>
        <v>8.6519467182122611E-2</v>
      </c>
      <c r="V61" s="125">
        <f t="shared" si="25"/>
        <v>0.12785668189099073</v>
      </c>
      <c r="W61" s="125">
        <f t="shared" ref="W61" si="26">IF(W15=0,0,W15/W$10)</f>
        <v>0.16839267502330404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0.77437991430542752</v>
      </c>
      <c r="C63" s="31">
        <f t="shared" ref="C63:V63" si="29">IF(C17=0,0,C17/C$10)</f>
        <v>0.79358816379533192</v>
      </c>
      <c r="D63" s="31">
        <f t="shared" si="29"/>
        <v>0.79470805180396942</v>
      </c>
      <c r="E63" s="31">
        <f t="shared" si="29"/>
        <v>0.81710132841939243</v>
      </c>
      <c r="F63" s="31">
        <f t="shared" si="29"/>
        <v>0.82236306796309344</v>
      </c>
      <c r="G63" s="31">
        <f t="shared" si="29"/>
        <v>0.82128522031065998</v>
      </c>
      <c r="H63" s="31">
        <f t="shared" si="29"/>
        <v>0.8050459115479035</v>
      </c>
      <c r="I63" s="31">
        <f t="shared" si="29"/>
        <v>0.8192953693033439</v>
      </c>
      <c r="J63" s="31">
        <f t="shared" si="29"/>
        <v>0.8243809814254397</v>
      </c>
      <c r="K63" s="31">
        <f t="shared" si="29"/>
        <v>0.83847824016432104</v>
      </c>
      <c r="L63" s="31">
        <f t="shared" si="29"/>
        <v>0.84406547415054867</v>
      </c>
      <c r="M63" s="31">
        <f t="shared" si="29"/>
        <v>0.86381531659124877</v>
      </c>
      <c r="N63" s="31">
        <f t="shared" si="29"/>
        <v>0.87671027960531689</v>
      </c>
      <c r="O63" s="31">
        <f t="shared" si="29"/>
        <v>0.86578375734233626</v>
      </c>
      <c r="P63" s="31">
        <f t="shared" si="29"/>
        <v>0.87317404386211006</v>
      </c>
      <c r="Q63" s="31">
        <f t="shared" si="29"/>
        <v>0.88150791216629587</v>
      </c>
      <c r="R63" s="31">
        <f t="shared" si="29"/>
        <v>0.86486059086466072</v>
      </c>
      <c r="S63" s="31">
        <f t="shared" si="29"/>
        <v>0.85431881236042262</v>
      </c>
      <c r="T63" s="31">
        <f t="shared" si="29"/>
        <v>0.86099363010382024</v>
      </c>
      <c r="U63" s="31">
        <f t="shared" si="29"/>
        <v>0.83540734273479267</v>
      </c>
      <c r="V63" s="31">
        <f t="shared" si="29"/>
        <v>0.76960302386792379</v>
      </c>
      <c r="W63" s="31">
        <f t="shared" ref="W63" si="30">IF(W17=0,0,W17/W$10)</f>
        <v>0.76194746395008683</v>
      </c>
      <c r="DA63" s="173"/>
    </row>
    <row r="64" spans="1:105" ht="11.45" customHeight="1" x14ac:dyDescent="0.25">
      <c r="A64" s="83" t="s">
        <v>92</v>
      </c>
      <c r="B64" s="125">
        <f t="shared" si="14"/>
        <v>0.77437991430542752</v>
      </c>
      <c r="C64" s="125">
        <f t="shared" ref="C64:V64" si="31">IF(C18=0,0,C18/C$10)</f>
        <v>0.79358816379533192</v>
      </c>
      <c r="D64" s="125">
        <f t="shared" si="31"/>
        <v>0.79470805180396942</v>
      </c>
      <c r="E64" s="125">
        <f t="shared" si="31"/>
        <v>0.81710132841939243</v>
      </c>
      <c r="F64" s="125">
        <f t="shared" si="31"/>
        <v>0.82236306796309344</v>
      </c>
      <c r="G64" s="125">
        <f t="shared" si="31"/>
        <v>0.82128522031065998</v>
      </c>
      <c r="H64" s="125">
        <f t="shared" si="31"/>
        <v>0.8050459115479035</v>
      </c>
      <c r="I64" s="125">
        <f t="shared" si="31"/>
        <v>0.8192953693033439</v>
      </c>
      <c r="J64" s="125">
        <f t="shared" si="31"/>
        <v>0.8243809814254397</v>
      </c>
      <c r="K64" s="125">
        <f t="shared" si="31"/>
        <v>0.83847824016432104</v>
      </c>
      <c r="L64" s="125">
        <f t="shared" si="31"/>
        <v>0.84406547415054867</v>
      </c>
      <c r="M64" s="125">
        <f t="shared" si="31"/>
        <v>0.86381531659124877</v>
      </c>
      <c r="N64" s="125">
        <f t="shared" si="31"/>
        <v>0.87671027960531689</v>
      </c>
      <c r="O64" s="125">
        <f t="shared" si="31"/>
        <v>0.86578375734233626</v>
      </c>
      <c r="P64" s="125">
        <f t="shared" si="31"/>
        <v>0.87317404386211006</v>
      </c>
      <c r="Q64" s="125">
        <f t="shared" si="31"/>
        <v>0.88150791216629587</v>
      </c>
      <c r="R64" s="125">
        <f t="shared" si="31"/>
        <v>0.86486059086466072</v>
      </c>
      <c r="S64" s="125">
        <f t="shared" si="31"/>
        <v>0.85431881236042262</v>
      </c>
      <c r="T64" s="125">
        <f t="shared" si="31"/>
        <v>0.86099363010382024</v>
      </c>
      <c r="U64" s="125">
        <f t="shared" si="31"/>
        <v>0.83540734273479267</v>
      </c>
      <c r="V64" s="125">
        <f t="shared" si="31"/>
        <v>0.76960302386792379</v>
      </c>
      <c r="W64" s="125">
        <f t="shared" ref="W64" si="32">IF(W18=0,0,W18/W$10)</f>
        <v>0.76194746395008683</v>
      </c>
      <c r="DA64" s="171"/>
    </row>
    <row r="65" spans="1:105" ht="11.45" customHeight="1" x14ac:dyDescent="0.25">
      <c r="A65" s="85" t="s">
        <v>93</v>
      </c>
      <c r="B65" s="127">
        <f t="shared" si="14"/>
        <v>0</v>
      </c>
      <c r="C65" s="127">
        <f t="shared" ref="C65:V65" si="33">IF(C19=0,0,C19/C$10)</f>
        <v>0</v>
      </c>
      <c r="D65" s="127">
        <f t="shared" si="33"/>
        <v>0</v>
      </c>
      <c r="E65" s="127">
        <f t="shared" si="33"/>
        <v>0</v>
      </c>
      <c r="F65" s="127">
        <f t="shared" si="33"/>
        <v>0</v>
      </c>
      <c r="G65" s="127">
        <f t="shared" si="33"/>
        <v>0</v>
      </c>
      <c r="H65" s="127">
        <f t="shared" si="33"/>
        <v>0</v>
      </c>
      <c r="I65" s="127">
        <f t="shared" si="33"/>
        <v>0</v>
      </c>
      <c r="J65" s="127">
        <f t="shared" si="33"/>
        <v>0</v>
      </c>
      <c r="K65" s="127">
        <f t="shared" si="33"/>
        <v>0</v>
      </c>
      <c r="L65" s="127">
        <f t="shared" si="33"/>
        <v>0</v>
      </c>
      <c r="M65" s="127">
        <f t="shared" si="33"/>
        <v>0</v>
      </c>
      <c r="N65" s="127">
        <f t="shared" si="33"/>
        <v>0</v>
      </c>
      <c r="O65" s="127">
        <f t="shared" si="33"/>
        <v>0</v>
      </c>
      <c r="P65" s="127">
        <f t="shared" si="33"/>
        <v>0</v>
      </c>
      <c r="Q65" s="127">
        <f t="shared" si="33"/>
        <v>0</v>
      </c>
      <c r="R65" s="127">
        <f t="shared" si="33"/>
        <v>0</v>
      </c>
      <c r="S65" s="127">
        <f t="shared" si="33"/>
        <v>0</v>
      </c>
      <c r="T65" s="127">
        <f t="shared" si="33"/>
        <v>0</v>
      </c>
      <c r="U65" s="127">
        <f t="shared" si="33"/>
        <v>0</v>
      </c>
      <c r="V65" s="127">
        <f t="shared" si="33"/>
        <v>0</v>
      </c>
      <c r="W65" s="127">
        <f t="shared" ref="W65" si="34">IF(W19=0,0,W19/W$10)</f>
        <v>0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204.65320355999998</v>
      </c>
      <c r="C4" s="26">
        <f t="shared" ref="C4:W4" si="0">SUM(C5:C6)</f>
        <v>210.95007336</v>
      </c>
      <c r="D4" s="26">
        <f t="shared" si="0"/>
        <v>220.39551143999998</v>
      </c>
      <c r="E4" s="26">
        <f t="shared" si="0"/>
        <v>251.88066071999998</v>
      </c>
      <c r="F4" s="26">
        <f t="shared" si="0"/>
        <v>258.17779727999999</v>
      </c>
      <c r="G4" s="26">
        <f t="shared" si="0"/>
        <v>258.17779727999999</v>
      </c>
      <c r="H4" s="26">
        <f t="shared" si="0"/>
        <v>226.69264799999999</v>
      </c>
      <c r="I4" s="26">
        <f t="shared" si="0"/>
        <v>245.58379091999998</v>
      </c>
      <c r="J4" s="26">
        <f t="shared" si="0"/>
        <v>245.58379091999998</v>
      </c>
      <c r="K4" s="26">
        <f t="shared" si="0"/>
        <v>229.84121627999997</v>
      </c>
      <c r="L4" s="26">
        <f t="shared" si="0"/>
        <v>207.80150507999997</v>
      </c>
      <c r="M4" s="26">
        <f t="shared" si="0"/>
        <v>232.98978456</v>
      </c>
      <c r="N4" s="26">
        <f t="shared" si="0"/>
        <v>248.73209243999997</v>
      </c>
      <c r="O4" s="26">
        <f t="shared" si="0"/>
        <v>223.54407971999998</v>
      </c>
      <c r="P4" s="26">
        <f t="shared" si="0"/>
        <v>214.09864164000001</v>
      </c>
      <c r="Q4" s="26">
        <f t="shared" si="0"/>
        <v>204.65320355999998</v>
      </c>
      <c r="R4" s="26">
        <f t="shared" si="0"/>
        <v>173.16805427999998</v>
      </c>
      <c r="S4" s="26">
        <f t="shared" si="0"/>
        <v>162.48191544000002</v>
      </c>
      <c r="T4" s="26">
        <f t="shared" si="0"/>
        <v>165.63368484</v>
      </c>
      <c r="U4" s="26">
        <f t="shared" si="0"/>
        <v>136.07854415999998</v>
      </c>
      <c r="V4" s="26">
        <f t="shared" si="0"/>
        <v>80.249144040000004</v>
      </c>
      <c r="W4" s="26">
        <f t="shared" si="0"/>
        <v>75.66487343999998</v>
      </c>
      <c r="DA4" s="202" t="s">
        <v>1135</v>
      </c>
    </row>
    <row r="5" spans="1:105" ht="11.45" customHeight="1" x14ac:dyDescent="0.25">
      <c r="A5" s="107" t="s">
        <v>92</v>
      </c>
      <c r="B5" s="129">
        <v>204.65320355999998</v>
      </c>
      <c r="C5" s="129">
        <v>210.95007336</v>
      </c>
      <c r="D5" s="129">
        <v>220.39551143999998</v>
      </c>
      <c r="E5" s="129">
        <v>251.88066071999998</v>
      </c>
      <c r="F5" s="129">
        <v>258.17779727999999</v>
      </c>
      <c r="G5" s="129">
        <v>258.17779727999999</v>
      </c>
      <c r="H5" s="129">
        <v>226.69264799999999</v>
      </c>
      <c r="I5" s="129">
        <v>245.58379091999998</v>
      </c>
      <c r="J5" s="129">
        <v>245.58379091999998</v>
      </c>
      <c r="K5" s="129">
        <v>229.84121627999997</v>
      </c>
      <c r="L5" s="129">
        <v>207.80150507999997</v>
      </c>
      <c r="M5" s="129">
        <v>232.98978456</v>
      </c>
      <c r="N5" s="129">
        <v>248.73209243999997</v>
      </c>
      <c r="O5" s="129">
        <v>223.54407971999998</v>
      </c>
      <c r="P5" s="129">
        <v>214.09864164000001</v>
      </c>
      <c r="Q5" s="129">
        <v>204.65320355999998</v>
      </c>
      <c r="R5" s="129">
        <v>173.16805427999998</v>
      </c>
      <c r="S5" s="129">
        <v>162.48191544000002</v>
      </c>
      <c r="T5" s="129">
        <v>165.63368484</v>
      </c>
      <c r="U5" s="129">
        <v>136.07854415999998</v>
      </c>
      <c r="V5" s="129">
        <v>80.249144040000004</v>
      </c>
      <c r="W5" s="129">
        <v>75.66487343999998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204.65320356000001</v>
      </c>
      <c r="C8" s="79">
        <f t="shared" si="1"/>
        <v>210.95007335999998</v>
      </c>
      <c r="D8" s="79">
        <f t="shared" si="1"/>
        <v>220.39551143999995</v>
      </c>
      <c r="E8" s="79">
        <f t="shared" si="1"/>
        <v>251.88066071999998</v>
      </c>
      <c r="F8" s="79">
        <f t="shared" si="1"/>
        <v>258.17779727999999</v>
      </c>
      <c r="G8" s="79">
        <f t="shared" si="1"/>
        <v>258.17779727999999</v>
      </c>
      <c r="H8" s="79">
        <f t="shared" si="1"/>
        <v>226.69264799999999</v>
      </c>
      <c r="I8" s="79">
        <f t="shared" si="1"/>
        <v>245.58379092000001</v>
      </c>
      <c r="J8" s="79">
        <f t="shared" si="1"/>
        <v>245.58379091999998</v>
      </c>
      <c r="K8" s="79">
        <f t="shared" si="1"/>
        <v>229.84121628000003</v>
      </c>
      <c r="L8" s="79">
        <f t="shared" si="1"/>
        <v>207.80150507999997</v>
      </c>
      <c r="M8" s="79">
        <f t="shared" si="1"/>
        <v>232.98978455999998</v>
      </c>
      <c r="N8" s="79">
        <f t="shared" si="1"/>
        <v>248.73209243999997</v>
      </c>
      <c r="O8" s="79">
        <f t="shared" si="1"/>
        <v>223.54407971999998</v>
      </c>
      <c r="P8" s="79">
        <f t="shared" si="1"/>
        <v>214.09864164000004</v>
      </c>
      <c r="Q8" s="79">
        <f t="shared" si="1"/>
        <v>204.65320356000001</v>
      </c>
      <c r="R8" s="79">
        <f t="shared" si="1"/>
        <v>173.16805427999995</v>
      </c>
      <c r="S8" s="79">
        <f t="shared" si="1"/>
        <v>162.48191544000005</v>
      </c>
      <c r="T8" s="79">
        <f t="shared" si="1"/>
        <v>165.63368483999997</v>
      </c>
      <c r="U8" s="79">
        <f t="shared" si="1"/>
        <v>136.07854415999998</v>
      </c>
      <c r="V8" s="79">
        <f t="shared" si="1"/>
        <v>80.249144040000004</v>
      </c>
      <c r="W8" s="79">
        <f t="shared" si="1"/>
        <v>75.664873439999994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38.324077059151577</v>
      </c>
      <c r="C9" s="32">
        <f t="shared" si="2"/>
        <v>35.709781582507446</v>
      </c>
      <c r="D9" s="32">
        <f t="shared" si="2"/>
        <v>37.825552720705197</v>
      </c>
      <c r="E9" s="32">
        <f t="shared" si="2"/>
        <v>37.785780128505763</v>
      </c>
      <c r="F9" s="32">
        <f t="shared" si="2"/>
        <v>37.525716092491876</v>
      </c>
      <c r="G9" s="32">
        <f t="shared" si="2"/>
        <v>37.376746346771419</v>
      </c>
      <c r="H9" s="32">
        <f t="shared" si="2"/>
        <v>35.819250702415736</v>
      </c>
      <c r="I9" s="32">
        <f t="shared" si="2"/>
        <v>35.854474167384396</v>
      </c>
      <c r="J9" s="32">
        <f t="shared" si="2"/>
        <v>33.672973903173244</v>
      </c>
      <c r="K9" s="32">
        <f t="shared" si="2"/>
        <v>28.177459522469118</v>
      </c>
      <c r="L9" s="32">
        <f t="shared" si="2"/>
        <v>23.396912930076141</v>
      </c>
      <c r="M9" s="32">
        <f t="shared" si="2"/>
        <v>22.725447123385898</v>
      </c>
      <c r="N9" s="32">
        <f t="shared" si="2"/>
        <v>21.514114095761009</v>
      </c>
      <c r="O9" s="32">
        <f t="shared" si="2"/>
        <v>21.105656480336961</v>
      </c>
      <c r="P9" s="32">
        <f t="shared" si="2"/>
        <v>18.070045293452651</v>
      </c>
      <c r="Q9" s="32">
        <f t="shared" si="2"/>
        <v>9.1369392383792487</v>
      </c>
      <c r="R9" s="32">
        <f t="shared" si="2"/>
        <v>8.6447730603130548</v>
      </c>
      <c r="S9" s="32">
        <f t="shared" si="2"/>
        <v>8.8940766706675625</v>
      </c>
      <c r="T9" s="32">
        <f t="shared" si="2"/>
        <v>7.8883220916252679</v>
      </c>
      <c r="U9" s="32">
        <f t="shared" si="2"/>
        <v>7.7644540191588449</v>
      </c>
      <c r="V9" s="32">
        <f t="shared" si="2"/>
        <v>6.0743028036112499</v>
      </c>
      <c r="W9" s="32">
        <f t="shared" si="2"/>
        <v>5.1652046825968032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38.324077059151577</v>
      </c>
      <c r="C11" s="130">
        <f t="shared" si="3"/>
        <v>35.709781582507446</v>
      </c>
      <c r="D11" s="130">
        <f t="shared" si="3"/>
        <v>37.825552720705197</v>
      </c>
      <c r="E11" s="130">
        <f t="shared" si="3"/>
        <v>37.785780128505763</v>
      </c>
      <c r="F11" s="130">
        <f t="shared" si="3"/>
        <v>37.525716092491876</v>
      </c>
      <c r="G11" s="130">
        <f t="shared" si="3"/>
        <v>37.376746346771419</v>
      </c>
      <c r="H11" s="130">
        <f t="shared" si="3"/>
        <v>35.819250702415736</v>
      </c>
      <c r="I11" s="130">
        <f t="shared" si="3"/>
        <v>35.854474167384396</v>
      </c>
      <c r="J11" s="130">
        <f t="shared" si="3"/>
        <v>33.672973903173244</v>
      </c>
      <c r="K11" s="130">
        <f t="shared" si="3"/>
        <v>28.177459522469118</v>
      </c>
      <c r="L11" s="130">
        <f t="shared" si="3"/>
        <v>23.396912930076141</v>
      </c>
      <c r="M11" s="130">
        <f t="shared" si="3"/>
        <v>22.725447123385898</v>
      </c>
      <c r="N11" s="130">
        <f t="shared" si="3"/>
        <v>21.514114095761009</v>
      </c>
      <c r="O11" s="130">
        <f t="shared" si="3"/>
        <v>21.105656480336961</v>
      </c>
      <c r="P11" s="130">
        <f t="shared" si="3"/>
        <v>18.070045293452651</v>
      </c>
      <c r="Q11" s="130">
        <f t="shared" si="3"/>
        <v>9.1369392383792487</v>
      </c>
      <c r="R11" s="130">
        <f t="shared" si="3"/>
        <v>8.6447730603130548</v>
      </c>
      <c r="S11" s="130">
        <f t="shared" si="3"/>
        <v>8.8940766706675625</v>
      </c>
      <c r="T11" s="130">
        <f t="shared" si="3"/>
        <v>7.8883220916252679</v>
      </c>
      <c r="U11" s="130">
        <f t="shared" si="3"/>
        <v>7.7644540191588449</v>
      </c>
      <c r="V11" s="130">
        <f t="shared" si="3"/>
        <v>6.0743028036112499</v>
      </c>
      <c r="W11" s="130">
        <f t="shared" si="3"/>
        <v>5.1652046825968032</v>
      </c>
      <c r="DA11" s="176" t="s">
        <v>408</v>
      </c>
    </row>
    <row r="12" spans="1:105" ht="11.45" customHeight="1" x14ac:dyDescent="0.25">
      <c r="A12" s="111" t="s">
        <v>92</v>
      </c>
      <c r="B12" s="96">
        <v>38.324077059151577</v>
      </c>
      <c r="C12" s="96">
        <v>35.709781582507446</v>
      </c>
      <c r="D12" s="96">
        <v>37.825552720705197</v>
      </c>
      <c r="E12" s="96">
        <v>37.785780128505763</v>
      </c>
      <c r="F12" s="96">
        <v>37.525716092491876</v>
      </c>
      <c r="G12" s="96">
        <v>37.376746346771419</v>
      </c>
      <c r="H12" s="96">
        <v>35.819250702415736</v>
      </c>
      <c r="I12" s="96">
        <v>35.854474167384396</v>
      </c>
      <c r="J12" s="96">
        <v>33.672973903173244</v>
      </c>
      <c r="K12" s="96">
        <v>28.177459522469118</v>
      </c>
      <c r="L12" s="96">
        <v>23.396912930076141</v>
      </c>
      <c r="M12" s="96">
        <v>22.725447123385898</v>
      </c>
      <c r="N12" s="96">
        <v>21.514114095761009</v>
      </c>
      <c r="O12" s="96">
        <v>21.105656480336961</v>
      </c>
      <c r="P12" s="96">
        <v>18.070045293452651</v>
      </c>
      <c r="Q12" s="96">
        <v>9.1369392383792487</v>
      </c>
      <c r="R12" s="96">
        <v>8.6447730603130548</v>
      </c>
      <c r="S12" s="96">
        <v>8.8940766706675625</v>
      </c>
      <c r="T12" s="96">
        <v>7.8883220916252679</v>
      </c>
      <c r="U12" s="96">
        <v>7.7644540191588449</v>
      </c>
      <c r="V12" s="96">
        <v>6.0743028036112499</v>
      </c>
      <c r="W12" s="96">
        <v>5.1652046825968032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166.32912650084842</v>
      </c>
      <c r="C15" s="32">
        <f t="shared" si="4"/>
        <v>175.24029177749253</v>
      </c>
      <c r="D15" s="32">
        <f t="shared" si="4"/>
        <v>182.56995871929476</v>
      </c>
      <c r="E15" s="32">
        <f t="shared" si="4"/>
        <v>214.09488059149422</v>
      </c>
      <c r="F15" s="32">
        <f t="shared" si="4"/>
        <v>220.65208118750812</v>
      </c>
      <c r="G15" s="32">
        <f t="shared" si="4"/>
        <v>220.80105093322859</v>
      </c>
      <c r="H15" s="32">
        <f t="shared" si="4"/>
        <v>190.87339729758426</v>
      </c>
      <c r="I15" s="32">
        <f t="shared" si="4"/>
        <v>209.7293167526156</v>
      </c>
      <c r="J15" s="32">
        <f t="shared" si="4"/>
        <v>211.91081701682674</v>
      </c>
      <c r="K15" s="32">
        <f t="shared" si="4"/>
        <v>201.6637567575309</v>
      </c>
      <c r="L15" s="32">
        <f t="shared" si="4"/>
        <v>184.40459214992384</v>
      </c>
      <c r="M15" s="32">
        <f t="shared" si="4"/>
        <v>210.26433743661408</v>
      </c>
      <c r="N15" s="32">
        <f t="shared" si="4"/>
        <v>227.21797834423896</v>
      </c>
      <c r="O15" s="32">
        <f t="shared" si="4"/>
        <v>202.43842323966302</v>
      </c>
      <c r="P15" s="32">
        <f t="shared" si="4"/>
        <v>196.02859634654737</v>
      </c>
      <c r="Q15" s="32">
        <f t="shared" si="4"/>
        <v>195.51626432162075</v>
      </c>
      <c r="R15" s="32">
        <f t="shared" si="4"/>
        <v>164.52328121968691</v>
      </c>
      <c r="S15" s="32">
        <f t="shared" si="4"/>
        <v>153.58783876933248</v>
      </c>
      <c r="T15" s="32">
        <f t="shared" si="4"/>
        <v>157.7453627483747</v>
      </c>
      <c r="U15" s="32">
        <f t="shared" si="4"/>
        <v>128.31409014084113</v>
      </c>
      <c r="V15" s="32">
        <f t="shared" si="4"/>
        <v>74.174841236388758</v>
      </c>
      <c r="W15" s="32">
        <f t="shared" si="4"/>
        <v>70.499668757403185</v>
      </c>
      <c r="DA15" s="173" t="s">
        <v>413</v>
      </c>
    </row>
    <row r="16" spans="1:105" ht="11.45" customHeight="1" x14ac:dyDescent="0.25">
      <c r="A16" s="83" t="s">
        <v>92</v>
      </c>
      <c r="B16" s="96">
        <v>166.32912650084842</v>
      </c>
      <c r="C16" s="96">
        <v>175.24029177749253</v>
      </c>
      <c r="D16" s="96">
        <v>182.56995871929476</v>
      </c>
      <c r="E16" s="96">
        <v>214.09488059149422</v>
      </c>
      <c r="F16" s="96">
        <v>220.65208118750812</v>
      </c>
      <c r="G16" s="96">
        <v>220.80105093322859</v>
      </c>
      <c r="H16" s="96">
        <v>190.87339729758426</v>
      </c>
      <c r="I16" s="96">
        <v>209.7293167526156</v>
      </c>
      <c r="J16" s="96">
        <v>211.91081701682674</v>
      </c>
      <c r="K16" s="96">
        <v>201.6637567575309</v>
      </c>
      <c r="L16" s="96">
        <v>184.40459214992384</v>
      </c>
      <c r="M16" s="96">
        <v>210.26433743661408</v>
      </c>
      <c r="N16" s="96">
        <v>227.21797834423896</v>
      </c>
      <c r="O16" s="96">
        <v>202.43842323966302</v>
      </c>
      <c r="P16" s="96">
        <v>196.02859634654737</v>
      </c>
      <c r="Q16" s="96">
        <v>195.51626432162075</v>
      </c>
      <c r="R16" s="96">
        <v>164.52328121968691</v>
      </c>
      <c r="S16" s="96">
        <v>153.58783876933248</v>
      </c>
      <c r="T16" s="96">
        <v>157.7453627483747</v>
      </c>
      <c r="U16" s="96">
        <v>128.31409014084113</v>
      </c>
      <c r="V16" s="96">
        <v>74.174841236388758</v>
      </c>
      <c r="W16" s="96">
        <v>70.499668757403185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2.9560021379078738</v>
      </c>
      <c r="C22" s="134">
        <f>IF(C4=0,0,C4/TrRail_ene!C4)</f>
        <v>2.9637483035190262</v>
      </c>
      <c r="D22" s="134">
        <f>IF(D4=0,0,D4/TrRail_ene!D4)</f>
        <v>2.9763326242951065</v>
      </c>
      <c r="E22" s="134">
        <f>IF(E4=0,0,E4/TrRail_ene!E4)</f>
        <v>2.9823930681389745</v>
      </c>
      <c r="F22" s="134">
        <f>IF(F4=0,0,F4/TrRail_ene!F4)</f>
        <v>2.9852099786110551</v>
      </c>
      <c r="G22" s="134">
        <f>IF(G4=0,0,G4/TrRail_ene!G4)</f>
        <v>2.9792859320899994</v>
      </c>
      <c r="H22" s="134">
        <f>IF(H4=0,0,H4/TrRail_ene!H4)</f>
        <v>2.9662865619261929</v>
      </c>
      <c r="I22" s="134">
        <f>IF(I4=0,0,I4/TrRail_ene!I4)</f>
        <v>2.9763327331629181</v>
      </c>
      <c r="J22" s="134">
        <f>IF(J4=0,0,J4/TrRail_ene!J4)</f>
        <v>2.963977896196933</v>
      </c>
      <c r="K22" s="134">
        <f>IF(K4=0,0,K4/TrRail_ene!K4)</f>
        <v>2.9647786723606728</v>
      </c>
      <c r="L22" s="134">
        <f>IF(L4=0,0,L4/TrRail_ene!L4)</f>
        <v>2.950893369069199</v>
      </c>
      <c r="M22" s="134">
        <f>IF(M4=0,0,M4/TrRail_ene!M4)</f>
        <v>2.900920157667334</v>
      </c>
      <c r="N22" s="134">
        <f>IF(N4=0,0,N4/TrRail_ene!N4)</f>
        <v>2.9128939840831505</v>
      </c>
      <c r="O22" s="134">
        <f>IF(O4=0,0,O4/TrRail_ene!O4)</f>
        <v>2.9299332234271356</v>
      </c>
      <c r="P22" s="134">
        <f>IF(P4=0,0,P4/TrRail_ene!P4)</f>
        <v>2.8843902646181432</v>
      </c>
      <c r="Q22" s="134">
        <f>IF(Q4=0,0,Q4/TrRail_ene!Q4)</f>
        <v>2.7875181032253984</v>
      </c>
      <c r="R22" s="134">
        <f>IF(R4=0,0,R4/TrRail_ene!R4)</f>
        <v>2.7370069735484219</v>
      </c>
      <c r="S22" s="134">
        <f>IF(S4=0,0,S4/TrRail_ene!S4)</f>
        <v>2.7669029590135779</v>
      </c>
      <c r="T22" s="134">
        <f>IF(T4=0,0,T4/TrRail_ene!T4)</f>
        <v>2.7096725366809915</v>
      </c>
      <c r="U22" s="134">
        <f>IF(U4=0,0,U4/TrRail_ene!U4)</f>
        <v>2.6681347738681538</v>
      </c>
      <c r="V22" s="134">
        <f>IF(V4=0,0,V4/TrRail_ene!V4)</f>
        <v>2.4856582102713114</v>
      </c>
      <c r="W22" s="134">
        <f>IF(W4=0,0,W4/TrRail_ene!W4)</f>
        <v>2.4454418782123462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1.5153523227034034</v>
      </c>
      <c r="N23" s="129">
        <f>IF(N5=0,0,N5/SUM(TrRail_ene!N5:N7))</f>
        <v>1.5175725144830581</v>
      </c>
      <c r="O23" s="129">
        <f>IF(O5=0,0,O5/SUM(TrRail_ene!O5:O7))</f>
        <v>1.5323150467056454</v>
      </c>
      <c r="P23" s="129">
        <f>IF(P5=0,0,P5/SUM(TrRail_ene!P5:P7))</f>
        <v>1.5122678743144295</v>
      </c>
      <c r="Q23" s="129">
        <f>IF(Q5=0,0,Q5/SUM(TrRail_ene!Q5:Q7))</f>
        <v>1.5105177378141468</v>
      </c>
      <c r="R23" s="129">
        <f>IF(R5=0,0,R5/SUM(TrRail_ene!R5:R7))</f>
        <v>1.5033475196891704</v>
      </c>
      <c r="S23" s="129">
        <f>IF(S5=0,0,S5/SUM(TrRail_ene!S5:S7))</f>
        <v>1.5307200169196447</v>
      </c>
      <c r="T23" s="129">
        <f>IF(T5=0,0,T5/SUM(TrRail_ene!T5:T7))</f>
        <v>1.4986313486292835</v>
      </c>
      <c r="U23" s="129">
        <f>IF(U5=0,0,U5/SUM(TrRail_ene!U5:U7))</f>
        <v>1.505789185390759</v>
      </c>
      <c r="V23" s="129">
        <f>IF(V5=0,0,V5/SUM(TrRail_ene!V5:V7))</f>
        <v>1.4926599022886553</v>
      </c>
      <c r="W23" s="129">
        <f>IF(W5=0,0,W5/SUM(TrRail_ene!W5:W7))</f>
        <v>1.4951855394111568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10174.377170288662</v>
      </c>
      <c r="C26" s="54">
        <f>IF(C8=0,0,C8/TrRail_act!C14*1000)</f>
        <v>10234.309360143854</v>
      </c>
      <c r="D26" s="54">
        <f>IF(D8=0,0,D8/TrRail_act!D14*1000)</f>
        <v>10280.713021354944</v>
      </c>
      <c r="E26" s="54">
        <f>IF(E8=0,0,E8/TrRail_act!E14*1000)</f>
        <v>10484.156887479316</v>
      </c>
      <c r="F26" s="54">
        <f>IF(F8=0,0,F8/TrRail_act!F14*1000)</f>
        <v>10524.763655722189</v>
      </c>
      <c r="G26" s="54">
        <f>IF(G8=0,0,G8/TrRail_act!G14*1000)</f>
        <v>10233.954121077793</v>
      </c>
      <c r="H26" s="54">
        <f>IF(H8=0,0,H8/TrRail_act!H14*1000)</f>
        <v>9753.0932799825168</v>
      </c>
      <c r="I26" s="54">
        <f>IF(I8=0,0,I8/TrRail_act!I14*1000)</f>
        <v>10018.642446761651</v>
      </c>
      <c r="J26" s="54">
        <f>IF(J8=0,0,J8/TrRail_act!J14*1000)</f>
        <v>9677.7403766573498</v>
      </c>
      <c r="K26" s="54">
        <f>IF(K8=0,0,K8/TrRail_act!K14*1000)</f>
        <v>9980.9373673723603</v>
      </c>
      <c r="L26" s="54">
        <f>IF(L8=0,0,L8/TrRail_act!L14*1000)</f>
        <v>8966.5182395207958</v>
      </c>
      <c r="M26" s="54">
        <f>IF(M8=0,0,M8/TrRail_act!M14*1000)</f>
        <v>8827.9270930153962</v>
      </c>
      <c r="N26" s="54">
        <f>IF(N8=0,0,N8/TrRail_act!N14*1000)</f>
        <v>9135.2210251064025</v>
      </c>
      <c r="O26" s="54">
        <f>IF(O8=0,0,O8/TrRail_act!O14*1000)</f>
        <v>8758.204942455448</v>
      </c>
      <c r="P26" s="54">
        <f>IF(P8=0,0,P8/TrRail_act!P14*1000)</f>
        <v>8388.5776344692003</v>
      </c>
      <c r="Q26" s="54">
        <f>IF(Q8=0,0,Q8/TrRail_act!Q14*1000)</f>
        <v>8043.2852676438706</v>
      </c>
      <c r="R26" s="54">
        <f>IF(R8=0,0,R8/TrRail_act!R14*1000)</f>
        <v>7518.0386476668737</v>
      </c>
      <c r="S26" s="54">
        <f>IF(S8=0,0,S8/TrRail_act!S14*1000)</f>
        <v>7277.9653878078598</v>
      </c>
      <c r="T26" s="54">
        <f>IF(T8=0,0,T8/TrRail_act!T14*1000)</f>
        <v>7080.0527341287288</v>
      </c>
      <c r="U26" s="54">
        <f>IF(U8=0,0,U8/TrRail_act!U14*1000)</f>
        <v>6562.0142193753973</v>
      </c>
      <c r="V26" s="54">
        <f>IF(V8=0,0,V8/TrRail_act!V14*1000)</f>
        <v>5255.8601773723967</v>
      </c>
      <c r="W26" s="54">
        <f>IF(W8=0,0,W8/TrRail_act!W14*1000)</f>
        <v>5833.4061650902895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4109.0796759722216</v>
      </c>
      <c r="C27" s="28">
        <f>IF(C9=0,0,C9/TrRail_act!C15*1000)</f>
        <v>3889.1928166285638</v>
      </c>
      <c r="D27" s="28">
        <f>IF(D9=0,0,D9/TrRail_act!D15*1000)</f>
        <v>4004.3813988285269</v>
      </c>
      <c r="E27" s="28">
        <f>IF(E9=0,0,E9/TrRail_act!E15*1000)</f>
        <v>3829.8846078315692</v>
      </c>
      <c r="F27" s="28">
        <f>IF(F9=0,0,F9/TrRail_act!F15*1000)</f>
        <v>3753.6786286520996</v>
      </c>
      <c r="G27" s="28">
        <f>IF(G9=0,0,G9/TrRail_act!G15*1000)</f>
        <v>3556.8661964719845</v>
      </c>
      <c r="H27" s="28">
        <f>IF(H9=0,0,H9/TrRail_act!H15*1000)</f>
        <v>3440.9883925236131</v>
      </c>
      <c r="I27" s="28">
        <f>IF(I9=0,0,I9/TrRail_act!I15*1000)</f>
        <v>3420.637997430184</v>
      </c>
      <c r="J27" s="28">
        <f>IF(J9=0,0,J9/TrRail_act!J15*1000)</f>
        <v>3247.6548476239645</v>
      </c>
      <c r="K27" s="28">
        <f>IF(K9=0,0,K9/TrRail_act!K15*1000)</f>
        <v>3273.0245324822058</v>
      </c>
      <c r="L27" s="28">
        <f>IF(L9=0,0,L9/TrRail_act!L15*1000)</f>
        <v>2363.7392709065712</v>
      </c>
      <c r="M27" s="28">
        <f>IF(M9=0,0,M9/TrRail_act!M15*1000)</f>
        <v>2250.4781675037739</v>
      </c>
      <c r="N27" s="28">
        <f>IF(N9=0,0,N9/TrRail_act!N15*1000)</f>
        <v>2204.3121705955286</v>
      </c>
      <c r="O27" s="28">
        <f>IF(O9=0,0,O9/TrRail_act!O15*1000)</f>
        <v>2123.5730646200955</v>
      </c>
      <c r="P27" s="28">
        <f>IF(P9=0,0,P9/TrRail_act!P15*1000)</f>
        <v>1835.0716026897171</v>
      </c>
      <c r="Q27" s="28">
        <f>IF(Q9=0,0,Q9/TrRail_act!Q15*1000)</f>
        <v>943.71953319599879</v>
      </c>
      <c r="R27" s="28">
        <f>IF(R9=0,0,R9/TrRail_act!R15*1000)</f>
        <v>909.8093768259331</v>
      </c>
      <c r="S27" s="28">
        <f>IF(S9=0,0,S9/TrRail_act!S15*1000)</f>
        <v>921.77389702251685</v>
      </c>
      <c r="T27" s="28">
        <f>IF(T9=0,0,T9/TrRail_act!T15*1000)</f>
        <v>798.41695223496356</v>
      </c>
      <c r="U27" s="28">
        <f>IF(U9=0,0,U9/TrRail_act!U15*1000)</f>
        <v>803.49040888519448</v>
      </c>
      <c r="V27" s="28">
        <f>IF(V9=0,0,V9/TrRail_act!V15*1000)</f>
        <v>694.06149452577642</v>
      </c>
      <c r="W27" s="28">
        <f>IF(W9=0,0,W9/TrRail_act!W15*1000)</f>
        <v>765.73718028681094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7057.3828841541135</v>
      </c>
      <c r="C29" s="110">
        <f>IF(C11=0,0,C11/TrRail_act!C17*1000)</f>
        <v>6541.1811802319444</v>
      </c>
      <c r="D29" s="110">
        <f>IF(D11=0,0,D11/TrRail_act!D17*1000)</f>
        <v>6503.539322988805</v>
      </c>
      <c r="E29" s="110">
        <f>IF(E11=0,0,E11/TrRail_act!E17*1000)</f>
        <v>5901.8918928706134</v>
      </c>
      <c r="F29" s="110">
        <f>IF(F11=0,0,F11/TrRail_act!F17*1000)</f>
        <v>5815.0963592340186</v>
      </c>
      <c r="G29" s="110">
        <f>IF(G11=0,0,G11/TrRail_act!G17*1000)</f>
        <v>5400.7014762363015</v>
      </c>
      <c r="H29" s="110">
        <f>IF(H11=0,0,H11/TrRail_act!H17*1000)</f>
        <v>5227.1437989484157</v>
      </c>
      <c r="I29" s="110">
        <f>IF(I11=0,0,I11/TrRail_act!I17*1000)</f>
        <v>5190.8658306426723</v>
      </c>
      <c r="J29" s="110">
        <f>IF(J11=0,0,J11/TrRail_act!J17*1000)</f>
        <v>4797.6794941797489</v>
      </c>
      <c r="K29" s="110">
        <f>IF(K11=0,0,K11/TrRail_act!K17*1000)</f>
        <v>4464.6873839320642</v>
      </c>
      <c r="L29" s="110">
        <f>IF(L11=0,0,L11/TrRail_act!L17*1000)</f>
        <v>4566.8846243839535</v>
      </c>
      <c r="M29" s="110">
        <f>IF(M11=0,0,M11/TrRail_act!M17*1000)</f>
        <v>4418.6988655919686</v>
      </c>
      <c r="N29" s="110">
        <f>IF(N11=0,0,N11/TrRail_act!N17*1000)</f>
        <v>4213.2762540785379</v>
      </c>
      <c r="O29" s="110">
        <f>IF(O11=0,0,O11/TrRail_act!O17*1000)</f>
        <v>4235.4180020192061</v>
      </c>
      <c r="P29" s="110">
        <f>IF(P11=0,0,P11/TrRail_act!P17*1000)</f>
        <v>3883.550508216696</v>
      </c>
      <c r="Q29" s="110">
        <f>IF(Q11=0,0,Q11/TrRail_act!Q17*1000)</f>
        <v>1910.6952736824478</v>
      </c>
      <c r="R29" s="110">
        <f>IF(R11=0,0,R11/TrRail_act!R17*1000)</f>
        <v>1781.8031288779166</v>
      </c>
      <c r="S29" s="110">
        <f>IF(S11=0,0,S11/TrRail_act!S17*1000)</f>
        <v>1792.1433368993924</v>
      </c>
      <c r="T29" s="110">
        <f>IF(T11=0,0,T11/TrRail_act!T17*1000)</f>
        <v>1563.974500148719</v>
      </c>
      <c r="U29" s="110">
        <f>IF(U11=0,0,U11/TrRail_act!U17*1000)</f>
        <v>1513.3398349180036</v>
      </c>
      <c r="V29" s="110">
        <f>IF(V11=0,0,V11/TrRail_act!V17*1000)</f>
        <v>1314.1942512176092</v>
      </c>
      <c r="W29" s="110">
        <f>IF(W11=0,0,W11/TrRail_act!W17*1000)</f>
        <v>964.16434705801737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8865.5864567340086</v>
      </c>
      <c r="C30" s="84">
        <f>IF(C12=0,0,C12/TrRail_act!C18*1000)</f>
        <v>8219.1452721535334</v>
      </c>
      <c r="D30" s="84">
        <f>IF(D12=0,0,D12/TrRail_act!D18*1000)</f>
        <v>7930.0492002728279</v>
      </c>
      <c r="E30" s="84">
        <f>IF(E12=0,0,E12/TrRail_act!E18*1000)</f>
        <v>7351.1562622647871</v>
      </c>
      <c r="F30" s="84">
        <f>IF(F12=0,0,F12/TrRail_act!F18*1000)</f>
        <v>7245.462054517493</v>
      </c>
      <c r="G30" s="84">
        <f>IF(G12=0,0,G12/TrRail_act!G18*1000)</f>
        <v>6779.10475082222</v>
      </c>
      <c r="H30" s="84">
        <f>IF(H12=0,0,H12/TrRail_act!H18*1000)</f>
        <v>6562.690463990788</v>
      </c>
      <c r="I30" s="84">
        <f>IF(I12=0,0,I12/TrRail_act!I18*1000)</f>
        <v>6528.538136316949</v>
      </c>
      <c r="J30" s="84">
        <f>IF(J12=0,0,J12/TrRail_act!J18*1000)</f>
        <v>6361.104270660041</v>
      </c>
      <c r="K30" s="84">
        <f>IF(K12=0,0,K12/TrRail_act!K18*1000)</f>
        <v>6273.8006382069434</v>
      </c>
      <c r="L30" s="84">
        <f>IF(L12=0,0,L12/TrRail_act!L18*1000)</f>
        <v>6122.2583604657166</v>
      </c>
      <c r="M30" s="84">
        <f>IF(M12=0,0,M12/TrRail_act!M18*1000)</f>
        <v>5894.2446463464421</v>
      </c>
      <c r="N30" s="84">
        <f>IF(N12=0,0,N12/TrRail_act!N18*1000)</f>
        <v>5772.5538846921681</v>
      </c>
      <c r="O30" s="84">
        <f>IF(O12=0,0,O12/TrRail_act!O18*1000)</f>
        <v>5690.3614694970038</v>
      </c>
      <c r="P30" s="84">
        <f>IF(P12=0,0,P12/TrRail_act!P18*1000)</f>
        <v>5409.0721682192288</v>
      </c>
      <c r="Q30" s="84">
        <f>IF(Q12=0,0,Q12/TrRail_act!Q18*1000)</f>
        <v>5365.3093373796019</v>
      </c>
      <c r="R30" s="84">
        <f>IF(R12=0,0,R12/TrRail_act!R18*1000)</f>
        <v>5258.8972109723018</v>
      </c>
      <c r="S30" s="84">
        <f>IF(S12=0,0,S12/TrRail_act!S18*1000)</f>
        <v>5240.7207967916929</v>
      </c>
      <c r="T30" s="84">
        <f>IF(T12=0,0,T12/TrRail_act!T18*1000)</f>
        <v>4998.2761020184935</v>
      </c>
      <c r="U30" s="84">
        <f>IF(U12=0,0,U12/TrRail_act!U18*1000)</f>
        <v>4924.5009935767584</v>
      </c>
      <c r="V30" s="84">
        <f>IF(V12=0,0,V12/TrRail_act!V18*1000)</f>
        <v>4810.2028540869351</v>
      </c>
      <c r="W30" s="84">
        <f>IF(W12=0,0,W12/TrRail_act!W18*1000)</f>
        <v>4765.4176121214578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15418.137930806497</v>
      </c>
      <c r="C33" s="28">
        <f>IF(C15=0,0,C15/TrRail_act!C21*1000)</f>
        <v>15331.273637993501</v>
      </c>
      <c r="D33" s="28">
        <f>IF(D15=0,0,D15/TrRail_act!D21*1000)</f>
        <v>15224.663550660724</v>
      </c>
      <c r="E33" s="28">
        <f>IF(E15=0,0,E15/TrRail_act!E21*1000)</f>
        <v>15120.92455214425</v>
      </c>
      <c r="F33" s="28">
        <f>IF(F15=0,0,F15/TrRail_act!F21*1000)</f>
        <v>15182.353471586683</v>
      </c>
      <c r="G33" s="28">
        <f>IF(G15=0,0,G15/TrRail_act!G21*1000)</f>
        <v>15000.852037272683</v>
      </c>
      <c r="H33" s="28">
        <f>IF(H15=0,0,H15/TrRail_act!H21*1000)</f>
        <v>14872.975223467049</v>
      </c>
      <c r="I33" s="28">
        <f>IF(I15=0,0,I15/TrRail_act!I21*1000)</f>
        <v>14947.703180756838</v>
      </c>
      <c r="J33" s="28">
        <f>IF(J15=0,0,J15/TrRail_act!J21*1000)</f>
        <v>14120.089396120669</v>
      </c>
      <c r="K33" s="28">
        <f>IF(K15=0,0,K15/TrRail_act!K21*1000)</f>
        <v>13985.952744144874</v>
      </c>
      <c r="L33" s="28">
        <f>IF(L15=0,0,L15/TrRail_act!L21*1000)</f>
        <v>13889.015414640555</v>
      </c>
      <c r="M33" s="28">
        <f>IF(M15=0,0,M15/TrRail_act!M21*1000)</f>
        <v>12904.1633841609</v>
      </c>
      <c r="N33" s="28">
        <f>IF(N15=0,0,N15/TrRail_act!N21*1000)</f>
        <v>13007.818192636405</v>
      </c>
      <c r="O33" s="28">
        <f>IF(O15=0,0,O15/TrRail_act!O21*1000)</f>
        <v>12989.133941751494</v>
      </c>
      <c r="P33" s="28">
        <f>IF(P15=0,0,P15/TrRail_act!P21*1000)</f>
        <v>12505.342898458377</v>
      </c>
      <c r="Q33" s="28">
        <f>IF(Q15=0,0,Q15/TrRail_act!Q21*1000)</f>
        <v>12404.166728343269</v>
      </c>
      <c r="R33" s="28">
        <f>IF(R15=0,0,R15/TrRail_act!R21*1000)</f>
        <v>12158.150389885837</v>
      </c>
      <c r="S33" s="28">
        <f>IF(S15=0,0,S15/TrRail_act!S21*1000)</f>
        <v>12116.127971821545</v>
      </c>
      <c r="T33" s="28">
        <f>IF(T15=0,0,T15/TrRail_act!T21*1000)</f>
        <v>11672.338584353525</v>
      </c>
      <c r="U33" s="28">
        <f>IF(U15=0,0,U15/TrRail_act!U21*1000)</f>
        <v>11587.065651339641</v>
      </c>
      <c r="V33" s="28">
        <f>IF(V15=0,0,V15/TrRail_act!V21*1000)</f>
        <v>11382.294887870536</v>
      </c>
      <c r="W33" s="28">
        <f>IF(W15=0,0,W15/TrRail_act!W21*1000)</f>
        <v>11324.233327850303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15418.137930806497</v>
      </c>
      <c r="C34" s="84">
        <f>IF(C16=0,0,C16/TrRail_act!C22*1000)</f>
        <v>15331.273637993501</v>
      </c>
      <c r="D34" s="84">
        <f>IF(D16=0,0,D16/TrRail_act!D22*1000)</f>
        <v>15224.663550660724</v>
      </c>
      <c r="E34" s="84">
        <f>IF(E16=0,0,E16/TrRail_act!E22*1000)</f>
        <v>15120.92455214425</v>
      </c>
      <c r="F34" s="84">
        <f>IF(F16=0,0,F16/TrRail_act!F22*1000)</f>
        <v>15182.353471586683</v>
      </c>
      <c r="G34" s="84">
        <f>IF(G16=0,0,G16/TrRail_act!G22*1000)</f>
        <v>15000.852037272683</v>
      </c>
      <c r="H34" s="84">
        <f>IF(H16=0,0,H16/TrRail_act!H22*1000)</f>
        <v>14872.975223467049</v>
      </c>
      <c r="I34" s="84">
        <f>IF(I16=0,0,I16/TrRail_act!I22*1000)</f>
        <v>14947.703180756838</v>
      </c>
      <c r="J34" s="84">
        <f>IF(J16=0,0,J16/TrRail_act!J22*1000)</f>
        <v>14120.089396120669</v>
      </c>
      <c r="K34" s="84">
        <f>IF(K16=0,0,K16/TrRail_act!K22*1000)</f>
        <v>13985.952744144874</v>
      </c>
      <c r="L34" s="84">
        <f>IF(L16=0,0,L16/TrRail_act!L22*1000)</f>
        <v>13889.015414640555</v>
      </c>
      <c r="M34" s="84">
        <f>IF(M16=0,0,M16/TrRail_act!M22*1000)</f>
        <v>12904.1633841609</v>
      </c>
      <c r="N34" s="84">
        <f>IF(N16=0,0,N16/TrRail_act!N22*1000)</f>
        <v>13007.818192636405</v>
      </c>
      <c r="O34" s="84">
        <f>IF(O16=0,0,O16/TrRail_act!O22*1000)</f>
        <v>12989.133941751494</v>
      </c>
      <c r="P34" s="84">
        <f>IF(P16=0,0,P16/TrRail_act!P22*1000)</f>
        <v>12505.342898458377</v>
      </c>
      <c r="Q34" s="84">
        <f>IF(Q16=0,0,Q16/TrRail_act!Q22*1000)</f>
        <v>12404.166728343269</v>
      </c>
      <c r="R34" s="84">
        <f>IF(R16=0,0,R16/TrRail_act!R22*1000)</f>
        <v>12158.150389885837</v>
      </c>
      <c r="S34" s="84">
        <f>IF(S16=0,0,S16/TrRail_act!S22*1000)</f>
        <v>12116.127971821545</v>
      </c>
      <c r="T34" s="84">
        <f>IF(T16=0,0,T16/TrRail_act!T22*1000)</f>
        <v>11672.338584353525</v>
      </c>
      <c r="U34" s="84">
        <f>IF(U16=0,0,U16/TrRail_act!U22*1000)</f>
        <v>11587.065651339641</v>
      </c>
      <c r="V34" s="84">
        <f>IF(V16=0,0,V16/TrRail_act!V22*1000)</f>
        <v>11382.294887870536</v>
      </c>
      <c r="W34" s="84">
        <f>IF(W16=0,0,W16/TrRail_act!W22*1000)</f>
        <v>11324.233327850303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39.038481266325327</v>
      </c>
      <c r="C38" s="29">
        <f>IF(C9=0,0,C9/TrRail_act!C4*1000)</f>
        <v>36.939879572263827</v>
      </c>
      <c r="D38" s="29">
        <f>IF(D9=0,0,D9/TrRail_act!D4*1000)</f>
        <v>37.503026691161203</v>
      </c>
      <c r="E38" s="29">
        <f>IF(E9=0,0,E9/TrRail_act!E4*1000)</f>
        <v>37.198050923908013</v>
      </c>
      <c r="F38" s="29">
        <f>IF(F9=0,0,F9/TrRail_act!F4*1000)</f>
        <v>35.080598385053641</v>
      </c>
      <c r="G38" s="29">
        <f>IF(G9=0,0,G9/TrRail_act!G4*1000)</f>
        <v>32.174181240226751</v>
      </c>
      <c r="H38" s="29">
        <f>IF(H9=0,0,H9/TrRail_act!H4*1000)</f>
        <v>28.308899630455812</v>
      </c>
      <c r="I38" s="29">
        <f>IF(I9=0,0,I9/TrRail_act!I4*1000)</f>
        <v>28.578410782228914</v>
      </c>
      <c r="J38" s="29">
        <f>IF(J9=0,0,J9/TrRail_act!J4*1000)</f>
        <v>28.077189946779992</v>
      </c>
      <c r="K38" s="29">
        <f>IF(K9=0,0,K9/TrRail_act!K4*1000)</f>
        <v>30.661000568519171</v>
      </c>
      <c r="L38" s="29">
        <f>IF(L9=0,0,L9/TrRail_act!L4*1000)</f>
        <v>21.164062055135261</v>
      </c>
      <c r="M38" s="29">
        <f>IF(M9=0,0,M9/TrRail_act!M4*1000)</f>
        <v>20.49852803474705</v>
      </c>
      <c r="N38" s="29">
        <f>IF(N9=0,0,N9/TrRail_act!N4*1000)</f>
        <v>20.118456529403247</v>
      </c>
      <c r="O38" s="29">
        <f>IF(O9=0,0,O9/TrRail_act!O4*1000)</f>
        <v>19.221769313463071</v>
      </c>
      <c r="P38" s="29">
        <f>IF(P9=0,0,P9/TrRail_act!P4*1000)</f>
        <v>17.565733096259052</v>
      </c>
      <c r="Q38" s="29">
        <f>IF(Q9=0,0,Q9/TrRail_act!Q4*1000)</f>
        <v>9.6616642222919236</v>
      </c>
      <c r="R38" s="29">
        <f>IF(R9=0,0,R9/TrRail_act!R4*1000)</f>
        <v>9.3797821710160427</v>
      </c>
      <c r="S38" s="29">
        <f>IF(S9=0,0,S9/TrRail_act!S4*1000)</f>
        <v>9.4856087157931377</v>
      </c>
      <c r="T38" s="29">
        <f>IF(T9=0,0,T9/TrRail_act!T4*1000)</f>
        <v>8.0477233479786818</v>
      </c>
      <c r="U38" s="29">
        <f>IF(U9=0,0,U9/TrRail_act!U4*1000)</f>
        <v>7.9291342075147178</v>
      </c>
      <c r="V38" s="29">
        <f>IF(V9=0,0,V9/TrRail_act!V4*1000)</f>
        <v>9.882426790244395</v>
      </c>
      <c r="W38" s="29">
        <f>IF(W9=0,0,W9/TrRail_act!W4*1000)</f>
        <v>12.312412237544583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53.600107775037166</v>
      </c>
      <c r="C40" s="116">
        <f>IF(C11=0,0,C11/TrRail_act!C6*1000)</f>
        <v>50.580427170690434</v>
      </c>
      <c r="D40" s="116">
        <f>IF(D11=0,0,D11/TrRail_act!D6*1000)</f>
        <v>50.840796667614512</v>
      </c>
      <c r="E40" s="116">
        <f>IF(E11=0,0,E11/TrRail_act!E6*1000)</f>
        <v>49.587637963918326</v>
      </c>
      <c r="F40" s="116">
        <f>IF(F11=0,0,F11/TrRail_act!F6*1000)</f>
        <v>46.557960412520934</v>
      </c>
      <c r="G40" s="116">
        <f>IF(G11=0,0,G11/TrRail_act!G6*1000)</f>
        <v>42.043584192093839</v>
      </c>
      <c r="H40" s="116">
        <f>IF(H11=0,0,H11/TrRail_act!H6*1000)</f>
        <v>36.327840468981478</v>
      </c>
      <c r="I40" s="116">
        <f>IF(I11=0,0,I11/TrRail_act!I6*1000)</f>
        <v>36.773819658855786</v>
      </c>
      <c r="J40" s="116">
        <f>IF(J11=0,0,J11/TrRail_act!J6*1000)</f>
        <v>35.784244317931183</v>
      </c>
      <c r="K40" s="116">
        <f>IF(K11=0,0,K11/TrRail_act!K6*1000)</f>
        <v>37.670400431108447</v>
      </c>
      <c r="L40" s="116">
        <f>IF(L11=0,0,L11/TrRail_act!L6*1000)</f>
        <v>31.574781282154039</v>
      </c>
      <c r="M40" s="116">
        <f>IF(M11=0,0,M11/TrRail_act!M6*1000)</f>
        <v>31.003338503937105</v>
      </c>
      <c r="N40" s="116">
        <f>IF(N11=0,0,N11/TrRail_act!N6*1000)</f>
        <v>30.005737929931669</v>
      </c>
      <c r="O40" s="116">
        <f>IF(O11=0,0,O11/TrRail_act!O6*1000)</f>
        <v>29.27275517383767</v>
      </c>
      <c r="P40" s="116">
        <f>IF(P11=0,0,P11/TrRail_act!P6*1000)</f>
        <v>28.05907654262834</v>
      </c>
      <c r="Q40" s="116">
        <f>IF(Q11=0,0,Q11/TrRail_act!Q6*1000)</f>
        <v>15.486337692168219</v>
      </c>
      <c r="R40" s="116">
        <f>IF(R11=0,0,R11/TrRail_act!R6*1000)</f>
        <v>14.802693596426463</v>
      </c>
      <c r="S40" s="116">
        <f>IF(S11=0,0,S11/TrRail_act!S6*1000)</f>
        <v>14.922947434005978</v>
      </c>
      <c r="T40" s="116">
        <f>IF(T11=0,0,T11/TrRail_act!T6*1000)</f>
        <v>12.641541813502032</v>
      </c>
      <c r="U40" s="116">
        <f>IF(U11=0,0,U11/TrRail_act!U6*1000)</f>
        <v>12.075356172875342</v>
      </c>
      <c r="V40" s="116">
        <f>IF(V11=0,0,V11/TrRail_act!V6*1000)</f>
        <v>14.707754972424334</v>
      </c>
      <c r="W40" s="116">
        <f>IF(W11=0,0,W11/TrRail_act!W6*1000)</f>
        <v>14.30804621217951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72.508941029828748</v>
      </c>
      <c r="C41" s="87">
        <f>IF(C12=0,0,C12/TrRail_act!C7*1000)</f>
        <v>69.609578590393085</v>
      </c>
      <c r="D41" s="87">
        <f>IF(D12=0,0,D12/TrRail_act!D7*1000)</f>
        <v>69.710512086340813</v>
      </c>
      <c r="E41" s="87">
        <f>IF(E12=0,0,E12/TrRail_act!E7*1000)</f>
        <v>70.321514653445007</v>
      </c>
      <c r="F41" s="87">
        <f>IF(F12=0,0,F12/TrRail_act!F7*1000)</f>
        <v>66.096329480598499</v>
      </c>
      <c r="G41" s="87">
        <f>IF(G12=0,0,G12/TrRail_act!G7*1000)</f>
        <v>60.440154931754257</v>
      </c>
      <c r="H41" s="87">
        <f>IF(H12=0,0,H12/TrRail_act!H7*1000)</f>
        <v>52.219374769560176</v>
      </c>
      <c r="I41" s="87">
        <f>IF(I12=0,0,I12/TrRail_act!I7*1000)</f>
        <v>52.773659114121514</v>
      </c>
      <c r="J41" s="87">
        <f>IF(J12=0,0,J12/TrRail_act!J7*1000)</f>
        <v>54.528481431054324</v>
      </c>
      <c r="K41" s="87">
        <f>IF(K12=0,0,K12/TrRail_act!K7*1000)</f>
        <v>60.107242156617488</v>
      </c>
      <c r="L41" s="87">
        <f>IF(L12=0,0,L12/TrRail_act!L7*1000)</f>
        <v>54.770573866145952</v>
      </c>
      <c r="M41" s="87">
        <f>IF(M12=0,0,M12/TrRail_act!M7*1000)</f>
        <v>54.195882626642174</v>
      </c>
      <c r="N41" s="87">
        <f>IF(N12=0,0,N12/TrRail_act!N7*1000)</f>
        <v>53.394477262410049</v>
      </c>
      <c r="O41" s="87">
        <f>IF(O12=0,0,O12/TrRail_act!O7*1000)</f>
        <v>51.688002662298544</v>
      </c>
      <c r="P41" s="87">
        <f>IF(P12=0,0,P12/TrRail_act!P7*1000)</f>
        <v>51.124152722331416</v>
      </c>
      <c r="Q41" s="87">
        <f>IF(Q12=0,0,Q12/TrRail_act!Q7*1000)</f>
        <v>51.157739023388132</v>
      </c>
      <c r="R41" s="87">
        <f>IF(R12=0,0,R12/TrRail_act!R7*1000)</f>
        <v>52.674360491851196</v>
      </c>
      <c r="S41" s="87">
        <f>IF(S12=0,0,S12/TrRail_act!S7*1000)</f>
        <v>51.8204997191404</v>
      </c>
      <c r="T41" s="87">
        <f>IF(T12=0,0,T12/TrRail_act!T7*1000)</f>
        <v>44.145221657161052</v>
      </c>
      <c r="U41" s="87">
        <f>IF(U12=0,0,U12/TrRail_act!U7*1000)</f>
        <v>41.914870391982916</v>
      </c>
      <c r="V41" s="87">
        <f>IF(V12=0,0,V12/TrRail_act!V7*1000)</f>
        <v>52.7158371423386</v>
      </c>
      <c r="W41" s="87">
        <f>IF(W12=0,0,W12/TrRail_act!W7*1000)</f>
        <v>51.549217932848123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12.49655345611183</v>
      </c>
      <c r="C44" s="29">
        <f>IF(C15=0,0,C15/TrRail_act!C10*1000)</f>
        <v>12.358271634519927</v>
      </c>
      <c r="D44" s="29">
        <f>IF(D15=0,0,D15/TrRail_act!D10*1000)</f>
        <v>12.155123749620154</v>
      </c>
      <c r="E44" s="29">
        <f>IF(E15=0,0,E15/TrRail_act!E10*1000)</f>
        <v>11.923969957755174</v>
      </c>
      <c r="F44" s="29">
        <f>IF(F15=0,0,F15/TrRail_act!F10*1000)</f>
        <v>11.851545879659906</v>
      </c>
      <c r="G44" s="29">
        <f>IF(G15=0,0,G15/TrRail_act!G10*1000)</f>
        <v>11.163408207352676</v>
      </c>
      <c r="H44" s="29">
        <f>IF(H15=0,0,H15/TrRail_act!H10*1000)</f>
        <v>11.340585663215752</v>
      </c>
      <c r="I44" s="29">
        <f>IF(I15=0,0,I15/TrRail_act!I10*1000)</f>
        <v>11.452482758292776</v>
      </c>
      <c r="J44" s="29">
        <f>IF(J15=0,0,J15/TrRail_act!J10*1000)</f>
        <v>10.822267351862864</v>
      </c>
      <c r="K44" s="29">
        <f>IF(K15=0,0,K15/TrRail_act!K10*1000)</f>
        <v>10.769760040455589</v>
      </c>
      <c r="L44" s="29">
        <f>IF(L15=0,0,L15/TrRail_act!L10*1000)</f>
        <v>10.734303053141851</v>
      </c>
      <c r="M44" s="29">
        <f>IF(M15=0,0,M15/TrRail_act!M10*1000)</f>
        <v>9.8208471479035069</v>
      </c>
      <c r="N44" s="29">
        <f>IF(N15=0,0,N15/TrRail_act!N10*1000)</f>
        <v>10.390907684832806</v>
      </c>
      <c r="O44" s="29">
        <f>IF(O15=0,0,O15/TrRail_act!O10*1000)</f>
        <v>10.364449275018586</v>
      </c>
      <c r="P44" s="29">
        <f>IF(P15=0,0,P15/TrRail_act!P10*1000)</f>
        <v>10.083256846178047</v>
      </c>
      <c r="Q44" s="29">
        <f>IF(Q15=0,0,Q15/TrRail_act!Q10*1000)</f>
        <v>10.341492876421281</v>
      </c>
      <c r="R44" s="29">
        <f>IF(R15=0,0,R15/TrRail_act!R10*1000)</f>
        <v>10.364977081817358</v>
      </c>
      <c r="S44" s="29">
        <f>IF(S15=0,0,S15/TrRail_act!S10*1000)</f>
        <v>10.229641585808745</v>
      </c>
      <c r="T44" s="29">
        <f>IF(T15=0,0,T15/TrRail_act!T10*1000)</f>
        <v>8.8328217004521363</v>
      </c>
      <c r="U44" s="29">
        <f>IF(U15=0,0,U15/TrRail_act!U10*1000)</f>
        <v>8.5434509714921845</v>
      </c>
      <c r="V44" s="29">
        <f>IF(V15=0,0,V15/TrRail_act!V10*1000)</f>
        <v>9.2962578313559039</v>
      </c>
      <c r="W44" s="29">
        <f>IF(W15=0,0,W15/TrRail_act!W10*1000)</f>
        <v>9.5696577653594677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12.49655345611183</v>
      </c>
      <c r="C45" s="87">
        <f>IF(C16=0,0,C16/TrRail_act!C11*1000)</f>
        <v>12.358271634519927</v>
      </c>
      <c r="D45" s="87">
        <f>IF(D16=0,0,D16/TrRail_act!D11*1000)</f>
        <v>12.155123749620154</v>
      </c>
      <c r="E45" s="87">
        <f>IF(E16=0,0,E16/TrRail_act!E11*1000)</f>
        <v>11.923969957755174</v>
      </c>
      <c r="F45" s="87">
        <f>IF(F16=0,0,F16/TrRail_act!F11*1000)</f>
        <v>11.851545879659906</v>
      </c>
      <c r="G45" s="87">
        <f>IF(G16=0,0,G16/TrRail_act!G11*1000)</f>
        <v>11.163408207352676</v>
      </c>
      <c r="H45" s="87">
        <f>IF(H16=0,0,H16/TrRail_act!H11*1000)</f>
        <v>11.340585663215752</v>
      </c>
      <c r="I45" s="87">
        <f>IF(I16=0,0,I16/TrRail_act!I11*1000)</f>
        <v>11.452482758292776</v>
      </c>
      <c r="J45" s="87">
        <f>IF(J16=0,0,J16/TrRail_act!J11*1000)</f>
        <v>10.822267351862864</v>
      </c>
      <c r="K45" s="87">
        <f>IF(K16=0,0,K16/TrRail_act!K11*1000)</f>
        <v>10.769760040455589</v>
      </c>
      <c r="L45" s="87">
        <f>IF(L16=0,0,L16/TrRail_act!L11*1000)</f>
        <v>10.734303053141851</v>
      </c>
      <c r="M45" s="87">
        <f>IF(M16=0,0,M16/TrRail_act!M11*1000)</f>
        <v>9.8208471479035069</v>
      </c>
      <c r="N45" s="87">
        <f>IF(N16=0,0,N16/TrRail_act!N11*1000)</f>
        <v>10.390907684832806</v>
      </c>
      <c r="O45" s="87">
        <f>IF(O16=0,0,O16/TrRail_act!O11*1000)</f>
        <v>10.364449275018586</v>
      </c>
      <c r="P45" s="87">
        <f>IF(P16=0,0,P16/TrRail_act!P11*1000)</f>
        <v>10.083256846178047</v>
      </c>
      <c r="Q45" s="87">
        <f>IF(Q16=0,0,Q16/TrRail_act!Q11*1000)</f>
        <v>10.341492876421281</v>
      </c>
      <c r="R45" s="87">
        <f>IF(R16=0,0,R16/TrRail_act!R11*1000)</f>
        <v>10.364977081817358</v>
      </c>
      <c r="S45" s="87">
        <f>IF(S16=0,0,S16/TrRail_act!S11*1000)</f>
        <v>10.229641585808745</v>
      </c>
      <c r="T45" s="87">
        <f>IF(T16=0,0,T16/TrRail_act!T11*1000)</f>
        <v>8.8328217004521363</v>
      </c>
      <c r="U45" s="87">
        <f>IF(U16=0,0,U16/TrRail_act!U11*1000)</f>
        <v>8.5434509714921845</v>
      </c>
      <c r="V45" s="87">
        <f>IF(V16=0,0,V16/TrRail_act!V11*1000)</f>
        <v>9.2962578313559039</v>
      </c>
      <c r="W45" s="87">
        <f>IF(W16=0,0,W16/TrRail_act!W11*1000)</f>
        <v>9.5696577653594677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1629.885186281492</v>
      </c>
      <c r="C48" s="62">
        <f>IF(C8=0,0,1000000*C8/TrRail_act!C25/1000)</f>
        <v>1655.969515727407</v>
      </c>
      <c r="D48" s="62">
        <f>IF(D8=0,0,1000000*D8/TrRail_act!D25/1000)</f>
        <v>1673.0601648180009</v>
      </c>
      <c r="E48" s="62">
        <f>IF(E8=0,0,1000000*E8/TrRail_act!E25/1000)</f>
        <v>1737.5308241043342</v>
      </c>
      <c r="F48" s="62">
        <f>IF(F8=0,0,1000000*F8/TrRail_act!F25/1000)</f>
        <v>1745.5584784117239</v>
      </c>
      <c r="G48" s="62">
        <f>IF(G8=0,0,1000000*G8/TrRail_act!G25/1000)</f>
        <v>1694.6471743427364</v>
      </c>
      <c r="H48" s="62">
        <f>IF(H8=0,0,1000000*H8/TrRail_act!H25/1000)</f>
        <v>1550.3261206841441</v>
      </c>
      <c r="I48" s="62">
        <f>IF(I8=0,0,1000000*I8/TrRail_act!I25/1000)</f>
        <v>1651.5524795497442</v>
      </c>
      <c r="J48" s="62">
        <f>IF(J8=0,0,1000000*J8/TrRail_act!J25/1000)</f>
        <v>1612.6893652441531</v>
      </c>
      <c r="K48" s="62">
        <f>IF(K8=0,0,1000000*K8/TrRail_act!K25/1000)</f>
        <v>1601.1567744742076</v>
      </c>
      <c r="L48" s="62">
        <f>IF(L8=0,0,1000000*L8/TrRail_act!L25/1000)</f>
        <v>1375.8760011262766</v>
      </c>
      <c r="M48" s="62">
        <f>IF(M8=0,0,1000000*M8/TrRail_act!M25/1000)</f>
        <v>1422.2471931758735</v>
      </c>
      <c r="N48" s="62">
        <f>IF(N8=0,0,1000000*N8/TrRail_act!N25/1000)</f>
        <v>1512.879475295746</v>
      </c>
      <c r="O48" s="62">
        <f>IF(O8=0,0,1000000*O8/TrRail_act!O25/1000)</f>
        <v>1389.3181563608466</v>
      </c>
      <c r="P48" s="62">
        <f>IF(P8=0,0,1000000*P8/TrRail_act!P25/1000)</f>
        <v>1367.023372895854</v>
      </c>
      <c r="Q48" s="62">
        <f>IF(Q8=0,0,1000000*Q8/TrRail_act!Q25/1000)</f>
        <v>1253.4569809120383</v>
      </c>
      <c r="R48" s="62">
        <f>IF(R8=0,0,1000000*R8/TrRail_act!R25/1000)</f>
        <v>1127.5195678964658</v>
      </c>
      <c r="S48" s="62">
        <f>IF(S8=0,0,1000000*S8/TrRail_act!S25/1000)</f>
        <v>1112.7342852463869</v>
      </c>
      <c r="T48" s="62">
        <f>IF(T8=0,0,1000000*T8/TrRail_act!T25/1000)</f>
        <v>1139.2747246674714</v>
      </c>
      <c r="U48" s="62">
        <f>IF(U8=0,0,1000000*U8/TrRail_act!U25/1000)</f>
        <v>989.01829922195145</v>
      </c>
      <c r="V48" s="62">
        <f>IF(V8=0,0,1000000*V8/TrRail_act!V25/1000)</f>
        <v>637.79700926043449</v>
      </c>
      <c r="W48" s="62">
        <f>IF(W8=0,0,1000000*W8/TrRail_act!W25/1000)</f>
        <v>624.15629411181351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535.07668226752219</v>
      </c>
      <c r="C49" s="29">
        <f>IF(C9=0,0,1000000*C9/TrRail_act!C26/1000)</f>
        <v>508.4226917782899</v>
      </c>
      <c r="D49" s="29">
        <f>IF(D9=0,0,1000000*D9/TrRail_act!D26/1000)</f>
        <v>527.01388737869013</v>
      </c>
      <c r="E49" s="29">
        <f>IF(E9=0,0,1000000*E9/TrRail_act!E26/1000)</f>
        <v>509.44505420574598</v>
      </c>
      <c r="F49" s="29">
        <f>IF(F9=0,0,1000000*F9/TrRail_act!F26/1000)</f>
        <v>498.75835254762677</v>
      </c>
      <c r="G49" s="29">
        <f>IF(G9=0,0,1000000*G9/TrRail_act!G26/1000)</f>
        <v>474.60831275011145</v>
      </c>
      <c r="H49" s="29">
        <f>IF(H9=0,0,1000000*H9/TrRail_act!H26/1000)</f>
        <v>459.10150804946915</v>
      </c>
      <c r="I49" s="29">
        <f>IF(I9=0,0,1000000*I9/TrRail_act!I26/1000)</f>
        <v>456.48677238893754</v>
      </c>
      <c r="J49" s="29">
        <f>IF(J9=0,0,1000000*J9/TrRail_act!J26/1000)</f>
        <v>435.93348818812285</v>
      </c>
      <c r="K49" s="29">
        <f>IF(K9=0,0,1000000*K9/TrRail_act!K26/1000)</f>
        <v>394.35580785814176</v>
      </c>
      <c r="L49" s="29">
        <f>IF(L9=0,0,1000000*L9/TrRail_act!L26/1000)</f>
        <v>277.44149220222675</v>
      </c>
      <c r="M49" s="29">
        <f>IF(M9=0,0,1000000*M9/TrRail_act!M26/1000)</f>
        <v>275.97325866741966</v>
      </c>
      <c r="N49" s="29">
        <f>IF(N9=0,0,1000000*N9/TrRail_act!N26/1000)</f>
        <v>279.14771280652184</v>
      </c>
      <c r="O49" s="29">
        <f>IF(O9=0,0,1000000*O9/TrRail_act!O26/1000)</f>
        <v>267.30589032208582</v>
      </c>
      <c r="P49" s="29">
        <f>IF(P9=0,0,1000000*P9/TrRail_act!P26/1000)</f>
        <v>230.96036945300315</v>
      </c>
      <c r="Q49" s="29">
        <f>IF(Q9=0,0,1000000*Q9/TrRail_act!Q26/1000)</f>
        <v>108.18028141054066</v>
      </c>
      <c r="R49" s="29">
        <f>IF(R9=0,0,1000000*R9/TrRail_act!R26/1000)</f>
        <v>107.83534686125607</v>
      </c>
      <c r="S49" s="29">
        <f>IF(S9=0,0,1000000*S9/TrRail_act!S26/1000)</f>
        <v>114.03017061360863</v>
      </c>
      <c r="T49" s="29">
        <f>IF(T9=0,0,1000000*T9/TrRail_act!T26/1000)</f>
        <v>101.37551096447133</v>
      </c>
      <c r="U49" s="29">
        <f>IF(U9=0,0,1000000*U9/TrRail_act!U26/1000)</f>
        <v>102.96161936425136</v>
      </c>
      <c r="V49" s="29">
        <f>IF(V9=0,0,1000000*V9/TrRail_act!V26/1000)</f>
        <v>87.984955461846496</v>
      </c>
      <c r="W49" s="29">
        <f>IF(W9=0,0,1000000*W9/TrRail_act!W26/1000)</f>
        <v>73.960893243174823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1058.6074108599073</v>
      </c>
      <c r="C51" s="116">
        <f>IF(C11=0,0,1000000*C11/TrRail_act!C28/1000)</f>
        <v>981.17715333316653</v>
      </c>
      <c r="D51" s="116">
        <f>IF(D11=0,0,1000000*D11/TrRail_act!D28/1000)</f>
        <v>975.53086403550469</v>
      </c>
      <c r="E51" s="116">
        <f>IF(E11=0,0,1000000*E11/TrRail_act!E28/1000)</f>
        <v>885.28376978602967</v>
      </c>
      <c r="F51" s="116">
        <f>IF(F11=0,0,1000000*F11/TrRail_act!F28/1000)</f>
        <v>872.26443318449196</v>
      </c>
      <c r="G51" s="116">
        <f>IF(G11=0,0,1000000*G11/TrRail_act!G28/1000)</f>
        <v>810.1052005320679</v>
      </c>
      <c r="H51" s="116">
        <f>IF(H11=0,0,1000000*H11/TrRail_act!H28/1000)</f>
        <v>784.07154240837133</v>
      </c>
      <c r="I51" s="116">
        <f>IF(I11=0,0,1000000*I11/TrRail_act!I28/1000)</f>
        <v>778.62986512652549</v>
      </c>
      <c r="J51" s="116">
        <f>IF(J11=0,0,1000000*J11/TrRail_act!J28/1000)</f>
        <v>719.65191976799736</v>
      </c>
      <c r="K51" s="116">
        <f>IF(K11=0,0,1000000*K11/TrRail_act!K28/1000)</f>
        <v>632.61491066941778</v>
      </c>
      <c r="L51" s="116">
        <f>IF(L11=0,0,1000000*L11/TrRail_act!L28/1000)</f>
        <v>571.75785562895805</v>
      </c>
      <c r="M51" s="116">
        <f>IF(M11=0,0,1000000*M11/TrRail_act!M28/1000)</f>
        <v>609.24852766189656</v>
      </c>
      <c r="N51" s="116">
        <f>IF(N11=0,0,1000000*N11/TrRail_act!N28/1000)</f>
        <v>618.86292166244925</v>
      </c>
      <c r="O51" s="116">
        <f>IF(O11=0,0,1000000*O11/TrRail_act!O28/1000)</f>
        <v>622.47712472401827</v>
      </c>
      <c r="P51" s="116">
        <f>IF(P11=0,0,1000000*P11/TrRail_act!P28/1000)</f>
        <v>582.53256132711908</v>
      </c>
      <c r="Q51" s="116">
        <f>IF(Q11=0,0,1000000*Q11/TrRail_act!Q28/1000)</f>
        <v>228.90247655936744</v>
      </c>
      <c r="R51" s="116">
        <f>IF(R11=0,0,1000000*R11/TrRail_act!R28/1000)</f>
        <v>228.13456371894529</v>
      </c>
      <c r="S51" s="116">
        <f>IF(S11=0,0,1000000*S11/TrRail_act!S28/1000)</f>
        <v>251.26585796712595</v>
      </c>
      <c r="T51" s="116">
        <f>IF(T11=0,0,1000000*T11/TrRail_act!T28/1000)</f>
        <v>233.05436567706906</v>
      </c>
      <c r="U51" s="116">
        <f>IF(U11=0,0,1000000*U11/TrRail_act!U28/1000)</f>
        <v>227.00096400066579</v>
      </c>
      <c r="V51" s="116">
        <f>IF(V11=0,0,1000000*V11/TrRail_act!V28/1000)</f>
        <v>193.61292177236587</v>
      </c>
      <c r="W51" s="116">
        <f>IF(W11=0,0,1000000*W11/TrRail_act!W28/1000)</f>
        <v>144.62464874183931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1329.837943213271</v>
      </c>
      <c r="C52" s="87">
        <f>IF(C12=0,0,1000000*C12/TrRail_act!C29/1000)</f>
        <v>1232.8717585090662</v>
      </c>
      <c r="D52" s="87">
        <f>IF(D12=0,0,1000000*D12/TrRail_act!D29/1000)</f>
        <v>1189.5073656303275</v>
      </c>
      <c r="E52" s="87">
        <f>IF(E12=0,0,1000000*E12/TrRail_act!E29/1000)</f>
        <v>1102.673428944029</v>
      </c>
      <c r="F52" s="87">
        <f>IF(F12=0,0,1000000*F12/TrRail_act!F29/1000)</f>
        <v>1086.8192924508983</v>
      </c>
      <c r="G52" s="87">
        <f>IF(G12=0,0,1000000*G12/TrRail_act!G29/1000)</f>
        <v>1016.8656972330172</v>
      </c>
      <c r="H52" s="87">
        <f>IF(H12=0,0,1000000*H12/TrRail_act!H29/1000)</f>
        <v>984.40354745609318</v>
      </c>
      <c r="I52" s="87">
        <f>IF(I12=0,0,1000000*I12/TrRail_act!I29/1000)</f>
        <v>979.28071008805557</v>
      </c>
      <c r="J52" s="87">
        <f>IF(J12=0,0,1000000*J12/TrRail_act!J29/1000)</f>
        <v>954.1656392134995</v>
      </c>
      <c r="K52" s="87">
        <f>IF(K12=0,0,1000000*K12/TrRail_act!K29/1000)</f>
        <v>869.44306664694102</v>
      </c>
      <c r="L52" s="87">
        <f>IF(L12=0,0,1000000*L12/TrRail_act!L29/1000)</f>
        <v>792.39659934627264</v>
      </c>
      <c r="M52" s="87">
        <f>IF(M12=0,0,1000000*M12/TrRail_act!M29/1000)</f>
        <v>852.90009500823248</v>
      </c>
      <c r="N52" s="87">
        <f>IF(N12=0,0,1000000*N12/TrRail_act!N29/1000)</f>
        <v>865.88306003241621</v>
      </c>
      <c r="O52" s="87">
        <f>IF(O12=0,0,1000000*O12/TrRail_act!O29/1000)</f>
        <v>853.55420686562036</v>
      </c>
      <c r="P52" s="87">
        <f>IF(P12=0,0,1000000*P12/TrRail_act!P29/1000)</f>
        <v>811.36080506962514</v>
      </c>
      <c r="Q52" s="87">
        <f>IF(Q12=0,0,1000000*Q12/TrRail_act!Q29/1000)</f>
        <v>471.23319294300001</v>
      </c>
      <c r="R52" s="87">
        <f>IF(R12=0,0,1000000*R12/TrRail_act!R29/1000)</f>
        <v>523.68563330630263</v>
      </c>
      <c r="S52" s="87">
        <f>IF(S12=0,0,1000000*S12/TrRail_act!S29/1000)</f>
        <v>652.74263818976556</v>
      </c>
      <c r="T52" s="87">
        <f>IF(T12=0,0,1000000*T12/TrRail_act!T29/1000)</f>
        <v>734.21799125724942</v>
      </c>
      <c r="U52" s="87">
        <f>IF(U12=0,0,1000000*U12/TrRail_act!U29/1000)</f>
        <v>738.67509749330804</v>
      </c>
      <c r="V52" s="87">
        <f>IF(V12=0,0,1000000*V12/TrRail_act!V29/1000)</f>
        <v>721.53034773692013</v>
      </c>
      <c r="W52" s="87">
        <f>IF(W12=0,0,1000000*W12/TrRail_act!W29/1000)</f>
        <v>714.81263968349697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3083.6275831305238</v>
      </c>
      <c r="C55" s="29">
        <f>IF(C15=0,0,1000000*C15/TrRail_act!C32/1000)</f>
        <v>3066.2546962881452</v>
      </c>
      <c r="D55" s="29">
        <f>IF(D15=0,0,1000000*D15/TrRail_act!D32/1000)</f>
        <v>3044.9326846453014</v>
      </c>
      <c r="E55" s="29">
        <f>IF(E15=0,0,1000000*E15/TrRail_act!E32/1000)</f>
        <v>3024.1848986434425</v>
      </c>
      <c r="F55" s="29">
        <f>IF(F15=0,0,1000000*F15/TrRail_act!F32/1000)</f>
        <v>3036.4706922449095</v>
      </c>
      <c r="G55" s="29">
        <f>IF(G15=0,0,1000000*G15/TrRail_act!G32/1000)</f>
        <v>3000.1704019819044</v>
      </c>
      <c r="H55" s="29">
        <f>IF(H15=0,0,1000000*H15/TrRail_act!H32/1000)</f>
        <v>2798.6387790179388</v>
      </c>
      <c r="I55" s="29">
        <f>IF(I15=0,0,1000000*I15/TrRail_act!I32/1000)</f>
        <v>2989.5406042332047</v>
      </c>
      <c r="J55" s="29">
        <f>IF(J15=0,0,1000000*J15/TrRail_act!J32/1000)</f>
        <v>2824.017844227461</v>
      </c>
      <c r="K55" s="29">
        <f>IF(K15=0,0,1000000*K15/TrRail_act!K32/1000)</f>
        <v>2797.1905383696821</v>
      </c>
      <c r="L55" s="29">
        <f>IF(L15=0,0,1000000*L15/TrRail_act!L32/1000)</f>
        <v>2764.6382096217599</v>
      </c>
      <c r="M55" s="29">
        <f>IF(M15=0,0,1000000*M15/TrRail_act!M32/1000)</f>
        <v>2580.8326721301892</v>
      </c>
      <c r="N55" s="29">
        <f>IF(N15=0,0,1000000*N15/TrRail_act!N32/1000)</f>
        <v>2601.563623769689</v>
      </c>
      <c r="O55" s="29">
        <f>IF(O15=0,0,1000000*O15/TrRail_act!O32/1000)</f>
        <v>2470.4163777393082</v>
      </c>
      <c r="P55" s="29">
        <f>IF(P15=0,0,1000000*P15/TrRail_act!P32/1000)</f>
        <v>2501.068557666666</v>
      </c>
      <c r="Q55" s="29">
        <f>IF(Q15=0,0,1000000*Q15/TrRail_act!Q32/1000)</f>
        <v>2480.8333414640474</v>
      </c>
      <c r="R55" s="29">
        <f>IF(R15=0,0,1000000*R15/TrRail_act!R32/1000)</f>
        <v>2240.9493538341726</v>
      </c>
      <c r="S55" s="29">
        <f>IF(S15=0,0,1000000*S15/TrRail_act!S32/1000)</f>
        <v>2257.8864695852862</v>
      </c>
      <c r="T55" s="29">
        <f>IF(T15=0,0,1000000*T15/TrRail_act!T32/1000)</f>
        <v>2334.4676898083421</v>
      </c>
      <c r="U55" s="29">
        <f>IF(U15=0,0,1000000*U15/TrRail_act!U32/1000)</f>
        <v>2063.6453906720981</v>
      </c>
      <c r="V55" s="29">
        <f>IF(V15=0,0,1000000*V15/TrRail_act!V32/1000)</f>
        <v>1306.2534149797104</v>
      </c>
      <c r="W55" s="29">
        <f>IF(W15=0,0,1000000*W15/TrRail_act!W32/1000)</f>
        <v>1371.8430776434757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3083.6275831305238</v>
      </c>
      <c r="C56" s="87">
        <f>IF(C16=0,0,1000000*C16/TrRail_act!C33/1000)</f>
        <v>3066.2546962881452</v>
      </c>
      <c r="D56" s="87">
        <f>IF(D16=0,0,1000000*D16/TrRail_act!D33/1000)</f>
        <v>3044.9326846453014</v>
      </c>
      <c r="E56" s="87">
        <f>IF(E16=0,0,1000000*E16/TrRail_act!E33/1000)</f>
        <v>3024.1848986434425</v>
      </c>
      <c r="F56" s="87">
        <f>IF(F16=0,0,1000000*F16/TrRail_act!F33/1000)</f>
        <v>3036.4706922449095</v>
      </c>
      <c r="G56" s="87">
        <f>IF(G16=0,0,1000000*G16/TrRail_act!G33/1000)</f>
        <v>3000.1704019819044</v>
      </c>
      <c r="H56" s="87">
        <f>IF(H16=0,0,1000000*H16/TrRail_act!H33/1000)</f>
        <v>2798.6387790179388</v>
      </c>
      <c r="I56" s="87">
        <f>IF(I16=0,0,1000000*I16/TrRail_act!I33/1000)</f>
        <v>2989.5406042332047</v>
      </c>
      <c r="J56" s="87">
        <f>IF(J16=0,0,1000000*J16/TrRail_act!J33/1000)</f>
        <v>2824.017844227461</v>
      </c>
      <c r="K56" s="87">
        <f>IF(K16=0,0,1000000*K16/TrRail_act!K33/1000)</f>
        <v>2797.1905383696821</v>
      </c>
      <c r="L56" s="87">
        <f>IF(L16=0,0,1000000*L16/TrRail_act!L33/1000)</f>
        <v>2764.6382096217599</v>
      </c>
      <c r="M56" s="87">
        <f>IF(M16=0,0,1000000*M16/TrRail_act!M33/1000)</f>
        <v>2580.8326721301892</v>
      </c>
      <c r="N56" s="87">
        <f>IF(N16=0,0,1000000*N16/TrRail_act!N33/1000)</f>
        <v>2601.563623769689</v>
      </c>
      <c r="O56" s="87">
        <f>IF(O16=0,0,1000000*O16/TrRail_act!O33/1000)</f>
        <v>2470.4163777393082</v>
      </c>
      <c r="P56" s="87">
        <f>IF(P16=0,0,1000000*P16/TrRail_act!P33/1000)</f>
        <v>2501.068557666666</v>
      </c>
      <c r="Q56" s="87">
        <f>IF(Q16=0,0,1000000*Q16/TrRail_act!Q33/1000)</f>
        <v>2480.8333414640474</v>
      </c>
      <c r="R56" s="87">
        <f>IF(R16=0,0,1000000*R16/TrRail_act!R33/1000)</f>
        <v>2240.9493538341726</v>
      </c>
      <c r="S56" s="87">
        <f>IF(S16=0,0,1000000*S16/TrRail_act!S33/1000)</f>
        <v>2257.8864695852862</v>
      </c>
      <c r="T56" s="87">
        <f>IF(T16=0,0,1000000*T16/TrRail_act!T33/1000)</f>
        <v>2334.4676898083421</v>
      </c>
      <c r="U56" s="87">
        <f>IF(U16=0,0,1000000*U16/TrRail_act!U33/1000)</f>
        <v>2063.6453906720981</v>
      </c>
      <c r="V56" s="87">
        <f>IF(V16=0,0,1000000*V16/TrRail_act!V33/1000)</f>
        <v>1306.2534149797104</v>
      </c>
      <c r="W56" s="87">
        <f>IF(W16=0,0,1000000*W16/TrRail_act!W33/1000)</f>
        <v>1371.8430776434757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0.18726350915838835</v>
      </c>
      <c r="C60" s="31">
        <f t="shared" ref="C60:V60" si="8">IF(C9=0,0,C9/C$8)</f>
        <v>0.16928072606813646</v>
      </c>
      <c r="D60" s="31">
        <f t="shared" si="8"/>
        <v>0.17162578526923744</v>
      </c>
      <c r="E60" s="31">
        <f t="shared" si="8"/>
        <v>0.15001461414502901</v>
      </c>
      <c r="F60" s="31">
        <f t="shared" si="8"/>
        <v>0.14534834709970951</v>
      </c>
      <c r="G60" s="31">
        <f t="shared" si="8"/>
        <v>0.14477134261950281</v>
      </c>
      <c r="H60" s="31">
        <f t="shared" si="8"/>
        <v>0.15800799460605242</v>
      </c>
      <c r="I60" s="31">
        <f t="shared" si="8"/>
        <v>0.14599690815532751</v>
      </c>
      <c r="J60" s="31">
        <f t="shared" si="8"/>
        <v>0.13711399183565159</v>
      </c>
      <c r="K60" s="31">
        <f t="shared" si="8"/>
        <v>0.12259532897764699</v>
      </c>
      <c r="L60" s="31">
        <f t="shared" si="8"/>
        <v>0.11259260572279654</v>
      </c>
      <c r="M60" s="31">
        <f t="shared" si="8"/>
        <v>9.7538384209860482E-2</v>
      </c>
      <c r="N60" s="31">
        <f t="shared" si="8"/>
        <v>8.6495127688240386E-2</v>
      </c>
      <c r="O60" s="31">
        <f t="shared" si="8"/>
        <v>9.4413846731136161E-2</v>
      </c>
      <c r="P60" s="31">
        <f t="shared" si="8"/>
        <v>8.4400560204566127E-2</v>
      </c>
      <c r="Q60" s="31">
        <f t="shared" si="8"/>
        <v>4.4645962435181187E-2</v>
      </c>
      <c r="R60" s="31">
        <f t="shared" si="8"/>
        <v>4.9921292332216746E-2</v>
      </c>
      <c r="S60" s="31">
        <f t="shared" si="8"/>
        <v>5.4738871378900579E-2</v>
      </c>
      <c r="T60" s="31">
        <f t="shared" si="8"/>
        <v>4.7625107774697438E-2</v>
      </c>
      <c r="U60" s="31">
        <f t="shared" si="8"/>
        <v>5.7058620571583035E-2</v>
      </c>
      <c r="V60" s="31">
        <f t="shared" si="8"/>
        <v>7.56930541288207E-2</v>
      </c>
      <c r="W60" s="31">
        <f t="shared" ref="W60" si="9">IF(W9=0,0,W9/W$8)</f>
        <v>6.8264234746822874E-2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0.18726350915838835</v>
      </c>
      <c r="C62" s="124">
        <f t="shared" ref="C62:V62" si="12">IF(C11=0,0,C11/C$8)</f>
        <v>0.16928072606813646</v>
      </c>
      <c r="D62" s="124">
        <f t="shared" si="12"/>
        <v>0.17162578526923744</v>
      </c>
      <c r="E62" s="124">
        <f t="shared" si="12"/>
        <v>0.15001461414502901</v>
      </c>
      <c r="F62" s="124">
        <f t="shared" si="12"/>
        <v>0.14534834709970951</v>
      </c>
      <c r="G62" s="124">
        <f t="shared" si="12"/>
        <v>0.14477134261950281</v>
      </c>
      <c r="H62" s="124">
        <f t="shared" si="12"/>
        <v>0.15800799460605242</v>
      </c>
      <c r="I62" s="124">
        <f t="shared" si="12"/>
        <v>0.14599690815532751</v>
      </c>
      <c r="J62" s="124">
        <f t="shared" si="12"/>
        <v>0.13711399183565159</v>
      </c>
      <c r="K62" s="124">
        <f t="shared" si="12"/>
        <v>0.12259532897764699</v>
      </c>
      <c r="L62" s="124">
        <f t="shared" si="12"/>
        <v>0.11259260572279654</v>
      </c>
      <c r="M62" s="124">
        <f t="shared" si="12"/>
        <v>9.7538384209860482E-2</v>
      </c>
      <c r="N62" s="124">
        <f t="shared" si="12"/>
        <v>8.6495127688240386E-2</v>
      </c>
      <c r="O62" s="124">
        <f t="shared" si="12"/>
        <v>9.4413846731136161E-2</v>
      </c>
      <c r="P62" s="124">
        <f t="shared" si="12"/>
        <v>8.4400560204566127E-2</v>
      </c>
      <c r="Q62" s="124">
        <f t="shared" si="12"/>
        <v>4.4645962435181187E-2</v>
      </c>
      <c r="R62" s="124">
        <f t="shared" si="12"/>
        <v>4.9921292332216746E-2</v>
      </c>
      <c r="S62" s="124">
        <f t="shared" si="12"/>
        <v>5.4738871378900579E-2</v>
      </c>
      <c r="T62" s="124">
        <f t="shared" si="12"/>
        <v>4.7625107774697438E-2</v>
      </c>
      <c r="U62" s="124">
        <f t="shared" si="12"/>
        <v>5.7058620571583035E-2</v>
      </c>
      <c r="V62" s="124">
        <f t="shared" si="12"/>
        <v>7.56930541288207E-2</v>
      </c>
      <c r="W62" s="124">
        <f t="shared" ref="W62" si="13">IF(W11=0,0,W11/W$8)</f>
        <v>6.8264234746822874E-2</v>
      </c>
      <c r="DA62" s="176"/>
    </row>
    <row r="63" spans="1:105" ht="11.45" customHeight="1" x14ac:dyDescent="0.25">
      <c r="A63" s="111" t="s">
        <v>92</v>
      </c>
      <c r="B63" s="125">
        <f t="shared" si="5"/>
        <v>0.18726350915838835</v>
      </c>
      <c r="C63" s="125">
        <f t="shared" ref="C63:V63" si="14">IF(C12=0,0,C12/C$8)</f>
        <v>0.16928072606813646</v>
      </c>
      <c r="D63" s="125">
        <f t="shared" si="14"/>
        <v>0.17162578526923744</v>
      </c>
      <c r="E63" s="125">
        <f t="shared" si="14"/>
        <v>0.15001461414502901</v>
      </c>
      <c r="F63" s="125">
        <f t="shared" si="14"/>
        <v>0.14534834709970951</v>
      </c>
      <c r="G63" s="125">
        <f t="shared" si="14"/>
        <v>0.14477134261950281</v>
      </c>
      <c r="H63" s="125">
        <f t="shared" si="14"/>
        <v>0.15800799460605242</v>
      </c>
      <c r="I63" s="125">
        <f t="shared" si="14"/>
        <v>0.14599690815532751</v>
      </c>
      <c r="J63" s="125">
        <f t="shared" si="14"/>
        <v>0.13711399183565159</v>
      </c>
      <c r="K63" s="125">
        <f t="shared" si="14"/>
        <v>0.12259532897764699</v>
      </c>
      <c r="L63" s="125">
        <f t="shared" si="14"/>
        <v>0.11259260572279654</v>
      </c>
      <c r="M63" s="125">
        <f t="shared" si="14"/>
        <v>9.7538384209860482E-2</v>
      </c>
      <c r="N63" s="125">
        <f t="shared" si="14"/>
        <v>8.6495127688240386E-2</v>
      </c>
      <c r="O63" s="125">
        <f t="shared" si="14"/>
        <v>9.4413846731136161E-2</v>
      </c>
      <c r="P63" s="125">
        <f t="shared" si="14"/>
        <v>8.4400560204566127E-2</v>
      </c>
      <c r="Q63" s="125">
        <f t="shared" si="14"/>
        <v>4.4645962435181187E-2</v>
      </c>
      <c r="R63" s="125">
        <f t="shared" si="14"/>
        <v>4.9921292332216746E-2</v>
      </c>
      <c r="S63" s="125">
        <f t="shared" si="14"/>
        <v>5.4738871378900579E-2</v>
      </c>
      <c r="T63" s="125">
        <f t="shared" si="14"/>
        <v>4.7625107774697438E-2</v>
      </c>
      <c r="U63" s="125">
        <f t="shared" si="14"/>
        <v>5.7058620571583035E-2</v>
      </c>
      <c r="V63" s="125">
        <f t="shared" si="14"/>
        <v>7.56930541288207E-2</v>
      </c>
      <c r="W63" s="125">
        <f t="shared" ref="W63" si="15">IF(W12=0,0,W12/W$8)</f>
        <v>6.8264234746822874E-2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0.81273649084161159</v>
      </c>
      <c r="C66" s="31">
        <f t="shared" ref="C66:V66" si="20">IF(C15=0,0,C15/C$8)</f>
        <v>0.83071927393186351</v>
      </c>
      <c r="D66" s="31">
        <f t="shared" si="20"/>
        <v>0.82837421473076256</v>
      </c>
      <c r="E66" s="31">
        <f t="shared" si="20"/>
        <v>0.84998538585497097</v>
      </c>
      <c r="F66" s="31">
        <f t="shared" si="20"/>
        <v>0.85465165290029044</v>
      </c>
      <c r="G66" s="31">
        <f t="shared" si="20"/>
        <v>0.85522865738049725</v>
      </c>
      <c r="H66" s="31">
        <f t="shared" si="20"/>
        <v>0.84199200539394758</v>
      </c>
      <c r="I66" s="31">
        <f t="shared" si="20"/>
        <v>0.85400309184467238</v>
      </c>
      <c r="J66" s="31">
        <f t="shared" si="20"/>
        <v>0.86288600816434846</v>
      </c>
      <c r="K66" s="31">
        <f t="shared" si="20"/>
        <v>0.87740467102235298</v>
      </c>
      <c r="L66" s="31">
        <f t="shared" si="20"/>
        <v>0.8874073942772035</v>
      </c>
      <c r="M66" s="31">
        <f t="shared" si="20"/>
        <v>0.9024616157901395</v>
      </c>
      <c r="N66" s="31">
        <f t="shared" si="20"/>
        <v>0.91350487231175959</v>
      </c>
      <c r="O66" s="31">
        <f t="shared" si="20"/>
        <v>0.90558615326886382</v>
      </c>
      <c r="P66" s="31">
        <f t="shared" si="20"/>
        <v>0.91559943979543379</v>
      </c>
      <c r="Q66" s="31">
        <f t="shared" si="20"/>
        <v>0.95535403756481874</v>
      </c>
      <c r="R66" s="31">
        <f t="shared" si="20"/>
        <v>0.95007870766778335</v>
      </c>
      <c r="S66" s="31">
        <f t="shared" si="20"/>
        <v>0.94526112862109934</v>
      </c>
      <c r="T66" s="31">
        <f t="shared" si="20"/>
        <v>0.95237489222530258</v>
      </c>
      <c r="U66" s="31">
        <f t="shared" si="20"/>
        <v>0.94294137942841694</v>
      </c>
      <c r="V66" s="31">
        <f t="shared" si="20"/>
        <v>0.92430694587117934</v>
      </c>
      <c r="W66" s="31">
        <f t="shared" ref="W66" si="21">IF(W15=0,0,W15/W$8)</f>
        <v>0.93173576525317703</v>
      </c>
      <c r="DA66" s="173"/>
    </row>
    <row r="67" spans="1:105" ht="11.45" customHeight="1" x14ac:dyDescent="0.25">
      <c r="A67" s="83" t="s">
        <v>92</v>
      </c>
      <c r="B67" s="125">
        <f t="shared" si="5"/>
        <v>0.81273649084161159</v>
      </c>
      <c r="C67" s="125">
        <f t="shared" ref="C67:V67" si="22">IF(C16=0,0,C16/C$8)</f>
        <v>0.83071927393186351</v>
      </c>
      <c r="D67" s="125">
        <f t="shared" si="22"/>
        <v>0.82837421473076256</v>
      </c>
      <c r="E67" s="125">
        <f t="shared" si="22"/>
        <v>0.84998538585497097</v>
      </c>
      <c r="F67" s="125">
        <f t="shared" si="22"/>
        <v>0.85465165290029044</v>
      </c>
      <c r="G67" s="125">
        <f t="shared" si="22"/>
        <v>0.85522865738049725</v>
      </c>
      <c r="H67" s="125">
        <f t="shared" si="22"/>
        <v>0.84199200539394758</v>
      </c>
      <c r="I67" s="125">
        <f t="shared" si="22"/>
        <v>0.85400309184467238</v>
      </c>
      <c r="J67" s="125">
        <f t="shared" si="22"/>
        <v>0.86288600816434846</v>
      </c>
      <c r="K67" s="125">
        <f t="shared" si="22"/>
        <v>0.87740467102235298</v>
      </c>
      <c r="L67" s="125">
        <f t="shared" si="22"/>
        <v>0.8874073942772035</v>
      </c>
      <c r="M67" s="125">
        <f t="shared" si="22"/>
        <v>0.9024616157901395</v>
      </c>
      <c r="N67" s="125">
        <f t="shared" si="22"/>
        <v>0.91350487231175959</v>
      </c>
      <c r="O67" s="125">
        <f t="shared" si="22"/>
        <v>0.90558615326886382</v>
      </c>
      <c r="P67" s="125">
        <f t="shared" si="22"/>
        <v>0.91559943979543379</v>
      </c>
      <c r="Q67" s="125">
        <f t="shared" si="22"/>
        <v>0.95535403756481874</v>
      </c>
      <c r="R67" s="125">
        <f t="shared" si="22"/>
        <v>0.95007870766778335</v>
      </c>
      <c r="S67" s="125">
        <f t="shared" si="22"/>
        <v>0.94526112862109934</v>
      </c>
      <c r="T67" s="125">
        <f t="shared" si="22"/>
        <v>0.95237489222530258</v>
      </c>
      <c r="U67" s="125">
        <f t="shared" si="22"/>
        <v>0.94294137942841694</v>
      </c>
      <c r="V67" s="125">
        <f t="shared" si="22"/>
        <v>0.92430694587117934</v>
      </c>
      <c r="W67" s="125">
        <f t="shared" ref="W67" si="23">IF(W16=0,0,W16/W$8)</f>
        <v>0.93173576525317703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495.86363725899787</v>
      </c>
      <c r="C4" s="11">
        <f t="shared" si="0"/>
        <v>509.73253136487256</v>
      </c>
      <c r="D4" s="11">
        <f t="shared" ref="D4:V4" si="1">SUM(D5:D7)</f>
        <v>539.32509744686422</v>
      </c>
      <c r="E4" s="11">
        <f t="shared" si="1"/>
        <v>787.06706665690604</v>
      </c>
      <c r="F4" s="11">
        <f t="shared" si="1"/>
        <v>957.21997859398834</v>
      </c>
      <c r="G4" s="11">
        <f t="shared" si="1"/>
        <v>1829.8971647784749</v>
      </c>
      <c r="H4" s="11">
        <f t="shared" si="1"/>
        <v>2237.3072990191199</v>
      </c>
      <c r="I4" s="11">
        <f t="shared" si="1"/>
        <v>2758.9272941463396</v>
      </c>
      <c r="J4" s="11">
        <f t="shared" si="1"/>
        <v>3029.6345819126682</v>
      </c>
      <c r="K4" s="11">
        <f t="shared" si="1"/>
        <v>2908.833604297507</v>
      </c>
      <c r="L4" s="11">
        <f t="shared" si="1"/>
        <v>3312.0251258525341</v>
      </c>
      <c r="M4" s="11">
        <f t="shared" si="1"/>
        <v>3335.7291204825779</v>
      </c>
      <c r="N4" s="11">
        <f t="shared" si="1"/>
        <v>3029.5297242023767</v>
      </c>
      <c r="O4" s="11">
        <f t="shared" si="1"/>
        <v>3085.1855638867046</v>
      </c>
      <c r="P4" s="11">
        <f t="shared" si="1"/>
        <v>3030.2632846458819</v>
      </c>
      <c r="Q4" s="11">
        <f t="shared" si="1"/>
        <v>3166.7265901727869</v>
      </c>
      <c r="R4" s="11">
        <f t="shared" si="1"/>
        <v>3295.9390664667458</v>
      </c>
      <c r="S4" s="11">
        <f t="shared" si="1"/>
        <v>3739.3120533577403</v>
      </c>
      <c r="T4" s="11">
        <f t="shared" si="1"/>
        <v>4355.534851435983</v>
      </c>
      <c r="U4" s="11">
        <f t="shared" si="1"/>
        <v>4777.550787140096</v>
      </c>
      <c r="V4" s="11">
        <f t="shared" si="1"/>
        <v>1252.7364667379111</v>
      </c>
      <c r="W4" s="11">
        <f t="shared" ref="W4" si="2">SUM(W5:W7)</f>
        <v>1650.9871458361613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354.80850054772617</v>
      </c>
      <c r="C6" s="84">
        <v>365.22427881128522</v>
      </c>
      <c r="D6" s="84">
        <v>385.46013974655398</v>
      </c>
      <c r="E6" s="84">
        <v>558.97173196511358</v>
      </c>
      <c r="F6" s="84">
        <v>675.79877985746759</v>
      </c>
      <c r="G6" s="84">
        <v>1298.5428813655128</v>
      </c>
      <c r="H6" s="84">
        <v>1592.021966298166</v>
      </c>
      <c r="I6" s="84">
        <v>1829.0155774406714</v>
      </c>
      <c r="J6" s="84">
        <v>1942.8241157909713</v>
      </c>
      <c r="K6" s="84">
        <v>1998.2417106481166</v>
      </c>
      <c r="L6" s="84">
        <v>2307.858205700396</v>
      </c>
      <c r="M6" s="84">
        <v>2375.6739506522335</v>
      </c>
      <c r="N6" s="84">
        <v>2148.0815547492448</v>
      </c>
      <c r="O6" s="84">
        <v>2153.9829300204879</v>
      </c>
      <c r="P6" s="84">
        <v>2239.2361023474505</v>
      </c>
      <c r="Q6" s="84">
        <v>2422.6075000477872</v>
      </c>
      <c r="R6" s="84">
        <v>2509.8339299749646</v>
      </c>
      <c r="S6" s="84">
        <v>2813.4449245902179</v>
      </c>
      <c r="T6" s="84">
        <v>3226.124405018692</v>
      </c>
      <c r="U6" s="84">
        <v>3448.8432648939329</v>
      </c>
      <c r="V6" s="84">
        <v>1009.3918668901097</v>
      </c>
      <c r="W6" s="84">
        <v>1256.5610620393427</v>
      </c>
      <c r="DA6" s="171" t="s">
        <v>191</v>
      </c>
    </row>
    <row r="7" spans="1:105" ht="11.45" customHeight="1" x14ac:dyDescent="0.25">
      <c r="A7" s="83" t="s">
        <v>174</v>
      </c>
      <c r="B7" s="84">
        <v>141.05513671127173</v>
      </c>
      <c r="C7" s="84">
        <v>144.50825255358734</v>
      </c>
      <c r="D7" s="84">
        <v>153.86495770031027</v>
      </c>
      <c r="E7" s="84">
        <v>228.09533469179243</v>
      </c>
      <c r="F7" s="84">
        <v>281.42119873652081</v>
      </c>
      <c r="G7" s="84">
        <v>531.3542834129621</v>
      </c>
      <c r="H7" s="84">
        <v>645.28533272095387</v>
      </c>
      <c r="I7" s="84">
        <v>929.91171670566814</v>
      </c>
      <c r="J7" s="84">
        <v>1086.8104661216967</v>
      </c>
      <c r="K7" s="84">
        <v>910.59189364939016</v>
      </c>
      <c r="L7" s="84">
        <v>1004.1669201521379</v>
      </c>
      <c r="M7" s="84">
        <v>960.05516983034454</v>
      </c>
      <c r="N7" s="84">
        <v>881.44816945313198</v>
      </c>
      <c r="O7" s="84">
        <v>931.20263386621684</v>
      </c>
      <c r="P7" s="84">
        <v>791.02718229843128</v>
      </c>
      <c r="Q7" s="84">
        <v>744.11909012499996</v>
      </c>
      <c r="R7" s="84">
        <v>786.10513649178108</v>
      </c>
      <c r="S7" s="84">
        <v>925.86712876752244</v>
      </c>
      <c r="T7" s="84">
        <v>1129.410446417291</v>
      </c>
      <c r="U7" s="84">
        <v>1328.7075222461629</v>
      </c>
      <c r="V7" s="84">
        <v>243.34459984780139</v>
      </c>
      <c r="W7" s="84">
        <v>394.42608379681855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2.8227672943073312</v>
      </c>
      <c r="C8" s="13">
        <f t="shared" si="3"/>
        <v>3.1385834388353944</v>
      </c>
      <c r="D8" s="13">
        <f t="shared" ref="D8:V8" si="4">SUM(D9:D11)</f>
        <v>3.3563233650464888</v>
      </c>
      <c r="E8" s="13">
        <f t="shared" si="4"/>
        <v>3.0462444031022038</v>
      </c>
      <c r="F8" s="13">
        <f t="shared" si="4"/>
        <v>3.2585915640969167</v>
      </c>
      <c r="G8" s="13">
        <f t="shared" si="4"/>
        <v>4.9546926353743013</v>
      </c>
      <c r="H8" s="13">
        <f t="shared" si="4"/>
        <v>5.6601558343600047</v>
      </c>
      <c r="I8" s="13">
        <f t="shared" si="4"/>
        <v>7.0678388946451509</v>
      </c>
      <c r="J8" s="13">
        <f t="shared" si="4"/>
        <v>9.0610383898104772</v>
      </c>
      <c r="K8" s="13">
        <f t="shared" si="4"/>
        <v>12.288309666051779</v>
      </c>
      <c r="L8" s="13">
        <f t="shared" si="4"/>
        <v>19.242455781107495</v>
      </c>
      <c r="M8" s="13">
        <f t="shared" si="4"/>
        <v>18.848001549845833</v>
      </c>
      <c r="N8" s="13">
        <f t="shared" si="4"/>
        <v>118.00979103726814</v>
      </c>
      <c r="O8" s="13">
        <f t="shared" si="4"/>
        <v>190.67812021277061</v>
      </c>
      <c r="P8" s="13">
        <f t="shared" si="4"/>
        <v>103.54161376917948</v>
      </c>
      <c r="Q8" s="13">
        <f t="shared" si="4"/>
        <v>33.206884892540856</v>
      </c>
      <c r="R8" s="13">
        <f t="shared" si="4"/>
        <v>28.795146726062335</v>
      </c>
      <c r="S8" s="13">
        <f t="shared" si="4"/>
        <v>29.18591368276828</v>
      </c>
      <c r="T8" s="13">
        <f t="shared" si="4"/>
        <v>26.809698139913507</v>
      </c>
      <c r="U8" s="13">
        <f t="shared" si="4"/>
        <v>49.760074299945764</v>
      </c>
      <c r="V8" s="13">
        <f t="shared" si="4"/>
        <v>30.481096130537168</v>
      </c>
      <c r="W8" s="13">
        <f t="shared" ref="W8" si="5">SUM(W9:W11)</f>
        <v>28.506317898284003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1.076904130745808</v>
      </c>
      <c r="C10" s="102">
        <v>1.04839850026475</v>
      </c>
      <c r="D10" s="102">
        <v>1.1355549302958019</v>
      </c>
      <c r="E10" s="102">
        <v>1.0280684802718685</v>
      </c>
      <c r="F10" s="102">
        <v>1.0819189949100645</v>
      </c>
      <c r="G10" s="102">
        <v>1.6358014006449226</v>
      </c>
      <c r="H10" s="102">
        <v>1.7194811086618274</v>
      </c>
      <c r="I10" s="102">
        <v>1.6791342812110746</v>
      </c>
      <c r="J10" s="102">
        <v>2.0622375873355265</v>
      </c>
      <c r="K10" s="102">
        <v>3.7678641721189332</v>
      </c>
      <c r="L10" s="102">
        <v>5.3005257419866201</v>
      </c>
      <c r="M10" s="102">
        <v>4.8254379534382021</v>
      </c>
      <c r="N10" s="102">
        <v>4.9366851965096927</v>
      </c>
      <c r="O10" s="102">
        <v>5.6457768701186914</v>
      </c>
      <c r="P10" s="102">
        <v>6.3978557454505021</v>
      </c>
      <c r="Q10" s="102">
        <v>5.7775198654861919</v>
      </c>
      <c r="R10" s="102">
        <v>5.7055395070641337</v>
      </c>
      <c r="S10" s="102">
        <v>5.7642923267207884</v>
      </c>
      <c r="T10" s="102">
        <v>5.960057321722835</v>
      </c>
      <c r="U10" s="102">
        <v>7.715565402280828</v>
      </c>
      <c r="V10" s="102">
        <v>5.4480258788944873</v>
      </c>
      <c r="W10" s="102">
        <v>8.496890526724231</v>
      </c>
      <c r="DA10" s="175" t="s">
        <v>195</v>
      </c>
    </row>
    <row r="11" spans="1:105" ht="11.45" customHeight="1" x14ac:dyDescent="0.25">
      <c r="A11" s="85" t="s">
        <v>174</v>
      </c>
      <c r="B11" s="86">
        <v>1.7458631635615229</v>
      </c>
      <c r="C11" s="86">
        <v>2.0901849385706441</v>
      </c>
      <c r="D11" s="86">
        <v>2.2207684347506871</v>
      </c>
      <c r="E11" s="86">
        <v>2.0181759228303351</v>
      </c>
      <c r="F11" s="86">
        <v>2.1766725691868523</v>
      </c>
      <c r="G11" s="86">
        <v>3.3188912347293784</v>
      </c>
      <c r="H11" s="86">
        <v>3.9406747256981776</v>
      </c>
      <c r="I11" s="86">
        <v>5.3887046134340766</v>
      </c>
      <c r="J11" s="86">
        <v>6.9988008024749515</v>
      </c>
      <c r="K11" s="86">
        <v>8.5204454939328453</v>
      </c>
      <c r="L11" s="86">
        <v>13.941930039120876</v>
      </c>
      <c r="M11" s="86">
        <v>14.022563596407631</v>
      </c>
      <c r="N11" s="86">
        <v>113.07310584075846</v>
      </c>
      <c r="O11" s="86">
        <v>185.03234334265193</v>
      </c>
      <c r="P11" s="86">
        <v>97.143758023728978</v>
      </c>
      <c r="Q11" s="86">
        <v>27.429365027054665</v>
      </c>
      <c r="R11" s="86">
        <v>23.0896072189982</v>
      </c>
      <c r="S11" s="86">
        <v>23.421621356047492</v>
      </c>
      <c r="T11" s="86">
        <v>20.849640818190672</v>
      </c>
      <c r="U11" s="86">
        <v>42.044508897664933</v>
      </c>
      <c r="V11" s="86">
        <v>25.03307025164268</v>
      </c>
      <c r="W11" s="86">
        <v>20.009427371559774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8.2172654538553296</v>
      </c>
      <c r="C13" s="54">
        <f t="shared" si="6"/>
        <v>8.2246535071163027</v>
      </c>
      <c r="D13" s="54">
        <f t="shared" ref="D13:V13" si="7">SUM(D14,D18)</f>
        <v>8.5538854545691798</v>
      </c>
      <c r="E13" s="54">
        <f t="shared" si="7"/>
        <v>12.332046512835708</v>
      </c>
      <c r="F13" s="54">
        <f t="shared" si="7"/>
        <v>14.874549053066863</v>
      </c>
      <c r="G13" s="54">
        <f t="shared" si="7"/>
        <v>21.926804777601184</v>
      </c>
      <c r="H13" s="54">
        <f t="shared" si="7"/>
        <v>25.507416076262217</v>
      </c>
      <c r="I13" s="54">
        <f t="shared" si="7"/>
        <v>30.597217624442663</v>
      </c>
      <c r="J13" s="54">
        <f t="shared" si="7"/>
        <v>34.648112088857452</v>
      </c>
      <c r="K13" s="54">
        <f t="shared" si="7"/>
        <v>32.945754383137775</v>
      </c>
      <c r="L13" s="54">
        <f t="shared" si="7"/>
        <v>37.713880230776233</v>
      </c>
      <c r="M13" s="54">
        <f t="shared" si="7"/>
        <v>36.376009600536229</v>
      </c>
      <c r="N13" s="54">
        <f t="shared" si="7"/>
        <v>33.909995157118487</v>
      </c>
      <c r="O13" s="54">
        <f t="shared" si="7"/>
        <v>35.51016621276036</v>
      </c>
      <c r="P13" s="54">
        <f t="shared" si="7"/>
        <v>33.770635483091823</v>
      </c>
      <c r="Q13" s="54">
        <f t="shared" si="7"/>
        <v>33.467411417301051</v>
      </c>
      <c r="R13" s="54">
        <f t="shared" si="7"/>
        <v>32.783602148548844</v>
      </c>
      <c r="S13" s="54">
        <f t="shared" si="7"/>
        <v>36.211529903973862</v>
      </c>
      <c r="T13" s="54">
        <f t="shared" si="7"/>
        <v>42.255459560194645</v>
      </c>
      <c r="U13" s="54">
        <f t="shared" si="7"/>
        <v>44.846808489967088</v>
      </c>
      <c r="V13" s="54">
        <f t="shared" si="7"/>
        <v>14.67329811152578</v>
      </c>
      <c r="W13" s="54">
        <f t="shared" ref="W13" si="8">SUM(W14,W18)</f>
        <v>19.777419653378175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8.1544261885499019</v>
      </c>
      <c r="C14" s="11">
        <f t="shared" si="9"/>
        <v>8.1622796272159146</v>
      </c>
      <c r="D14" s="11">
        <f t="shared" ref="D14:V14" si="10">SUM(D15:D17)</f>
        <v>8.4827988956346179</v>
      </c>
      <c r="E14" s="11">
        <f t="shared" si="10"/>
        <v>12.266088666129589</v>
      </c>
      <c r="F14" s="11">
        <f t="shared" si="10"/>
        <v>14.799338847317735</v>
      </c>
      <c r="G14" s="11">
        <f t="shared" si="10"/>
        <v>21.807002454071771</v>
      </c>
      <c r="H14" s="11">
        <f t="shared" si="10"/>
        <v>25.363912405241599</v>
      </c>
      <c r="I14" s="11">
        <f t="shared" si="10"/>
        <v>30.431412056401047</v>
      </c>
      <c r="J14" s="11">
        <f t="shared" si="10"/>
        <v>34.431870768637793</v>
      </c>
      <c r="K14" s="11">
        <f t="shared" si="10"/>
        <v>32.634648252913024</v>
      </c>
      <c r="L14" s="11">
        <f t="shared" si="10"/>
        <v>37.261692278067656</v>
      </c>
      <c r="M14" s="11">
        <f t="shared" si="10"/>
        <v>35.963293526341026</v>
      </c>
      <c r="N14" s="11">
        <f t="shared" si="10"/>
        <v>32.306761133182036</v>
      </c>
      <c r="O14" s="11">
        <f t="shared" si="10"/>
        <v>33.020432233535686</v>
      </c>
      <c r="P14" s="11">
        <f t="shared" si="10"/>
        <v>32.477477558872259</v>
      </c>
      <c r="Q14" s="11">
        <f t="shared" si="10"/>
        <v>32.943399181174833</v>
      </c>
      <c r="R14" s="11">
        <f t="shared" si="10"/>
        <v>32.350895563539865</v>
      </c>
      <c r="S14" s="11">
        <f t="shared" si="10"/>
        <v>35.748644553048507</v>
      </c>
      <c r="T14" s="11">
        <f t="shared" si="10"/>
        <v>41.802135176362654</v>
      </c>
      <c r="U14" s="11">
        <f t="shared" si="10"/>
        <v>44.125692356633756</v>
      </c>
      <c r="V14" s="11">
        <f t="shared" si="10"/>
        <v>14.0272241542148</v>
      </c>
      <c r="W14" s="11">
        <f t="shared" ref="W14" si="11">SUM(W15:W17)</f>
        <v>19.000070859774571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5.6325643741679015</v>
      </c>
      <c r="C16" s="84">
        <v>5.637342371596862</v>
      </c>
      <c r="D16" s="84">
        <v>5.8594475204299261</v>
      </c>
      <c r="E16" s="84">
        <v>8.4740696208454338</v>
      </c>
      <c r="F16" s="84">
        <v>10.223082286585518</v>
      </c>
      <c r="G16" s="84">
        <v>14.612298936697256</v>
      </c>
      <c r="H16" s="84">
        <v>16.409069550132234</v>
      </c>
      <c r="I16" s="84">
        <v>19.092341291554526</v>
      </c>
      <c r="J16" s="84">
        <v>21.951725569810137</v>
      </c>
      <c r="K16" s="84">
        <v>21.936411259608377</v>
      </c>
      <c r="L16" s="84">
        <v>26.17848027806766</v>
      </c>
      <c r="M16" s="84">
        <v>25.882878645158254</v>
      </c>
      <c r="N16" s="84">
        <v>23.497780835833826</v>
      </c>
      <c r="O16" s="84">
        <v>23.417281082536235</v>
      </c>
      <c r="P16" s="84">
        <v>23.915438350268357</v>
      </c>
      <c r="Q16" s="84">
        <v>25.346023640103361</v>
      </c>
      <c r="R16" s="84">
        <v>24.319309094221794</v>
      </c>
      <c r="S16" s="84">
        <v>26.418772998898181</v>
      </c>
      <c r="T16" s="84">
        <v>30.179574491021054</v>
      </c>
      <c r="U16" s="84">
        <v>31.069987970102648</v>
      </c>
      <c r="V16" s="84">
        <v>11.497516531008905</v>
      </c>
      <c r="W16" s="84">
        <v>15.149763462425584</v>
      </c>
      <c r="DA16" s="171" t="s">
        <v>200</v>
      </c>
    </row>
    <row r="17" spans="1:105" ht="11.45" customHeight="1" x14ac:dyDescent="0.25">
      <c r="A17" s="83" t="s">
        <v>174</v>
      </c>
      <c r="B17" s="84">
        <v>2.5218618143820013</v>
      </c>
      <c r="C17" s="84">
        <v>2.5249372556190521</v>
      </c>
      <c r="D17" s="84">
        <v>2.6233513752046917</v>
      </c>
      <c r="E17" s="84">
        <v>3.7920190452841553</v>
      </c>
      <c r="F17" s="84">
        <v>4.576256560732217</v>
      </c>
      <c r="G17" s="84">
        <v>7.1947035173745171</v>
      </c>
      <c r="H17" s="84">
        <v>8.9548428551093675</v>
      </c>
      <c r="I17" s="84">
        <v>11.339070764846522</v>
      </c>
      <c r="J17" s="84">
        <v>12.480145198827657</v>
      </c>
      <c r="K17" s="84">
        <v>10.698236993304645</v>
      </c>
      <c r="L17" s="84">
        <v>11.083212</v>
      </c>
      <c r="M17" s="84">
        <v>10.080414881182774</v>
      </c>
      <c r="N17" s="84">
        <v>8.8089802973482083</v>
      </c>
      <c r="O17" s="84">
        <v>9.6031511509994534</v>
      </c>
      <c r="P17" s="84">
        <v>8.5620392086039043</v>
      </c>
      <c r="Q17" s="84">
        <v>7.5973755410714707</v>
      </c>
      <c r="R17" s="84">
        <v>8.0315864693180679</v>
      </c>
      <c r="S17" s="84">
        <v>9.3298715541503299</v>
      </c>
      <c r="T17" s="84">
        <v>11.622560685341602</v>
      </c>
      <c r="U17" s="84">
        <v>13.05570438653111</v>
      </c>
      <c r="V17" s="84">
        <v>2.529707623205895</v>
      </c>
      <c r="W17" s="84">
        <v>3.8503073973489856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6.2839265305428285E-2</v>
      </c>
      <c r="C18" s="13">
        <f t="shared" si="12"/>
        <v>6.2373879900387452E-2</v>
      </c>
      <c r="D18" s="13">
        <f t="shared" ref="D18:V18" si="13">SUM(D19:D21)</f>
        <v>7.1086558934561755E-2</v>
      </c>
      <c r="E18" s="13">
        <f t="shared" si="13"/>
        <v>6.5957846706119219E-2</v>
      </c>
      <c r="F18" s="13">
        <f t="shared" si="13"/>
        <v>7.5210205749128498E-2</v>
      </c>
      <c r="G18" s="13">
        <f t="shared" si="13"/>
        <v>0.11980232352941175</v>
      </c>
      <c r="H18" s="13">
        <f t="shared" si="13"/>
        <v>0.14350367102061667</v>
      </c>
      <c r="I18" s="13">
        <f t="shared" si="13"/>
        <v>0.16580556804161561</v>
      </c>
      <c r="J18" s="13">
        <f t="shared" si="13"/>
        <v>0.21624132021965936</v>
      </c>
      <c r="K18" s="13">
        <f t="shared" si="13"/>
        <v>0.31110613022475303</v>
      </c>
      <c r="L18" s="13">
        <f t="shared" si="13"/>
        <v>0.45218795270858053</v>
      </c>
      <c r="M18" s="13">
        <f t="shared" si="13"/>
        <v>0.41271607419520029</v>
      </c>
      <c r="N18" s="13">
        <f t="shared" si="13"/>
        <v>1.6032340239364535</v>
      </c>
      <c r="O18" s="13">
        <f t="shared" si="13"/>
        <v>2.4897339792246762</v>
      </c>
      <c r="P18" s="13">
        <f t="shared" si="13"/>
        <v>1.2931579242195645</v>
      </c>
      <c r="Q18" s="13">
        <f t="shared" si="13"/>
        <v>0.52401223612622161</v>
      </c>
      <c r="R18" s="13">
        <f t="shared" si="13"/>
        <v>0.43270658500898018</v>
      </c>
      <c r="S18" s="13">
        <f t="shared" si="13"/>
        <v>0.46288535092535138</v>
      </c>
      <c r="T18" s="13">
        <f t="shared" si="13"/>
        <v>0.45332438383198825</v>
      </c>
      <c r="U18" s="13">
        <f t="shared" si="13"/>
        <v>0.72111613333333324</v>
      </c>
      <c r="V18" s="13">
        <f t="shared" si="13"/>
        <v>0.6460739573109795</v>
      </c>
      <c r="W18" s="13">
        <f t="shared" ref="W18" si="14">SUM(W19:W21)</f>
        <v>0.77734879360360276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4.1529257727150819E-2</v>
      </c>
      <c r="C20" s="102">
        <v>3.8019585525213208E-2</v>
      </c>
      <c r="D20" s="102">
        <v>4.3687977762490726E-2</v>
      </c>
      <c r="E20" s="102">
        <v>3.855926553404819E-2</v>
      </c>
      <c r="F20" s="102">
        <v>4.4767337780160683E-2</v>
      </c>
      <c r="G20" s="102">
        <v>7.0444823529411754E-2</v>
      </c>
      <c r="H20" s="102">
        <v>8.2879629173134725E-2</v>
      </c>
      <c r="I20" s="102">
        <v>8.1500568959496922E-2</v>
      </c>
      <c r="J20" s="102">
        <v>0.10449228506330972</v>
      </c>
      <c r="K20" s="102">
        <v>0.19047453752036303</v>
      </c>
      <c r="L20" s="102">
        <v>0.25803295270858051</v>
      </c>
      <c r="M20" s="102">
        <v>0.22446754344294589</v>
      </c>
      <c r="N20" s="102">
        <v>0.21580065044247784</v>
      </c>
      <c r="O20" s="102">
        <v>0.25675077497238158</v>
      </c>
      <c r="P20" s="102">
        <v>0.25489875924473254</v>
      </c>
      <c r="Q20" s="102">
        <v>0.22970624827771255</v>
      </c>
      <c r="R20" s="102">
        <v>0.20550555924331781</v>
      </c>
      <c r="S20" s="102">
        <v>0.22435984401190451</v>
      </c>
      <c r="T20" s="102">
        <v>0.23230551553930531</v>
      </c>
      <c r="U20" s="102">
        <v>0.28369213333333332</v>
      </c>
      <c r="V20" s="102">
        <v>0.24013130509709957</v>
      </c>
      <c r="W20" s="102">
        <v>0.41957077148645139</v>
      </c>
      <c r="DA20" s="175" t="s">
        <v>204</v>
      </c>
    </row>
    <row r="21" spans="1:105" ht="11.45" customHeight="1" x14ac:dyDescent="0.25">
      <c r="A21" s="85" t="s">
        <v>174</v>
      </c>
      <c r="B21" s="86">
        <v>2.131000757827747E-2</v>
      </c>
      <c r="C21" s="86">
        <v>2.4354294375174248E-2</v>
      </c>
      <c r="D21" s="86">
        <v>2.7398581172071029E-2</v>
      </c>
      <c r="E21" s="86">
        <v>2.7398581172071029E-2</v>
      </c>
      <c r="F21" s="86">
        <v>3.0442867968967811E-2</v>
      </c>
      <c r="G21" s="86">
        <v>4.9357499999999999E-2</v>
      </c>
      <c r="H21" s="86">
        <v>6.0624041847481963E-2</v>
      </c>
      <c r="I21" s="86">
        <v>8.4304999082118706E-2</v>
      </c>
      <c r="J21" s="86">
        <v>0.11174903515634965</v>
      </c>
      <c r="K21" s="86">
        <v>0.12063159270439</v>
      </c>
      <c r="L21" s="86">
        <v>0.19415500000000002</v>
      </c>
      <c r="M21" s="86">
        <v>0.18824853075225439</v>
      </c>
      <c r="N21" s="86">
        <v>1.3874333734939757</v>
      </c>
      <c r="O21" s="86">
        <v>2.2329832042522946</v>
      </c>
      <c r="P21" s="86">
        <v>1.0382591649748321</v>
      </c>
      <c r="Q21" s="86">
        <v>0.29430598784850903</v>
      </c>
      <c r="R21" s="86">
        <v>0.22720102576566237</v>
      </c>
      <c r="S21" s="86">
        <v>0.23852550691344687</v>
      </c>
      <c r="T21" s="86">
        <v>0.22101886829268294</v>
      </c>
      <c r="U21" s="86">
        <v>0.43742399999999992</v>
      </c>
      <c r="V21" s="86">
        <v>0.40594265221387987</v>
      </c>
      <c r="W21" s="86">
        <v>0.35777802211715143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6485</v>
      </c>
      <c r="C23" s="54">
        <f t="shared" si="15"/>
        <v>6488</v>
      </c>
      <c r="D23" s="54">
        <f t="shared" ref="D23:V23" si="16">SUM(D24,D28)</f>
        <v>6750</v>
      </c>
      <c r="E23" s="54">
        <f t="shared" si="16"/>
        <v>9723</v>
      </c>
      <c r="F23" s="54">
        <f t="shared" si="16"/>
        <v>11727</v>
      </c>
      <c r="G23" s="54">
        <f t="shared" si="16"/>
        <v>15250</v>
      </c>
      <c r="H23" s="54">
        <f t="shared" si="16"/>
        <v>17827</v>
      </c>
      <c r="I23" s="54">
        <f t="shared" si="16"/>
        <v>21597</v>
      </c>
      <c r="J23" s="54">
        <f t="shared" si="16"/>
        <v>26226</v>
      </c>
      <c r="K23" s="54">
        <f t="shared" si="16"/>
        <v>28972</v>
      </c>
      <c r="L23" s="54">
        <f t="shared" si="16"/>
        <v>33415</v>
      </c>
      <c r="M23" s="54">
        <f t="shared" si="16"/>
        <v>35219</v>
      </c>
      <c r="N23" s="54">
        <f t="shared" si="16"/>
        <v>32579</v>
      </c>
      <c r="O23" s="54">
        <f t="shared" si="16"/>
        <v>31865</v>
      </c>
      <c r="P23" s="54">
        <f t="shared" si="16"/>
        <v>30992</v>
      </c>
      <c r="Q23" s="54">
        <f t="shared" si="16"/>
        <v>31860</v>
      </c>
      <c r="R23" s="54">
        <f t="shared" si="16"/>
        <v>31531</v>
      </c>
      <c r="S23" s="54">
        <f t="shared" si="16"/>
        <v>34652</v>
      </c>
      <c r="T23" s="54">
        <f t="shared" si="16"/>
        <v>39101</v>
      </c>
      <c r="U23" s="54">
        <f t="shared" si="16"/>
        <v>40800</v>
      </c>
      <c r="V23" s="54">
        <f t="shared" si="16"/>
        <v>13405</v>
      </c>
      <c r="W23" s="54">
        <f t="shared" ref="W23" si="17">SUM(W24,W28)</f>
        <v>14878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6420</v>
      </c>
      <c r="C24" s="11">
        <f t="shared" si="18"/>
        <v>6426</v>
      </c>
      <c r="D24" s="11">
        <f t="shared" ref="D24:V24" si="19">SUM(D25:D27)</f>
        <v>6679</v>
      </c>
      <c r="E24" s="11">
        <f t="shared" si="19"/>
        <v>9659</v>
      </c>
      <c r="F24" s="11">
        <f t="shared" si="19"/>
        <v>11653</v>
      </c>
      <c r="G24" s="11">
        <f t="shared" si="19"/>
        <v>15151</v>
      </c>
      <c r="H24" s="11">
        <f t="shared" si="19"/>
        <v>17717</v>
      </c>
      <c r="I24" s="11">
        <f t="shared" si="19"/>
        <v>21493</v>
      </c>
      <c r="J24" s="11">
        <f t="shared" si="19"/>
        <v>26104</v>
      </c>
      <c r="K24" s="11">
        <f t="shared" si="19"/>
        <v>28776</v>
      </c>
      <c r="L24" s="11">
        <f t="shared" si="19"/>
        <v>33168</v>
      </c>
      <c r="M24" s="11">
        <f t="shared" si="19"/>
        <v>34980</v>
      </c>
      <c r="N24" s="11">
        <f t="shared" si="19"/>
        <v>32091</v>
      </c>
      <c r="O24" s="11">
        <f t="shared" si="19"/>
        <v>31110</v>
      </c>
      <c r="P24" s="11">
        <f t="shared" si="19"/>
        <v>30468</v>
      </c>
      <c r="Q24" s="11">
        <f t="shared" si="19"/>
        <v>31520</v>
      </c>
      <c r="R24" s="11">
        <f t="shared" si="19"/>
        <v>31200</v>
      </c>
      <c r="S24" s="11">
        <f t="shared" si="19"/>
        <v>34256</v>
      </c>
      <c r="T24" s="11">
        <f t="shared" si="19"/>
        <v>38675</v>
      </c>
      <c r="U24" s="11">
        <f t="shared" si="19"/>
        <v>40354</v>
      </c>
      <c r="V24" s="11">
        <f t="shared" si="19"/>
        <v>13007</v>
      </c>
      <c r="W24" s="11">
        <f t="shared" ref="W24" si="20">SUM(W25:W27)</f>
        <v>14371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5600</v>
      </c>
      <c r="C26" s="84">
        <v>5605</v>
      </c>
      <c r="D26" s="84">
        <v>5826</v>
      </c>
      <c r="E26" s="84">
        <v>8426</v>
      </c>
      <c r="F26" s="84">
        <v>10165</v>
      </c>
      <c r="G26" s="84">
        <v>12985</v>
      </c>
      <c r="H26" s="84">
        <v>14668</v>
      </c>
      <c r="I26" s="84">
        <v>17332</v>
      </c>
      <c r="J26" s="84">
        <v>21152</v>
      </c>
      <c r="K26" s="84">
        <v>23505</v>
      </c>
      <c r="L26" s="84">
        <v>26679</v>
      </c>
      <c r="M26" s="84">
        <v>27966</v>
      </c>
      <c r="N26" s="84">
        <v>25183</v>
      </c>
      <c r="O26" s="84">
        <v>23871</v>
      </c>
      <c r="P26" s="84">
        <v>23623</v>
      </c>
      <c r="Q26" s="84">
        <v>25226</v>
      </c>
      <c r="R26" s="84">
        <v>24276</v>
      </c>
      <c r="S26" s="84">
        <v>26393</v>
      </c>
      <c r="T26" s="84">
        <v>29192</v>
      </c>
      <c r="U26" s="84">
        <v>29706</v>
      </c>
      <c r="V26" s="84">
        <v>11096</v>
      </c>
      <c r="W26" s="84">
        <v>12234</v>
      </c>
      <c r="DA26" s="171" t="s">
        <v>209</v>
      </c>
    </row>
    <row r="27" spans="1:105" ht="11.45" customHeight="1" x14ac:dyDescent="0.25">
      <c r="A27" s="83" t="s">
        <v>174</v>
      </c>
      <c r="B27" s="84">
        <v>820</v>
      </c>
      <c r="C27" s="84">
        <v>821</v>
      </c>
      <c r="D27" s="84">
        <v>853</v>
      </c>
      <c r="E27" s="84">
        <v>1233</v>
      </c>
      <c r="F27" s="84">
        <v>1488</v>
      </c>
      <c r="G27" s="84">
        <v>2166</v>
      </c>
      <c r="H27" s="84">
        <v>3049</v>
      </c>
      <c r="I27" s="84">
        <v>4161</v>
      </c>
      <c r="J27" s="84">
        <v>4952</v>
      </c>
      <c r="K27" s="84">
        <v>5271</v>
      </c>
      <c r="L27" s="84">
        <v>6489</v>
      </c>
      <c r="M27" s="84">
        <v>7014</v>
      </c>
      <c r="N27" s="84">
        <v>6908</v>
      </c>
      <c r="O27" s="84">
        <v>7239</v>
      </c>
      <c r="P27" s="84">
        <v>6845</v>
      </c>
      <c r="Q27" s="84">
        <v>6294</v>
      </c>
      <c r="R27" s="84">
        <v>6924</v>
      </c>
      <c r="S27" s="84">
        <v>7863</v>
      </c>
      <c r="T27" s="84">
        <v>9483</v>
      </c>
      <c r="U27" s="84">
        <v>10648</v>
      </c>
      <c r="V27" s="84">
        <v>1911</v>
      </c>
      <c r="W27" s="84">
        <v>2137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65</v>
      </c>
      <c r="C28" s="13">
        <f t="shared" si="21"/>
        <v>62</v>
      </c>
      <c r="D28" s="13">
        <f t="shared" ref="D28:V28" si="22">SUM(D29:D31)</f>
        <v>71</v>
      </c>
      <c r="E28" s="13">
        <f t="shared" si="22"/>
        <v>64</v>
      </c>
      <c r="F28" s="13">
        <f t="shared" si="22"/>
        <v>74</v>
      </c>
      <c r="G28" s="13">
        <f t="shared" si="22"/>
        <v>99</v>
      </c>
      <c r="H28" s="13">
        <f t="shared" si="22"/>
        <v>110</v>
      </c>
      <c r="I28" s="13">
        <f t="shared" si="22"/>
        <v>104</v>
      </c>
      <c r="J28" s="13">
        <f t="shared" si="22"/>
        <v>122</v>
      </c>
      <c r="K28" s="13">
        <f t="shared" si="22"/>
        <v>196</v>
      </c>
      <c r="L28" s="13">
        <f t="shared" si="22"/>
        <v>247</v>
      </c>
      <c r="M28" s="13">
        <f t="shared" si="22"/>
        <v>239</v>
      </c>
      <c r="N28" s="13">
        <f t="shared" si="22"/>
        <v>488</v>
      </c>
      <c r="O28" s="13">
        <f t="shared" si="22"/>
        <v>755</v>
      </c>
      <c r="P28" s="13">
        <f t="shared" si="22"/>
        <v>524</v>
      </c>
      <c r="Q28" s="13">
        <f t="shared" si="22"/>
        <v>340</v>
      </c>
      <c r="R28" s="13">
        <f t="shared" si="22"/>
        <v>331</v>
      </c>
      <c r="S28" s="13">
        <f t="shared" si="22"/>
        <v>396</v>
      </c>
      <c r="T28" s="13">
        <f t="shared" si="22"/>
        <v>426</v>
      </c>
      <c r="U28" s="13">
        <f t="shared" si="22"/>
        <v>446</v>
      </c>
      <c r="V28" s="13">
        <f t="shared" si="22"/>
        <v>398</v>
      </c>
      <c r="W28" s="13">
        <f t="shared" ref="W28" si="23">SUM(W29:W31)</f>
        <v>507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58</v>
      </c>
      <c r="C30" s="102">
        <v>54</v>
      </c>
      <c r="D30" s="102">
        <v>62</v>
      </c>
      <c r="E30" s="102">
        <v>55</v>
      </c>
      <c r="F30" s="102">
        <v>64</v>
      </c>
      <c r="G30" s="102">
        <v>84</v>
      </c>
      <c r="H30" s="102">
        <v>93</v>
      </c>
      <c r="I30" s="102">
        <v>83</v>
      </c>
      <c r="J30" s="102">
        <v>97</v>
      </c>
      <c r="K30" s="102">
        <v>170</v>
      </c>
      <c r="L30" s="102">
        <v>208</v>
      </c>
      <c r="M30" s="102">
        <v>200</v>
      </c>
      <c r="N30" s="102">
        <v>198</v>
      </c>
      <c r="O30" s="102">
        <v>245</v>
      </c>
      <c r="P30" s="102">
        <v>254</v>
      </c>
      <c r="Q30" s="102">
        <v>252</v>
      </c>
      <c r="R30" s="102">
        <v>251</v>
      </c>
      <c r="S30" s="102">
        <v>297</v>
      </c>
      <c r="T30" s="102">
        <v>315</v>
      </c>
      <c r="U30" s="102">
        <v>348</v>
      </c>
      <c r="V30" s="102">
        <v>309</v>
      </c>
      <c r="W30" s="102">
        <v>436</v>
      </c>
      <c r="DA30" s="175" t="s">
        <v>213</v>
      </c>
    </row>
    <row r="31" spans="1:105" ht="11.45" customHeight="1" x14ac:dyDescent="0.25">
      <c r="A31" s="85" t="s">
        <v>174</v>
      </c>
      <c r="B31" s="86">
        <v>7</v>
      </c>
      <c r="C31" s="86">
        <v>8</v>
      </c>
      <c r="D31" s="86">
        <v>9</v>
      </c>
      <c r="E31" s="86">
        <v>9</v>
      </c>
      <c r="F31" s="86">
        <v>10</v>
      </c>
      <c r="G31" s="86">
        <v>15</v>
      </c>
      <c r="H31" s="86">
        <v>17</v>
      </c>
      <c r="I31" s="86">
        <v>21</v>
      </c>
      <c r="J31" s="86">
        <v>25</v>
      </c>
      <c r="K31" s="86">
        <v>26</v>
      </c>
      <c r="L31" s="86">
        <v>39</v>
      </c>
      <c r="M31" s="86">
        <v>39</v>
      </c>
      <c r="N31" s="86">
        <v>290</v>
      </c>
      <c r="O31" s="86">
        <v>510</v>
      </c>
      <c r="P31" s="86">
        <v>270</v>
      </c>
      <c r="Q31" s="86">
        <v>88</v>
      </c>
      <c r="R31" s="86">
        <v>80</v>
      </c>
      <c r="S31" s="86">
        <v>99</v>
      </c>
      <c r="T31" s="86">
        <v>111</v>
      </c>
      <c r="U31" s="86">
        <v>98</v>
      </c>
      <c r="V31" s="86">
        <v>89</v>
      </c>
      <c r="W31" s="86">
        <v>71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266503</v>
      </c>
      <c r="C34" s="11">
        <f t="shared" si="24"/>
        <v>273445</v>
      </c>
      <c r="D34" s="11">
        <f t="shared" ref="D34:V34" si="25">SUM(D35:D37)</f>
        <v>291382</v>
      </c>
      <c r="E34" s="11">
        <f t="shared" si="25"/>
        <v>431883</v>
      </c>
      <c r="F34" s="11">
        <f t="shared" si="25"/>
        <v>534444</v>
      </c>
      <c r="G34" s="11">
        <f t="shared" si="25"/>
        <v>953963</v>
      </c>
      <c r="H34" s="11">
        <f t="shared" si="25"/>
        <v>1262940</v>
      </c>
      <c r="I34" s="11">
        <f t="shared" si="25"/>
        <v>1590516</v>
      </c>
      <c r="J34" s="11">
        <f t="shared" si="25"/>
        <v>1853380</v>
      </c>
      <c r="K34" s="11">
        <f t="shared" si="25"/>
        <v>2063721</v>
      </c>
      <c r="L34" s="11">
        <f t="shared" si="25"/>
        <v>2359702</v>
      </c>
      <c r="M34" s="11">
        <f t="shared" si="25"/>
        <v>2575032</v>
      </c>
      <c r="N34" s="11">
        <f t="shared" si="25"/>
        <v>2401218</v>
      </c>
      <c r="O34" s="11">
        <f t="shared" si="25"/>
        <v>2414621</v>
      </c>
      <c r="P34" s="11">
        <f t="shared" si="25"/>
        <v>2418788</v>
      </c>
      <c r="Q34" s="11">
        <f t="shared" si="25"/>
        <v>2590415</v>
      </c>
      <c r="R34" s="11">
        <f t="shared" si="25"/>
        <v>2712262</v>
      </c>
      <c r="S34" s="11">
        <f t="shared" si="25"/>
        <v>3052877</v>
      </c>
      <c r="T34" s="11">
        <f t="shared" si="25"/>
        <v>3521987</v>
      </c>
      <c r="U34" s="11">
        <f t="shared" si="25"/>
        <v>3885943</v>
      </c>
      <c r="V34" s="11">
        <f t="shared" si="25"/>
        <v>993598</v>
      </c>
      <c r="W34" s="11">
        <f t="shared" ref="W34" si="26">SUM(W35:W37)</f>
        <v>1173376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230066</v>
      </c>
      <c r="C36" s="84">
        <v>236116</v>
      </c>
      <c r="D36" s="84">
        <v>251636</v>
      </c>
      <c r="E36" s="84">
        <v>372962</v>
      </c>
      <c r="F36" s="84">
        <v>461748</v>
      </c>
      <c r="G36" s="84">
        <v>826879</v>
      </c>
      <c r="H36" s="84">
        <v>1088393</v>
      </c>
      <c r="I36" s="84">
        <v>1319420</v>
      </c>
      <c r="J36" s="84">
        <v>1510789</v>
      </c>
      <c r="K36" s="84">
        <v>1707298</v>
      </c>
      <c r="L36" s="84">
        <v>1892635</v>
      </c>
      <c r="M36" s="84">
        <v>2041571</v>
      </c>
      <c r="N36" s="84">
        <v>1854197</v>
      </c>
      <c r="O36" s="84">
        <v>1864237</v>
      </c>
      <c r="P36" s="84">
        <v>1913107</v>
      </c>
      <c r="Q36" s="84">
        <v>2096521</v>
      </c>
      <c r="R36" s="84">
        <v>2170800</v>
      </c>
      <c r="S36" s="84">
        <v>2411148</v>
      </c>
      <c r="T36" s="84">
        <v>2719120</v>
      </c>
      <c r="U36" s="84">
        <v>2919634</v>
      </c>
      <c r="V36" s="84">
        <v>828885</v>
      </c>
      <c r="W36" s="84">
        <v>956140</v>
      </c>
      <c r="DA36" s="171" t="s">
        <v>217</v>
      </c>
    </row>
    <row r="37" spans="1:105" ht="11.45" customHeight="1" x14ac:dyDescent="0.25">
      <c r="A37" s="83" t="s">
        <v>174</v>
      </c>
      <c r="B37" s="84">
        <v>36437</v>
      </c>
      <c r="C37" s="84">
        <v>37329</v>
      </c>
      <c r="D37" s="84">
        <v>39746</v>
      </c>
      <c r="E37" s="84">
        <v>58921</v>
      </c>
      <c r="F37" s="84">
        <v>72696</v>
      </c>
      <c r="G37" s="84">
        <v>127084</v>
      </c>
      <c r="H37" s="84">
        <v>174547</v>
      </c>
      <c r="I37" s="84">
        <v>271096</v>
      </c>
      <c r="J37" s="84">
        <v>342591</v>
      </c>
      <c r="K37" s="84">
        <v>356423</v>
      </c>
      <c r="L37" s="84">
        <v>467067</v>
      </c>
      <c r="M37" s="84">
        <v>533461</v>
      </c>
      <c r="N37" s="84">
        <v>547021</v>
      </c>
      <c r="O37" s="84">
        <v>550384</v>
      </c>
      <c r="P37" s="84">
        <v>505681</v>
      </c>
      <c r="Q37" s="84">
        <v>493894</v>
      </c>
      <c r="R37" s="84">
        <v>541462</v>
      </c>
      <c r="S37" s="84">
        <v>641729</v>
      </c>
      <c r="T37" s="84">
        <v>802867</v>
      </c>
      <c r="U37" s="84">
        <v>966309</v>
      </c>
      <c r="V37" s="84">
        <v>164713</v>
      </c>
      <c r="W37" s="84">
        <v>217236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1297.3162434188039</v>
      </c>
      <c r="C38" s="13">
        <f t="shared" si="27"/>
        <v>1308.2775004698346</v>
      </c>
      <c r="D38" s="13">
        <f t="shared" ref="D38:V38" si="28">SUM(D39:D41)</f>
        <v>1486.3367360174632</v>
      </c>
      <c r="E38" s="13">
        <f t="shared" si="28"/>
        <v>1382.7017992339395</v>
      </c>
      <c r="F38" s="13">
        <f t="shared" si="28"/>
        <v>1506.4556183587561</v>
      </c>
      <c r="G38" s="13">
        <f t="shared" si="28"/>
        <v>1938.4451818598786</v>
      </c>
      <c r="H38" s="13">
        <f t="shared" si="28"/>
        <v>2068.4155523479194</v>
      </c>
      <c r="I38" s="13">
        <f t="shared" si="28"/>
        <v>2090.6450243669924</v>
      </c>
      <c r="J38" s="13">
        <f t="shared" si="28"/>
        <v>2447.5153038745439</v>
      </c>
      <c r="K38" s="13">
        <f t="shared" si="28"/>
        <v>3613.9175799210007</v>
      </c>
      <c r="L38" s="13">
        <f t="shared" si="28"/>
        <v>5048.2283023782711</v>
      </c>
      <c r="M38" s="13">
        <f t="shared" si="28"/>
        <v>5245.4943341057242</v>
      </c>
      <c r="N38" s="13">
        <f t="shared" si="28"/>
        <v>20296.065208237251</v>
      </c>
      <c r="O38" s="13">
        <f t="shared" si="28"/>
        <v>34319.367514768426</v>
      </c>
      <c r="P38" s="13">
        <f t="shared" si="28"/>
        <v>22477.306617442562</v>
      </c>
      <c r="Q38" s="13">
        <f t="shared" si="28"/>
        <v>10382.713408456875</v>
      </c>
      <c r="R38" s="13">
        <f t="shared" si="28"/>
        <v>11004.929720115184</v>
      </c>
      <c r="S38" s="13">
        <f t="shared" si="28"/>
        <v>12895.804415854705</v>
      </c>
      <c r="T38" s="13">
        <f t="shared" si="28"/>
        <v>14104.449958340461</v>
      </c>
      <c r="U38" s="13">
        <f t="shared" si="28"/>
        <v>14125.161152693068</v>
      </c>
      <c r="V38" s="13">
        <f t="shared" si="28"/>
        <v>9884.0479846628514</v>
      </c>
      <c r="W38" s="13">
        <f t="shared" ref="W38" si="29">SUM(W39:W41)</f>
        <v>11477.086128048659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932.41237652939606</v>
      </c>
      <c r="C40" s="102">
        <v>877.56695735375922</v>
      </c>
      <c r="D40" s="102">
        <v>1010.3454677984301</v>
      </c>
      <c r="E40" s="102">
        <v>944.2127898775135</v>
      </c>
      <c r="F40" s="102">
        <v>1025.8613421227985</v>
      </c>
      <c r="G40" s="102">
        <v>1275.2058458243325</v>
      </c>
      <c r="H40" s="102">
        <v>1300.6304394901365</v>
      </c>
      <c r="I40" s="102">
        <v>1141.7177162914088</v>
      </c>
      <c r="J40" s="102">
        <v>1324.6926200715388</v>
      </c>
      <c r="K40" s="102">
        <v>2316.5492501699132</v>
      </c>
      <c r="L40" s="102">
        <v>2999.5236669992091</v>
      </c>
      <c r="M40" s="102">
        <v>3097.9407074426263</v>
      </c>
      <c r="N40" s="102">
        <v>3259.4407789486418</v>
      </c>
      <c r="O40" s="102">
        <v>4052.8005778184306</v>
      </c>
      <c r="P40" s="102">
        <v>4622.2292645456846</v>
      </c>
      <c r="Q40" s="102">
        <v>4580.2929722808121</v>
      </c>
      <c r="R40" s="102">
        <v>5163.9514978157185</v>
      </c>
      <c r="S40" s="102">
        <v>5681.043941183143</v>
      </c>
      <c r="T40" s="102">
        <v>5988.472699249307</v>
      </c>
      <c r="U40" s="102">
        <v>6783.4390178694794</v>
      </c>
      <c r="V40" s="102">
        <v>5413.4218039702591</v>
      </c>
      <c r="W40" s="102">
        <v>7695.5433404012238</v>
      </c>
      <c r="DA40" s="175" t="s">
        <v>221</v>
      </c>
    </row>
    <row r="41" spans="1:105" ht="11.45" customHeight="1" x14ac:dyDescent="0.25">
      <c r="A41" s="85" t="s">
        <v>174</v>
      </c>
      <c r="B41" s="86">
        <v>364.90386688940771</v>
      </c>
      <c r="C41" s="86">
        <v>430.71054311607554</v>
      </c>
      <c r="D41" s="86">
        <v>475.99126821903303</v>
      </c>
      <c r="E41" s="86">
        <v>438.48900935642592</v>
      </c>
      <c r="F41" s="86">
        <v>480.59427623595747</v>
      </c>
      <c r="G41" s="86">
        <v>663.23933603554599</v>
      </c>
      <c r="H41" s="86">
        <v>767.78511285778313</v>
      </c>
      <c r="I41" s="86">
        <v>948.92730807558348</v>
      </c>
      <c r="J41" s="86">
        <v>1122.822683803005</v>
      </c>
      <c r="K41" s="86">
        <v>1297.3683297510875</v>
      </c>
      <c r="L41" s="86">
        <v>2048.7046353790615</v>
      </c>
      <c r="M41" s="86">
        <v>2147.5536266630975</v>
      </c>
      <c r="N41" s="86">
        <v>17036.624429288608</v>
      </c>
      <c r="O41" s="86">
        <v>30266.566936949992</v>
      </c>
      <c r="P41" s="86">
        <v>17855.077352896878</v>
      </c>
      <c r="Q41" s="86">
        <v>5802.4204361760621</v>
      </c>
      <c r="R41" s="86">
        <v>5840.9782222994654</v>
      </c>
      <c r="S41" s="86">
        <v>7214.7604746715633</v>
      </c>
      <c r="T41" s="86">
        <v>8115.9772590911552</v>
      </c>
      <c r="U41" s="86">
        <v>7341.7221348235889</v>
      </c>
      <c r="V41" s="86">
        <v>4470.6261806925922</v>
      </c>
      <c r="W41" s="86">
        <v>3781.5427876474346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5.5720465055705022</v>
      </c>
      <c r="C43" s="54">
        <f t="shared" si="30"/>
        <v>5.5762753114492467</v>
      </c>
      <c r="D43" s="54">
        <f t="shared" ref="D43:V43" si="31">SUM(D44,D48)</f>
        <v>5.8011150551175126</v>
      </c>
      <c r="E43" s="54">
        <f t="shared" si="31"/>
        <v>8.3530838323671777</v>
      </c>
      <c r="F43" s="54">
        <f t="shared" si="31"/>
        <v>10.072931898349337</v>
      </c>
      <c r="G43" s="54">
        <f t="shared" si="31"/>
        <v>14.109009972684193</v>
      </c>
      <c r="H43" s="54">
        <f t="shared" si="31"/>
        <v>16.557896235791873</v>
      </c>
      <c r="I43" s="54">
        <f t="shared" si="31"/>
        <v>20.080207167597038</v>
      </c>
      <c r="J43" s="54">
        <f t="shared" si="31"/>
        <v>23.508914843656768</v>
      </c>
      <c r="K43" s="54">
        <f t="shared" si="31"/>
        <v>24.460523643449154</v>
      </c>
      <c r="L43" s="54">
        <f t="shared" si="31"/>
        <v>27.055140224141976</v>
      </c>
      <c r="M43" s="54">
        <f t="shared" si="31"/>
        <v>27.316763166063843</v>
      </c>
      <c r="N43" s="54">
        <f t="shared" si="31"/>
        <v>27.488420507019079</v>
      </c>
      <c r="O43" s="54">
        <f t="shared" si="31"/>
        <v>27.595906520640295</v>
      </c>
      <c r="P43" s="54">
        <f t="shared" si="31"/>
        <v>27.309655786162828</v>
      </c>
      <c r="Q43" s="54">
        <f t="shared" si="31"/>
        <v>27.034153734769973</v>
      </c>
      <c r="R43" s="54">
        <f t="shared" si="31"/>
        <v>26.652863884777393</v>
      </c>
      <c r="S43" s="54">
        <f t="shared" si="31"/>
        <v>28.301254265868451</v>
      </c>
      <c r="T43" s="54">
        <f t="shared" si="31"/>
        <v>32.195317177447393</v>
      </c>
      <c r="U43" s="54">
        <f t="shared" si="31"/>
        <v>33.872394435895181</v>
      </c>
      <c r="V43" s="54">
        <f t="shared" si="31"/>
        <v>33.502051387150637</v>
      </c>
      <c r="W43" s="54">
        <f t="shared" ref="W43" si="32">SUM(W44,W48)</f>
        <v>33.250765862381307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5.5098557899067666</v>
      </c>
      <c r="C44" s="11">
        <f t="shared" si="33"/>
        <v>5.5151939970866355</v>
      </c>
      <c r="D44" s="11">
        <f t="shared" ref="D44:V44" si="34">SUM(D45:D47)</f>
        <v>5.7319091900065278</v>
      </c>
      <c r="E44" s="11">
        <f t="shared" si="34"/>
        <v>8.2885722828014359</v>
      </c>
      <c r="F44" s="11">
        <f t="shared" si="34"/>
        <v>10.000218458514727</v>
      </c>
      <c r="G44" s="11">
        <f t="shared" si="34"/>
        <v>14.004185701153929</v>
      </c>
      <c r="H44" s="11">
        <f t="shared" si="34"/>
        <v>16.43664526678792</v>
      </c>
      <c r="I44" s="11">
        <f t="shared" si="34"/>
        <v>19.948134438178545</v>
      </c>
      <c r="J44" s="11">
        <f t="shared" si="34"/>
        <v>23.350737623902901</v>
      </c>
      <c r="K44" s="11">
        <f t="shared" si="34"/>
        <v>24.225008595150626</v>
      </c>
      <c r="L44" s="11">
        <f t="shared" si="34"/>
        <v>26.732679109932548</v>
      </c>
      <c r="M44" s="11">
        <f t="shared" si="34"/>
        <v>26.99903671687278</v>
      </c>
      <c r="N44" s="11">
        <f t="shared" si="34"/>
        <v>26.489567215816372</v>
      </c>
      <c r="O44" s="11">
        <f t="shared" si="34"/>
        <v>26.061484037834408</v>
      </c>
      <c r="P44" s="11">
        <f t="shared" si="34"/>
        <v>25.770868323241107</v>
      </c>
      <c r="Q44" s="11">
        <f t="shared" si="34"/>
        <v>25.501509366505061</v>
      </c>
      <c r="R44" s="11">
        <f t="shared" si="34"/>
        <v>25.126438588078855</v>
      </c>
      <c r="S44" s="11">
        <f t="shared" si="34"/>
        <v>26.750154535290843</v>
      </c>
      <c r="T44" s="11">
        <f t="shared" si="34"/>
        <v>30.635219935286905</v>
      </c>
      <c r="U44" s="11">
        <f t="shared" si="34"/>
        <v>32.274676364266014</v>
      </c>
      <c r="V44" s="11">
        <f t="shared" si="34"/>
        <v>31.907352644938896</v>
      </c>
      <c r="W44" s="11">
        <f t="shared" ref="W44" si="35">SUM(W45:W47)</f>
        <v>31.540028925611772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3.9856922211335326</v>
      </c>
      <c r="C46" s="84">
        <v>3.989171692253922</v>
      </c>
      <c r="D46" s="84">
        <v>4.1464073312704679</v>
      </c>
      <c r="E46" s="84">
        <v>5.9967507214631466</v>
      </c>
      <c r="F46" s="84">
        <v>7.2344192020091498</v>
      </c>
      <c r="G46" s="84">
        <v>9.7319963520415023</v>
      </c>
      <c r="H46" s="84">
        <v>10.962677582766375</v>
      </c>
      <c r="I46" s="84">
        <v>12.895592065297189</v>
      </c>
      <c r="J46" s="84">
        <v>15.427537623902904</v>
      </c>
      <c r="K46" s="84">
        <v>16.45422495202795</v>
      </c>
      <c r="L46" s="84">
        <v>18.780473227579606</v>
      </c>
      <c r="M46" s="84">
        <v>19.199247191397163</v>
      </c>
      <c r="N46" s="84">
        <v>18.842194047218079</v>
      </c>
      <c r="O46" s="84">
        <v>18.473433723368998</v>
      </c>
      <c r="P46" s="84">
        <v>18.335234365653022</v>
      </c>
      <c r="Q46" s="84">
        <v>18.218291765794298</v>
      </c>
      <c r="R46" s="84">
        <v>17.995637344245417</v>
      </c>
      <c r="S46" s="84">
        <v>19.018591113461934</v>
      </c>
      <c r="T46" s="84">
        <v>21.142727442794413</v>
      </c>
      <c r="U46" s="84">
        <v>21.605337686911302</v>
      </c>
      <c r="V46" s="84">
        <v>21.339624872169068</v>
      </c>
      <c r="W46" s="84">
        <v>21.073912057426828</v>
      </c>
      <c r="DA46" s="171" t="s">
        <v>226</v>
      </c>
    </row>
    <row r="47" spans="1:105" ht="11.45" customHeight="1" x14ac:dyDescent="0.25">
      <c r="A47" s="83" t="s">
        <v>174</v>
      </c>
      <c r="B47" s="84">
        <v>1.5241635687732342</v>
      </c>
      <c r="C47" s="84">
        <v>1.5260223048327137</v>
      </c>
      <c r="D47" s="84">
        <v>1.5855018587360594</v>
      </c>
      <c r="E47" s="84">
        <v>2.2918215613382902</v>
      </c>
      <c r="F47" s="84">
        <v>2.7657992565055762</v>
      </c>
      <c r="G47" s="84">
        <v>4.2721893491124261</v>
      </c>
      <c r="H47" s="84">
        <v>5.4739676840215443</v>
      </c>
      <c r="I47" s="84">
        <v>7.0525423728813559</v>
      </c>
      <c r="J47" s="84">
        <v>7.9231999999999996</v>
      </c>
      <c r="K47" s="84">
        <v>7.7707836431226758</v>
      </c>
      <c r="L47" s="84">
        <v>7.9522058823529411</v>
      </c>
      <c r="M47" s="84">
        <v>7.7997895254756173</v>
      </c>
      <c r="N47" s="84">
        <v>7.6473731685982935</v>
      </c>
      <c r="O47" s="84">
        <v>7.5880503144654092</v>
      </c>
      <c r="P47" s="84">
        <v>7.4356339575880854</v>
      </c>
      <c r="Q47" s="84">
        <v>7.2832176007107616</v>
      </c>
      <c r="R47" s="84">
        <v>7.1308012438334378</v>
      </c>
      <c r="S47" s="84">
        <v>7.7315634218289082</v>
      </c>
      <c r="T47" s="84">
        <v>9.4924924924924916</v>
      </c>
      <c r="U47" s="84">
        <v>10.669338677354709</v>
      </c>
      <c r="V47" s="84">
        <v>10.567727772769826</v>
      </c>
      <c r="W47" s="84">
        <v>10.466116868184944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6.2190715663735324E-2</v>
      </c>
      <c r="C48" s="13">
        <f t="shared" si="36"/>
        <v>6.1081314362611626E-2</v>
      </c>
      <c r="D48" s="13">
        <f t="shared" ref="D48:V48" si="37">SUM(D49:D51)</f>
        <v>6.9205865110985226E-2</v>
      </c>
      <c r="E48" s="13">
        <f t="shared" si="37"/>
        <v>6.4511549565741608E-2</v>
      </c>
      <c r="F48" s="13">
        <f t="shared" si="37"/>
        <v>7.2713439834610177E-2</v>
      </c>
      <c r="G48" s="13">
        <f t="shared" si="37"/>
        <v>0.104824271530263</v>
      </c>
      <c r="H48" s="13">
        <f t="shared" si="37"/>
        <v>0.12125096900395099</v>
      </c>
      <c r="I48" s="13">
        <f t="shared" si="37"/>
        <v>0.1320727294184921</v>
      </c>
      <c r="J48" s="13">
        <f t="shared" si="37"/>
        <v>0.15817721975386692</v>
      </c>
      <c r="K48" s="13">
        <f t="shared" si="37"/>
        <v>0.23551504829852699</v>
      </c>
      <c r="L48" s="13">
        <f t="shared" si="37"/>
        <v>0.32246111420942991</v>
      </c>
      <c r="M48" s="13">
        <f t="shared" si="37"/>
        <v>0.31772644919106369</v>
      </c>
      <c r="N48" s="13">
        <f t="shared" si="37"/>
        <v>0.99885329120270838</v>
      </c>
      <c r="O48" s="13">
        <f t="shared" si="37"/>
        <v>1.5344224828058879</v>
      </c>
      <c r="P48" s="13">
        <f t="shared" si="37"/>
        <v>1.5387874629217206</v>
      </c>
      <c r="Q48" s="13">
        <f t="shared" si="37"/>
        <v>1.53264436826491</v>
      </c>
      <c r="R48" s="13">
        <f t="shared" si="37"/>
        <v>1.5264252966985363</v>
      </c>
      <c r="S48" s="13">
        <f t="shared" si="37"/>
        <v>1.5510997305776069</v>
      </c>
      <c r="T48" s="13">
        <f t="shared" si="37"/>
        <v>1.5600972421604911</v>
      </c>
      <c r="U48" s="13">
        <f t="shared" si="37"/>
        <v>1.5977180716291643</v>
      </c>
      <c r="V48" s="13">
        <f t="shared" si="37"/>
        <v>1.5946987422117387</v>
      </c>
      <c r="W48" s="13">
        <f t="shared" ref="W48" si="38">SUM(W49:W51)</f>
        <v>1.7107369367695375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4.8465225467656893E-2</v>
      </c>
      <c r="C50" s="102">
        <v>4.5395039852807705E-2</v>
      </c>
      <c r="D50" s="102">
        <v>5.1558806287455815E-2</v>
      </c>
      <c r="E50" s="102">
        <v>4.6864490742212196E-2</v>
      </c>
      <c r="F50" s="102">
        <v>5.3105596697355269E-2</v>
      </c>
      <c r="G50" s="102">
        <v>7.3832535993072906E-2</v>
      </c>
      <c r="H50" s="102">
        <v>8.4051844277473975E-2</v>
      </c>
      <c r="I50" s="102">
        <v>8.1953397676248665E-2</v>
      </c>
      <c r="J50" s="102">
        <v>9.3410380375628585E-2</v>
      </c>
      <c r="K50" s="102">
        <v>0.1663661121283142</v>
      </c>
      <c r="L50" s="102">
        <v>0.21291055241167708</v>
      </c>
      <c r="M50" s="102">
        <v>0.20954843641291873</v>
      </c>
      <c r="N50" s="102">
        <v>0.20866255550788543</v>
      </c>
      <c r="O50" s="102">
        <v>0.23340207464262255</v>
      </c>
      <c r="P50" s="102">
        <v>0.2391396037780634</v>
      </c>
      <c r="Q50" s="102">
        <v>0.23436905814086059</v>
      </c>
      <c r="R50" s="102">
        <v>0.22952253559409488</v>
      </c>
      <c r="S50" s="102">
        <v>0.25556951849277326</v>
      </c>
      <c r="T50" s="102">
        <v>0.26593957909526539</v>
      </c>
      <c r="U50" s="102">
        <v>0.30493295758354677</v>
      </c>
      <c r="V50" s="102">
        <v>0.30282866084585947</v>
      </c>
      <c r="W50" s="102">
        <v>0.41978188808339673</v>
      </c>
      <c r="DA50" s="175" t="s">
        <v>230</v>
      </c>
    </row>
    <row r="51" spans="1:105" ht="11.45" customHeight="1" x14ac:dyDescent="0.25">
      <c r="A51" s="85" t="s">
        <v>174</v>
      </c>
      <c r="B51" s="86">
        <v>1.3725490196078431E-2</v>
      </c>
      <c r="C51" s="86">
        <v>1.5686274509803921E-2</v>
      </c>
      <c r="D51" s="86">
        <v>1.7647058823529412E-2</v>
      </c>
      <c r="E51" s="86">
        <v>1.7647058823529412E-2</v>
      </c>
      <c r="F51" s="86">
        <v>1.9607843137254902E-2</v>
      </c>
      <c r="G51" s="86">
        <v>3.0991735537190084E-2</v>
      </c>
      <c r="H51" s="86">
        <v>3.7199124726477024E-2</v>
      </c>
      <c r="I51" s="86">
        <v>5.0119331742243436E-2</v>
      </c>
      <c r="J51" s="86">
        <v>6.4766839378238336E-2</v>
      </c>
      <c r="K51" s="86">
        <v>6.9148936170212769E-2</v>
      </c>
      <c r="L51" s="86">
        <v>0.10955056179775281</v>
      </c>
      <c r="M51" s="86">
        <v>0.10817801277814497</v>
      </c>
      <c r="N51" s="86">
        <v>0.7901907356948229</v>
      </c>
      <c r="O51" s="86">
        <v>1.3010204081632653</v>
      </c>
      <c r="P51" s="86">
        <v>1.2996478591436573</v>
      </c>
      <c r="Q51" s="86">
        <v>1.2982753101240494</v>
      </c>
      <c r="R51" s="86">
        <v>1.2969027611044415</v>
      </c>
      <c r="S51" s="86">
        <v>1.2955302120848335</v>
      </c>
      <c r="T51" s="86">
        <v>1.2941576630652256</v>
      </c>
      <c r="U51" s="86">
        <v>1.2927851140456177</v>
      </c>
      <c r="V51" s="86">
        <v>1.2918700813658792</v>
      </c>
      <c r="W51" s="86">
        <v>1.2909550486861407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2.7573566700000041E-4</v>
      </c>
      <c r="C53" s="54">
        <f t="shared" si="39"/>
        <v>0.19171240287959462</v>
      </c>
      <c r="D53" s="54">
        <f t="shared" ref="D53:V53" si="40">SUM(D54,D58)</f>
        <v>0.41071558738226516</v>
      </c>
      <c r="E53" s="54">
        <f t="shared" si="40"/>
        <v>2.7410765041809104</v>
      </c>
      <c r="F53" s="54">
        <f t="shared" si="40"/>
        <v>1.9057239096961567</v>
      </c>
      <c r="G53" s="54">
        <f t="shared" si="40"/>
        <v>4.2219539180488548</v>
      </c>
      <c r="H53" s="54">
        <f t="shared" si="40"/>
        <v>2.6353885781561992</v>
      </c>
      <c r="I53" s="54">
        <f t="shared" si="40"/>
        <v>3.7326528425838585</v>
      </c>
      <c r="J53" s="54">
        <f t="shared" si="40"/>
        <v>3.637352362410319</v>
      </c>
      <c r="K53" s="54">
        <f t="shared" si="40"/>
        <v>1.2618024328592972</v>
      </c>
      <c r="L53" s="54">
        <f t="shared" si="40"/>
        <v>2.7810174244068211</v>
      </c>
      <c r="M53" s="54">
        <f t="shared" si="40"/>
        <v>0.55312928877204315</v>
      </c>
      <c r="N53" s="54">
        <f t="shared" si="40"/>
        <v>0.72124016828648008</v>
      </c>
      <c r="O53" s="54">
        <f t="shared" si="40"/>
        <v>0.56116698365625095</v>
      </c>
      <c r="P53" s="54">
        <f t="shared" si="40"/>
        <v>0.2449531902257529</v>
      </c>
      <c r="Q53" s="54">
        <f t="shared" si="40"/>
        <v>0.25302090474775563</v>
      </c>
      <c r="R53" s="54">
        <f t="shared" si="40"/>
        <v>0.15314595792788621</v>
      </c>
      <c r="S53" s="54">
        <f t="shared" si="40"/>
        <v>1.8418880480308628</v>
      </c>
      <c r="T53" s="54">
        <f t="shared" si="40"/>
        <v>4.0875605785187545</v>
      </c>
      <c r="U53" s="54">
        <f t="shared" si="40"/>
        <v>1.8770812761976494</v>
      </c>
      <c r="V53" s="54">
        <f t="shared" si="40"/>
        <v>1.0759826261417839E-3</v>
      </c>
      <c r="W53" s="54">
        <f t="shared" ref="W53" si="41">SUM(W54,W58)</f>
        <v>0.11874139523253725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0</v>
      </c>
      <c r="C54" s="11">
        <f t="shared" si="42"/>
        <v>0.18917800708186913</v>
      </c>
      <c r="D54" s="11">
        <f t="shared" ref="D54:V54" si="43">SUM(D55:D57)</f>
        <v>0.40055499282189155</v>
      </c>
      <c r="E54" s="11">
        <f t="shared" si="43"/>
        <v>2.7405028926969104</v>
      </c>
      <c r="F54" s="11">
        <f t="shared" si="43"/>
        <v>1.8954859756152882</v>
      </c>
      <c r="G54" s="11">
        <f t="shared" si="43"/>
        <v>4.187807042541202</v>
      </c>
      <c r="H54" s="11">
        <f t="shared" si="43"/>
        <v>2.6162993655359892</v>
      </c>
      <c r="I54" s="11">
        <f t="shared" si="43"/>
        <v>3.718097813929214</v>
      </c>
      <c r="J54" s="11">
        <f t="shared" si="43"/>
        <v>3.6092118282629442</v>
      </c>
      <c r="K54" s="11">
        <f t="shared" si="43"/>
        <v>1.182428560502637</v>
      </c>
      <c r="L54" s="11">
        <f t="shared" si="43"/>
        <v>2.6915103146839181</v>
      </c>
      <c r="M54" s="11">
        <f t="shared" si="43"/>
        <v>0.55174635355855783</v>
      </c>
      <c r="N54" s="11">
        <f t="shared" si="43"/>
        <v>3.5268927911069836E-2</v>
      </c>
      <c r="O54" s="11">
        <f t="shared" si="43"/>
        <v>2.356174824107149E-2</v>
      </c>
      <c r="P54" s="11">
        <f t="shared" si="43"/>
        <v>0.23760102176079001</v>
      </c>
      <c r="Q54" s="11">
        <f t="shared" si="43"/>
        <v>0.25302090474775563</v>
      </c>
      <c r="R54" s="11">
        <f t="shared" si="43"/>
        <v>0.15314595792788621</v>
      </c>
      <c r="S54" s="11">
        <f t="shared" si="43"/>
        <v>1.8138028971371845</v>
      </c>
      <c r="T54" s="11">
        <f t="shared" si="43"/>
        <v>4.0751523499212627</v>
      </c>
      <c r="U54" s="11">
        <f t="shared" si="43"/>
        <v>1.8360497297143681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0</v>
      </c>
      <c r="C56" s="84">
        <v>0.13645186086138958</v>
      </c>
      <c r="D56" s="84">
        <v>0.29020802875754581</v>
      </c>
      <c r="E56" s="84">
        <v>1.9833157799336798</v>
      </c>
      <c r="F56" s="84">
        <v>1.3706408702870021</v>
      </c>
      <c r="G56" s="84">
        <v>2.6305495397733529</v>
      </c>
      <c r="H56" s="84">
        <v>1.3636536204658714</v>
      </c>
      <c r="I56" s="84">
        <v>2.0886557149084028</v>
      </c>
      <c r="J56" s="84">
        <v>2.6876867909833009</v>
      </c>
      <c r="K56" s="84">
        <v>1.182428560502637</v>
      </c>
      <c r="L56" s="84">
        <v>2.4592206652926532</v>
      </c>
      <c r="M56" s="84">
        <v>0.55174635355855783</v>
      </c>
      <c r="N56" s="84">
        <v>3.5268927911069836E-2</v>
      </c>
      <c r="O56" s="84">
        <v>2.356174824107149E-2</v>
      </c>
      <c r="P56" s="84">
        <v>0.23760102176079001</v>
      </c>
      <c r="Q56" s="84">
        <v>0.25302090474775563</v>
      </c>
      <c r="R56" s="84">
        <v>0.15314595792788621</v>
      </c>
      <c r="S56" s="84">
        <v>1.1621733089807145</v>
      </c>
      <c r="T56" s="84">
        <v>2.2633558690966793</v>
      </c>
      <c r="U56" s="84">
        <v>0.60833613469115022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</v>
      </c>
      <c r="C57" s="84">
        <v>5.2726146220479553E-2</v>
      </c>
      <c r="D57" s="84">
        <v>0.11034696406434574</v>
      </c>
      <c r="E57" s="84">
        <v>0.75718711276323081</v>
      </c>
      <c r="F57" s="84">
        <v>0.5248451053282861</v>
      </c>
      <c r="G57" s="84">
        <v>1.5572575027678495</v>
      </c>
      <c r="H57" s="84">
        <v>1.2526457450701178</v>
      </c>
      <c r="I57" s="84">
        <v>1.6294420990208112</v>
      </c>
      <c r="J57" s="84">
        <v>0.9215250372796433</v>
      </c>
      <c r="K57" s="84">
        <v>0</v>
      </c>
      <c r="L57" s="84">
        <v>0.23228964939126495</v>
      </c>
      <c r="M57" s="84">
        <v>0</v>
      </c>
      <c r="N57" s="84">
        <v>0</v>
      </c>
      <c r="O57" s="84">
        <v>0</v>
      </c>
      <c r="P57" s="84">
        <v>0</v>
      </c>
      <c r="Q57" s="84">
        <v>0</v>
      </c>
      <c r="R57" s="84">
        <v>0</v>
      </c>
      <c r="S57" s="84">
        <v>0.65162958815646999</v>
      </c>
      <c r="T57" s="84">
        <v>1.8117964808245839</v>
      </c>
      <c r="U57" s="84">
        <v>1.2277135950232179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2.7573566700000041E-4</v>
      </c>
      <c r="C58" s="13">
        <f t="shared" si="45"/>
        <v>2.5343957977254916E-3</v>
      </c>
      <c r="D58" s="13">
        <f t="shared" ref="D58:V58" si="46">SUM(D59:D61)</f>
        <v>1.01605945603736E-2</v>
      </c>
      <c r="E58" s="13">
        <f t="shared" si="46"/>
        <v>5.7361148400000145E-4</v>
      </c>
      <c r="F58" s="13">
        <f t="shared" si="46"/>
        <v>1.0237934080868562E-2</v>
      </c>
      <c r="G58" s="13">
        <f t="shared" si="46"/>
        <v>3.4146875507652816E-2</v>
      </c>
      <c r="H58" s="13">
        <f t="shared" si="46"/>
        <v>1.9089212620210086E-2</v>
      </c>
      <c r="I58" s="13">
        <f t="shared" si="46"/>
        <v>1.4555028654644555E-2</v>
      </c>
      <c r="J58" s="13">
        <f t="shared" si="46"/>
        <v>2.8140534147374822E-2</v>
      </c>
      <c r="K58" s="13">
        <f t="shared" si="46"/>
        <v>7.9373872356660047E-2</v>
      </c>
      <c r="L58" s="13">
        <f t="shared" si="46"/>
        <v>8.9507109722902933E-2</v>
      </c>
      <c r="M58" s="13">
        <f t="shared" si="46"/>
        <v>1.3829352134852608E-3</v>
      </c>
      <c r="N58" s="13">
        <f t="shared" si="46"/>
        <v>0.68597124037541024</v>
      </c>
      <c r="O58" s="13">
        <f t="shared" si="46"/>
        <v>0.53760523541517946</v>
      </c>
      <c r="P58" s="13">
        <f t="shared" si="46"/>
        <v>7.3521684649629007E-3</v>
      </c>
      <c r="Q58" s="13">
        <f t="shared" si="46"/>
        <v>0</v>
      </c>
      <c r="R58" s="13">
        <f t="shared" si="46"/>
        <v>0</v>
      </c>
      <c r="S58" s="13">
        <f t="shared" si="46"/>
        <v>2.8085150893678364E-2</v>
      </c>
      <c r="T58" s="13">
        <f t="shared" si="46"/>
        <v>1.2408228597492155E-2</v>
      </c>
      <c r="U58" s="13">
        <f t="shared" si="46"/>
        <v>4.1031546483281361E-2</v>
      </c>
      <c r="V58" s="13">
        <f t="shared" si="46"/>
        <v>1.0759826261417839E-3</v>
      </c>
      <c r="W58" s="13">
        <f t="shared" ref="W58" si="47">SUM(W59:W61)</f>
        <v>0.11874139523253725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2.7573566700000041E-4</v>
      </c>
      <c r="C60" s="102">
        <v>5.073566700000004E-5</v>
      </c>
      <c r="D60" s="102">
        <v>7.6769344296481086E-3</v>
      </c>
      <c r="E60" s="102">
        <v>5.073566700000004E-5</v>
      </c>
      <c r="F60" s="102">
        <v>7.7542739501430709E-3</v>
      </c>
      <c r="G60" s="102">
        <v>2.2240107290717633E-2</v>
      </c>
      <c r="H60" s="102">
        <v>1.2358947613923144E-2</v>
      </c>
      <c r="I60" s="102">
        <v>1.111945821878142E-3</v>
      </c>
      <c r="J60" s="102">
        <v>1.2970150694379921E-2</v>
      </c>
      <c r="K60" s="102">
        <v>7.4468899747685613E-2</v>
      </c>
      <c r="L60" s="102">
        <v>4.8582608278362895E-2</v>
      </c>
      <c r="M60" s="102">
        <v>1.3829352134852608E-3</v>
      </c>
      <c r="N60" s="102">
        <v>3.435641641732403E-3</v>
      </c>
      <c r="O60" s="102">
        <v>2.6252687129737121E-2</v>
      </c>
      <c r="P60" s="102">
        <v>7.3521684649629007E-3</v>
      </c>
      <c r="Q60" s="102">
        <v>0</v>
      </c>
      <c r="R60" s="102">
        <v>0</v>
      </c>
      <c r="S60" s="102">
        <v>2.8085150893678364E-2</v>
      </c>
      <c r="T60" s="102">
        <v>1.2408228597492155E-2</v>
      </c>
      <c r="U60" s="102">
        <v>4.1031546483281361E-2</v>
      </c>
      <c r="V60" s="102">
        <v>1.0759826261417839E-3</v>
      </c>
      <c r="W60" s="102">
        <v>0.11874139523253725</v>
      </c>
      <c r="DA60" s="175" t="s">
        <v>239</v>
      </c>
    </row>
    <row r="61" spans="1:105" ht="11.45" customHeight="1" x14ac:dyDescent="0.25">
      <c r="A61" s="85" t="s">
        <v>174</v>
      </c>
      <c r="B61" s="86">
        <v>0</v>
      </c>
      <c r="C61" s="86">
        <v>2.4836601307254916E-3</v>
      </c>
      <c r="D61" s="86">
        <v>2.4836601307254916E-3</v>
      </c>
      <c r="E61" s="86">
        <v>5.2287581700000141E-4</v>
      </c>
      <c r="F61" s="86">
        <v>2.4836601307254916E-3</v>
      </c>
      <c r="G61" s="86">
        <v>1.1906768216935183E-2</v>
      </c>
      <c r="H61" s="86">
        <v>6.7302650062869424E-3</v>
      </c>
      <c r="I61" s="86">
        <v>1.3443082832766413E-2</v>
      </c>
      <c r="J61" s="86">
        <v>1.5170383452994901E-2</v>
      </c>
      <c r="K61" s="86">
        <v>4.9049726089744339E-3</v>
      </c>
      <c r="L61" s="86">
        <v>4.0924501444540046E-2</v>
      </c>
      <c r="M61" s="86">
        <v>0</v>
      </c>
      <c r="N61" s="86">
        <v>0.68253559873367786</v>
      </c>
      <c r="O61" s="86">
        <v>0.5113525482854423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41.511370716510903</v>
      </c>
      <c r="C66" s="14">
        <f t="shared" si="48"/>
        <v>42.55291005291005</v>
      </c>
      <c r="D66" s="14">
        <f t="shared" ref="D66:V66" si="49">IF(D34=0,0,D34/D24)</f>
        <v>43.626590807007034</v>
      </c>
      <c r="E66" s="14">
        <f t="shared" si="49"/>
        <v>44.713013769541362</v>
      </c>
      <c r="F66" s="14">
        <f t="shared" si="49"/>
        <v>45.863211190251434</v>
      </c>
      <c r="G66" s="14">
        <f t="shared" si="49"/>
        <v>62.963698765758039</v>
      </c>
      <c r="H66" s="14">
        <f t="shared" si="49"/>
        <v>71.284077439747136</v>
      </c>
      <c r="I66" s="14">
        <f t="shared" si="49"/>
        <v>74.001581910389433</v>
      </c>
      <c r="J66" s="14">
        <f t="shared" si="49"/>
        <v>70.999846766779044</v>
      </c>
      <c r="K66" s="14">
        <f t="shared" si="49"/>
        <v>71.716743119266056</v>
      </c>
      <c r="L66" s="14">
        <f t="shared" si="49"/>
        <v>71.143933912204531</v>
      </c>
      <c r="M66" s="14">
        <f t="shared" si="49"/>
        <v>73.614408233276151</v>
      </c>
      <c r="N66" s="14">
        <f t="shared" si="49"/>
        <v>74.825278115359453</v>
      </c>
      <c r="O66" s="14">
        <f t="shared" si="49"/>
        <v>77.615589842494373</v>
      </c>
      <c r="P66" s="14">
        <f t="shared" si="49"/>
        <v>79.38781672574504</v>
      </c>
      <c r="Q66" s="14">
        <f t="shared" si="49"/>
        <v>82.183217005076145</v>
      </c>
      <c r="R66" s="14">
        <f t="shared" si="49"/>
        <v>86.931474358974356</v>
      </c>
      <c r="S66" s="14">
        <f t="shared" si="49"/>
        <v>89.119482718355911</v>
      </c>
      <c r="T66" s="14">
        <f t="shared" si="49"/>
        <v>91.066244343891398</v>
      </c>
      <c r="U66" s="14">
        <f t="shared" si="49"/>
        <v>96.296352282301626</v>
      </c>
      <c r="V66" s="14">
        <f t="shared" si="49"/>
        <v>76.389482586299678</v>
      </c>
      <c r="W66" s="14">
        <f t="shared" ref="W66" si="50">IF(W34=0,0,W34/W24)</f>
        <v>81.648876209032082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41.083214285714284</v>
      </c>
      <c r="C68" s="87">
        <f t="shared" si="48"/>
        <v>42.125958965209634</v>
      </c>
      <c r="D68" s="87">
        <f t="shared" ref="D68:V68" si="53">IF(D36=0,0,D36/D26)</f>
        <v>43.19189838654308</v>
      </c>
      <c r="E68" s="87">
        <f t="shared" si="53"/>
        <v>44.263232850700213</v>
      </c>
      <c r="F68" s="87">
        <f t="shared" si="53"/>
        <v>45.425282833251352</v>
      </c>
      <c r="G68" s="87">
        <f t="shared" si="53"/>
        <v>63.679553330766268</v>
      </c>
      <c r="H68" s="87">
        <f t="shared" si="53"/>
        <v>74.201868011998911</v>
      </c>
      <c r="I68" s="87">
        <f t="shared" si="53"/>
        <v>76.126240480036927</v>
      </c>
      <c r="J68" s="87">
        <f t="shared" si="53"/>
        <v>71.425349848714063</v>
      </c>
      <c r="K68" s="87">
        <f t="shared" si="53"/>
        <v>72.635524356519895</v>
      </c>
      <c r="L68" s="87">
        <f t="shared" si="53"/>
        <v>70.941002286442526</v>
      </c>
      <c r="M68" s="87">
        <f t="shared" si="53"/>
        <v>73.00189515840664</v>
      </c>
      <c r="N68" s="87">
        <f t="shared" si="53"/>
        <v>73.628916332446494</v>
      </c>
      <c r="O68" s="87">
        <f t="shared" si="53"/>
        <v>78.096309329311723</v>
      </c>
      <c r="P68" s="87">
        <f t="shared" si="53"/>
        <v>80.984929941159038</v>
      </c>
      <c r="Q68" s="87">
        <f t="shared" si="53"/>
        <v>83.109529850154601</v>
      </c>
      <c r="R68" s="87">
        <f t="shared" si="53"/>
        <v>89.421651013346519</v>
      </c>
      <c r="S68" s="87">
        <f t="shared" si="53"/>
        <v>91.355586708596974</v>
      </c>
      <c r="T68" s="87">
        <f t="shared" si="53"/>
        <v>93.146067415730343</v>
      </c>
      <c r="U68" s="87">
        <f t="shared" si="53"/>
        <v>98.284319666060725</v>
      </c>
      <c r="V68" s="87">
        <f t="shared" si="53"/>
        <v>74.701243691420331</v>
      </c>
      <c r="W68" s="87">
        <f t="shared" ref="W68" si="54">IF(W36=0,0,W36/W26)</f>
        <v>78.154324015040046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44.435365853658539</v>
      </c>
      <c r="C69" s="87">
        <f t="shared" si="48"/>
        <v>45.467722289890375</v>
      </c>
      <c r="D69" s="87">
        <f t="shared" ref="D69:V69" si="55">IF(D37=0,0,D37/D27)</f>
        <v>46.595545134818288</v>
      </c>
      <c r="E69" s="87">
        <f t="shared" si="55"/>
        <v>47.786699107866994</v>
      </c>
      <c r="F69" s="87">
        <f t="shared" si="55"/>
        <v>48.854838709677416</v>
      </c>
      <c r="G69" s="87">
        <f t="shared" si="55"/>
        <v>58.672206832871652</v>
      </c>
      <c r="H69" s="87">
        <f t="shared" si="55"/>
        <v>57.247294194817975</v>
      </c>
      <c r="I69" s="87">
        <f t="shared" si="55"/>
        <v>65.151646238884879</v>
      </c>
      <c r="J69" s="87">
        <f t="shared" si="55"/>
        <v>69.182350565428109</v>
      </c>
      <c r="K69" s="87">
        <f t="shared" si="55"/>
        <v>67.619616771011195</v>
      </c>
      <c r="L69" s="87">
        <f t="shared" si="55"/>
        <v>71.978270920018488</v>
      </c>
      <c r="M69" s="87">
        <f t="shared" si="55"/>
        <v>76.056601083547193</v>
      </c>
      <c r="N69" s="87">
        <f t="shared" si="55"/>
        <v>79.186595251881883</v>
      </c>
      <c r="O69" s="87">
        <f t="shared" si="55"/>
        <v>76.030390937974857</v>
      </c>
      <c r="P69" s="87">
        <f t="shared" si="55"/>
        <v>73.87596785975164</v>
      </c>
      <c r="Q69" s="87">
        <f t="shared" si="55"/>
        <v>78.470606927232282</v>
      </c>
      <c r="R69" s="87">
        <f t="shared" si="55"/>
        <v>78.200751010976319</v>
      </c>
      <c r="S69" s="87">
        <f t="shared" si="55"/>
        <v>81.613760651150955</v>
      </c>
      <c r="T69" s="87">
        <f t="shared" si="55"/>
        <v>84.663819466413585</v>
      </c>
      <c r="U69" s="87">
        <f t="shared" si="55"/>
        <v>90.750281743050337</v>
      </c>
      <c r="V69" s="87">
        <f t="shared" si="55"/>
        <v>86.192046049188903</v>
      </c>
      <c r="W69" s="87">
        <f t="shared" ref="W69" si="56">IF(W37=0,0,W37/W27)</f>
        <v>101.65465605989705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19.958711437212369</v>
      </c>
      <c r="C70" s="15">
        <f t="shared" si="48"/>
        <v>21.101250007577978</v>
      </c>
      <c r="D70" s="15">
        <f t="shared" ref="D70:V70" si="57">IF(D38=0,0,D38/D28)</f>
        <v>20.934320225598071</v>
      </c>
      <c r="E70" s="15">
        <f t="shared" si="57"/>
        <v>21.604715613030304</v>
      </c>
      <c r="F70" s="15">
        <f t="shared" si="57"/>
        <v>20.357508356199407</v>
      </c>
      <c r="G70" s="15">
        <f t="shared" si="57"/>
        <v>19.580254362220995</v>
      </c>
      <c r="H70" s="15">
        <f t="shared" si="57"/>
        <v>18.803777748617449</v>
      </c>
      <c r="I70" s="15">
        <f t="shared" si="57"/>
        <v>20.102356003528772</v>
      </c>
      <c r="J70" s="15">
        <f t="shared" si="57"/>
        <v>20.061600851430686</v>
      </c>
      <c r="K70" s="15">
        <f t="shared" si="57"/>
        <v>18.438354999596942</v>
      </c>
      <c r="L70" s="15">
        <f t="shared" si="57"/>
        <v>20.438171264689355</v>
      </c>
      <c r="M70" s="15">
        <f t="shared" si="57"/>
        <v>21.947675038099263</v>
      </c>
      <c r="N70" s="15">
        <f t="shared" si="57"/>
        <v>41.590297557863217</v>
      </c>
      <c r="O70" s="15">
        <f t="shared" si="57"/>
        <v>45.456115913600563</v>
      </c>
      <c r="P70" s="15">
        <f t="shared" si="57"/>
        <v>42.895623315730077</v>
      </c>
      <c r="Q70" s="15">
        <f t="shared" si="57"/>
        <v>30.537392377814339</v>
      </c>
      <c r="R70" s="15">
        <f t="shared" si="57"/>
        <v>33.247521813036812</v>
      </c>
      <c r="S70" s="15">
        <f t="shared" si="57"/>
        <v>32.565162666299763</v>
      </c>
      <c r="T70" s="15">
        <f t="shared" si="57"/>
        <v>33.109037460893099</v>
      </c>
      <c r="U70" s="15">
        <f t="shared" si="57"/>
        <v>31.670764916352169</v>
      </c>
      <c r="V70" s="15">
        <f t="shared" si="57"/>
        <v>24.834291418750883</v>
      </c>
      <c r="W70" s="15">
        <f t="shared" ref="W70" si="58">IF(W38=0,0,W38/W28)</f>
        <v>22.637250745658104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</v>
      </c>
      <c r="J72" s="41">
        <f t="shared" si="61"/>
        <v>13.656624949191123</v>
      </c>
      <c r="K72" s="41">
        <f t="shared" si="61"/>
        <v>13.626760295117137</v>
      </c>
      <c r="L72" s="41">
        <f t="shared" si="61"/>
        <v>14.42078686057312</v>
      </c>
      <c r="M72" s="41">
        <f t="shared" si="61"/>
        <v>15.489703537213131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20.573511943488917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19.492640855946778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52.129123841343961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1267.1188055289635</v>
      </c>
      <c r="C75" s="62">
        <f t="shared" si="65"/>
        <v>1267.6716256344487</v>
      </c>
      <c r="D75" s="62">
        <f t="shared" ref="D75:V75" si="66">IF(D13=0,0,D13*1000000/D23)</f>
        <v>1267.2422895658044</v>
      </c>
      <c r="E75" s="62">
        <f t="shared" si="66"/>
        <v>1268.3376028834421</v>
      </c>
      <c r="F75" s="62">
        <f t="shared" si="66"/>
        <v>1268.4018975924671</v>
      </c>
      <c r="G75" s="62">
        <f t="shared" si="66"/>
        <v>1437.8232641049956</v>
      </c>
      <c r="H75" s="62">
        <f t="shared" si="66"/>
        <v>1430.8305422259616</v>
      </c>
      <c r="I75" s="62">
        <f t="shared" si="66"/>
        <v>1416.7346216809124</v>
      </c>
      <c r="J75" s="62">
        <f t="shared" si="66"/>
        <v>1321.1359753243898</v>
      </c>
      <c r="K75" s="62">
        <f t="shared" si="66"/>
        <v>1137.1584420522495</v>
      </c>
      <c r="L75" s="62">
        <f t="shared" si="66"/>
        <v>1128.6512114552218</v>
      </c>
      <c r="M75" s="62">
        <f t="shared" si="66"/>
        <v>1032.8518583871271</v>
      </c>
      <c r="N75" s="62">
        <f t="shared" si="66"/>
        <v>1040.8543895490495</v>
      </c>
      <c r="O75" s="62">
        <f t="shared" si="66"/>
        <v>1114.394044021979</v>
      </c>
      <c r="P75" s="62">
        <f t="shared" si="66"/>
        <v>1089.656539851956</v>
      </c>
      <c r="Q75" s="62">
        <f t="shared" si="66"/>
        <v>1050.4523357596061</v>
      </c>
      <c r="R75" s="62">
        <f t="shared" si="66"/>
        <v>1039.7260520931416</v>
      </c>
      <c r="S75" s="62">
        <f t="shared" si="66"/>
        <v>1045.0054803178421</v>
      </c>
      <c r="T75" s="62">
        <f t="shared" si="66"/>
        <v>1080.6746518041646</v>
      </c>
      <c r="U75" s="62">
        <f t="shared" si="66"/>
        <v>1099.1864825972325</v>
      </c>
      <c r="V75" s="62">
        <f t="shared" si="66"/>
        <v>1094.6138091403043</v>
      </c>
      <c r="W75" s="62">
        <f t="shared" ref="W75" si="67">IF(W13=0,0,W13*1000000/W23)</f>
        <v>1329.3063350838938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1270.1598424532558</v>
      </c>
      <c r="C76" s="14">
        <f t="shared" si="65"/>
        <v>1270.1960204195323</v>
      </c>
      <c r="D76" s="14">
        <f t="shared" ref="D76:V76" si="68">IF(D14=0,0,D14*1000000/D24)</f>
        <v>1270.0702044669288</v>
      </c>
      <c r="E76" s="14">
        <f t="shared" si="68"/>
        <v>1269.9128963794999</v>
      </c>
      <c r="F76" s="14">
        <f t="shared" si="68"/>
        <v>1270.0024755271377</v>
      </c>
      <c r="G76" s="14">
        <f t="shared" si="68"/>
        <v>1439.3110985460876</v>
      </c>
      <c r="H76" s="14">
        <f t="shared" si="68"/>
        <v>1431.6144045403623</v>
      </c>
      <c r="I76" s="14">
        <f t="shared" si="68"/>
        <v>1415.8754969711556</v>
      </c>
      <c r="J76" s="14">
        <f t="shared" si="68"/>
        <v>1319.0266154090482</v>
      </c>
      <c r="K76" s="14">
        <f t="shared" si="68"/>
        <v>1134.0925859366494</v>
      </c>
      <c r="L76" s="14">
        <f t="shared" si="68"/>
        <v>1123.4229461549583</v>
      </c>
      <c r="M76" s="14">
        <f t="shared" si="68"/>
        <v>1028.1101637032884</v>
      </c>
      <c r="N76" s="14">
        <f t="shared" si="68"/>
        <v>1006.723415698546</v>
      </c>
      <c r="O76" s="14">
        <f t="shared" si="68"/>
        <v>1061.408943540202</v>
      </c>
      <c r="P76" s="14">
        <f t="shared" si="68"/>
        <v>1065.9537074593757</v>
      </c>
      <c r="Q76" s="14">
        <f t="shared" si="68"/>
        <v>1045.1586034636687</v>
      </c>
      <c r="R76" s="14">
        <f t="shared" si="68"/>
        <v>1036.8876783185854</v>
      </c>
      <c r="S76" s="14">
        <f t="shared" si="68"/>
        <v>1043.5732295962316</v>
      </c>
      <c r="T76" s="14">
        <f t="shared" si="68"/>
        <v>1080.8567595698166</v>
      </c>
      <c r="U76" s="14">
        <f t="shared" si="68"/>
        <v>1093.4651424055546</v>
      </c>
      <c r="V76" s="14">
        <f t="shared" si="68"/>
        <v>1078.436546030199</v>
      </c>
      <c r="W76" s="14">
        <f t="shared" ref="W76" si="69">IF(W14=0,0,W14*1000000/W24)</f>
        <v>1322.1119518317842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1005.8150668156967</v>
      </c>
      <c r="C78" s="39">
        <f t="shared" si="65"/>
        <v>1005.7702714713402</v>
      </c>
      <c r="D78" s="39">
        <f t="shared" ref="D78:V78" si="72">IF(D16=0,0,D16*1000000/D26)</f>
        <v>1005.7410780003306</v>
      </c>
      <c r="E78" s="39">
        <f t="shared" si="72"/>
        <v>1005.7049158373408</v>
      </c>
      <c r="F78" s="39">
        <f t="shared" si="72"/>
        <v>1005.7139485081669</v>
      </c>
      <c r="G78" s="39">
        <f t="shared" si="72"/>
        <v>1125.3214429493457</v>
      </c>
      <c r="H78" s="39">
        <f t="shared" si="72"/>
        <v>1118.6984967365854</v>
      </c>
      <c r="I78" s="39">
        <f t="shared" si="72"/>
        <v>1101.5659642023152</v>
      </c>
      <c r="J78" s="39">
        <f t="shared" si="72"/>
        <v>1037.8085084063039</v>
      </c>
      <c r="K78" s="39">
        <f t="shared" si="72"/>
        <v>933.26574174041173</v>
      </c>
      <c r="L78" s="39">
        <f t="shared" si="72"/>
        <v>981.23918730340938</v>
      </c>
      <c r="M78" s="39">
        <f t="shared" si="72"/>
        <v>925.51235947787507</v>
      </c>
      <c r="N78" s="39">
        <f t="shared" si="72"/>
        <v>933.08107992827797</v>
      </c>
      <c r="O78" s="39">
        <f t="shared" si="72"/>
        <v>980.99288184559657</v>
      </c>
      <c r="P78" s="39">
        <f t="shared" si="72"/>
        <v>1012.3793908592625</v>
      </c>
      <c r="Q78" s="39">
        <f t="shared" si="72"/>
        <v>1004.7579338818426</v>
      </c>
      <c r="R78" s="39">
        <f t="shared" si="72"/>
        <v>1001.7840292561292</v>
      </c>
      <c r="S78" s="39">
        <f t="shared" si="72"/>
        <v>1000.9765088810739</v>
      </c>
      <c r="T78" s="39">
        <f t="shared" si="72"/>
        <v>1033.8303127918969</v>
      </c>
      <c r="U78" s="39">
        <f t="shared" si="72"/>
        <v>1045.9162448698125</v>
      </c>
      <c r="V78" s="39">
        <f t="shared" si="72"/>
        <v>1036.1857003432683</v>
      </c>
      <c r="W78" s="39">
        <f t="shared" ref="W78" si="73">IF(W16=0,0,W16*1000000/W26)</f>
        <v>1238.3327989558268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3075.4412370512209</v>
      </c>
      <c r="C79" s="39">
        <f t="shared" si="65"/>
        <v>3075.4412370512209</v>
      </c>
      <c r="D79" s="39">
        <f t="shared" ref="D79:V79" si="74">IF(D17=0,0,D17*1000000/D27)</f>
        <v>3075.4412370512214</v>
      </c>
      <c r="E79" s="39">
        <f t="shared" si="74"/>
        <v>3075.4412370512209</v>
      </c>
      <c r="F79" s="39">
        <f t="shared" si="74"/>
        <v>3075.4412370512209</v>
      </c>
      <c r="G79" s="39">
        <f t="shared" si="74"/>
        <v>3321.6544401544402</v>
      </c>
      <c r="H79" s="39">
        <f t="shared" si="74"/>
        <v>2936.9769941322952</v>
      </c>
      <c r="I79" s="39">
        <f t="shared" si="74"/>
        <v>2725.0830965745067</v>
      </c>
      <c r="J79" s="39">
        <f t="shared" si="74"/>
        <v>2520.2231823157626</v>
      </c>
      <c r="K79" s="39">
        <f t="shared" si="74"/>
        <v>2029.6408638407599</v>
      </c>
      <c r="L79" s="39">
        <f t="shared" si="74"/>
        <v>1708</v>
      </c>
      <c r="M79" s="39">
        <f t="shared" si="74"/>
        <v>1437.1848989425114</v>
      </c>
      <c r="N79" s="39">
        <f t="shared" si="74"/>
        <v>1275.185335458629</v>
      </c>
      <c r="O79" s="39">
        <f t="shared" si="74"/>
        <v>1326.5853226964296</v>
      </c>
      <c r="P79" s="39">
        <f t="shared" si="74"/>
        <v>1250.8457572832583</v>
      </c>
      <c r="Q79" s="39">
        <f t="shared" si="74"/>
        <v>1207.0822276885083</v>
      </c>
      <c r="R79" s="39">
        <f t="shared" si="74"/>
        <v>1159.9633837836609</v>
      </c>
      <c r="S79" s="39">
        <f t="shared" si="74"/>
        <v>1186.5536759697736</v>
      </c>
      <c r="T79" s="39">
        <f t="shared" si="74"/>
        <v>1225.6206564738586</v>
      </c>
      <c r="U79" s="39">
        <f t="shared" si="74"/>
        <v>1226.1179927245594</v>
      </c>
      <c r="V79" s="39">
        <f t="shared" si="74"/>
        <v>1323.7611843044976</v>
      </c>
      <c r="W79" s="39">
        <f t="shared" ref="W79" si="75">IF(W17=0,0,W17*1000000/W27)</f>
        <v>1801.7348607154822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966.75792777581978</v>
      </c>
      <c r="C80" s="15">
        <f t="shared" si="65"/>
        <v>1006.0303209739911</v>
      </c>
      <c r="D80" s="15">
        <f t="shared" ref="D80:V80" si="76">IF(D18=0,0,D18*1000000/D28)</f>
        <v>1001.2191399234051</v>
      </c>
      <c r="E80" s="15">
        <f t="shared" si="76"/>
        <v>1030.5913547831128</v>
      </c>
      <c r="F80" s="15">
        <f t="shared" si="76"/>
        <v>1016.3541317449797</v>
      </c>
      <c r="G80" s="15">
        <f t="shared" si="76"/>
        <v>1210.1244800950681</v>
      </c>
      <c r="H80" s="15">
        <f t="shared" si="76"/>
        <v>1304.5788274601514</v>
      </c>
      <c r="I80" s="15">
        <f t="shared" si="76"/>
        <v>1594.2843080924579</v>
      </c>
      <c r="J80" s="15">
        <f t="shared" si="76"/>
        <v>1772.4698378660603</v>
      </c>
      <c r="K80" s="15">
        <f t="shared" si="76"/>
        <v>1587.276174616087</v>
      </c>
      <c r="L80" s="15">
        <f t="shared" si="76"/>
        <v>1830.7204563100427</v>
      </c>
      <c r="M80" s="15">
        <f t="shared" si="76"/>
        <v>1726.8454987246873</v>
      </c>
      <c r="N80" s="15">
        <f t="shared" si="76"/>
        <v>3285.3156228206017</v>
      </c>
      <c r="O80" s="15">
        <f t="shared" si="76"/>
        <v>3297.660899635333</v>
      </c>
      <c r="P80" s="15">
        <f t="shared" si="76"/>
        <v>2467.8586340068027</v>
      </c>
      <c r="Q80" s="15">
        <f t="shared" si="76"/>
        <v>1541.2124591947695</v>
      </c>
      <c r="R80" s="15">
        <f t="shared" si="76"/>
        <v>1307.2706495739583</v>
      </c>
      <c r="S80" s="15">
        <f t="shared" si="76"/>
        <v>1168.9024013266448</v>
      </c>
      <c r="T80" s="15">
        <f t="shared" si="76"/>
        <v>1064.1417460844796</v>
      </c>
      <c r="U80" s="15">
        <f t="shared" si="76"/>
        <v>1616.8523168908816</v>
      </c>
      <c r="V80" s="15">
        <f t="shared" si="76"/>
        <v>1623.3014002788429</v>
      </c>
      <c r="W80" s="15">
        <f t="shared" ref="W80" si="77">IF(W18=0,0,W18*1000000/W28)</f>
        <v>1533.2323345238715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716.02168495087619</v>
      </c>
      <c r="C82" s="41">
        <f t="shared" si="65"/>
        <v>704.06639861505948</v>
      </c>
      <c r="D82" s="41">
        <f t="shared" ref="D82:V82" si="80">IF(D20=0,0,D20*1000000/D30)</f>
        <v>704.64480262081827</v>
      </c>
      <c r="E82" s="41">
        <f t="shared" si="80"/>
        <v>701.07755516451255</v>
      </c>
      <c r="F82" s="41">
        <f t="shared" si="80"/>
        <v>699.48965281501069</v>
      </c>
      <c r="G82" s="41">
        <f t="shared" si="80"/>
        <v>838.6288515406161</v>
      </c>
      <c r="H82" s="41">
        <f t="shared" si="80"/>
        <v>891.1788083132767</v>
      </c>
      <c r="I82" s="41">
        <f t="shared" si="80"/>
        <v>981.93456577707127</v>
      </c>
      <c r="J82" s="41">
        <f t="shared" si="80"/>
        <v>1077.2400521990694</v>
      </c>
      <c r="K82" s="41">
        <f t="shared" si="80"/>
        <v>1120.4384560021354</v>
      </c>
      <c r="L82" s="41">
        <f t="shared" si="80"/>
        <v>1240.5430418681756</v>
      </c>
      <c r="M82" s="41">
        <f t="shared" si="80"/>
        <v>1122.3377172147295</v>
      </c>
      <c r="N82" s="41">
        <f t="shared" si="80"/>
        <v>1089.9022749620092</v>
      </c>
      <c r="O82" s="41">
        <f t="shared" si="80"/>
        <v>1047.9623468260472</v>
      </c>
      <c r="P82" s="41">
        <f t="shared" si="80"/>
        <v>1003.5384222233564</v>
      </c>
      <c r="Q82" s="41">
        <f t="shared" si="80"/>
        <v>911.53273126076408</v>
      </c>
      <c r="R82" s="41">
        <f t="shared" si="80"/>
        <v>818.74724798134582</v>
      </c>
      <c r="S82" s="41">
        <f t="shared" si="80"/>
        <v>755.42035020843264</v>
      </c>
      <c r="T82" s="41">
        <f t="shared" si="80"/>
        <v>737.47782710890579</v>
      </c>
      <c r="U82" s="41">
        <f t="shared" si="80"/>
        <v>815.2072796934865</v>
      </c>
      <c r="V82" s="41">
        <f t="shared" si="80"/>
        <v>777.12396471553257</v>
      </c>
      <c r="W82" s="41">
        <f t="shared" ref="W82" si="81">IF(W20=0,0,W20*1000000/W30)</f>
        <v>962.31828322580589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3044.2867968967812</v>
      </c>
      <c r="C83" s="40">
        <f t="shared" si="65"/>
        <v>3044.2867968967812</v>
      </c>
      <c r="D83" s="40">
        <f t="shared" ref="D83:V83" si="82">IF(D21=0,0,D21*1000000/D31)</f>
        <v>3044.2867968967812</v>
      </c>
      <c r="E83" s="40">
        <f t="shared" si="82"/>
        <v>3044.2867968967812</v>
      </c>
      <c r="F83" s="40">
        <f t="shared" si="82"/>
        <v>3044.2867968967812</v>
      </c>
      <c r="G83" s="40">
        <f t="shared" si="82"/>
        <v>3290.5</v>
      </c>
      <c r="H83" s="40">
        <f t="shared" si="82"/>
        <v>3566.1201086754095</v>
      </c>
      <c r="I83" s="40">
        <f t="shared" si="82"/>
        <v>4014.5237658151768</v>
      </c>
      <c r="J83" s="40">
        <f t="shared" si="82"/>
        <v>4469.9614062539858</v>
      </c>
      <c r="K83" s="40">
        <f t="shared" si="82"/>
        <v>4639.6766424765383</v>
      </c>
      <c r="L83" s="40">
        <f t="shared" si="82"/>
        <v>4978.3333333333339</v>
      </c>
      <c r="M83" s="40">
        <f t="shared" si="82"/>
        <v>4826.8854039039588</v>
      </c>
      <c r="N83" s="40">
        <f t="shared" si="82"/>
        <v>4784.2530120481924</v>
      </c>
      <c r="O83" s="40">
        <f t="shared" si="82"/>
        <v>4378.3984397103823</v>
      </c>
      <c r="P83" s="40">
        <f t="shared" si="82"/>
        <v>3845.4043147216003</v>
      </c>
      <c r="Q83" s="40">
        <f t="shared" si="82"/>
        <v>3344.386225551239</v>
      </c>
      <c r="R83" s="40">
        <f t="shared" si="82"/>
        <v>2840.0128220707797</v>
      </c>
      <c r="S83" s="40">
        <f t="shared" si="82"/>
        <v>2409.3485546812817</v>
      </c>
      <c r="T83" s="40">
        <f t="shared" si="82"/>
        <v>1991.1609756097564</v>
      </c>
      <c r="U83" s="40">
        <f t="shared" si="82"/>
        <v>4463.5102040816319</v>
      </c>
      <c r="V83" s="40">
        <f t="shared" si="82"/>
        <v>4561.1533956615713</v>
      </c>
      <c r="W83" s="40">
        <f t="shared" ref="W83" si="83">IF(W21=0,0,W21*1000000/W31)</f>
        <v>5039.1270720725552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77237.32667585637</v>
      </c>
      <c r="C86" s="11">
        <f t="shared" si="84"/>
        <v>79323.456483795919</v>
      </c>
      <c r="D86" s="11">
        <f t="shared" ref="D86:V86" si="85">IF(D4=0,0,D4*1000000/D24)</f>
        <v>80749.378267235254</v>
      </c>
      <c r="E86" s="11">
        <f t="shared" si="85"/>
        <v>81485.357351372397</v>
      </c>
      <c r="F86" s="11">
        <f t="shared" si="85"/>
        <v>82143.652157726625</v>
      </c>
      <c r="G86" s="11">
        <f t="shared" si="85"/>
        <v>120777.31930423569</v>
      </c>
      <c r="H86" s="11">
        <f t="shared" si="85"/>
        <v>126280.25619569451</v>
      </c>
      <c r="I86" s="11">
        <f t="shared" si="85"/>
        <v>128363.99265557807</v>
      </c>
      <c r="J86" s="11">
        <f t="shared" si="85"/>
        <v>116060.16633131582</v>
      </c>
      <c r="K86" s="11">
        <f t="shared" si="85"/>
        <v>101085.40465309657</v>
      </c>
      <c r="L86" s="11">
        <f t="shared" si="85"/>
        <v>99856.039732649966</v>
      </c>
      <c r="M86" s="11">
        <f t="shared" si="85"/>
        <v>95361.038321400163</v>
      </c>
      <c r="N86" s="11">
        <f t="shared" si="85"/>
        <v>94404.341535083877</v>
      </c>
      <c r="O86" s="11">
        <f t="shared" si="85"/>
        <v>99170.220632809534</v>
      </c>
      <c r="P86" s="11">
        <f t="shared" si="85"/>
        <v>99457.243161542661</v>
      </c>
      <c r="Q86" s="11">
        <f t="shared" si="85"/>
        <v>100467.21415522801</v>
      </c>
      <c r="R86" s="11">
        <f t="shared" si="85"/>
        <v>105639.07264316494</v>
      </c>
      <c r="S86" s="11">
        <f t="shared" si="85"/>
        <v>109157.87171175095</v>
      </c>
      <c r="T86" s="11">
        <f t="shared" si="85"/>
        <v>112618.87140105967</v>
      </c>
      <c r="U86" s="11">
        <f t="shared" si="85"/>
        <v>118391.00924666937</v>
      </c>
      <c r="V86" s="11">
        <f t="shared" si="85"/>
        <v>96312.483027439914</v>
      </c>
      <c r="W86" s="11">
        <f t="shared" ref="W86" si="86">IF(W4=0,0,W4*1000000/W24)</f>
        <v>114883.24722261231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63358.660812093956</v>
      </c>
      <c r="C88" s="36">
        <f t="shared" si="84"/>
        <v>65160.442250006279</v>
      </c>
      <c r="D88" s="36">
        <f t="shared" ref="D88:V88" si="89">IF(D6=0,0,D6*1000000/D26)</f>
        <v>66162.056255845164</v>
      </c>
      <c r="E88" s="36">
        <f t="shared" si="89"/>
        <v>66338.919055911887</v>
      </c>
      <c r="F88" s="36">
        <f t="shared" si="89"/>
        <v>66482.909971221612</v>
      </c>
      <c r="G88" s="36">
        <f t="shared" si="89"/>
        <v>100003.30237701292</v>
      </c>
      <c r="H88" s="36">
        <f t="shared" si="89"/>
        <v>108537.08523985316</v>
      </c>
      <c r="I88" s="36">
        <f t="shared" si="89"/>
        <v>105528.24702519452</v>
      </c>
      <c r="J88" s="36">
        <f t="shared" si="89"/>
        <v>91850.610617954386</v>
      </c>
      <c r="K88" s="36">
        <f t="shared" si="89"/>
        <v>85013.474182008795</v>
      </c>
      <c r="L88" s="36">
        <f t="shared" si="89"/>
        <v>86504.674301900217</v>
      </c>
      <c r="M88" s="36">
        <f t="shared" si="89"/>
        <v>84948.650169928966</v>
      </c>
      <c r="N88" s="36">
        <f t="shared" si="89"/>
        <v>85298.874429148418</v>
      </c>
      <c r="O88" s="36">
        <f t="shared" si="89"/>
        <v>90234.298103158129</v>
      </c>
      <c r="P88" s="36">
        <f t="shared" si="89"/>
        <v>94790.505115669061</v>
      </c>
      <c r="Q88" s="36">
        <f t="shared" si="89"/>
        <v>96036.133356369901</v>
      </c>
      <c r="R88" s="36">
        <f t="shared" si="89"/>
        <v>103387.457982162</v>
      </c>
      <c r="S88" s="36">
        <f t="shared" si="89"/>
        <v>106598.14816770425</v>
      </c>
      <c r="T88" s="36">
        <f t="shared" si="89"/>
        <v>110513.99030620349</v>
      </c>
      <c r="U88" s="36">
        <f t="shared" si="89"/>
        <v>116099.21446488699</v>
      </c>
      <c r="V88" s="36">
        <f t="shared" si="89"/>
        <v>90968.985840853435</v>
      </c>
      <c r="W88" s="36">
        <f t="shared" ref="W88" si="90">IF(W6=0,0,W6*1000000/W26)</f>
        <v>102710.56580344471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172018.45940398992</v>
      </c>
      <c r="C89" s="36">
        <f t="shared" si="84"/>
        <v>176014.92393859604</v>
      </c>
      <c r="D89" s="36">
        <f t="shared" ref="D89:V89" si="91">IF(D7=0,0,D7*1000000/D27)</f>
        <v>180380.95861701085</v>
      </c>
      <c r="E89" s="36">
        <f t="shared" si="91"/>
        <v>184992.16114500602</v>
      </c>
      <c r="F89" s="36">
        <f t="shared" si="91"/>
        <v>189127.14968852207</v>
      </c>
      <c r="G89" s="36">
        <f t="shared" si="91"/>
        <v>245315.9203199271</v>
      </c>
      <c r="H89" s="36">
        <f t="shared" si="91"/>
        <v>211638.35117118852</v>
      </c>
      <c r="I89" s="36">
        <f t="shared" si="91"/>
        <v>223482.74854738478</v>
      </c>
      <c r="J89" s="36">
        <f t="shared" si="91"/>
        <v>219468.99558192582</v>
      </c>
      <c r="K89" s="36">
        <f t="shared" si="91"/>
        <v>172755.05476178904</v>
      </c>
      <c r="L89" s="36">
        <f t="shared" si="91"/>
        <v>154749.10157992571</v>
      </c>
      <c r="M89" s="36">
        <f t="shared" si="91"/>
        <v>136876.984578036</v>
      </c>
      <c r="N89" s="36">
        <f t="shared" si="91"/>
        <v>127598.17160583845</v>
      </c>
      <c r="O89" s="36">
        <f t="shared" si="91"/>
        <v>128636.91585387717</v>
      </c>
      <c r="P89" s="36">
        <f t="shared" si="91"/>
        <v>115562.77316266345</v>
      </c>
      <c r="Q89" s="36">
        <f t="shared" si="91"/>
        <v>118226.73818319033</v>
      </c>
      <c r="R89" s="36">
        <f t="shared" si="91"/>
        <v>113533.381931222</v>
      </c>
      <c r="S89" s="36">
        <f t="shared" si="91"/>
        <v>117749.85740398352</v>
      </c>
      <c r="T89" s="36">
        <f t="shared" si="91"/>
        <v>119098.43366205746</v>
      </c>
      <c r="U89" s="36">
        <f t="shared" si="91"/>
        <v>124784.70344160058</v>
      </c>
      <c r="V89" s="36">
        <f t="shared" si="91"/>
        <v>127338.88008780815</v>
      </c>
      <c r="W89" s="36">
        <f t="shared" ref="W89" si="92">IF(W7=0,0,W7*1000000/W27)</f>
        <v>184569.9970972478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43427.189143189709</v>
      </c>
      <c r="C90" s="13">
        <f t="shared" si="84"/>
        <v>50622.31352960314</v>
      </c>
      <c r="D90" s="13">
        <f t="shared" ref="D90:V90" si="93">IF(D8=0,0,D8*1000000/D28)</f>
        <v>47272.160071077305</v>
      </c>
      <c r="E90" s="13">
        <f t="shared" si="93"/>
        <v>47597.568798471933</v>
      </c>
      <c r="F90" s="13">
        <f t="shared" si="93"/>
        <v>44035.021136444826</v>
      </c>
      <c r="G90" s="13">
        <f t="shared" si="93"/>
        <v>50047.400357316175</v>
      </c>
      <c r="H90" s="13">
        <f t="shared" si="93"/>
        <v>51455.962130545493</v>
      </c>
      <c r="I90" s="13">
        <f t="shared" si="93"/>
        <v>67959.989371587988</v>
      </c>
      <c r="J90" s="13">
        <f t="shared" si="93"/>
        <v>74270.80647385637</v>
      </c>
      <c r="K90" s="13">
        <f t="shared" si="93"/>
        <v>62695.457479856013</v>
      </c>
      <c r="L90" s="13">
        <f t="shared" si="93"/>
        <v>77904.679275738847</v>
      </c>
      <c r="M90" s="13">
        <f t="shared" si="93"/>
        <v>78861.931170903074</v>
      </c>
      <c r="N90" s="13">
        <f t="shared" si="93"/>
        <v>241823.3422894839</v>
      </c>
      <c r="O90" s="13">
        <f t="shared" si="93"/>
        <v>252553.80160631868</v>
      </c>
      <c r="P90" s="13">
        <f t="shared" si="93"/>
        <v>197598.49955950282</v>
      </c>
      <c r="Q90" s="13">
        <f t="shared" si="93"/>
        <v>97667.308507473106</v>
      </c>
      <c r="R90" s="13">
        <f t="shared" si="93"/>
        <v>86994.400985082582</v>
      </c>
      <c r="S90" s="13">
        <f t="shared" si="93"/>
        <v>73701.80222921283</v>
      </c>
      <c r="T90" s="13">
        <f t="shared" si="93"/>
        <v>62933.563708717149</v>
      </c>
      <c r="U90" s="13">
        <f t="shared" si="93"/>
        <v>111569.67331826405</v>
      </c>
      <c r="V90" s="13">
        <f t="shared" si="93"/>
        <v>76585.668669691382</v>
      </c>
      <c r="W90" s="13">
        <f t="shared" ref="W90" si="94">IF(W8=0,0,W8*1000000/W28)</f>
        <v>56225.47908931756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18567.312599065659</v>
      </c>
      <c r="C92" s="34">
        <f t="shared" si="84"/>
        <v>19414.787041939813</v>
      </c>
      <c r="D92" s="34">
        <f t="shared" ref="D92:V92" si="97">IF(D10=0,0,D10*1000000/D30)</f>
        <v>18315.402101545194</v>
      </c>
      <c r="E92" s="34">
        <f t="shared" si="97"/>
        <v>18692.154186761247</v>
      </c>
      <c r="F92" s="34">
        <f t="shared" si="97"/>
        <v>16904.984295469756</v>
      </c>
      <c r="G92" s="34">
        <f t="shared" si="97"/>
        <v>19473.826198153842</v>
      </c>
      <c r="H92" s="34">
        <f t="shared" si="97"/>
        <v>18489.044179159435</v>
      </c>
      <c r="I92" s="34">
        <f t="shared" si="97"/>
        <v>20230.533508567161</v>
      </c>
      <c r="J92" s="34">
        <f t="shared" si="97"/>
        <v>21260.181312737386</v>
      </c>
      <c r="K92" s="34">
        <f t="shared" si="97"/>
        <v>22163.906894817257</v>
      </c>
      <c r="L92" s="34">
        <f t="shared" si="97"/>
        <v>25483.296836474135</v>
      </c>
      <c r="M92" s="34">
        <f t="shared" si="97"/>
        <v>24127.189767191008</v>
      </c>
      <c r="N92" s="34">
        <f t="shared" si="97"/>
        <v>24932.75351772572</v>
      </c>
      <c r="O92" s="34">
        <f t="shared" si="97"/>
        <v>23043.987224974251</v>
      </c>
      <c r="P92" s="34">
        <f t="shared" si="97"/>
        <v>25188.408446655521</v>
      </c>
      <c r="Q92" s="34">
        <f t="shared" si="97"/>
        <v>22926.666132881714</v>
      </c>
      <c r="R92" s="34">
        <f t="shared" si="97"/>
        <v>22731.233095873042</v>
      </c>
      <c r="S92" s="34">
        <f t="shared" si="97"/>
        <v>19408.391672460566</v>
      </c>
      <c r="T92" s="34">
        <f t="shared" si="97"/>
        <v>18920.816894358206</v>
      </c>
      <c r="U92" s="34">
        <f t="shared" si="97"/>
        <v>22171.164949082839</v>
      </c>
      <c r="V92" s="34">
        <f t="shared" si="97"/>
        <v>17631.151711632647</v>
      </c>
      <c r="W92" s="34">
        <f t="shared" ref="W92" si="98">IF(W10=0,0,W10*1000000/W30)</f>
        <v>19488.281024596858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249409.02336593185</v>
      </c>
      <c r="C93" s="35">
        <f t="shared" si="84"/>
        <v>261273.11732133053</v>
      </c>
      <c r="D93" s="35">
        <f t="shared" ref="D93:V93" si="99">IF(D11=0,0,D11*1000000/D31)</f>
        <v>246752.04830563188</v>
      </c>
      <c r="E93" s="35">
        <f t="shared" si="99"/>
        <v>224241.76920337055</v>
      </c>
      <c r="F93" s="35">
        <f t="shared" si="99"/>
        <v>217667.25691868522</v>
      </c>
      <c r="G93" s="35">
        <f t="shared" si="99"/>
        <v>221259.41564862523</v>
      </c>
      <c r="H93" s="35">
        <f t="shared" si="99"/>
        <v>231804.39562930458</v>
      </c>
      <c r="I93" s="35">
        <f t="shared" si="99"/>
        <v>256604.98159209886</v>
      </c>
      <c r="J93" s="35">
        <f t="shared" si="99"/>
        <v>279952.03209899808</v>
      </c>
      <c r="K93" s="35">
        <f t="shared" si="99"/>
        <v>327709.44207434019</v>
      </c>
      <c r="L93" s="35">
        <f t="shared" si="99"/>
        <v>357485.38561848406</v>
      </c>
      <c r="M93" s="35">
        <f t="shared" si="99"/>
        <v>359552.91272840078</v>
      </c>
      <c r="N93" s="35">
        <f t="shared" si="99"/>
        <v>389907.26151985675</v>
      </c>
      <c r="O93" s="35">
        <f t="shared" si="99"/>
        <v>362808.51635814103</v>
      </c>
      <c r="P93" s="35">
        <f t="shared" si="99"/>
        <v>359791.69638418138</v>
      </c>
      <c r="Q93" s="35">
        <f t="shared" si="99"/>
        <v>311697.32985289389</v>
      </c>
      <c r="R93" s="35">
        <f t="shared" si="99"/>
        <v>288620.0902374775</v>
      </c>
      <c r="S93" s="35">
        <f t="shared" si="99"/>
        <v>236582.03389946962</v>
      </c>
      <c r="T93" s="35">
        <f t="shared" si="99"/>
        <v>187834.60196568174</v>
      </c>
      <c r="U93" s="35">
        <f t="shared" si="99"/>
        <v>429025.60099658096</v>
      </c>
      <c r="V93" s="35">
        <f t="shared" si="99"/>
        <v>281270.45226564811</v>
      </c>
      <c r="W93" s="35">
        <f t="shared" ref="W93" si="100">IF(W11=0,0,W11*1000000/W31)</f>
        <v>281822.92072619399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1163.845275432787</v>
      </c>
      <c r="C95" s="62">
        <f t="shared" si="101"/>
        <v>1163.5006590651637</v>
      </c>
      <c r="D95" s="62">
        <f t="shared" ref="D95:V95" si="102">IF(D23=0,0,D23/D43)</f>
        <v>1163.5694062032815</v>
      </c>
      <c r="E95" s="62">
        <f t="shared" si="102"/>
        <v>1164.0012473386853</v>
      </c>
      <c r="F95" s="62">
        <f t="shared" si="102"/>
        <v>1164.2092012874343</v>
      </c>
      <c r="G95" s="62">
        <f t="shared" si="102"/>
        <v>1080.8696024402013</v>
      </c>
      <c r="H95" s="62">
        <f t="shared" si="102"/>
        <v>1076.6464378164665</v>
      </c>
      <c r="I95" s="62">
        <f t="shared" si="102"/>
        <v>1075.5367123328576</v>
      </c>
      <c r="J95" s="62">
        <f t="shared" si="102"/>
        <v>1115.5768003080059</v>
      </c>
      <c r="K95" s="62">
        <f t="shared" si="102"/>
        <v>1184.4390750710309</v>
      </c>
      <c r="L95" s="62">
        <f t="shared" si="102"/>
        <v>1235.0702943384845</v>
      </c>
      <c r="M95" s="62">
        <f t="shared" si="102"/>
        <v>1289.281595549844</v>
      </c>
      <c r="N95" s="62">
        <f t="shared" si="102"/>
        <v>1185.1899599571775</v>
      </c>
      <c r="O95" s="62">
        <f t="shared" si="102"/>
        <v>1154.7002442614685</v>
      </c>
      <c r="P95" s="62">
        <f t="shared" si="102"/>
        <v>1134.8367127974909</v>
      </c>
      <c r="Q95" s="62">
        <f t="shared" si="102"/>
        <v>1178.509241035471</v>
      </c>
      <c r="R95" s="62">
        <f t="shared" si="102"/>
        <v>1183.0248387682166</v>
      </c>
      <c r="S95" s="62">
        <f t="shared" si="102"/>
        <v>1224.3980310720929</v>
      </c>
      <c r="T95" s="62">
        <f t="shared" si="102"/>
        <v>1214.4933930761208</v>
      </c>
      <c r="U95" s="62">
        <f t="shared" si="102"/>
        <v>1204.5206924244928</v>
      </c>
      <c r="V95" s="62">
        <f t="shared" si="102"/>
        <v>400.12475191717209</v>
      </c>
      <c r="W95" s="62">
        <f t="shared" ref="W95" si="103">IF(W23=0,0,W23/W43)</f>
        <v>447.44834033529503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1165.1847606901947</v>
      </c>
      <c r="C96" s="11">
        <f t="shared" si="104"/>
        <v>1165.1448713126849</v>
      </c>
      <c r="D96" s="11">
        <f t="shared" ref="D96:V96" si="105">IF(D24=0,0,D24/D44)</f>
        <v>1165.2313005315414</v>
      </c>
      <c r="E96" s="11">
        <f t="shared" si="105"/>
        <v>1165.3394179890504</v>
      </c>
      <c r="F96" s="11">
        <f t="shared" si="105"/>
        <v>1165.274543585396</v>
      </c>
      <c r="G96" s="11">
        <f t="shared" si="105"/>
        <v>1081.8908234522751</v>
      </c>
      <c r="H96" s="11">
        <f t="shared" si="105"/>
        <v>1077.8963536920262</v>
      </c>
      <c r="I96" s="11">
        <f t="shared" si="105"/>
        <v>1077.4441122105509</v>
      </c>
      <c r="J96" s="11">
        <f t="shared" si="105"/>
        <v>1117.9090108604848</v>
      </c>
      <c r="K96" s="11">
        <f t="shared" si="105"/>
        <v>1187.8633556299499</v>
      </c>
      <c r="L96" s="11">
        <f t="shared" si="105"/>
        <v>1240.7286177192918</v>
      </c>
      <c r="M96" s="11">
        <f t="shared" si="105"/>
        <v>1295.6017789382684</v>
      </c>
      <c r="N96" s="11">
        <f t="shared" si="105"/>
        <v>1211.4580709661095</v>
      </c>
      <c r="O96" s="11">
        <f t="shared" si="105"/>
        <v>1193.7155978852347</v>
      </c>
      <c r="P96" s="11">
        <f t="shared" si="105"/>
        <v>1182.2651692540312</v>
      </c>
      <c r="Q96" s="11">
        <f t="shared" si="105"/>
        <v>1236.0052711781805</v>
      </c>
      <c r="R96" s="11">
        <f t="shared" si="105"/>
        <v>1241.7199473228459</v>
      </c>
      <c r="S96" s="11">
        <f t="shared" si="105"/>
        <v>1280.5907328425662</v>
      </c>
      <c r="T96" s="11">
        <f t="shared" si="105"/>
        <v>1262.4358526459457</v>
      </c>
      <c r="U96" s="11">
        <f t="shared" si="105"/>
        <v>1250.3301208832345</v>
      </c>
      <c r="V96" s="11">
        <f t="shared" si="105"/>
        <v>407.6489875152069</v>
      </c>
      <c r="W96" s="11">
        <f t="shared" ref="W96" si="106">IF(W24=0,0,W24/W44)</f>
        <v>455.64320926573947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1405.025699251649</v>
      </c>
      <c r="C98" s="36">
        <f t="shared" si="104"/>
        <v>1405.0535881630904</v>
      </c>
      <c r="D98" s="36">
        <f t="shared" ref="D98:V98" si="109">IF(D26=0,0,D26/D46)</f>
        <v>1405.0717969898296</v>
      </c>
      <c r="E98" s="36">
        <f t="shared" si="109"/>
        <v>1405.0942571019762</v>
      </c>
      <c r="F98" s="36">
        <f t="shared" si="109"/>
        <v>1405.0886071375248</v>
      </c>
      <c r="G98" s="36">
        <f t="shared" si="109"/>
        <v>1334.2586176859909</v>
      </c>
      <c r="H98" s="36">
        <f t="shared" si="109"/>
        <v>1337.9942891924954</v>
      </c>
      <c r="I98" s="36">
        <f t="shared" si="109"/>
        <v>1344.0251453550125</v>
      </c>
      <c r="J98" s="36">
        <f t="shared" si="109"/>
        <v>1371.0548316685229</v>
      </c>
      <c r="K98" s="36">
        <f t="shared" si="109"/>
        <v>1428.5084875482426</v>
      </c>
      <c r="L98" s="36">
        <f t="shared" si="109"/>
        <v>1420.5712325087318</v>
      </c>
      <c r="M98" s="36">
        <f t="shared" si="109"/>
        <v>1456.6196122799577</v>
      </c>
      <c r="N98" s="36">
        <f t="shared" si="109"/>
        <v>1336.5216352666794</v>
      </c>
      <c r="O98" s="36">
        <f t="shared" si="109"/>
        <v>1292.1799140028336</v>
      </c>
      <c r="P98" s="36">
        <f t="shared" si="109"/>
        <v>1288.3936757444687</v>
      </c>
      <c r="Q98" s="36">
        <f t="shared" si="109"/>
        <v>1384.6523221986708</v>
      </c>
      <c r="R98" s="36">
        <f t="shared" si="109"/>
        <v>1348.9936219326455</v>
      </c>
      <c r="S98" s="36">
        <f t="shared" si="109"/>
        <v>1387.7473805784823</v>
      </c>
      <c r="T98" s="36">
        <f t="shared" si="109"/>
        <v>1380.7111726235128</v>
      </c>
      <c r="U98" s="36">
        <f t="shared" si="109"/>
        <v>1374.938009786172</v>
      </c>
      <c r="V98" s="36">
        <f t="shared" si="109"/>
        <v>519.97165210112462</v>
      </c>
      <c r="W98" s="36">
        <f t="shared" ref="W98" si="110">IF(W26=0,0,W26/W46)</f>
        <v>580.52818891253355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538</v>
      </c>
      <c r="C99" s="36">
        <f t="shared" si="104"/>
        <v>538</v>
      </c>
      <c r="D99" s="36">
        <f t="shared" ref="D99:V99" si="111">IF(D27=0,0,D27/D47)</f>
        <v>538</v>
      </c>
      <c r="E99" s="36">
        <f t="shared" si="111"/>
        <v>538</v>
      </c>
      <c r="F99" s="36">
        <f t="shared" si="111"/>
        <v>538</v>
      </c>
      <c r="G99" s="36">
        <f t="shared" si="111"/>
        <v>507</v>
      </c>
      <c r="H99" s="36">
        <f t="shared" si="111"/>
        <v>557</v>
      </c>
      <c r="I99" s="36">
        <f t="shared" si="111"/>
        <v>590</v>
      </c>
      <c r="J99" s="36">
        <f t="shared" si="111"/>
        <v>625</v>
      </c>
      <c r="K99" s="36">
        <f t="shared" si="111"/>
        <v>678.30996744645665</v>
      </c>
      <c r="L99" s="36">
        <f t="shared" si="111"/>
        <v>816</v>
      </c>
      <c r="M99" s="36">
        <f t="shared" si="111"/>
        <v>899.25503465073291</v>
      </c>
      <c r="N99" s="36">
        <f t="shared" si="111"/>
        <v>903.31671381824106</v>
      </c>
      <c r="O99" s="36">
        <f t="shared" si="111"/>
        <v>954</v>
      </c>
      <c r="P99" s="36">
        <f t="shared" si="111"/>
        <v>920.56710147957972</v>
      </c>
      <c r="Q99" s="36">
        <f t="shared" si="111"/>
        <v>864.17849157572539</v>
      </c>
      <c r="R99" s="36">
        <f t="shared" si="111"/>
        <v>970.99887701788418</v>
      </c>
      <c r="S99" s="36">
        <f t="shared" si="111"/>
        <v>1017</v>
      </c>
      <c r="T99" s="36">
        <f t="shared" si="111"/>
        <v>999.00000000000011</v>
      </c>
      <c r="U99" s="36">
        <f t="shared" si="111"/>
        <v>998</v>
      </c>
      <c r="V99" s="36">
        <f t="shared" si="111"/>
        <v>180.83357568351917</v>
      </c>
      <c r="W99" s="36">
        <f t="shared" ref="W99" si="112">IF(W27=0,0,W27/W47)</f>
        <v>204.18269993679166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1045.1720856768147</v>
      </c>
      <c r="C100" s="13">
        <f t="shared" si="104"/>
        <v>1015.040371134363</v>
      </c>
      <c r="D100" s="13">
        <f t="shared" ref="D100:V100" si="113">IF(D28=0,0,D28/D48)</f>
        <v>1025.9246074900952</v>
      </c>
      <c r="E100" s="13">
        <f t="shared" si="113"/>
        <v>992.0704188756107</v>
      </c>
      <c r="F100" s="13">
        <f t="shared" si="113"/>
        <v>1017.6935676309106</v>
      </c>
      <c r="G100" s="13">
        <f t="shared" si="113"/>
        <v>944.43775811424064</v>
      </c>
      <c r="H100" s="13">
        <f t="shared" si="113"/>
        <v>907.20924462398011</v>
      </c>
      <c r="I100" s="13">
        <f t="shared" si="113"/>
        <v>787.44492112721105</v>
      </c>
      <c r="J100" s="13">
        <f t="shared" si="113"/>
        <v>771.28678952531334</v>
      </c>
      <c r="K100" s="13">
        <f t="shared" si="113"/>
        <v>832.21858397583276</v>
      </c>
      <c r="L100" s="13">
        <f t="shared" si="113"/>
        <v>765.98383220737765</v>
      </c>
      <c r="M100" s="13">
        <f t="shared" si="113"/>
        <v>752.21940322720252</v>
      </c>
      <c r="N100" s="13">
        <f t="shared" si="113"/>
        <v>488.56023632099618</v>
      </c>
      <c r="O100" s="13">
        <f t="shared" si="113"/>
        <v>492.04179973913432</v>
      </c>
      <c r="P100" s="13">
        <f t="shared" si="113"/>
        <v>340.52785886692419</v>
      </c>
      <c r="Q100" s="13">
        <f t="shared" si="113"/>
        <v>221.83880816716163</v>
      </c>
      <c r="R100" s="13">
        <f t="shared" si="113"/>
        <v>216.84651107126624</v>
      </c>
      <c r="S100" s="13">
        <f t="shared" si="113"/>
        <v>255.30273276015294</v>
      </c>
      <c r="T100" s="13">
        <f t="shared" si="113"/>
        <v>273.05990196486505</v>
      </c>
      <c r="U100" s="13">
        <f t="shared" si="113"/>
        <v>279.14812251276715</v>
      </c>
      <c r="V100" s="13">
        <f t="shared" si="113"/>
        <v>249.57691974347523</v>
      </c>
      <c r="W100" s="13">
        <f t="shared" ref="W100" si="114">IF(W28=0,0,W28/W48)</f>
        <v>296.36350808990608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1196.7343479853635</v>
      </c>
      <c r="C102" s="34">
        <f t="shared" si="104"/>
        <v>1189.5572770746246</v>
      </c>
      <c r="D102" s="34">
        <f t="shared" ref="D102:V102" si="117">IF(D30=0,0,D30/D50)</f>
        <v>1202.5103850219377</v>
      </c>
      <c r="E102" s="34">
        <f t="shared" si="117"/>
        <v>1173.596450722976</v>
      </c>
      <c r="F102" s="34">
        <f t="shared" si="117"/>
        <v>1205.1460482542188</v>
      </c>
      <c r="G102" s="34">
        <f t="shared" si="117"/>
        <v>1137.7098032753611</v>
      </c>
      <c r="H102" s="34">
        <f t="shared" si="117"/>
        <v>1106.4599569402208</v>
      </c>
      <c r="I102" s="34">
        <f t="shared" si="117"/>
        <v>1012.7707008303166</v>
      </c>
      <c r="J102" s="34">
        <f t="shared" si="117"/>
        <v>1038.4284873901229</v>
      </c>
      <c r="K102" s="34">
        <f t="shared" si="117"/>
        <v>1021.8427167960929</v>
      </c>
      <c r="L102" s="34">
        <f t="shared" si="117"/>
        <v>976.93607782209779</v>
      </c>
      <c r="M102" s="34">
        <f t="shared" si="117"/>
        <v>954.43327291594119</v>
      </c>
      <c r="N102" s="34">
        <f t="shared" si="117"/>
        <v>948.90048441162469</v>
      </c>
      <c r="O102" s="34">
        <f t="shared" si="117"/>
        <v>1049.6907552134478</v>
      </c>
      <c r="P102" s="34">
        <f t="shared" si="117"/>
        <v>1062.1410924295417</v>
      </c>
      <c r="Q102" s="34">
        <f t="shared" si="117"/>
        <v>1075.2272590887098</v>
      </c>
      <c r="R102" s="34">
        <f t="shared" si="117"/>
        <v>1093.5745344147274</v>
      </c>
      <c r="S102" s="34">
        <f t="shared" si="117"/>
        <v>1162.1104181420535</v>
      </c>
      <c r="T102" s="34">
        <f t="shared" si="117"/>
        <v>1184.4795764197254</v>
      </c>
      <c r="U102" s="34">
        <f t="shared" si="117"/>
        <v>1141.2344626757949</v>
      </c>
      <c r="V102" s="34">
        <f t="shared" si="117"/>
        <v>1020.3789797732578</v>
      </c>
      <c r="W102" s="34">
        <f t="shared" ref="W102" si="118">IF(W30=0,0,W30/W50)</f>
        <v>1038.6346156825643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510</v>
      </c>
      <c r="C103" s="35">
        <f t="shared" si="104"/>
        <v>510</v>
      </c>
      <c r="D103" s="35">
        <f t="shared" ref="D103:V103" si="119">IF(D31=0,0,D31/D51)</f>
        <v>510</v>
      </c>
      <c r="E103" s="35">
        <f t="shared" si="119"/>
        <v>510</v>
      </c>
      <c r="F103" s="35">
        <f t="shared" si="119"/>
        <v>510</v>
      </c>
      <c r="G103" s="35">
        <f t="shared" si="119"/>
        <v>484</v>
      </c>
      <c r="H103" s="35">
        <f t="shared" si="119"/>
        <v>457</v>
      </c>
      <c r="I103" s="35">
        <f t="shared" si="119"/>
        <v>419</v>
      </c>
      <c r="J103" s="35">
        <f t="shared" si="119"/>
        <v>386.00000000000006</v>
      </c>
      <c r="K103" s="35">
        <f t="shared" si="119"/>
        <v>376</v>
      </c>
      <c r="L103" s="35">
        <f t="shared" si="119"/>
        <v>356</v>
      </c>
      <c r="M103" s="35">
        <f t="shared" si="119"/>
        <v>360.51688322267933</v>
      </c>
      <c r="N103" s="35">
        <f t="shared" si="119"/>
        <v>367</v>
      </c>
      <c r="O103" s="35">
        <f t="shared" si="119"/>
        <v>392</v>
      </c>
      <c r="P103" s="35">
        <f t="shared" si="119"/>
        <v>207.74858212585676</v>
      </c>
      <c r="Q103" s="35">
        <f t="shared" si="119"/>
        <v>67.782233331997702</v>
      </c>
      <c r="R103" s="35">
        <f t="shared" si="119"/>
        <v>61.685426540284375</v>
      </c>
      <c r="S103" s="35">
        <f t="shared" si="119"/>
        <v>76.416589189907143</v>
      </c>
      <c r="T103" s="35">
        <f t="shared" si="119"/>
        <v>85.770075136823266</v>
      </c>
      <c r="U103" s="35">
        <f t="shared" si="119"/>
        <v>75.805328306512308</v>
      </c>
      <c r="V103" s="35">
        <f t="shared" si="119"/>
        <v>68.89237647326064</v>
      </c>
      <c r="W103" s="35">
        <f t="shared" ref="W103" si="120">IF(W31=0,0,W31/W51)</f>
        <v>54.998042009487229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0.71553643761622265</v>
      </c>
      <c r="C108" s="43">
        <f t="shared" si="127"/>
        <v>0.71650180504146277</v>
      </c>
      <c r="D108" s="43">
        <f t="shared" ref="D108:V108" si="128">IF(D6=0,0,D6/D$4)</f>
        <v>0.71470833004305079</v>
      </c>
      <c r="E108" s="43">
        <f t="shared" si="128"/>
        <v>0.71019580877569288</v>
      </c>
      <c r="F108" s="43">
        <f t="shared" si="128"/>
        <v>0.70600154088939304</v>
      </c>
      <c r="G108" s="43">
        <f t="shared" si="128"/>
        <v>0.70962615078028868</v>
      </c>
      <c r="H108" s="43">
        <f t="shared" si="128"/>
        <v>0.71157948083222189</v>
      </c>
      <c r="I108" s="43">
        <f t="shared" si="128"/>
        <v>0.6629444644377992</v>
      </c>
      <c r="J108" s="43">
        <f t="shared" si="128"/>
        <v>0.64127341541118399</v>
      </c>
      <c r="K108" s="43">
        <f t="shared" si="128"/>
        <v>0.68695634830947938</v>
      </c>
      <c r="L108" s="43">
        <f t="shared" si="128"/>
        <v>0.69681180486405281</v>
      </c>
      <c r="M108" s="43">
        <f t="shared" si="128"/>
        <v>0.71219030827915253</v>
      </c>
      <c r="N108" s="43">
        <f t="shared" si="128"/>
        <v>0.70904785570796736</v>
      </c>
      <c r="O108" s="43">
        <f t="shared" si="128"/>
        <v>0.69816965152232491</v>
      </c>
      <c r="P108" s="43">
        <f t="shared" si="128"/>
        <v>0.73895760599202476</v>
      </c>
      <c r="Q108" s="43">
        <f t="shared" si="128"/>
        <v>0.76501947075753129</v>
      </c>
      <c r="R108" s="43">
        <f t="shared" si="128"/>
        <v>0.76149281869628505</v>
      </c>
      <c r="S108" s="43">
        <f t="shared" si="128"/>
        <v>0.75239639924243984</v>
      </c>
      <c r="T108" s="43">
        <f t="shared" si="128"/>
        <v>0.74069534857586228</v>
      </c>
      <c r="U108" s="43">
        <f t="shared" si="128"/>
        <v>0.72188521243506343</v>
      </c>
      <c r="V108" s="43">
        <f t="shared" si="128"/>
        <v>0.80574956799855635</v>
      </c>
      <c r="W108" s="43">
        <f t="shared" ref="W108" si="129">IF(W6=0,0,W6/W$4)</f>
        <v>0.76109681726379708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0.28446356238377746</v>
      </c>
      <c r="C109" s="43">
        <f t="shared" si="130"/>
        <v>0.28349819495853723</v>
      </c>
      <c r="D109" s="43">
        <f t="shared" ref="D109:V109" si="131">IF(D7=0,0,D7/D$4)</f>
        <v>0.28529166995694921</v>
      </c>
      <c r="E109" s="43">
        <f t="shared" si="131"/>
        <v>0.28980419122430706</v>
      </c>
      <c r="F109" s="43">
        <f t="shared" si="131"/>
        <v>0.29399845911060701</v>
      </c>
      <c r="G109" s="43">
        <f t="shared" si="131"/>
        <v>0.29037384921971132</v>
      </c>
      <c r="H109" s="43">
        <f t="shared" si="131"/>
        <v>0.28842051916777806</v>
      </c>
      <c r="I109" s="43">
        <f t="shared" si="131"/>
        <v>0.33705553556220086</v>
      </c>
      <c r="J109" s="43">
        <f t="shared" si="131"/>
        <v>0.3587265845888159</v>
      </c>
      <c r="K109" s="43">
        <f t="shared" si="131"/>
        <v>0.31304365169052051</v>
      </c>
      <c r="L109" s="43">
        <f t="shared" si="131"/>
        <v>0.30318819513594714</v>
      </c>
      <c r="M109" s="43">
        <f t="shared" si="131"/>
        <v>0.28780969172084753</v>
      </c>
      <c r="N109" s="43">
        <f t="shared" si="131"/>
        <v>0.2909521442920327</v>
      </c>
      <c r="O109" s="43">
        <f t="shared" si="131"/>
        <v>0.3018303484776752</v>
      </c>
      <c r="P109" s="43">
        <f t="shared" si="131"/>
        <v>0.26104239400797519</v>
      </c>
      <c r="Q109" s="43">
        <f t="shared" si="131"/>
        <v>0.23498052924246876</v>
      </c>
      <c r="R109" s="43">
        <f t="shared" si="131"/>
        <v>0.23850718130371493</v>
      </c>
      <c r="S109" s="43">
        <f t="shared" si="131"/>
        <v>0.24760360075756016</v>
      </c>
      <c r="T109" s="43">
        <f t="shared" si="131"/>
        <v>0.25930465142413772</v>
      </c>
      <c r="U109" s="43">
        <f t="shared" si="131"/>
        <v>0.27811478756493646</v>
      </c>
      <c r="V109" s="43">
        <f t="shared" si="131"/>
        <v>0.19425043200144365</v>
      </c>
      <c r="W109" s="43">
        <f t="shared" ref="W109" si="132">IF(W7=0,0,W7/W$4)</f>
        <v>0.23890318273620292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0.38150652124870454</v>
      </c>
      <c r="C112" s="44">
        <f t="shared" si="139"/>
        <v>0.33403556754054936</v>
      </c>
      <c r="D112" s="44">
        <f t="shared" ref="D112:V112" si="140">IF(D10=0,0,D10/D$8)</f>
        <v>0.33833299321565019</v>
      </c>
      <c r="E112" s="44">
        <f t="shared" si="140"/>
        <v>0.33748719545447975</v>
      </c>
      <c r="F112" s="44">
        <f t="shared" si="140"/>
        <v>0.33202043693681094</v>
      </c>
      <c r="G112" s="44">
        <f t="shared" si="140"/>
        <v>0.33015194302185941</v>
      </c>
      <c r="H112" s="44">
        <f t="shared" si="140"/>
        <v>0.30378688484576849</v>
      </c>
      <c r="I112" s="44">
        <f t="shared" si="140"/>
        <v>0.23757393260381857</v>
      </c>
      <c r="J112" s="44">
        <f t="shared" si="140"/>
        <v>0.22759395762571763</v>
      </c>
      <c r="K112" s="44">
        <f t="shared" si="140"/>
        <v>0.30662184421737021</v>
      </c>
      <c r="L112" s="44">
        <f t="shared" si="140"/>
        <v>0.27545994140679009</v>
      </c>
      <c r="M112" s="44">
        <f t="shared" si="140"/>
        <v>0.25601854608706098</v>
      </c>
      <c r="N112" s="44">
        <f t="shared" si="140"/>
        <v>4.1832844148928801E-2</v>
      </c>
      <c r="O112" s="44">
        <f t="shared" si="140"/>
        <v>2.9608939210323551E-2</v>
      </c>
      <c r="P112" s="44">
        <f t="shared" si="140"/>
        <v>6.179018766032511E-2</v>
      </c>
      <c r="Q112" s="44">
        <f t="shared" si="140"/>
        <v>0.17398560220817266</v>
      </c>
      <c r="R112" s="44">
        <f t="shared" si="140"/>
        <v>0.19814240091716845</v>
      </c>
      <c r="S112" s="44">
        <f t="shared" si="140"/>
        <v>0.19750254829692371</v>
      </c>
      <c r="T112" s="44">
        <f t="shared" si="140"/>
        <v>0.2223097511437353</v>
      </c>
      <c r="U112" s="44">
        <f t="shared" si="140"/>
        <v>0.15505534328129486</v>
      </c>
      <c r="V112" s="44">
        <f t="shared" si="140"/>
        <v>0.17873457882101684</v>
      </c>
      <c r="W112" s="44">
        <f t="shared" ref="W112" si="141">IF(W10=0,0,W10/W$8)</f>
        <v>0.29807043326475074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0.61849347875129534</v>
      </c>
      <c r="C113" s="45">
        <f t="shared" si="142"/>
        <v>0.66596443245945058</v>
      </c>
      <c r="D113" s="45">
        <f t="shared" ref="D113:V113" si="143">IF(D11=0,0,D11/D$8)</f>
        <v>0.66166700678434986</v>
      </c>
      <c r="E113" s="45">
        <f t="shared" si="143"/>
        <v>0.6625128045455202</v>
      </c>
      <c r="F113" s="45">
        <f t="shared" si="143"/>
        <v>0.66797956306318906</v>
      </c>
      <c r="G113" s="45">
        <f t="shared" si="143"/>
        <v>0.66984805697814054</v>
      </c>
      <c r="H113" s="45">
        <f t="shared" si="143"/>
        <v>0.69621311515423157</v>
      </c>
      <c r="I113" s="45">
        <f t="shared" si="143"/>
        <v>0.76242606739618146</v>
      </c>
      <c r="J113" s="45">
        <f t="shared" si="143"/>
        <v>0.77240604237428245</v>
      </c>
      <c r="K113" s="45">
        <f t="shared" si="143"/>
        <v>0.69337815578262973</v>
      </c>
      <c r="L113" s="45">
        <f t="shared" si="143"/>
        <v>0.72454005859321002</v>
      </c>
      <c r="M113" s="45">
        <f t="shared" si="143"/>
        <v>0.74398145391293902</v>
      </c>
      <c r="N113" s="45">
        <f t="shared" si="143"/>
        <v>0.95816715585107126</v>
      </c>
      <c r="O113" s="45">
        <f t="shared" si="143"/>
        <v>0.97039106078967652</v>
      </c>
      <c r="P113" s="45">
        <f t="shared" si="143"/>
        <v>0.93820981233967493</v>
      </c>
      <c r="Q113" s="45">
        <f t="shared" si="143"/>
        <v>0.82601439779182739</v>
      </c>
      <c r="R113" s="45">
        <f t="shared" si="143"/>
        <v>0.8018575990828315</v>
      </c>
      <c r="S113" s="45">
        <f t="shared" si="143"/>
        <v>0.80249745170307629</v>
      </c>
      <c r="T113" s="45">
        <f t="shared" si="143"/>
        <v>0.7776902488562647</v>
      </c>
      <c r="U113" s="45">
        <f t="shared" si="143"/>
        <v>0.84494465671870511</v>
      </c>
      <c r="V113" s="45">
        <f t="shared" si="143"/>
        <v>0.82126542117898316</v>
      </c>
      <c r="W113" s="45">
        <f t="shared" ref="W113" si="144">IF(W11=0,0,W11/W$8)</f>
        <v>0.70192956673524931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0.69073706033134596</v>
      </c>
      <c r="C118" s="43">
        <f t="shared" si="151"/>
        <v>0.69065783446085049</v>
      </c>
      <c r="D118" s="43">
        <f t="shared" ref="D118:V118" si="152">IF(D16=0,0,D16/D$14)</f>
        <v>0.69074459886645323</v>
      </c>
      <c r="E118" s="43">
        <f t="shared" si="152"/>
        <v>0.69085344574794438</v>
      </c>
      <c r="F118" s="43">
        <f t="shared" si="152"/>
        <v>0.69077966198729024</v>
      </c>
      <c r="G118" s="43">
        <f t="shared" si="152"/>
        <v>0.67007370533719868</v>
      </c>
      <c r="H118" s="43">
        <f t="shared" si="152"/>
        <v>0.64694552196691879</v>
      </c>
      <c r="I118" s="43">
        <f t="shared" si="152"/>
        <v>0.62738926659627603</v>
      </c>
      <c r="J118" s="43">
        <f t="shared" si="152"/>
        <v>0.63754089103415279</v>
      </c>
      <c r="K118" s="43">
        <f t="shared" si="152"/>
        <v>0.67218163620471372</v>
      </c>
      <c r="L118" s="43">
        <f t="shared" si="152"/>
        <v>0.70255747062449958</v>
      </c>
      <c r="M118" s="43">
        <f t="shared" si="152"/>
        <v>0.71970267757041073</v>
      </c>
      <c r="N118" s="43">
        <f t="shared" si="152"/>
        <v>0.72733322721414584</v>
      </c>
      <c r="O118" s="43">
        <f t="shared" si="152"/>
        <v>0.70917548616318682</v>
      </c>
      <c r="P118" s="43">
        <f t="shared" si="152"/>
        <v>0.73636994458441529</v>
      </c>
      <c r="Q118" s="43">
        <f t="shared" si="152"/>
        <v>0.7693809464139052</v>
      </c>
      <c r="R118" s="43">
        <f t="shared" si="152"/>
        <v>0.7517352663840986</v>
      </c>
      <c r="S118" s="43">
        <f t="shared" si="152"/>
        <v>0.73901467675773147</v>
      </c>
      <c r="T118" s="43">
        <f t="shared" si="152"/>
        <v>0.72196251133330458</v>
      </c>
      <c r="U118" s="43">
        <f t="shared" si="152"/>
        <v>0.70412465642438027</v>
      </c>
      <c r="V118" s="43">
        <f t="shared" si="152"/>
        <v>0.81965728961094664</v>
      </c>
      <c r="W118" s="43">
        <f t="shared" ref="W118" si="153">IF(W16=0,0,W16/W$14)</f>
        <v>0.79735299800904691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0.30926293966865409</v>
      </c>
      <c r="C119" s="43">
        <f t="shared" si="154"/>
        <v>0.30934216553914939</v>
      </c>
      <c r="D119" s="43">
        <f t="shared" ref="D119:V119" si="155">IF(D17=0,0,D17/D$14)</f>
        <v>0.30925540113354683</v>
      </c>
      <c r="E119" s="43">
        <f t="shared" si="155"/>
        <v>0.30914655425205562</v>
      </c>
      <c r="F119" s="43">
        <f t="shared" si="155"/>
        <v>0.30922033801270982</v>
      </c>
      <c r="G119" s="43">
        <f t="shared" si="155"/>
        <v>0.32992629466280143</v>
      </c>
      <c r="H119" s="43">
        <f t="shared" si="155"/>
        <v>0.35305447803308126</v>
      </c>
      <c r="I119" s="43">
        <f t="shared" si="155"/>
        <v>0.37261073340372397</v>
      </c>
      <c r="J119" s="43">
        <f t="shared" si="155"/>
        <v>0.36245910896584727</v>
      </c>
      <c r="K119" s="43">
        <f t="shared" si="155"/>
        <v>0.32781836379528628</v>
      </c>
      <c r="L119" s="43">
        <f t="shared" si="155"/>
        <v>0.29744252937550053</v>
      </c>
      <c r="M119" s="43">
        <f t="shared" si="155"/>
        <v>0.28029732242958938</v>
      </c>
      <c r="N119" s="43">
        <f t="shared" si="155"/>
        <v>0.27266677278585411</v>
      </c>
      <c r="O119" s="43">
        <f t="shared" si="155"/>
        <v>0.29082451383681324</v>
      </c>
      <c r="P119" s="43">
        <f t="shared" si="155"/>
        <v>0.26363005541558476</v>
      </c>
      <c r="Q119" s="43">
        <f t="shared" si="155"/>
        <v>0.2306190535860948</v>
      </c>
      <c r="R119" s="43">
        <f t="shared" si="155"/>
        <v>0.24826473361590132</v>
      </c>
      <c r="S119" s="43">
        <f t="shared" si="155"/>
        <v>0.26098532324226864</v>
      </c>
      <c r="T119" s="43">
        <f t="shared" si="155"/>
        <v>0.27803748866669542</v>
      </c>
      <c r="U119" s="43">
        <f t="shared" si="155"/>
        <v>0.29587534357561973</v>
      </c>
      <c r="V119" s="43">
        <f t="shared" si="155"/>
        <v>0.18034271038905347</v>
      </c>
      <c r="W119" s="43">
        <f t="shared" ref="W119" si="156">IF(W17=0,0,W17/W$14)</f>
        <v>0.20264700199095301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0.66088070134650934</v>
      </c>
      <c r="C122" s="44">
        <f t="shared" si="163"/>
        <v>0.60954337915055756</v>
      </c>
      <c r="D122" s="44">
        <f t="shared" ref="D122:V122" si="164">IF(D20=0,0,D20/D$18)</f>
        <v>0.61457437829713202</v>
      </c>
      <c r="E122" s="44">
        <f t="shared" si="164"/>
        <v>0.58460467495023405</v>
      </c>
      <c r="F122" s="44">
        <f t="shared" si="164"/>
        <v>0.59522956139073491</v>
      </c>
      <c r="G122" s="44">
        <f t="shared" si="164"/>
        <v>0.5880088253223017</v>
      </c>
      <c r="H122" s="44">
        <f t="shared" si="164"/>
        <v>0.57754361671505738</v>
      </c>
      <c r="I122" s="44">
        <f t="shared" si="164"/>
        <v>0.49154301584758031</v>
      </c>
      <c r="J122" s="44">
        <f t="shared" si="164"/>
        <v>0.48322071358594076</v>
      </c>
      <c r="K122" s="44">
        <f t="shared" si="164"/>
        <v>0.61224938699458642</v>
      </c>
      <c r="L122" s="44">
        <f t="shared" si="164"/>
        <v>0.57063208155586098</v>
      </c>
      <c r="M122" s="44">
        <f t="shared" si="164"/>
        <v>0.54387884911112183</v>
      </c>
      <c r="N122" s="44">
        <f t="shared" si="164"/>
        <v>0.13460333751688855</v>
      </c>
      <c r="O122" s="44">
        <f t="shared" si="164"/>
        <v>0.10312377832925584</v>
      </c>
      <c r="P122" s="44">
        <f t="shared" si="164"/>
        <v>0.19711340314336845</v>
      </c>
      <c r="Q122" s="44">
        <f t="shared" si="164"/>
        <v>0.43836046649563731</v>
      </c>
      <c r="R122" s="44">
        <f t="shared" si="164"/>
        <v>0.47493051033427847</v>
      </c>
      <c r="S122" s="44">
        <f t="shared" si="164"/>
        <v>0.48469851889541993</v>
      </c>
      <c r="T122" s="44">
        <f t="shared" si="164"/>
        <v>0.51244875375025656</v>
      </c>
      <c r="U122" s="44">
        <f t="shared" si="164"/>
        <v>0.39340699815156915</v>
      </c>
      <c r="V122" s="44">
        <f t="shared" si="164"/>
        <v>0.37167773500196266</v>
      </c>
      <c r="W122" s="44">
        <f t="shared" ref="W122" si="165">IF(W20=0,0,W20/W$18)</f>
        <v>0.53974583216553518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0.33911929865349066</v>
      </c>
      <c r="C123" s="45">
        <f t="shared" si="166"/>
        <v>0.39045662084944255</v>
      </c>
      <c r="D123" s="45">
        <f t="shared" ref="D123:V123" si="167">IF(D21=0,0,D21/D$18)</f>
        <v>0.38542562170286798</v>
      </c>
      <c r="E123" s="45">
        <f t="shared" si="167"/>
        <v>0.41539532504976595</v>
      </c>
      <c r="F123" s="45">
        <f t="shared" si="167"/>
        <v>0.40477043860926504</v>
      </c>
      <c r="G123" s="45">
        <f t="shared" si="167"/>
        <v>0.41199117467769825</v>
      </c>
      <c r="H123" s="45">
        <f t="shared" si="167"/>
        <v>0.42245638328494273</v>
      </c>
      <c r="I123" s="45">
        <f t="shared" si="167"/>
        <v>0.5084569841524198</v>
      </c>
      <c r="J123" s="45">
        <f t="shared" si="167"/>
        <v>0.51677928641405924</v>
      </c>
      <c r="K123" s="45">
        <f t="shared" si="167"/>
        <v>0.38775061300541352</v>
      </c>
      <c r="L123" s="45">
        <f t="shared" si="167"/>
        <v>0.42936791844413907</v>
      </c>
      <c r="M123" s="45">
        <f t="shared" si="167"/>
        <v>0.45612115088887817</v>
      </c>
      <c r="N123" s="45">
        <f t="shared" si="167"/>
        <v>0.86539666248311142</v>
      </c>
      <c r="O123" s="45">
        <f t="shared" si="167"/>
        <v>0.8968762216707441</v>
      </c>
      <c r="P123" s="45">
        <f t="shared" si="167"/>
        <v>0.80288659685663155</v>
      </c>
      <c r="Q123" s="45">
        <f t="shared" si="167"/>
        <v>0.56163953350436269</v>
      </c>
      <c r="R123" s="45">
        <f t="shared" si="167"/>
        <v>0.52506948966572153</v>
      </c>
      <c r="S123" s="45">
        <f t="shared" si="167"/>
        <v>0.51530148110458007</v>
      </c>
      <c r="T123" s="45">
        <f t="shared" si="167"/>
        <v>0.4875512462497435</v>
      </c>
      <c r="U123" s="45">
        <f t="shared" si="167"/>
        <v>0.6065930018484309</v>
      </c>
      <c r="V123" s="45">
        <f t="shared" si="167"/>
        <v>0.62832226499803723</v>
      </c>
      <c r="W123" s="45">
        <f t="shared" ref="W123" si="168">IF(W21=0,0,W21/W$18)</f>
        <v>0.46025416783446493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26.827171109200339</v>
      </c>
      <c r="C3" s="79">
        <f t="shared" si="0"/>
        <v>26.827171109200343</v>
      </c>
      <c r="D3" s="79">
        <f t="shared" ref="D3" si="1">SUM(D4:D5)</f>
        <v>27.858985382631136</v>
      </c>
      <c r="E3" s="79">
        <f t="shared" ref="E3" si="2">SUM(E4:E5)</f>
        <v>40.250042992261399</v>
      </c>
      <c r="F3" s="79">
        <f t="shared" ref="F3" si="3">SUM(F4:F5)</f>
        <v>48.506534823731734</v>
      </c>
      <c r="G3" s="79">
        <f t="shared" ref="G3" si="4">SUM(G4:G5)</f>
        <v>58.826999140154768</v>
      </c>
      <c r="H3" s="79">
        <f t="shared" ref="H3" si="5">SUM(H4:H5)</f>
        <v>66.051418744625934</v>
      </c>
      <c r="I3" s="79">
        <f t="shared" ref="I3" si="6">SUM(I4:I5)</f>
        <v>80.500171969045596</v>
      </c>
      <c r="J3" s="79">
        <f t="shared" ref="J3" si="7">SUM(J4:J5)</f>
        <v>97.012983662940655</v>
      </c>
      <c r="K3" s="79">
        <f t="shared" ref="K3" si="8">SUM(K4:K5)</f>
        <v>102.1732588134136</v>
      </c>
      <c r="L3" s="79">
        <f t="shared" ref="L3" si="9">SUM(L4:L5)</f>
        <v>117.65408426483228</v>
      </c>
      <c r="M3" s="79">
        <f t="shared" ref="M3" si="10">SUM(M4:M5)</f>
        <v>117.65408426483229</v>
      </c>
      <c r="N3" s="79">
        <f t="shared" ref="N3" si="11">SUM(N4:N5)</f>
        <v>118.68607050730868</v>
      </c>
      <c r="O3" s="79">
        <f t="shared" ref="O3" si="12">SUM(O4:O5)</f>
        <v>122.81435941530522</v>
      </c>
      <c r="P3" s="79">
        <f t="shared" ref="P3" si="13">SUM(P4:P5)</f>
        <v>109.39759243336199</v>
      </c>
      <c r="Q3" s="79">
        <f t="shared" ref="Q3" si="14">SUM(Q4:Q5)</f>
        <v>107.33353396388654</v>
      </c>
      <c r="R3" s="79">
        <f t="shared" ref="R3" si="15">SUM(R4:R5)</f>
        <v>122.81435941530518</v>
      </c>
      <c r="S3" s="79">
        <f t="shared" ref="S3" si="16">SUM(S4:S5)</f>
        <v>139.92897678417881</v>
      </c>
      <c r="T3" s="79">
        <f t="shared" ref="T3" si="17">SUM(T4:T5)</f>
        <v>153.26612209802238</v>
      </c>
      <c r="U3" s="79">
        <f t="shared" ref="U3" si="18">SUM(U4:U5)</f>
        <v>156.88237317282895</v>
      </c>
      <c r="V3" s="79">
        <f t="shared" ref="V3:W3" si="19">SUM(V4:V5)</f>
        <v>58.125193465176267</v>
      </c>
      <c r="W3" s="79">
        <f t="shared" si="19"/>
        <v>78.229664660361138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26.827171109200339</v>
      </c>
      <c r="C5" s="96">
        <f t="shared" si="23"/>
        <v>26.827171109200343</v>
      </c>
      <c r="D5" s="96">
        <f t="shared" ref="D5:V5" si="24">SUM(D8:D9,D12:D13)</f>
        <v>27.858985382631136</v>
      </c>
      <c r="E5" s="96">
        <f t="shared" si="24"/>
        <v>40.250042992261399</v>
      </c>
      <c r="F5" s="96">
        <f t="shared" si="24"/>
        <v>48.506534823731734</v>
      </c>
      <c r="G5" s="96">
        <f t="shared" si="24"/>
        <v>58.826999140154768</v>
      </c>
      <c r="H5" s="96">
        <f t="shared" si="24"/>
        <v>66.051418744625934</v>
      </c>
      <c r="I5" s="96">
        <f t="shared" si="24"/>
        <v>80.500171969045596</v>
      </c>
      <c r="J5" s="96">
        <f t="shared" si="24"/>
        <v>97.012983662940655</v>
      </c>
      <c r="K5" s="96">
        <f t="shared" si="24"/>
        <v>102.1732588134136</v>
      </c>
      <c r="L5" s="96">
        <f t="shared" si="24"/>
        <v>117.65408426483228</v>
      </c>
      <c r="M5" s="96">
        <f t="shared" si="24"/>
        <v>117.65408426483229</v>
      </c>
      <c r="N5" s="96">
        <f t="shared" si="24"/>
        <v>118.68607050730868</v>
      </c>
      <c r="O5" s="96">
        <f t="shared" si="24"/>
        <v>122.81435941530522</v>
      </c>
      <c r="P5" s="96">
        <f t="shared" si="24"/>
        <v>109.39759243336199</v>
      </c>
      <c r="Q5" s="96">
        <f t="shared" si="24"/>
        <v>107.33353396388654</v>
      </c>
      <c r="R5" s="96">
        <f t="shared" si="24"/>
        <v>122.81435941530518</v>
      </c>
      <c r="S5" s="96">
        <f t="shared" si="24"/>
        <v>139.92897678417881</v>
      </c>
      <c r="T5" s="96">
        <f t="shared" si="24"/>
        <v>153.26612209802238</v>
      </c>
      <c r="U5" s="96">
        <f t="shared" si="24"/>
        <v>156.88237317282895</v>
      </c>
      <c r="V5" s="96">
        <f t="shared" si="24"/>
        <v>58.125193465176267</v>
      </c>
      <c r="W5" s="96">
        <f t="shared" ref="W5" si="25">SUM(W8:W9,W12:W13)</f>
        <v>78.229664660361138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26.582802693102284</v>
      </c>
      <c r="C6" s="21">
        <f t="shared" si="26"/>
        <v>26.597313002128331</v>
      </c>
      <c r="D6" s="21">
        <f t="shared" ref="D6:V6" si="27">SUM(D7:D9)</f>
        <v>27.595951799232395</v>
      </c>
      <c r="E6" s="21">
        <f t="shared" si="27"/>
        <v>40.013129941988453</v>
      </c>
      <c r="F6" s="21">
        <f t="shared" si="27"/>
        <v>48.233429900702482</v>
      </c>
      <c r="G6" s="21">
        <f t="shared" si="27"/>
        <v>58.468069674769644</v>
      </c>
      <c r="H6" s="21">
        <f t="shared" si="27"/>
        <v>65.682908901139257</v>
      </c>
      <c r="I6" s="21">
        <f t="shared" si="27"/>
        <v>80.126354091734498</v>
      </c>
      <c r="J6" s="21">
        <f t="shared" si="27"/>
        <v>96.466487060206219</v>
      </c>
      <c r="K6" s="21">
        <f t="shared" si="27"/>
        <v>101.17177863422899</v>
      </c>
      <c r="L6" s="21">
        <f t="shared" si="27"/>
        <v>116.40119773309678</v>
      </c>
      <c r="M6" s="21">
        <f t="shared" si="27"/>
        <v>116.46454521533104</v>
      </c>
      <c r="N6" s="21">
        <f t="shared" si="27"/>
        <v>115.01808202904193</v>
      </c>
      <c r="O6" s="21">
        <f t="shared" si="27"/>
        <v>117.44843189263861</v>
      </c>
      <c r="P6" s="21">
        <f t="shared" si="27"/>
        <v>106.59441810869448</v>
      </c>
      <c r="Q6" s="21">
        <f t="shared" si="27"/>
        <v>105.96224200168348</v>
      </c>
      <c r="R6" s="21">
        <f t="shared" si="27"/>
        <v>121.51257552019771</v>
      </c>
      <c r="S6" s="21">
        <f t="shared" si="27"/>
        <v>138.42782596687655</v>
      </c>
      <c r="T6" s="21">
        <f t="shared" si="27"/>
        <v>151.74075977046004</v>
      </c>
      <c r="U6" s="21">
        <f t="shared" si="27"/>
        <v>154.87926109750967</v>
      </c>
      <c r="V6" s="21">
        <f t="shared" si="27"/>
        <v>55.396286474328932</v>
      </c>
      <c r="W6" s="21">
        <f t="shared" ref="W6" si="28">SUM(W7:W9)</f>
        <v>75.268268842540834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23.246827459496448</v>
      </c>
      <c r="C8" s="96">
        <v>23.258330500646743</v>
      </c>
      <c r="D8" s="96">
        <v>24.132725711353487</v>
      </c>
      <c r="E8" s="96">
        <v>34.99377760536413</v>
      </c>
      <c r="F8" s="96">
        <v>42.181161269114071</v>
      </c>
      <c r="G8" s="96">
        <v>52.142416974003162</v>
      </c>
      <c r="H8" s="96">
        <v>59.593484486753042</v>
      </c>
      <c r="I8" s="96">
        <v>72.929686203674677</v>
      </c>
      <c r="J8" s="96">
        <v>87.589056212359367</v>
      </c>
      <c r="K8" s="96">
        <v>91.626565623501449</v>
      </c>
      <c r="L8" s="96">
        <v>106.25199094763181</v>
      </c>
      <c r="M8" s="96">
        <v>106.38271271242738</v>
      </c>
      <c r="N8" s="96">
        <v>104.52972816484254</v>
      </c>
      <c r="O8" s="96">
        <v>106.92465692334136</v>
      </c>
      <c r="P8" s="96">
        <v>97.086604482046724</v>
      </c>
      <c r="Q8" s="96">
        <v>96.891084061052339</v>
      </c>
      <c r="R8" s="96">
        <v>111.60852492457856</v>
      </c>
      <c r="S8" s="96">
        <v>127.62661321297674</v>
      </c>
      <c r="T8" s="96">
        <v>139.95840050263442</v>
      </c>
      <c r="U8" s="96">
        <v>142.76489891178031</v>
      </c>
      <c r="V8" s="96">
        <v>49.034415434322234</v>
      </c>
      <c r="W8" s="96">
        <v>67.588750736027166</v>
      </c>
      <c r="DA8" s="171" t="s">
        <v>281</v>
      </c>
    </row>
    <row r="9" spans="1:105" ht="11.45" customHeight="1" x14ac:dyDescent="0.25">
      <c r="A9" s="83" t="s">
        <v>174</v>
      </c>
      <c r="B9" s="96">
        <v>3.3359752336058373</v>
      </c>
      <c r="C9" s="96">
        <v>3.3389825014815888</v>
      </c>
      <c r="D9" s="96">
        <v>3.4632260878789087</v>
      </c>
      <c r="E9" s="96">
        <v>5.0193523366243236</v>
      </c>
      <c r="F9" s="96">
        <v>6.0522686315884124</v>
      </c>
      <c r="G9" s="96">
        <v>6.3256527007664838</v>
      </c>
      <c r="H9" s="96">
        <v>6.0894244143862224</v>
      </c>
      <c r="I9" s="96">
        <v>7.1966678880598138</v>
      </c>
      <c r="J9" s="96">
        <v>8.8774308478468598</v>
      </c>
      <c r="K9" s="96">
        <v>9.5452130107275313</v>
      </c>
      <c r="L9" s="96">
        <v>10.149206785464971</v>
      </c>
      <c r="M9" s="96">
        <v>10.081832502903659</v>
      </c>
      <c r="N9" s="96">
        <v>10.488353864199395</v>
      </c>
      <c r="O9" s="96">
        <v>10.523774969297243</v>
      </c>
      <c r="P9" s="96">
        <v>9.5078136266477618</v>
      </c>
      <c r="Q9" s="96">
        <v>9.0711579406311458</v>
      </c>
      <c r="R9" s="96">
        <v>9.9040505956191538</v>
      </c>
      <c r="S9" s="96">
        <v>10.80121275389982</v>
      </c>
      <c r="T9" s="96">
        <v>11.782359267825635</v>
      </c>
      <c r="U9" s="96">
        <v>12.11436218572937</v>
      </c>
      <c r="V9" s="96">
        <v>6.3618710400066965</v>
      </c>
      <c r="W9" s="96">
        <v>7.6795181065136697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0.24436841609805462</v>
      </c>
      <c r="C10" s="22">
        <f t="shared" si="29"/>
        <v>0.22985810707201121</v>
      </c>
      <c r="D10" s="22">
        <f t="shared" ref="D10:V10" si="30">SUM(D11:D13)</f>
        <v>0.2630335833987405</v>
      </c>
      <c r="E10" s="22">
        <f t="shared" si="30"/>
        <v>0.23691305027294313</v>
      </c>
      <c r="F10" s="22">
        <f t="shared" si="30"/>
        <v>0.27310492302924805</v>
      </c>
      <c r="G10" s="22">
        <f t="shared" si="30"/>
        <v>0.35892946538512593</v>
      </c>
      <c r="H10" s="22">
        <f t="shared" si="30"/>
        <v>0.36850984348668497</v>
      </c>
      <c r="I10" s="22">
        <f t="shared" si="30"/>
        <v>0.3738178773111025</v>
      </c>
      <c r="J10" s="22">
        <f t="shared" si="30"/>
        <v>0.54649660273442424</v>
      </c>
      <c r="K10" s="22">
        <f t="shared" si="30"/>
        <v>1.0014801791846186</v>
      </c>
      <c r="L10" s="22">
        <f t="shared" si="30"/>
        <v>1.2528865317355056</v>
      </c>
      <c r="M10" s="22">
        <f t="shared" si="30"/>
        <v>1.1895390495012506</v>
      </c>
      <c r="N10" s="22">
        <f t="shared" si="30"/>
        <v>3.6679884782667589</v>
      </c>
      <c r="O10" s="22">
        <f t="shared" si="30"/>
        <v>5.3659275226666079</v>
      </c>
      <c r="P10" s="22">
        <f t="shared" si="30"/>
        <v>2.8031743246675065</v>
      </c>
      <c r="Q10" s="22">
        <f t="shared" si="30"/>
        <v>1.3712919622030564</v>
      </c>
      <c r="R10" s="22">
        <f t="shared" si="30"/>
        <v>1.3017838951074725</v>
      </c>
      <c r="S10" s="22">
        <f t="shared" si="30"/>
        <v>1.5011508173022485</v>
      </c>
      <c r="T10" s="22">
        <f t="shared" si="30"/>
        <v>1.5253623275623422</v>
      </c>
      <c r="U10" s="22">
        <f t="shared" si="30"/>
        <v>2.0031120753192715</v>
      </c>
      <c r="V10" s="22">
        <f t="shared" si="30"/>
        <v>2.7289069908473387</v>
      </c>
      <c r="W10" s="22">
        <f t="shared" ref="W10" si="31">SUM(W11:W13)</f>
        <v>2.9613958178203079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0.21591556447361715</v>
      </c>
      <c r="C12" s="97">
        <v>0.19735089184644999</v>
      </c>
      <c r="D12" s="97">
        <v>0.22652515682592936</v>
      </c>
      <c r="E12" s="97">
        <v>0.20030758688906405</v>
      </c>
      <c r="F12" s="97">
        <v>0.23246676090644564</v>
      </c>
      <c r="G12" s="97">
        <v>0.31516144091995962</v>
      </c>
      <c r="H12" s="97">
        <v>0.32025694439590013</v>
      </c>
      <c r="I12" s="97">
        <v>0.300669147028576</v>
      </c>
      <c r="J12" s="97">
        <v>0.41942330384926446</v>
      </c>
      <c r="K12" s="97">
        <v>0.82441972037465394</v>
      </c>
      <c r="L12" s="97">
        <v>0.96865105306631505</v>
      </c>
      <c r="M12" s="97">
        <v>0.88612601651622525</v>
      </c>
      <c r="N12" s="97">
        <v>1.0053735427285806</v>
      </c>
      <c r="O12" s="97">
        <v>1.175307904311045</v>
      </c>
      <c r="P12" s="97">
        <v>1.0471172949420655</v>
      </c>
      <c r="Q12" s="97">
        <v>0.88396837993768496</v>
      </c>
      <c r="R12" s="97">
        <v>0.94380426066421186</v>
      </c>
      <c r="S12" s="97">
        <v>1.1570649966026212</v>
      </c>
      <c r="T12" s="97">
        <v>1.244732688810503</v>
      </c>
      <c r="U12" s="97">
        <v>1.3474046145443004</v>
      </c>
      <c r="V12" s="97">
        <v>1.0450290601348302</v>
      </c>
      <c r="W12" s="97">
        <v>1.7451869485702105</v>
      </c>
      <c r="DA12" s="175" t="s">
        <v>285</v>
      </c>
    </row>
    <row r="13" spans="1:105" ht="11.45" customHeight="1" x14ac:dyDescent="0.25">
      <c r="A13" s="85" t="s">
        <v>174</v>
      </c>
      <c r="B13" s="98">
        <v>2.8452851624437472E-2</v>
      </c>
      <c r="C13" s="98">
        <v>3.2507215225561228E-2</v>
      </c>
      <c r="D13" s="98">
        <v>3.6508426572811122E-2</v>
      </c>
      <c r="E13" s="98">
        <v>3.6605463383879086E-2</v>
      </c>
      <c r="F13" s="98">
        <v>4.063816212280242E-2</v>
      </c>
      <c r="G13" s="98">
        <v>4.3768024465166304E-2</v>
      </c>
      <c r="H13" s="98">
        <v>4.8252899090784826E-2</v>
      </c>
      <c r="I13" s="98">
        <v>7.3148730282526511E-2</v>
      </c>
      <c r="J13" s="98">
        <v>0.12707329888515984</v>
      </c>
      <c r="K13" s="98">
        <v>0.17706045880996477</v>
      </c>
      <c r="L13" s="98">
        <v>0.28423547866919052</v>
      </c>
      <c r="M13" s="98">
        <v>0.30341303298502537</v>
      </c>
      <c r="N13" s="98">
        <v>2.6626149355381781</v>
      </c>
      <c r="O13" s="98">
        <v>4.1906196183555631</v>
      </c>
      <c r="P13" s="98">
        <v>1.7560570297254412</v>
      </c>
      <c r="Q13" s="98">
        <v>0.48732358226537137</v>
      </c>
      <c r="R13" s="98">
        <v>0.35797963444326059</v>
      </c>
      <c r="S13" s="98">
        <v>0.34408582069962745</v>
      </c>
      <c r="T13" s="98">
        <v>0.28062963875183927</v>
      </c>
      <c r="U13" s="98">
        <v>0.65570746077497122</v>
      </c>
      <c r="V13" s="98">
        <v>1.6838779307125082</v>
      </c>
      <c r="W13" s="98">
        <v>1.2162088692500972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326.47321983025046</v>
      </c>
      <c r="C17" s="62">
        <f>IF(C3=0,0,C3/TrAvia_act!C13*100)</f>
        <v>326.17995500951366</v>
      </c>
      <c r="D17" s="62">
        <f>IF(D3=0,0,D3/TrAvia_act!D13*100)</f>
        <v>325.68808093811754</v>
      </c>
      <c r="E17" s="62">
        <f>IF(E3=0,0,E3/TrAvia_act!E13*100)</f>
        <v>326.38575398144565</v>
      </c>
      <c r="F17" s="62">
        <f>IF(F3=0,0,F3/TrAvia_act!F13*100)</f>
        <v>326.10423785405828</v>
      </c>
      <c r="G17" s="62">
        <f>IF(G3=0,0,G3/TrAvia_act!G13*100)</f>
        <v>268.28805991946496</v>
      </c>
      <c r="H17" s="62">
        <f>IF(H3=0,0,H3/TrAvia_act!H13*100)</f>
        <v>258.94986206029273</v>
      </c>
      <c r="I17" s="62">
        <f>IF(I3=0,0,I3/TrAvia_act!I13*100)</f>
        <v>263.09638006018503</v>
      </c>
      <c r="J17" s="62">
        <f>IF(J3=0,0,J3/TrAvia_act!J13*100)</f>
        <v>279.99500640653736</v>
      </c>
      <c r="K17" s="62">
        <f>IF(K3=0,0,K3/TrAvia_act!K13*100)</f>
        <v>310.12572249888348</v>
      </c>
      <c r="L17" s="62">
        <f>IF(L3=0,0,L3/TrAvia_act!L13*100)</f>
        <v>311.96494114339691</v>
      </c>
      <c r="M17" s="62">
        <f>IF(M3=0,0,M3/TrAvia_act!M13*100)</f>
        <v>323.43867718546545</v>
      </c>
      <c r="N17" s="62">
        <f>IF(N3=0,0,N3/TrAvia_act!N13*100)</f>
        <v>350.00320689339219</v>
      </c>
      <c r="O17" s="62">
        <f>IF(O3=0,0,O3/TrAvia_act!O13*100)</f>
        <v>345.85689821742551</v>
      </c>
      <c r="P17" s="62">
        <f>IF(P3=0,0,P3/TrAvia_act!P13*100)</f>
        <v>323.94294886199236</v>
      </c>
      <c r="Q17" s="62">
        <f>IF(Q3=0,0,Q3/TrAvia_act!Q13*100)</f>
        <v>320.71059403297693</v>
      </c>
      <c r="R17" s="62">
        <f>IF(R3=0,0,R3/TrAvia_act!R13*100)</f>
        <v>374.62130872260332</v>
      </c>
      <c r="S17" s="62">
        <f>IF(S3=0,0,S3/TrAvia_act!S13*100)</f>
        <v>386.42105747877554</v>
      </c>
      <c r="T17" s="62">
        <f>IF(T3=0,0,T3/TrAvia_act!T13*100)</f>
        <v>362.71318237514009</v>
      </c>
      <c r="U17" s="62">
        <f>IF(U3=0,0,U3/TrAvia_act!U13*100)</f>
        <v>349.81836713737596</v>
      </c>
      <c r="V17" s="62">
        <f>IF(V3=0,0,V3/TrAvia_act!V13*100)</f>
        <v>396.12902991127339</v>
      </c>
      <c r="W17" s="62">
        <f>IF(W3=0,0,W3/TrAvia_act!W13*100)</f>
        <v>395.5504106775565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325.99231482932203</v>
      </c>
      <c r="C18" s="14">
        <f>IF(C6=0,0,C6/TrAvia_act!C14*100)</f>
        <v>325.85643002775259</v>
      </c>
      <c r="D18" s="14">
        <f>IF(D6=0,0,D6/TrAvia_act!D14*100)</f>
        <v>325.31658640915919</v>
      </c>
      <c r="E18" s="14">
        <f>IF(E6=0,0,E6/TrAvia_act!E14*100)</f>
        <v>326.20936495002604</v>
      </c>
      <c r="F18" s="14">
        <f>IF(F6=0,0,F6/TrAvia_act!F14*100)</f>
        <v>325.91611286367981</v>
      </c>
      <c r="G18" s="14">
        <f>IF(G6=0,0,G6/TrAvia_act!G14*100)</f>
        <v>268.11603198518725</v>
      </c>
      <c r="H18" s="14">
        <f>IF(H6=0,0,H6/TrAvia_act!H14*100)</f>
        <v>258.96205542629735</v>
      </c>
      <c r="I18" s="14">
        <f>IF(I6=0,0,I6/TrAvia_act!I14*100)</f>
        <v>263.30146607469186</v>
      </c>
      <c r="J18" s="14">
        <f>IF(J6=0,0,J6/TrAvia_act!J14*100)</f>
        <v>280.1662672017012</v>
      </c>
      <c r="K18" s="14">
        <f>IF(K6=0,0,K6/TrAvia_act!K14*100)</f>
        <v>310.01338776555747</v>
      </c>
      <c r="L18" s="14">
        <f>IF(L6=0,0,L6/TrAvia_act!L14*100)</f>
        <v>312.38838232156962</v>
      </c>
      <c r="M18" s="14">
        <f>IF(M6=0,0,M6/TrAvia_act!M14*100)</f>
        <v>323.84282360020092</v>
      </c>
      <c r="N18" s="14">
        <f>IF(N6=0,0,N6/TrAvia_act!N14*100)</f>
        <v>356.01861033016928</v>
      </c>
      <c r="O18" s="14">
        <f>IF(O6=0,0,O6/TrAvia_act!O14*100)</f>
        <v>355.68411419326458</v>
      </c>
      <c r="P18" s="14">
        <f>IF(P6=0,0,P6/TrAvia_act!P14*100)</f>
        <v>328.21027407522547</v>
      </c>
      <c r="Q18" s="14">
        <f>IF(Q6=0,0,Q6/TrAvia_act!Q14*100)</f>
        <v>321.64938845240511</v>
      </c>
      <c r="R18" s="14">
        <f>IF(R6=0,0,R6/TrAvia_act!R14*100)</f>
        <v>375.60807329595207</v>
      </c>
      <c r="S18" s="14">
        <f>IF(S6=0,0,S6/TrAvia_act!S14*100)</f>
        <v>387.22538350079054</v>
      </c>
      <c r="T18" s="14">
        <f>IF(T6=0,0,T6/TrAvia_act!T14*100)</f>
        <v>362.99762949970807</v>
      </c>
      <c r="U18" s="14">
        <f>IF(U6=0,0,U6/TrAvia_act!U14*100)</f>
        <v>350.99565089141424</v>
      </c>
      <c r="V18" s="14">
        <f>IF(V6=0,0,V6/TrAvia_act!V14*100)</f>
        <v>394.91980640862471</v>
      </c>
      <c r="W18" s="14">
        <f>IF(W6=0,0,W6/TrAvia_act!W14*100)</f>
        <v>396.14730596554136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412.72191341675875</v>
      </c>
      <c r="C20" s="87">
        <f>IF(C8=0,0,C8/TrAvia_act!C16*100)</f>
        <v>412.57615676903566</v>
      </c>
      <c r="D20" s="87">
        <f>IF(D8=0,0,D8/TrAvia_act!D16*100)</f>
        <v>411.86008795557558</v>
      </c>
      <c r="E20" s="87">
        <f>IF(E8=0,0,E8/TrAvia_act!E16*100)</f>
        <v>412.95126392734193</v>
      </c>
      <c r="F20" s="87">
        <f>IF(F8=0,0,F8/TrAvia_act!F16*100)</f>
        <v>412.6070796129967</v>
      </c>
      <c r="G20" s="87">
        <f>IF(G8=0,0,G8/TrAvia_act!G16*100)</f>
        <v>356.8392434338511</v>
      </c>
      <c r="H20" s="87">
        <f>IF(H8=0,0,H8/TrAvia_act!H16*100)</f>
        <v>363.17406239693099</v>
      </c>
      <c r="I20" s="87">
        <f>IF(I8=0,0,I8/TrAvia_act!I16*100)</f>
        <v>381.98398556773674</v>
      </c>
      <c r="J20" s="87">
        <f>IF(J8=0,0,J8/TrAvia_act!J16*100)</f>
        <v>399.00761301799082</v>
      </c>
      <c r="K20" s="87">
        <f>IF(K8=0,0,K8/TrAvia_act!K16*100)</f>
        <v>417.69168410976096</v>
      </c>
      <c r="L20" s="87">
        <f>IF(L8=0,0,L8/TrAvia_act!L16*100)</f>
        <v>405.87532132890755</v>
      </c>
      <c r="M20" s="87">
        <f>IF(M8=0,0,M8/TrAvia_act!M16*100)</f>
        <v>411.01576903745104</v>
      </c>
      <c r="N20" s="87">
        <f>IF(N8=0,0,N8/TrAvia_act!N16*100)</f>
        <v>444.84936213821521</v>
      </c>
      <c r="O20" s="87">
        <f>IF(O8=0,0,O8/TrAvia_act!O16*100)</f>
        <v>456.60577138087103</v>
      </c>
      <c r="P20" s="87">
        <f>IF(P8=0,0,P8/TrAvia_act!P16*100)</f>
        <v>405.95787148077642</v>
      </c>
      <c r="Q20" s="87">
        <f>IF(Q8=0,0,Q8/TrAvia_act!Q16*100)</f>
        <v>382.27331212517254</v>
      </c>
      <c r="R20" s="87">
        <f>IF(R8=0,0,R8/TrAvia_act!R16*100)</f>
        <v>458.92966980339287</v>
      </c>
      <c r="S20" s="87">
        <f>IF(S8=0,0,S8/TrAvia_act!S16*100)</f>
        <v>483.09061597334414</v>
      </c>
      <c r="T20" s="87">
        <f>IF(T8=0,0,T8/TrAvia_act!T16*100)</f>
        <v>463.75206696262222</v>
      </c>
      <c r="U20" s="87">
        <f>IF(U8=0,0,U8/TrAvia_act!U16*100)</f>
        <v>459.49454196492451</v>
      </c>
      <c r="V20" s="87">
        <f>IF(V8=0,0,V8/TrAvia_act!V16*100)</f>
        <v>426.47832079280749</v>
      </c>
      <c r="W20" s="87">
        <f>IF(W8=0,0,W8/TrAvia_act!W16*100)</f>
        <v>446.13733345514379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132.2822374557164</v>
      </c>
      <c r="C21" s="87">
        <f>IF(C9=0,0,C9/TrAvia_act!C17*100)</f>
        <v>132.24021682324747</v>
      </c>
      <c r="D21" s="87">
        <f>IF(D9=0,0,D9/TrAvia_act!D17*100)</f>
        <v>132.01533430147856</v>
      </c>
      <c r="E21" s="87">
        <f>IF(E9=0,0,E9/TrAvia_act!E17*100)</f>
        <v>132.36622170625722</v>
      </c>
      <c r="F21" s="87">
        <f>IF(F9=0,0,F9/TrAvia_act!F17*100)</f>
        <v>132.25370018633808</v>
      </c>
      <c r="G21" s="87">
        <f>IF(G9=0,0,G9/TrAvia_act!G17*100)</f>
        <v>87.920964157739661</v>
      </c>
      <c r="H21" s="87">
        <f>IF(H9=0,0,H9/TrAvia_act!H17*100)</f>
        <v>68.001465943221746</v>
      </c>
      <c r="I21" s="87">
        <f>IF(I9=0,0,I9/TrAvia_act!I17*100)</f>
        <v>63.467880546005418</v>
      </c>
      <c r="J21" s="87">
        <f>IF(J9=0,0,J9/TrAvia_act!J17*100)</f>
        <v>71.132432406962508</v>
      </c>
      <c r="K21" s="87">
        <f>IF(K9=0,0,K9/TrAvia_act!K17*100)</f>
        <v>89.222299119951074</v>
      </c>
      <c r="L21" s="87">
        <f>IF(L9=0,0,L9/TrAvia_act!L17*100)</f>
        <v>91.572793026651226</v>
      </c>
      <c r="M21" s="87">
        <f>IF(M9=0,0,M9/TrAvia_act!M17*100)</f>
        <v>100.01406312872629</v>
      </c>
      <c r="N21" s="87">
        <f>IF(N9=0,0,N9/TrAvia_act!N17*100)</f>
        <v>119.06433560030476</v>
      </c>
      <c r="O21" s="87">
        <f>IF(O9=0,0,O9/TrAvia_act!O17*100)</f>
        <v>109.58668466029482</v>
      </c>
      <c r="P21" s="87">
        <f>IF(P9=0,0,P9/TrAvia_act!P17*100)</f>
        <v>111.04613509703924</v>
      </c>
      <c r="Q21" s="87">
        <f>IF(Q9=0,0,Q9/TrAvia_act!Q17*100)</f>
        <v>119.39857246219299</v>
      </c>
      <c r="R21" s="87">
        <f>IF(R9=0,0,R9/TrAvia_act!R17*100)</f>
        <v>123.31375169095415</v>
      </c>
      <c r="S21" s="87">
        <f>IF(S9=0,0,S9/TrAvia_act!S17*100)</f>
        <v>115.77021924910611</v>
      </c>
      <c r="T21" s="87">
        <f>IF(T9=0,0,T9/TrAvia_act!T17*100)</f>
        <v>101.3748999623256</v>
      </c>
      <c r="U21" s="87">
        <f>IF(U9=0,0,U9/TrAvia_act!U17*100)</f>
        <v>92.789801507968633</v>
      </c>
      <c r="V21" s="87">
        <f>IF(V9=0,0,V9/TrAvia_act!V17*100)</f>
        <v>251.48641612362721</v>
      </c>
      <c r="W21" s="87">
        <f>IF(W9=0,0,W9/TrAvia_act!W17*100)</f>
        <v>199.45207782114159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388.87853782234652</v>
      </c>
      <c r="C22" s="15">
        <f>IF(C10=0,0,C10/TrAvia_act!C18*100)</f>
        <v>368.51660893806832</v>
      </c>
      <c r="D22" s="15">
        <f>IF(D10=0,0,D10/TrAvia_act!D18*100)</f>
        <v>370.01873116530265</v>
      </c>
      <c r="E22" s="15">
        <f>IF(E10=0,0,E10/TrAvia_act!E18*100)</f>
        <v>359.18857589231095</v>
      </c>
      <c r="F22" s="15">
        <f>IF(F10=0,0,F10/TrAvia_act!F18*100)</f>
        <v>363.12215916576281</v>
      </c>
      <c r="G22" s="15">
        <f>IF(G10=0,0,G10/TrAvia_act!G18*100)</f>
        <v>299.60142241899666</v>
      </c>
      <c r="H22" s="15">
        <f>IF(H10=0,0,H10/TrAvia_act!H18*100)</f>
        <v>256.79471533083114</v>
      </c>
      <c r="I22" s="15">
        <f>IF(I10=0,0,I10/TrAvia_act!I18*100)</f>
        <v>225.45556323975671</v>
      </c>
      <c r="J22" s="15">
        <f>IF(J10=0,0,J10/TrAvia_act!J18*100)</f>
        <v>252.72533583280446</v>
      </c>
      <c r="K22" s="15">
        <f>IF(K10=0,0,K10/TrAvia_act!K18*100)</f>
        <v>321.90949707777128</v>
      </c>
      <c r="L22" s="15">
        <f>IF(L10=0,0,L10/TrAvia_act!L18*100)</f>
        <v>277.07207240502214</v>
      </c>
      <c r="M22" s="15">
        <f>IF(M10=0,0,M10/TrAvia_act!M18*100)</f>
        <v>288.22212748094717</v>
      </c>
      <c r="N22" s="15">
        <f>IF(N10=0,0,N10/TrAvia_act!N18*100)</f>
        <v>228.78684106645088</v>
      </c>
      <c r="O22" s="15">
        <f>IF(O10=0,0,O10/TrAvia_act!O18*100)</f>
        <v>215.5221227425109</v>
      </c>
      <c r="P22" s="15">
        <f>IF(P10=0,0,P10/TrAvia_act!P18*100)</f>
        <v>216.76968235409095</v>
      </c>
      <c r="Q22" s="15">
        <f>IF(Q10=0,0,Q10/TrAvia_act!Q18*100)</f>
        <v>261.69082850820035</v>
      </c>
      <c r="R22" s="15">
        <f>IF(R10=0,0,R10/TrAvia_act!R18*100)</f>
        <v>300.84679554401879</v>
      </c>
      <c r="S22" s="15">
        <f>IF(S10=0,0,S10/TrAvia_act!S18*100)</f>
        <v>324.30294333171418</v>
      </c>
      <c r="T22" s="15">
        <f>IF(T10=0,0,T10/TrAvia_act!T18*100)</f>
        <v>336.4836267284652</v>
      </c>
      <c r="U22" s="15">
        <f>IF(U10=0,0,U10/TrAvia_act!U18*100)</f>
        <v>277.77940094890937</v>
      </c>
      <c r="V22" s="15">
        <f>IF(V10=0,0,V10/TrAvia_act!V18*100)</f>
        <v>422.38306620581119</v>
      </c>
      <c r="W22" s="15">
        <f>IF(W10=0,0,W10/TrAvia_act!W18*100)</f>
        <v>380.96101031970301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519.91192785624196</v>
      </c>
      <c r="C24" s="101">
        <f>IF(C12=0,0,C12/TrAvia_act!C20*100)</f>
        <v>519.07691554284315</v>
      </c>
      <c r="D24" s="101">
        <f>IF(D12=0,0,D12/TrAvia_act!D20*100)</f>
        <v>518.50684885766793</v>
      </c>
      <c r="E24" s="101">
        <f>IF(E12=0,0,E12/TrAvia_act!E20*100)</f>
        <v>519.47977772603213</v>
      </c>
      <c r="F24" s="101">
        <f>IF(F12=0,0,F12/TrAvia_act!F20*100)</f>
        <v>519.27760825989242</v>
      </c>
      <c r="G24" s="101">
        <f>IF(G12=0,0,G12/TrAvia_act!G20*100)</f>
        <v>447.38765054663679</v>
      </c>
      <c r="H24" s="101">
        <f>IF(H12=0,0,H12/TrAvia_act!H20*100)</f>
        <v>386.41213479235836</v>
      </c>
      <c r="I24" s="101">
        <f>IF(I12=0,0,I12/TrAvia_act!I20*100)</f>
        <v>368.91662336492226</v>
      </c>
      <c r="J24" s="101">
        <f>IF(J12=0,0,J12/TrAvia_act!J20*100)</f>
        <v>401.39164685234368</v>
      </c>
      <c r="K24" s="101">
        <f>IF(K12=0,0,K12/TrAvia_act!K20*100)</f>
        <v>432.82410925214492</v>
      </c>
      <c r="L24" s="101">
        <f>IF(L12=0,0,L12/TrAvia_act!L20*100)</f>
        <v>375.39819736136513</v>
      </c>
      <c r="M24" s="101">
        <f>IF(M12=0,0,M12/TrAvia_act!M20*100)</f>
        <v>394.76799314706119</v>
      </c>
      <c r="N24" s="101">
        <f>IF(N12=0,0,N12/TrAvia_act!N20*100)</f>
        <v>465.88068231822371</v>
      </c>
      <c r="O24" s="101">
        <f>IF(O12=0,0,O12/TrAvia_act!O20*100)</f>
        <v>457.76216427680572</v>
      </c>
      <c r="P24" s="101">
        <f>IF(P12=0,0,P12/TrAvia_act!P20*100)</f>
        <v>410.79732912183806</v>
      </c>
      <c r="Q24" s="101">
        <f>IF(Q12=0,0,Q12/TrAvia_act!Q20*100)</f>
        <v>384.82557029488203</v>
      </c>
      <c r="R24" s="101">
        <f>IF(R12=0,0,R12/TrAvia_act!R20*100)</f>
        <v>459.25972228651545</v>
      </c>
      <c r="S24" s="101">
        <f>IF(S12=0,0,S12/TrAvia_act!S20*100)</f>
        <v>515.71839947492003</v>
      </c>
      <c r="T24" s="101">
        <f>IF(T12=0,0,T12/TrAvia_act!T20*100)</f>
        <v>535.81710529808686</v>
      </c>
      <c r="U24" s="101">
        <f>IF(U12=0,0,U12/TrAvia_act!U20*100)</f>
        <v>474.95311156940801</v>
      </c>
      <c r="V24" s="101">
        <f>IF(V12=0,0,V12/TrAvia_act!V20*100)</f>
        <v>435.19068024565223</v>
      </c>
      <c r="W24" s="101">
        <f>IF(W12=0,0,W12/TrAvia_act!W20*100)</f>
        <v>415.94578725953158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133.51873067112899</v>
      </c>
      <c r="C25" s="88">
        <f>IF(C13=0,0,C13/TrAvia_act!C21*100)</f>
        <v>133.47631725556266</v>
      </c>
      <c r="D25" s="88">
        <f>IF(D13=0,0,D13/TrAvia_act!D21*100)</f>
        <v>133.24933266992048</v>
      </c>
      <c r="E25" s="88">
        <f>IF(E13=0,0,E13/TrAvia_act!E21*100)</f>
        <v>133.60349995492894</v>
      </c>
      <c r="F25" s="88">
        <f>IF(F13=0,0,F13/TrAvia_act!F21*100)</f>
        <v>133.48992665286093</v>
      </c>
      <c r="G25" s="88">
        <f>IF(G13=0,0,G13/TrAvia_act!G21*100)</f>
        <v>88.675529484204645</v>
      </c>
      <c r="H25" s="88">
        <f>IF(H13=0,0,H13/TrAvia_act!H21*100)</f>
        <v>79.593668815714281</v>
      </c>
      <c r="I25" s="88">
        <f>IF(I13=0,0,I13/TrAvia_act!I21*100)</f>
        <v>86.766776678657877</v>
      </c>
      <c r="J25" s="88">
        <f>IF(J13=0,0,J13/TrAvia_act!J21*100)</f>
        <v>113.71310607502767</v>
      </c>
      <c r="K25" s="88">
        <f>IF(K13=0,0,K13/TrAvia_act!K21*100)</f>
        <v>146.77785051205845</v>
      </c>
      <c r="L25" s="88">
        <f>IF(L13=0,0,L13/TrAvia_act!L21*100)</f>
        <v>146.39616732465839</v>
      </c>
      <c r="M25" s="88">
        <f>IF(M13=0,0,M13/TrAvia_act!M21*100)</f>
        <v>161.17683987894381</v>
      </c>
      <c r="N25" s="88">
        <f>IF(N13=0,0,N13/TrAvia_act!N21*100)</f>
        <v>191.9093908511737</v>
      </c>
      <c r="O25" s="88">
        <f>IF(O13=0,0,O13/TrAvia_act!O21*100)</f>
        <v>187.6691060808393</v>
      </c>
      <c r="P25" s="88">
        <f>IF(P13=0,0,P13/TrAvia_act!P21*100)</f>
        <v>169.13474871835191</v>
      </c>
      <c r="Q25" s="88">
        <f>IF(Q13=0,0,Q13/TrAvia_act!Q21*100)</f>
        <v>165.58398482745659</v>
      </c>
      <c r="R25" s="88">
        <f>IF(R13=0,0,R13/TrAvia_act!R21*100)</f>
        <v>157.56074746444355</v>
      </c>
      <c r="S25" s="88">
        <f>IF(S13=0,0,S13/TrAvia_act!S21*100)</f>
        <v>144.2553566501737</v>
      </c>
      <c r="T25" s="88">
        <f>IF(T13=0,0,T13/TrAvia_act!T21*100)</f>
        <v>126.97089661151333</v>
      </c>
      <c r="U25" s="88">
        <f>IF(U13=0,0,U13/TrAvia_act!U21*100)</f>
        <v>149.90203115854899</v>
      </c>
      <c r="V25" s="88">
        <f>IF(V13=0,0,V13/TrAvia_act!V21*100)</f>
        <v>414.80685055615191</v>
      </c>
      <c r="W25" s="88">
        <f>IF(W13=0,0,W13/TrAvia_act!W21*100)</f>
        <v>339.933923848419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53.609098743446765</v>
      </c>
      <c r="C28" s="14">
        <f>IF(C6=0,0,C6/TrAvia_act!C4*1000)</f>
        <v>52.178959288532553</v>
      </c>
      <c r="D28" s="14">
        <f>IF(D6=0,0,D6/TrAvia_act!D4*1000)</f>
        <v>51.167564665301384</v>
      </c>
      <c r="E28" s="14">
        <f>IF(E6=0,0,E6/TrAvia_act!E4*1000)</f>
        <v>50.838272412979457</v>
      </c>
      <c r="F28" s="14">
        <f>IF(F6=0,0,F6/TrAvia_act!F4*1000)</f>
        <v>50.389075634996786</v>
      </c>
      <c r="G28" s="14">
        <f>IF(G6=0,0,G6/TrAvia_act!G4*1000)</f>
        <v>31.951560339101196</v>
      </c>
      <c r="H28" s="14">
        <f>IF(H6=0,0,H6/TrAvia_act!H4*1000)</f>
        <v>29.358018422384781</v>
      </c>
      <c r="I28" s="14">
        <f>IF(I6=0,0,I6/TrAvia_act!I4*1000)</f>
        <v>29.042575446529479</v>
      </c>
      <c r="J28" s="14">
        <f>IF(J6=0,0,J6/TrAvia_act!J4*1000)</f>
        <v>31.840964463544321</v>
      </c>
      <c r="K28" s="14">
        <f>IF(K6=0,0,K6/TrAvia_act!K4*1000)</f>
        <v>34.780875222548978</v>
      </c>
      <c r="L28" s="14">
        <f>IF(L6=0,0,L6/TrAvia_act!L4*1000)</f>
        <v>35.145022549650626</v>
      </c>
      <c r="M28" s="14">
        <f>IF(M6=0,0,M6/TrAvia_act!M4*1000)</f>
        <v>34.914269417200813</v>
      </c>
      <c r="N28" s="14">
        <f>IF(N6=0,0,N6/TrAvia_act!N4*1000)</f>
        <v>37.96565556369454</v>
      </c>
      <c r="O28" s="14">
        <f>IF(O6=0,0,O6/TrAvia_act!O4*1000)</f>
        <v>38.068514668102345</v>
      </c>
      <c r="P28" s="14">
        <f>IF(P6=0,0,P6/TrAvia_act!P4*1000)</f>
        <v>35.176619354760511</v>
      </c>
      <c r="Q28" s="14">
        <f>IF(Q6=0,0,Q6/TrAvia_act!Q4*1000)</f>
        <v>33.461127440086905</v>
      </c>
      <c r="R28" s="14">
        <f>IF(R6=0,0,R6/TrAvia_act!R4*1000)</f>
        <v>36.867361037247413</v>
      </c>
      <c r="S28" s="14">
        <f>IF(S6=0,0,S6/TrAvia_act!S4*1000)</f>
        <v>37.019597185684027</v>
      </c>
      <c r="T28" s="14">
        <f>IF(T6=0,0,T6/TrAvia_act!T4*1000)</f>
        <v>34.838605348418326</v>
      </c>
      <c r="U28" s="14">
        <f>IF(U6=0,0,U6/TrAvia_act!U4*1000)</f>
        <v>32.418129706627866</v>
      </c>
      <c r="V28" s="14">
        <f>IF(V6=0,0,V6/TrAvia_act!V4*1000)</f>
        <v>44.220223442987361</v>
      </c>
      <c r="W28" s="14">
        <f>IF(W6=0,0,W6/TrAvia_act!W4*1000)</f>
        <v>45.589857578461256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65.519364456065119</v>
      </c>
      <c r="C30" s="87">
        <f>IF(C8=0,0,C8/TrAvia_act!C6*1000)</f>
        <v>63.682323027228257</v>
      </c>
      <c r="D30" s="87">
        <f>IF(D8=0,0,D8/TrAvia_act!D6*1000)</f>
        <v>62.607577860634642</v>
      </c>
      <c r="E30" s="87">
        <f>IF(E8=0,0,E8/TrAvia_act!E6*1000)</f>
        <v>62.603841311152664</v>
      </c>
      <c r="F30" s="87">
        <f>IF(F8=0,0,F8/TrAvia_act!F6*1000)</f>
        <v>62.416746709738774</v>
      </c>
      <c r="G30" s="87">
        <f>IF(G8=0,0,G8/TrAvia_act!G6*1000)</f>
        <v>40.154559177261511</v>
      </c>
      <c r="H30" s="87">
        <f>IF(H8=0,0,H8/TrAvia_act!H6*1000)</f>
        <v>37.432576778649754</v>
      </c>
      <c r="I30" s="87">
        <f>IF(I8=0,0,I8/TrAvia_act!I6*1000)</f>
        <v>39.873737054620754</v>
      </c>
      <c r="J30" s="87">
        <f>IF(J8=0,0,J8/TrAvia_act!J6*1000)</f>
        <v>45.083368844585152</v>
      </c>
      <c r="K30" s="87">
        <f>IF(K8=0,0,K8/TrAvia_act!K6*1000)</f>
        <v>45.853594755452768</v>
      </c>
      <c r="L30" s="87">
        <f>IF(L8=0,0,L8/TrAvia_act!L6*1000)</f>
        <v>46.039219690876166</v>
      </c>
      <c r="M30" s="87">
        <f>IF(M8=0,0,M8/TrAvia_act!M6*1000)</f>
        <v>44.780013975916326</v>
      </c>
      <c r="N30" s="87">
        <f>IF(N8=0,0,N8/TrAvia_act!N6*1000)</f>
        <v>48.661899234568288</v>
      </c>
      <c r="O30" s="87">
        <f>IF(O8=0,0,O8/TrAvia_act!O6*1000)</f>
        <v>49.640438386540197</v>
      </c>
      <c r="P30" s="87">
        <f>IF(P8=0,0,P8/TrAvia_act!P6*1000)</f>
        <v>43.35702000350399</v>
      </c>
      <c r="Q30" s="87">
        <f>IF(Q8=0,0,Q8/TrAvia_act!Q6*1000)</f>
        <v>39.994544745337869</v>
      </c>
      <c r="R30" s="87">
        <f>IF(R8=0,0,R8/TrAvia_act!R6*1000)</f>
        <v>44.468489963274919</v>
      </c>
      <c r="S30" s="87">
        <f>IF(S8=0,0,S8/TrAvia_act!S6*1000)</f>
        <v>45.36311057575287</v>
      </c>
      <c r="T30" s="87">
        <f>IF(T8=0,0,T8/TrAvia_act!T6*1000)</f>
        <v>43.382828103252741</v>
      </c>
      <c r="U30" s="87">
        <f>IF(U8=0,0,U8/TrAvia_act!U6*1000)</f>
        <v>41.395009267308922</v>
      </c>
      <c r="V30" s="87">
        <f>IF(V8=0,0,V8/TrAvia_act!V6*1000)</f>
        <v>48.578175674621825</v>
      </c>
      <c r="W30" s="87">
        <f>IF(W8=0,0,W8/TrAvia_act!W6*1000)</f>
        <v>53.788671937942773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23.650150653033673</v>
      </c>
      <c r="C31" s="87">
        <f>IF(C9=0,0,C9/TrAvia_act!C7*1000)</f>
        <v>23.105825739906507</v>
      </c>
      <c r="D31" s="87">
        <f>IF(D9=0,0,D9/TrAvia_act!D7*1000)</f>
        <v>22.508218503035568</v>
      </c>
      <c r="E31" s="87">
        <f>IF(E9=0,0,E9/TrAvia_act!E7*1000)</f>
        <v>22.005501968756118</v>
      </c>
      <c r="F31" s="87">
        <f>IF(F9=0,0,F9/TrAvia_act!F7*1000)</f>
        <v>21.506086459587639</v>
      </c>
      <c r="G31" s="87">
        <f>IF(G9=0,0,G9/TrAvia_act!G7*1000)</f>
        <v>11.904774080554956</v>
      </c>
      <c r="H31" s="87">
        <f>IF(H9=0,0,H9/TrAvia_act!H7*1000)</f>
        <v>9.4367934704313559</v>
      </c>
      <c r="I31" s="87">
        <f>IF(I9=0,0,I9/TrAvia_act!I7*1000)</f>
        <v>7.7390872259948882</v>
      </c>
      <c r="J31" s="87">
        <f>IF(J9=0,0,J9/TrAvia_act!J7*1000)</f>
        <v>8.1683339685954053</v>
      </c>
      <c r="K31" s="87">
        <f>IF(K9=0,0,K9/TrAvia_act!K7*1000)</f>
        <v>10.482426954706423</v>
      </c>
      <c r="L31" s="87">
        <f>IF(L9=0,0,L9/TrAvia_act!L7*1000)</f>
        <v>10.107091342868873</v>
      </c>
      <c r="M31" s="87">
        <f>IF(M9=0,0,M9/TrAvia_act!M7*1000)</f>
        <v>10.501305362154618</v>
      </c>
      <c r="N31" s="87">
        <f>IF(N9=0,0,N9/TrAvia_act!N7*1000)</f>
        <v>11.899002377764967</v>
      </c>
      <c r="O31" s="87">
        <f>IF(O9=0,0,O9/TrAvia_act!O7*1000)</f>
        <v>11.301272769820326</v>
      </c>
      <c r="P31" s="87">
        <f>IF(P9=0,0,P9/TrAvia_act!P7*1000)</f>
        <v>12.019578896165852</v>
      </c>
      <c r="Q31" s="87">
        <f>IF(Q9=0,0,Q9/TrAvia_act!Q7*1000)</f>
        <v>12.190465291123411</v>
      </c>
      <c r="R31" s="87">
        <f>IF(R9=0,0,R9/TrAvia_act!R7*1000)</f>
        <v>12.598888031464609</v>
      </c>
      <c r="S31" s="87">
        <f>IF(S9=0,0,S9/TrAvia_act!S7*1000)</f>
        <v>11.666050579285567</v>
      </c>
      <c r="T31" s="87">
        <f>IF(T9=0,0,T9/TrAvia_act!T7*1000)</f>
        <v>10.432309445340765</v>
      </c>
      <c r="U31" s="87">
        <f>IF(U9=0,0,U9/TrAvia_act!U7*1000)</f>
        <v>9.1174031778266738</v>
      </c>
      <c r="V31" s="87">
        <f>IF(V9=0,0,V9/TrAvia_act!V7*1000)</f>
        <v>26.143465044984335</v>
      </c>
      <c r="W31" s="87">
        <f>IF(W9=0,0,W9/TrAvia_act!W7*1000)</f>
        <v>19.470107130312496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86.570514186866163</v>
      </c>
      <c r="C32" s="15">
        <f>IF(C10=0,0,C10/TrAvia_act!C8*1000)</f>
        <v>73.236258188280814</v>
      </c>
      <c r="D32" s="15">
        <f>IF(D10=0,0,D10/TrAvia_act!D8*1000)</f>
        <v>78.369559422680112</v>
      </c>
      <c r="E32" s="15">
        <f>IF(E10=0,0,E10/TrAvia_act!E8*1000)</f>
        <v>77.772174166878401</v>
      </c>
      <c r="F32" s="15">
        <f>IF(F10=0,0,F10/TrAvia_act!F8*1000)</f>
        <v>83.810725479778284</v>
      </c>
      <c r="G32" s="15">
        <f>IF(G10=0,0,G10/TrAvia_act!G8*1000)</f>
        <v>72.442327264163509</v>
      </c>
      <c r="H32" s="15">
        <f>IF(H10=0,0,H10/TrAvia_act!H8*1000)</f>
        <v>65.105953664675468</v>
      </c>
      <c r="I32" s="15">
        <f>IF(I10=0,0,I10/TrAvia_act!I8*1000)</f>
        <v>52.889982763234798</v>
      </c>
      <c r="J32" s="15">
        <f>IF(J10=0,0,J10/TrAvia_act!J8*1000)</f>
        <v>60.312800721491584</v>
      </c>
      <c r="K32" s="15">
        <f>IF(K10=0,0,K10/TrAvia_act!K8*1000)</f>
        <v>81.498611802675484</v>
      </c>
      <c r="L32" s="15">
        <f>IF(L10=0,0,L10/TrAvia_act!L8*1000)</f>
        <v>65.110531939774901</v>
      </c>
      <c r="M32" s="15">
        <f>IF(M10=0,0,M10/TrAvia_act!M8*1000)</f>
        <v>63.112210934160309</v>
      </c>
      <c r="N32" s="15">
        <f>IF(N10=0,0,N10/TrAvia_act!N8*1000)</f>
        <v>31.082069089575693</v>
      </c>
      <c r="O32" s="15">
        <f>IF(O10=0,0,O10/TrAvia_act!O8*1000)</f>
        <v>28.14128604099395</v>
      </c>
      <c r="P32" s="15">
        <f>IF(P10=0,0,P10/TrAvia_act!P8*1000)</f>
        <v>27.07292481375163</v>
      </c>
      <c r="Q32" s="15">
        <f>IF(Q10=0,0,Q10/TrAvia_act!Q8*1000)</f>
        <v>41.29541107636642</v>
      </c>
      <c r="R32" s="15">
        <f>IF(R10=0,0,R10/TrAvia_act!R8*1000)</f>
        <v>45.208448058687431</v>
      </c>
      <c r="S32" s="15">
        <f>IF(S10=0,0,S10/TrAvia_act!S8*1000)</f>
        <v>51.434086786481053</v>
      </c>
      <c r="T32" s="15">
        <f>IF(T10=0,0,T10/TrAvia_act!T8*1000)</f>
        <v>56.895915783976193</v>
      </c>
      <c r="U32" s="15">
        <f>IF(U10=0,0,U10/TrAvia_act!U8*1000)</f>
        <v>40.255407643582537</v>
      </c>
      <c r="V32" s="15">
        <f>IF(V10=0,0,V10/TrAvia_act!V8*1000)</f>
        <v>89.527849627212447</v>
      </c>
      <c r="W32" s="15">
        <f>IF(W10=0,0,W10/TrAvia_act!W8*1000)</f>
        <v>103.88559576116197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200.49655146562137</v>
      </c>
      <c r="C34" s="101">
        <f>IF(C12=0,0,C12/TrAvia_act!C10*1000)</f>
        <v>188.24034162259233</v>
      </c>
      <c r="D34" s="101">
        <f>IF(D12=0,0,D12/TrAvia_act!D10*1000)</f>
        <v>199.48410313089971</v>
      </c>
      <c r="E34" s="101">
        <f>IF(E12=0,0,E12/TrAvia_act!E10*1000)</f>
        <v>194.83875902517073</v>
      </c>
      <c r="F34" s="101">
        <f>IF(F12=0,0,F12/TrAvia_act!F10*1000)</f>
        <v>214.8652181910991</v>
      </c>
      <c r="G34" s="101">
        <f>IF(G12=0,0,G12/TrAvia_act!G10*1000)</f>
        <v>192.66485576776356</v>
      </c>
      <c r="H34" s="101">
        <f>IF(H12=0,0,H12/TrAvia_act!H10*1000)</f>
        <v>186.25208662230526</v>
      </c>
      <c r="I34" s="101">
        <f>IF(I12=0,0,I12/TrAvia_act!I10*1000)</f>
        <v>179.06200260036294</v>
      </c>
      <c r="J34" s="101">
        <f>IF(J12=0,0,J12/TrAvia_act!J10*1000)</f>
        <v>203.3826298313048</v>
      </c>
      <c r="K34" s="101">
        <f>IF(K12=0,0,K12/TrAvia_act!K10*1000)</f>
        <v>218.80292991321531</v>
      </c>
      <c r="L34" s="101">
        <f>IF(L12=0,0,L12/TrAvia_act!L10*1000)</f>
        <v>182.74622183105706</v>
      </c>
      <c r="M34" s="101">
        <f>IF(M12=0,0,M12/TrAvia_act!M10*1000)</f>
        <v>183.63639219210066</v>
      </c>
      <c r="N34" s="101">
        <f>IF(N12=0,0,N12/TrAvia_act!N10*1000)</f>
        <v>203.6535656434796</v>
      </c>
      <c r="O34" s="101">
        <f>IF(O12=0,0,O12/TrAvia_act!O10*1000)</f>
        <v>208.17469966473126</v>
      </c>
      <c r="P34" s="101">
        <f>IF(P12=0,0,P12/TrAvia_act!P10*1000)</f>
        <v>163.66691225988765</v>
      </c>
      <c r="Q34" s="101">
        <f>IF(Q12=0,0,Q12/TrAvia_act!Q10*1000)</f>
        <v>153.00135707336023</v>
      </c>
      <c r="R34" s="101">
        <f>IF(R12=0,0,R12/TrAvia_act!R10*1000)</f>
        <v>165.4189335637183</v>
      </c>
      <c r="S34" s="101">
        <f>IF(S12=0,0,S12/TrAvia_act!S10*1000)</f>
        <v>200.72975675417499</v>
      </c>
      <c r="T34" s="101">
        <f>IF(T12=0,0,T12/TrAvia_act!T10*1000)</f>
        <v>208.84575795500842</v>
      </c>
      <c r="U34" s="101">
        <f>IF(U12=0,0,U12/TrAvia_act!U10*1000)</f>
        <v>174.63459180139785</v>
      </c>
      <c r="V34" s="101">
        <f>IF(V12=0,0,V12/TrAvia_act!V10*1000)</f>
        <v>191.81793247041026</v>
      </c>
      <c r="W34" s="101">
        <f>IF(W12=0,0,W12/TrAvia_act!W10*1000)</f>
        <v>205.39124790195748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16.297297645248598</v>
      </c>
      <c r="C35" s="88">
        <f>IF(C13=0,0,C13/TrAvia_act!C11*1000)</f>
        <v>15.552315312247453</v>
      </c>
      <c r="D35" s="88">
        <f>IF(D13=0,0,D13/TrAvia_act!D11*1000)</f>
        <v>16.439546780981562</v>
      </c>
      <c r="E35" s="88">
        <f>IF(E13=0,0,E13/TrAvia_act!E11*1000)</f>
        <v>18.137895200207701</v>
      </c>
      <c r="F35" s="88">
        <f>IF(F13=0,0,F13/TrAvia_act!F11*1000)</f>
        <v>18.669855401349487</v>
      </c>
      <c r="G35" s="88">
        <f>IF(G13=0,0,G13/TrAvia_act!G11*1000)</f>
        <v>13.187544083147738</v>
      </c>
      <c r="H35" s="88">
        <f>IF(H13=0,0,H13/TrAvia_act!H11*1000)</f>
        <v>12.244831773633832</v>
      </c>
      <c r="I35" s="88">
        <f>IF(I13=0,0,I13/TrAvia_act!I11*1000)</f>
        <v>13.574455370993288</v>
      </c>
      <c r="J35" s="88">
        <f>IF(J13=0,0,J13/TrAvia_act!J11*1000)</f>
        <v>18.156438863101169</v>
      </c>
      <c r="K35" s="88">
        <f>IF(K13=0,0,K13/TrAvia_act!K11*1000)</f>
        <v>20.780657412343547</v>
      </c>
      <c r="L35" s="88">
        <f>IF(L13=0,0,L13/TrAvia_act!L11*1000)</f>
        <v>20.387096899183213</v>
      </c>
      <c r="M35" s="88">
        <f>IF(M13=0,0,M13/TrAvia_act!M11*1000)</f>
        <v>21.637486676313252</v>
      </c>
      <c r="N35" s="88">
        <f>IF(N13=0,0,N13/TrAvia_act!N11*1000)</f>
        <v>23.547729725297852</v>
      </c>
      <c r="O35" s="88">
        <f>IF(O13=0,0,O13/TrAvia_act!O11*1000)</f>
        <v>22.648038405886528</v>
      </c>
      <c r="P35" s="88">
        <f>IF(P13=0,0,P13/TrAvia_act!P11*1000)</f>
        <v>18.076890017951488</v>
      </c>
      <c r="Q35" s="88">
        <f>IF(Q13=0,0,Q13/TrAvia_act!Q11*1000)</f>
        <v>17.766491560584978</v>
      </c>
      <c r="R35" s="88">
        <f>IF(R13=0,0,R13/TrAvia_act!R11*1000)</f>
        <v>15.503929150804863</v>
      </c>
      <c r="S35" s="88">
        <f>IF(S13=0,0,S13/TrAvia_act!S11*1000)</f>
        <v>14.690947969354994</v>
      </c>
      <c r="T35" s="88">
        <f>IF(T13=0,0,T13/TrAvia_act!T11*1000)</f>
        <v>13.459686965302469</v>
      </c>
      <c r="U35" s="88">
        <f>IF(U13=0,0,U13/TrAvia_act!U11*1000)</f>
        <v>15.595555233406184</v>
      </c>
      <c r="V35" s="88">
        <f>IF(V13=0,0,V13/TrAvia_act!V11*1000)</f>
        <v>67.266136905520469</v>
      </c>
      <c r="W35" s="88">
        <f>IF(W13=0,0,W13/TrAvia_act!W11*1000)</f>
        <v>60.781792835248503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4136.8035634850175</v>
      </c>
      <c r="C37" s="62">
        <f>IF(C3=0,0,C3/TrAvia_act!C23*1000000)</f>
        <v>4134.8907381628151</v>
      </c>
      <c r="D37" s="62">
        <f>IF(D3=0,0,D3/TrAvia_act!D23*1000000)</f>
        <v>4127.2570937231312</v>
      </c>
      <c r="E37" s="62">
        <f>IF(E3=0,0,E3/TrAvia_act!E23*1000000)</f>
        <v>4139.6732482013158</v>
      </c>
      <c r="F37" s="62">
        <f>IF(F3=0,0,F3/TrAvia_act!F23*1000000)</f>
        <v>4136.3123410703274</v>
      </c>
      <c r="G37" s="62">
        <f>IF(G3=0,0,G3/TrAvia_act!G23*1000000)</f>
        <v>3857.5081403380177</v>
      </c>
      <c r="H37" s="62">
        <f>IF(H3=0,0,H3/TrAvia_act!H23*1000000)</f>
        <v>3705.1337154106654</v>
      </c>
      <c r="I37" s="62">
        <f>IF(I3=0,0,I3/TrAvia_act!I23*1000000)</f>
        <v>3727.377504701838</v>
      </c>
      <c r="J37" s="62">
        <f>IF(J3=0,0,J3/TrAvia_act!J23*1000000)</f>
        <v>3699.1147587485952</v>
      </c>
      <c r="K37" s="62">
        <f>IF(K3=0,0,K3/TrAvia_act!K23*1000000)</f>
        <v>3526.6208343715866</v>
      </c>
      <c r="L37" s="62">
        <f>IF(L3=0,0,L3/TrAvia_act!L23*1000000)</f>
        <v>3520.9960875305187</v>
      </c>
      <c r="M37" s="62">
        <f>IF(M3=0,0,M3/TrAvia_act!M23*1000000)</f>
        <v>3340.6423880528209</v>
      </c>
      <c r="N37" s="62">
        <f>IF(N3=0,0,N3/TrAvia_act!N23*1000000)</f>
        <v>3643.0237425123141</v>
      </c>
      <c r="O37" s="62">
        <f>IF(O3=0,0,O3/TrAvia_act!O23*1000000)</f>
        <v>3854.2086745741481</v>
      </c>
      <c r="P37" s="62">
        <f>IF(P3=0,0,P3/TrAvia_act!P23*1000000)</f>
        <v>3529.8655276639779</v>
      </c>
      <c r="Q37" s="62">
        <f>IF(Q3=0,0,Q3/TrAvia_act!Q23*1000000)</f>
        <v>3368.9119260479138</v>
      </c>
      <c r="R37" s="62">
        <f>IF(R3=0,0,R3/TrAvia_act!R23*1000000)</f>
        <v>3895.0353434811832</v>
      </c>
      <c r="S37" s="62">
        <f>IF(S3=0,0,S3/TrAvia_act!S23*1000000)</f>
        <v>4038.1212277553627</v>
      </c>
      <c r="T37" s="62">
        <f>IF(T3=0,0,T3/TrAvia_act!T23*1000000)</f>
        <v>3919.7494206803499</v>
      </c>
      <c r="U37" s="62">
        <f>IF(U3=0,0,U3/TrAvia_act!U23*1000000)</f>
        <v>3845.1562052163958</v>
      </c>
      <c r="V37" s="62">
        <f>IF(V3=0,0,V3/TrAvia_act!V23*1000000)</f>
        <v>4336.0830634223248</v>
      </c>
      <c r="W37" s="62">
        <f>IF(W3=0,0,W3/TrAvia_act!W23*1000000)</f>
        <v>5258.0766675871182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4140.6234724458391</v>
      </c>
      <c r="C38" s="14">
        <f>IF(C6=0,0,C6/TrAvia_act!C24*1000000)</f>
        <v>4139.0154064936714</v>
      </c>
      <c r="D38" s="14">
        <f>IF(D6=0,0,D6/TrAvia_act!D24*1000000)</f>
        <v>4131.7490341716421</v>
      </c>
      <c r="E38" s="14">
        <f>IF(E6=0,0,E6/TrAvia_act!E24*1000000)</f>
        <v>4142.5747946980491</v>
      </c>
      <c r="F38" s="14">
        <f>IF(F6=0,0,F6/TrAvia_act!F24*1000000)</f>
        <v>4139.1427015105537</v>
      </c>
      <c r="G38" s="14">
        <f>IF(G6=0,0,G6/TrAvia_act!G24*1000000)</f>
        <v>3859.0238053441781</v>
      </c>
      <c r="H38" s="14">
        <f>IF(H6=0,0,H6/TrAvia_act!H24*1000000)</f>
        <v>3707.3380877766699</v>
      </c>
      <c r="I38" s="14">
        <f>IF(I6=0,0,I6/TrAvia_act!I24*1000000)</f>
        <v>3728.0209413173825</v>
      </c>
      <c r="J38" s="14">
        <f>IF(J6=0,0,J6/TrAvia_act!J24*1000000)</f>
        <v>3695.46763178847</v>
      </c>
      <c r="K38" s="14">
        <f>IF(K6=0,0,K6/TrAvia_act!K24*1000000)</f>
        <v>3515.8388460602237</v>
      </c>
      <c r="L38" s="14">
        <f>IF(L6=0,0,L6/TrAvia_act!L24*1000000)</f>
        <v>3509.4427681227926</v>
      </c>
      <c r="M38" s="14">
        <f>IF(M6=0,0,M6/TrAvia_act!M24*1000000)</f>
        <v>3329.460983857377</v>
      </c>
      <c r="N38" s="14">
        <f>IF(N6=0,0,N6/TrAvia_act!N24*1000000)</f>
        <v>3584.1227144383765</v>
      </c>
      <c r="O38" s="14">
        <f>IF(O6=0,0,O6/TrAvia_act!O24*1000000)</f>
        <v>3775.2629987990554</v>
      </c>
      <c r="P38" s="14">
        <f>IF(P6=0,0,P6/TrAvia_act!P24*1000000)</f>
        <v>3498.5695847674442</v>
      </c>
      <c r="Q38" s="14">
        <f>IF(Q6=0,0,Q6/TrAvia_act!Q24*1000000)</f>
        <v>3361.7462563985873</v>
      </c>
      <c r="R38" s="14">
        <f>IF(R6=0,0,R6/TrAvia_act!R24*1000000)</f>
        <v>3894.6338307755677</v>
      </c>
      <c r="S38" s="14">
        <f>IF(S6=0,0,S6/TrAvia_act!S24*1000000)</f>
        <v>4040.9804404155934</v>
      </c>
      <c r="T38" s="14">
        <f>IF(T6=0,0,T6/TrAvia_act!T24*1000000)</f>
        <v>3923.4844155257933</v>
      </c>
      <c r="U38" s="14">
        <f>IF(U6=0,0,U6/TrAvia_act!U24*1000000)</f>
        <v>3838.0150938571064</v>
      </c>
      <c r="V38" s="14">
        <f>IF(V6=0,0,V6/TrAvia_act!V24*1000000)</f>
        <v>4258.9595198223215</v>
      </c>
      <c r="W38" s="14">
        <f>IF(W6=0,0,W6/TrAvia_act!W24*1000000)</f>
        <v>5237.5108790300492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4151.2191891957937</v>
      </c>
      <c r="C40" s="87">
        <f>IF(C8=0,0,C8/TrAvia_act!C26*1000000)</f>
        <v>4149.568331961952</v>
      </c>
      <c r="D40" s="87">
        <f>IF(D8=0,0,D8/TrAvia_act!D26*1000000)</f>
        <v>4142.2460884575157</v>
      </c>
      <c r="E40" s="87">
        <f>IF(E8=0,0,E8/TrAvia_act!E26*1000000)</f>
        <v>4153.0711613297099</v>
      </c>
      <c r="F40" s="87">
        <f>IF(F8=0,0,F8/TrAvia_act!F26*1000000)</f>
        <v>4149.6469522001053</v>
      </c>
      <c r="G40" s="87">
        <f>IF(G8=0,0,G8/TrAvia_act!G26*1000000)</f>
        <v>4015.5885232193423</v>
      </c>
      <c r="H40" s="87">
        <f>IF(H8=0,0,H8/TrAvia_act!H26*1000000)</f>
        <v>4062.8227765716556</v>
      </c>
      <c r="I40" s="87">
        <f>IF(I8=0,0,I8/TrAvia_act!I26*1000000)</f>
        <v>4207.805573717671</v>
      </c>
      <c r="J40" s="87">
        <f>IF(J8=0,0,J8/TrAvia_act!J26*1000000)</f>
        <v>4140.9349570896065</v>
      </c>
      <c r="K40" s="87">
        <f>IF(K8=0,0,K8/TrAvia_act!K26*1000000)</f>
        <v>3898.1733938949778</v>
      </c>
      <c r="L40" s="87">
        <f>IF(L8=0,0,L8/TrAvia_act!L26*1000000)</f>
        <v>3982.607704472874</v>
      </c>
      <c r="M40" s="87">
        <f>IF(M8=0,0,M8/TrAvia_act!M26*1000000)</f>
        <v>3804.0017418446464</v>
      </c>
      <c r="N40" s="87">
        <f>IF(N8=0,0,N8/TrAvia_act!N26*1000000)</f>
        <v>4150.8052322933145</v>
      </c>
      <c r="O40" s="87">
        <f>IF(O8=0,0,O8/TrAvia_act!O26*1000000)</f>
        <v>4479.2701153425223</v>
      </c>
      <c r="P40" s="87">
        <f>IF(P8=0,0,P8/TrAvia_act!P26*1000000)</f>
        <v>4109.8338264423119</v>
      </c>
      <c r="Q40" s="87">
        <f>IF(Q8=0,0,Q8/TrAvia_act!Q26*1000000)</f>
        <v>3840.9214326905708</v>
      </c>
      <c r="R40" s="87">
        <f>IF(R8=0,0,R8/TrAvia_act!R26*1000000)</f>
        <v>4597.4841376082777</v>
      </c>
      <c r="S40" s="87">
        <f>IF(S8=0,0,S8/TrAvia_act!S26*1000000)</f>
        <v>4835.6235825020549</v>
      </c>
      <c r="T40" s="87">
        <f>IF(T8=0,0,T8/TrAvia_act!T26*1000000)</f>
        <v>4794.4094444585653</v>
      </c>
      <c r="U40" s="87">
        <f>IF(U8=0,0,U8/TrAvia_act!U26*1000000)</f>
        <v>4805.9280587012827</v>
      </c>
      <c r="V40" s="87">
        <f>IF(V8=0,0,V8/TrAvia_act!V26*1000000)</f>
        <v>4419.1073751191634</v>
      </c>
      <c r="W40" s="87">
        <f>IF(W8=0,0,W8/TrAvia_act!W26*1000000)</f>
        <v>5524.6649285619724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4068.2624800071185</v>
      </c>
      <c r="C41" s="87">
        <f>IF(C9=0,0,C9/TrAvia_act!C27*1000000)</f>
        <v>4066.9701601480983</v>
      </c>
      <c r="D41" s="87">
        <f>IF(D9=0,0,D9/TrAvia_act!D27*1000000)</f>
        <v>4060.0540303386974</v>
      </c>
      <c r="E41" s="87">
        <f>IF(E9=0,0,E9/TrAvia_act!E27*1000000)</f>
        <v>4070.8453662808788</v>
      </c>
      <c r="F41" s="87">
        <f>IF(F9=0,0,F9/TrAvia_act!F27*1000000)</f>
        <v>4067.3848330567289</v>
      </c>
      <c r="G41" s="87">
        <f>IF(G9=0,0,G9/TrAvia_act!G27*1000000)</f>
        <v>2920.4306097721533</v>
      </c>
      <c r="H41" s="87">
        <f>IF(H9=0,0,H9/TrAvia_act!H27*1000000)</f>
        <v>1997.1874104251301</v>
      </c>
      <c r="I41" s="87">
        <f>IF(I9=0,0,I9/TrAvia_act!I27*1000000)</f>
        <v>1729.5524845132934</v>
      </c>
      <c r="J41" s="87">
        <f>IF(J9=0,0,J9/TrAvia_act!J27*1000000)</f>
        <v>1792.6960516653594</v>
      </c>
      <c r="K41" s="87">
        <f>IF(K9=0,0,K9/TrAvia_act!K27*1000000)</f>
        <v>1810.8922425967619</v>
      </c>
      <c r="L41" s="87">
        <f>IF(L9=0,0,L9/TrAvia_act!L27*1000000)</f>
        <v>1564.0633048952027</v>
      </c>
      <c r="M41" s="87">
        <f>IF(M9=0,0,M9/TrAvia_act!M27*1000000)</f>
        <v>1437.3870121048844</v>
      </c>
      <c r="N41" s="87">
        <f>IF(N9=0,0,N9/TrAvia_act!N27*1000000)</f>
        <v>1518.2909473363341</v>
      </c>
      <c r="O41" s="87">
        <f>IF(O9=0,0,O9/TrAvia_act!O27*1000000)</f>
        <v>1453.7608743330907</v>
      </c>
      <c r="P41" s="87">
        <f>IF(P9=0,0,P9/TrAvia_act!P27*1000000)</f>
        <v>1389.0158694883507</v>
      </c>
      <c r="Q41" s="87">
        <f>IF(Q9=0,0,Q9/TrAvia_act!Q27*1000000)</f>
        <v>1441.2389483049167</v>
      </c>
      <c r="R41" s="87">
        <f>IF(R9=0,0,R9/TrAvia_act!R27*1000000)</f>
        <v>1430.394366784973</v>
      </c>
      <c r="S41" s="87">
        <f>IF(S9=0,0,S9/TrAvia_act!S27*1000000)</f>
        <v>1373.6757921785349</v>
      </c>
      <c r="T41" s="87">
        <f>IF(T9=0,0,T9/TrAvia_act!T27*1000000)</f>
        <v>1242.4717144179726</v>
      </c>
      <c r="U41" s="87">
        <f>IF(U9=0,0,U9/TrAvia_act!U27*1000000)</f>
        <v>1137.712451702608</v>
      </c>
      <c r="V41" s="87">
        <f>IF(V9=0,0,V9/TrAvia_act!V27*1000000)</f>
        <v>3329.0795604430646</v>
      </c>
      <c r="W41" s="87">
        <f>IF(W9=0,0,W9/TrAvia_act!W27*1000000)</f>
        <v>3593.5976165248808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3759.5140938162249</v>
      </c>
      <c r="C42" s="15">
        <f>IF(C10=0,0,C10/TrAvia_act!C28*1000000)</f>
        <v>3707.3888237421165</v>
      </c>
      <c r="D42" s="15">
        <f>IF(D10=0,0,D10/TrAvia_act!D28*1000000)</f>
        <v>3704.6983577287397</v>
      </c>
      <c r="E42" s="15">
        <f>IF(E10=0,0,E10/TrAvia_act!E28*1000000)</f>
        <v>3701.7664105147364</v>
      </c>
      <c r="F42" s="15">
        <f>IF(F10=0,0,F10/TrAvia_act!F28*1000000)</f>
        <v>3690.6070679628115</v>
      </c>
      <c r="G42" s="15">
        <f>IF(G10=0,0,G10/TrAvia_act!G28*1000000)</f>
        <v>3625.5501554053121</v>
      </c>
      <c r="H42" s="15">
        <f>IF(H10=0,0,H10/TrAvia_act!H28*1000000)</f>
        <v>3350.0894862425907</v>
      </c>
      <c r="I42" s="15">
        <f>IF(I10=0,0,I10/TrAvia_act!I28*1000000)</f>
        <v>3594.4026664529083</v>
      </c>
      <c r="J42" s="15">
        <f>IF(J10=0,0,J10/TrAvia_act!J28*1000000)</f>
        <v>4479.480350282166</v>
      </c>
      <c r="K42" s="15">
        <f>IF(K10=0,0,K10/TrAvia_act!K28*1000000)</f>
        <v>5109.5927509419316</v>
      </c>
      <c r="L42" s="15">
        <f>IF(L10=0,0,L10/TrAvia_act!L28*1000000)</f>
        <v>5072.4151082409135</v>
      </c>
      <c r="M42" s="15">
        <f>IF(M10=0,0,M10/TrAvia_act!M28*1000000)</f>
        <v>4977.1508347332656</v>
      </c>
      <c r="N42" s="15">
        <f>IF(N10=0,0,N10/TrAvia_act!N28*1000000)</f>
        <v>7516.3698325138503</v>
      </c>
      <c r="O42" s="15">
        <f>IF(O10=0,0,O10/TrAvia_act!O28*1000000)</f>
        <v>7107.1887717438512</v>
      </c>
      <c r="P42" s="15">
        <f>IF(P10=0,0,P10/TrAvia_act!P28*1000000)</f>
        <v>5349.5693218845545</v>
      </c>
      <c r="Q42" s="15">
        <f>IF(Q10=0,0,Q10/TrAvia_act!Q28*1000000)</f>
        <v>4033.2116535384016</v>
      </c>
      <c r="R42" s="15">
        <f>IF(R10=0,0,R10/TrAvia_act!R28*1000000)</f>
        <v>3932.8818583307329</v>
      </c>
      <c r="S42" s="15">
        <f>IF(S10=0,0,S10/TrAvia_act!S28*1000000)</f>
        <v>3790.7848921773952</v>
      </c>
      <c r="T42" s="15">
        <f>IF(T10=0,0,T10/TrAvia_act!T28*1000000)</f>
        <v>3580.6627407566716</v>
      </c>
      <c r="U42" s="15">
        <f>IF(U10=0,0,U10/TrAvia_act!U28*1000000)</f>
        <v>4491.282680088053</v>
      </c>
      <c r="V42" s="15">
        <f>IF(V10=0,0,V10/TrAvia_act!V28*1000000)</f>
        <v>6856.5502282596453</v>
      </c>
      <c r="W42" s="15">
        <f>IF(W10=0,0,W10/TrAvia_act!W28*1000000)</f>
        <v>5841.0173921505084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3722.6821460968476</v>
      </c>
      <c r="C44" s="101">
        <f>IF(C12=0,0,C12/TrAvia_act!C30*1000000)</f>
        <v>3654.6461453046295</v>
      </c>
      <c r="D44" s="101">
        <f>IF(D12=0,0,D12/TrAvia_act!D30*1000000)</f>
        <v>3653.6315617085379</v>
      </c>
      <c r="E44" s="101">
        <f>IF(E12=0,0,E12/TrAvia_act!E30*1000000)</f>
        <v>3641.95612525571</v>
      </c>
      <c r="F44" s="101">
        <f>IF(F12=0,0,F12/TrAvia_act!F30*1000000)</f>
        <v>3632.2931391632133</v>
      </c>
      <c r="G44" s="101">
        <f>IF(G12=0,0,G12/TrAvia_act!G30*1000000)</f>
        <v>3751.921915713805</v>
      </c>
      <c r="H44" s="101">
        <f>IF(H12=0,0,H12/TrAvia_act!H30*1000000)</f>
        <v>3443.6230580204315</v>
      </c>
      <c r="I44" s="101">
        <f>IF(I12=0,0,I12/TrAvia_act!I30*1000000)</f>
        <v>3622.5198437177828</v>
      </c>
      <c r="J44" s="101">
        <f>IF(J12=0,0,J12/TrAvia_act!J30*1000000)</f>
        <v>4323.9515860748916</v>
      </c>
      <c r="K44" s="101">
        <f>IF(K12=0,0,K12/TrAvia_act!K30*1000000)</f>
        <v>4849.5277669097295</v>
      </c>
      <c r="L44" s="101">
        <f>IF(L12=0,0,L12/TrAvia_act!L30*1000000)</f>
        <v>4656.9762166649762</v>
      </c>
      <c r="M44" s="101">
        <f>IF(M12=0,0,M12/TrAvia_act!M30*1000000)</f>
        <v>4430.6300825811268</v>
      </c>
      <c r="N44" s="101">
        <f>IF(N12=0,0,N12/TrAvia_act!N30*1000000)</f>
        <v>5077.6441551948519</v>
      </c>
      <c r="O44" s="101">
        <f>IF(O12=0,0,O12/TrAvia_act!O30*1000000)</f>
        <v>4797.1751196369187</v>
      </c>
      <c r="P44" s="101">
        <f>IF(P12=0,0,P12/TrAvia_act!P30*1000000)</f>
        <v>4122.509035204982</v>
      </c>
      <c r="Q44" s="101">
        <f>IF(Q12=0,0,Q12/TrAvia_act!Q30*1000000)</f>
        <v>3507.8110314987498</v>
      </c>
      <c r="R44" s="101">
        <f>IF(R12=0,0,R12/TrAvia_act!R30*1000000)</f>
        <v>3760.1763373076169</v>
      </c>
      <c r="S44" s="101">
        <f>IF(S12=0,0,S12/TrAvia_act!S30*1000000)</f>
        <v>3895.8417394027647</v>
      </c>
      <c r="T44" s="101">
        <f>IF(T12=0,0,T12/TrAvia_act!T30*1000000)</f>
        <v>3951.5323454301688</v>
      </c>
      <c r="U44" s="101">
        <f>IF(U12=0,0,U12/TrAvia_act!U30*1000000)</f>
        <v>3871.8523406445415</v>
      </c>
      <c r="V44" s="101">
        <f>IF(V12=0,0,V12/TrAvia_act!V30*1000000)</f>
        <v>3381.9710683975086</v>
      </c>
      <c r="W44" s="101">
        <f>IF(W12=0,0,W12/TrAvia_act!W30*1000000)</f>
        <v>4002.7223591059874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4064.6930892053533</v>
      </c>
      <c r="C45" s="88">
        <f>IF(C13=0,0,C13/TrAvia_act!C31*1000000)</f>
        <v>4063.4019031951534</v>
      </c>
      <c r="D45" s="88">
        <f>IF(D13=0,0,D13/TrAvia_act!D31*1000000)</f>
        <v>4056.4918414234576</v>
      </c>
      <c r="E45" s="88">
        <f>IF(E13=0,0,E13/TrAvia_act!E31*1000000)</f>
        <v>4067.2737093198984</v>
      </c>
      <c r="F45" s="88">
        <f>IF(F13=0,0,F13/TrAvia_act!F31*1000000)</f>
        <v>4063.8162122802414</v>
      </c>
      <c r="G45" s="88">
        <f>IF(G13=0,0,G13/TrAvia_act!G31*1000000)</f>
        <v>2917.8682976777536</v>
      </c>
      <c r="H45" s="88">
        <f>IF(H13=0,0,H13/TrAvia_act!H31*1000000)</f>
        <v>2838.4058288696956</v>
      </c>
      <c r="I45" s="88">
        <f>IF(I13=0,0,I13/TrAvia_act!I31*1000000)</f>
        <v>3483.2728705965005</v>
      </c>
      <c r="J45" s="88">
        <f>IF(J13=0,0,J13/TrAvia_act!J31*1000000)</f>
        <v>5082.9319554063932</v>
      </c>
      <c r="K45" s="88">
        <f>IF(K13=0,0,K13/TrAvia_act!K31*1000000)</f>
        <v>6810.0176465371069</v>
      </c>
      <c r="L45" s="88">
        <f>IF(L13=0,0,L13/TrAvia_act!L31*1000000)</f>
        <v>7288.0891966459103</v>
      </c>
      <c r="M45" s="88">
        <f>IF(M13=0,0,M13/TrAvia_act!M31*1000000)</f>
        <v>7779.8213585903932</v>
      </c>
      <c r="N45" s="88">
        <f>IF(N13=0,0,N13/TrAvia_act!N31*1000000)</f>
        <v>9181.430812200615</v>
      </c>
      <c r="O45" s="88">
        <f>IF(O13=0,0,O13/TrAvia_act!O31*1000000)</f>
        <v>8216.9012124618894</v>
      </c>
      <c r="P45" s="88">
        <f>IF(P13=0,0,P13/TrAvia_act!P31*1000000)</f>
        <v>6503.9149249090415</v>
      </c>
      <c r="Q45" s="88">
        <f>IF(Q13=0,0,Q13/TrAvia_act!Q31*1000000)</f>
        <v>5537.7679802883113</v>
      </c>
      <c r="R45" s="88">
        <f>IF(R13=0,0,R13/TrAvia_act!R31*1000000)</f>
        <v>4474.7454305407573</v>
      </c>
      <c r="S45" s="88">
        <f>IF(S13=0,0,S13/TrAvia_act!S31*1000000)</f>
        <v>3475.6143505012874</v>
      </c>
      <c r="T45" s="88">
        <f>IF(T13=0,0,T13/TrAvia_act!T31*1000000)</f>
        <v>2528.1949437102635</v>
      </c>
      <c r="U45" s="88">
        <f>IF(U13=0,0,U13/TrAvia_act!U31*1000000)</f>
        <v>6690.8924568874618</v>
      </c>
      <c r="V45" s="88">
        <f>IF(V13=0,0,V13/TrAvia_act!V31*1000000)</f>
        <v>18919.976749578746</v>
      </c>
      <c r="W45" s="88">
        <f>IF(W13=0,0,W13/TrAvia_act!W31*1000000)</f>
        <v>17129.702383804186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0.99089101064352436</v>
      </c>
      <c r="C48" s="16">
        <f t="shared" si="35"/>
        <v>0.9914318917139503</v>
      </c>
      <c r="D48" s="16">
        <f t="shared" ref="D48:V48" si="36">IF(D6=0,0,D6/D$3)</f>
        <v>0.99055839328726125</v>
      </c>
      <c r="E48" s="16">
        <f t="shared" si="36"/>
        <v>0.99411396777095384</v>
      </c>
      <c r="F48" s="16">
        <f t="shared" si="36"/>
        <v>0.99436972927417533</v>
      </c>
      <c r="G48" s="16">
        <f t="shared" si="36"/>
        <v>0.99389855898428581</v>
      </c>
      <c r="H48" s="16">
        <f t="shared" si="36"/>
        <v>0.99442086407089236</v>
      </c>
      <c r="I48" s="16">
        <f t="shared" si="36"/>
        <v>0.99535630958086851</v>
      </c>
      <c r="J48" s="16">
        <f t="shared" si="36"/>
        <v>0.99436676842521232</v>
      </c>
      <c r="K48" s="16">
        <f t="shared" si="36"/>
        <v>0.99019821633551408</v>
      </c>
      <c r="L48" s="16">
        <f t="shared" si="36"/>
        <v>0.98935110039261087</v>
      </c>
      <c r="M48" s="16">
        <f t="shared" si="36"/>
        <v>0.98988952183909173</v>
      </c>
      <c r="N48" s="16">
        <f t="shared" si="36"/>
        <v>0.9690950381743334</v>
      </c>
      <c r="O48" s="16">
        <f t="shared" si="36"/>
        <v>0.95630863078053152</v>
      </c>
      <c r="P48" s="16">
        <f t="shared" si="36"/>
        <v>0.97437627042500941</v>
      </c>
      <c r="Q48" s="16">
        <f t="shared" si="36"/>
        <v>0.9872240118110297</v>
      </c>
      <c r="R48" s="16">
        <f t="shared" si="36"/>
        <v>0.98940039339613872</v>
      </c>
      <c r="S48" s="16">
        <f t="shared" si="36"/>
        <v>0.98927205178082889</v>
      </c>
      <c r="T48" s="16">
        <f t="shared" si="36"/>
        <v>0.99004762235331578</v>
      </c>
      <c r="U48" s="16">
        <f t="shared" si="36"/>
        <v>0.98723175819687181</v>
      </c>
      <c r="V48" s="16">
        <f t="shared" si="36"/>
        <v>0.95305121878893584</v>
      </c>
      <c r="W48" s="16">
        <f t="shared" ref="W48" si="37">IF(W6=0,0,W6/W$3)</f>
        <v>0.96214484836823233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0.86654039536520422</v>
      </c>
      <c r="C50" s="103">
        <f t="shared" si="41"/>
        <v>0.86696917859782574</v>
      </c>
      <c r="D50" s="103">
        <f t="shared" ref="D50:V50" si="42">IF(D8=0,0,D8/D$3)</f>
        <v>0.86624567908345973</v>
      </c>
      <c r="E50" s="103">
        <f t="shared" si="42"/>
        <v>0.86940969509255295</v>
      </c>
      <c r="F50" s="103">
        <f t="shared" si="42"/>
        <v>0.86959749696399702</v>
      </c>
      <c r="G50" s="103">
        <f t="shared" si="42"/>
        <v>0.88636880575489407</v>
      </c>
      <c r="H50" s="103">
        <f t="shared" si="42"/>
        <v>0.90222868212958218</v>
      </c>
      <c r="I50" s="103">
        <f t="shared" si="42"/>
        <v>0.90595689946746982</v>
      </c>
      <c r="J50" s="103">
        <f t="shared" si="42"/>
        <v>0.90285911127809926</v>
      </c>
      <c r="K50" s="103">
        <f t="shared" si="42"/>
        <v>0.89677638442391006</v>
      </c>
      <c r="L50" s="103">
        <f t="shared" si="42"/>
        <v>0.9030879940254769</v>
      </c>
      <c r="M50" s="103">
        <f t="shared" si="42"/>
        <v>0.90419906267738459</v>
      </c>
      <c r="N50" s="103">
        <f t="shared" si="42"/>
        <v>0.88072448365712475</v>
      </c>
      <c r="O50" s="103">
        <f t="shared" si="42"/>
        <v>0.87062015738541021</v>
      </c>
      <c r="P50" s="103">
        <f t="shared" si="42"/>
        <v>0.88746564090234126</v>
      </c>
      <c r="Q50" s="103">
        <f t="shared" si="42"/>
        <v>0.9027102759297233</v>
      </c>
      <c r="R50" s="103">
        <f t="shared" si="42"/>
        <v>0.90875794537320087</v>
      </c>
      <c r="S50" s="103">
        <f t="shared" si="42"/>
        <v>0.91208137260821409</v>
      </c>
      <c r="T50" s="103">
        <f t="shared" si="42"/>
        <v>0.91317245185549278</v>
      </c>
      <c r="U50" s="103">
        <f t="shared" si="42"/>
        <v>0.91001236164692534</v>
      </c>
      <c r="V50" s="103">
        <f t="shared" si="42"/>
        <v>0.84360003831556341</v>
      </c>
      <c r="W50" s="103">
        <f t="shared" ref="W50" si="43">IF(W8=0,0,W8/W$3)</f>
        <v>0.86397853077177122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0.12435061527832017</v>
      </c>
      <c r="C51" s="103">
        <f t="shared" si="44"/>
        <v>0.12446271311612461</v>
      </c>
      <c r="D51" s="103">
        <f t="shared" ref="D51:V51" si="45">IF(D9=0,0,D9/D$3)</f>
        <v>0.12431271420380152</v>
      </c>
      <c r="E51" s="103">
        <f t="shared" si="45"/>
        <v>0.12470427267840087</v>
      </c>
      <c r="F51" s="103">
        <f t="shared" si="45"/>
        <v>0.12477223231017837</v>
      </c>
      <c r="G51" s="103">
        <f t="shared" si="45"/>
        <v>0.10752975322939176</v>
      </c>
      <c r="H51" s="103">
        <f t="shared" si="45"/>
        <v>9.2192181941310222E-2</v>
      </c>
      <c r="I51" s="103">
        <f t="shared" si="45"/>
        <v>8.9399410113398511E-2</v>
      </c>
      <c r="J51" s="103">
        <f t="shared" si="45"/>
        <v>9.1507657147113119E-2</v>
      </c>
      <c r="K51" s="103">
        <f t="shared" si="45"/>
        <v>9.3421831911603942E-2</v>
      </c>
      <c r="L51" s="103">
        <f t="shared" si="45"/>
        <v>8.6263106367133982E-2</v>
      </c>
      <c r="M51" s="103">
        <f t="shared" si="45"/>
        <v>8.5690459161707117E-2</v>
      </c>
      <c r="N51" s="103">
        <f t="shared" si="45"/>
        <v>8.8370554517208669E-2</v>
      </c>
      <c r="O51" s="103">
        <f t="shared" si="45"/>
        <v>8.568847339512127E-2</v>
      </c>
      <c r="P51" s="103">
        <f t="shared" si="45"/>
        <v>8.6910629522668092E-2</v>
      </c>
      <c r="Q51" s="103">
        <f t="shared" si="45"/>
        <v>8.4513735881306479E-2</v>
      </c>
      <c r="R51" s="103">
        <f t="shared" si="45"/>
        <v>8.0642448022937838E-2</v>
      </c>
      <c r="S51" s="103">
        <f t="shared" si="45"/>
        <v>7.7190679172614865E-2</v>
      </c>
      <c r="T51" s="103">
        <f t="shared" si="45"/>
        <v>7.6875170497823053E-2</v>
      </c>
      <c r="U51" s="103">
        <f t="shared" si="45"/>
        <v>7.7219396549946515E-2</v>
      </c>
      <c r="V51" s="103">
        <f t="shared" si="45"/>
        <v>0.10945118047337245</v>
      </c>
      <c r="W51" s="103">
        <f t="shared" ref="W51" si="46">IF(W9=0,0,W9/W$3)</f>
        <v>9.8166317596461217E-2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9.108989356475564E-3</v>
      </c>
      <c r="C52" s="17">
        <f t="shared" si="47"/>
        <v>8.5681082860496489E-3</v>
      </c>
      <c r="D52" s="17">
        <f t="shared" ref="D52:V52" si="48">IF(D10=0,0,D10/D$3)</f>
        <v>9.4416067127387378E-3</v>
      </c>
      <c r="E52" s="17">
        <f t="shared" si="48"/>
        <v>5.8860322290461347E-3</v>
      </c>
      <c r="F52" s="17">
        <f t="shared" si="48"/>
        <v>5.6302707258245946E-3</v>
      </c>
      <c r="G52" s="17">
        <f t="shared" si="48"/>
        <v>6.1014410157142285E-3</v>
      </c>
      <c r="H52" s="17">
        <f t="shared" si="48"/>
        <v>5.5791359291077697E-3</v>
      </c>
      <c r="I52" s="17">
        <f t="shared" si="48"/>
        <v>4.6436904191315912E-3</v>
      </c>
      <c r="J52" s="17">
        <f t="shared" si="48"/>
        <v>5.6332315747875316E-3</v>
      </c>
      <c r="K52" s="17">
        <f t="shared" si="48"/>
        <v>9.8017836644860093E-3</v>
      </c>
      <c r="L52" s="17">
        <f t="shared" si="48"/>
        <v>1.0648899607389177E-2</v>
      </c>
      <c r="M52" s="17">
        <f t="shared" si="48"/>
        <v>1.0110478160908289E-2</v>
      </c>
      <c r="N52" s="17">
        <f t="shared" si="48"/>
        <v>3.0904961825666679E-2</v>
      </c>
      <c r="O52" s="17">
        <f t="shared" si="48"/>
        <v>4.36913692194685E-2</v>
      </c>
      <c r="P52" s="17">
        <f t="shared" si="48"/>
        <v>2.5623729574990609E-2</v>
      </c>
      <c r="Q52" s="17">
        <f t="shared" si="48"/>
        <v>1.2775988188970295E-2</v>
      </c>
      <c r="R52" s="17">
        <f t="shared" si="48"/>
        <v>1.059960660386137E-2</v>
      </c>
      <c r="S52" s="17">
        <f t="shared" si="48"/>
        <v>1.0727948219170979E-2</v>
      </c>
      <c r="T52" s="17">
        <f t="shared" si="48"/>
        <v>9.9523776466842843E-3</v>
      </c>
      <c r="U52" s="17">
        <f t="shared" si="48"/>
        <v>1.2768241803128192E-2</v>
      </c>
      <c r="V52" s="17">
        <f t="shared" si="48"/>
        <v>4.6948781211064189E-2</v>
      </c>
      <c r="W52" s="17">
        <f t="shared" ref="W52" si="49">IF(W10=0,0,W10/W$3)</f>
        <v>3.7855151631767676E-2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8.0483910731672052E-3</v>
      </c>
      <c r="C54" s="104">
        <f t="shared" si="53"/>
        <v>7.3563810005583766E-3</v>
      </c>
      <c r="D54" s="104">
        <f t="shared" ref="D54:V54" si="54">IF(D12=0,0,D12/D$3)</f>
        <v>8.1311344873011039E-3</v>
      </c>
      <c r="E54" s="104">
        <f t="shared" si="54"/>
        <v>4.9765806940274783E-3</v>
      </c>
      <c r="F54" s="104">
        <f t="shared" si="54"/>
        <v>4.7924833581951048E-3</v>
      </c>
      <c r="G54" s="104">
        <f t="shared" si="54"/>
        <v>5.3574284856701682E-3</v>
      </c>
      <c r="H54" s="104">
        <f t="shared" si="54"/>
        <v>4.8486005370165777E-3</v>
      </c>
      <c r="I54" s="104">
        <f t="shared" si="54"/>
        <v>3.7350124810191843E-3</v>
      </c>
      <c r="J54" s="104">
        <f t="shared" si="54"/>
        <v>4.3233728931222001E-3</v>
      </c>
      <c r="K54" s="104">
        <f t="shared" si="54"/>
        <v>8.0688404182173521E-3</v>
      </c>
      <c r="L54" s="104">
        <f t="shared" si="54"/>
        <v>8.2330423046423074E-3</v>
      </c>
      <c r="M54" s="104">
        <f t="shared" si="54"/>
        <v>7.5316213801945768E-3</v>
      </c>
      <c r="N54" s="104">
        <f t="shared" si="54"/>
        <v>8.4708638379486136E-3</v>
      </c>
      <c r="O54" s="104">
        <f t="shared" si="54"/>
        <v>9.5697922450310585E-3</v>
      </c>
      <c r="P54" s="104">
        <f t="shared" si="54"/>
        <v>9.571666721823904E-3</v>
      </c>
      <c r="Q54" s="104">
        <f t="shared" si="54"/>
        <v>8.2357148534315944E-3</v>
      </c>
      <c r="R54" s="104">
        <f t="shared" si="54"/>
        <v>7.6848038385533817E-3</v>
      </c>
      <c r="S54" s="104">
        <f t="shared" si="54"/>
        <v>8.2689448832834293E-3</v>
      </c>
      <c r="T54" s="104">
        <f t="shared" si="54"/>
        <v>8.1213817624642831E-3</v>
      </c>
      <c r="U54" s="104">
        <f t="shared" si="54"/>
        <v>8.5886297312696598E-3</v>
      </c>
      <c r="V54" s="104">
        <f t="shared" si="54"/>
        <v>1.7978934741282603E-2</v>
      </c>
      <c r="W54" s="104">
        <f t="shared" ref="W54" si="55">IF(W12=0,0,W12/W$3)</f>
        <v>2.2308506065404295E-2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1.0605982833083586E-3</v>
      </c>
      <c r="C55" s="105">
        <f t="shared" si="56"/>
        <v>1.2117272854912727E-3</v>
      </c>
      <c r="D55" s="105">
        <f t="shared" ref="D55:V55" si="57">IF(D13=0,0,D13/D$3)</f>
        <v>1.3104722254376332E-3</v>
      </c>
      <c r="E55" s="105">
        <f t="shared" si="57"/>
        <v>9.0945153501865745E-4</v>
      </c>
      <c r="F55" s="105">
        <f t="shared" si="57"/>
        <v>8.3778736762949043E-4</v>
      </c>
      <c r="G55" s="105">
        <f t="shared" si="57"/>
        <v>7.4401253004406024E-4</v>
      </c>
      <c r="H55" s="105">
        <f t="shared" si="57"/>
        <v>7.3053539209119213E-4</v>
      </c>
      <c r="I55" s="105">
        <f t="shared" si="57"/>
        <v>9.0867793811240675E-4</v>
      </c>
      <c r="J55" s="105">
        <f t="shared" si="57"/>
        <v>1.3098586816653319E-3</v>
      </c>
      <c r="K55" s="105">
        <f t="shared" si="57"/>
        <v>1.7329432462686583E-3</v>
      </c>
      <c r="L55" s="105">
        <f t="shared" si="57"/>
        <v>2.4158573027468688E-3</v>
      </c>
      <c r="M55" s="105">
        <f t="shared" si="57"/>
        <v>2.5788567807137133E-3</v>
      </c>
      <c r="N55" s="105">
        <f t="shared" si="57"/>
        <v>2.2434097987718064E-2</v>
      </c>
      <c r="O55" s="105">
        <f t="shared" si="57"/>
        <v>3.4121576974437441E-2</v>
      </c>
      <c r="P55" s="105">
        <f t="shared" si="57"/>
        <v>1.6052062853166706E-2</v>
      </c>
      <c r="Q55" s="105">
        <f t="shared" si="57"/>
        <v>4.5402733355386993E-3</v>
      </c>
      <c r="R55" s="105">
        <f t="shared" si="57"/>
        <v>2.9148027653079873E-3</v>
      </c>
      <c r="S55" s="105">
        <f t="shared" si="57"/>
        <v>2.4590033358875517E-3</v>
      </c>
      <c r="T55" s="105">
        <f t="shared" si="57"/>
        <v>1.8309958842200021E-3</v>
      </c>
      <c r="U55" s="105">
        <f t="shared" si="57"/>
        <v>4.1796120718585331E-3</v>
      </c>
      <c r="V55" s="105">
        <f t="shared" si="57"/>
        <v>2.8969846469781582E-2</v>
      </c>
      <c r="W55" s="105">
        <f t="shared" ref="W55" si="58">IF(W13=0,0,W13/W$3)</f>
        <v>1.5546645566363376E-2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393.68462802461664</v>
      </c>
      <c r="C57" s="62">
        <v>393.7737640833497</v>
      </c>
      <c r="D57" s="62">
        <v>393.80808724824664</v>
      </c>
      <c r="E57" s="62">
        <v>393.59709482158081</v>
      </c>
      <c r="F57" s="62">
        <v>393.57468412914147</v>
      </c>
      <c r="G57" s="62">
        <v>403.13282940053108</v>
      </c>
      <c r="H57" s="62">
        <v>389.09033979648399</v>
      </c>
      <c r="I57" s="62">
        <v>385.62866783369481</v>
      </c>
      <c r="J57" s="62">
        <v>383.14228585420739</v>
      </c>
      <c r="K57" s="62">
        <v>377.2916137119571</v>
      </c>
      <c r="L57" s="62">
        <v>369.30618998700311</v>
      </c>
      <c r="M57" s="62">
        <v>371.84382747356773</v>
      </c>
      <c r="N57" s="62">
        <v>381.63585729092398</v>
      </c>
      <c r="O57" s="62">
        <v>386.99647396875122</v>
      </c>
      <c r="P57" s="62">
        <v>370.23066316782445</v>
      </c>
      <c r="Q57" s="62">
        <v>364.2206325110821</v>
      </c>
      <c r="R57" s="62">
        <v>366.17749325909853</v>
      </c>
      <c r="S57" s="62">
        <v>366.72701356097195</v>
      </c>
      <c r="T57" s="62">
        <v>363.83235382799916</v>
      </c>
      <c r="U57" s="62">
        <v>365.78222107069007</v>
      </c>
      <c r="V57" s="62">
        <v>368.50087265493818</v>
      </c>
      <c r="W57" s="62">
        <v>351.91099078033466</v>
      </c>
      <c r="DA57" s="172" t="s">
        <v>313</v>
      </c>
    </row>
    <row r="58" spans="1:105" ht="11.45" customHeight="1" x14ac:dyDescent="0.25">
      <c r="A58" s="10" t="s">
        <v>33</v>
      </c>
      <c r="B58" s="14">
        <v>393.17217749715951</v>
      </c>
      <c r="C58" s="14">
        <v>393.18846102219612</v>
      </c>
      <c r="D58" s="14">
        <v>393.17711550394966</v>
      </c>
      <c r="E58" s="14">
        <v>393.16104806297068</v>
      </c>
      <c r="F58" s="14">
        <v>393.17191796341007</v>
      </c>
      <c r="G58" s="14">
        <v>402.74290741608576</v>
      </c>
      <c r="H58" s="14">
        <v>388.60037923303184</v>
      </c>
      <c r="I58" s="14">
        <v>384.85736038483174</v>
      </c>
      <c r="J58" s="14">
        <v>381.97258404523268</v>
      </c>
      <c r="K58" s="14">
        <v>376.23976480145654</v>
      </c>
      <c r="L58" s="14">
        <v>367.92576640967587</v>
      </c>
      <c r="M58" s="14">
        <v>370.4081861756826</v>
      </c>
      <c r="N58" s="14">
        <v>368.04175763812879</v>
      </c>
      <c r="O58" s="14">
        <v>363.43035318653597</v>
      </c>
      <c r="P58" s="14">
        <v>361.15078667101585</v>
      </c>
      <c r="Q58" s="14">
        <v>362.17721098992035</v>
      </c>
      <c r="R58" s="14">
        <v>364.81921603880107</v>
      </c>
      <c r="S58" s="14">
        <v>365.47664780179934</v>
      </c>
      <c r="T58" s="14">
        <v>362.79409584147555</v>
      </c>
      <c r="U58" s="14">
        <v>362.56524708757649</v>
      </c>
      <c r="V58" s="14">
        <v>358.9577568681425</v>
      </c>
      <c r="W58" s="14">
        <v>345.25583488450309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342.73477023932583</v>
      </c>
      <c r="C60" s="87">
        <v>342.73963900473586</v>
      </c>
      <c r="D60" s="87">
        <v>342.74369895122589</v>
      </c>
      <c r="E60" s="87">
        <v>342.74613553826521</v>
      </c>
      <c r="F60" s="87">
        <v>342.74445253217306</v>
      </c>
      <c r="G60" s="87">
        <v>330.565218771312</v>
      </c>
      <c r="H60" s="87">
        <v>332.59567029304799</v>
      </c>
      <c r="I60" s="87">
        <v>335.42859684129223</v>
      </c>
      <c r="J60" s="87">
        <v>343.61039117020704</v>
      </c>
      <c r="K60" s="87">
        <v>358.92309703856802</v>
      </c>
      <c r="L60" s="87">
        <v>353.21537658744961</v>
      </c>
      <c r="M60" s="87">
        <v>360.77156003828537</v>
      </c>
      <c r="N60" s="87">
        <v>358.12258575814707</v>
      </c>
      <c r="O60" s="87">
        <v>352.58794543085349</v>
      </c>
      <c r="P60" s="87">
        <v>350.29784518321185</v>
      </c>
      <c r="Q60" s="87">
        <v>353.21073660632072</v>
      </c>
      <c r="R60" s="87">
        <v>355.34637417914786</v>
      </c>
      <c r="S60" s="87">
        <v>357.12155975884565</v>
      </c>
      <c r="T60" s="87">
        <v>354.56159647567063</v>
      </c>
      <c r="U60" s="87">
        <v>354.01307812856157</v>
      </c>
      <c r="V60" s="87">
        <v>354.80382583205466</v>
      </c>
      <c r="W60" s="87">
        <v>336.83790726484011</v>
      </c>
      <c r="DA60" s="171" t="s">
        <v>316</v>
      </c>
    </row>
    <row r="61" spans="1:105" ht="11.45" customHeight="1" x14ac:dyDescent="0.25">
      <c r="A61" s="83" t="s">
        <v>174</v>
      </c>
      <c r="B61" s="87">
        <v>505.82384684149656</v>
      </c>
      <c r="C61" s="87">
        <v>505.82384684149656</v>
      </c>
      <c r="D61" s="87">
        <v>505.82384684149662</v>
      </c>
      <c r="E61" s="87">
        <v>505.82384684149656</v>
      </c>
      <c r="F61" s="87">
        <v>505.82384684149662</v>
      </c>
      <c r="G61" s="87">
        <v>549.33434936923049</v>
      </c>
      <c r="H61" s="87">
        <v>491.22475567384896</v>
      </c>
      <c r="I61" s="87">
        <v>468.0838295341826</v>
      </c>
      <c r="J61" s="87">
        <v>449.449069040599</v>
      </c>
      <c r="K61" s="87">
        <v>411.74706810109916</v>
      </c>
      <c r="L61" s="87">
        <v>402.67161895168596</v>
      </c>
      <c r="M61" s="87">
        <v>395.15157499478914</v>
      </c>
      <c r="N61" s="87">
        <v>394.50095257797233</v>
      </c>
      <c r="O61" s="87">
        <v>389.86956111255751</v>
      </c>
      <c r="P61" s="87">
        <v>391.46516000509536</v>
      </c>
      <c r="Q61" s="87">
        <v>392.09076080281352</v>
      </c>
      <c r="R61" s="87">
        <v>393.50258638731822</v>
      </c>
      <c r="S61" s="87">
        <v>389.13519155682144</v>
      </c>
      <c r="T61" s="87">
        <v>384.17091069183323</v>
      </c>
      <c r="U61" s="87">
        <v>382.91771362695397</v>
      </c>
      <c r="V61" s="87">
        <v>377.8373658466553</v>
      </c>
      <c r="W61" s="87">
        <v>378.37776493339209</v>
      </c>
      <c r="DA61" s="171" t="s">
        <v>317</v>
      </c>
    </row>
    <row r="62" spans="1:105" ht="11.45" customHeight="1" x14ac:dyDescent="0.25">
      <c r="A62" s="12" t="s">
        <v>34</v>
      </c>
      <c r="B62" s="15">
        <v>460.18349590797322</v>
      </c>
      <c r="C62" s="15">
        <v>470.36683893182817</v>
      </c>
      <c r="D62" s="15">
        <v>469.10229892369853</v>
      </c>
      <c r="E62" s="15">
        <v>474.68810174181351</v>
      </c>
      <c r="F62" s="15">
        <v>472.82819638222583</v>
      </c>
      <c r="G62" s="15">
        <v>474.1083282155422</v>
      </c>
      <c r="H62" s="15">
        <v>475.68963530606169</v>
      </c>
      <c r="I62" s="15">
        <v>527.19191613567295</v>
      </c>
      <c r="J62" s="15">
        <v>569.39263561876032</v>
      </c>
      <c r="K62" s="15">
        <v>487.62926338989928</v>
      </c>
      <c r="L62" s="15">
        <v>483.05738181697922</v>
      </c>
      <c r="M62" s="15">
        <v>496.9428789099864</v>
      </c>
      <c r="N62" s="15">
        <v>655.57049424753905</v>
      </c>
      <c r="O62" s="15">
        <v>699.54532488606026</v>
      </c>
      <c r="P62" s="15">
        <v>598.27047148466454</v>
      </c>
      <c r="Q62" s="15">
        <v>492.68566868023782</v>
      </c>
      <c r="R62" s="15">
        <v>467.72779552516266</v>
      </c>
      <c r="S62" s="15">
        <v>463.29278518585659</v>
      </c>
      <c r="T62" s="15">
        <v>459.57262778749805</v>
      </c>
      <c r="U62" s="15">
        <v>562.63151862002894</v>
      </c>
      <c r="V62" s="15">
        <v>575.69607493202795</v>
      </c>
      <c r="W62" s="15">
        <v>514.57726703125854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405.22882261672646</v>
      </c>
      <c r="C64" s="101">
        <v>408.28696555277929</v>
      </c>
      <c r="D64" s="101">
        <v>407.53091986085553</v>
      </c>
      <c r="E64" s="101">
        <v>408.89623739367198</v>
      </c>
      <c r="F64" s="101">
        <v>408.5987116316536</v>
      </c>
      <c r="G64" s="101">
        <v>374.96458081464681</v>
      </c>
      <c r="H64" s="101">
        <v>356.34355106764019</v>
      </c>
      <c r="I64" s="101">
        <v>337.04038382221472</v>
      </c>
      <c r="J64" s="101">
        <v>324.55926283706964</v>
      </c>
      <c r="K64" s="101">
        <v>319.80566811988211</v>
      </c>
      <c r="L64" s="101">
        <v>308.32853724189744</v>
      </c>
      <c r="M64" s="101">
        <v>320.31061556354888</v>
      </c>
      <c r="N64" s="101">
        <v>328.04988815247458</v>
      </c>
      <c r="O64" s="101">
        <v>331.68163563117128</v>
      </c>
      <c r="P64" s="101">
        <v>336.68590140929996</v>
      </c>
      <c r="Q64" s="101">
        <v>349.841489393514</v>
      </c>
      <c r="R64" s="101">
        <v>367.20426557354057</v>
      </c>
      <c r="S64" s="101">
        <v>383.06368164038093</v>
      </c>
      <c r="T64" s="101">
        <v>388.15914525879435</v>
      </c>
      <c r="U64" s="101">
        <v>370.347321100025</v>
      </c>
      <c r="V64" s="101">
        <v>378.30877523418917</v>
      </c>
      <c r="W64" s="101">
        <v>342.36078711483066</v>
      </c>
      <c r="DA64" s="175" t="s">
        <v>320</v>
      </c>
    </row>
    <row r="65" spans="1:105" ht="11.45" customHeight="1" x14ac:dyDescent="0.25">
      <c r="A65" s="85" t="s">
        <v>174</v>
      </c>
      <c r="B65" s="88">
        <v>567.27997543949459</v>
      </c>
      <c r="C65" s="88">
        <v>567.27997543949459</v>
      </c>
      <c r="D65" s="88">
        <v>567.27997543949459</v>
      </c>
      <c r="E65" s="88">
        <v>567.27997543949459</v>
      </c>
      <c r="F65" s="88">
        <v>567.27997543949459</v>
      </c>
      <c r="G65" s="88">
        <v>615.60989919666281</v>
      </c>
      <c r="H65" s="88">
        <v>638.84865445939954</v>
      </c>
      <c r="I65" s="88">
        <v>711.01800285410627</v>
      </c>
      <c r="J65" s="88">
        <v>798.32703801357445</v>
      </c>
      <c r="K65" s="88">
        <v>752.61889817317456</v>
      </c>
      <c r="L65" s="88">
        <v>715.27287814242538</v>
      </c>
      <c r="M65" s="88">
        <v>707.55918538369554</v>
      </c>
      <c r="N65" s="88">
        <v>706.51287546663707</v>
      </c>
      <c r="O65" s="88">
        <v>741.84268167787639</v>
      </c>
      <c r="P65" s="88">
        <v>662.49102893227769</v>
      </c>
      <c r="Q65" s="88">
        <v>604.17575677573393</v>
      </c>
      <c r="R65" s="88">
        <v>558.65231565091051</v>
      </c>
      <c r="S65" s="88">
        <v>538.75720569837449</v>
      </c>
      <c r="T65" s="88">
        <v>534.63294278883461</v>
      </c>
      <c r="U65" s="88">
        <v>687.33778576755151</v>
      </c>
      <c r="V65" s="88">
        <v>692.4585526552637</v>
      </c>
      <c r="W65" s="88">
        <v>716.53769186013915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0.82927601585154209</v>
      </c>
      <c r="C67" s="59">
        <f t="shared" ref="C67:W67" si="60">IF(C3=0,0,C17/C57)</f>
        <v>0.82834354332573434</v>
      </c>
      <c r="D67" s="59">
        <f t="shared" si="60"/>
        <v>0.82702232758570049</v>
      </c>
      <c r="E67" s="59">
        <f t="shared" si="60"/>
        <v>0.82923821917282614</v>
      </c>
      <c r="F67" s="59">
        <f t="shared" si="60"/>
        <v>0.82857015708626092</v>
      </c>
      <c r="G67" s="59">
        <f t="shared" si="60"/>
        <v>0.66550784345302816</v>
      </c>
      <c r="H67" s="59">
        <f t="shared" si="60"/>
        <v>0.66552632017473878</v>
      </c>
      <c r="I67" s="59">
        <f t="shared" si="60"/>
        <v>0.68225316737511665</v>
      </c>
      <c r="J67" s="59">
        <f t="shared" si="60"/>
        <v>0.73078596840934584</v>
      </c>
      <c r="K67" s="59">
        <f t="shared" si="60"/>
        <v>0.82197883872300603</v>
      </c>
      <c r="L67" s="59">
        <f t="shared" si="60"/>
        <v>0.84473250002762157</v>
      </c>
      <c r="M67" s="59">
        <f t="shared" si="60"/>
        <v>0.86982397793992394</v>
      </c>
      <c r="N67" s="59">
        <f t="shared" si="60"/>
        <v>0.91711300237331217</v>
      </c>
      <c r="O67" s="59">
        <f t="shared" si="60"/>
        <v>0.89369521812581787</v>
      </c>
      <c r="P67" s="59">
        <f t="shared" si="60"/>
        <v>0.87497601114457124</v>
      </c>
      <c r="Q67" s="59">
        <f t="shared" si="60"/>
        <v>0.88053933634091608</v>
      </c>
      <c r="R67" s="59">
        <f t="shared" si="60"/>
        <v>1.0230593513226389</v>
      </c>
      <c r="S67" s="59">
        <f t="shared" si="60"/>
        <v>1.0537021904292558</v>
      </c>
      <c r="T67" s="59">
        <f t="shared" si="60"/>
        <v>0.9969239364199366</v>
      </c>
      <c r="U67" s="59">
        <f t="shared" si="60"/>
        <v>0.95635694406746741</v>
      </c>
      <c r="V67" s="59">
        <f t="shared" si="60"/>
        <v>1.0749744690081264</v>
      </c>
      <c r="W67" s="59">
        <f t="shared" si="60"/>
        <v>1.1240069819940972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0.82913373195558115</v>
      </c>
      <c r="C68" s="23">
        <f t="shared" ref="C68:W68" si="62">IF(C6=0,0,C18/C58)</f>
        <v>0.82875379704837648</v>
      </c>
      <c r="D68" s="23">
        <f t="shared" si="62"/>
        <v>0.82740468247290755</v>
      </c>
      <c r="E68" s="23">
        <f t="shared" si="62"/>
        <v>0.82970926686963831</v>
      </c>
      <c r="F68" s="23">
        <f t="shared" si="62"/>
        <v>0.82894046592109538</v>
      </c>
      <c r="G68" s="23">
        <f t="shared" si="62"/>
        <v>0.66572502469469574</v>
      </c>
      <c r="H68" s="23">
        <f t="shared" si="62"/>
        <v>0.66639681602319201</v>
      </c>
      <c r="I68" s="23">
        <f t="shared" si="62"/>
        <v>0.68415338558526706</v>
      </c>
      <c r="J68" s="23">
        <f t="shared" si="62"/>
        <v>0.73347218859174534</v>
      </c>
      <c r="K68" s="23">
        <f t="shared" si="62"/>
        <v>0.82397826271540686</v>
      </c>
      <c r="L68" s="23">
        <f t="shared" si="62"/>
        <v>0.84905274607414472</v>
      </c>
      <c r="M68" s="23">
        <f t="shared" si="62"/>
        <v>0.87428635674537714</v>
      </c>
      <c r="N68" s="23">
        <f t="shared" si="62"/>
        <v>0.96733211094002802</v>
      </c>
      <c r="O68" s="23">
        <f t="shared" si="62"/>
        <v>0.97868576764336601</v>
      </c>
      <c r="P68" s="23">
        <f t="shared" si="62"/>
        <v>0.90879014026405269</v>
      </c>
      <c r="Q68" s="23">
        <f t="shared" si="62"/>
        <v>0.88809946813952589</v>
      </c>
      <c r="R68" s="23">
        <f t="shared" si="62"/>
        <v>1.0295731605760687</v>
      </c>
      <c r="S68" s="23">
        <f t="shared" si="62"/>
        <v>1.059507866863181</v>
      </c>
      <c r="T68" s="23">
        <f t="shared" si="62"/>
        <v>1.0005610170081749</v>
      </c>
      <c r="U68" s="23">
        <f t="shared" si="62"/>
        <v>0.96808961617502287</v>
      </c>
      <c r="V68" s="23">
        <f t="shared" si="62"/>
        <v>1.1001846285597676</v>
      </c>
      <c r="W68" s="23">
        <f t="shared" si="62"/>
        <v>1.1474022042178165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1.204202051424669</v>
      </c>
      <c r="C70" s="91">
        <f t="shared" ref="C70:W70" si="64">IF(C8=0,0,C20/C60)</f>
        <v>1.2037596759076203</v>
      </c>
      <c r="D70" s="91">
        <f t="shared" si="64"/>
        <v>1.2016561915385797</v>
      </c>
      <c r="E70" s="91">
        <f t="shared" si="64"/>
        <v>1.2048312762996529</v>
      </c>
      <c r="F70" s="91">
        <f t="shared" si="64"/>
        <v>1.2038329915033876</v>
      </c>
      <c r="G70" s="91">
        <f t="shared" si="64"/>
        <v>1.0794821208359362</v>
      </c>
      <c r="H70" s="91">
        <f t="shared" si="64"/>
        <v>1.091938635511823</v>
      </c>
      <c r="I70" s="91">
        <f t="shared" si="64"/>
        <v>1.1387937378173876</v>
      </c>
      <c r="J70" s="91">
        <f t="shared" si="64"/>
        <v>1.1612210319342258</v>
      </c>
      <c r="K70" s="91">
        <f t="shared" si="64"/>
        <v>1.1637358742195349</v>
      </c>
      <c r="L70" s="91">
        <f t="shared" si="64"/>
        <v>1.1490873507552986</v>
      </c>
      <c r="M70" s="91">
        <f t="shared" si="64"/>
        <v>1.1392687632967347</v>
      </c>
      <c r="N70" s="91">
        <f t="shared" si="64"/>
        <v>1.2421706416434675</v>
      </c>
      <c r="O70" s="91">
        <f t="shared" si="64"/>
        <v>1.2950124282408759</v>
      </c>
      <c r="P70" s="91">
        <f t="shared" si="64"/>
        <v>1.1588934304418956</v>
      </c>
      <c r="Q70" s="91">
        <f t="shared" si="64"/>
        <v>1.0822811214576531</v>
      </c>
      <c r="R70" s="91">
        <f t="shared" si="64"/>
        <v>1.2914995147017414</v>
      </c>
      <c r="S70" s="91">
        <f t="shared" si="64"/>
        <v>1.3527343918960308</v>
      </c>
      <c r="T70" s="91">
        <f t="shared" si="64"/>
        <v>1.3079591009638407</v>
      </c>
      <c r="U70" s="91">
        <f t="shared" si="64"/>
        <v>1.2979592290600541</v>
      </c>
      <c r="V70" s="91">
        <f t="shared" si="64"/>
        <v>1.2020116180897096</v>
      </c>
      <c r="W70" s="91">
        <f t="shared" si="64"/>
        <v>1.3244867155179378</v>
      </c>
      <c r="DA70" s="171"/>
    </row>
    <row r="71" spans="1:105" ht="11.45" customHeight="1" x14ac:dyDescent="0.25">
      <c r="A71" s="83" t="s">
        <v>174</v>
      </c>
      <c r="B71" s="91">
        <f t="shared" si="61"/>
        <v>0.2615183888259186</v>
      </c>
      <c r="C71" s="91">
        <f t="shared" ref="C71:W71" si="65">IF(C9=0,0,C21/C61)</f>
        <v>0.26143531517739188</v>
      </c>
      <c r="D71" s="91">
        <f t="shared" si="65"/>
        <v>0.26099072854278949</v>
      </c>
      <c r="E71" s="91">
        <f t="shared" si="65"/>
        <v>0.26168442340705833</v>
      </c>
      <c r="F71" s="91">
        <f t="shared" si="65"/>
        <v>0.26146197141982647</v>
      </c>
      <c r="G71" s="91">
        <f t="shared" si="65"/>
        <v>0.160050002805567</v>
      </c>
      <c r="H71" s="91">
        <f t="shared" si="65"/>
        <v>0.13843248972649833</v>
      </c>
      <c r="I71" s="91">
        <f t="shared" si="65"/>
        <v>0.13559084194206408</v>
      </c>
      <c r="J71" s="91">
        <f t="shared" si="65"/>
        <v>0.15826583545673575</v>
      </c>
      <c r="K71" s="91">
        <f t="shared" si="65"/>
        <v>0.21669200835218502</v>
      </c>
      <c r="L71" s="91">
        <f t="shared" si="65"/>
        <v>0.22741307983177844</v>
      </c>
      <c r="M71" s="91">
        <f t="shared" si="65"/>
        <v>0.25310303553780639</v>
      </c>
      <c r="N71" s="91">
        <f t="shared" si="65"/>
        <v>0.30181000786499224</v>
      </c>
      <c r="O71" s="91">
        <f t="shared" si="65"/>
        <v>0.28108551061942622</v>
      </c>
      <c r="P71" s="91">
        <f t="shared" si="65"/>
        <v>0.28366799000859705</v>
      </c>
      <c r="Q71" s="91">
        <f t="shared" si="65"/>
        <v>0.30451768926592931</v>
      </c>
      <c r="R71" s="91">
        <f t="shared" si="65"/>
        <v>0.31337469169663457</v>
      </c>
      <c r="S71" s="91">
        <f t="shared" si="65"/>
        <v>0.29750642388816528</v>
      </c>
      <c r="T71" s="91">
        <f t="shared" si="65"/>
        <v>0.26387968776648096</v>
      </c>
      <c r="U71" s="91">
        <f t="shared" si="65"/>
        <v>0.24232308458408455</v>
      </c>
      <c r="V71" s="91">
        <f t="shared" si="65"/>
        <v>0.66559435052194538</v>
      </c>
      <c r="W71" s="91">
        <f t="shared" si="65"/>
        <v>0.52712420312608022</v>
      </c>
      <c r="DA71" s="171"/>
    </row>
    <row r="72" spans="1:105" ht="11.45" customHeight="1" x14ac:dyDescent="0.25">
      <c r="A72" s="12" t="s">
        <v>34</v>
      </c>
      <c r="B72" s="24">
        <f t="shared" si="61"/>
        <v>0.8450510313392765</v>
      </c>
      <c r="C72" s="24">
        <f t="shared" ref="C72:W72" si="66">IF(C10=0,0,C22/C62)</f>
        <v>0.78346638928659396</v>
      </c>
      <c r="D72" s="24">
        <f t="shared" si="66"/>
        <v>0.78878046859772</v>
      </c>
      <c r="E72" s="24">
        <f t="shared" si="66"/>
        <v>0.75668333496101903</v>
      </c>
      <c r="F72" s="24">
        <f t="shared" si="66"/>
        <v>0.76797907135009646</v>
      </c>
      <c r="G72" s="24">
        <f t="shared" si="66"/>
        <v>0.63192609070303007</v>
      </c>
      <c r="H72" s="24">
        <f t="shared" si="66"/>
        <v>0.53983668398746554</v>
      </c>
      <c r="I72" s="24">
        <f t="shared" si="66"/>
        <v>0.42765368045160934</v>
      </c>
      <c r="J72" s="24">
        <f t="shared" si="66"/>
        <v>0.44385072799223552</v>
      </c>
      <c r="K72" s="24">
        <f t="shared" si="66"/>
        <v>0.66015213041137455</v>
      </c>
      <c r="L72" s="24">
        <f t="shared" si="66"/>
        <v>0.57358004004170093</v>
      </c>
      <c r="M72" s="24">
        <f t="shared" si="66"/>
        <v>0.57999045707857744</v>
      </c>
      <c r="N72" s="24">
        <f t="shared" si="66"/>
        <v>0.34898892350097516</v>
      </c>
      <c r="O72" s="24">
        <f t="shared" si="66"/>
        <v>0.30808886154390991</v>
      </c>
      <c r="P72" s="24">
        <f t="shared" si="66"/>
        <v>0.36232722938198264</v>
      </c>
      <c r="Q72" s="24">
        <f t="shared" si="66"/>
        <v>0.53115169598741174</v>
      </c>
      <c r="R72" s="24">
        <f t="shared" si="66"/>
        <v>0.64320914519572081</v>
      </c>
      <c r="S72" s="24">
        <f t="shared" si="66"/>
        <v>0.69999566948061875</v>
      </c>
      <c r="T72" s="24">
        <f t="shared" si="66"/>
        <v>0.73216637889942393</v>
      </c>
      <c r="U72" s="24">
        <f t="shared" si="66"/>
        <v>0.4937146102838697</v>
      </c>
      <c r="V72" s="24">
        <f t="shared" si="66"/>
        <v>0.73369106477872315</v>
      </c>
      <c r="W72" s="24">
        <f t="shared" si="66"/>
        <v>0.74033781654905706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1.2830082630819799</v>
      </c>
      <c r="C74" s="93">
        <f t="shared" ref="C74:W74" si="68">IF(C12=0,0,C24/C64)</f>
        <v>1.2713531396724005</v>
      </c>
      <c r="D74" s="93">
        <f t="shared" si="68"/>
        <v>1.2723129058151053</v>
      </c>
      <c r="E74" s="93">
        <f t="shared" si="68"/>
        <v>1.2704440154236341</v>
      </c>
      <c r="F74" s="93">
        <f t="shared" si="68"/>
        <v>1.2708743162362548</v>
      </c>
      <c r="G74" s="93">
        <f t="shared" si="68"/>
        <v>1.1931464288564106</v>
      </c>
      <c r="H74" s="93">
        <f t="shared" si="68"/>
        <v>1.0843808836574416</v>
      </c>
      <c r="I74" s="93">
        <f t="shared" si="68"/>
        <v>1.0945769144374162</v>
      </c>
      <c r="J74" s="93">
        <f t="shared" si="68"/>
        <v>1.2367283661654245</v>
      </c>
      <c r="K74" s="93">
        <f t="shared" si="68"/>
        <v>1.3533972421336098</v>
      </c>
      <c r="L74" s="93">
        <f t="shared" si="68"/>
        <v>1.2175266056117555</v>
      </c>
      <c r="M74" s="93">
        <f t="shared" si="68"/>
        <v>1.2324536683010436</v>
      </c>
      <c r="N74" s="93">
        <f t="shared" si="68"/>
        <v>1.4201519315918396</v>
      </c>
      <c r="O74" s="93">
        <f t="shared" si="68"/>
        <v>1.3801251414046798</v>
      </c>
      <c r="P74" s="93">
        <f t="shared" si="68"/>
        <v>1.2201203774863232</v>
      </c>
      <c r="Q74" s="93">
        <f t="shared" si="68"/>
        <v>1.0999998055176832</v>
      </c>
      <c r="R74" s="93">
        <f t="shared" si="68"/>
        <v>1.2506927760471203</v>
      </c>
      <c r="S74" s="93">
        <f t="shared" si="68"/>
        <v>1.3462993862181771</v>
      </c>
      <c r="T74" s="93">
        <f t="shared" si="68"/>
        <v>1.3804057223509332</v>
      </c>
      <c r="U74" s="93">
        <f t="shared" si="68"/>
        <v>1.2824532121865426</v>
      </c>
      <c r="V74" s="93">
        <f t="shared" si="68"/>
        <v>1.1503584075633739</v>
      </c>
      <c r="W74" s="93">
        <f t="shared" si="68"/>
        <v>1.2149340780666564</v>
      </c>
      <c r="DA74" s="175"/>
    </row>
    <row r="75" spans="1:105" ht="11.45" customHeight="1" x14ac:dyDescent="0.25">
      <c r="A75" s="85" t="s">
        <v>174</v>
      </c>
      <c r="B75" s="94">
        <f t="shared" si="61"/>
        <v>0.23536654994332679</v>
      </c>
      <c r="C75" s="94">
        <f t="shared" ref="C75:W75" si="69">IF(C13=0,0,C25/C65)</f>
        <v>0.2352917836596527</v>
      </c>
      <c r="D75" s="94">
        <f t="shared" si="69"/>
        <v>0.23489165568851053</v>
      </c>
      <c r="E75" s="94">
        <f t="shared" si="69"/>
        <v>0.23551598106635252</v>
      </c>
      <c r="F75" s="94">
        <f t="shared" si="69"/>
        <v>0.23531577427784389</v>
      </c>
      <c r="G75" s="94">
        <f t="shared" si="69"/>
        <v>0.14404500252501032</v>
      </c>
      <c r="H75" s="94">
        <f t="shared" si="69"/>
        <v>0.12458924075384847</v>
      </c>
      <c r="I75" s="94">
        <f t="shared" si="69"/>
        <v>0.12203175774785768</v>
      </c>
      <c r="J75" s="94">
        <f t="shared" si="69"/>
        <v>0.14243925191106221</v>
      </c>
      <c r="K75" s="94">
        <f t="shared" si="69"/>
        <v>0.19502280751696652</v>
      </c>
      <c r="L75" s="94">
        <f t="shared" si="69"/>
        <v>0.20467177184860061</v>
      </c>
      <c r="M75" s="94">
        <f t="shared" si="69"/>
        <v>0.22779273198402583</v>
      </c>
      <c r="N75" s="94">
        <f t="shared" si="69"/>
        <v>0.27162900707849313</v>
      </c>
      <c r="O75" s="94">
        <f t="shared" si="69"/>
        <v>0.25297695955748356</v>
      </c>
      <c r="P75" s="94">
        <f t="shared" si="69"/>
        <v>0.2553011910077374</v>
      </c>
      <c r="Q75" s="94">
        <f t="shared" si="69"/>
        <v>0.27406592033933641</v>
      </c>
      <c r="R75" s="94">
        <f t="shared" si="69"/>
        <v>0.28203722252697111</v>
      </c>
      <c r="S75" s="94">
        <f t="shared" si="69"/>
        <v>0.26775578149934881</v>
      </c>
      <c r="T75" s="94">
        <f t="shared" si="69"/>
        <v>0.2374917189898329</v>
      </c>
      <c r="U75" s="94">
        <f t="shared" si="69"/>
        <v>0.21809077612567609</v>
      </c>
      <c r="V75" s="94">
        <f t="shared" si="69"/>
        <v>0.59903491546975085</v>
      </c>
      <c r="W75" s="94">
        <f t="shared" si="69"/>
        <v>0.47441178281347218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80.758079999999978</v>
      </c>
      <c r="C3" s="79">
        <f t="shared" si="0"/>
        <v>80.758079999999993</v>
      </c>
      <c r="D3" s="79">
        <f t="shared" ref="D3" si="1">SUM(D4:D5)</f>
        <v>83.864160000000041</v>
      </c>
      <c r="E3" s="79">
        <f t="shared" ref="E3" si="2">SUM(E4:E5)</f>
        <v>121.16507472000004</v>
      </c>
      <c r="F3" s="79">
        <f t="shared" ref="F3" si="3">SUM(F4:F5)</f>
        <v>146.01966804000003</v>
      </c>
      <c r="G3" s="79">
        <f t="shared" ref="G3" si="4">SUM(G4:G5)</f>
        <v>177.08745671999998</v>
      </c>
      <c r="H3" s="79">
        <f t="shared" ref="H3" si="5">SUM(H4:H5)</f>
        <v>198.83519352000002</v>
      </c>
      <c r="I3" s="79">
        <f t="shared" ref="I3" si="6">SUM(I4:I5)</f>
        <v>242.33040827999997</v>
      </c>
      <c r="J3" s="79">
        <f t="shared" ref="J3" si="7">SUM(J4:J5)</f>
        <v>292.03907724000004</v>
      </c>
      <c r="K3" s="79">
        <f t="shared" ref="K3" si="8">SUM(K4:K5)</f>
        <v>307.57310100000007</v>
      </c>
      <c r="L3" s="79">
        <f t="shared" ref="L3" si="9">SUM(L4:L5)</f>
        <v>354.17517228000003</v>
      </c>
      <c r="M3" s="79">
        <f t="shared" ref="M3" si="10">SUM(M4:M5)</f>
        <v>354.17517228000003</v>
      </c>
      <c r="N3" s="79">
        <f t="shared" ref="N3" si="11">SUM(N4:N5)</f>
        <v>357.28176996000002</v>
      </c>
      <c r="O3" s="79">
        <f t="shared" ref="O3" si="12">SUM(O4:O5)</f>
        <v>369.70919603999988</v>
      </c>
      <c r="P3" s="79">
        <f t="shared" ref="P3" si="13">SUM(P4:P5)</f>
        <v>329.32057895999992</v>
      </c>
      <c r="Q3" s="79">
        <f t="shared" ref="Q3" si="14">SUM(Q4:Q5)</f>
        <v>323.10712476000003</v>
      </c>
      <c r="R3" s="79">
        <f t="shared" ref="R3" si="15">SUM(R4:R5)</f>
        <v>369.70919603999999</v>
      </c>
      <c r="S3" s="79">
        <f t="shared" ref="S3" si="16">SUM(S4:S5)</f>
        <v>421.22923307999974</v>
      </c>
      <c r="T3" s="79">
        <f t="shared" ref="T3" si="17">SUM(T4:T5)</f>
        <v>461.37841740000022</v>
      </c>
      <c r="U3" s="79">
        <f t="shared" ref="U3" si="18">SUM(U4:U5)</f>
        <v>472.26436920000003</v>
      </c>
      <c r="V3" s="79">
        <f t="shared" ref="V3:W3" si="19">SUM(V4:V5)</f>
        <v>174.97480464000003</v>
      </c>
      <c r="W3" s="79">
        <f t="shared" si="19"/>
        <v>235.49547924000004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80.758079999999978</v>
      </c>
      <c r="C5" s="96">
        <f t="shared" si="23"/>
        <v>80.758079999999993</v>
      </c>
      <c r="D5" s="96">
        <f t="shared" ref="D5:V5" si="24">SUM(D8:D9,D12:D13)</f>
        <v>83.864160000000041</v>
      </c>
      <c r="E5" s="96">
        <f t="shared" si="24"/>
        <v>121.16507472000004</v>
      </c>
      <c r="F5" s="96">
        <f t="shared" si="24"/>
        <v>146.01966804000003</v>
      </c>
      <c r="G5" s="96">
        <f t="shared" si="24"/>
        <v>177.08745671999998</v>
      </c>
      <c r="H5" s="96">
        <f t="shared" si="24"/>
        <v>198.83519352000002</v>
      </c>
      <c r="I5" s="96">
        <f t="shared" si="24"/>
        <v>242.33040827999997</v>
      </c>
      <c r="J5" s="96">
        <f t="shared" si="24"/>
        <v>292.03907724000004</v>
      </c>
      <c r="K5" s="96">
        <f t="shared" si="24"/>
        <v>307.57310100000007</v>
      </c>
      <c r="L5" s="96">
        <f t="shared" si="24"/>
        <v>354.17517228000003</v>
      </c>
      <c r="M5" s="96">
        <f t="shared" si="24"/>
        <v>354.17517228000003</v>
      </c>
      <c r="N5" s="96">
        <f t="shared" si="24"/>
        <v>357.28176996000002</v>
      </c>
      <c r="O5" s="96">
        <f t="shared" si="24"/>
        <v>369.70919603999988</v>
      </c>
      <c r="P5" s="96">
        <f t="shared" si="24"/>
        <v>329.32057895999992</v>
      </c>
      <c r="Q5" s="96">
        <f t="shared" si="24"/>
        <v>323.10712476000003</v>
      </c>
      <c r="R5" s="96">
        <f t="shared" si="24"/>
        <v>369.70919603999999</v>
      </c>
      <c r="S5" s="96">
        <f t="shared" si="24"/>
        <v>421.22923307999974</v>
      </c>
      <c r="T5" s="96">
        <f t="shared" si="24"/>
        <v>461.37841740000022</v>
      </c>
      <c r="U5" s="96">
        <f t="shared" si="24"/>
        <v>472.26436920000003</v>
      </c>
      <c r="V5" s="96">
        <f t="shared" si="24"/>
        <v>174.97480464000003</v>
      </c>
      <c r="W5" s="96">
        <f t="shared" ref="W5" si="25">SUM(W8:W9,W12:W13)</f>
        <v>235.49547924000004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80.022455508830589</v>
      </c>
      <c r="C6" s="21">
        <f t="shared" si="26"/>
        <v>80.06613602558653</v>
      </c>
      <c r="D6" s="21">
        <f t="shared" ref="D6:V6" si="27">SUM(D7:D9)</f>
        <v>83.072347583985845</v>
      </c>
      <c r="E6" s="21">
        <f t="shared" si="27"/>
        <v>120.45189318516333</v>
      </c>
      <c r="F6" s="21">
        <f t="shared" si="27"/>
        <v>145.19753777763978</v>
      </c>
      <c r="G6" s="21">
        <f t="shared" si="27"/>
        <v>176.00696804820006</v>
      </c>
      <c r="H6" s="21">
        <f t="shared" si="27"/>
        <v>197.72586494786148</v>
      </c>
      <c r="I6" s="21">
        <f t="shared" si="27"/>
        <v>241.20510088480589</v>
      </c>
      <c r="J6" s="21">
        <f t="shared" si="27"/>
        <v>290.39395348901985</v>
      </c>
      <c r="K6" s="21">
        <f t="shared" si="27"/>
        <v>304.55833600298297</v>
      </c>
      <c r="L6" s="21">
        <f t="shared" si="27"/>
        <v>350.40359642696052</v>
      </c>
      <c r="M6" s="21">
        <f t="shared" si="27"/>
        <v>350.59429193552717</v>
      </c>
      <c r="N6" s="21">
        <f t="shared" si="27"/>
        <v>346.2399904983796</v>
      </c>
      <c r="O6" s="21">
        <f t="shared" si="27"/>
        <v>353.55609505198339</v>
      </c>
      <c r="P6" s="21">
        <f t="shared" si="27"/>
        <v>320.88215750124959</v>
      </c>
      <c r="Q6" s="21">
        <f t="shared" si="27"/>
        <v>318.97911195029411</v>
      </c>
      <c r="R6" s="21">
        <f t="shared" si="27"/>
        <v>365.79042400414613</v>
      </c>
      <c r="S6" s="21">
        <f t="shared" si="27"/>
        <v>416.7103076791164</v>
      </c>
      <c r="T6" s="21">
        <f t="shared" si="27"/>
        <v>456.7866051520059</v>
      </c>
      <c r="U6" s="21">
        <f t="shared" si="27"/>
        <v>466.23438353905266</v>
      </c>
      <c r="V6" s="21">
        <f t="shared" si="27"/>
        <v>166.75995081950796</v>
      </c>
      <c r="W6" s="21">
        <f t="shared" ref="W6" si="28">SUM(W7:W9)</f>
        <v>226.58076216477406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69.980138572134791</v>
      </c>
      <c r="C8" s="96">
        <v>70.014766282737497</v>
      </c>
      <c r="D8" s="96">
        <v>72.646966229963951</v>
      </c>
      <c r="E8" s="96">
        <v>105.34209066818163</v>
      </c>
      <c r="F8" s="96">
        <v>126.97833783509776</v>
      </c>
      <c r="G8" s="96">
        <v>156.96479752707788</v>
      </c>
      <c r="H8" s="96">
        <v>179.39481461053001</v>
      </c>
      <c r="I8" s="96">
        <v>219.54090533203487</v>
      </c>
      <c r="J8" s="96">
        <v>263.67014173538263</v>
      </c>
      <c r="K8" s="96">
        <v>275.82429346083018</v>
      </c>
      <c r="L8" s="96">
        <v>319.8513458679729</v>
      </c>
      <c r="M8" s="96">
        <v>320.24485879917722</v>
      </c>
      <c r="N8" s="96">
        <v>314.66680236812459</v>
      </c>
      <c r="O8" s="96">
        <v>321.87627844317819</v>
      </c>
      <c r="P8" s="96">
        <v>292.26069866906647</v>
      </c>
      <c r="Q8" s="96">
        <v>291.67212174695914</v>
      </c>
      <c r="R8" s="96">
        <v>335.9761693788883</v>
      </c>
      <c r="S8" s="96">
        <v>384.19533709031151</v>
      </c>
      <c r="T8" s="96">
        <v>421.31806065036511</v>
      </c>
      <c r="U8" s="96">
        <v>429.76641393738748</v>
      </c>
      <c r="V8" s="96">
        <v>147.60875189856225</v>
      </c>
      <c r="W8" s="96">
        <v>203.46303815716936</v>
      </c>
      <c r="DA8" s="171" t="s">
        <v>328</v>
      </c>
    </row>
    <row r="9" spans="1:105" ht="11.45" customHeight="1" x14ac:dyDescent="0.25">
      <c r="A9" s="83" t="s">
        <v>174</v>
      </c>
      <c r="B9" s="96">
        <v>10.042316936695803</v>
      </c>
      <c r="C9" s="96">
        <v>10.05136974284904</v>
      </c>
      <c r="D9" s="96">
        <v>10.425381354021887</v>
      </c>
      <c r="E9" s="96">
        <v>15.109802516981702</v>
      </c>
      <c r="F9" s="96">
        <v>18.219199942542009</v>
      </c>
      <c r="G9" s="96">
        <v>19.042170521122195</v>
      </c>
      <c r="H9" s="96">
        <v>18.331050337331465</v>
      </c>
      <c r="I9" s="96">
        <v>21.664195552771023</v>
      </c>
      <c r="J9" s="96">
        <v>26.723811753637207</v>
      </c>
      <c r="K9" s="96">
        <v>28.734042542152789</v>
      </c>
      <c r="L9" s="96">
        <v>30.552250558987641</v>
      </c>
      <c r="M9" s="96">
        <v>30.349433136349919</v>
      </c>
      <c r="N9" s="96">
        <v>31.573188130254994</v>
      </c>
      <c r="O9" s="96">
        <v>31.679816608805204</v>
      </c>
      <c r="P9" s="96">
        <v>28.621458832183123</v>
      </c>
      <c r="Q9" s="96">
        <v>27.306990203334987</v>
      </c>
      <c r="R9" s="96">
        <v>29.814254625257831</v>
      </c>
      <c r="S9" s="96">
        <v>32.514970588804871</v>
      </c>
      <c r="T9" s="96">
        <v>35.468544501640785</v>
      </c>
      <c r="U9" s="96">
        <v>36.46796960166516</v>
      </c>
      <c r="V9" s="96">
        <v>19.151198920945728</v>
      </c>
      <c r="W9" s="96">
        <v>23.117724007604682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0.73562449116940198</v>
      </c>
      <c r="C10" s="22">
        <f t="shared" si="29"/>
        <v>0.69194397441346056</v>
      </c>
      <c r="D10" s="22">
        <f t="shared" ref="D10:V10" si="30">SUM(D11:D13)</f>
        <v>0.79181241601419561</v>
      </c>
      <c r="E10" s="22">
        <f t="shared" si="30"/>
        <v>0.71318153483670343</v>
      </c>
      <c r="F10" s="22">
        <f t="shared" si="30"/>
        <v>0.82213026236023734</v>
      </c>
      <c r="G10" s="22">
        <f t="shared" si="30"/>
        <v>1.0804886717999262</v>
      </c>
      <c r="H10" s="22">
        <f t="shared" si="30"/>
        <v>1.1093285721385284</v>
      </c>
      <c r="I10" s="22">
        <f t="shared" si="30"/>
        <v>1.1253073951940826</v>
      </c>
      <c r="J10" s="22">
        <f t="shared" si="30"/>
        <v>1.6451237509801828</v>
      </c>
      <c r="K10" s="22">
        <f t="shared" si="30"/>
        <v>3.0147649970171058</v>
      </c>
      <c r="L10" s="22">
        <f t="shared" si="30"/>
        <v>3.7715758530394856</v>
      </c>
      <c r="M10" s="22">
        <f t="shared" si="30"/>
        <v>3.5808803444728703</v>
      </c>
      <c r="N10" s="22">
        <f t="shared" si="30"/>
        <v>11.041779461620424</v>
      </c>
      <c r="O10" s="22">
        <f t="shared" si="30"/>
        <v>16.153100988016501</v>
      </c>
      <c r="P10" s="22">
        <f t="shared" si="30"/>
        <v>8.4384214587503816</v>
      </c>
      <c r="Q10" s="22">
        <f t="shared" si="30"/>
        <v>4.1280128097059121</v>
      </c>
      <c r="R10" s="22">
        <f t="shared" si="30"/>
        <v>3.9187720358538609</v>
      </c>
      <c r="S10" s="22">
        <f t="shared" si="30"/>
        <v>4.5189254008833419</v>
      </c>
      <c r="T10" s="22">
        <f t="shared" si="30"/>
        <v>4.5918122479943335</v>
      </c>
      <c r="U10" s="22">
        <f t="shared" si="30"/>
        <v>6.0299856609474087</v>
      </c>
      <c r="V10" s="22">
        <f t="shared" si="30"/>
        <v>8.2148538204920598</v>
      </c>
      <c r="W10" s="22">
        <f t="shared" ref="W10" si="31">SUM(W11:W13)</f>
        <v>8.9147170752259974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0.64997261015812291</v>
      </c>
      <c r="C12" s="97">
        <v>0.59408720535357351</v>
      </c>
      <c r="D12" s="97">
        <v>0.68191076362453784</v>
      </c>
      <c r="E12" s="97">
        <v>0.60298777164194906</v>
      </c>
      <c r="F12" s="97">
        <v>0.6997968290508737</v>
      </c>
      <c r="G12" s="97">
        <v>0.94873338508661109</v>
      </c>
      <c r="H12" s="97">
        <v>0.96407242607886712</v>
      </c>
      <c r="I12" s="97">
        <v>0.90510709945627466</v>
      </c>
      <c r="J12" s="97">
        <v>1.2625938302718365</v>
      </c>
      <c r="K12" s="97">
        <v>2.481758268905248</v>
      </c>
      <c r="L12" s="97">
        <v>2.9159391766352174</v>
      </c>
      <c r="M12" s="97">
        <v>2.667513299878145</v>
      </c>
      <c r="N12" s="97">
        <v>3.0264852251124394</v>
      </c>
      <c r="O12" s="97">
        <v>3.5380401971802589</v>
      </c>
      <c r="P12" s="97">
        <v>3.1521468264432131</v>
      </c>
      <c r="Q12" s="97">
        <v>2.6610181466355081</v>
      </c>
      <c r="R12" s="97">
        <v>2.841142648876676</v>
      </c>
      <c r="S12" s="97">
        <v>3.4831213115662676</v>
      </c>
      <c r="T12" s="97">
        <v>3.7470302646669951</v>
      </c>
      <c r="U12" s="97">
        <v>4.0561038023304326</v>
      </c>
      <c r="V12" s="97">
        <v>3.145860593991233</v>
      </c>
      <c r="W12" s="97">
        <v>5.2535523270008326</v>
      </c>
      <c r="DA12" s="175" t="s">
        <v>332</v>
      </c>
    </row>
    <row r="13" spans="1:105" ht="11.45" customHeight="1" x14ac:dyDescent="0.25">
      <c r="A13" s="85" t="s">
        <v>174</v>
      </c>
      <c r="B13" s="98">
        <v>8.5651881011279074E-2</v>
      </c>
      <c r="C13" s="98">
        <v>9.785676905988705E-2</v>
      </c>
      <c r="D13" s="98">
        <v>0.10990165238965778</v>
      </c>
      <c r="E13" s="98">
        <v>0.11019376319475437</v>
      </c>
      <c r="F13" s="98">
        <v>0.12233343330936365</v>
      </c>
      <c r="G13" s="98">
        <v>0.13175528671331521</v>
      </c>
      <c r="H13" s="98">
        <v>0.14525614605966125</v>
      </c>
      <c r="I13" s="98">
        <v>0.22020029573780808</v>
      </c>
      <c r="J13" s="98">
        <v>0.38252992070834646</v>
      </c>
      <c r="K13" s="98">
        <v>0.53300672811185801</v>
      </c>
      <c r="L13" s="98">
        <v>0.85563667640426833</v>
      </c>
      <c r="M13" s="98">
        <v>0.91336704459472551</v>
      </c>
      <c r="N13" s="98">
        <v>8.0152942365079838</v>
      </c>
      <c r="O13" s="98">
        <v>12.615060790836241</v>
      </c>
      <c r="P13" s="98">
        <v>5.286274632307169</v>
      </c>
      <c r="Q13" s="98">
        <v>1.466994663070404</v>
      </c>
      <c r="R13" s="98">
        <v>1.0776293869771847</v>
      </c>
      <c r="S13" s="98">
        <v>1.0358040893170746</v>
      </c>
      <c r="T13" s="98">
        <v>0.84478198332733856</v>
      </c>
      <c r="U13" s="98">
        <v>1.9738818586169757</v>
      </c>
      <c r="V13" s="98">
        <v>5.068993226500826</v>
      </c>
      <c r="W13" s="98">
        <v>3.6611647482251648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3.0103091999999996</v>
      </c>
      <c r="C19" s="98">
        <f>IF(C5=0,0,C5/TrAvia_ene!C5)</f>
        <v>3.0103092</v>
      </c>
      <c r="D19" s="98">
        <f>IF(D5=0,0,D5/TrAvia_ene!D5)</f>
        <v>3.0103092000000005</v>
      </c>
      <c r="E19" s="98">
        <f>IF(E5=0,0,E5/TrAvia_ene!E5)</f>
        <v>3.0103092000000005</v>
      </c>
      <c r="F19" s="98">
        <f>IF(F5=0,0,F5/TrAvia_ene!F5)</f>
        <v>3.0103092</v>
      </c>
      <c r="G19" s="98">
        <f>IF(G5=0,0,G5/TrAvia_ene!G5)</f>
        <v>3.0103092</v>
      </c>
      <c r="H19" s="98">
        <f>IF(H5=0,0,H5/TrAvia_ene!H5)</f>
        <v>3.0103092000000018</v>
      </c>
      <c r="I19" s="98">
        <f>IF(I5=0,0,I5/TrAvia_ene!I5)</f>
        <v>3.0103091999999987</v>
      </c>
      <c r="J19" s="98">
        <f>IF(J5=0,0,J5/TrAvia_ene!J5)</f>
        <v>3.0103092000000009</v>
      </c>
      <c r="K19" s="98">
        <f>IF(K5=0,0,K5/TrAvia_ene!K5)</f>
        <v>3.0103092000000005</v>
      </c>
      <c r="L19" s="98">
        <f>IF(L5=0,0,L5/TrAvia_ene!L5)</f>
        <v>3.0103092000000014</v>
      </c>
      <c r="M19" s="98">
        <f>IF(M5=0,0,M5/TrAvia_ene!M5)</f>
        <v>3.0103092000000014</v>
      </c>
      <c r="N19" s="98">
        <f>IF(N5=0,0,N5/TrAvia_ene!N5)</f>
        <v>3.0103092</v>
      </c>
      <c r="O19" s="98">
        <f>IF(O5=0,0,O5/TrAvia_ene!O5)</f>
        <v>3.0103091999999996</v>
      </c>
      <c r="P19" s="98">
        <f>IF(P5=0,0,P5/TrAvia_ene!P5)</f>
        <v>3.0103091999999991</v>
      </c>
      <c r="Q19" s="98">
        <f>IF(Q5=0,0,Q5/TrAvia_ene!Q5)</f>
        <v>3.0103091999999991</v>
      </c>
      <c r="R19" s="98">
        <f>IF(R5=0,0,R5/TrAvia_ene!R5)</f>
        <v>3.0103092000000018</v>
      </c>
      <c r="S19" s="98">
        <f>IF(S5=0,0,S5/TrAvia_ene!S5)</f>
        <v>3.0103073913681784</v>
      </c>
      <c r="T19" s="98">
        <f>IF(T5=0,0,T5/TrAvia_ene!T5)</f>
        <v>3.0103092000000009</v>
      </c>
      <c r="U19" s="98">
        <f>IF(U5=0,0,U5/TrAvia_ene!U5)</f>
        <v>3.0103086768054661</v>
      </c>
      <c r="V19" s="98">
        <f>IF(V5=0,0,V5/TrAvia_ene!V5)</f>
        <v>3.0103092000000005</v>
      </c>
      <c r="W19" s="98">
        <f>IF(W5=0,0,W5/TrAvia_ene!W5)</f>
        <v>3.0103092000000005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9827.8533720862524</v>
      </c>
      <c r="C21" s="54">
        <f>IF(C3=0,0,C3/TrAvia_act!C13*1000)</f>
        <v>9819.02519420725</v>
      </c>
      <c r="D21" s="54">
        <f>IF(D3=0,0,D3/TrAvia_act!D13*1000)</f>
        <v>9804.2182637835995</v>
      </c>
      <c r="E21" s="54">
        <f>IF(E3=0,0,E3/TrAvia_act!E13*1000)</f>
        <v>9825.2203795928253</v>
      </c>
      <c r="F21" s="54">
        <f>IF(F3=0,0,F3/TrAvia_act!F13*1000)</f>
        <v>9816.7458737106008</v>
      </c>
      <c r="G21" s="54">
        <f>IF(G3=0,0,G3/TrAvia_act!G13*1000)</f>
        <v>8076.3001502571651</v>
      </c>
      <c r="H21" s="54">
        <f>IF(H3=0,0,H3/TrAvia_act!H13*1000)</f>
        <v>7795.1915209883045</v>
      </c>
      <c r="I21" s="54">
        <f>IF(I3=0,0,I3/TrAvia_act!I13*1000)</f>
        <v>7920.0145338187131</v>
      </c>
      <c r="J21" s="54">
        <f>IF(J3=0,0,J3/TrAvia_act!J13*1000)</f>
        <v>8428.7154373965859</v>
      </c>
      <c r="K21" s="54">
        <f>IF(K3=0,0,K3/TrAvia_act!K13*1000)</f>
        <v>9335.7431559503602</v>
      </c>
      <c r="L21" s="54">
        <f>IF(L3=0,0,L3/TrAvia_act!L13*1000)</f>
        <v>9391.1093240142673</v>
      </c>
      <c r="M21" s="54">
        <f>IF(M3=0,0,M3/TrAvia_act!M13*1000)</f>
        <v>9736.5042556723729</v>
      </c>
      <c r="N21" s="54">
        <f>IF(N3=0,0,N3/TrAvia_act!N13*1000)</f>
        <v>10536.178737406819</v>
      </c>
      <c r="O21" s="54">
        <f>IF(O3=0,0,O3/TrAvia_act!O13*1000)</f>
        <v>10411.362025873794</v>
      </c>
      <c r="P21" s="54">
        <f>IF(P3=0,0,P3/TrAvia_act!P13*1000)</f>
        <v>9751.6843923438482</v>
      </c>
      <c r="Q21" s="54">
        <f>IF(Q3=0,0,Q3/TrAvia_act!Q13*1000)</f>
        <v>9654.3805175493526</v>
      </c>
      <c r="R21" s="54">
        <f>IF(R3=0,0,R3/TrAvia_act!R13*1000)</f>
        <v>11277.259721636936</v>
      </c>
      <c r="S21" s="54">
        <f>IF(S3=0,0,S3/TrAvia_act!S13*1000)</f>
        <v>11632.461655086656</v>
      </c>
      <c r="T21" s="54">
        <f>IF(T3=0,0,T3/TrAvia_act!T13*1000)</f>
        <v>10918.788298651625</v>
      </c>
      <c r="U21" s="54">
        <f>IF(U3=0,0,U3/TrAvia_act!U13*1000)</f>
        <v>10530.612658995627</v>
      </c>
      <c r="V21" s="54">
        <f>IF(V3=0,0,V3/TrAvia_act!V13*1000)</f>
        <v>11924.708631289815</v>
      </c>
      <c r="W21" s="54">
        <f>IF(W3=0,0,W3/TrAvia_act!W13*1000)</f>
        <v>11907.290403264265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9813.3766446000482</v>
      </c>
      <c r="C22" s="11">
        <f>IF(C6=0,0,C6/TrAvia_act!C14*1000)</f>
        <v>9809.286091916998</v>
      </c>
      <c r="D22" s="11">
        <f>IF(D6=0,0,D6/TrAvia_act!D14*1000)</f>
        <v>9793.03512980087</v>
      </c>
      <c r="E22" s="11">
        <f>IF(E6=0,0,E6/TrAvia_act!E14*1000)</f>
        <v>9819.9105243522117</v>
      </c>
      <c r="F22" s="11">
        <f>IF(F6=0,0,F6/TrAvia_act!F14*1000)</f>
        <v>9811.0827298177373</v>
      </c>
      <c r="G22" s="11">
        <f>IF(G6=0,0,G6/TrAvia_act!G14*1000)</f>
        <v>8071.1215775250357</v>
      </c>
      <c r="H22" s="11">
        <f>IF(H6=0,0,H6/TrAvia_act!H14*1000)</f>
        <v>7795.5585790069308</v>
      </c>
      <c r="I22" s="11">
        <f>IF(I6=0,0,I6/TrAvia_act!I14*1000)</f>
        <v>7926.1882569813251</v>
      </c>
      <c r="J22" s="11">
        <f>IF(J6=0,0,J6/TrAvia_act!J14*1000)</f>
        <v>8433.8709168693986</v>
      </c>
      <c r="K22" s="11">
        <f>IF(K6=0,0,K6/TrAvia_act!K14*1000)</f>
        <v>9332.3615331382516</v>
      </c>
      <c r="L22" s="11">
        <f>IF(L6=0,0,L6/TrAvia_act!L14*1000)</f>
        <v>9403.8562127573878</v>
      </c>
      <c r="M22" s="11">
        <f>IF(M6=0,0,M6/TrAvia_act!M14*1000)</f>
        <v>9748.6703123766238</v>
      </c>
      <c r="N22" s="11">
        <f>IF(N6=0,0,N6/TrAvia_act!N14*1000)</f>
        <v>10717.260980481235</v>
      </c>
      <c r="O22" s="11">
        <f>IF(O6=0,0,O6/TrAvia_act!O14*1000)</f>
        <v>10707.191612498349</v>
      </c>
      <c r="P22" s="11">
        <f>IF(P6=0,0,P6/TrAvia_act!P14*1000)</f>
        <v>9880.1440758317258</v>
      </c>
      <c r="Q22" s="11">
        <f>IF(Q6=0,0,Q6/TrAvia_act!Q14*1000)</f>
        <v>9682.6411323264856</v>
      </c>
      <c r="R22" s="11">
        <f>IF(R6=0,0,R6/TrAvia_act!R14*1000)</f>
        <v>11306.964386370792</v>
      </c>
      <c r="S22" s="11">
        <f>IF(S6=0,0,S6/TrAvia_act!S14*1000)</f>
        <v>11656.674340778074</v>
      </c>
      <c r="T22" s="11">
        <f>IF(T6=0,0,T6/TrAvia_act!T14*1000)</f>
        <v>10927.35103661163</v>
      </c>
      <c r="U22" s="11">
        <f>IF(U6=0,0,U6/TrAvia_act!U14*1000)</f>
        <v>10566.052533994065</v>
      </c>
      <c r="V22" s="11">
        <f>IF(V6=0,0,V6/TrAvia_act!V14*1000)</f>
        <v>11888.307264941021</v>
      </c>
      <c r="W22" s="11">
        <f>IF(W6=0,0,W6/TrAvia_act!W14*1000)</f>
        <v>11925.258797032842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12424.205730000725</v>
      </c>
      <c r="C24" s="84">
        <f>IF(C8=0,0,C8/TrAvia_act!C16*1000)</f>
        <v>12419.818004224704</v>
      </c>
      <c r="D24" s="84">
        <f>IF(D8=0,0,D8/TrAvia_act!D16*1000)</f>
        <v>12398.262118854784</v>
      </c>
      <c r="E24" s="84">
        <f>IF(E8=0,0,E8/TrAvia_act!E16*1000)</f>
        <v>12431.109889521056</v>
      </c>
      <c r="F24" s="84">
        <f>IF(F8=0,0,F8/TrAvia_act!F16*1000)</f>
        <v>12420.748877441363</v>
      </c>
      <c r="G24" s="84">
        <f>IF(G8=0,0,G8/TrAvia_act!G16*1000)</f>
        <v>10741.964574299616</v>
      </c>
      <c r="H24" s="84">
        <f>IF(H8=0,0,H8/TrAvia_act!H16*1000)</f>
        <v>10932.662212348558</v>
      </c>
      <c r="I24" s="84">
        <f>IF(I8=0,0,I8/TrAvia_act!I16*1000)</f>
        <v>11498.899060072246</v>
      </c>
      <c r="J24" s="84">
        <f>IF(J8=0,0,J8/TrAvia_act!J16*1000)</f>
        <v>12011.362883380978</v>
      </c>
      <c r="K24" s="84">
        <f>IF(K8=0,0,K8/TrAvia_act!K16*1000)</f>
        <v>12573.811194391074</v>
      </c>
      <c r="L24" s="84">
        <f>IF(L8=0,0,L8/TrAvia_act!L16*1000)</f>
        <v>12218.102138493672</v>
      </c>
      <c r="M24" s="84">
        <f>IF(M8=0,0,M8/TrAvia_act!M16*1000)</f>
        <v>12372.845508785143</v>
      </c>
      <c r="N24" s="84">
        <f>IF(N8=0,0,N8/TrAvia_act!N16*1000)</f>
        <v>13391.341274588007</v>
      </c>
      <c r="O24" s="84">
        <f>IF(O8=0,0,O8/TrAvia_act!O16*1000)</f>
        <v>13745.245543609328</v>
      </c>
      <c r="P24" s="84">
        <f>IF(P8=0,0,P8/TrAvia_act!P16*1000)</f>
        <v>12220.587153309987</v>
      </c>
      <c r="Q24" s="84">
        <f>IF(Q8=0,0,Q8/TrAvia_act!Q16*1000)</f>
        <v>11507.608684048781</v>
      </c>
      <c r="R24" s="84">
        <f>IF(R8=0,0,R8/TrAvia_act!R16*1000)</f>
        <v>13815.202071621163</v>
      </c>
      <c r="S24" s="84">
        <f>IF(S8=0,0,S8/TrAvia_act!S16*1000)</f>
        <v>14542.512519651642</v>
      </c>
      <c r="T24" s="84">
        <f>IF(T8=0,0,T8/TrAvia_act!T16*1000)</f>
        <v>13960.371136965981</v>
      </c>
      <c r="U24" s="84">
        <f>IF(U8=0,0,U8/TrAvia_act!U16*1000)</f>
        <v>13832.204066217655</v>
      </c>
      <c r="V24" s="84">
        <f>IF(V8=0,0,V8/TrAvia_act!V16*1000)</f>
        <v>12838.3161268314</v>
      </c>
      <c r="W24" s="84">
        <f>IF(W8=0,0,W8/TrAvia_act!W16*1000)</f>
        <v>13430.113193634872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3982.104364095278</v>
      </c>
      <c r="C25" s="84">
        <f>IF(C9=0,0,C9/TrAvia_act!C17*1000)</f>
        <v>3980.8394131301666</v>
      </c>
      <c r="D25" s="84">
        <f>IF(D9=0,0,D9/TrAvia_act!D17*1000)</f>
        <v>3974.0697538881645</v>
      </c>
      <c r="E25" s="84">
        <f>IF(E9=0,0,E9/TrAvia_act!E17*1000)</f>
        <v>3984.6325497158591</v>
      </c>
      <c r="F25" s="84">
        <f>IF(F9=0,0,F9/TrAvia_act!F17*1000)</f>
        <v>3981.2453040497526</v>
      </c>
      <c r="G25" s="84">
        <f>IF(G9=0,0,G9/TrAvia_act!G17*1000)</f>
        <v>2646.6928727691397</v>
      </c>
      <c r="H25" s="84">
        <f>IF(H9=0,0,H9/TrAvia_act!H17*1000)</f>
        <v>2047.0543854236719</v>
      </c>
      <c r="I25" s="84">
        <f>IF(I9=0,0,I9/TrAvia_act!I17*1000)</f>
        <v>1910.579447121411</v>
      </c>
      <c r="J25" s="84">
        <f>IF(J9=0,0,J9/TrAvia_act!J17*1000)</f>
        <v>2141.3061569305746</v>
      </c>
      <c r="K25" s="84">
        <f>IF(K9=0,0,K9/TrAvia_act!K17*1000)</f>
        <v>2685.8670788594068</v>
      </c>
      <c r="L25" s="84">
        <f>IF(L9=0,0,L9/TrAvia_act!L17*1000)</f>
        <v>2756.6242131782415</v>
      </c>
      <c r="M25" s="84">
        <f>IF(M9=0,0,M9/TrAvia_act!M17*1000)</f>
        <v>3010.7325436578562</v>
      </c>
      <c r="N25" s="84">
        <f>IF(N9=0,0,N9/TrAvia_act!N17*1000)</f>
        <v>3584.2046484948501</v>
      </c>
      <c r="O25" s="84">
        <f>IF(O9=0,0,O9/TrAvia_act!O17*1000)</f>
        <v>3298.8980503038433</v>
      </c>
      <c r="P25" s="84">
        <f>IF(P9=0,0,P9/TrAvia_act!P17*1000)</f>
        <v>3342.8320210706015</v>
      </c>
      <c r="Q25" s="84">
        <f>IF(Q9=0,0,Q9/TrAvia_act!Q17*1000)</f>
        <v>3594.2662114980612</v>
      </c>
      <c r="R25" s="84">
        <f>IF(R9=0,0,R9/TrAvia_act!R17*1000)</f>
        <v>3712.1252120179502</v>
      </c>
      <c r="S25" s="84">
        <f>IF(S9=0,0,S9/TrAvia_act!S17*1000)</f>
        <v>3485.0394670589876</v>
      </c>
      <c r="T25" s="84">
        <f>IF(T9=0,0,T9/TrAvia_act!T17*1000)</f>
        <v>3051.6979400566852</v>
      </c>
      <c r="U25" s="84">
        <f>IF(U9=0,0,U9/TrAvia_act!U17*1000)</f>
        <v>2793.2594459849493</v>
      </c>
      <c r="V25" s="84">
        <f>IF(V9=0,0,V9/TrAvia_act!V17*1000)</f>
        <v>7570.5187213198333</v>
      </c>
      <c r="W25" s="84">
        <f>IF(W9=0,0,W9/TrAvia_act!W17*1000)</f>
        <v>6004.1242482409853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11706.446400891578</v>
      </c>
      <c r="C26" s="13">
        <f>IF(C10=0,0,C10/TrAvia_act!C18*1000)</f>
        <v>11093.489382390695</v>
      </c>
      <c r="D26" s="13">
        <f>IF(D10=0,0,D10/TrAvia_act!D18*1000)</f>
        <v>11138.707905992371</v>
      </c>
      <c r="E26" s="13">
        <f>IF(E10=0,0,E10/TrAvia_act!E18*1000)</f>
        <v>10812.68674543522</v>
      </c>
      <c r="F26" s="13">
        <f>IF(F10=0,0,F10/TrAvia_act!F18*1000)</f>
        <v>10931.099764605602</v>
      </c>
      <c r="G26" s="13">
        <f>IF(G10=0,0,G10/TrAvia_act!G18*1000)</f>
        <v>9018.92918240992</v>
      </c>
      <c r="H26" s="13">
        <f>IF(H10=0,0,H10/TrAvia_act!H18*1000)</f>
        <v>7730.3149407178234</v>
      </c>
      <c r="I26" s="13">
        <f>IF(I10=0,0,I10/TrAvia_act!I18*1000)</f>
        <v>6786.9095621182114</v>
      </c>
      <c r="J26" s="13">
        <f>IF(J10=0,0,J10/TrAvia_act!J18*1000)</f>
        <v>7607.8140353058106</v>
      </c>
      <c r="K26" s="13">
        <f>IF(K10=0,0,K10/TrAvia_act!K18*1000)</f>
        <v>9690.4712062058788</v>
      </c>
      <c r="L26" s="13">
        <f>IF(L10=0,0,L10/TrAvia_act!L18*1000)</f>
        <v>8340.7260862390467</v>
      </c>
      <c r="M26" s="13">
        <f>IF(M10=0,0,M10/TrAvia_act!M18*1000)</f>
        <v>8676.3772199946816</v>
      </c>
      <c r="N26" s="13">
        <f>IF(N10=0,0,N10/TrAvia_act!N18*1000)</f>
        <v>6887.1913250127482</v>
      </c>
      <c r="O26" s="13">
        <f>IF(O10=0,0,O10/TrAvia_act!O18*1000)</f>
        <v>6487.8822889530993</v>
      </c>
      <c r="P26" s="13">
        <f>IF(P10=0,0,P10/TrAvia_act!P18*1000)</f>
        <v>6525.4376907159767</v>
      </c>
      <c r="Q26" s="13">
        <f>IF(Q10=0,0,Q10/TrAvia_act!Q18*1000)</f>
        <v>7877.7030861385756</v>
      </c>
      <c r="R26" s="13">
        <f>IF(R10=0,0,R10/TrAvia_act!R18*1000)</f>
        <v>9056.4187641667904</v>
      </c>
      <c r="S26" s="13">
        <f>IF(S10=0,0,S10/TrAvia_act!S18*1000)</f>
        <v>9762.5154735391498</v>
      </c>
      <c r="T26" s="13">
        <f>IF(T10=0,0,T10/TrAvia_act!T18*1000)</f>
        <v>10129.19757190065</v>
      </c>
      <c r="U26" s="13">
        <f>IF(U10=0,0,U10/TrAvia_act!U18*1000)</f>
        <v>8362.0174091432655</v>
      </c>
      <c r="V26" s="13">
        <f>IF(V10=0,0,V10/TrAvia_act!V18*1000)</f>
        <v>12715.036301235625</v>
      </c>
      <c r="W26" s="13">
        <f>IF(W10=0,0,W10/TrAvia_act!W18*1000)</f>
        <v>11468.104342066968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15650.956596153816</v>
      </c>
      <c r="C28" s="102">
        <f>IF(C12=0,0,C12/TrAvia_act!C20*1000)</f>
        <v>15625.82014366244</v>
      </c>
      <c r="D28" s="102">
        <f>IF(D12=0,0,D12/TrAvia_act!D20*1000)</f>
        <v>15608.65937379247</v>
      </c>
      <c r="E28" s="102">
        <f>IF(E12=0,0,E12/TrAvia_act!E20*1000)</f>
        <v>15637.9475410263</v>
      </c>
      <c r="F28" s="102">
        <f>IF(F12=0,0,F12/TrAvia_act!F20*1000)</f>
        <v>15631.861614987505</v>
      </c>
      <c r="G28" s="102">
        <f>IF(G12=0,0,G12/TrAvia_act!G20*1000)</f>
        <v>13467.751604069261</v>
      </c>
      <c r="H28" s="102">
        <f>IF(H12=0,0,H12/TrAvia_act!H20*1000)</f>
        <v>11632.200043570771</v>
      </c>
      <c r="I28" s="102">
        <f>IF(I12=0,0,I12/TrAvia_act!I20*1000)</f>
        <v>11105.531053483601</v>
      </c>
      <c r="J28" s="102">
        <f>IF(J12=0,0,J12/TrAvia_act!J20*1000)</f>
        <v>12083.129673227615</v>
      </c>
      <c r="K28" s="102">
        <f>IF(K12=0,0,K12/TrAvia_act!K20*1000)</f>
        <v>13029.343980635369</v>
      </c>
      <c r="L28" s="102">
        <f>IF(L12=0,0,L12/TrAvia_act!L20*1000)</f>
        <v>11300.646471803337</v>
      </c>
      <c r="M28" s="102">
        <f>IF(M12=0,0,M12/TrAvia_act!M20*1000)</f>
        <v>11883.737216361355</v>
      </c>
      <c r="N28" s="102">
        <f>IF(N12=0,0,N12/TrAvia_act!N20*1000)</f>
        <v>14024.449040848262</v>
      </c>
      <c r="O28" s="102">
        <f>IF(O12=0,0,O12/TrAvia_act!O20*1000)</f>
        <v>13780.056545343798</v>
      </c>
      <c r="P28" s="102">
        <f>IF(P12=0,0,P12/TrAvia_act!P20*1000)</f>
        <v>12366.26979190897</v>
      </c>
      <c r="Q28" s="102">
        <f>IF(Q12=0,0,Q12/TrAvia_act!Q20*1000)</f>
        <v>11584.439546539299</v>
      </c>
      <c r="R28" s="102">
        <f>IF(R12=0,0,R12/TrAvia_act!R20*1000)</f>
        <v>13825.137671885428</v>
      </c>
      <c r="S28" s="102">
        <f>IF(S12=0,0,S12/TrAvia_act!S20*1000)</f>
        <v>15524.709098039191</v>
      </c>
      <c r="T28" s="102">
        <f>IF(T12=0,0,T12/TrAvia_act!T20*1000)</f>
        <v>16129.751615962001</v>
      </c>
      <c r="U28" s="102">
        <f>IF(U12=0,0,U12/TrAvia_act!U20*1000)</f>
        <v>14297.554728331437</v>
      </c>
      <c r="V28" s="102">
        <f>IF(V12=0,0,V12/TrAvia_act!V20*1000)</f>
        <v>13100.585084977452</v>
      </c>
      <c r="W28" s="102">
        <f>IF(W12=0,0,W12/TrAvia_act!W20*1000)</f>
        <v>12521.25430088611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4019.3266331162176</v>
      </c>
      <c r="C29" s="86">
        <f>IF(C13=0,0,C13/TrAvia_act!C21*1000)</f>
        <v>4018.0498581653906</v>
      </c>
      <c r="D29" s="86">
        <f>IF(D13=0,0,D13/TrAvia_act!D21*1000)</f>
        <v>4011.2169203012213</v>
      </c>
      <c r="E29" s="86">
        <f>IF(E13=0,0,E13/TrAvia_act!E21*1000)</f>
        <v>4021.8784506652223</v>
      </c>
      <c r="F29" s="86">
        <f>IF(F13=0,0,F13/TrAvia_act!F21*1000)</f>
        <v>4018.459543104324</v>
      </c>
      <c r="G29" s="86">
        <f>IF(G13=0,0,G13/TrAvia_act!G21*1000)</f>
        <v>2669.4076222117251</v>
      </c>
      <c r="H29" s="86">
        <f>IF(H13=0,0,H13/TrAvia_act!H21*1000)</f>
        <v>2396.0155349769789</v>
      </c>
      <c r="I29" s="86">
        <f>IF(I13=0,0,I13/TrAvia_act!I21*1000)</f>
        <v>2611.948260901092</v>
      </c>
      <c r="J29" s="86">
        <f>IF(J13=0,0,J13/TrAvia_act!J21*1000)</f>
        <v>3423.1160937823174</v>
      </c>
      <c r="K29" s="86">
        <f>IF(K13=0,0,K13/TrAvia_act!K21*1000)</f>
        <v>4418.4671375267426</v>
      </c>
      <c r="L29" s="86">
        <f>IF(L13=0,0,L13/TrAvia_act!L21*1000)</f>
        <v>4406.9772934215871</v>
      </c>
      <c r="M29" s="86">
        <f>IF(M13=0,0,M13/TrAvia_act!M21*1000)</f>
        <v>4851.9212391451156</v>
      </c>
      <c r="N29" s="86">
        <f>IF(N13=0,0,N13/TrAvia_act!N21*1000)</f>
        <v>5777.0660484568389</v>
      </c>
      <c r="O29" s="86">
        <f>IF(O13=0,0,O13/TrAvia_act!O21*1000)</f>
        <v>5649.4203659092645</v>
      </c>
      <c r="P29" s="86">
        <f>IF(P13=0,0,P13/TrAvia_act!P21*1000)</f>
        <v>5091.4789010654295</v>
      </c>
      <c r="Q29" s="86">
        <f>IF(Q13=0,0,Q13/TrAvia_act!Q21*1000)</f>
        <v>4984.5899289875288</v>
      </c>
      <c r="R29" s="86">
        <f>IF(R13=0,0,R13/TrAvia_act!R21*1000)</f>
        <v>4743.0656765109125</v>
      </c>
      <c r="S29" s="86">
        <f>IF(S13=0,0,S13/TrAvia_act!S21*1000)</f>
        <v>4342.5296636847061</v>
      </c>
      <c r="T29" s="86">
        <f>IF(T13=0,0,T13/TrAvia_act!T21*1000)</f>
        <v>3822.2165820188752</v>
      </c>
      <c r="U29" s="86">
        <f>IF(U13=0,0,U13/TrAvia_act!U21*1000)</f>
        <v>4512.5138506734338</v>
      </c>
      <c r="V29" s="86">
        <f>IF(V13=0,0,V13/TrAvia_act!V21*1000)</f>
        <v>12486.968784522092</v>
      </c>
      <c r="W29" s="86">
        <f>IF(W13=0,0,W13/TrAvia_act!W21*1000)</f>
        <v>10233.06218352995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161.37996315110627</v>
      </c>
      <c r="C32" s="14">
        <f>IF(C6=0,0,C6/TrAvia_act!C4*1000)</f>
        <v>157.07480119269502</v>
      </c>
      <c r="D32" s="14">
        <f>IF(D6=0,0,D6/TrAvia_act!D4*1000)</f>
        <v>154.0301906535517</v>
      </c>
      <c r="E32" s="14">
        <f>IF(E6=0,0,E6/TrAvia_act!E4*1000)</f>
        <v>153.03891915689829</v>
      </c>
      <c r="F32" s="14">
        <f>IF(F6=0,0,F6/TrAvia_act!F4*1000)</f>
        <v>151.68669796352668</v>
      </c>
      <c r="G32" s="14">
        <f>IF(G6=0,0,G6/TrAvia_act!G4*1000)</f>
        <v>96.18407604315145</v>
      </c>
      <c r="H32" s="14">
        <f>IF(H6=0,0,H6/TrAvia_act!H4*1000)</f>
        <v>88.376712950674431</v>
      </c>
      <c r="I32" s="14">
        <f>IF(I6=0,0,I6/TrAvia_act!I4*1000)</f>
        <v>87.427132058381758</v>
      </c>
      <c r="J32" s="14">
        <f>IF(J6=0,0,J6/TrAvia_act!J4*1000)</f>
        <v>95.851148261480574</v>
      </c>
      <c r="K32" s="14">
        <f>IF(K6=0,0,K6/TrAvia_act!K4*1000)</f>
        <v>104.70118866649122</v>
      </c>
      <c r="L32" s="14">
        <f>IF(L6=0,0,L6/TrAvia_act!L4*1000)</f>
        <v>105.7973847154208</v>
      </c>
      <c r="M32" s="14">
        <f>IF(M6=0,0,M6/TrAvia_act!M4*1000)</f>
        <v>105.1027464378783</v>
      </c>
      <c r="N32" s="14">
        <f>IF(N6=0,0,N6/TrAvia_act!N4*1000)</f>
        <v>114.28836222742085</v>
      </c>
      <c r="O32" s="14">
        <f>IF(O6=0,0,O6/TrAvia_act!O4*1000)</f>
        <v>114.59799993572342</v>
      </c>
      <c r="P32" s="14">
        <f>IF(P6=0,0,P6/TrAvia_act!P4*1000)</f>
        <v>105.89250086853362</v>
      </c>
      <c r="Q32" s="14">
        <f>IF(Q6=0,0,Q6/TrAvia_act!Q4*1000)</f>
        <v>100.72833977526604</v>
      </c>
      <c r="R32" s="14">
        <f>IF(R6=0,0,R6/TrAvia_act!R4*1000)</f>
        <v>110.98215611014749</v>
      </c>
      <c r="S32" s="14">
        <f>IF(S6=0,0,S6/TrAvia_act!S4*1000)</f>
        <v>111.44036703353726</v>
      </c>
      <c r="T32" s="14">
        <f>IF(T6=0,0,T6/TrAvia_act!T4*1000)</f>
        <v>104.87497419551292</v>
      </c>
      <c r="U32" s="14">
        <f>IF(U6=0,0,U6/TrAvia_act!U4*1000)</f>
        <v>97.588577141666903</v>
      </c>
      <c r="V32" s="14">
        <f>IF(V6=0,0,V6/TrAvia_act!V4*1000)</f>
        <v>133.11654545648054</v>
      </c>
      <c r="W32" s="14">
        <f>IF(W6=0,0,W6/TrAvia_act!W4*1000)</f>
        <v>137.23956769513165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197.2335456002458</v>
      </c>
      <c r="C34" s="87">
        <f>IF(C8=0,0,C8/TrAvia_act!C6*1000)</f>
        <v>191.70348288623708</v>
      </c>
      <c r="D34" s="87">
        <f>IF(D8=0,0,D8/TrAvia_act!D6*1000)</f>
        <v>188.46816762358478</v>
      </c>
      <c r="E34" s="87">
        <f>IF(E8=0,0,E8/TrAvia_act!E6*1000)</f>
        <v>188.45691945430295</v>
      </c>
      <c r="F34" s="87">
        <f>IF(F8=0,0,F8/TrAvia_act!F6*1000)</f>
        <v>187.89370685439638</v>
      </c>
      <c r="G34" s="87">
        <f>IF(G8=0,0,G8/TrAvia_act!G6*1000)</f>
        <v>120.87763891325476</v>
      </c>
      <c r="H34" s="87">
        <f>IF(H8=0,0,H8/TrAvia_act!H6*1000)</f>
        <v>112.68363025647572</v>
      </c>
      <c r="I34" s="87">
        <f>IF(I8=0,0,I8/TrAvia_act!I6*1000)</f>
        <v>120.03227749390571</v>
      </c>
      <c r="J34" s="87">
        <f>IF(J8=0,0,J8/TrAvia_act!J6*1000)</f>
        <v>135.71487999984808</v>
      </c>
      <c r="K34" s="87">
        <f>IF(K8=0,0,K8/TrAvia_act!K6*1000)</f>
        <v>138.03349814541124</v>
      </c>
      <c r="L34" s="87">
        <f>IF(L8=0,0,L8/TrAvia_act!L6*1000)</f>
        <v>138.59228659626575</v>
      </c>
      <c r="M34" s="87">
        <f>IF(M8=0,0,M8/TrAvia_act!M6*1000)</f>
        <v>134.80168804782954</v>
      </c>
      <c r="N34" s="87">
        <f>IF(N8=0,0,N8/TrAvia_act!N6*1000)</f>
        <v>146.48736295529389</v>
      </c>
      <c r="O34" s="87">
        <f>IF(O8=0,0,O8/TrAvia_act!O6*1000)</f>
        <v>149.43306836703513</v>
      </c>
      <c r="P34" s="87">
        <f>IF(P8=0,0,P8/TrAvia_act!P6*1000)</f>
        <v>130.51803620113208</v>
      </c>
      <c r="Q34" s="87">
        <f>IF(Q8=0,0,Q8/TrAvia_act!Q6*1000)</f>
        <v>120.39594599670221</v>
      </c>
      <c r="R34" s="87">
        <f>IF(R8=0,0,R8/TrAvia_act!R6*1000)</f>
        <v>133.86390444655422</v>
      </c>
      <c r="S34" s="87">
        <f>IF(S8=0,0,S8/TrAvia_act!S6*1000)</f>
        <v>136.55690706164083</v>
      </c>
      <c r="T34" s="87">
        <f>IF(T8=0,0,T8/TrAvia_act!T6*1000)</f>
        <v>130.5957265612403</v>
      </c>
      <c r="U34" s="87">
        <f>IF(U8=0,0,U8/TrAvia_act!U6*1000)</f>
        <v>124.61175557382272</v>
      </c>
      <c r="V34" s="87">
        <f>IF(V8=0,0,V8/TrAvia_act!V6*1000)</f>
        <v>146.23532915253031</v>
      </c>
      <c r="W34" s="87">
        <f>IF(W8=0,0,W8/TrAvia_act!W6*1000)</f>
        <v>161.92053399057099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71.194266092213297</v>
      </c>
      <c r="C35" s="87">
        <f>IF(C9=0,0,C9/TrAvia_act!C7*1000)</f>
        <v>69.555679798437367</v>
      </c>
      <c r="D35" s="87">
        <f>IF(D9=0,0,D9/TrAvia_act!D7*1000)</f>
        <v>67.756697235298205</v>
      </c>
      <c r="E35" s="87">
        <f>IF(E9=0,0,E9/TrAvia_act!E7*1000)</f>
        <v>66.243365027164671</v>
      </c>
      <c r="F35" s="87">
        <f>IF(F9=0,0,F9/TrAvia_act!F7*1000)</f>
        <v>64.739969925292101</v>
      </c>
      <c r="G35" s="87">
        <f>IF(G9=0,0,G9/TrAvia_act!G7*1000)</f>
        <v>35.83705093861613</v>
      </c>
      <c r="H35" s="87">
        <f>IF(H9=0,0,H9/TrAvia_act!H7*1000)</f>
        <v>28.407666202539449</v>
      </c>
      <c r="I35" s="87">
        <f>IF(I9=0,0,I9/TrAvia_act!I7*1000)</f>
        <v>23.297045476014887</v>
      </c>
      <c r="J35" s="87">
        <f>IF(J9=0,0,J9/TrAvia_act!J7*1000)</f>
        <v>24.589210894335263</v>
      </c>
      <c r="K35" s="87">
        <f>IF(K9=0,0,K9/TrAvia_act!K7*1000)</f>
        <v>31.555346300080728</v>
      </c>
      <c r="L35" s="87">
        <f>IF(L9=0,0,L9/TrAvia_act!L7*1000)</f>
        <v>30.425470054678531</v>
      </c>
      <c r="M35" s="87">
        <f>IF(M9=0,0,M9/TrAvia_act!M7*1000)</f>
        <v>31.612176143703387</v>
      </c>
      <c r="N35" s="87">
        <f>IF(N9=0,0,N9/TrAvia_act!N7*1000)</f>
        <v>35.819676328607763</v>
      </c>
      <c r="O35" s="87">
        <f>IF(O9=0,0,O9/TrAvia_act!O7*1000)</f>
        <v>34.020325390699604</v>
      </c>
      <c r="P35" s="87">
        <f>IF(P9=0,0,P9/TrAvia_act!P7*1000)</f>
        <v>36.182648931253908</v>
      </c>
      <c r="Q35" s="87">
        <f>IF(Q9=0,0,Q9/TrAvia_act!Q7*1000)</f>
        <v>36.69706981814948</v>
      </c>
      <c r="R35" s="87">
        <f>IF(R9=0,0,R9/TrAvia_act!R7*1000)</f>
        <v>37.926548550887816</v>
      </c>
      <c r="S35" s="87">
        <f>IF(S9=0,0,S9/TrAvia_act!S7*1000)</f>
        <v>35.118398286898369</v>
      </c>
      <c r="T35" s="87">
        <f>IF(T9=0,0,T9/TrAvia_act!T7*1000)</f>
        <v>31.40447710055621</v>
      </c>
      <c r="U35" s="87">
        <f>IF(U9=0,0,U9/TrAvia_act!U7*1000)</f>
        <v>27.446197896145367</v>
      </c>
      <c r="V35" s="87">
        <f>IF(V9=0,0,V9/TrAvia_act!V7*1000)</f>
        <v>78.699913344794766</v>
      </c>
      <c r="W35" s="87">
        <f>IF(W9=0,0,W9/TrAvia_act!W7*1000)</f>
        <v>58.611042619365307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260.60401530545374</v>
      </c>
      <c r="C36" s="15">
        <f>IF(C10=0,0,C10/TrAvia_act!C8*1000)</f>
        <v>220.46378179775712</v>
      </c>
      <c r="D36" s="15">
        <f>IF(D10=0,0,D10/TrAvia_act!D8*1000)</f>
        <v>235.91660573004057</v>
      </c>
      <c r="E36" s="15">
        <f>IF(E10=0,0,E10/TrAvia_act!E8*1000)</f>
        <v>234.11829139855647</v>
      </c>
      <c r="F36" s="15">
        <f>IF(F10=0,0,F10/TrAvia_act!F8*1000)</f>
        <v>252.296197970451</v>
      </c>
      <c r="G36" s="15">
        <f>IF(G10=0,0,G10/TrAvia_act!G8*1000)</f>
        <v>218.0738042327223</v>
      </c>
      <c r="H36" s="15">
        <f>IF(H10=0,0,H10/TrAvia_act!H8*1000)</f>
        <v>195.98905129154636</v>
      </c>
      <c r="I36" s="15">
        <f>IF(I10=0,0,I10/TrAvia_act!I8*1000)</f>
        <v>159.21520170000704</v>
      </c>
      <c r="J36" s="15">
        <f>IF(J10=0,0,J10/TrAvia_act!J8*1000)</f>
        <v>181.56017888967276</v>
      </c>
      <c r="K36" s="15">
        <f>IF(K10=0,0,K10/TrAvia_act!K8*1000)</f>
        <v>245.33602089682256</v>
      </c>
      <c r="L36" s="15">
        <f>IF(L10=0,0,L10/TrAvia_act!L8*1000)</f>
        <v>196.00283331519827</v>
      </c>
      <c r="M36" s="15">
        <f>IF(M10=0,0,M10/TrAvia_act!M8*1000)</f>
        <v>189.98726920744338</v>
      </c>
      <c r="N36" s="15">
        <f>IF(N10=0,0,N10/TrAvia_act!N8*1000)</f>
        <v>93.566638535385323</v>
      </c>
      <c r="O36" s="15">
        <f>IF(O10=0,0,O10/TrAvia_act!O8*1000)</f>
        <v>84.713972269035679</v>
      </c>
      <c r="P36" s="15">
        <f>IF(P10=0,0,P10/TrAvia_act!P8*1000)</f>
        <v>81.497874637744815</v>
      </c>
      <c r="Q36" s="15">
        <f>IF(Q10=0,0,Q10/TrAvia_act!Q8*1000)</f>
        <v>124.31195588096772</v>
      </c>
      <c r="R36" s="15">
        <f>IF(R10=0,0,R10/TrAvia_act!R8*1000)</f>
        <v>136.09140710878899</v>
      </c>
      <c r="S36" s="15">
        <f>IF(S10=0,0,S10/TrAvia_act!S8*1000)</f>
        <v>154.83241162161633</v>
      </c>
      <c r="T36" s="15">
        <f>IF(T10=0,0,T10/TrAvia_act!T8*1000)</f>
        <v>171.27429872692881</v>
      </c>
      <c r="U36" s="15">
        <f>IF(U10=0,0,U10/TrAvia_act!U8*1000)</f>
        <v>121.18120291781761</v>
      </c>
      <c r="V36" s="15">
        <f>IF(V10=0,0,V10/TrAvia_act!V8*1000)</f>
        <v>269.50650938901424</v>
      </c>
      <c r="W36" s="15">
        <f>IF(W10=0,0,W10/TrAvia_act!W8*1000)</f>
        <v>312.72776466730687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603.55661344523355</v>
      </c>
      <c r="C38" s="101">
        <f>IF(C12=0,0,C12/TrAvia_act!C10*1000)</f>
        <v>566.66163219763268</v>
      </c>
      <c r="D38" s="101">
        <f>IF(D12=0,0,D12/TrAvia_act!D10*1000)</f>
        <v>600.50883090869615</v>
      </c>
      <c r="E38" s="101">
        <f>IF(E12=0,0,E12/TrAvia_act!E10*1000)</f>
        <v>586.52490881005463</v>
      </c>
      <c r="F38" s="101">
        <f>IF(F12=0,0,F12/TrAvia_act!F10*1000)</f>
        <v>646.81074308067298</v>
      </c>
      <c r="G38" s="101">
        <f>IF(G12=0,0,G12/TrAvia_act!G10*1000)</f>
        <v>579.98078783437177</v>
      </c>
      <c r="H38" s="101">
        <f>IF(H12=0,0,H12/TrAvia_act!H10*1000)</f>
        <v>560.6763698783227</v>
      </c>
      <c r="I38" s="101">
        <f>IF(I12=0,0,I12/TrAvia_act!I10*1000)</f>
        <v>539.0319937982963</v>
      </c>
      <c r="J38" s="101">
        <f>IF(J12=0,0,J12/TrAvia_act!J10*1000)</f>
        <v>612.24460170137138</v>
      </c>
      <c r="K38" s="101">
        <f>IF(K12=0,0,K12/TrAvia_act!K10*1000)</f>
        <v>658.66447290470717</v>
      </c>
      <c r="L38" s="101">
        <f>IF(L12=0,0,L12/TrAvia_act!L10*1000)</f>
        <v>550.12263284327196</v>
      </c>
      <c r="M38" s="101">
        <f>IF(M12=0,0,M12/TrAvia_act!M10*1000)</f>
        <v>552.80232087068885</v>
      </c>
      <c r="N38" s="101">
        <f>IF(N12=0,0,N12/TrAvia_act!N10*1000)</f>
        <v>613.06020226937051</v>
      </c>
      <c r="O38" s="101">
        <f>IF(O12=0,0,O12/TrAvia_act!O10*1000)</f>
        <v>626.67021360797753</v>
      </c>
      <c r="P38" s="101">
        <f>IF(P12=0,0,P12/TrAvia_act!P10*1000)</f>
        <v>492.68801171153257</v>
      </c>
      <c r="Q38" s="101">
        <f>IF(Q12=0,0,Q12/TrAvia_act!Q10*1000)</f>
        <v>460.58139281042128</v>
      </c>
      <c r="R38" s="101">
        <f>IF(R12=0,0,R12/TrAvia_act!R10*1000)</f>
        <v>497.96213756105004</v>
      </c>
      <c r="S38" s="101">
        <f>IF(S12=0,0,S12/TrAvia_act!S10*1000)</f>
        <v>604.2582704246297</v>
      </c>
      <c r="T38" s="101">
        <f>IF(T12=0,0,T12/TrAvia_act!T10*1000)</f>
        <v>628.69030655293523</v>
      </c>
      <c r="U38" s="101">
        <f>IF(U12=0,0,U12/TrAvia_act!U10*1000)</f>
        <v>525.70402697012878</v>
      </c>
      <c r="V38" s="101">
        <f>IF(V12=0,0,V12/TrAvia_act!V10*1000)</f>
        <v>577.43128684065482</v>
      </c>
      <c r="W38" s="101">
        <f>IF(W12=0,0,W12/TrAvia_act!W10*1000)</f>
        <v>618.29116315874342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49.059905036630184</v>
      </c>
      <c r="C39" s="88">
        <f>IF(C13=0,0,C13/TrAvia_act!C11*1000)</f>
        <v>46.81727786575938</v>
      </c>
      <c r="D39" s="88">
        <f>IF(D13=0,0,D13/TrAvia_act!D11*1000)</f>
        <v>49.488118918619179</v>
      </c>
      <c r="E39" s="88">
        <f>IF(E13=0,0,E13/TrAvia_act!E11*1000)</f>
        <v>54.600672789821097</v>
      </c>
      <c r="F39" s="88">
        <f>IF(F13=0,0,F13/TrAvia_act!F11*1000)</f>
        <v>56.20203747735205</v>
      </c>
      <c r="G39" s="88">
        <f>IF(G13=0,0,G13/TrAvia_act!G11*1000)</f>
        <v>39.698585278905199</v>
      </c>
      <c r="H39" s="88">
        <f>IF(H13=0,0,H13/TrAvia_act!H11*1000)</f>
        <v>36.860729740622254</v>
      </c>
      <c r="I39" s="88">
        <f>IF(I13=0,0,I13/TrAvia_act!I11*1000)</f>
        <v>40.863307888290493</v>
      </c>
      <c r="J39" s="88">
        <f>IF(J13=0,0,J13/TrAvia_act!J11*1000)</f>
        <v>54.656494948830989</v>
      </c>
      <c r="K39" s="88">
        <f>IF(K13=0,0,K13/TrAvia_act!K11*1000)</f>
        <v>62.556204190425987</v>
      </c>
      <c r="L39" s="88">
        <f>IF(L13=0,0,L13/TrAvia_act!L11*1000)</f>
        <v>61.371465356902725</v>
      </c>
      <c r="M39" s="88">
        <f>IF(M13=0,0,M13/TrAvia_act!M11*1000)</f>
        <v>65.135525206583225</v>
      </c>
      <c r="N39" s="88">
        <f>IF(N13=0,0,N13/TrAvia_act!N11*1000)</f>
        <v>70.885947431177584</v>
      </c>
      <c r="O39" s="88">
        <f>IF(O13=0,0,O13/TrAvia_act!O11*1000)</f>
        <v>68.177598375193554</v>
      </c>
      <c r="P39" s="88">
        <f>IF(P13=0,0,P13/TrAvia_act!P11*1000)</f>
        <v>54.417028328427527</v>
      </c>
      <c r="Q39" s="88">
        <f>IF(Q13=0,0,Q13/TrAvia_act!Q11*1000)</f>
        <v>53.482632996551303</v>
      </c>
      <c r="R39" s="88">
        <f>IF(R13=0,0,R13/TrAvia_act!R11*1000)</f>
        <v>46.671620558816088</v>
      </c>
      <c r="S39" s="88">
        <f>IF(S13=0,0,S13/TrAvia_act!S11*1000)</f>
        <v>44.224269258354681</v>
      </c>
      <c r="T39" s="88">
        <f>IF(T13=0,0,T13/TrAvia_act!T11*1000)</f>
        <v>40.517819500770116</v>
      </c>
      <c r="U39" s="88">
        <f>IF(U13=0,0,U13/TrAvia_act!U11*1000)</f>
        <v>46.947435238721532</v>
      </c>
      <c r="V39" s="88">
        <f>IF(V13=0,0,V13/TrAvia_act!V11*1000)</f>
        <v>202.49187077514779</v>
      </c>
      <c r="W39" s="88">
        <f>IF(W13=0,0,W13/TrAvia_act!W11*1000)</f>
        <v>182.97199016444264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12453.057825751732</v>
      </c>
      <c r="C41" s="54">
        <f>IF(C3=0,0,C3/TrAvia_act!C23*1000000)</f>
        <v>12447.299630086311</v>
      </c>
      <c r="D41" s="54">
        <f>IF(D3=0,0,D3/TrAvia_act!D23*1000000)</f>
        <v>12424.320000000005</v>
      </c>
      <c r="E41" s="54">
        <f>IF(E3=0,0,E3/TrAvia_act!E23*1000000)</f>
        <v>12461.696464054308</v>
      </c>
      <c r="F41" s="54">
        <f>IF(F3=0,0,F3/TrAvia_act!F23*1000000)</f>
        <v>12451.579094397546</v>
      </c>
      <c r="G41" s="54">
        <f>IF(G3=0,0,G3/TrAvia_act!G23*1000000)</f>
        <v>11612.292243934424</v>
      </c>
      <c r="H41" s="54">
        <f>IF(H3=0,0,H3/TrAvia_act!H23*1000000)</f>
        <v>11153.598110730914</v>
      </c>
      <c r="I41" s="54">
        <f>IF(I3=0,0,I3/TrAvia_act!I23*1000000)</f>
        <v>11220.558794276982</v>
      </c>
      <c r="J41" s="54">
        <f>IF(J3=0,0,J3/TrAvia_act!J23*1000000)</f>
        <v>11135.479190116679</v>
      </c>
      <c r="K41" s="54">
        <f>IF(K3=0,0,K3/TrAvia_act!K23*1000000)</f>
        <v>10616.219142620464</v>
      </c>
      <c r="L41" s="54">
        <f>IF(L3=0,0,L3/TrAvia_act!L23*1000000)</f>
        <v>10599.286915457131</v>
      </c>
      <c r="M41" s="54">
        <f>IF(M3=0,0,M3/TrAvia_act!M23*1000000)</f>
        <v>10056.36651466538</v>
      </c>
      <c r="N41" s="54">
        <f>IF(N3=0,0,N3/TrAvia_act!N23*1000000)</f>
        <v>10966.627887903251</v>
      </c>
      <c r="O41" s="54">
        <f>IF(O3=0,0,O3/TrAvia_act!O23*1000000)</f>
        <v>11602.359831790362</v>
      </c>
      <c r="P41" s="54">
        <f>IF(P3=0,0,P3/TrAvia_act!P23*1000000)</f>
        <v>10625.986672689723</v>
      </c>
      <c r="Q41" s="54">
        <f>IF(Q3=0,0,Q3/TrAvia_act!Q23*1000000)</f>
        <v>10141.466564971752</v>
      </c>
      <c r="R41" s="54">
        <f>IF(R3=0,0,R3/TrAvia_act!R23*1000000)</f>
        <v>11725.260728806572</v>
      </c>
      <c r="S41" s="54">
        <f>IF(S3=0,0,S3/TrAvia_act!S23*1000000)</f>
        <v>12155.986179152711</v>
      </c>
      <c r="T41" s="54">
        <f>IF(T3=0,0,T3/TrAvia_act!T23*1000000)</f>
        <v>11799.657742768733</v>
      </c>
      <c r="U41" s="54">
        <f>IF(U3=0,0,U3/TrAvia_act!U23*1000000)</f>
        <v>11575.107088235296</v>
      </c>
      <c r="V41" s="54">
        <f>IF(V3=0,0,V3/TrAvia_act!V23*1000000)</f>
        <v>13052.950737784411</v>
      </c>
      <c r="W41" s="54">
        <f>IF(W3=0,0,W3/TrAvia_act!W23*1000000)</f>
        <v>15828.436566742845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12464.556932839656</v>
      </c>
      <c r="C42" s="11">
        <f>IF(C6=0,0,C6/TrAvia_act!C24*1000000)</f>
        <v>12459.716157109637</v>
      </c>
      <c r="D42" s="11">
        <f>IF(D6=0,0,D6/TrAvia_act!D24*1000000)</f>
        <v>12437.842129658009</v>
      </c>
      <c r="E42" s="11">
        <f>IF(E6=0,0,E6/TrAvia_act!E24*1000000)</f>
        <v>12470.431016167649</v>
      </c>
      <c r="F42" s="11">
        <f>IF(F6=0,0,F6/TrAvia_act!F24*1000000)</f>
        <v>12460.099354470076</v>
      </c>
      <c r="G42" s="11">
        <f>IF(G6=0,0,G6/TrAvia_act!G24*1000000)</f>
        <v>11616.854864246588</v>
      </c>
      <c r="H42" s="11">
        <f>IF(H6=0,0,H6/TrAvia_act!H24*1000000)</f>
        <v>11160.233953144521</v>
      </c>
      <c r="I42" s="11">
        <f>IF(I6=0,0,I6/TrAvia_act!I24*1000000)</f>
        <v>11222.495737440369</v>
      </c>
      <c r="J42" s="11">
        <f>IF(J6=0,0,J6/TrAvia_act!J24*1000000)</f>
        <v>11124.500210275048</v>
      </c>
      <c r="K42" s="11">
        <f>IF(K6=0,0,K6/TrAvia_act!K24*1000000)</f>
        <v>10583.762024012474</v>
      </c>
      <c r="L42" s="11">
        <f>IF(L6=0,0,L6/TrAvia_act!L24*1000000)</f>
        <v>10564.507851753513</v>
      </c>
      <c r="M42" s="11">
        <f>IF(M6=0,0,M6/TrAvia_act!M24*1000000)</f>
        <v>10022.707030746918</v>
      </c>
      <c r="N42" s="11">
        <f>IF(N6=0,0,N6/TrAvia_act!N24*1000000)</f>
        <v>10789.317581202817</v>
      </c>
      <c r="O42" s="11">
        <f>IF(O6=0,0,O6/TrAvia_act!O24*1000000)</f>
        <v>11364.708937704385</v>
      </c>
      <c r="P42" s="11">
        <f>IF(P6=0,0,P6/TrAvia_act!P24*1000000)</f>
        <v>10531.776207865616</v>
      </c>
      <c r="Q42" s="11">
        <f>IF(Q6=0,0,Q6/TrAvia_act!Q24*1000000)</f>
        <v>10119.895683702223</v>
      </c>
      <c r="R42" s="11">
        <f>IF(R6=0,0,R6/TrAvia_act!R24*1000000)</f>
        <v>11724.052051414941</v>
      </c>
      <c r="S42" s="11">
        <f>IF(S6=0,0,S6/TrAvia_act!S24*1000000)</f>
        <v>12164.593288157297</v>
      </c>
      <c r="T42" s="11">
        <f>IF(T6=0,0,T6/TrAvia_act!T24*1000000)</f>
        <v>11810.90123211392</v>
      </c>
      <c r="U42" s="11">
        <f>IF(U6=0,0,U6/TrAvia_act!U24*1000000)</f>
        <v>11553.610138748394</v>
      </c>
      <c r="V42" s="11">
        <f>IF(V6=0,0,V6/TrAvia_act!V24*1000000)</f>
        <v>12820.785024948718</v>
      </c>
      <c r="W42" s="11">
        <f>IF(W6=0,0,W6/TrAvia_act!W24*1000000)</f>
        <v>15766.527184244247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12496.453316452642</v>
      </c>
      <c r="C44" s="84">
        <f>IF(C8=0,0,C8/TrAvia_act!C26*1000000)</f>
        <v>12491.483725733719</v>
      </c>
      <c r="D44" s="84">
        <f>IF(D8=0,0,D8/TrAvia_act!D26*1000000)</f>
        <v>12469.441508747674</v>
      </c>
      <c r="E44" s="84">
        <f>IF(E8=0,0,E8/TrAvia_act!E26*1000000)</f>
        <v>12502.028325205511</v>
      </c>
      <c r="F44" s="84">
        <f>IF(F8=0,0,F8/TrAvia_act!F26*1000000)</f>
        <v>12491.720396959936</v>
      </c>
      <c r="G44" s="84">
        <f>IF(G8=0,0,G8/TrAvia_act!G26*1000000)</f>
        <v>12088.163074861601</v>
      </c>
      <c r="H44" s="84">
        <f>IF(H8=0,0,H8/TrAvia_act!H26*1000000)</f>
        <v>12230.352782283202</v>
      </c>
      <c r="I44" s="84">
        <f>IF(I8=0,0,I8/TrAvia_act!I26*1000000)</f>
        <v>12666.79583037358</v>
      </c>
      <c r="J44" s="84">
        <f>IF(J8=0,0,J8/TrAvia_act!J26*1000000)</f>
        <v>12465.494597928453</v>
      </c>
      <c r="K44" s="84">
        <f>IF(K8=0,0,K8/TrAvia_act!K26*1000000)</f>
        <v>11734.707230837277</v>
      </c>
      <c r="L44" s="84">
        <f>IF(L8=0,0,L8/TrAvia_act!L26*1000000)</f>
        <v>11988.880612765581</v>
      </c>
      <c r="M44" s="84">
        <f>IF(M8=0,0,M8/TrAvia_act!M26*1000000)</f>
        <v>11451.221440290969</v>
      </c>
      <c r="N44" s="84">
        <f>IF(N8=0,0,N8/TrAvia_act!N26*1000000)</f>
        <v>12495.207178180701</v>
      </c>
      <c r="O44" s="84">
        <f>IF(O8=0,0,O8/TrAvia_act!O26*1000000)</f>
        <v>13483.988037500658</v>
      </c>
      <c r="P44" s="84">
        <f>IF(P8=0,0,P8/TrAvia_act!P26*1000000)</f>
        <v>12371.870578210493</v>
      </c>
      <c r="Q44" s="84">
        <f>IF(Q8=0,0,Q8/TrAvia_act!Q26*1000000)</f>
        <v>11562.361125305602</v>
      </c>
      <c r="R44" s="84">
        <f>IF(R8=0,0,R8/TrAvia_act!R26*1000000)</f>
        <v>13839.848796296272</v>
      </c>
      <c r="S44" s="84">
        <f>IF(S8=0,0,S8/TrAvia_act!S26*1000000)</f>
        <v>14556.713412280207</v>
      </c>
      <c r="T44" s="84">
        <f>IF(T8=0,0,T8/TrAvia_act!T26*1000000)</f>
        <v>14432.654859220509</v>
      </c>
      <c r="U44" s="84">
        <f>IF(U8=0,0,U8/TrAvia_act!U26*1000000)</f>
        <v>14467.32693521132</v>
      </c>
      <c r="V44" s="84">
        <f>IF(V8=0,0,V8/TrAvia_act!V26*1000000)</f>
        <v>13302.87958710907</v>
      </c>
      <c r="W44" s="84">
        <f>IF(W8=0,0,W8/TrAvia_act!W26*1000000)</f>
        <v>16630.949661367449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12246.727971580247</v>
      </c>
      <c r="C45" s="84">
        <f>IF(C9=0,0,C9/TrAvia_act!C27*1000000)</f>
        <v>12242.837689219294</v>
      </c>
      <c r="D45" s="84">
        <f>IF(D9=0,0,D9/TrAvia_act!D27*1000000)</f>
        <v>12222.018000025659</v>
      </c>
      <c r="E45" s="84">
        <f>IF(E9=0,0,E9/TrAvia_act!E27*1000000)</f>
        <v>12254.503257892702</v>
      </c>
      <c r="F45" s="84">
        <f>IF(F9=0,0,F9/TrAvia_act!F27*1000000)</f>
        <v>12244.085982891134</v>
      </c>
      <c r="G45" s="84">
        <f>IF(G9=0,0,G9/TrAvia_act!G27*1000000)</f>
        <v>8791.3991325587231</v>
      </c>
      <c r="H45" s="84">
        <f>IF(H9=0,0,H9/TrAvia_act!H27*1000000)</f>
        <v>6012.1516357269484</v>
      </c>
      <c r="I45" s="84">
        <f>IF(I9=0,0,I9/TrAvia_act!I27*1000000)</f>
        <v>5206.4877560132236</v>
      </c>
      <c r="J45" s="84">
        <f>IF(J9=0,0,J9/TrAvia_act!J27*1000000)</f>
        <v>5396.5694171319074</v>
      </c>
      <c r="K45" s="84">
        <f>IF(K9=0,0,K9/TrAvia_act!K27*1000000)</f>
        <v>5451.3455780976637</v>
      </c>
      <c r="L45" s="84">
        <f>IF(L9=0,0,L9/TrAvia_act!L27*1000000)</f>
        <v>4708.3141561084358</v>
      </c>
      <c r="M45" s="84">
        <f>IF(M9=0,0,M9/TrAvia_act!M27*1000000)</f>
        <v>4326.9793464998456</v>
      </c>
      <c r="N45" s="84">
        <f>IF(N9=0,0,N9/TrAvia_act!N27*1000000)</f>
        <v>4570.5252070432825</v>
      </c>
      <c r="O45" s="84">
        <f>IF(O9=0,0,O9/TrAvia_act!O27*1000000)</f>
        <v>4376.2697346049454</v>
      </c>
      <c r="P45" s="84">
        <f>IF(P9=0,0,P9/TrAvia_act!P27*1000000)</f>
        <v>4181.3672508667823</v>
      </c>
      <c r="Q45" s="84">
        <f>IF(Q9=0,0,Q9/TrAvia_act!Q27*1000000)</f>
        <v>4338.5748654806148</v>
      </c>
      <c r="R45" s="84">
        <f>IF(R9=0,0,R9/TrAvia_act!R27*1000000)</f>
        <v>4305.9293219609808</v>
      </c>
      <c r="S45" s="84">
        <f>IF(S9=0,0,S9/TrAvia_act!S27*1000000)</f>
        <v>4135.1863905385826</v>
      </c>
      <c r="T45" s="84">
        <f>IF(T9=0,0,T9/TrAvia_act!T27*1000000)</f>
        <v>3740.2240326521974</v>
      </c>
      <c r="U45" s="84">
        <f>IF(U9=0,0,U9/TrAvia_act!U27*1000000)</f>
        <v>3424.8656650699813</v>
      </c>
      <c r="V45" s="84">
        <f>IF(V9=0,0,V9/TrAvia_act!V27*1000000)</f>
        <v>10021.558828333715</v>
      </c>
      <c r="W45" s="84">
        <f>IF(W9=0,0,W9/TrAvia_act!W27*1000000)</f>
        <v>10817.83996612292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11317.299864144647</v>
      </c>
      <c r="C46" s="13">
        <f>IF(C10=0,0,C10/TrAvia_act!C28*1000000)</f>
        <v>11160.386684088075</v>
      </c>
      <c r="D46" s="13">
        <f>IF(D10=0,0,D10/TrAvia_act!D28*1000000)</f>
        <v>11152.287549495713</v>
      </c>
      <c r="E46" s="13">
        <f>IF(E10=0,0,E10/TrAvia_act!E28*1000000)</f>
        <v>11143.461481823491</v>
      </c>
      <c r="F46" s="13">
        <f>IF(F10=0,0,F10/TrAvia_act!F28*1000000)</f>
        <v>11109.868410273477</v>
      </c>
      <c r="G46" s="13">
        <f>IF(G10=0,0,G10/TrAvia_act!G28*1000000)</f>
        <v>10914.026987878044</v>
      </c>
      <c r="H46" s="13">
        <f>IF(H10=0,0,H10/TrAvia_act!H28*1000000)</f>
        <v>10084.805201259351</v>
      </c>
      <c r="I46" s="13">
        <f>IF(I10=0,0,I10/TrAvia_act!I28*1000000)</f>
        <v>10820.263415327718</v>
      </c>
      <c r="J46" s="13">
        <f>IF(J10=0,0,J10/TrAvia_act!J28*1000000)</f>
        <v>13484.620909673629</v>
      </c>
      <c r="K46" s="13">
        <f>IF(K10=0,0,K10/TrAvia_act!K28*1000000)</f>
        <v>15381.454066413804</v>
      </c>
      <c r="L46" s="13">
        <f>IF(L10=0,0,L10/TrAvia_act!L28*1000000)</f>
        <v>15269.53786655662</v>
      </c>
      <c r="M46" s="13">
        <f>IF(M10=0,0,M10/TrAvia_act!M28*1000000)</f>
        <v>14982.762947585232</v>
      </c>
      <c r="N46" s="13">
        <f>IF(N10=0,0,N10/TrAvia_act!N28*1000000)</f>
        <v>22626.5972574189</v>
      </c>
      <c r="O46" s="13">
        <f>IF(O10=0,0,O10/TrAvia_act!O28*1000000)</f>
        <v>21394.835745717217</v>
      </c>
      <c r="P46" s="13">
        <f>IF(P10=0,0,P10/TrAvia_act!P28*1000000)</f>
        <v>16103.857745706835</v>
      </c>
      <c r="Q46" s="13">
        <f>IF(Q10=0,0,Q10/TrAvia_act!Q28*1000000)</f>
        <v>12141.214146193861</v>
      </c>
      <c r="R46" s="13">
        <f>IF(R10=0,0,R10/TrAvia_act!R28*1000000)</f>
        <v>11839.190440646105</v>
      </c>
      <c r="S46" s="13">
        <f>IF(S10=0,0,S10/TrAvia_act!S28*1000000)</f>
        <v>11411.42778000844</v>
      </c>
      <c r="T46" s="13">
        <f>IF(T10=0,0,T10/TrAvia_act!T28*1000000)</f>
        <v>10778.901990597027</v>
      </c>
      <c r="U46" s="13">
        <f>IF(U10=0,0,U10/TrAvia_act!U28*1000000)</f>
        <v>13520.147221855177</v>
      </c>
      <c r="V46" s="13">
        <f>IF(V10=0,0,V10/TrAvia_act!V28*1000000)</f>
        <v>20640.33623239211</v>
      </c>
      <c r="W46" s="13">
        <f>IF(W10=0,0,W10/TrAvia_act!W28*1000000)</f>
        <v>17583.268392950686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11206.424313071084</v>
      </c>
      <c r="C48" s="102">
        <f>IF(C12=0,0,C12/TrAvia_act!C30*1000000)</f>
        <v>11001.614913955063</v>
      </c>
      <c r="D48" s="102">
        <f>IF(D12=0,0,D12/TrAvia_act!D30*1000000)</f>
        <v>10998.560703621579</v>
      </c>
      <c r="E48" s="102">
        <f>IF(E12=0,0,E12/TrAvia_act!E30*1000000)</f>
        <v>10963.414029853619</v>
      </c>
      <c r="F48" s="102">
        <f>IF(F12=0,0,F12/TrAvia_act!F30*1000000)</f>
        <v>10934.325453919902</v>
      </c>
      <c r="G48" s="102">
        <f>IF(G12=0,0,G12/TrAvia_act!G30*1000000)</f>
        <v>11294.445060554895</v>
      </c>
      <c r="H48" s="102">
        <f>IF(H12=0,0,H12/TrAvia_act!H30*1000000)</f>
        <v>10366.370172891046</v>
      </c>
      <c r="I48" s="102">
        <f>IF(I12=0,0,I12/TrAvia_act!I30*1000000)</f>
        <v>10904.904812726201</v>
      </c>
      <c r="J48" s="102">
        <f>IF(J12=0,0,J12/TrAvia_act!J30*1000000)</f>
        <v>13016.431239915839</v>
      </c>
      <c r="K48" s="102">
        <f>IF(K12=0,0,K12/TrAvia_act!K30*1000000)</f>
        <v>14598.578052383811</v>
      </c>
      <c r="L48" s="102">
        <f>IF(L12=0,0,L12/TrAvia_act!L30*1000000)</f>
        <v>14018.938349207776</v>
      </c>
      <c r="M48" s="102">
        <f>IF(M12=0,0,M12/TrAvia_act!M30*1000000)</f>
        <v>13337.566499390725</v>
      </c>
      <c r="N48" s="102">
        <f>IF(N12=0,0,N12/TrAvia_act!N30*1000000)</f>
        <v>15285.27891470929</v>
      </c>
      <c r="O48" s="102">
        <f>IF(O12=0,0,O12/TrAvia_act!O30*1000000)</f>
        <v>14440.980396654119</v>
      </c>
      <c r="P48" s="102">
        <f>IF(P12=0,0,P12/TrAvia_act!P30*1000000)</f>
        <v>12410.026875760683</v>
      </c>
      <c r="Q48" s="102">
        <f>IF(Q12=0,0,Q12/TrAvia_act!Q30*1000000)</f>
        <v>10559.595819982176</v>
      </c>
      <c r="R48" s="102">
        <f>IF(R12=0,0,R12/TrAvia_act!R30*1000000)</f>
        <v>11319.293421819426</v>
      </c>
      <c r="S48" s="102">
        <f>IF(S12=0,0,S12/TrAvia_act!S30*1000000)</f>
        <v>11727.681183724806</v>
      </c>
      <c r="T48" s="102">
        <f>IF(T12=0,0,T12/TrAvia_act!T30*1000000)</f>
        <v>11895.334173546016</v>
      </c>
      <c r="U48" s="102">
        <f>IF(U12=0,0,U12/TrAvia_act!U30*1000000)</f>
        <v>11655.470696351818</v>
      </c>
      <c r="V48" s="102">
        <f>IF(V12=0,0,V12/TrAvia_act!V30*1000000)</f>
        <v>10180.778621330852</v>
      </c>
      <c r="W48" s="102">
        <f>IF(W12=0,0,W12/TrAvia_act!W30*1000000)</f>
        <v>12049.431942662459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12235.983001611297</v>
      </c>
      <c r="C49" s="86">
        <f>IF(C13=0,0,C13/TrAvia_act!C31*1000000)</f>
        <v>12232.096132485882</v>
      </c>
      <c r="D49" s="86">
        <f>IF(D13=0,0,D13/TrAvia_act!D31*1000000)</f>
        <v>12211.294709961976</v>
      </c>
      <c r="E49" s="86">
        <f>IF(E13=0,0,E13/TrAvia_act!E31*1000000)</f>
        <v>12243.751466083819</v>
      </c>
      <c r="F49" s="86">
        <f>IF(F13=0,0,F13/TrAvia_act!F31*1000000)</f>
        <v>12233.343330936366</v>
      </c>
      <c r="G49" s="86">
        <f>IF(G13=0,0,G13/TrAvia_act!G31*1000000)</f>
        <v>8783.6857808876812</v>
      </c>
      <c r="H49" s="86">
        <f>IF(H13=0,0,H13/TrAvia_act!H31*1000000)</f>
        <v>8544.4791799800732</v>
      </c>
      <c r="I49" s="86">
        <f>IF(I13=0,0,I13/TrAvia_act!I31*1000000)</f>
        <v>10485.728368467051</v>
      </c>
      <c r="J49" s="86">
        <f>IF(J13=0,0,J13/TrAvia_act!J31*1000000)</f>
        <v>15301.196828333857</v>
      </c>
      <c r="K49" s="86">
        <f>IF(K13=0,0,K13/TrAvia_act!K31*1000000)</f>
        <v>20500.258773533002</v>
      </c>
      <c r="L49" s="86">
        <f>IF(L13=0,0,L13/TrAvia_act!L31*1000000)</f>
        <v>21939.401959083803</v>
      </c>
      <c r="M49" s="86">
        <f>IF(M13=0,0,M13/TrAvia_act!M31*1000000)</f>
        <v>23419.667810121166</v>
      </c>
      <c r="N49" s="86">
        <f>IF(N13=0,0,N13/TrAvia_act!N31*1000000)</f>
        <v>27638.945643130977</v>
      </c>
      <c r="O49" s="86">
        <f>IF(O13=0,0,O13/TrAvia_act!O31*1000000)</f>
        <v>24735.413315365175</v>
      </c>
      <c r="P49" s="86">
        <f>IF(P13=0,0,P13/TrAvia_act!P31*1000000)</f>
        <v>19578.794934470996</v>
      </c>
      <c r="Q49" s="86">
        <f>IF(Q13=0,0,Q13/TrAvia_act!Q31*1000000)</f>
        <v>16670.393898527316</v>
      </c>
      <c r="R49" s="86">
        <f>IF(R13=0,0,R13/TrAvia_act!R31*1000000)</f>
        <v>13470.367337214808</v>
      </c>
      <c r="S49" s="86">
        <f>IF(S13=0,0,S13/TrAvia_act!S31*1000000)</f>
        <v>10462.667568859339</v>
      </c>
      <c r="T49" s="86">
        <f>IF(T13=0,0,T13/TrAvia_act!T31*1000000)</f>
        <v>7610.6484984444915</v>
      </c>
      <c r="U49" s="86">
        <f>IF(U13=0,0,U13/TrAvia_act!U31*1000000)</f>
        <v>20141.651618540571</v>
      </c>
      <c r="V49" s="86">
        <f>IF(V13=0,0,V13/TrAvia_act!V31*1000000)</f>
        <v>56954.980073042992</v>
      </c>
      <c r="W49" s="86">
        <f>IF(W13=0,0,W13/TrAvia_act!W31*1000000)</f>
        <v>51565.700679227673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0.99089101064352458</v>
      </c>
      <c r="C52" s="16">
        <f t="shared" si="35"/>
        <v>0.9914318917139503</v>
      </c>
      <c r="D52" s="16">
        <f t="shared" ref="D52:V52" si="36">IF(D6=0,0,D6/D$3)</f>
        <v>0.99055839328726125</v>
      </c>
      <c r="E52" s="16">
        <f t="shared" si="36"/>
        <v>0.99411396777095384</v>
      </c>
      <c r="F52" s="16">
        <f t="shared" si="36"/>
        <v>0.99436972927417533</v>
      </c>
      <c r="G52" s="16">
        <f t="shared" si="36"/>
        <v>0.99389855898428581</v>
      </c>
      <c r="H52" s="16">
        <f t="shared" si="36"/>
        <v>0.99442086407089214</v>
      </c>
      <c r="I52" s="16">
        <f t="shared" si="36"/>
        <v>0.9953563095808684</v>
      </c>
      <c r="J52" s="16">
        <f t="shared" si="36"/>
        <v>0.99436676842521243</v>
      </c>
      <c r="K52" s="16">
        <f t="shared" si="36"/>
        <v>0.99019821633551397</v>
      </c>
      <c r="L52" s="16">
        <f t="shared" si="36"/>
        <v>0.98935110039261076</v>
      </c>
      <c r="M52" s="16">
        <f t="shared" si="36"/>
        <v>0.98988952183909173</v>
      </c>
      <c r="N52" s="16">
        <f t="shared" si="36"/>
        <v>0.96909503817433329</v>
      </c>
      <c r="O52" s="16">
        <f t="shared" si="36"/>
        <v>0.95630863078053152</v>
      </c>
      <c r="P52" s="16">
        <f t="shared" si="36"/>
        <v>0.97437627042500952</v>
      </c>
      <c r="Q52" s="16">
        <f t="shared" si="36"/>
        <v>0.9872240118110297</v>
      </c>
      <c r="R52" s="16">
        <f t="shared" si="36"/>
        <v>0.98940039339613861</v>
      </c>
      <c r="S52" s="16">
        <f t="shared" si="36"/>
        <v>0.989272051780829</v>
      </c>
      <c r="T52" s="16">
        <f t="shared" si="36"/>
        <v>0.99004762235331578</v>
      </c>
      <c r="U52" s="16">
        <f t="shared" si="36"/>
        <v>0.98723175819687192</v>
      </c>
      <c r="V52" s="16">
        <f t="shared" si="36"/>
        <v>0.95305121878893573</v>
      </c>
      <c r="W52" s="16">
        <f t="shared" ref="W52" si="37">IF(W6=0,0,W6/W$3)</f>
        <v>0.96214484836823244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0.86654039536520444</v>
      </c>
      <c r="C54" s="103">
        <f t="shared" si="41"/>
        <v>0.86696917859782585</v>
      </c>
      <c r="D54" s="103">
        <f t="shared" ref="D54:V54" si="42">IF(D8=0,0,D8/D$3)</f>
        <v>0.86624567908345973</v>
      </c>
      <c r="E54" s="103">
        <f t="shared" si="42"/>
        <v>0.86940969509255295</v>
      </c>
      <c r="F54" s="103">
        <f t="shared" si="42"/>
        <v>0.86959749696399691</v>
      </c>
      <c r="G54" s="103">
        <f t="shared" si="42"/>
        <v>0.88636880575489407</v>
      </c>
      <c r="H54" s="103">
        <f t="shared" si="42"/>
        <v>0.90222868212958196</v>
      </c>
      <c r="I54" s="103">
        <f t="shared" si="42"/>
        <v>0.90595689946746993</v>
      </c>
      <c r="J54" s="103">
        <f t="shared" si="42"/>
        <v>0.90285911127809926</v>
      </c>
      <c r="K54" s="103">
        <f t="shared" si="42"/>
        <v>0.89677638442391006</v>
      </c>
      <c r="L54" s="103">
        <f t="shared" si="42"/>
        <v>0.90308799402547679</v>
      </c>
      <c r="M54" s="103">
        <f t="shared" si="42"/>
        <v>0.90419906267738459</v>
      </c>
      <c r="N54" s="103">
        <f t="shared" si="42"/>
        <v>0.88072448365712463</v>
      </c>
      <c r="O54" s="103">
        <f t="shared" si="42"/>
        <v>0.87062015738541021</v>
      </c>
      <c r="P54" s="103">
        <f t="shared" si="42"/>
        <v>0.88746564090234148</v>
      </c>
      <c r="Q54" s="103">
        <f t="shared" si="42"/>
        <v>0.90271027592972319</v>
      </c>
      <c r="R54" s="103">
        <f t="shared" si="42"/>
        <v>0.90875794537320076</v>
      </c>
      <c r="S54" s="103">
        <f t="shared" si="42"/>
        <v>0.91208137260821409</v>
      </c>
      <c r="T54" s="103">
        <f t="shared" si="42"/>
        <v>0.91317245185549267</v>
      </c>
      <c r="U54" s="103">
        <f t="shared" si="42"/>
        <v>0.91001236164692534</v>
      </c>
      <c r="V54" s="103">
        <f t="shared" si="42"/>
        <v>0.84360003831556341</v>
      </c>
      <c r="W54" s="103">
        <f t="shared" ref="W54" si="43">IF(W8=0,0,W8/W$3)</f>
        <v>0.86397853077177111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0.12435061527832021</v>
      </c>
      <c r="C55" s="103">
        <f t="shared" si="44"/>
        <v>0.12446271311612461</v>
      </c>
      <c r="D55" s="103">
        <f t="shared" ref="D55:V55" si="45">IF(D9=0,0,D9/D$3)</f>
        <v>0.12431271420380151</v>
      </c>
      <c r="E55" s="103">
        <f t="shared" si="45"/>
        <v>0.12470427267840088</v>
      </c>
      <c r="F55" s="103">
        <f t="shared" si="45"/>
        <v>0.12477223231017835</v>
      </c>
      <c r="G55" s="103">
        <f t="shared" si="45"/>
        <v>0.10752975322939178</v>
      </c>
      <c r="H55" s="103">
        <f t="shared" si="45"/>
        <v>9.2192181941310208E-2</v>
      </c>
      <c r="I55" s="103">
        <f t="shared" si="45"/>
        <v>8.9399410113398525E-2</v>
      </c>
      <c r="J55" s="103">
        <f t="shared" si="45"/>
        <v>9.1507657147113106E-2</v>
      </c>
      <c r="K55" s="103">
        <f t="shared" si="45"/>
        <v>9.3421831911603942E-2</v>
      </c>
      <c r="L55" s="103">
        <f t="shared" si="45"/>
        <v>8.6263106367133968E-2</v>
      </c>
      <c r="M55" s="103">
        <f t="shared" si="45"/>
        <v>8.5690459161707103E-2</v>
      </c>
      <c r="N55" s="103">
        <f t="shared" si="45"/>
        <v>8.8370554517208683E-2</v>
      </c>
      <c r="O55" s="103">
        <f t="shared" si="45"/>
        <v>8.568847339512127E-2</v>
      </c>
      <c r="P55" s="103">
        <f t="shared" si="45"/>
        <v>8.6910629522668106E-2</v>
      </c>
      <c r="Q55" s="103">
        <f t="shared" si="45"/>
        <v>8.4513735881306493E-2</v>
      </c>
      <c r="R55" s="103">
        <f t="shared" si="45"/>
        <v>8.0642448022937824E-2</v>
      </c>
      <c r="S55" s="103">
        <f t="shared" si="45"/>
        <v>7.7190679172614865E-2</v>
      </c>
      <c r="T55" s="103">
        <f t="shared" si="45"/>
        <v>7.6875170497823053E-2</v>
      </c>
      <c r="U55" s="103">
        <f t="shared" si="45"/>
        <v>7.7219396549946542E-2</v>
      </c>
      <c r="V55" s="103">
        <f t="shared" si="45"/>
        <v>0.10945118047337243</v>
      </c>
      <c r="W55" s="103">
        <f t="shared" ref="W55" si="46">IF(W9=0,0,W9/W$3)</f>
        <v>9.8166317596461217E-2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9.108989356475564E-3</v>
      </c>
      <c r="C56" s="17">
        <f t="shared" si="47"/>
        <v>8.5681082860496506E-3</v>
      </c>
      <c r="D56" s="17">
        <f t="shared" ref="D56:V56" si="48">IF(D10=0,0,D10/D$3)</f>
        <v>9.4416067127387343E-3</v>
      </c>
      <c r="E56" s="17">
        <f t="shared" si="48"/>
        <v>5.8860322290461356E-3</v>
      </c>
      <c r="F56" s="17">
        <f t="shared" si="48"/>
        <v>5.6302707258245946E-3</v>
      </c>
      <c r="G56" s="17">
        <f t="shared" si="48"/>
        <v>6.1014410157142294E-3</v>
      </c>
      <c r="H56" s="17">
        <f t="shared" si="48"/>
        <v>5.5791359291077697E-3</v>
      </c>
      <c r="I56" s="17">
        <f t="shared" si="48"/>
        <v>4.6436904191315912E-3</v>
      </c>
      <c r="J56" s="17">
        <f t="shared" si="48"/>
        <v>5.6332315747875308E-3</v>
      </c>
      <c r="K56" s="17">
        <f t="shared" si="48"/>
        <v>9.8017836644860076E-3</v>
      </c>
      <c r="L56" s="17">
        <f t="shared" si="48"/>
        <v>1.0648899607389175E-2</v>
      </c>
      <c r="M56" s="17">
        <f t="shared" si="48"/>
        <v>1.0110478160908288E-2</v>
      </c>
      <c r="N56" s="17">
        <f t="shared" si="48"/>
        <v>3.0904961825666676E-2</v>
      </c>
      <c r="O56" s="17">
        <f t="shared" si="48"/>
        <v>4.3691369219468514E-2</v>
      </c>
      <c r="P56" s="17">
        <f t="shared" si="48"/>
        <v>2.5623729574990615E-2</v>
      </c>
      <c r="Q56" s="17">
        <f t="shared" si="48"/>
        <v>1.2775988188970295E-2</v>
      </c>
      <c r="R56" s="17">
        <f t="shared" si="48"/>
        <v>1.0599606603861368E-2</v>
      </c>
      <c r="S56" s="17">
        <f t="shared" si="48"/>
        <v>1.0727948219170983E-2</v>
      </c>
      <c r="T56" s="17">
        <f t="shared" si="48"/>
        <v>9.9523776466842843E-3</v>
      </c>
      <c r="U56" s="17">
        <f t="shared" si="48"/>
        <v>1.2768241803128197E-2</v>
      </c>
      <c r="V56" s="17">
        <f t="shared" si="48"/>
        <v>4.6948781211064182E-2</v>
      </c>
      <c r="W56" s="17">
        <f t="shared" ref="W56" si="49">IF(W10=0,0,W10/W$3)</f>
        <v>3.785515163176767E-2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8.0483910731672069E-3</v>
      </c>
      <c r="C58" s="104">
        <f t="shared" si="53"/>
        <v>7.3563810005583784E-3</v>
      </c>
      <c r="D58" s="104">
        <f t="shared" ref="D58:V58" si="54">IF(D12=0,0,D12/D$3)</f>
        <v>8.1311344873011004E-3</v>
      </c>
      <c r="E58" s="104">
        <f t="shared" si="54"/>
        <v>4.9765806940274783E-3</v>
      </c>
      <c r="F58" s="104">
        <f t="shared" si="54"/>
        <v>4.7924833581951048E-3</v>
      </c>
      <c r="G58" s="104">
        <f t="shared" si="54"/>
        <v>5.357428485670169E-3</v>
      </c>
      <c r="H58" s="104">
        <f t="shared" si="54"/>
        <v>4.8486005370165768E-3</v>
      </c>
      <c r="I58" s="104">
        <f t="shared" si="54"/>
        <v>3.7350124810191848E-3</v>
      </c>
      <c r="J58" s="104">
        <f t="shared" si="54"/>
        <v>4.3233728931221993E-3</v>
      </c>
      <c r="K58" s="104">
        <f t="shared" si="54"/>
        <v>8.0688404182173504E-3</v>
      </c>
      <c r="L58" s="104">
        <f t="shared" si="54"/>
        <v>8.2330423046423074E-3</v>
      </c>
      <c r="M58" s="104">
        <f t="shared" si="54"/>
        <v>7.5316213801945742E-3</v>
      </c>
      <c r="N58" s="104">
        <f t="shared" si="54"/>
        <v>8.4708638379486136E-3</v>
      </c>
      <c r="O58" s="104">
        <f t="shared" si="54"/>
        <v>9.5697922450310603E-3</v>
      </c>
      <c r="P58" s="104">
        <f t="shared" si="54"/>
        <v>9.5716667218239057E-3</v>
      </c>
      <c r="Q58" s="104">
        <f t="shared" si="54"/>
        <v>8.2357148534315961E-3</v>
      </c>
      <c r="R58" s="104">
        <f t="shared" si="54"/>
        <v>7.68480383855338E-3</v>
      </c>
      <c r="S58" s="104">
        <f t="shared" si="54"/>
        <v>8.2689448832834311E-3</v>
      </c>
      <c r="T58" s="104">
        <f t="shared" si="54"/>
        <v>8.1213817624642831E-3</v>
      </c>
      <c r="U58" s="104">
        <f t="shared" si="54"/>
        <v>8.5886297312696615E-3</v>
      </c>
      <c r="V58" s="104">
        <f t="shared" si="54"/>
        <v>1.7978934741282603E-2</v>
      </c>
      <c r="W58" s="104">
        <f t="shared" ref="W58" si="55">IF(W12=0,0,W12/W$3)</f>
        <v>2.2308506065404299E-2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1.0605982833083588E-3</v>
      </c>
      <c r="C59" s="105">
        <f t="shared" si="56"/>
        <v>1.2117272854912729E-3</v>
      </c>
      <c r="D59" s="105">
        <f t="shared" ref="D59:V59" si="57">IF(D13=0,0,D13/D$3)</f>
        <v>1.310472225437633E-3</v>
      </c>
      <c r="E59" s="105">
        <f t="shared" si="57"/>
        <v>9.0945153501865755E-4</v>
      </c>
      <c r="F59" s="105">
        <f t="shared" si="57"/>
        <v>8.3778736762949043E-4</v>
      </c>
      <c r="G59" s="105">
        <f t="shared" si="57"/>
        <v>7.4401253004406035E-4</v>
      </c>
      <c r="H59" s="105">
        <f t="shared" si="57"/>
        <v>7.3053539209119202E-4</v>
      </c>
      <c r="I59" s="105">
        <f t="shared" si="57"/>
        <v>9.0867793811240675E-4</v>
      </c>
      <c r="J59" s="105">
        <f t="shared" si="57"/>
        <v>1.3098586816653317E-3</v>
      </c>
      <c r="K59" s="105">
        <f t="shared" si="57"/>
        <v>1.7329432462686583E-3</v>
      </c>
      <c r="L59" s="105">
        <f t="shared" si="57"/>
        <v>2.4158573027468684E-3</v>
      </c>
      <c r="M59" s="105">
        <f t="shared" si="57"/>
        <v>2.5788567807137129E-3</v>
      </c>
      <c r="N59" s="105">
        <f t="shared" si="57"/>
        <v>2.243409798771806E-2</v>
      </c>
      <c r="O59" s="105">
        <f t="shared" si="57"/>
        <v>3.4121576974437448E-2</v>
      </c>
      <c r="P59" s="105">
        <f t="shared" si="57"/>
        <v>1.605206285316671E-2</v>
      </c>
      <c r="Q59" s="105">
        <f t="shared" si="57"/>
        <v>4.5402733355386993E-3</v>
      </c>
      <c r="R59" s="105">
        <f t="shared" si="57"/>
        <v>2.9148027653079869E-3</v>
      </c>
      <c r="S59" s="105">
        <f t="shared" si="57"/>
        <v>2.4590033358875521E-3</v>
      </c>
      <c r="T59" s="105">
        <f t="shared" si="57"/>
        <v>1.8309958842200021E-3</v>
      </c>
      <c r="U59" s="105">
        <f t="shared" si="57"/>
        <v>4.179612071858534E-3</v>
      </c>
      <c r="V59" s="105">
        <f t="shared" si="57"/>
        <v>2.8969846469781575E-2</v>
      </c>
      <c r="W59" s="105">
        <f t="shared" ref="W59" si="58">IF(W13=0,0,W13/W$3)</f>
        <v>1.5546645566363374E-2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363012</v>
      </c>
      <c r="C4" s="11">
        <f t="shared" si="0"/>
        <v>372577</v>
      </c>
      <c r="D4" s="11">
        <f t="shared" ref="D4" si="1">SUM(D5:D7)</f>
        <v>397193</v>
      </c>
      <c r="E4" s="11">
        <f t="shared" ref="E4" si="2">SUM(E5:E7)</f>
        <v>590589</v>
      </c>
      <c r="F4" s="11">
        <f t="shared" ref="F4" si="3">SUM(F5:F7)</f>
        <v>731592</v>
      </c>
      <c r="G4" s="11">
        <f t="shared" ref="G4" si="4">SUM(G5:G7)</f>
        <v>1304276</v>
      </c>
      <c r="H4" s="11">
        <f t="shared" ref="H4" si="5">SUM(H5:H7)</f>
        <v>1740797</v>
      </c>
      <c r="I4" s="11">
        <f t="shared" ref="I4" si="6">SUM(I5:I7)</f>
        <v>2196992</v>
      </c>
      <c r="J4" s="11">
        <f t="shared" ref="J4" si="7">SUM(J5:J7)</f>
        <v>2664810</v>
      </c>
      <c r="K4" s="11">
        <f t="shared" ref="K4" si="8">SUM(K5:K7)</f>
        <v>2917837</v>
      </c>
      <c r="L4" s="11">
        <f t="shared" ref="L4" si="9">SUM(L5:L7)</f>
        <v>3369705</v>
      </c>
      <c r="M4" s="11">
        <f t="shared" ref="M4" si="10">SUM(M5:M7)</f>
        <v>3455076</v>
      </c>
      <c r="N4" s="11">
        <f t="shared" ref="N4" si="11">SUM(N5:N7)</f>
        <v>3228816</v>
      </c>
      <c r="O4" s="11">
        <f t="shared" ref="O4" si="12">SUM(O5:O7)</f>
        <v>3199882</v>
      </c>
      <c r="P4" s="11">
        <f t="shared" ref="P4" si="13">SUM(P5:P7)</f>
        <v>3178844</v>
      </c>
      <c r="Q4" s="11">
        <f t="shared" ref="Q4" si="14">SUM(Q5:Q7)</f>
        <v>3415922</v>
      </c>
      <c r="R4" s="11">
        <f t="shared" ref="R4" si="15">SUM(R5:R7)</f>
        <v>3448446</v>
      </c>
      <c r="S4" s="11">
        <f t="shared" ref="S4" si="16">SUM(S5:S7)</f>
        <v>3896650</v>
      </c>
      <c r="T4" s="11">
        <f t="shared" ref="T4" si="17">SUM(T5:T7)</f>
        <v>4522028</v>
      </c>
      <c r="U4" s="11">
        <f t="shared" ref="U4" si="18">SUM(U5:U7)</f>
        <v>4983777</v>
      </c>
      <c r="V4" s="11">
        <f t="shared" ref="V4:W4" si="19">SUM(V5:V7)</f>
        <v>1807562</v>
      </c>
      <c r="W4" s="11">
        <f t="shared" si="19"/>
        <v>2291103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302043</v>
      </c>
      <c r="C6" s="84">
        <v>310376</v>
      </c>
      <c r="D6" s="84">
        <v>331647</v>
      </c>
      <c r="E6" s="84">
        <v>494326</v>
      </c>
      <c r="F6" s="84">
        <v>614287</v>
      </c>
      <c r="G6" s="84">
        <v>1101804</v>
      </c>
      <c r="H6" s="84">
        <v>1465738</v>
      </c>
      <c r="I6" s="84">
        <v>1807570</v>
      </c>
      <c r="J6" s="84">
        <v>2170744</v>
      </c>
      <c r="K6" s="84">
        <v>2430316</v>
      </c>
      <c r="L6" s="84">
        <v>2741774</v>
      </c>
      <c r="M6" s="84">
        <v>2728712</v>
      </c>
      <c r="N6" s="84">
        <v>2496396</v>
      </c>
      <c r="O6" s="84">
        <v>2433996</v>
      </c>
      <c r="P6" s="84">
        <v>2441783</v>
      </c>
      <c r="Q6" s="84">
        <v>2706616</v>
      </c>
      <c r="R6" s="84">
        <v>2678673</v>
      </c>
      <c r="S6" s="84">
        <v>3007973</v>
      </c>
      <c r="T6" s="84">
        <v>3422216</v>
      </c>
      <c r="U6" s="84">
        <v>3703093</v>
      </c>
      <c r="V6" s="84">
        <v>1537846</v>
      </c>
      <c r="W6" s="84">
        <v>1898282</v>
      </c>
      <c r="DA6" s="171" t="s">
        <v>363</v>
      </c>
    </row>
    <row r="7" spans="1:105" ht="11.45" customHeight="1" x14ac:dyDescent="0.25">
      <c r="A7" s="85" t="s">
        <v>174</v>
      </c>
      <c r="B7" s="86">
        <v>60969</v>
      </c>
      <c r="C7" s="86">
        <v>62201</v>
      </c>
      <c r="D7" s="86">
        <v>65546</v>
      </c>
      <c r="E7" s="86">
        <v>96263</v>
      </c>
      <c r="F7" s="86">
        <v>117305</v>
      </c>
      <c r="G7" s="86">
        <v>202472</v>
      </c>
      <c r="H7" s="86">
        <v>275059</v>
      </c>
      <c r="I7" s="86">
        <v>389422</v>
      </c>
      <c r="J7" s="86">
        <v>494066</v>
      </c>
      <c r="K7" s="86">
        <v>487521</v>
      </c>
      <c r="L7" s="86">
        <v>627931</v>
      </c>
      <c r="M7" s="86">
        <v>726364</v>
      </c>
      <c r="N7" s="86">
        <v>732420</v>
      </c>
      <c r="O7" s="86">
        <v>765886</v>
      </c>
      <c r="P7" s="86">
        <v>737061</v>
      </c>
      <c r="Q7" s="86">
        <v>709306</v>
      </c>
      <c r="R7" s="86">
        <v>769773</v>
      </c>
      <c r="S7" s="86">
        <v>888677</v>
      </c>
      <c r="T7" s="86">
        <v>1099812</v>
      </c>
      <c r="U7" s="86">
        <v>1280684</v>
      </c>
      <c r="V7" s="86">
        <v>269716</v>
      </c>
      <c r="W7" s="86">
        <v>392821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56.543925233644863</v>
      </c>
      <c r="C12" s="14">
        <f>IF(C4=0,0,C4/TrAvia_act!C24)</f>
        <v>57.979614067849361</v>
      </c>
      <c r="D12" s="14">
        <f>IF(D4=0,0,D4/TrAvia_act!D24)</f>
        <v>59.468932474921395</v>
      </c>
      <c r="E12" s="14">
        <f>IF(E4=0,0,E4/TrAvia_act!E24)</f>
        <v>61.143907236773991</v>
      </c>
      <c r="F12" s="14">
        <f>IF(F4=0,0,F4/TrAvia_act!F24)</f>
        <v>62.781429674761867</v>
      </c>
      <c r="G12" s="14">
        <f>IF(G4=0,0,G4/TrAvia_act!G24)</f>
        <v>86.085142894858421</v>
      </c>
      <c r="H12" s="14">
        <f>IF(H4=0,0,H4/TrAvia_act!H24)</f>
        <v>98.255743071626128</v>
      </c>
      <c r="I12" s="14">
        <f>IF(I4=0,0,I4/TrAvia_act!I24)</f>
        <v>102.21895500860745</v>
      </c>
      <c r="J12" s="14">
        <f>IF(J4=0,0,J4/TrAvia_act!J24)</f>
        <v>102.08435488813974</v>
      </c>
      <c r="K12" s="14">
        <f>IF(K4=0,0,K4/TrAvia_act!K24)</f>
        <v>101.39828329163191</v>
      </c>
      <c r="L12" s="14">
        <f>IF(L4=0,0,L4/TrAvia_act!L24)</f>
        <v>101.59506150506512</v>
      </c>
      <c r="M12" s="14">
        <f>IF(M4=0,0,M4/TrAvia_act!M24)</f>
        <v>98.772898799313893</v>
      </c>
      <c r="N12" s="14">
        <f>IF(N4=0,0,N4/TrAvia_act!N24)</f>
        <v>100.61437786295222</v>
      </c>
      <c r="O12" s="14">
        <f>IF(O4=0,0,O4/TrAvia_act!O24)</f>
        <v>102.85702346512376</v>
      </c>
      <c r="P12" s="14">
        <f>IF(P4=0,0,P4/TrAvia_act!P24)</f>
        <v>104.33385847446502</v>
      </c>
      <c r="Q12" s="14">
        <f>IF(Q4=0,0,Q4/TrAvia_act!Q24)</f>
        <v>108.37315989847716</v>
      </c>
      <c r="R12" s="14">
        <f>IF(R4=0,0,R4/TrAvia_act!R24)</f>
        <v>110.52711538461539</v>
      </c>
      <c r="S12" s="14">
        <f>IF(S4=0,0,S4/TrAvia_act!S24)</f>
        <v>113.75087575899113</v>
      </c>
      <c r="T12" s="14">
        <f>IF(T4=0,0,T4/TrAvia_act!T24)</f>
        <v>116.92380090497737</v>
      </c>
      <c r="U12" s="14">
        <f>IF(U4=0,0,U4/TrAvia_act!U24)</f>
        <v>123.50143728007137</v>
      </c>
      <c r="V12" s="14">
        <f>IF(V4=0,0,V4/TrAvia_act!V24)</f>
        <v>138.96840162989159</v>
      </c>
      <c r="W12" s="14">
        <f>IF(W4=0,0,W4/TrAvia_act!W24)</f>
        <v>159.42544012246887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53.936250000000001</v>
      </c>
      <c r="C14" s="87">
        <f>IF(C6=0,0,C6/TrAvia_act!C26)</f>
        <v>55.374843889384479</v>
      </c>
      <c r="D14" s="87">
        <f>IF(D6=0,0,D6/TrAvia_act!D26)</f>
        <v>56.925334706488158</v>
      </c>
      <c r="E14" s="87">
        <f>IF(E6=0,0,E6/TrAvia_act!E26)</f>
        <v>58.666745786850228</v>
      </c>
      <c r="F14" s="87">
        <f>IF(F6=0,0,F6/TrAvia_act!F26)</f>
        <v>60.431578947368422</v>
      </c>
      <c r="G14" s="87">
        <f>IF(G6=0,0,G6/TrAvia_act!G26)</f>
        <v>84.852060069310738</v>
      </c>
      <c r="H14" s="87">
        <f>IF(H6=0,0,H6/TrAvia_act!H26)</f>
        <v>99.927597491137163</v>
      </c>
      <c r="I14" s="87">
        <f>IF(I6=0,0,I6/TrAvia_act!I26)</f>
        <v>104.29090699284561</v>
      </c>
      <c r="J14" s="87">
        <f>IF(J6=0,0,J6/TrAvia_act!J26)</f>
        <v>102.62594553706505</v>
      </c>
      <c r="K14" s="87">
        <f>IF(K6=0,0,K6/TrAvia_act!K26)</f>
        <v>103.39570304190597</v>
      </c>
      <c r="L14" s="87">
        <f>IF(L6=0,0,L6/TrAvia_act!L26)</f>
        <v>102.7689943401177</v>
      </c>
      <c r="M14" s="87">
        <f>IF(M6=0,0,M6/TrAvia_act!M26)</f>
        <v>97.572480869627398</v>
      </c>
      <c r="N14" s="87">
        <f>IF(N6=0,0,N6/TrAvia_act!N26)</f>
        <v>99.130206885597431</v>
      </c>
      <c r="O14" s="87">
        <f>IF(O6=0,0,O6/TrAvia_act!O26)</f>
        <v>101.96455950735202</v>
      </c>
      <c r="P14" s="87">
        <f>IF(P6=0,0,P6/TrAvia_act!P26)</f>
        <v>103.36464462600009</v>
      </c>
      <c r="Q14" s="87">
        <f>IF(Q6=0,0,Q6/TrAvia_act!Q26)</f>
        <v>107.29469594862444</v>
      </c>
      <c r="R14" s="87">
        <f>IF(R6=0,0,R6/TrAvia_act!R26)</f>
        <v>110.34243697478992</v>
      </c>
      <c r="S14" s="87">
        <f>IF(S6=0,0,S6/TrAvia_act!S26)</f>
        <v>113.96859015648089</v>
      </c>
      <c r="T14" s="87">
        <f>IF(T6=0,0,T6/TrAvia_act!T26)</f>
        <v>117.23129624554673</v>
      </c>
      <c r="U14" s="87">
        <f>IF(U6=0,0,U6/TrAvia_act!U26)</f>
        <v>124.65808254224736</v>
      </c>
      <c r="V14" s="87">
        <f>IF(V6=0,0,V6/TrAvia_act!V26)</f>
        <v>138.59462869502522</v>
      </c>
      <c r="W14" s="87">
        <f>IF(W6=0,0,W6/TrAvia_act!W26)</f>
        <v>155.16445970246852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74.35243902439025</v>
      </c>
      <c r="C15" s="88">
        <f>IF(C7=0,0,C7/TrAvia_act!C27)</f>
        <v>75.76248477466504</v>
      </c>
      <c r="D15" s="88">
        <f>IF(D7=0,0,D7/TrAvia_act!D27)</f>
        <v>76.841735052754984</v>
      </c>
      <c r="E15" s="88">
        <f>IF(E7=0,0,E7/TrAvia_act!E27)</f>
        <v>78.072181670721818</v>
      </c>
      <c r="F15" s="88">
        <f>IF(F7=0,0,F7/TrAvia_act!F27)</f>
        <v>78.834005376344081</v>
      </c>
      <c r="G15" s="88">
        <f>IF(G7=0,0,G7/TrAvia_act!G27)</f>
        <v>93.477377654662973</v>
      </c>
      <c r="H15" s="88">
        <f>IF(H7=0,0,H7/TrAvia_act!H27)</f>
        <v>90.212856674319454</v>
      </c>
      <c r="I15" s="88">
        <f>IF(I7=0,0,I7/TrAvia_act!I27)</f>
        <v>93.588560442201398</v>
      </c>
      <c r="J15" s="88">
        <f>IF(J7=0,0,J7/TrAvia_act!J27)</f>
        <v>99.771001615508879</v>
      </c>
      <c r="K15" s="88">
        <f>IF(K7=0,0,K7/TrAvia_act!K27)</f>
        <v>92.4911781445646</v>
      </c>
      <c r="L15" s="88">
        <f>IF(L7=0,0,L7/TrAvia_act!L27)</f>
        <v>96.768531360764371</v>
      </c>
      <c r="M15" s="88">
        <f>IF(M7=0,0,M7/TrAvia_act!M27)</f>
        <v>103.55916737952666</v>
      </c>
      <c r="N15" s="88">
        <f>IF(N7=0,0,N7/TrAvia_act!N27)</f>
        <v>106.02489866821077</v>
      </c>
      <c r="O15" s="88">
        <f>IF(O7=0,0,O7/TrAvia_act!O27)</f>
        <v>105.79997237187457</v>
      </c>
      <c r="P15" s="88">
        <f>IF(P7=0,0,P7/TrAvia_act!P27)</f>
        <v>107.67874360847334</v>
      </c>
      <c r="Q15" s="88">
        <f>IF(Q7=0,0,Q7/TrAvia_act!Q27)</f>
        <v>112.69558309501112</v>
      </c>
      <c r="R15" s="88">
        <f>IF(R7=0,0,R7/TrAvia_act!R27)</f>
        <v>111.17461005199307</v>
      </c>
      <c r="S15" s="88">
        <f>IF(S7=0,0,S7/TrAvia_act!S27)</f>
        <v>113.02009411166222</v>
      </c>
      <c r="T15" s="88">
        <f>IF(T7=0,0,T7/TrAvia_act!T27)</f>
        <v>115.97722239797532</v>
      </c>
      <c r="U15" s="88">
        <f>IF(U7=0,0,U7/TrAvia_act!U27)</f>
        <v>120.27460555972952</v>
      </c>
      <c r="V15" s="88">
        <f>IF(V7=0,0,V7/TrAvia_act!V27)</f>
        <v>141.13867085295658</v>
      </c>
      <c r="W15" s="88">
        <f>IF(W7=0,0,W7/TrAvia_act!W27)</f>
        <v>183.8189050070192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0.734143774861437</v>
      </c>
      <c r="C18" s="25">
        <f>IF(TrAvia_act!C34=0,0,(TrAvia_act!C34/TrAvia_act!C24)/TrAvia_png!C12)</f>
        <v>0.73392882545084637</v>
      </c>
      <c r="D18" s="25">
        <f>IF(TrAvia_act!D34=0,0,(TrAvia_act!D34/TrAvia_act!D24)/TrAvia_png!D12)</f>
        <v>0.73360305946982951</v>
      </c>
      <c r="E18" s="25">
        <f>IF(TrAvia_act!E34=0,0,(TrAvia_act!E34/TrAvia_act!E24)/TrAvia_png!E12)</f>
        <v>0.73127504914585273</v>
      </c>
      <c r="F18" s="25">
        <f>IF(TrAvia_act!F34=0,0,(TrAvia_act!F34/TrAvia_act!F24)/TrAvia_png!F12)</f>
        <v>0.73052193025620826</v>
      </c>
      <c r="G18" s="25">
        <f>IF(TrAvia_act!G34=0,0,(TrAvia_act!G34/TrAvia_act!G24)/TrAvia_png!G12)</f>
        <v>0.73141190974916359</v>
      </c>
      <c r="H18" s="25">
        <f>IF(TrAvia_act!H34=0,0,(TrAvia_act!H34/TrAvia_act!H24)/TrAvia_png!H12)</f>
        <v>0.72549527601437724</v>
      </c>
      <c r="I18" s="25">
        <f>IF(TrAvia_act!I34=0,0,(TrAvia_act!I34/TrAvia_act!I24)/TrAvia_png!I12)</f>
        <v>0.72395165753903523</v>
      </c>
      <c r="J18" s="25">
        <f>IF(TrAvia_act!J34=0,0,(TrAvia_act!J34/TrAvia_act!J24)/TrAvia_png!J12)</f>
        <v>0.69550174308862556</v>
      </c>
      <c r="K18" s="25">
        <f>IF(TrAvia_act!K34=0,0,(TrAvia_act!K34/TrAvia_act!K24)/TrAvia_png!K12)</f>
        <v>0.70727768549099901</v>
      </c>
      <c r="L18" s="25">
        <f>IF(TrAvia_act!L34=0,0,(TrAvia_act!L34/TrAvia_act!L24)/TrAvia_png!L12)</f>
        <v>0.70026960817044814</v>
      </c>
      <c r="M18" s="25">
        <f>IF(TrAvia_act!M34=0,0,(TrAvia_act!M34/TrAvia_act!M24)/TrAvia_png!M12)</f>
        <v>0.7452895392170823</v>
      </c>
      <c r="N18" s="25">
        <f>IF(TrAvia_act!N34=0,0,(TrAvia_act!N34/TrAvia_act!N24)/TrAvia_png!N12)</f>
        <v>0.7436837528059822</v>
      </c>
      <c r="O18" s="25">
        <f>IF(TrAvia_act!O34=0,0,(TrAvia_act!O34/TrAvia_act!O24)/TrAvia_png!O12)</f>
        <v>0.75459688826025451</v>
      </c>
      <c r="P18" s="25">
        <f>IF(TrAvia_act!P34=0,0,(TrAvia_act!P34/TrAvia_act!P24)/TrAvia_png!P12)</f>
        <v>0.76090176177251845</v>
      </c>
      <c r="Q18" s="25">
        <f>IF(TrAvia_act!Q34=0,0,(TrAvia_act!Q34/TrAvia_act!Q24)/TrAvia_png!Q12)</f>
        <v>0.75833552405470617</v>
      </c>
      <c r="R18" s="25">
        <f>IF(TrAvia_act!R34=0,0,(TrAvia_act!R34/TrAvia_act!R24)/TrAvia_png!R12)</f>
        <v>0.78651717324267212</v>
      </c>
      <c r="S18" s="25">
        <f>IF(TrAvia_act!S34=0,0,(TrAvia_act!S34/TrAvia_act!S24)/TrAvia_png!S12)</f>
        <v>0.78346194808361025</v>
      </c>
      <c r="T18" s="25">
        <f>IF(TrAvia_act!T34=0,0,(TrAvia_act!T34/TrAvia_act!T24)/TrAvia_png!T12)</f>
        <v>0.77885121454356321</v>
      </c>
      <c r="U18" s="25">
        <f>IF(TrAvia_act!U34=0,0,(TrAvia_act!U34/TrAvia_act!U24)/TrAvia_png!U12)</f>
        <v>0.7797184745625656</v>
      </c>
      <c r="V18" s="25">
        <f>IF(TrAvia_act!V34=0,0,(TrAvia_act!V34/TrAvia_act!V24)/TrAvia_png!V12)</f>
        <v>0.5496895818787958</v>
      </c>
      <c r="W18" s="25">
        <f>IF(TrAvia_act!W34=0,0,(TrAvia_act!W34/TrAvia_act!W24)/TrAvia_png!W12)</f>
        <v>0.51214458712681188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0.76169949311852947</v>
      </c>
      <c r="C20" s="89">
        <f>IF(TrAvia_act!C36=0,0,(TrAvia_act!C36/TrAvia_act!C26)/TrAvia_png!C14)</f>
        <v>0.76074180993375773</v>
      </c>
      <c r="D20" s="89">
        <f>IF(TrAvia_act!D36=0,0,(TrAvia_act!D36/TrAvia_act!D26)/TrAvia_png!D14)</f>
        <v>0.75874649853609399</v>
      </c>
      <c r="E20" s="89">
        <f>IF(TrAvia_act!E36=0,0,(TrAvia_act!E36/TrAvia_act!E26)/TrAvia_png!E14)</f>
        <v>0.7544859060619914</v>
      </c>
      <c r="F20" s="89">
        <f>IF(TrAvia_act!F36=0,0,(TrAvia_act!F36/TrAvia_act!F26)/TrAvia_png!F14)</f>
        <v>0.75168121741140537</v>
      </c>
      <c r="G20" s="89">
        <f>IF(TrAvia_act!G36=0,0,(TrAvia_act!G36/TrAvia_act!G26)/TrAvia_png!G14)</f>
        <v>0.7504773988840121</v>
      </c>
      <c r="H20" s="89">
        <f>IF(TrAvia_act!H36=0,0,(TrAvia_act!H36/TrAvia_act!H26)/TrAvia_png!H14)</f>
        <v>0.74255630951779927</v>
      </c>
      <c r="I20" s="89">
        <f>IF(TrAvia_act!I36=0,0,(TrAvia_act!I36/TrAvia_act!I26)/TrAvia_png!I14)</f>
        <v>0.72994130241152488</v>
      </c>
      <c r="J20" s="89">
        <f>IF(TrAvia_act!J36=0,0,(TrAvia_act!J36/TrAvia_act!J26)/TrAvia_png!J14)</f>
        <v>0.69597750817231319</v>
      </c>
      <c r="K20" s="89">
        <f>IF(TrAvia_act!K36=0,0,(TrAvia_act!K36/TrAvia_act!K26)/TrAvia_png!K14)</f>
        <v>0.70250041558381715</v>
      </c>
      <c r="L20" s="89">
        <f>IF(TrAvia_act!L36=0,0,(TrAvia_act!L36/TrAvia_act!L26)/TrAvia_png!L14)</f>
        <v>0.69029577200746672</v>
      </c>
      <c r="M20" s="89">
        <f>IF(TrAvia_act!M36=0,0,(TrAvia_act!M36/TrAvia_act!M26)/TrAvia_png!M14)</f>
        <v>0.7481811931783201</v>
      </c>
      <c r="N20" s="89">
        <f>IF(TrAvia_act!N36=0,0,(TrAvia_act!N36/TrAvia_act!N26)/TrAvia_png!N14)</f>
        <v>0.74274954774803359</v>
      </c>
      <c r="O20" s="89">
        <f>IF(TrAvia_act!O36=0,0,(TrAvia_act!O36/TrAvia_act!O26)/TrAvia_png!O14)</f>
        <v>0.76591621350240513</v>
      </c>
      <c r="P20" s="89">
        <f>IF(TrAvia_act!P36=0,0,(TrAvia_act!P36/TrAvia_act!P26)/TrAvia_png!P14)</f>
        <v>0.78348772188191984</v>
      </c>
      <c r="Q20" s="89">
        <f>IF(TrAvia_act!Q36=0,0,(TrAvia_act!Q36/TrAvia_act!Q26)/TrAvia_png!Q14)</f>
        <v>0.77459122387512669</v>
      </c>
      <c r="R20" s="89">
        <f>IF(TrAvia_act!R36=0,0,(TrAvia_act!R36/TrAvia_act!R26)/TrAvia_png!R14)</f>
        <v>0.81040126958385739</v>
      </c>
      <c r="S20" s="89">
        <f>IF(TrAvia_act!S36=0,0,(TrAvia_act!S36/TrAvia_act!S26)/TrAvia_png!S14)</f>
        <v>0.80158565253079062</v>
      </c>
      <c r="T20" s="89">
        <f>IF(TrAvia_act!T36=0,0,(TrAvia_act!T36/TrAvia_act!T26)/TrAvia_png!T14)</f>
        <v>0.79454949658350027</v>
      </c>
      <c r="U20" s="89">
        <f>IF(TrAvia_act!U36=0,0,(TrAvia_act!U36/TrAvia_act!U26)/TrAvia_png!U14)</f>
        <v>0.78843118441799864</v>
      </c>
      <c r="V20" s="89">
        <f>IF(TrAvia_act!V36=0,0,(TrAvia_act!V36/TrAvia_act!V26)/TrAvia_png!V14)</f>
        <v>0.53899090025919372</v>
      </c>
      <c r="W20" s="89">
        <f>IF(TrAvia_act!W36=0,0,(TrAvia_act!W36/TrAvia_act!W26)/TrAvia_png!W14)</f>
        <v>0.50368701805105875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0.59763158326362575</v>
      </c>
      <c r="C21" s="90">
        <f>IF(TrAvia_act!C37=0,0,(TrAvia_act!C37/TrAvia_act!C27)/TrAvia_png!C15)</f>
        <v>0.60013504606035273</v>
      </c>
      <c r="D21" s="90">
        <f>IF(TrAvia_act!D37=0,0,(TrAvia_act!D37/TrAvia_act!D27)/TrAvia_png!D15)</f>
        <v>0.60638330332895984</v>
      </c>
      <c r="E21" s="90">
        <f>IF(TrAvia_act!E37=0,0,(TrAvia_act!E37/TrAvia_act!E27)/TrAvia_png!E15)</f>
        <v>0.61208356273957809</v>
      </c>
      <c r="F21" s="90">
        <f>IF(TrAvia_act!F37=0,0,(TrAvia_act!F37/TrAvia_act!F27)/TrAvia_png!F15)</f>
        <v>0.61971782958953159</v>
      </c>
      <c r="G21" s="90">
        <f>IF(TrAvia_act!G37=0,0,(TrAvia_act!G37/TrAvia_act!G27)/TrAvia_png!G15)</f>
        <v>0.62766209648741556</v>
      </c>
      <c r="H21" s="90">
        <f>IF(TrAvia_act!H37=0,0,(TrAvia_act!H37/TrAvia_act!H27)/TrAvia_png!H15)</f>
        <v>0.63458021733518988</v>
      </c>
      <c r="I21" s="90">
        <f>IF(TrAvia_act!I37=0,0,(TrAvia_act!I37/TrAvia_act!I27)/TrAvia_png!I15)</f>
        <v>0.69614967824108542</v>
      </c>
      <c r="J21" s="90">
        <f>IF(TrAvia_act!J37=0,0,(TrAvia_act!J37/TrAvia_act!J27)/TrAvia_png!J15)</f>
        <v>0.69341140657321088</v>
      </c>
      <c r="K21" s="90">
        <f>IF(TrAvia_act!K37=0,0,(TrAvia_act!K37/TrAvia_act!K27)/TrAvia_png!K15)</f>
        <v>0.73109260934400777</v>
      </c>
      <c r="L21" s="90">
        <f>IF(TrAvia_act!L37=0,0,(TrAvia_act!L37/TrAvia_act!L27)/TrAvia_png!L15)</f>
        <v>0.74381898648099865</v>
      </c>
      <c r="M21" s="90">
        <f>IF(TrAvia_act!M37=0,0,(TrAvia_act!M37/TrAvia_act!M27)/TrAvia_png!M15)</f>
        <v>0.73442654096293325</v>
      </c>
      <c r="N21" s="90">
        <f>IF(TrAvia_act!N37=0,0,(TrAvia_act!N37/TrAvia_act!N27)/TrAvia_png!N15)</f>
        <v>0.74686791731520175</v>
      </c>
      <c r="O21" s="90">
        <f>IF(TrAvia_act!O37=0,0,(TrAvia_act!O37/TrAvia_act!O27)/TrAvia_png!O15)</f>
        <v>0.7186239205312539</v>
      </c>
      <c r="P21" s="90">
        <f>IF(TrAvia_act!P37=0,0,(TrAvia_act!P37/TrAvia_act!P27)/TrAvia_png!P15)</f>
        <v>0.68607754310701552</v>
      </c>
      <c r="Q21" s="90">
        <f>IF(TrAvia_act!Q37=0,0,(TrAvia_act!Q37/TrAvia_act!Q27)/TrAvia_png!Q15)</f>
        <v>0.69630596667728739</v>
      </c>
      <c r="R21" s="90">
        <f>IF(TrAvia_act!R37=0,0,(TrAvia_act!R37/TrAvia_act!R27)/TrAvia_png!R15)</f>
        <v>0.70340476997764279</v>
      </c>
      <c r="S21" s="90">
        <f>IF(TrAvia_act!S37=0,0,(TrAvia_act!S37/TrAvia_act!S27)/TrAvia_png!S15)</f>
        <v>0.72211725970178131</v>
      </c>
      <c r="T21" s="90">
        <f>IF(TrAvia_act!T37=0,0,(TrAvia_act!T37/TrAvia_act!T27)/TrAvia_png!T15)</f>
        <v>0.73000385520434408</v>
      </c>
      <c r="U21" s="90">
        <f>IF(TrAvia_act!U37=0,0,(TrAvia_act!U37/TrAvia_act!U27)/TrAvia_png!U15)</f>
        <v>0.75452570657554874</v>
      </c>
      <c r="V21" s="90">
        <f>IF(TrAvia_act!V37=0,0,(TrAvia_act!V37/TrAvia_act!V27)/TrAvia_png!V15)</f>
        <v>0.61069050408577907</v>
      </c>
      <c r="W21" s="90">
        <f>IF(TrAvia_act!W37=0,0,(TrAvia_act!W37/TrAvia_act!W27)/TrAvia_png!W15)</f>
        <v>0.55301524103853916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5.7652933269540609E-2</v>
      </c>
      <c r="C24" s="23">
        <f>IF(TrAvia_ene!C6=0,0,TrAvia_ene!C6/(C12*TrAvia_act!C14))</f>
        <v>5.6201897040298737E-2</v>
      </c>
      <c r="D24" s="23">
        <f>IF(TrAvia_ene!D6=0,0,TrAvia_ene!D6/(D12*TrAvia_act!D14))</f>
        <v>5.4703619666680289E-2</v>
      </c>
      <c r="E24" s="23">
        <f>IF(TrAvia_ene!E6=0,0,TrAvia_ene!E6/(E12*TrAvia_act!E14))</f>
        <v>5.3351082665818388E-2</v>
      </c>
      <c r="F24" s="23">
        <f>IF(TrAvia_ene!F6=0,0,TrAvia_ene!F6/(F12*TrAvia_act!F14))</f>
        <v>5.1912821124348828E-2</v>
      </c>
      <c r="G24" s="23">
        <f>IF(TrAvia_ene!G6=0,0,TrAvia_ene!G6/(G12*TrAvia_act!G14))</f>
        <v>3.1145447747314009E-2</v>
      </c>
      <c r="H24" s="23">
        <f>IF(TrAvia_ene!H6=0,0,TrAvia_ene!H6/(H12*TrAvia_act!H14))</f>
        <v>2.6355920512200502E-2</v>
      </c>
      <c r="I24" s="23">
        <f>IF(TrAvia_ene!I6=0,0,TrAvia_ene!I6/(I12*TrAvia_act!I14))</f>
        <v>2.575857540830077E-2</v>
      </c>
      <c r="J24" s="23">
        <f>IF(TrAvia_ene!J6=0,0,TrAvia_ene!J6/(J12*TrAvia_act!J14))</f>
        <v>2.744458418811551E-2</v>
      </c>
      <c r="K24" s="23">
        <f>IF(TrAvia_ene!K6=0,0,TrAvia_ene!K6/(K12*TrAvia_act!K14))</f>
        <v>3.0573830019777259E-2</v>
      </c>
      <c r="L24" s="23">
        <f>IF(TrAvia_ene!L6=0,0,TrAvia_ene!L6/(L12*TrAvia_act!L14))</f>
        <v>3.0748382617593596E-2</v>
      </c>
      <c r="M24" s="23">
        <f>IF(TrAvia_ene!M6=0,0,TrAvia_ene!M6/(M12*TrAvia_act!M14))</f>
        <v>3.2786607210767663E-2</v>
      </c>
      <c r="N24" s="23">
        <f>IF(TrAvia_ene!N6=0,0,TrAvia_ene!N6/(N12*TrAvia_act!N14))</f>
        <v>3.5384466702672014E-2</v>
      </c>
      <c r="O24" s="23">
        <f>IF(TrAvia_ene!O6=0,0,TrAvia_ene!O6/(O12*TrAvia_act!O14))</f>
        <v>3.4580440130456247E-2</v>
      </c>
      <c r="P24" s="23">
        <f>IF(TrAvia_ene!P6=0,0,TrAvia_ene!P6/(P12*TrAvia_act!P14))</f>
        <v>3.145769540916122E-2</v>
      </c>
      <c r="Q24" s="23">
        <f>IF(TrAvia_ene!Q6=0,0,TrAvia_ene!Q6/(Q12*TrAvia_act!Q14))</f>
        <v>2.9679801599743226E-2</v>
      </c>
      <c r="R24" s="23">
        <f>IF(TrAvia_ene!R6=0,0,TrAvia_ene!R6/(R12*TrAvia_act!R14))</f>
        <v>3.3983341733736599E-2</v>
      </c>
      <c r="S24" s="23">
        <f>IF(TrAvia_ene!S6=0,0,TrAvia_ene!S6/(S12*TrAvia_act!S14))</f>
        <v>3.4041529871050982E-2</v>
      </c>
      <c r="T24" s="23">
        <f>IF(TrAvia_ene!T6=0,0,TrAvia_ene!T6/(T12*TrAvia_act!T14))</f>
        <v>3.1045657658248047E-2</v>
      </c>
      <c r="U24" s="23">
        <f>IF(TrAvia_ene!U6=0,0,TrAvia_ene!U6/(U12*TrAvia_act!U14))</f>
        <v>2.8420369723749939E-2</v>
      </c>
      <c r="V24" s="23">
        <f>IF(TrAvia_ene!V6=0,0,TrAvia_ene!V6/(V12*TrAvia_act!V14))</f>
        <v>2.8417957015897558E-2</v>
      </c>
      <c r="W24" s="23">
        <f>IF(TrAvia_ene!W6=0,0,TrAvia_ene!W6/(W12*TrAvia_act!W14))</f>
        <v>2.4848437342322865E-2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7.6520320455493063E-2</v>
      </c>
      <c r="C26" s="93">
        <f>IF(TrAvia_ene!C8=0,0,TrAvia_ene!C8/(C14*TrAvia_act!C16))</f>
        <v>7.4506062282213986E-2</v>
      </c>
      <c r="D26" s="93">
        <f>IF(TrAvia_ene!D8=0,0,TrAvia_ene!D8/(D14*TrAvia_act!D16))</f>
        <v>7.2350929525344207E-2</v>
      </c>
      <c r="E26" s="93">
        <f>IF(TrAvia_ene!E8=0,0,TrAvia_ene!E8/(E14*TrAvia_act!E16))</f>
        <v>7.0389325057791469E-2</v>
      </c>
      <c r="F26" s="93">
        <f>IF(TrAvia_ene!F8=0,0,TrAvia_ene!F8/(F14*TrAvia_act!F16))</f>
        <v>6.8276733257681035E-2</v>
      </c>
      <c r="G26" s="93">
        <f>IF(TrAvia_ene!G8=0,0,TrAvia_ene!G8/(G14*TrAvia_act!G16))</f>
        <v>4.2054281668868126E-2</v>
      </c>
      <c r="H26" s="93">
        <f>IF(TrAvia_ene!H8=0,0,TrAvia_ene!H8/(H14*TrAvia_act!H16))</f>
        <v>3.634372000479065E-2</v>
      </c>
      <c r="I26" s="93">
        <f>IF(TrAvia_ene!I8=0,0,TrAvia_ene!I8/(I14*TrAvia_act!I16))</f>
        <v>3.6626777595667181E-2</v>
      </c>
      <c r="J26" s="93">
        <f>IF(TrAvia_ene!J8=0,0,TrAvia_ene!J8/(J14*TrAvia_act!J16))</f>
        <v>3.8879798956286606E-2</v>
      </c>
      <c r="K26" s="93">
        <f>IF(TrAvia_ene!K8=0,0,TrAvia_ene!K8/(K14*TrAvia_act!K16))</f>
        <v>4.0397392911045028E-2</v>
      </c>
      <c r="L26" s="93">
        <f>IF(TrAvia_ene!L8=0,0,TrAvia_ene!L8/(L14*TrAvia_act!L16))</f>
        <v>3.9493946976424478E-2</v>
      </c>
      <c r="M26" s="93">
        <f>IF(TrAvia_ene!M8=0,0,TrAvia_ene!M8/(M14*TrAvia_act!M16))</f>
        <v>4.2124148671246205E-2</v>
      </c>
      <c r="N26" s="93">
        <f>IF(TrAvia_ene!N8=0,0,TrAvia_ene!N8/(N14*TrAvia_act!N16))</f>
        <v>4.4875258119011059E-2</v>
      </c>
      <c r="O26" s="93">
        <f>IF(TrAvia_ene!O8=0,0,TrAvia_ene!O8/(O14*TrAvia_act!O16))</f>
        <v>4.4780831063949041E-2</v>
      </c>
      <c r="P26" s="93">
        <f>IF(TrAvia_ene!P8=0,0,TrAvia_ene!P8/(P14*TrAvia_act!P16))</f>
        <v>3.9274345009324661E-2</v>
      </c>
      <c r="Q26" s="93">
        <f>IF(TrAvia_ene!Q8=0,0,TrAvia_ene!Q8/(Q14*TrAvia_act!Q16))</f>
        <v>3.5628351312744777E-2</v>
      </c>
      <c r="R26" s="93">
        <f>IF(TrAvia_ene!R8=0,0,TrAvia_ene!R8/(R14*TrAvia_act!R16))</f>
        <v>4.1591402400170396E-2</v>
      </c>
      <c r="S26" s="93">
        <f>IF(TrAvia_ene!S8=0,0,TrAvia_ene!S8/(S14*TrAvia_act!S16))</f>
        <v>4.2388048786955436E-2</v>
      </c>
      <c r="T26" s="93">
        <f>IF(TrAvia_ene!T8=0,0,TrAvia_ene!T8/(T14*TrAvia_act!T16))</f>
        <v>3.9558725512278792E-2</v>
      </c>
      <c r="U26" s="93">
        <f>IF(TrAvia_ene!U8=0,0,TrAvia_ene!U8/(U14*TrAvia_act!U16))</f>
        <v>3.6860389041296147E-2</v>
      </c>
      <c r="V26" s="93">
        <f>IF(TrAvia_ene!V8=0,0,TrAvia_ene!V8/(V14*TrAvia_act!V16))</f>
        <v>3.0771634139679739E-2</v>
      </c>
      <c r="W26" s="93">
        <f>IF(TrAvia_ene!W8=0,0,TrAvia_ene!W8/(W14*TrAvia_act!W16))</f>
        <v>2.8752546447209787E-2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1.7791243863879584E-2</v>
      </c>
      <c r="C27" s="94">
        <f>IF(TrAvia_ene!C9=0,0,TrAvia_ene!C9/(C15*TrAvia_act!C17))</f>
        <v>1.7454577581049527E-2</v>
      </c>
      <c r="D27" s="94">
        <f>IF(TrAvia_ene!D9=0,0,TrAvia_ene!D9/(D15*TrAvia_act!D17))</f>
        <v>1.7180160522253258E-2</v>
      </c>
      <c r="E27" s="94">
        <f>IF(TrAvia_ene!E9=0,0,TrAvia_ene!E9/(E15*TrAvia_act!E17))</f>
        <v>1.6954338776457741E-2</v>
      </c>
      <c r="F27" s="94">
        <f>IF(TrAvia_ene!F9=0,0,TrAvia_ene!F9/(F15*TrAvia_act!F17))</f>
        <v>1.6776224873387414E-2</v>
      </c>
      <c r="G27" s="94">
        <f>IF(TrAvia_ene!G9=0,0,TrAvia_ene!G9/(G15*TrAvia_act!G17))</f>
        <v>9.4055873585317529E-3</v>
      </c>
      <c r="H27" s="94">
        <f>IF(TrAvia_ene!H9=0,0,TrAvia_ene!H9/(H15*TrAvia_act!H17))</f>
        <v>7.5378907674674553E-3</v>
      </c>
      <c r="I27" s="94">
        <f>IF(TrAvia_ene!I9=0,0,TrAvia_ene!I9/(I15*TrAvia_act!I17))</f>
        <v>6.7815852969767641E-3</v>
      </c>
      <c r="J27" s="94">
        <f>IF(TrAvia_ene!J9=0,0,TrAvia_ene!J9/(J15*TrAvia_act!J17))</f>
        <v>7.1295698404520514E-3</v>
      </c>
      <c r="K27" s="94">
        <f>IF(TrAvia_ene!K9=0,0,TrAvia_ene!K9/(K15*TrAvia_act!K17))</f>
        <v>9.6465739662755477E-3</v>
      </c>
      <c r="L27" s="94">
        <f>IF(TrAvia_ene!L9=0,0,TrAvia_ene!L9/(L15*TrAvia_act!L17))</f>
        <v>9.4630756237538798E-3</v>
      </c>
      <c r="M27" s="94">
        <f>IF(TrAvia_ene!M9=0,0,TrAvia_ene!M9/(M15*TrAvia_act!M17))</f>
        <v>9.6576735463883966E-3</v>
      </c>
      <c r="N27" s="94">
        <f>IF(TrAvia_ene!N9=0,0,TrAvia_ene!N9/(N15*TrAvia_act!N17))</f>
        <v>1.1229846677137507E-2</v>
      </c>
      <c r="O27" s="94">
        <f>IF(TrAvia_ene!O9=0,0,TrAvia_ene!O9/(O15*TrAvia_act!O17))</f>
        <v>1.0357912408059087E-2</v>
      </c>
      <c r="P27" s="94">
        <f>IF(TrAvia_ene!P9=0,0,TrAvia_ene!P9/(P15*TrAvia_act!P17))</f>
        <v>1.0312725741006968E-2</v>
      </c>
      <c r="Q27" s="94">
        <f>IF(TrAvia_ene!Q9=0,0,TrAvia_ene!Q9/(Q15*TrAvia_act!Q17))</f>
        <v>1.0594787229729377E-2</v>
      </c>
      <c r="R27" s="94">
        <f>IF(TrAvia_ene!R9=0,0,TrAvia_ene!R9/(R15*TrAvia_act!R17))</f>
        <v>1.1091898737785899E-2</v>
      </c>
      <c r="S27" s="94">
        <f>IF(TrAvia_ene!S9=0,0,TrAvia_ene!S9/(S15*TrAvia_act!S17))</f>
        <v>1.0243330635942207E-2</v>
      </c>
      <c r="T27" s="94">
        <f>IF(TrAvia_ene!T9=0,0,TrAvia_ene!T9/(T15*TrAvia_act!T17))</f>
        <v>8.7409318714719766E-3</v>
      </c>
      <c r="U27" s="94">
        <f>IF(TrAvia_ene!U9=0,0,TrAvia_ene!U9/(U15*TrAvia_act!U17))</f>
        <v>7.7148290011966264E-3</v>
      </c>
      <c r="V27" s="94">
        <f>IF(TrAvia_ene!V9=0,0,TrAvia_ene!V9/(V15*TrAvia_act!V17))</f>
        <v>1.7818391983132315E-2</v>
      </c>
      <c r="W27" s="94">
        <f>IF(TrAvia_ene!W9=0,0,TrAvia_ene!W9/(W15*TrAvia_act!W17))</f>
        <v>1.0850465996058753E-2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6.3339999999999996</v>
      </c>
      <c r="J3" s="54">
        <f t="shared" si="0"/>
        <v>7.89</v>
      </c>
      <c r="K3" s="54">
        <f t="shared" si="0"/>
        <v>13.057</v>
      </c>
      <c r="L3" s="54">
        <f t="shared" si="0"/>
        <v>8.6120000000000001</v>
      </c>
      <c r="M3" s="54">
        <f t="shared" si="0"/>
        <v>10.279</v>
      </c>
      <c r="N3" s="54">
        <f t="shared" si="0"/>
        <v>12.779</v>
      </c>
      <c r="O3" s="54">
        <f t="shared" si="0"/>
        <v>22.446000000000002</v>
      </c>
      <c r="P3" s="54">
        <f t="shared" si="0"/>
        <v>8.1120000000000001</v>
      </c>
      <c r="Q3" s="54">
        <f t="shared" si="0"/>
        <v>7.3339999999999996</v>
      </c>
      <c r="R3" s="54">
        <f t="shared" ref="R3:V3" si="1">SUM(R4:R5)</f>
        <v>14.89</v>
      </c>
      <c r="S3" s="54">
        <f t="shared" si="1"/>
        <v>18.113</v>
      </c>
      <c r="T3" s="54">
        <f t="shared" si="1"/>
        <v>7.1120000000000001</v>
      </c>
      <c r="U3" s="54">
        <f t="shared" si="1"/>
        <v>4.0670000000000002</v>
      </c>
      <c r="V3" s="54">
        <f t="shared" si="1"/>
        <v>2</v>
      </c>
      <c r="W3" s="54">
        <f t="shared" ref="W3" si="2">SUM(W4:W5)</f>
        <v>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6.3339999999999996</v>
      </c>
      <c r="J4" s="56">
        <v>7.89</v>
      </c>
      <c r="K4" s="56">
        <v>13.057</v>
      </c>
      <c r="L4" s="56">
        <v>8.6120000000000001</v>
      </c>
      <c r="M4" s="56">
        <v>10.279</v>
      </c>
      <c r="N4" s="56">
        <v>12.779</v>
      </c>
      <c r="O4" s="56">
        <v>22.446000000000002</v>
      </c>
      <c r="P4" s="56">
        <v>8.1120000000000001</v>
      </c>
      <c r="Q4" s="56">
        <v>7.3339999999999996</v>
      </c>
      <c r="R4" s="56">
        <v>14.89</v>
      </c>
      <c r="S4" s="56">
        <v>18.113</v>
      </c>
      <c r="T4" s="56">
        <v>7.1120000000000001</v>
      </c>
      <c r="U4" s="56">
        <v>4.0670000000000002</v>
      </c>
      <c r="V4" s="56">
        <v>2</v>
      </c>
      <c r="W4" s="56">
        <v>2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0</v>
      </c>
      <c r="H7" s="59">
        <f t="shared" si="3"/>
        <v>0</v>
      </c>
      <c r="I7" s="59">
        <f t="shared" si="3"/>
        <v>4.0000000000000001E-3</v>
      </c>
      <c r="J7" s="59">
        <f t="shared" si="3"/>
        <v>8.0000000000000002E-3</v>
      </c>
      <c r="K7" s="59">
        <f t="shared" si="3"/>
        <v>0.01</v>
      </c>
      <c r="L7" s="59">
        <f t="shared" si="3"/>
        <v>8.0000000000000002E-3</v>
      </c>
      <c r="M7" s="59">
        <f t="shared" si="3"/>
        <v>8.0000000000000002E-3</v>
      </c>
      <c r="N7" s="59">
        <f t="shared" si="3"/>
        <v>0.01</v>
      </c>
      <c r="O7" s="59">
        <f t="shared" si="3"/>
        <v>1.9E-2</v>
      </c>
      <c r="P7" s="59">
        <f t="shared" si="3"/>
        <v>6.0000000000000001E-3</v>
      </c>
      <c r="Q7" s="59">
        <f t="shared" si="3"/>
        <v>6.0000000000000001E-3</v>
      </c>
      <c r="R7" s="59">
        <f t="shared" ref="R7:V7" si="4">SUM(R8:R9)</f>
        <v>1.4999999999999999E-2</v>
      </c>
      <c r="S7" s="59">
        <f t="shared" si="4"/>
        <v>1.9E-2</v>
      </c>
      <c r="T7" s="59">
        <f t="shared" si="4"/>
        <v>4.0000000000000001E-3</v>
      </c>
      <c r="U7" s="59">
        <f t="shared" si="4"/>
        <v>3.0000000000000001E-3</v>
      </c>
      <c r="V7" s="59">
        <f t="shared" si="4"/>
        <v>1E-3</v>
      </c>
      <c r="W7" s="59">
        <f t="shared" ref="W7" si="5">SUM(W8:W9)</f>
        <v>1E-3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4.0000000000000001E-3</v>
      </c>
      <c r="J8" s="60">
        <v>8.0000000000000002E-3</v>
      </c>
      <c r="K8" s="60">
        <v>0.01</v>
      </c>
      <c r="L8" s="60">
        <v>8.0000000000000002E-3</v>
      </c>
      <c r="M8" s="60">
        <v>8.0000000000000002E-3</v>
      </c>
      <c r="N8" s="60">
        <v>0.01</v>
      </c>
      <c r="O8" s="60">
        <v>1.9E-2</v>
      </c>
      <c r="P8" s="60">
        <v>6.0000000000000001E-3</v>
      </c>
      <c r="Q8" s="60">
        <v>6.0000000000000001E-3</v>
      </c>
      <c r="R8" s="60">
        <v>1.4999999999999999E-2</v>
      </c>
      <c r="S8" s="60">
        <v>1.9E-2</v>
      </c>
      <c r="T8" s="60">
        <v>4.0000000000000001E-3</v>
      </c>
      <c r="U8" s="60">
        <v>3.0000000000000001E-3</v>
      </c>
      <c r="V8" s="60">
        <v>1E-3</v>
      </c>
      <c r="W8" s="60">
        <v>1E-3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0</v>
      </c>
      <c r="C13" s="62">
        <f t="shared" si="6"/>
        <v>0</v>
      </c>
      <c r="D13" s="62">
        <f t="shared" si="6"/>
        <v>0</v>
      </c>
      <c r="E13" s="62">
        <f t="shared" si="6"/>
        <v>0</v>
      </c>
      <c r="F13" s="62">
        <f t="shared" ref="F13:V13" si="7">IF(F3=0,0,F3/F7)</f>
        <v>0</v>
      </c>
      <c r="G13" s="62">
        <f t="shared" si="7"/>
        <v>0</v>
      </c>
      <c r="H13" s="62">
        <f t="shared" si="7"/>
        <v>0</v>
      </c>
      <c r="I13" s="62">
        <f t="shared" si="7"/>
        <v>1583.4999999999998</v>
      </c>
      <c r="J13" s="62">
        <f t="shared" si="7"/>
        <v>986.24999999999989</v>
      </c>
      <c r="K13" s="62">
        <f t="shared" si="7"/>
        <v>1305.7</v>
      </c>
      <c r="L13" s="62">
        <f t="shared" si="7"/>
        <v>1076.5</v>
      </c>
      <c r="M13" s="62">
        <f t="shared" si="7"/>
        <v>1284.875</v>
      </c>
      <c r="N13" s="62">
        <f t="shared" si="7"/>
        <v>1277.8999999999999</v>
      </c>
      <c r="O13" s="62">
        <f t="shared" si="7"/>
        <v>1181.3684210526317</v>
      </c>
      <c r="P13" s="62">
        <f t="shared" si="7"/>
        <v>1352</v>
      </c>
      <c r="Q13" s="62">
        <f t="shared" si="7"/>
        <v>1222.3333333333333</v>
      </c>
      <c r="R13" s="62">
        <f t="shared" si="7"/>
        <v>992.66666666666674</v>
      </c>
      <c r="S13" s="62">
        <f t="shared" si="7"/>
        <v>953.31578947368416</v>
      </c>
      <c r="T13" s="62">
        <f t="shared" si="7"/>
        <v>1778</v>
      </c>
      <c r="U13" s="62">
        <f t="shared" si="7"/>
        <v>1355.6666666666667</v>
      </c>
      <c r="V13" s="62">
        <f t="shared" si="7"/>
        <v>2000</v>
      </c>
      <c r="W13" s="62">
        <f t="shared" ref="W13" si="8">IF(W3=0,0,W3/W7)</f>
        <v>2000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1583.4999999999998</v>
      </c>
      <c r="J14" s="63">
        <f t="shared" si="9"/>
        <v>986.24999999999989</v>
      </c>
      <c r="K14" s="63">
        <f t="shared" si="9"/>
        <v>1305.7</v>
      </c>
      <c r="L14" s="63">
        <f t="shared" si="9"/>
        <v>1076.5</v>
      </c>
      <c r="M14" s="63">
        <f t="shared" si="9"/>
        <v>1284.875</v>
      </c>
      <c r="N14" s="63">
        <f t="shared" si="9"/>
        <v>1277.8999999999999</v>
      </c>
      <c r="O14" s="63">
        <f t="shared" si="9"/>
        <v>1181.3684210526317</v>
      </c>
      <c r="P14" s="63">
        <f t="shared" si="9"/>
        <v>1352</v>
      </c>
      <c r="Q14" s="63">
        <f t="shared" si="9"/>
        <v>1222.3333333333333</v>
      </c>
      <c r="R14" s="63">
        <f t="shared" si="9"/>
        <v>992.66666666666674</v>
      </c>
      <c r="S14" s="63">
        <f t="shared" si="9"/>
        <v>953.31578947368416</v>
      </c>
      <c r="T14" s="63">
        <f t="shared" si="9"/>
        <v>1778</v>
      </c>
      <c r="U14" s="63">
        <f t="shared" si="9"/>
        <v>1355.6666666666667</v>
      </c>
      <c r="V14" s="63">
        <f t="shared" si="9"/>
        <v>2000</v>
      </c>
      <c r="W14" s="63">
        <f t="shared" ref="W14" si="10">IF(W4=0,0,W4/W8)</f>
        <v>2000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0</v>
      </c>
      <c r="C17" s="65">
        <f t="shared" si="13"/>
        <v>0</v>
      </c>
      <c r="D17" s="65">
        <f t="shared" si="13"/>
        <v>0</v>
      </c>
      <c r="E17" s="65">
        <f t="shared" si="13"/>
        <v>0</v>
      </c>
      <c r="F17" s="65">
        <f t="shared" ref="F17:V17" si="14">IF(F3=0,0,F3/F$3)</f>
        <v>0</v>
      </c>
      <c r="G17" s="65">
        <f t="shared" si="14"/>
        <v>0</v>
      </c>
      <c r="H17" s="65">
        <f t="shared" si="14"/>
        <v>0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0</v>
      </c>
      <c r="C21" s="65">
        <f t="shared" si="22"/>
        <v>0</v>
      </c>
      <c r="D21" s="65">
        <f t="shared" si="22"/>
        <v>0</v>
      </c>
      <c r="E21" s="65">
        <f t="shared" si="22"/>
        <v>0</v>
      </c>
      <c r="F21" s="65">
        <f t="shared" ref="F21:V21" si="23">IF(F7=0,0,F7/F$7)</f>
        <v>0</v>
      </c>
      <c r="G21" s="65">
        <f t="shared" si="23"/>
        <v>0</v>
      </c>
      <c r="H21" s="65">
        <f t="shared" si="23"/>
        <v>0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0</v>
      </c>
      <c r="C3" s="62">
        <f t="shared" ref="C3:V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1.01487532244196</v>
      </c>
      <c r="J3" s="62">
        <f t="shared" si="0"/>
        <v>2.0297506448839209</v>
      </c>
      <c r="K3" s="62">
        <f t="shared" si="0"/>
        <v>4.0594153052450546</v>
      </c>
      <c r="L3" s="62">
        <f t="shared" si="0"/>
        <v>5.0742906276870174</v>
      </c>
      <c r="M3" s="62">
        <f t="shared" si="0"/>
        <v>5.0742906276870174</v>
      </c>
      <c r="N3" s="62">
        <f t="shared" si="0"/>
        <v>4.0594153052450546</v>
      </c>
      <c r="O3" s="62">
        <f t="shared" si="0"/>
        <v>8.1188306104901109</v>
      </c>
      <c r="P3" s="62">
        <f t="shared" si="0"/>
        <v>4.0594153052450546</v>
      </c>
      <c r="Q3" s="62">
        <f t="shared" si="0"/>
        <v>3.0445399828030948</v>
      </c>
      <c r="R3" s="62">
        <f t="shared" si="0"/>
        <v>4.0594153052450546</v>
      </c>
      <c r="S3" s="62">
        <f t="shared" si="0"/>
        <v>4.6037833190025799</v>
      </c>
      <c r="T3" s="62">
        <f t="shared" si="0"/>
        <v>5.4575236457437661</v>
      </c>
      <c r="U3" s="62">
        <f t="shared" si="0"/>
        <v>1.730352536543422</v>
      </c>
      <c r="V3" s="62">
        <f t="shared" si="0"/>
        <v>2.3674118658641441</v>
      </c>
      <c r="W3" s="62">
        <f t="shared" ref="W3" si="1">SUM(W4,W10)</f>
        <v>2.5564918314703355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1.01487532244196</v>
      </c>
      <c r="J4" s="71">
        <f t="shared" si="2"/>
        <v>2.0297506448839209</v>
      </c>
      <c r="K4" s="71">
        <f t="shared" si="2"/>
        <v>4.0594153052450546</v>
      </c>
      <c r="L4" s="71">
        <f t="shared" si="2"/>
        <v>5.0742906276870174</v>
      </c>
      <c r="M4" s="71">
        <f t="shared" si="2"/>
        <v>5.0742906276870174</v>
      </c>
      <c r="N4" s="71">
        <f t="shared" si="2"/>
        <v>4.0594153052450546</v>
      </c>
      <c r="O4" s="71">
        <f t="shared" si="2"/>
        <v>8.1188306104901109</v>
      </c>
      <c r="P4" s="71">
        <f t="shared" si="2"/>
        <v>4.0594153052450546</v>
      </c>
      <c r="Q4" s="71">
        <f t="shared" si="2"/>
        <v>3.0445399828030948</v>
      </c>
      <c r="R4" s="71">
        <f t="shared" si="2"/>
        <v>4.0594153052450546</v>
      </c>
      <c r="S4" s="71">
        <f t="shared" si="2"/>
        <v>4.6037833190025799</v>
      </c>
      <c r="T4" s="71">
        <f t="shared" si="2"/>
        <v>5.4575236457437661</v>
      </c>
      <c r="U4" s="71">
        <f t="shared" si="2"/>
        <v>1.730352536543422</v>
      </c>
      <c r="V4" s="71">
        <f t="shared" si="2"/>
        <v>2.3674118658641441</v>
      </c>
      <c r="W4" s="71">
        <f t="shared" ref="W4" si="3">SUM(W5:W9)</f>
        <v>2.5564918314703355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1.01487532244196</v>
      </c>
      <c r="J5" s="73">
        <v>2.0297506448839209</v>
      </c>
      <c r="K5" s="73">
        <v>4.0594153052450546</v>
      </c>
      <c r="L5" s="73">
        <v>5.0742906276870174</v>
      </c>
      <c r="M5" s="73">
        <v>5.0742906276870174</v>
      </c>
      <c r="N5" s="73">
        <v>4.0594153052450546</v>
      </c>
      <c r="O5" s="73">
        <v>8.1188306104901109</v>
      </c>
      <c r="P5" s="73">
        <v>4.0594153052450546</v>
      </c>
      <c r="Q5" s="73">
        <v>3.0445399828030948</v>
      </c>
      <c r="R5" s="73">
        <v>4.0594153052450546</v>
      </c>
      <c r="S5" s="73">
        <v>4.4724849527085127</v>
      </c>
      <c r="T5" s="73">
        <v>5.3797936371453137</v>
      </c>
      <c r="U5" s="73">
        <v>1.638950988822012</v>
      </c>
      <c r="V5" s="73">
        <v>2.2550300945829749</v>
      </c>
      <c r="W5" s="73">
        <v>2.3433361994840931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0.13129836629406721</v>
      </c>
      <c r="T6" s="73">
        <v>7.7730008598452471E-2</v>
      </c>
      <c r="U6" s="73">
        <v>9.140154772141007E-2</v>
      </c>
      <c r="V6" s="73">
        <v>0.11238177128116922</v>
      </c>
      <c r="W6" s="73">
        <v>0.21315563198624243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0</v>
      </c>
      <c r="C19" s="62">
        <f>IF(C3=0,0,C3/TrNavi_act!C7*100)</f>
        <v>0</v>
      </c>
      <c r="D19" s="62">
        <f>IF(D3=0,0,D3/TrNavi_act!D7*100)</f>
        <v>0</v>
      </c>
      <c r="E19" s="62">
        <f>IF(E3=0,0,E3/TrNavi_act!E7*100)</f>
        <v>0</v>
      </c>
      <c r="F19" s="62">
        <f>IF(F3=0,0,F3/TrNavi_act!F7*100)</f>
        <v>0</v>
      </c>
      <c r="G19" s="62">
        <f>IF(G3=0,0,G3/TrNavi_act!G7*100)</f>
        <v>0</v>
      </c>
      <c r="H19" s="62">
        <f>IF(H3=0,0,H3/TrNavi_act!H7*100)</f>
        <v>0</v>
      </c>
      <c r="I19" s="62">
        <f>IF(I3=0,0,I3/TrNavi_act!I7*100)</f>
        <v>25371.883061049</v>
      </c>
      <c r="J19" s="62">
        <f>IF(J3=0,0,J3/TrNavi_act!J7*100)</f>
        <v>25371.883061049011</v>
      </c>
      <c r="K19" s="62">
        <f>IF(K3=0,0,K3/TrNavi_act!K7*100)</f>
        <v>40594.153052450543</v>
      </c>
      <c r="L19" s="62">
        <f>IF(L3=0,0,L3/TrNavi_act!L7*100)</f>
        <v>63428.632846087712</v>
      </c>
      <c r="M19" s="62">
        <f>IF(M3=0,0,M3/TrNavi_act!M7*100)</f>
        <v>63428.632846087712</v>
      </c>
      <c r="N19" s="62">
        <f>IF(N3=0,0,N3/TrNavi_act!N7*100)</f>
        <v>40594.153052450543</v>
      </c>
      <c r="O19" s="62">
        <f>IF(O3=0,0,O3/TrNavi_act!O7*100)</f>
        <v>42730.68742363216</v>
      </c>
      <c r="P19" s="62">
        <f>IF(P3=0,0,P3/TrNavi_act!P7*100)</f>
        <v>67656.921754084236</v>
      </c>
      <c r="Q19" s="62">
        <f>IF(Q3=0,0,Q3/TrNavi_act!Q7*100)</f>
        <v>50742.333046718246</v>
      </c>
      <c r="R19" s="62">
        <f>IF(R3=0,0,R3/TrNavi_act!R7*100)</f>
        <v>27062.7687016337</v>
      </c>
      <c r="S19" s="62">
        <f>IF(S3=0,0,S3/TrNavi_act!S7*100)</f>
        <v>24230.438521066211</v>
      </c>
      <c r="T19" s="62">
        <f>IF(T3=0,0,T3/TrNavi_act!T7*100)</f>
        <v>136438.09114359415</v>
      </c>
      <c r="U19" s="62">
        <f>IF(U3=0,0,U3/TrNavi_act!U7*100)</f>
        <v>57678.417884780734</v>
      </c>
      <c r="V19" s="62">
        <f>IF(V3=0,0,V3/TrNavi_act!V7*100)</f>
        <v>236741.18658641441</v>
      </c>
      <c r="W19" s="62">
        <f>IF(W3=0,0,W3/TrNavi_act!W7*100)</f>
        <v>255649.18314703356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25371.883061049</v>
      </c>
      <c r="J20" s="63">
        <f>IF(J4=0,0,J4/TrNavi_act!J8*100)</f>
        <v>25371.883061049011</v>
      </c>
      <c r="K20" s="63">
        <f>IF(K4=0,0,K4/TrNavi_act!K8*100)</f>
        <v>40594.153052450543</v>
      </c>
      <c r="L20" s="63">
        <f>IF(L4=0,0,L4/TrNavi_act!L8*100)</f>
        <v>63428.632846087712</v>
      </c>
      <c r="M20" s="63">
        <f>IF(M4=0,0,M4/TrNavi_act!M8*100)</f>
        <v>63428.632846087712</v>
      </c>
      <c r="N20" s="63">
        <f>IF(N4=0,0,N4/TrNavi_act!N8*100)</f>
        <v>40594.153052450543</v>
      </c>
      <c r="O20" s="63">
        <f>IF(O4=0,0,O4/TrNavi_act!O8*100)</f>
        <v>42730.68742363216</v>
      </c>
      <c r="P20" s="63">
        <f>IF(P4=0,0,P4/TrNavi_act!P8*100)</f>
        <v>67656.921754084236</v>
      </c>
      <c r="Q20" s="63">
        <f>IF(Q4=0,0,Q4/TrNavi_act!Q8*100)</f>
        <v>50742.333046718246</v>
      </c>
      <c r="R20" s="63">
        <f>IF(R4=0,0,R4/TrNavi_act!R8*100)</f>
        <v>27062.7687016337</v>
      </c>
      <c r="S20" s="63">
        <f>IF(S4=0,0,S4/TrNavi_act!S8*100)</f>
        <v>24230.438521066211</v>
      </c>
      <c r="T20" s="63">
        <f>IF(T4=0,0,T4/TrNavi_act!T8*100)</f>
        <v>136438.09114359415</v>
      </c>
      <c r="U20" s="63">
        <f>IF(U4=0,0,U4/TrNavi_act!U8*100)</f>
        <v>57678.417884780734</v>
      </c>
      <c r="V20" s="63">
        <f>IF(V4=0,0,V4/TrNavi_act!V8*100)</f>
        <v>236741.18658641441</v>
      </c>
      <c r="W20" s="63">
        <f>IF(W4=0,0,W4/TrNavi_act!W8*100)</f>
        <v>255649.18314703356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0</v>
      </c>
      <c r="C23" s="62">
        <f>IF(C3=0,0,C3/TrNavi_act!C3*1000)</f>
        <v>0</v>
      </c>
      <c r="D23" s="62">
        <f>IF(D3=0,0,D3/TrNavi_act!D3*1000)</f>
        <v>0</v>
      </c>
      <c r="E23" s="62">
        <f>IF(E3=0,0,E3/TrNavi_act!E3*1000)</f>
        <v>0</v>
      </c>
      <c r="F23" s="62">
        <f>IF(F3=0,0,F3/TrNavi_act!F3*1000)</f>
        <v>0</v>
      </c>
      <c r="G23" s="62">
        <f>IF(G3=0,0,G3/TrNavi_act!G3*1000)</f>
        <v>0</v>
      </c>
      <c r="H23" s="62">
        <f>IF(H3=0,0,H3/TrNavi_act!H3*1000)</f>
        <v>0</v>
      </c>
      <c r="I23" s="62">
        <f>IF(I3=0,0,I3/TrNavi_act!I3*1000)</f>
        <v>160.22660600599306</v>
      </c>
      <c r="J23" s="62">
        <f>IF(J3=0,0,J3/TrNavi_act!J3*1000)</f>
        <v>257.25610201317124</v>
      </c>
      <c r="K23" s="62">
        <f>IF(K3=0,0,K3/TrNavi_act!K3*1000)</f>
        <v>310.89954087807723</v>
      </c>
      <c r="L23" s="62">
        <f>IF(L3=0,0,L3/TrNavi_act!L3*1000)</f>
        <v>589.21163814294209</v>
      </c>
      <c r="M23" s="62">
        <f>IF(M3=0,0,M3/TrNavi_act!M3*1000)</f>
        <v>493.65605873013106</v>
      </c>
      <c r="N23" s="62">
        <f>IF(N3=0,0,N3/TrNavi_act!N3*1000)</f>
        <v>317.66298655959423</v>
      </c>
      <c r="O23" s="62">
        <f>IF(O3=0,0,O3/TrNavi_act!O3*1000)</f>
        <v>361.70500804108133</v>
      </c>
      <c r="P23" s="62">
        <f>IF(P3=0,0,P3/TrNavi_act!P3*1000)</f>
        <v>500.42101889115565</v>
      </c>
      <c r="Q23" s="62">
        <f>IF(Q3=0,0,Q3/TrNavi_act!Q3*1000)</f>
        <v>415.12680430912121</v>
      </c>
      <c r="R23" s="62">
        <f>IF(R3=0,0,R3/TrNavi_act!R3*1000)</f>
        <v>272.62695132606143</v>
      </c>
      <c r="S23" s="62">
        <f>IF(S3=0,0,S3/TrNavi_act!S3*1000)</f>
        <v>254.17011643585158</v>
      </c>
      <c r="T23" s="62">
        <f>IF(T3=0,0,T3/TrNavi_act!T3*1000)</f>
        <v>767.36834164001209</v>
      </c>
      <c r="U23" s="62">
        <f>IF(U3=0,0,U3/TrNavi_act!U3*1000)</f>
        <v>425.46165147367151</v>
      </c>
      <c r="V23" s="62">
        <f>IF(V3=0,0,V3/TrNavi_act!V3*1000)</f>
        <v>1183.7059329320721</v>
      </c>
      <c r="W23" s="62">
        <f>IF(W3=0,0,W3/TrNavi_act!W3*1000)</f>
        <v>1278.2459157351677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160.22660600599306</v>
      </c>
      <c r="J24" s="63">
        <f>IF(J4=0,0,J4/TrNavi_act!J4*1000)</f>
        <v>257.25610201317124</v>
      </c>
      <c r="K24" s="63">
        <f>IF(K4=0,0,K4/TrNavi_act!K4*1000)</f>
        <v>310.89954087807723</v>
      </c>
      <c r="L24" s="63">
        <f>IF(L4=0,0,L4/TrNavi_act!L4*1000)</f>
        <v>589.21163814294209</v>
      </c>
      <c r="M24" s="63">
        <f>IF(M4=0,0,M4/TrNavi_act!M4*1000)</f>
        <v>493.65605873013106</v>
      </c>
      <c r="N24" s="63">
        <f>IF(N4=0,0,N4/TrNavi_act!N4*1000)</f>
        <v>317.66298655959423</v>
      </c>
      <c r="O24" s="63">
        <f>IF(O4=0,0,O4/TrNavi_act!O4*1000)</f>
        <v>361.70500804108133</v>
      </c>
      <c r="P24" s="63">
        <f>IF(P4=0,0,P4/TrNavi_act!P4*1000)</f>
        <v>500.42101889115565</v>
      </c>
      <c r="Q24" s="63">
        <f>IF(Q4=0,0,Q4/TrNavi_act!Q4*1000)</f>
        <v>415.12680430912121</v>
      </c>
      <c r="R24" s="63">
        <f>IF(R4=0,0,R4/TrNavi_act!R4*1000)</f>
        <v>272.62695132606143</v>
      </c>
      <c r="S24" s="63">
        <f>IF(S4=0,0,S4/TrNavi_act!S4*1000)</f>
        <v>254.17011643585158</v>
      </c>
      <c r="T24" s="63">
        <f>IF(T4=0,0,T4/TrNavi_act!T4*1000)</f>
        <v>767.36834164001209</v>
      </c>
      <c r="U24" s="63">
        <f>IF(U4=0,0,U4/TrNavi_act!U4*1000)</f>
        <v>425.46165147367151</v>
      </c>
      <c r="V24" s="63">
        <f>IF(V4=0,0,V4/TrNavi_act!V4*1000)</f>
        <v>1183.7059329320721</v>
      </c>
      <c r="W24" s="63">
        <f>IF(W4=0,0,W4/TrNavi_act!W4*1000)</f>
        <v>1278.2459157351677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0</v>
      </c>
      <c r="C27" s="76">
        <f t="shared" si="6"/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0</v>
      </c>
      <c r="H27" s="76">
        <f t="shared" si="6"/>
        <v>0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0</v>
      </c>
      <c r="C3" s="54">
        <f t="shared" ref="C3:V3" si="1">SUM(C4:C5)</f>
        <v>0</v>
      </c>
      <c r="D3" s="54">
        <f t="shared" si="1"/>
        <v>0</v>
      </c>
      <c r="E3" s="54">
        <f t="shared" si="1"/>
        <v>0</v>
      </c>
      <c r="F3" s="54">
        <f t="shared" si="1"/>
        <v>0</v>
      </c>
      <c r="G3" s="54">
        <f t="shared" si="1"/>
        <v>0</v>
      </c>
      <c r="H3" s="54">
        <f t="shared" si="1"/>
        <v>0</v>
      </c>
      <c r="I3" s="54">
        <f t="shared" si="1"/>
        <v>3.1485682799999988</v>
      </c>
      <c r="J3" s="54">
        <f t="shared" si="1"/>
        <v>6.2971365600000002</v>
      </c>
      <c r="K3" s="54">
        <f t="shared" si="1"/>
        <v>12.594006359999996</v>
      </c>
      <c r="L3" s="54">
        <f t="shared" si="1"/>
        <v>15.742574640000004</v>
      </c>
      <c r="M3" s="54">
        <f t="shared" si="1"/>
        <v>15.742574640000004</v>
      </c>
      <c r="N3" s="54">
        <f t="shared" si="1"/>
        <v>12.594006359999996</v>
      </c>
      <c r="O3" s="54">
        <f t="shared" si="1"/>
        <v>25.18801272</v>
      </c>
      <c r="P3" s="54">
        <f t="shared" si="1"/>
        <v>12.594006359999996</v>
      </c>
      <c r="Q3" s="54">
        <f t="shared" si="1"/>
        <v>9.4454380799999988</v>
      </c>
      <c r="R3" s="54">
        <f t="shared" si="1"/>
        <v>12.594006359999996</v>
      </c>
      <c r="S3" s="54">
        <f t="shared" si="1"/>
        <v>14.256477360000002</v>
      </c>
      <c r="T3" s="54">
        <f t="shared" si="1"/>
        <v>16.915902840000001</v>
      </c>
      <c r="U3" s="54">
        <f t="shared" si="1"/>
        <v>5.3499096000000002</v>
      </c>
      <c r="V3" s="54">
        <f t="shared" si="1"/>
        <v>7.3221181199999998</v>
      </c>
      <c r="W3" s="54">
        <f t="shared" ref="W3" si="2">SUM(W4:W5)</f>
        <v>7.8884712000000015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3.1485682799999988</v>
      </c>
      <c r="J4" s="56">
        <v>6.2971365600000002</v>
      </c>
      <c r="K4" s="56">
        <v>12.594006359999996</v>
      </c>
      <c r="L4" s="56">
        <v>15.742574640000004</v>
      </c>
      <c r="M4" s="56">
        <v>15.742574640000004</v>
      </c>
      <c r="N4" s="56">
        <v>12.594006359999996</v>
      </c>
      <c r="O4" s="56">
        <v>25.18801272</v>
      </c>
      <c r="P4" s="56">
        <v>12.594006359999996</v>
      </c>
      <c r="Q4" s="56">
        <v>9.4454380799999988</v>
      </c>
      <c r="R4" s="56">
        <v>12.594006359999996</v>
      </c>
      <c r="S4" s="56">
        <v>14.256477360000002</v>
      </c>
      <c r="T4" s="56">
        <v>16.915902840000001</v>
      </c>
      <c r="U4" s="56">
        <v>5.3499096000000002</v>
      </c>
      <c r="V4" s="56">
        <v>7.3221181199999998</v>
      </c>
      <c r="W4" s="56">
        <v>7.8884712000000015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0</v>
      </c>
      <c r="C9" s="79">
        <f>IF(C3=0,0,C3/TrNavi_ene!C3)</f>
        <v>0</v>
      </c>
      <c r="D9" s="79">
        <f>IF(D3=0,0,D3/TrNavi_ene!D3)</f>
        <v>0</v>
      </c>
      <c r="E9" s="79">
        <f>IF(E3=0,0,E3/TrNavi_ene!E3)</f>
        <v>0</v>
      </c>
      <c r="F9" s="79">
        <f>IF(F3=0,0,F3/TrNavi_ene!F3)</f>
        <v>0</v>
      </c>
      <c r="G9" s="79">
        <f>IF(G3=0,0,G3/TrNavi_ene!G3)</f>
        <v>0</v>
      </c>
      <c r="H9" s="79">
        <f>IF(H3=0,0,H3/TrNavi_ene!H3)</f>
        <v>0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3.0966873052332748</v>
      </c>
      <c r="T9" s="79">
        <f>IF(T3=0,0,T3/TrNavi_ene!T3)</f>
        <v>3.0995564908257318</v>
      </c>
      <c r="U9" s="79">
        <f>IF(U3=0,0,U3/TrNavi_ene!U3)</f>
        <v>3.0918032522361365</v>
      </c>
      <c r="V9" s="79">
        <f>IF(V3=0,0,V3/TrNavi_ene!V3)</f>
        <v>3.092878863022555</v>
      </c>
      <c r="W9" s="79">
        <f>IF(W3=0,0,W3/TrNavi_ene!W3)</f>
        <v>3.0856625876496708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3.1024188000000001</v>
      </c>
      <c r="J10" s="80">
        <f>IF(J4=0,0,J4/TrNavi_ene!J4)</f>
        <v>3.1024188000000001</v>
      </c>
      <c r="K10" s="80">
        <f>IF(K4=0,0,K4/TrNavi_ene!K4)</f>
        <v>3.1024188000000001</v>
      </c>
      <c r="L10" s="80">
        <f>IF(L4=0,0,L4/TrNavi_ene!L4)</f>
        <v>3.1024188000000001</v>
      </c>
      <c r="M10" s="80">
        <f>IF(M4=0,0,M4/TrNavi_ene!M4)</f>
        <v>3.1024188000000001</v>
      </c>
      <c r="N10" s="80">
        <f>IF(N4=0,0,N4/TrNavi_ene!N4)</f>
        <v>3.1024188000000001</v>
      </c>
      <c r="O10" s="80">
        <f>IF(O4=0,0,O4/TrNavi_ene!O4)</f>
        <v>3.1024188000000001</v>
      </c>
      <c r="P10" s="80">
        <f>IF(P4=0,0,P4/TrNavi_ene!P4)</f>
        <v>3.1024188000000001</v>
      </c>
      <c r="Q10" s="80">
        <f>IF(Q4=0,0,Q4/TrNavi_ene!Q4)</f>
        <v>3.1024188000000001</v>
      </c>
      <c r="R10" s="80">
        <f>IF(R4=0,0,R4/TrNavi_ene!R4)</f>
        <v>3.1024188000000001</v>
      </c>
      <c r="S10" s="80">
        <f>IF(S4=0,0,S4/TrNavi_ene!S4)</f>
        <v>3.0966873052332748</v>
      </c>
      <c r="T10" s="80">
        <f>IF(T4=0,0,T4/TrNavi_ene!T4)</f>
        <v>3.0995564908257318</v>
      </c>
      <c r="U10" s="80">
        <f>IF(U4=0,0,U4/TrNavi_ene!U4)</f>
        <v>3.0918032522361365</v>
      </c>
      <c r="V10" s="80">
        <f>IF(V4=0,0,V4/TrNavi_ene!V4)</f>
        <v>3.092878863022555</v>
      </c>
      <c r="W10" s="80">
        <f>IF(W4=0,0,W4/TrNavi_ene!W4)</f>
        <v>3.0856625876496708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0</v>
      </c>
      <c r="C13" s="54">
        <f>IF(C3=0,0,C3/TrNavi_act!C7*1000)</f>
        <v>0</v>
      </c>
      <c r="D13" s="54">
        <f>IF(D3=0,0,D3/TrNavi_act!D7*1000)</f>
        <v>0</v>
      </c>
      <c r="E13" s="54">
        <f>IF(E3=0,0,E3/TrNavi_act!E7*1000)</f>
        <v>0</v>
      </c>
      <c r="F13" s="54">
        <f>IF(F3=0,0,F3/TrNavi_act!F7*1000)</f>
        <v>0</v>
      </c>
      <c r="G13" s="54">
        <f>IF(G3=0,0,G3/TrNavi_act!G7*1000)</f>
        <v>0</v>
      </c>
      <c r="H13" s="54">
        <f>IF(H3=0,0,H3/TrNavi_act!H7*1000)</f>
        <v>0</v>
      </c>
      <c r="I13" s="54">
        <f>IF(I3=0,0,I3/TrNavi_act!I7*1000)</f>
        <v>787142.0699999996</v>
      </c>
      <c r="J13" s="54">
        <f>IF(J3=0,0,J3/TrNavi_act!J7*1000)</f>
        <v>787142.07</v>
      </c>
      <c r="K13" s="54">
        <f>IF(K3=0,0,K3/TrNavi_act!K7*1000)</f>
        <v>1259400.6359999997</v>
      </c>
      <c r="L13" s="54">
        <f>IF(L3=0,0,L3/TrNavi_act!L7*1000)</f>
        <v>1967821.8300000005</v>
      </c>
      <c r="M13" s="54">
        <f>IF(M3=0,0,M3/TrNavi_act!M7*1000)</f>
        <v>1967821.8300000005</v>
      </c>
      <c r="N13" s="54">
        <f>IF(N3=0,0,N3/TrNavi_act!N7*1000)</f>
        <v>1259400.6359999997</v>
      </c>
      <c r="O13" s="54">
        <f>IF(O3=0,0,O3/TrNavi_act!O7*1000)</f>
        <v>1325684.8800000001</v>
      </c>
      <c r="P13" s="54">
        <f>IF(P3=0,0,P3/TrNavi_act!P7*1000)</f>
        <v>2099001.0599999991</v>
      </c>
      <c r="Q13" s="54">
        <f>IF(Q3=0,0,Q3/TrNavi_act!Q7*1000)</f>
        <v>1574239.6799999997</v>
      </c>
      <c r="R13" s="54">
        <f>IF(R3=0,0,R3/TrNavi_act!R7*1000)</f>
        <v>839600.42399999977</v>
      </c>
      <c r="S13" s="54">
        <f>IF(S3=0,0,S3/TrNavi_act!S7*1000)</f>
        <v>750340.91368421062</v>
      </c>
      <c r="T13" s="54">
        <f>IF(T3=0,0,T3/TrNavi_act!T7*1000)</f>
        <v>4228975.7100000009</v>
      </c>
      <c r="U13" s="54">
        <f>IF(U3=0,0,U3/TrNavi_act!U7*1000)</f>
        <v>1783303.2</v>
      </c>
      <c r="V13" s="54">
        <f>IF(V3=0,0,V3/TrNavi_act!V7*1000)</f>
        <v>7322118.1200000001</v>
      </c>
      <c r="W13" s="54">
        <f>IF(W3=0,0,W3/TrNavi_act!W7*1000)</f>
        <v>7888471.2000000011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787142.0699999996</v>
      </c>
      <c r="J14" s="56">
        <f>IF(J4=0,0,J4/TrNavi_act!J8*1000)</f>
        <v>787142.07</v>
      </c>
      <c r="K14" s="56">
        <f>IF(K4=0,0,K4/TrNavi_act!K8*1000)</f>
        <v>1259400.6359999997</v>
      </c>
      <c r="L14" s="56">
        <f>IF(L4=0,0,L4/TrNavi_act!L8*1000)</f>
        <v>1967821.8300000005</v>
      </c>
      <c r="M14" s="56">
        <f>IF(M4=0,0,M4/TrNavi_act!M8*1000)</f>
        <v>1967821.8300000005</v>
      </c>
      <c r="N14" s="56">
        <f>IF(N4=0,0,N4/TrNavi_act!N8*1000)</f>
        <v>1259400.6359999997</v>
      </c>
      <c r="O14" s="56">
        <f>IF(O4=0,0,O4/TrNavi_act!O8*1000)</f>
        <v>1325684.8800000001</v>
      </c>
      <c r="P14" s="56">
        <f>IF(P4=0,0,P4/TrNavi_act!P8*1000)</f>
        <v>2099001.0599999991</v>
      </c>
      <c r="Q14" s="56">
        <f>IF(Q4=0,0,Q4/TrNavi_act!Q8*1000)</f>
        <v>1574239.6799999997</v>
      </c>
      <c r="R14" s="56">
        <f>IF(R4=0,0,R4/TrNavi_act!R8*1000)</f>
        <v>839600.42399999977</v>
      </c>
      <c r="S14" s="56">
        <f>IF(S4=0,0,S4/TrNavi_act!S8*1000)</f>
        <v>750340.91368421062</v>
      </c>
      <c r="T14" s="56">
        <f>IF(T4=0,0,T4/TrNavi_act!T8*1000)</f>
        <v>4228975.7100000009</v>
      </c>
      <c r="U14" s="56">
        <f>IF(U4=0,0,U4/TrNavi_act!U8*1000)</f>
        <v>1783303.2</v>
      </c>
      <c r="V14" s="56">
        <f>IF(V4=0,0,V4/TrNavi_act!V8*1000)</f>
        <v>7322118.1200000001</v>
      </c>
      <c r="W14" s="56">
        <f>IF(W4=0,0,W4/TrNavi_act!W8*1000)</f>
        <v>7888471.2000000011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0</v>
      </c>
      <c r="C17" s="62">
        <f>IF(C3=0,0,C3/TrNavi_act!C3*1000)</f>
        <v>0</v>
      </c>
      <c r="D17" s="62">
        <f>IF(D3=0,0,D3/TrNavi_act!D3*1000)</f>
        <v>0</v>
      </c>
      <c r="E17" s="62">
        <f>IF(E3=0,0,E3/TrNavi_act!E3*1000)</f>
        <v>0</v>
      </c>
      <c r="F17" s="62">
        <f>IF(F3=0,0,F3/TrNavi_act!F3*1000)</f>
        <v>0</v>
      </c>
      <c r="G17" s="62">
        <f>IF(G3=0,0,G3/TrNavi_act!G3*1000)</f>
        <v>0</v>
      </c>
      <c r="H17" s="62">
        <f>IF(H3=0,0,H3/TrNavi_act!H3*1000)</f>
        <v>0</v>
      </c>
      <c r="I17" s="62">
        <f>IF(I3=0,0,I3/TrNavi_act!I3*1000)</f>
        <v>497.0900347331858</v>
      </c>
      <c r="J17" s="62">
        <f>IF(J3=0,0,J3/TrNavi_act!J3*1000)</f>
        <v>798.11616730038031</v>
      </c>
      <c r="K17" s="62">
        <f>IF(K3=0,0,K3/TrNavi_act!K3*1000)</f>
        <v>964.54058053151539</v>
      </c>
      <c r="L17" s="62">
        <f>IF(L3=0,0,L3/TrNavi_act!L3*1000)</f>
        <v>1827.9812633534607</v>
      </c>
      <c r="M17" s="62">
        <f>IF(M3=0,0,M3/TrNavi_act!M3*1000)</f>
        <v>1531.5278373382628</v>
      </c>
      <c r="N17" s="62">
        <f>IF(N3=0,0,N3/TrNavi_act!N3*1000)</f>
        <v>985.52362156663241</v>
      </c>
      <c r="O17" s="62">
        <f>IF(O3=0,0,O3/TrNavi_act!O3*1000)</f>
        <v>1122.160417000802</v>
      </c>
      <c r="P17" s="62">
        <f>IF(P3=0,0,P3/TrNavi_act!P3*1000)</f>
        <v>1552.5155769230764</v>
      </c>
      <c r="Q17" s="62">
        <f>IF(Q3=0,0,Q3/TrNavi_act!Q3*1000)</f>
        <v>1287.8972020725387</v>
      </c>
      <c r="R17" s="62">
        <f>IF(R3=0,0,R3/TrNavi_act!R3*1000)</f>
        <v>845.80297918065787</v>
      </c>
      <c r="S17" s="62">
        <f>IF(S3=0,0,S3/TrNavi_act!S3*1000)</f>
        <v>787.08537293656502</v>
      </c>
      <c r="T17" s="62">
        <f>IF(T3=0,0,T3/TrNavi_act!T3*1000)</f>
        <v>2378.5015241844771</v>
      </c>
      <c r="U17" s="62">
        <f>IF(U3=0,0,U3/TrNavi_act!U3*1000)</f>
        <v>1315.4437177280552</v>
      </c>
      <c r="V17" s="62">
        <f>IF(V3=0,0,V3/TrNavi_act!V3*1000)</f>
        <v>3661.05906</v>
      </c>
      <c r="W17" s="62">
        <f>IF(W3=0,0,W3/TrNavi_act!W3*1000)</f>
        <v>3944.2356000000009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497.0900347331858</v>
      </c>
      <c r="J18" s="63">
        <f>IF(J4=0,0,J4/TrNavi_act!J4*1000)</f>
        <v>798.11616730038031</v>
      </c>
      <c r="K18" s="63">
        <f>IF(K4=0,0,K4/TrNavi_act!K4*1000)</f>
        <v>964.54058053151539</v>
      </c>
      <c r="L18" s="63">
        <f>IF(L4=0,0,L4/TrNavi_act!L4*1000)</f>
        <v>1827.9812633534607</v>
      </c>
      <c r="M18" s="63">
        <f>IF(M4=0,0,M4/TrNavi_act!M4*1000)</f>
        <v>1531.5278373382628</v>
      </c>
      <c r="N18" s="63">
        <f>IF(N4=0,0,N4/TrNavi_act!N4*1000)</f>
        <v>985.52362156663241</v>
      </c>
      <c r="O18" s="63">
        <f>IF(O4=0,0,O4/TrNavi_act!O4*1000)</f>
        <v>1122.160417000802</v>
      </c>
      <c r="P18" s="63">
        <f>IF(P4=0,0,P4/TrNavi_act!P4*1000)</f>
        <v>1552.5155769230764</v>
      </c>
      <c r="Q18" s="63">
        <f>IF(Q4=0,0,Q4/TrNavi_act!Q4*1000)</f>
        <v>1287.8972020725387</v>
      </c>
      <c r="R18" s="63">
        <f>IF(R4=0,0,R4/TrNavi_act!R4*1000)</f>
        <v>845.80297918065787</v>
      </c>
      <c r="S18" s="63">
        <f>IF(S4=0,0,S4/TrNavi_act!S4*1000)</f>
        <v>787.08537293656502</v>
      </c>
      <c r="T18" s="63">
        <f>IF(T4=0,0,T4/TrNavi_act!T4*1000)</f>
        <v>2378.5015241844771</v>
      </c>
      <c r="U18" s="63">
        <f>IF(U4=0,0,U4/TrNavi_act!U4*1000)</f>
        <v>1315.4437177280552</v>
      </c>
      <c r="V18" s="63">
        <f>IF(V4=0,0,V4/TrNavi_act!V4*1000)</f>
        <v>3661.05906</v>
      </c>
      <c r="W18" s="63">
        <f>IF(W4=0,0,W4/TrNavi_act!W4*1000)</f>
        <v>3944.2356000000009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0</v>
      </c>
      <c r="H21" s="76">
        <f t="shared" si="3"/>
        <v>0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4288.4926020000003</v>
      </c>
      <c r="C3" s="54">
        <f t="shared" si="0"/>
        <v>101985.239049</v>
      </c>
      <c r="D3" s="54">
        <f t="shared" si="0"/>
        <v>107530.16257700001</v>
      </c>
      <c r="E3" s="54">
        <f t="shared" si="0"/>
        <v>98245.808151999983</v>
      </c>
      <c r="F3" s="54">
        <f t="shared" si="0"/>
        <v>105851.444636</v>
      </c>
      <c r="G3" s="54">
        <f t="shared" si="0"/>
        <v>119932.13797499999</v>
      </c>
      <c r="H3" s="54">
        <f t="shared" si="0"/>
        <v>100030.949353</v>
      </c>
      <c r="I3" s="54">
        <f t="shared" si="0"/>
        <v>112920.476115</v>
      </c>
      <c r="J3" s="54">
        <f t="shared" si="0"/>
        <v>110948.830952</v>
      </c>
      <c r="K3" s="54">
        <f t="shared" si="0"/>
        <v>101306.87721799999</v>
      </c>
      <c r="L3" s="54">
        <f t="shared" si="0"/>
        <v>107613.172827</v>
      </c>
      <c r="M3" s="54">
        <f t="shared" si="0"/>
        <v>126113.200302</v>
      </c>
      <c r="N3" s="54">
        <f t="shared" si="0"/>
        <v>131476.025872</v>
      </c>
      <c r="O3" s="54">
        <f t="shared" si="0"/>
        <v>119177.62246799999</v>
      </c>
      <c r="P3" s="54">
        <f t="shared" si="0"/>
        <v>134360.13784000001</v>
      </c>
      <c r="Q3" s="54">
        <f t="shared" si="0"/>
        <v>119544.43858399999</v>
      </c>
      <c r="R3" s="54">
        <f t="shared" ref="R3:W3" si="1">SUM(R4:R5)</f>
        <v>116257.69330399999</v>
      </c>
      <c r="S3" s="54">
        <f t="shared" si="1"/>
        <v>130098.42578800001</v>
      </c>
      <c r="T3" s="54">
        <f t="shared" si="1"/>
        <v>140941.916661</v>
      </c>
      <c r="U3" s="54">
        <f t="shared" si="1"/>
        <v>137193.993212</v>
      </c>
      <c r="V3" s="54">
        <f t="shared" si="1"/>
        <v>82908.205863999989</v>
      </c>
      <c r="W3" s="54">
        <f t="shared" si="1"/>
        <v>80526.92852999999</v>
      </c>
      <c r="DA3" s="172" t="s">
        <v>387</v>
      </c>
    </row>
    <row r="4" spans="1:105" ht="11.45" customHeight="1" x14ac:dyDescent="0.25">
      <c r="A4" s="55" t="s">
        <v>170</v>
      </c>
      <c r="B4" s="56">
        <v>1370.3728550000001</v>
      </c>
      <c r="C4" s="56">
        <v>32073.064358</v>
      </c>
      <c r="D4" s="56">
        <v>33822.950973999999</v>
      </c>
      <c r="E4" s="56">
        <v>30969.809658999999</v>
      </c>
      <c r="F4" s="56">
        <v>33351.603072999998</v>
      </c>
      <c r="G4" s="56">
        <v>33958.098384000004</v>
      </c>
      <c r="H4" s="56">
        <v>29580.380675999997</v>
      </c>
      <c r="I4" s="56">
        <v>33430.414885999999</v>
      </c>
      <c r="J4" s="56">
        <v>32232.671020999998</v>
      </c>
      <c r="K4" s="56">
        <v>30869.400887</v>
      </c>
      <c r="L4" s="56">
        <v>35418.536215</v>
      </c>
      <c r="M4" s="56">
        <v>37898.372835000002</v>
      </c>
      <c r="N4" s="56">
        <v>47455.024133999999</v>
      </c>
      <c r="O4" s="56">
        <v>47431.141374999999</v>
      </c>
      <c r="P4" s="56">
        <v>47906.953981999999</v>
      </c>
      <c r="Q4" s="56">
        <v>46130.405790999997</v>
      </c>
      <c r="R4" s="56">
        <v>43183.646614999998</v>
      </c>
      <c r="S4" s="56">
        <v>42537.938781999997</v>
      </c>
      <c r="T4" s="56">
        <v>40847.393658000001</v>
      </c>
      <c r="U4" s="56">
        <v>33178.974581000002</v>
      </c>
      <c r="V4" s="56">
        <v>19757.381932999997</v>
      </c>
      <c r="W4" s="56">
        <v>15998.466157999999</v>
      </c>
      <c r="DA4" s="181" t="s">
        <v>388</v>
      </c>
    </row>
    <row r="5" spans="1:105" ht="11.45" customHeight="1" x14ac:dyDescent="0.25">
      <c r="A5" s="57" t="s">
        <v>171</v>
      </c>
      <c r="B5" s="58">
        <v>2918.1197470000002</v>
      </c>
      <c r="C5" s="58">
        <v>69912.174690999993</v>
      </c>
      <c r="D5" s="58">
        <v>73707.211603000003</v>
      </c>
      <c r="E5" s="58">
        <v>67275.998492999992</v>
      </c>
      <c r="F5" s="58">
        <v>72499.841563000009</v>
      </c>
      <c r="G5" s="58">
        <v>85974.039590999993</v>
      </c>
      <c r="H5" s="58">
        <v>70450.568677000003</v>
      </c>
      <c r="I5" s="58">
        <v>79490.061228999999</v>
      </c>
      <c r="J5" s="58">
        <v>78716.159931000002</v>
      </c>
      <c r="K5" s="58">
        <v>70437.476330999998</v>
      </c>
      <c r="L5" s="58">
        <v>72194.636612000002</v>
      </c>
      <c r="M5" s="58">
        <v>88214.827466999996</v>
      </c>
      <c r="N5" s="58">
        <v>84021.001737999992</v>
      </c>
      <c r="O5" s="58">
        <v>71746.481092999995</v>
      </c>
      <c r="P5" s="58">
        <v>86453.183858000004</v>
      </c>
      <c r="Q5" s="58">
        <v>73414.032792999991</v>
      </c>
      <c r="R5" s="58">
        <v>73074.046688999995</v>
      </c>
      <c r="S5" s="58">
        <v>87560.48700600001</v>
      </c>
      <c r="T5" s="58">
        <v>100094.52300300001</v>
      </c>
      <c r="U5" s="58">
        <v>104015.018631</v>
      </c>
      <c r="V5" s="58">
        <v>63150.823930999999</v>
      </c>
      <c r="W5" s="58">
        <v>64528.462371999995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0.60769000000000006</v>
      </c>
      <c r="C7" s="59">
        <f t="shared" si="2"/>
        <v>14.098124</v>
      </c>
      <c r="D7" s="59">
        <f t="shared" si="2"/>
        <v>14.678795000000001</v>
      </c>
      <c r="E7" s="59">
        <f t="shared" si="2"/>
        <v>13.390488999999999</v>
      </c>
      <c r="F7" s="59">
        <f t="shared" si="2"/>
        <v>14.369594000000001</v>
      </c>
      <c r="G7" s="59">
        <f t="shared" si="2"/>
        <v>15.540617000000001</v>
      </c>
      <c r="H7" s="59">
        <f t="shared" si="2"/>
        <v>12.018711</v>
      </c>
      <c r="I7" s="59">
        <f t="shared" si="2"/>
        <v>12.907056000000001</v>
      </c>
      <c r="J7" s="59">
        <f t="shared" si="2"/>
        <v>12.522402</v>
      </c>
      <c r="K7" s="59">
        <f t="shared" si="2"/>
        <v>10.469156999999999</v>
      </c>
      <c r="L7" s="59">
        <f t="shared" si="2"/>
        <v>10.544164</v>
      </c>
      <c r="M7" s="59">
        <f t="shared" si="2"/>
        <v>11.211722999999999</v>
      </c>
      <c r="N7" s="59">
        <f t="shared" si="2"/>
        <v>12.447845999999998</v>
      </c>
      <c r="O7" s="59">
        <f t="shared" si="2"/>
        <v>11.458548999999998</v>
      </c>
      <c r="P7" s="59">
        <f t="shared" si="2"/>
        <v>11.453057999999999</v>
      </c>
      <c r="Q7" s="59">
        <f t="shared" si="2"/>
        <v>10.070126999999999</v>
      </c>
      <c r="R7" s="59">
        <f t="shared" si="2"/>
        <v>9.6857359999999986</v>
      </c>
      <c r="S7" s="59">
        <f t="shared" si="2"/>
        <v>10.059232000000002</v>
      </c>
      <c r="T7" s="59">
        <f t="shared" si="2"/>
        <v>10.543049</v>
      </c>
      <c r="U7" s="59">
        <f t="shared" si="2"/>
        <v>9.7053499999999993</v>
      </c>
      <c r="V7" s="59">
        <f t="shared" si="2"/>
        <v>6.3104669999999992</v>
      </c>
      <c r="W7" s="59">
        <f t="shared" si="2"/>
        <v>5.9826199999999998</v>
      </c>
      <c r="DA7" s="172" t="s">
        <v>961</v>
      </c>
    </row>
    <row r="8" spans="1:105" ht="11.45" customHeight="1" x14ac:dyDescent="0.25">
      <c r="A8" s="55" t="s">
        <v>170</v>
      </c>
      <c r="B8" s="60">
        <v>0.34217700000000001</v>
      </c>
      <c r="C8" s="60">
        <v>7.9039730000000006</v>
      </c>
      <c r="D8" s="60">
        <v>8.2055050000000005</v>
      </c>
      <c r="E8" s="60">
        <v>7.4542799999999998</v>
      </c>
      <c r="F8" s="60">
        <v>8.0187430000000006</v>
      </c>
      <c r="G8" s="60">
        <v>7.9444160000000004</v>
      </c>
      <c r="H8" s="60">
        <v>6.1377950000000006</v>
      </c>
      <c r="I8" s="60">
        <v>6.7644679999999999</v>
      </c>
      <c r="J8" s="60">
        <v>6.5882740000000002</v>
      </c>
      <c r="K8" s="60">
        <v>5.7124769999999998</v>
      </c>
      <c r="L8" s="60">
        <v>6.2391880000000004</v>
      </c>
      <c r="M8" s="60">
        <v>6.2018009999999997</v>
      </c>
      <c r="N8" s="60">
        <v>7.5296949999999994</v>
      </c>
      <c r="O8" s="60">
        <v>7.2379019999999992</v>
      </c>
      <c r="P8" s="60">
        <v>6.9828640000000002</v>
      </c>
      <c r="Q8" s="60">
        <v>6.4517489999999995</v>
      </c>
      <c r="R8" s="60">
        <v>6.1811349999999994</v>
      </c>
      <c r="S8" s="60">
        <v>6.1298020000000006</v>
      </c>
      <c r="T8" s="60">
        <v>6.0141710000000002</v>
      </c>
      <c r="U8" s="60">
        <v>5.0252030000000003</v>
      </c>
      <c r="V8" s="60">
        <v>3.0726329999999997</v>
      </c>
      <c r="W8" s="60">
        <v>2.7648419999999998</v>
      </c>
      <c r="DA8" s="181" t="s">
        <v>962</v>
      </c>
    </row>
    <row r="9" spans="1:105" ht="11.45" customHeight="1" x14ac:dyDescent="0.25">
      <c r="A9" s="57" t="s">
        <v>171</v>
      </c>
      <c r="B9" s="61">
        <v>0.265513</v>
      </c>
      <c r="C9" s="61">
        <v>6.1941509999999997</v>
      </c>
      <c r="D9" s="61">
        <v>6.4732900000000004</v>
      </c>
      <c r="E9" s="61">
        <v>5.9362089999999998</v>
      </c>
      <c r="F9" s="61">
        <v>6.3508510000000005</v>
      </c>
      <c r="G9" s="61">
        <v>7.5962010000000006</v>
      </c>
      <c r="H9" s="61">
        <v>5.880916</v>
      </c>
      <c r="I9" s="61">
        <v>6.1425879999999999</v>
      </c>
      <c r="J9" s="61">
        <v>5.9341280000000003</v>
      </c>
      <c r="K9" s="61">
        <v>4.7566799999999994</v>
      </c>
      <c r="L9" s="61">
        <v>4.3049759999999999</v>
      </c>
      <c r="M9" s="61">
        <v>5.0099219999999995</v>
      </c>
      <c r="N9" s="61">
        <v>4.9181509999999999</v>
      </c>
      <c r="O9" s="61">
        <v>4.2206469999999996</v>
      </c>
      <c r="P9" s="61">
        <v>4.4701939999999993</v>
      </c>
      <c r="Q9" s="61">
        <v>3.6183779999999999</v>
      </c>
      <c r="R9" s="61">
        <v>3.5046010000000001</v>
      </c>
      <c r="S9" s="61">
        <v>3.92943</v>
      </c>
      <c r="T9" s="61">
        <v>4.5288779999999997</v>
      </c>
      <c r="U9" s="61">
        <v>4.6801469999999998</v>
      </c>
      <c r="V9" s="61">
        <v>3.2378339999999999</v>
      </c>
      <c r="W9" s="61">
        <v>3.217778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7057.039941417499</v>
      </c>
      <c r="C13" s="62">
        <f t="shared" si="3"/>
        <v>7233.9581528010385</v>
      </c>
      <c r="D13" s="62">
        <f t="shared" si="3"/>
        <v>7325.5442682454523</v>
      </c>
      <c r="E13" s="62">
        <f t="shared" si="3"/>
        <v>7336.9843440370241</v>
      </c>
      <c r="F13" s="62">
        <f t="shared" si="3"/>
        <v>7366.3490169590032</v>
      </c>
      <c r="G13" s="62">
        <f t="shared" si="3"/>
        <v>7717.3343873669874</v>
      </c>
      <c r="H13" s="62">
        <f t="shared" si="3"/>
        <v>8322.9349098251896</v>
      </c>
      <c r="I13" s="62">
        <f t="shared" si="3"/>
        <v>8748.7399229537696</v>
      </c>
      <c r="J13" s="62">
        <f t="shared" si="3"/>
        <v>8860.027888579205</v>
      </c>
      <c r="K13" s="62">
        <f t="shared" si="3"/>
        <v>9676.6986318000581</v>
      </c>
      <c r="L13" s="62">
        <f t="shared" si="3"/>
        <v>10205.946419934287</v>
      </c>
      <c r="M13" s="62">
        <f t="shared" si="3"/>
        <v>11248.333579236662</v>
      </c>
      <c r="N13" s="62">
        <f t="shared" si="3"/>
        <v>10562.15074254614</v>
      </c>
      <c r="O13" s="62">
        <f t="shared" si="3"/>
        <v>10400.760381440967</v>
      </c>
      <c r="P13" s="62">
        <f t="shared" si="3"/>
        <v>11731.376706552959</v>
      </c>
      <c r="Q13" s="62">
        <f t="shared" si="3"/>
        <v>11871.19473110915</v>
      </c>
      <c r="R13" s="62">
        <f t="shared" si="3"/>
        <v>12002.979773968649</v>
      </c>
      <c r="S13" s="62">
        <f t="shared" si="3"/>
        <v>12933.236432761467</v>
      </c>
      <c r="T13" s="62">
        <f t="shared" si="3"/>
        <v>13368.231207215294</v>
      </c>
      <c r="U13" s="62">
        <f t="shared" si="3"/>
        <v>14135.914028036084</v>
      </c>
      <c r="V13" s="62">
        <f t="shared" si="3"/>
        <v>13138.204488510914</v>
      </c>
      <c r="W13" s="62">
        <f t="shared" si="3"/>
        <v>13460.144306340699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4004.8654789772545</v>
      </c>
      <c r="C14" s="63">
        <f t="shared" si="3"/>
        <v>4057.8408299218631</v>
      </c>
      <c r="D14" s="63">
        <f t="shared" si="3"/>
        <v>4121.9828607745649</v>
      </c>
      <c r="E14" s="63">
        <f t="shared" si="3"/>
        <v>4154.6346070982036</v>
      </c>
      <c r="F14" s="63">
        <f t="shared" si="3"/>
        <v>4159.2058846380278</v>
      </c>
      <c r="G14" s="63">
        <f t="shared" si="3"/>
        <v>4274.4612547983388</v>
      </c>
      <c r="H14" s="63">
        <f t="shared" si="3"/>
        <v>4819.382314984452</v>
      </c>
      <c r="I14" s="63">
        <f t="shared" si="3"/>
        <v>4942.0612065871255</v>
      </c>
      <c r="J14" s="63">
        <f t="shared" si="3"/>
        <v>4892.4302512312024</v>
      </c>
      <c r="K14" s="63">
        <f t="shared" si="3"/>
        <v>5403.8556106221522</v>
      </c>
      <c r="L14" s="63">
        <f t="shared" si="3"/>
        <v>5676.7861803491096</v>
      </c>
      <c r="M14" s="63">
        <f t="shared" si="3"/>
        <v>6110.8656719233659</v>
      </c>
      <c r="N14" s="63">
        <f t="shared" si="3"/>
        <v>6302.3833148620233</v>
      </c>
      <c r="O14" s="63">
        <f t="shared" si="3"/>
        <v>6553.1615895048044</v>
      </c>
      <c r="P14" s="63">
        <f t="shared" si="3"/>
        <v>6860.6454288670093</v>
      </c>
      <c r="Q14" s="63">
        <f t="shared" si="3"/>
        <v>7150.0620670456956</v>
      </c>
      <c r="R14" s="63">
        <f t="shared" si="3"/>
        <v>6986.3619893433815</v>
      </c>
      <c r="S14" s="63">
        <f t="shared" si="3"/>
        <v>6939.5290063202683</v>
      </c>
      <c r="T14" s="63">
        <f t="shared" si="3"/>
        <v>6791.8577070721803</v>
      </c>
      <c r="U14" s="63">
        <f t="shared" si="3"/>
        <v>6602.5142827065893</v>
      </c>
      <c r="V14" s="63">
        <f t="shared" si="3"/>
        <v>6430.1144760861444</v>
      </c>
      <c r="W14" s="63">
        <f t="shared" si="3"/>
        <v>5786.3943610520964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10990.49668754449</v>
      </c>
      <c r="C15" s="64">
        <f t="shared" si="3"/>
        <v>11286.805034459121</v>
      </c>
      <c r="D15" s="64">
        <f t="shared" si="3"/>
        <v>11386.360197519345</v>
      </c>
      <c r="E15" s="64">
        <f t="shared" si="3"/>
        <v>11333.158669615574</v>
      </c>
      <c r="F15" s="64">
        <f t="shared" si="3"/>
        <v>11415.767991250306</v>
      </c>
      <c r="G15" s="64">
        <f t="shared" si="3"/>
        <v>11318.031156758489</v>
      </c>
      <c r="H15" s="64">
        <f t="shared" si="3"/>
        <v>11979.523032976496</v>
      </c>
      <c r="I15" s="64">
        <f t="shared" si="3"/>
        <v>12940.809513677297</v>
      </c>
      <c r="J15" s="64">
        <f t="shared" si="3"/>
        <v>13264.991913049398</v>
      </c>
      <c r="K15" s="64">
        <f t="shared" si="3"/>
        <v>14808.117496026642</v>
      </c>
      <c r="L15" s="64">
        <f t="shared" si="3"/>
        <v>16770.043924054396</v>
      </c>
      <c r="M15" s="64">
        <f t="shared" si="3"/>
        <v>17608.024130315804</v>
      </c>
      <c r="N15" s="64">
        <f t="shared" si="3"/>
        <v>17083.859714351998</v>
      </c>
      <c r="O15" s="64">
        <f t="shared" si="3"/>
        <v>16998.929570039854</v>
      </c>
      <c r="P15" s="64">
        <f t="shared" si="3"/>
        <v>19339.917654133136</v>
      </c>
      <c r="Q15" s="64">
        <f t="shared" si="3"/>
        <v>20289.210467507815</v>
      </c>
      <c r="R15" s="64">
        <f t="shared" si="3"/>
        <v>20850.889070966994</v>
      </c>
      <c r="S15" s="64">
        <f t="shared" si="3"/>
        <v>22283.254061276064</v>
      </c>
      <c r="T15" s="64">
        <f t="shared" si="3"/>
        <v>22101.395313143788</v>
      </c>
      <c r="U15" s="64">
        <f t="shared" si="3"/>
        <v>22224.733246840326</v>
      </c>
      <c r="V15" s="64">
        <f t="shared" si="3"/>
        <v>19504.033848245464</v>
      </c>
      <c r="W15" s="64">
        <f t="shared" si="3"/>
        <v>20053.733468250448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0.31954651253470906</v>
      </c>
      <c r="C18" s="66">
        <f t="shared" si="4"/>
        <v>0.31448731852842077</v>
      </c>
      <c r="D18" s="66">
        <f t="shared" si="4"/>
        <v>0.3145438467070123</v>
      </c>
      <c r="E18" s="66">
        <f t="shared" si="4"/>
        <v>0.31522779690595426</v>
      </c>
      <c r="F18" s="66">
        <f t="shared" si="4"/>
        <v>0.31507933772362651</v>
      </c>
      <c r="G18" s="66">
        <f t="shared" si="4"/>
        <v>0.28314427606617515</v>
      </c>
      <c r="H18" s="66">
        <f t="shared" si="4"/>
        <v>0.29571228572082786</v>
      </c>
      <c r="I18" s="66">
        <f t="shared" si="4"/>
        <v>0.29605272698242907</v>
      </c>
      <c r="J18" s="66">
        <f t="shared" si="4"/>
        <v>0.29051834746185723</v>
      </c>
      <c r="K18" s="66">
        <f t="shared" si="4"/>
        <v>0.30471179977814172</v>
      </c>
      <c r="L18" s="66">
        <f t="shared" si="4"/>
        <v>0.32912825897196796</v>
      </c>
      <c r="M18" s="66">
        <f t="shared" si="4"/>
        <v>0.30051075338858863</v>
      </c>
      <c r="N18" s="66">
        <f t="shared" si="4"/>
        <v>0.36094051230450475</v>
      </c>
      <c r="O18" s="66">
        <f t="shared" si="4"/>
        <v>0.39798697433937807</v>
      </c>
      <c r="P18" s="66">
        <f t="shared" si="4"/>
        <v>0.35655630272610322</v>
      </c>
      <c r="Q18" s="66">
        <f t="shared" si="4"/>
        <v>0.38588500090353983</v>
      </c>
      <c r="R18" s="66">
        <f t="shared" si="4"/>
        <v>0.37144764692758797</v>
      </c>
      <c r="S18" s="66">
        <f t="shared" si="4"/>
        <v>0.32696735970746543</v>
      </c>
      <c r="T18" s="66">
        <f t="shared" si="4"/>
        <v>0.28981721425179735</v>
      </c>
      <c r="U18" s="66">
        <f t="shared" si="4"/>
        <v>0.24183984884622428</v>
      </c>
      <c r="V18" s="66">
        <f t="shared" si="4"/>
        <v>0.23830429964205696</v>
      </c>
      <c r="W18" s="66">
        <f t="shared" si="4"/>
        <v>0.19867225101029196</v>
      </c>
      <c r="DA18" s="181"/>
    </row>
    <row r="19" spans="1:105" ht="11.45" customHeight="1" x14ac:dyDescent="0.25">
      <c r="A19" s="57" t="s">
        <v>171</v>
      </c>
      <c r="B19" s="67">
        <f t="shared" si="4"/>
        <v>0.680453487465291</v>
      </c>
      <c r="C19" s="67">
        <f t="shared" si="4"/>
        <v>0.68551268147157918</v>
      </c>
      <c r="D19" s="67">
        <f t="shared" si="4"/>
        <v>0.6854561532929877</v>
      </c>
      <c r="E19" s="67">
        <f t="shared" si="4"/>
        <v>0.68477220309404574</v>
      </c>
      <c r="F19" s="67">
        <f t="shared" si="4"/>
        <v>0.6849206622763736</v>
      </c>
      <c r="G19" s="67">
        <f t="shared" si="4"/>
        <v>0.71685572393382491</v>
      </c>
      <c r="H19" s="67">
        <f t="shared" si="4"/>
        <v>0.70428771427917214</v>
      </c>
      <c r="I19" s="67">
        <f t="shared" si="4"/>
        <v>0.70394727301757087</v>
      </c>
      <c r="J19" s="67">
        <f t="shared" si="4"/>
        <v>0.70948165253814277</v>
      </c>
      <c r="K19" s="67">
        <f t="shared" si="4"/>
        <v>0.69528820022185833</v>
      </c>
      <c r="L19" s="67">
        <f t="shared" si="4"/>
        <v>0.67087174102803204</v>
      </c>
      <c r="M19" s="67">
        <f t="shared" si="4"/>
        <v>0.69948924661141132</v>
      </c>
      <c r="N19" s="67">
        <f t="shared" si="4"/>
        <v>0.63905948769549525</v>
      </c>
      <c r="O19" s="67">
        <f t="shared" si="4"/>
        <v>0.60201302566062198</v>
      </c>
      <c r="P19" s="67">
        <f t="shared" si="4"/>
        <v>0.64344369727389672</v>
      </c>
      <c r="Q19" s="67">
        <f t="shared" si="4"/>
        <v>0.61411499909646017</v>
      </c>
      <c r="R19" s="67">
        <f t="shared" si="4"/>
        <v>0.62855235307241208</v>
      </c>
      <c r="S19" s="67">
        <f t="shared" si="4"/>
        <v>0.67303264029253451</v>
      </c>
      <c r="T19" s="67">
        <f t="shared" si="4"/>
        <v>0.71018278574820282</v>
      </c>
      <c r="U19" s="67">
        <f t="shared" si="4"/>
        <v>0.75816015115377566</v>
      </c>
      <c r="V19" s="67">
        <f t="shared" si="4"/>
        <v>0.7616957003579431</v>
      </c>
      <c r="W19" s="67">
        <f t="shared" si="4"/>
        <v>0.80132774898970804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0.56307821422106663</v>
      </c>
      <c r="C22" s="66">
        <f t="shared" si="5"/>
        <v>0.56064005395327776</v>
      </c>
      <c r="D22" s="66">
        <f t="shared" si="5"/>
        <v>0.55900399181267946</v>
      </c>
      <c r="E22" s="66">
        <f t="shared" si="5"/>
        <v>0.55668467372625452</v>
      </c>
      <c r="F22" s="66">
        <f t="shared" si="5"/>
        <v>0.55803546015287553</v>
      </c>
      <c r="G22" s="66">
        <f t="shared" si="5"/>
        <v>0.51120338400978549</v>
      </c>
      <c r="H22" s="66">
        <f t="shared" si="5"/>
        <v>0.51068662854111402</v>
      </c>
      <c r="I22" s="66">
        <f t="shared" si="5"/>
        <v>0.5240906989169335</v>
      </c>
      <c r="J22" s="66">
        <f t="shared" si="5"/>
        <v>0.52611903051826636</v>
      </c>
      <c r="K22" s="66">
        <f t="shared" si="5"/>
        <v>0.54564823127592799</v>
      </c>
      <c r="L22" s="66">
        <f t="shared" si="5"/>
        <v>0.59171955216174565</v>
      </c>
      <c r="M22" s="66">
        <f t="shared" si="5"/>
        <v>0.55315324861308113</v>
      </c>
      <c r="N22" s="66">
        <f t="shared" si="5"/>
        <v>0.60489943400649404</v>
      </c>
      <c r="O22" s="66">
        <f t="shared" si="5"/>
        <v>0.63165955829136833</v>
      </c>
      <c r="P22" s="66">
        <f t="shared" si="5"/>
        <v>0.60969428426888272</v>
      </c>
      <c r="Q22" s="66">
        <f t="shared" si="5"/>
        <v>0.64068198941284449</v>
      </c>
      <c r="R22" s="66">
        <f t="shared" si="5"/>
        <v>0.63816884953296271</v>
      </c>
      <c r="S22" s="66">
        <f t="shared" si="5"/>
        <v>0.60937077502536974</v>
      </c>
      <c r="T22" s="66">
        <f t="shared" si="5"/>
        <v>0.57043944308709937</v>
      </c>
      <c r="U22" s="66">
        <f t="shared" si="5"/>
        <v>0.51777658714008257</v>
      </c>
      <c r="V22" s="66">
        <f t="shared" si="5"/>
        <v>0.4869105566988941</v>
      </c>
      <c r="W22" s="66">
        <f t="shared" si="5"/>
        <v>0.46214568199217065</v>
      </c>
      <c r="DA22" s="181"/>
    </row>
    <row r="23" spans="1:105" ht="11.45" customHeight="1" x14ac:dyDescent="0.25">
      <c r="A23" s="57" t="s">
        <v>171</v>
      </c>
      <c r="B23" s="67">
        <f t="shared" si="5"/>
        <v>0.43692178577893331</v>
      </c>
      <c r="C23" s="67">
        <f t="shared" si="5"/>
        <v>0.43935994604672224</v>
      </c>
      <c r="D23" s="67">
        <f t="shared" si="5"/>
        <v>0.44099600818732054</v>
      </c>
      <c r="E23" s="67">
        <f t="shared" si="5"/>
        <v>0.44331532627374554</v>
      </c>
      <c r="F23" s="67">
        <f t="shared" si="5"/>
        <v>0.44196453984712442</v>
      </c>
      <c r="G23" s="67">
        <f t="shared" si="5"/>
        <v>0.48879661599021457</v>
      </c>
      <c r="H23" s="67">
        <f t="shared" si="5"/>
        <v>0.48931337145888609</v>
      </c>
      <c r="I23" s="67">
        <f t="shared" si="5"/>
        <v>0.47590930108306645</v>
      </c>
      <c r="J23" s="67">
        <f t="shared" si="5"/>
        <v>0.47388096948173364</v>
      </c>
      <c r="K23" s="67">
        <f t="shared" si="5"/>
        <v>0.45435176872407201</v>
      </c>
      <c r="L23" s="67">
        <f t="shared" si="5"/>
        <v>0.4082804478382544</v>
      </c>
      <c r="M23" s="67">
        <f t="shared" si="5"/>
        <v>0.44684675138691882</v>
      </c>
      <c r="N23" s="67">
        <f t="shared" si="5"/>
        <v>0.39510056599350607</v>
      </c>
      <c r="O23" s="67">
        <f t="shared" si="5"/>
        <v>0.36834044170863173</v>
      </c>
      <c r="P23" s="67">
        <f t="shared" si="5"/>
        <v>0.39030571573111739</v>
      </c>
      <c r="Q23" s="67">
        <f t="shared" si="5"/>
        <v>0.35931801058715546</v>
      </c>
      <c r="R23" s="67">
        <f t="shared" si="5"/>
        <v>0.36183115046703734</v>
      </c>
      <c r="S23" s="67">
        <f t="shared" si="5"/>
        <v>0.39062922497463021</v>
      </c>
      <c r="T23" s="67">
        <f t="shared" si="5"/>
        <v>0.42956055691290063</v>
      </c>
      <c r="U23" s="67">
        <f t="shared" si="5"/>
        <v>0.48222341285991749</v>
      </c>
      <c r="V23" s="67">
        <f t="shared" si="5"/>
        <v>0.51308944330110595</v>
      </c>
      <c r="W23" s="67">
        <f t="shared" si="5"/>
        <v>0.53785431800782935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8.1188306104901109</v>
      </c>
      <c r="C3" s="62">
        <f t="shared" ref="C3:W3" si="0">SUM(C4,C10)</f>
        <v>195.54789337919169</v>
      </c>
      <c r="D3" s="62">
        <f t="shared" si="0"/>
        <v>205.53766122098017</v>
      </c>
      <c r="E3" s="62">
        <f t="shared" si="0"/>
        <v>187.54110060189163</v>
      </c>
      <c r="F3" s="62">
        <f t="shared" si="0"/>
        <v>202.17704213241615</v>
      </c>
      <c r="G3" s="62">
        <f t="shared" si="0"/>
        <v>260.06732588134128</v>
      </c>
      <c r="H3" s="62">
        <f t="shared" si="0"/>
        <v>196.87712811693893</v>
      </c>
      <c r="I3" s="62">
        <f t="shared" si="0"/>
        <v>178.18168529664655</v>
      </c>
      <c r="J3" s="62">
        <f t="shared" si="0"/>
        <v>205.67136715391226</v>
      </c>
      <c r="K3" s="62">
        <f t="shared" si="0"/>
        <v>273.30395528804809</v>
      </c>
      <c r="L3" s="62">
        <f t="shared" si="0"/>
        <v>251.36165090283748</v>
      </c>
      <c r="M3" s="62">
        <f t="shared" si="0"/>
        <v>214.78331900257953</v>
      </c>
      <c r="N3" s="62">
        <f t="shared" si="0"/>
        <v>240.53766122098025</v>
      </c>
      <c r="O3" s="62">
        <f t="shared" si="0"/>
        <v>240.22166809974209</v>
      </c>
      <c r="P3" s="62">
        <f t="shared" si="0"/>
        <v>231.96741186586411</v>
      </c>
      <c r="Q3" s="62">
        <f t="shared" si="0"/>
        <v>254.76904557179711</v>
      </c>
      <c r="R3" s="62">
        <f t="shared" si="0"/>
        <v>314.80275150472914</v>
      </c>
      <c r="S3" s="62">
        <f t="shared" si="0"/>
        <v>260.20447119518479</v>
      </c>
      <c r="T3" s="62">
        <f t="shared" si="0"/>
        <v>38.285210662080829</v>
      </c>
      <c r="U3" s="62">
        <f t="shared" si="0"/>
        <v>292.58323301805677</v>
      </c>
      <c r="V3" s="62">
        <f t="shared" si="0"/>
        <v>207.05760963026654</v>
      </c>
      <c r="W3" s="62">
        <f t="shared" si="0"/>
        <v>207.33585554600162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3.5556466759731724</v>
      </c>
      <c r="C4" s="71">
        <f t="shared" ref="C4:W4" si="1">SUM(C5:C9)</f>
        <v>85.357707038832672</v>
      </c>
      <c r="D4" s="71">
        <f t="shared" si="1"/>
        <v>89.451702662014981</v>
      </c>
      <c r="E4" s="71">
        <f t="shared" si="1"/>
        <v>81.644145273479864</v>
      </c>
      <c r="F4" s="71">
        <f t="shared" si="1"/>
        <v>88.04724660515889</v>
      </c>
      <c r="G4" s="71">
        <f t="shared" si="1"/>
        <v>106.29580032680181</v>
      </c>
      <c r="H4" s="71">
        <f t="shared" si="1"/>
        <v>78.912611041417478</v>
      </c>
      <c r="I4" s="71">
        <f t="shared" si="1"/>
        <v>73.943701563634278</v>
      </c>
      <c r="J4" s="71">
        <f t="shared" si="1"/>
        <v>85.778503750869035</v>
      </c>
      <c r="K4" s="71">
        <f t="shared" si="1"/>
        <v>118.04106704671364</v>
      </c>
      <c r="L4" s="71">
        <f t="shared" si="1"/>
        <v>116.34675079599376</v>
      </c>
      <c r="M4" s="71">
        <f t="shared" si="1"/>
        <v>93.056002625053935</v>
      </c>
      <c r="N4" s="71">
        <f t="shared" si="1"/>
        <v>110.85780810977556</v>
      </c>
      <c r="O4" s="71">
        <f t="shared" si="1"/>
        <v>113.98021112899839</v>
      </c>
      <c r="P4" s="71">
        <f t="shared" si="1"/>
        <v>107.97567495301747</v>
      </c>
      <c r="Q4" s="71">
        <f t="shared" si="1"/>
        <v>123.64896392349584</v>
      </c>
      <c r="R4" s="71">
        <f t="shared" si="1"/>
        <v>153.2355618625063</v>
      </c>
      <c r="S4" s="71">
        <f t="shared" si="1"/>
        <v>123.21748811498028</v>
      </c>
      <c r="T4" s="71">
        <f t="shared" si="1"/>
        <v>17.170631156953121</v>
      </c>
      <c r="U4" s="71">
        <f t="shared" si="1"/>
        <v>121.01753857289653</v>
      </c>
      <c r="V4" s="71">
        <f t="shared" si="1"/>
        <v>75.442869492558742</v>
      </c>
      <c r="W4" s="71">
        <f t="shared" si="1"/>
        <v>70.17444094788064</v>
      </c>
      <c r="DA4" s="186" t="s">
        <v>969</v>
      </c>
    </row>
    <row r="5" spans="1:105" ht="11.45" customHeight="1" x14ac:dyDescent="0.25">
      <c r="A5" s="72" t="s">
        <v>145</v>
      </c>
      <c r="B5" s="73">
        <v>3.5556466759731724</v>
      </c>
      <c r="C5" s="73">
        <v>80.802492027021742</v>
      </c>
      <c r="D5" s="73">
        <v>68.604180370674541</v>
      </c>
      <c r="E5" s="73">
        <v>58.925160349629948</v>
      </c>
      <c r="F5" s="73">
        <v>60.547737034329842</v>
      </c>
      <c r="G5" s="73">
        <v>70.962938874737574</v>
      </c>
      <c r="H5" s="73">
        <v>50.867851265424754</v>
      </c>
      <c r="I5" s="73">
        <v>46.832564116904905</v>
      </c>
      <c r="J5" s="73">
        <v>35.769655477051366</v>
      </c>
      <c r="K5" s="73">
        <v>49.154824007297513</v>
      </c>
      <c r="L5" s="73">
        <v>57.059358480613916</v>
      </c>
      <c r="M5" s="73">
        <v>60.566125782940404</v>
      </c>
      <c r="N5" s="73">
        <v>71.835253769849785</v>
      </c>
      <c r="O5" s="73">
        <v>66.662536994125674</v>
      </c>
      <c r="P5" s="73">
        <v>57.1731269621759</v>
      </c>
      <c r="Q5" s="73">
        <v>103.40304892276325</v>
      </c>
      <c r="R5" s="73">
        <v>137.83061130371419</v>
      </c>
      <c r="S5" s="73">
        <v>113.30686368772957</v>
      </c>
      <c r="T5" s="73">
        <v>17.170631156953121</v>
      </c>
      <c r="U5" s="73">
        <v>121.01753857289653</v>
      </c>
      <c r="V5" s="73">
        <v>75.442869492558742</v>
      </c>
      <c r="W5" s="73">
        <v>70.17444094788064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4.5552150118109278</v>
      </c>
      <c r="D6" s="73">
        <v>20.847522291340447</v>
      </c>
      <c r="E6" s="73">
        <v>22.718984923849924</v>
      </c>
      <c r="F6" s="73">
        <v>27.499509570829051</v>
      </c>
      <c r="G6" s="73">
        <v>35.332861452064229</v>
      </c>
      <c r="H6" s="73">
        <v>28.04475977599272</v>
      </c>
      <c r="I6" s="73">
        <v>27.11113744672938</v>
      </c>
      <c r="J6" s="73">
        <v>50.008848273817669</v>
      </c>
      <c r="K6" s="73">
        <v>68.886243039416129</v>
      </c>
      <c r="L6" s="73">
        <v>59.287392315379833</v>
      </c>
      <c r="M6" s="73">
        <v>32.489876842113539</v>
      </c>
      <c r="N6" s="73">
        <v>39.022554339925776</v>
      </c>
      <c r="O6" s="73">
        <v>47.317674134872718</v>
      </c>
      <c r="P6" s="73">
        <v>50.802547990841575</v>
      </c>
      <c r="Q6" s="73">
        <v>20.245915000732587</v>
      </c>
      <c r="R6" s="73">
        <v>15.404950558792109</v>
      </c>
      <c r="S6" s="73">
        <v>9.9106244272507169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4.563183934516938</v>
      </c>
      <c r="C10" s="71">
        <f t="shared" ref="C10:W10" si="2">SUM(C11:C15)</f>
        <v>110.19018634035902</v>
      </c>
      <c r="D10" s="71">
        <f t="shared" si="2"/>
        <v>116.0859585589652</v>
      </c>
      <c r="E10" s="71">
        <f t="shared" si="2"/>
        <v>105.89695532841175</v>
      </c>
      <c r="F10" s="71">
        <f t="shared" si="2"/>
        <v>114.12979552725726</v>
      </c>
      <c r="G10" s="71">
        <f t="shared" si="2"/>
        <v>153.77152555453947</v>
      </c>
      <c r="H10" s="71">
        <f t="shared" si="2"/>
        <v>117.96451707552146</v>
      </c>
      <c r="I10" s="71">
        <f t="shared" si="2"/>
        <v>104.23798373301226</v>
      </c>
      <c r="J10" s="71">
        <f t="shared" si="2"/>
        <v>119.89286340304322</v>
      </c>
      <c r="K10" s="71">
        <f t="shared" si="2"/>
        <v>155.26288824133445</v>
      </c>
      <c r="L10" s="71">
        <f t="shared" si="2"/>
        <v>135.01490010684373</v>
      </c>
      <c r="M10" s="71">
        <f t="shared" si="2"/>
        <v>121.7273163775256</v>
      </c>
      <c r="N10" s="71">
        <f t="shared" si="2"/>
        <v>129.67985311120469</v>
      </c>
      <c r="O10" s="71">
        <f t="shared" si="2"/>
        <v>126.24145697074371</v>
      </c>
      <c r="P10" s="71">
        <f t="shared" si="2"/>
        <v>123.99173691284662</v>
      </c>
      <c r="Q10" s="71">
        <f t="shared" si="2"/>
        <v>131.12008164830127</v>
      </c>
      <c r="R10" s="71">
        <f t="shared" si="2"/>
        <v>161.56718964222284</v>
      </c>
      <c r="S10" s="71">
        <f t="shared" si="2"/>
        <v>136.98698308020451</v>
      </c>
      <c r="T10" s="71">
        <f t="shared" si="2"/>
        <v>21.114579505127708</v>
      </c>
      <c r="U10" s="71">
        <f t="shared" si="2"/>
        <v>171.56569444516026</v>
      </c>
      <c r="V10" s="71">
        <f t="shared" si="2"/>
        <v>131.6147401377078</v>
      </c>
      <c r="W10" s="71">
        <f t="shared" si="2"/>
        <v>137.16141459812098</v>
      </c>
      <c r="DA10" s="186" t="s">
        <v>975</v>
      </c>
    </row>
    <row r="11" spans="1:105" ht="11.45" customHeight="1" x14ac:dyDescent="0.25">
      <c r="A11" s="72" t="s">
        <v>145</v>
      </c>
      <c r="B11" s="73">
        <v>4.563183934516938</v>
      </c>
      <c r="C11" s="73">
        <v>20.683148557672968</v>
      </c>
      <c r="D11" s="73">
        <v>17.658588330959162</v>
      </c>
      <c r="E11" s="73">
        <v>15.159362436268577</v>
      </c>
      <c r="F11" s="73">
        <v>15.566450411929825</v>
      </c>
      <c r="G11" s="73">
        <v>20.374120454583139</v>
      </c>
      <c r="H11" s="73">
        <v>15.097840909983669</v>
      </c>
      <c r="I11" s="73">
        <v>13.043962108374545</v>
      </c>
      <c r="J11" s="73">
        <v>9.8988741876089836</v>
      </c>
      <c r="K11" s="73">
        <v>12.751366878343063</v>
      </c>
      <c r="L11" s="73">
        <v>12.965749000039571</v>
      </c>
      <c r="M11" s="73">
        <v>15.54806166331926</v>
      </c>
      <c r="N11" s="73">
        <v>16.457265576667854</v>
      </c>
      <c r="O11" s="73">
        <v>14.52594107982101</v>
      </c>
      <c r="P11" s="73">
        <v>12.851980518477591</v>
      </c>
      <c r="Q11" s="73">
        <v>21.424294155482652</v>
      </c>
      <c r="R11" s="73">
        <v>28.605846133947011</v>
      </c>
      <c r="S11" s="73">
        <v>24.71360062869341</v>
      </c>
      <c r="T11" s="73">
        <v>19.388526194723582</v>
      </c>
      <c r="U11" s="73">
        <v>130.32278816829009</v>
      </c>
      <c r="V11" s="73">
        <v>128.55240135868803</v>
      </c>
      <c r="W11" s="73">
        <v>126.66906722064896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89.507037782686055</v>
      </c>
      <c r="D12" s="73">
        <v>98.427370228006041</v>
      </c>
      <c r="E12" s="73">
        <v>90.737592892143169</v>
      </c>
      <c r="F12" s="73">
        <v>98.563345115327436</v>
      </c>
      <c r="G12" s="73">
        <v>133.39740509995633</v>
      </c>
      <c r="H12" s="73">
        <v>102.86667616553778</v>
      </c>
      <c r="I12" s="73">
        <v>91.194021624637713</v>
      </c>
      <c r="J12" s="73">
        <v>109.99398921543424</v>
      </c>
      <c r="K12" s="73">
        <v>142.51152136299137</v>
      </c>
      <c r="L12" s="73">
        <v>122.04915110680416</v>
      </c>
      <c r="M12" s="73">
        <v>106.17925471420634</v>
      </c>
      <c r="N12" s="73">
        <v>113.22258753453683</v>
      </c>
      <c r="O12" s="73">
        <v>111.7155158909227</v>
      </c>
      <c r="P12" s="73">
        <v>111.13975639436903</v>
      </c>
      <c r="Q12" s="73">
        <v>109.69578749281861</v>
      </c>
      <c r="R12" s="73">
        <v>132.96134350827583</v>
      </c>
      <c r="S12" s="73">
        <v>112.2733824515111</v>
      </c>
      <c r="T12" s="73">
        <v>1.7260533104041258</v>
      </c>
      <c r="U12" s="73">
        <v>41.242906276870173</v>
      </c>
      <c r="V12" s="73">
        <v>3.0623387790197683</v>
      </c>
      <c r="W12" s="73">
        <v>10.492347377472043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1336.015173935742</v>
      </c>
      <c r="C19" s="62">
        <f>IF(C3=0,0,C3/MBunk_act!C7*100)</f>
        <v>1387.049038433707</v>
      </c>
      <c r="D19" s="62">
        <f>IF(D3=0,0,D3/MBunk_act!D7*100)</f>
        <v>1400.2352456109656</v>
      </c>
      <c r="E19" s="62">
        <f>IF(E3=0,0,E3/MBunk_act!E7*100)</f>
        <v>1400.5545324139518</v>
      </c>
      <c r="F19" s="62">
        <f>IF(F3=0,0,F3/MBunk_act!F7*100)</f>
        <v>1406.9781103934888</v>
      </c>
      <c r="G19" s="62">
        <f>IF(G3=0,0,G3/MBunk_act!G7*100)</f>
        <v>1673.4684722063562</v>
      </c>
      <c r="H19" s="62">
        <f>IF(H3=0,0,H3/MBunk_act!H7*100)</f>
        <v>1638.0885447444318</v>
      </c>
      <c r="I19" s="62">
        <f>IF(I3=0,0,I3/MBunk_act!I7*100)</f>
        <v>1380.498273941374</v>
      </c>
      <c r="J19" s="62">
        <f>IF(J3=0,0,J3/MBunk_act!J7*100)</f>
        <v>1642.4274444624302</v>
      </c>
      <c r="K19" s="62">
        <f>IF(K3=0,0,K3/MBunk_act!K7*100)</f>
        <v>2610.5631550663352</v>
      </c>
      <c r="L19" s="62">
        <f>IF(L3=0,0,L3/MBunk_act!L7*100)</f>
        <v>2383.893601264524</v>
      </c>
      <c r="M19" s="62">
        <f>IF(M3=0,0,M3/MBunk_act!M7*100)</f>
        <v>1915.7030458438865</v>
      </c>
      <c r="N19" s="62">
        <f>IF(N3=0,0,N3/MBunk_act!N7*100)</f>
        <v>1932.3637296041443</v>
      </c>
      <c r="O19" s="62">
        <f>IF(O3=0,0,O3/MBunk_act!O7*100)</f>
        <v>2096.4405536839099</v>
      </c>
      <c r="P19" s="62">
        <f>IF(P3=0,0,P3/MBunk_act!P7*100)</f>
        <v>2025.3753352673507</v>
      </c>
      <c r="Q19" s="62">
        <f>IF(Q3=0,0,Q3/MBunk_act!Q7*100)</f>
        <v>2529.9486845776337</v>
      </c>
      <c r="R19" s="62">
        <f>IF(R3=0,0,R3/MBunk_act!R7*100)</f>
        <v>3250.1686139775975</v>
      </c>
      <c r="S19" s="62">
        <f>IF(S3=0,0,S3/MBunk_act!S7*100)</f>
        <v>2586.7230340764063</v>
      </c>
      <c r="T19" s="62">
        <f>IF(T3=0,0,T3/MBunk_act!T7*100)</f>
        <v>363.13224629877777</v>
      </c>
      <c r="U19" s="62">
        <f>IF(U3=0,0,U3/MBunk_act!U7*100)</f>
        <v>3014.6592654366591</v>
      </c>
      <c r="V19" s="62">
        <f>IF(V3=0,0,V3/MBunk_act!V7*100)</f>
        <v>3281.177282604704</v>
      </c>
      <c r="W19" s="62">
        <f>IF(W3=0,0,W3/MBunk_act!W7*100)</f>
        <v>3465.6363858309846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1039.1249780006174</v>
      </c>
      <c r="C20" s="63">
        <f>IF(C4=0,0,C4/MBunk_act!C8*100)</f>
        <v>1079.9341930802732</v>
      </c>
      <c r="D20" s="63">
        <f>IF(D4=0,0,D4/MBunk_act!D8*100)</f>
        <v>1090.1425648027146</v>
      </c>
      <c r="E20" s="63">
        <f>IF(E4=0,0,E4/MBunk_act!E8*100)</f>
        <v>1095.265341166147</v>
      </c>
      <c r="F20" s="63">
        <f>IF(F4=0,0,F4/MBunk_act!F8*100)</f>
        <v>1098.0180634939777</v>
      </c>
      <c r="G20" s="63">
        <f>IF(G4=0,0,G4/MBunk_act!G8*100)</f>
        <v>1337.9938856021865</v>
      </c>
      <c r="H20" s="63">
        <f>IF(H4=0,0,H4/MBunk_act!H8*100)</f>
        <v>1285.6833934893143</v>
      </c>
      <c r="I20" s="63">
        <f>IF(I4=0,0,I4/MBunk_act!I8*100)</f>
        <v>1093.1192454991919</v>
      </c>
      <c r="J20" s="63">
        <f>IF(J4=0,0,J4/MBunk_act!J8*100)</f>
        <v>1301.9874970420026</v>
      </c>
      <c r="K20" s="63">
        <f>IF(K4=0,0,K4/MBunk_act!K8*100)</f>
        <v>2066.3727319464679</v>
      </c>
      <c r="L20" s="63">
        <f>IF(L4=0,0,L4/MBunk_act!L8*100)</f>
        <v>1864.7739224398069</v>
      </c>
      <c r="M20" s="63">
        <f>IF(M4=0,0,M4/MBunk_act!M8*100)</f>
        <v>1500.4674065655113</v>
      </c>
      <c r="N20" s="63">
        <f>IF(N4=0,0,N4/MBunk_act!N8*100)</f>
        <v>1472.2748811177021</v>
      </c>
      <c r="O20" s="63">
        <f>IF(O4=0,0,O4/MBunk_act!O8*100)</f>
        <v>1574.7686433029683</v>
      </c>
      <c r="P20" s="63">
        <f>IF(P4=0,0,P4/MBunk_act!P8*100)</f>
        <v>1546.2949722781007</v>
      </c>
      <c r="Q20" s="63">
        <f>IF(Q4=0,0,Q4/MBunk_act!Q8*100)</f>
        <v>1916.5185118561781</v>
      </c>
      <c r="R20" s="63">
        <f>IF(R4=0,0,R4/MBunk_act!R8*100)</f>
        <v>2479.0845348387684</v>
      </c>
      <c r="S20" s="63">
        <f>IF(S4=0,0,S4/MBunk_act!S8*100)</f>
        <v>2010.1381433687461</v>
      </c>
      <c r="T20" s="63">
        <f>IF(T4=0,0,T4/MBunk_act!T8*100)</f>
        <v>285.50287574053215</v>
      </c>
      <c r="U20" s="63">
        <f>IF(U4=0,0,U4/MBunk_act!U8*100)</f>
        <v>2408.2119383614258</v>
      </c>
      <c r="V20" s="63">
        <f>IF(V4=0,0,V4/MBunk_act!V8*100)</f>
        <v>2455.3166451235393</v>
      </c>
      <c r="W20" s="63">
        <f>IF(W4=0,0,W4/MBunk_act!W8*100)</f>
        <v>2538.0994989182254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1718.6291949987151</v>
      </c>
      <c r="C21" s="64">
        <f>IF(C10=0,0,C10/MBunk_act!C9*100)</f>
        <v>1778.9392983858324</v>
      </c>
      <c r="D21" s="64">
        <f>IF(D10=0,0,D10/MBunk_act!D9*100)</f>
        <v>1793.306936024266</v>
      </c>
      <c r="E21" s="64">
        <f>IF(E10=0,0,E10/MBunk_act!E9*100)</f>
        <v>1783.9155482634076</v>
      </c>
      <c r="F21" s="64">
        <f>IF(F10=0,0,F10/MBunk_act!F9*100)</f>
        <v>1797.0787777458054</v>
      </c>
      <c r="G21" s="64">
        <f>IF(G10=0,0,G10/MBunk_act!G9*100)</f>
        <v>2024.3214411327378</v>
      </c>
      <c r="H21" s="64">
        <f>IF(H10=0,0,H10/MBunk_act!H9*100)</f>
        <v>2005.8867883085127</v>
      </c>
      <c r="I21" s="64">
        <f>IF(I10=0,0,I10/MBunk_act!I9*100)</f>
        <v>1696.9717606489685</v>
      </c>
      <c r="J21" s="64">
        <f>IF(J10=0,0,J10/MBunk_act!J9*100)</f>
        <v>2020.3956403205866</v>
      </c>
      <c r="K21" s="64">
        <f>IF(K10=0,0,K10/MBunk_act!K9*100)</f>
        <v>3264.1020258107433</v>
      </c>
      <c r="L21" s="64">
        <f>IF(L10=0,0,L10/MBunk_act!L9*100)</f>
        <v>3136.2520977316417</v>
      </c>
      <c r="M21" s="64">
        <f>IF(M10=0,0,M10/MBunk_act!M9*100)</f>
        <v>2429.7247816937193</v>
      </c>
      <c r="N21" s="64">
        <f>IF(N10=0,0,N10/MBunk_act!N9*100)</f>
        <v>2636.7603009993941</v>
      </c>
      <c r="O21" s="64">
        <f>IF(O10=0,0,O10/MBunk_act!O9*100)</f>
        <v>2991.0451400162992</v>
      </c>
      <c r="P21" s="64">
        <f>IF(P10=0,0,P10/MBunk_act!P9*100)</f>
        <v>2773.743978736642</v>
      </c>
      <c r="Q21" s="64">
        <f>IF(Q10=0,0,Q10/MBunk_act!Q9*100)</f>
        <v>3623.7253722054816</v>
      </c>
      <c r="R21" s="64">
        <f>IF(R10=0,0,R10/MBunk_act!R9*100)</f>
        <v>4610.14505338048</v>
      </c>
      <c r="S21" s="64">
        <f>IF(S10=0,0,S10/MBunk_act!S9*100)</f>
        <v>3486.17949881292</v>
      </c>
      <c r="T21" s="64">
        <f>IF(T10=0,0,T10/MBunk_act!T9*100)</f>
        <v>466.22098244041263</v>
      </c>
      <c r="U21" s="64">
        <f>IF(U10=0,0,U10/MBunk_act!U9*100)</f>
        <v>3665.8184976916382</v>
      </c>
      <c r="V21" s="64">
        <f>IF(V10=0,0,V10/MBunk_act!V9*100)</f>
        <v>4064.9007990436758</v>
      </c>
      <c r="W21" s="64">
        <f>IF(W10=0,0,W10/MBunk_act!W9*100)</f>
        <v>4262.6127283523283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1.8931665188611444</v>
      </c>
      <c r="C23" s="62">
        <f>IF(C3=0,0,C3/MBunk_act!C3*1000)</f>
        <v>1.917413688516614</v>
      </c>
      <c r="D23" s="62">
        <f>IF(D3=0,0,D3/MBunk_act!D3*1000)</f>
        <v>1.9114419275038212</v>
      </c>
      <c r="E23" s="62">
        <f>IF(E3=0,0,E3/MBunk_act!E3*1000)</f>
        <v>1.9088967166084008</v>
      </c>
      <c r="F23" s="62">
        <f>IF(F3=0,0,F3/MBunk_act!F3*1000)</f>
        <v>1.9100073960035109</v>
      </c>
      <c r="G23" s="62">
        <f>IF(G3=0,0,G3/MBunk_act!G3*1000)</f>
        <v>2.1684540130148653</v>
      </c>
      <c r="H23" s="62">
        <f>IF(H3=0,0,H3/MBunk_act!H3*1000)</f>
        <v>1.9681621477186797</v>
      </c>
      <c r="I23" s="62">
        <f>IF(I3=0,0,I3/MBunk_act!I3*1000)</f>
        <v>1.5779395502652991</v>
      </c>
      <c r="J23" s="62">
        <f>IF(J3=0,0,J3/MBunk_act!J3*1000)</f>
        <v>1.8537497456182503</v>
      </c>
      <c r="K23" s="62">
        <f>IF(K3=0,0,K3/MBunk_act!K3*1000)</f>
        <v>2.6977828435075684</v>
      </c>
      <c r="L23" s="62">
        <f>IF(L3=0,0,L3/MBunk_act!L3*1000)</f>
        <v>2.3357888658011126</v>
      </c>
      <c r="M23" s="62">
        <f>IF(M3=0,0,M3/MBunk_act!M3*1000)</f>
        <v>1.7030994256607834</v>
      </c>
      <c r="N23" s="62">
        <f>IF(N3=0,0,N3/MBunk_act!N3*1000)</f>
        <v>1.8295172798663573</v>
      </c>
      <c r="O23" s="62">
        <f>IF(O3=0,0,O3/MBunk_act!O3*1000)</f>
        <v>2.0156608524745763</v>
      </c>
      <c r="P23" s="62">
        <f>IF(P3=0,0,P3/MBunk_act!P3*1000)</f>
        <v>1.7264600617044448</v>
      </c>
      <c r="Q23" s="62">
        <f>IF(Q3=0,0,Q3/MBunk_act!Q3*1000)</f>
        <v>2.1311660215190953</v>
      </c>
      <c r="R23" s="62">
        <f>IF(R3=0,0,R3/MBunk_act!R3*1000)</f>
        <v>2.7078014586231083</v>
      </c>
      <c r="S23" s="62">
        <f>IF(S3=0,0,S3/MBunk_act!S3*1000)</f>
        <v>2.0000585681120935</v>
      </c>
      <c r="T23" s="62">
        <f>IF(T3=0,0,T3/MBunk_act!T3*1000)</f>
        <v>0.27163821501140917</v>
      </c>
      <c r="U23" s="62">
        <f>IF(U3=0,0,U3/MBunk_act!U3*1000)</f>
        <v>2.1326242218632738</v>
      </c>
      <c r="V23" s="62">
        <f>IF(V3=0,0,V3/MBunk_act!V3*1000)</f>
        <v>2.4974320391146487</v>
      </c>
      <c r="W23" s="62">
        <f>IF(W3=0,0,W3/MBunk_act!W3*1000)</f>
        <v>2.5747393987436076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2.594656383479788</v>
      </c>
      <c r="C24" s="63">
        <f>IF(C4=0,0,C4/MBunk_act!C4*1000)</f>
        <v>2.6613517837294478</v>
      </c>
      <c r="D24" s="63">
        <f>IF(D4=0,0,D4/MBunk_act!D4*1000)</f>
        <v>2.644704264000421</v>
      </c>
      <c r="E24" s="63">
        <f>IF(E4=0,0,E4/MBunk_act!E4*1000)</f>
        <v>2.636249501448054</v>
      </c>
      <c r="F24" s="63">
        <f>IF(F4=0,0,F4/MBunk_act!F4*1000)</f>
        <v>2.63997045096876</v>
      </c>
      <c r="G24" s="63">
        <f>IF(G4=0,0,G4/MBunk_act!G4*1000)</f>
        <v>3.1302047342228407</v>
      </c>
      <c r="H24" s="63">
        <f>IF(H4=0,0,H4/MBunk_act!H4*1000)</f>
        <v>2.6677348038811117</v>
      </c>
      <c r="I24" s="63">
        <f>IF(I4=0,0,I4/MBunk_act!I4*1000)</f>
        <v>2.2118690963240315</v>
      </c>
      <c r="J24" s="63">
        <f>IF(J4=0,0,J4/MBunk_act!J4*1000)</f>
        <v>2.6612285309828416</v>
      </c>
      <c r="K24" s="63">
        <f>IF(K4=0,0,K4/MBunk_act!K4*1000)</f>
        <v>3.8238859082109413</v>
      </c>
      <c r="L24" s="63">
        <f>IF(L4=0,0,L4/MBunk_act!L4*1000)</f>
        <v>3.2849113269316899</v>
      </c>
      <c r="M24" s="63">
        <f>IF(M4=0,0,M4/MBunk_act!M4*1000)</f>
        <v>2.4554089176914378</v>
      </c>
      <c r="N24" s="63">
        <f>IF(N4=0,0,N4/MBunk_act!N4*1000)</f>
        <v>2.336060514830705</v>
      </c>
      <c r="O24" s="63">
        <f>IF(O4=0,0,O4/MBunk_act!O4*1000)</f>
        <v>2.4030670109295551</v>
      </c>
      <c r="P24" s="63">
        <f>IF(P4=0,0,P4/MBunk_act!P4*1000)</f>
        <v>2.2538622470881156</v>
      </c>
      <c r="Q24" s="63">
        <f>IF(Q4=0,0,Q4/MBunk_act!Q4*1000)</f>
        <v>2.6804222031712461</v>
      </c>
      <c r="R24" s="63">
        <f>IF(R4=0,0,R4/MBunk_act!R4*1000)</f>
        <v>3.5484627601893948</v>
      </c>
      <c r="S24" s="63">
        <f>IF(S4=0,0,S4/MBunk_act!S4*1000)</f>
        <v>2.8966492416675345</v>
      </c>
      <c r="T24" s="63">
        <f>IF(T4=0,0,T4/MBunk_act!T4*1000)</f>
        <v>0.42036050820564991</v>
      </c>
      <c r="U24" s="63">
        <f>IF(U4=0,0,U4/MBunk_act!U4*1000)</f>
        <v>3.6474164768852573</v>
      </c>
      <c r="V24" s="63">
        <f>IF(V4=0,0,V4/MBunk_act!V4*1000)</f>
        <v>3.8184649033154243</v>
      </c>
      <c r="W24" s="63">
        <f>IF(W4=0,0,W4/MBunk_act!W4*1000)</f>
        <v>4.3863230546504646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1.5637411518866426</v>
      </c>
      <c r="C25" s="64">
        <f>IF(C10=0,0,C10/MBunk_act!C5*1000)</f>
        <v>1.5761229975663185</v>
      </c>
      <c r="D25" s="64">
        <f>IF(D10=0,0,D10/MBunk_act!D5*1000)</f>
        <v>1.5749606589952767</v>
      </c>
      <c r="E25" s="64">
        <f>IF(E10=0,0,E10/MBunk_act!E5*1000)</f>
        <v>1.5740673895673245</v>
      </c>
      <c r="F25" s="64">
        <f>IF(F10=0,0,F10/MBunk_act!F5*1000)</f>
        <v>1.5742075164134279</v>
      </c>
      <c r="G25" s="64">
        <f>IF(G10=0,0,G10/MBunk_act!G5*1000)</f>
        <v>1.7885809051903234</v>
      </c>
      <c r="H25" s="64">
        <f>IF(H10=0,0,H10/MBunk_act!H5*1000)</f>
        <v>1.6744295935546272</v>
      </c>
      <c r="I25" s="64">
        <f>IF(I10=0,0,I10/MBunk_act!I5*1000)</f>
        <v>1.3113335443624441</v>
      </c>
      <c r="J25" s="64">
        <f>IF(J10=0,0,J10/MBunk_act!J5*1000)</f>
        <v>1.5231035597790512</v>
      </c>
      <c r="K25" s="64">
        <f>IF(K10=0,0,K10/MBunk_act!K5*1000)</f>
        <v>2.2042653474937492</v>
      </c>
      <c r="L25" s="64">
        <f>IF(L10=0,0,L10/MBunk_act!L5*1000)</f>
        <v>1.8701513913348227</v>
      </c>
      <c r="M25" s="64">
        <f>IF(M10=0,0,M10/MBunk_act!M5*1000)</f>
        <v>1.379896326647152</v>
      </c>
      <c r="N25" s="64">
        <f>IF(N10=0,0,N10/MBunk_act!N5*1000)</f>
        <v>1.5434218877273236</v>
      </c>
      <c r="O25" s="64">
        <f>IF(O10=0,0,O10/MBunk_act!O5*1000)</f>
        <v>1.7595491102498206</v>
      </c>
      <c r="P25" s="64">
        <f>IF(P10=0,0,P10/MBunk_act!P5*1000)</f>
        <v>1.4342067160476584</v>
      </c>
      <c r="Q25" s="64">
        <f>IF(Q10=0,0,Q10/MBunk_act!Q5*1000)</f>
        <v>1.7860356754683491</v>
      </c>
      <c r="R25" s="64">
        <f>IF(R10=0,0,R10/MBunk_act!R5*1000)</f>
        <v>2.2110064648512746</v>
      </c>
      <c r="S25" s="64">
        <f>IF(S10=0,0,S10/MBunk_act!S5*1000)</f>
        <v>1.5644840242930307</v>
      </c>
      <c r="T25" s="64">
        <f>IF(T10=0,0,T10/MBunk_act!T5*1000)</f>
        <v>0.21094640217721869</v>
      </c>
      <c r="U25" s="64">
        <f>IF(U10=0,0,U10/MBunk_act!U5*1000)</f>
        <v>1.6494319445713954</v>
      </c>
      <c r="V25" s="64">
        <f>IF(V10=0,0,V10/MBunk_act!V5*1000)</f>
        <v>2.0841333801363069</v>
      </c>
      <c r="W25" s="64">
        <f>IF(W10=0,0,W10/MBunk_act!W5*1000)</f>
        <v>2.125595583037442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0.43795059246328188</v>
      </c>
      <c r="C28" s="77">
        <f t="shared" si="3"/>
        <v>0.43650537760237312</v>
      </c>
      <c r="D28" s="77">
        <f t="shared" si="3"/>
        <v>0.43520833179979884</v>
      </c>
      <c r="E28" s="77">
        <f t="shared" si="3"/>
        <v>0.43534001353011342</v>
      </c>
      <c r="F28" s="77">
        <f t="shared" si="3"/>
        <v>0.43549576982876331</v>
      </c>
      <c r="G28" s="77">
        <f t="shared" si="3"/>
        <v>0.40872416389323929</v>
      </c>
      <c r="H28" s="77">
        <f t="shared" si="3"/>
        <v>0.40082162817077371</v>
      </c>
      <c r="I28" s="77">
        <f t="shared" si="3"/>
        <v>0.41499047133002914</v>
      </c>
      <c r="J28" s="77">
        <f t="shared" si="3"/>
        <v>0.41706585091486015</v>
      </c>
      <c r="K28" s="77">
        <f t="shared" si="3"/>
        <v>0.43190398368843408</v>
      </c>
      <c r="L28" s="77">
        <f t="shared" si="3"/>
        <v>0.46286595579755713</v>
      </c>
      <c r="M28" s="77">
        <f t="shared" si="3"/>
        <v>0.4332552595666721</v>
      </c>
      <c r="N28" s="77">
        <f t="shared" si="3"/>
        <v>0.46087505610163587</v>
      </c>
      <c r="O28" s="77">
        <f t="shared" si="3"/>
        <v>0.47447930917569364</v>
      </c>
      <c r="P28" s="77">
        <f t="shared" si="3"/>
        <v>0.46547777588454858</v>
      </c>
      <c r="Q28" s="77">
        <f t="shared" si="3"/>
        <v>0.48533746965209718</v>
      </c>
      <c r="R28" s="77">
        <f t="shared" si="3"/>
        <v>0.48676690762724895</v>
      </c>
      <c r="S28" s="77">
        <f t="shared" si="3"/>
        <v>0.4735410100718534</v>
      </c>
      <c r="T28" s="77">
        <f t="shared" si="3"/>
        <v>0.44849253432369346</v>
      </c>
      <c r="U28" s="77">
        <f t="shared" si="3"/>
        <v>0.41361747672474425</v>
      </c>
      <c r="V28" s="77">
        <f t="shared" si="3"/>
        <v>0.36435690350754885</v>
      </c>
      <c r="W28" s="77">
        <f t="shared" si="3"/>
        <v>0.33845781648852835</v>
      </c>
      <c r="DA28" s="184"/>
    </row>
    <row r="29" spans="1:105" ht="11.45" customHeight="1" x14ac:dyDescent="0.25">
      <c r="A29" s="57" t="s">
        <v>171</v>
      </c>
      <c r="B29" s="78">
        <f>IF(B10=0,0,B10/B$3)</f>
        <v>0.56204940753671806</v>
      </c>
      <c r="C29" s="78">
        <f t="shared" ref="C29:W29" si="4">IF(C10=0,0,C10/C$3)</f>
        <v>0.56349462239762682</v>
      </c>
      <c r="D29" s="78">
        <f t="shared" si="4"/>
        <v>0.56479166820020121</v>
      </c>
      <c r="E29" s="78">
        <f t="shared" si="4"/>
        <v>0.56465998646988647</v>
      </c>
      <c r="F29" s="78">
        <f t="shared" si="4"/>
        <v>0.56450423017123663</v>
      </c>
      <c r="G29" s="78">
        <f t="shared" si="4"/>
        <v>0.59127583610676071</v>
      </c>
      <c r="H29" s="78">
        <f t="shared" si="4"/>
        <v>0.59917837182922629</v>
      </c>
      <c r="I29" s="78">
        <f t="shared" si="4"/>
        <v>0.5850095286699708</v>
      </c>
      <c r="J29" s="78">
        <f t="shared" si="4"/>
        <v>0.58293414908513985</v>
      </c>
      <c r="K29" s="78">
        <f t="shared" si="4"/>
        <v>0.56809601631156592</v>
      </c>
      <c r="L29" s="78">
        <f t="shared" si="4"/>
        <v>0.53713404420244293</v>
      </c>
      <c r="M29" s="78">
        <f t="shared" si="4"/>
        <v>0.5667447404333279</v>
      </c>
      <c r="N29" s="78">
        <f t="shared" si="4"/>
        <v>0.53912494389836407</v>
      </c>
      <c r="O29" s="78">
        <f t="shared" si="4"/>
        <v>0.52552069082430641</v>
      </c>
      <c r="P29" s="78">
        <f t="shared" si="4"/>
        <v>0.53452222411545136</v>
      </c>
      <c r="Q29" s="78">
        <f t="shared" si="4"/>
        <v>0.51466253034790277</v>
      </c>
      <c r="R29" s="78">
        <f t="shared" si="4"/>
        <v>0.51323309237275105</v>
      </c>
      <c r="S29" s="78">
        <f t="shared" si="4"/>
        <v>0.52645898992814666</v>
      </c>
      <c r="T29" s="78">
        <f t="shared" si="4"/>
        <v>0.55150746567630649</v>
      </c>
      <c r="U29" s="78">
        <f t="shared" si="4"/>
        <v>0.58638252327525575</v>
      </c>
      <c r="V29" s="78">
        <f t="shared" si="4"/>
        <v>0.63564309649245121</v>
      </c>
      <c r="W29" s="78">
        <f t="shared" si="4"/>
        <v>0.66154218351147165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25.188012719999996</v>
      </c>
      <c r="C3" s="62">
        <f t="shared" ref="C3:W3" si="1">SUM(C4:C5)</f>
        <v>619.66751543999987</v>
      </c>
      <c r="D3" s="62">
        <f t="shared" si="1"/>
        <v>654.14344824</v>
      </c>
      <c r="E3" s="62">
        <f t="shared" si="1"/>
        <v>597.50669627999991</v>
      </c>
      <c r="F3" s="62">
        <f t="shared" si="1"/>
        <v>644.65525512000011</v>
      </c>
      <c r="G3" s="62">
        <f t="shared" si="1"/>
        <v>830.15027711999983</v>
      </c>
      <c r="H3" s="62">
        <f t="shared" si="1"/>
        <v>628.88260356000001</v>
      </c>
      <c r="I3" s="62">
        <f t="shared" si="1"/>
        <v>569.1397715999999</v>
      </c>
      <c r="J3" s="62">
        <f t="shared" si="1"/>
        <v>660.18541212000002</v>
      </c>
      <c r="K3" s="62">
        <f t="shared" si="1"/>
        <v>877.11097427999971</v>
      </c>
      <c r="L3" s="62">
        <f t="shared" si="1"/>
        <v>804.88336608000031</v>
      </c>
      <c r="M3" s="62">
        <f t="shared" si="1"/>
        <v>685.5069441600001</v>
      </c>
      <c r="N3" s="62">
        <f t="shared" si="1"/>
        <v>767.28342096000017</v>
      </c>
      <c r="O3" s="62">
        <f t="shared" si="1"/>
        <v>767.24094456000023</v>
      </c>
      <c r="P3" s="62">
        <f t="shared" si="1"/>
        <v>742.0347208799999</v>
      </c>
      <c r="Q3" s="62">
        <f t="shared" si="1"/>
        <v>808.35359400000016</v>
      </c>
      <c r="R3" s="62">
        <f t="shared" si="1"/>
        <v>997.14891456000009</v>
      </c>
      <c r="S3" s="62">
        <f t="shared" si="1"/>
        <v>824.14472327999988</v>
      </c>
      <c r="T3" s="62">
        <f t="shared" si="1"/>
        <v>119.01523644000002</v>
      </c>
      <c r="U3" s="62">
        <f t="shared" si="1"/>
        <v>913.41402407999999</v>
      </c>
      <c r="V3" s="62">
        <f t="shared" si="1"/>
        <v>642.80252700000005</v>
      </c>
      <c r="W3" s="62">
        <f t="shared" si="1"/>
        <v>644.69232503999979</v>
      </c>
      <c r="DA3" s="172" t="s">
        <v>985</v>
      </c>
    </row>
    <row r="4" spans="1:105" ht="11.45" customHeight="1" x14ac:dyDescent="0.25">
      <c r="A4" s="55" t="s">
        <v>170</v>
      </c>
      <c r="B4" s="63">
        <v>11.031105093696679</v>
      </c>
      <c r="C4" s="63">
        <v>265.44472359114468</v>
      </c>
      <c r="D4" s="63">
        <v>280.39702943951505</v>
      </c>
      <c r="E4" s="63">
        <v>256.43328612698792</v>
      </c>
      <c r="F4" s="63">
        <v>276.95888639622899</v>
      </c>
      <c r="G4" s="63">
        <v>334.65583289772366</v>
      </c>
      <c r="H4" s="63">
        <v>248.69475545957533</v>
      </c>
      <c r="I4" s="63">
        <v>233.15012391125333</v>
      </c>
      <c r="J4" s="63">
        <v>273.03028518900976</v>
      </c>
      <c r="K4" s="63">
        <v>375.73045201557994</v>
      </c>
      <c r="L4" s="63">
        <v>369.14775397522516</v>
      </c>
      <c r="M4" s="63">
        <v>293.18763633678128</v>
      </c>
      <c r="N4" s="63">
        <v>349.31887581340345</v>
      </c>
      <c r="O4" s="63">
        <v>360.15196789081403</v>
      </c>
      <c r="P4" s="63">
        <v>342.00486747855638</v>
      </c>
      <c r="Q4" s="63">
        <v>386.40813497530252</v>
      </c>
      <c r="R4" s="63">
        <v>477.5293037017878</v>
      </c>
      <c r="S4" s="63">
        <v>383.6415470943079</v>
      </c>
      <c r="T4" s="63">
        <v>53.270488909197127</v>
      </c>
      <c r="U4" s="63">
        <v>375.44708679827937</v>
      </c>
      <c r="V4" s="63">
        <v>234.05537663966072</v>
      </c>
      <c r="W4" s="63">
        <v>217.71050487619473</v>
      </c>
      <c r="DA4" s="181" t="s">
        <v>986</v>
      </c>
    </row>
    <row r="5" spans="1:105" ht="11.45" customHeight="1" x14ac:dyDescent="0.25">
      <c r="A5" s="57" t="s">
        <v>171</v>
      </c>
      <c r="B5" s="64">
        <v>14.156907626303317</v>
      </c>
      <c r="C5" s="64">
        <v>354.22279184885519</v>
      </c>
      <c r="D5" s="64">
        <v>373.746418800485</v>
      </c>
      <c r="E5" s="64">
        <v>341.07341015301199</v>
      </c>
      <c r="F5" s="64">
        <v>367.69636872377112</v>
      </c>
      <c r="G5" s="64">
        <v>495.49444422227612</v>
      </c>
      <c r="H5" s="64">
        <v>380.18784810042473</v>
      </c>
      <c r="I5" s="64">
        <v>335.98964768874657</v>
      </c>
      <c r="J5" s="64">
        <v>387.15512693099026</v>
      </c>
      <c r="K5" s="64">
        <v>501.38052226441982</v>
      </c>
      <c r="L5" s="64">
        <v>435.7356121047751</v>
      </c>
      <c r="M5" s="64">
        <v>392.31930782321888</v>
      </c>
      <c r="N5" s="64">
        <v>417.96454514659672</v>
      </c>
      <c r="O5" s="64">
        <v>407.0889766691862</v>
      </c>
      <c r="P5" s="64">
        <v>400.02985340144346</v>
      </c>
      <c r="Q5" s="64">
        <v>421.9454590246977</v>
      </c>
      <c r="R5" s="64">
        <v>519.61961085821235</v>
      </c>
      <c r="S5" s="64">
        <v>440.50317618569198</v>
      </c>
      <c r="T5" s="64">
        <v>65.744747530802897</v>
      </c>
      <c r="U5" s="64">
        <v>537.96693728172067</v>
      </c>
      <c r="V5" s="64">
        <v>408.74715036033933</v>
      </c>
      <c r="W5" s="64">
        <v>426.98182016380508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3.1024187999999997</v>
      </c>
      <c r="C9" s="79">
        <f>IF(C3=0,0,C3/MBunk_ene!C3)</f>
        <v>3.1688785019963754</v>
      </c>
      <c r="D9" s="79">
        <f>IF(D3=0,0,D3/MBunk_ene!D3)</f>
        <v>3.1825965341539488</v>
      </c>
      <c r="E9" s="79">
        <f>IF(E3=0,0,E3/MBunk_ene!E3)</f>
        <v>3.1860039978563139</v>
      </c>
      <c r="F9" s="79">
        <f>IF(F3=0,0,F3/MBunk_ene!F3)</f>
        <v>3.1885680407658858</v>
      </c>
      <c r="G9" s="79">
        <f>IF(G3=0,0,G3/MBunk_ene!G3)</f>
        <v>3.1920591112578496</v>
      </c>
      <c r="H9" s="79">
        <f>IF(H3=0,0,H3/MBunk_ene!H3)</f>
        <v>3.1942898069219252</v>
      </c>
      <c r="I9" s="79">
        <f>IF(I3=0,0,I3/MBunk_ene!I3)</f>
        <v>3.194154161537226</v>
      </c>
      <c r="J9" s="79">
        <f>IF(J3=0,0,J3/MBunk_ene!J3)</f>
        <v>3.2099043306594854</v>
      </c>
      <c r="K9" s="79">
        <f>IF(K3=0,0,K3/MBunk_ene!K3)</f>
        <v>3.209287525149684</v>
      </c>
      <c r="L9" s="79">
        <f>IF(L3=0,0,L3/MBunk_ene!L3)</f>
        <v>3.2020929333851478</v>
      </c>
      <c r="M9" s="79">
        <f>IF(M3=0,0,M3/MBunk_ene!M3)</f>
        <v>3.1916209663924935</v>
      </c>
      <c r="N9" s="79">
        <f>IF(N3=0,0,N3/MBunk_ene!N3)</f>
        <v>3.1898681356808498</v>
      </c>
      <c r="O9" s="79">
        <f>IF(O3=0,0,O3/MBunk_ene!O3)</f>
        <v>3.1938873400938803</v>
      </c>
      <c r="P9" s="79">
        <f>IF(P3=0,0,P3/MBunk_ene!P3)</f>
        <v>3.198874854495009</v>
      </c>
      <c r="Q9" s="79">
        <f>IF(Q3=0,0,Q3/MBunk_ene!Q3)</f>
        <v>3.1728877901385237</v>
      </c>
      <c r="R9" s="79">
        <f>IF(R3=0,0,R3/MBunk_ene!R3)</f>
        <v>3.1675355751934093</v>
      </c>
      <c r="S9" s="79">
        <f>IF(S3=0,0,S3/MBunk_ene!S3)</f>
        <v>3.1672965475746637</v>
      </c>
      <c r="T9" s="79">
        <f>IF(T3=0,0,T3/MBunk_ene!T3)</f>
        <v>3.1086478141774303</v>
      </c>
      <c r="U9" s="79">
        <f>IF(U3=0,0,U3/MBunk_ene!U3)</f>
        <v>3.1218946303174819</v>
      </c>
      <c r="V9" s="79">
        <f>IF(V3=0,0,V3/MBunk_ene!V3)</f>
        <v>3.1044622226047314</v>
      </c>
      <c r="W9" s="79">
        <f>IF(W3=0,0,W3/MBunk_ene!W3)</f>
        <v>3.1094106870336367</v>
      </c>
      <c r="DA9" s="172"/>
    </row>
    <row r="10" spans="1:105" ht="11.45" customHeight="1" x14ac:dyDescent="0.25">
      <c r="A10" s="55" t="s">
        <v>170</v>
      </c>
      <c r="B10" s="80">
        <f>IF(B4=0,0,B4/MBunk_ene!B4)</f>
        <v>3.1024188000000001</v>
      </c>
      <c r="C10" s="80">
        <f>IF(C4=0,0,C4/MBunk_ene!C4)</f>
        <v>3.109792106650465</v>
      </c>
      <c r="D10" s="80">
        <f>IF(D4=0,0,D4/MBunk_ene!D4)</f>
        <v>3.1346192536878745</v>
      </c>
      <c r="E10" s="80">
        <f>IF(E4=0,0,E4/MBunk_ene!E4)</f>
        <v>3.1408655852544531</v>
      </c>
      <c r="F10" s="80">
        <f>IF(F4=0,0,F4/MBunk_ene!F4)</f>
        <v>3.1455712367500808</v>
      </c>
      <c r="G10" s="80">
        <f>IF(G4=0,0,G4/MBunk_ene!G4)</f>
        <v>3.1483448251844273</v>
      </c>
      <c r="H10" s="80">
        <f>IF(H4=0,0,H4/MBunk_ene!H4)</f>
        <v>3.1515210582633908</v>
      </c>
      <c r="I10" s="80">
        <f>IF(I4=0,0,I4/MBunk_ene!I4)</f>
        <v>3.1530761779704739</v>
      </c>
      <c r="J10" s="80">
        <f>IF(J4=0,0,J4/MBunk_ene!J4)</f>
        <v>3.182968613931362</v>
      </c>
      <c r="K10" s="80">
        <f>IF(K4=0,0,K4/MBunk_ene!K4)</f>
        <v>3.1830485899190335</v>
      </c>
      <c r="L10" s="80">
        <f>IF(L4=0,0,L4/MBunk_ene!L4)</f>
        <v>3.1728239203044102</v>
      </c>
      <c r="M10" s="80">
        <f>IF(M4=0,0,M4/MBunk_ene!M4)</f>
        <v>3.1506579701054651</v>
      </c>
      <c r="N10" s="80">
        <f>IF(N4=0,0,N4/MBunk_ene!N4)</f>
        <v>3.1510534239274763</v>
      </c>
      <c r="O10" s="80">
        <f>IF(O4=0,0,O4/MBunk_ene!O4)</f>
        <v>3.1597762832989313</v>
      </c>
      <c r="P10" s="80">
        <f>IF(P4=0,0,P4/MBunk_ene!P4)</f>
        <v>3.1674251411474854</v>
      </c>
      <c r="Q10" s="80">
        <f>IF(Q4=0,0,Q4/MBunk_ene!Q4)</f>
        <v>3.1250414294969846</v>
      </c>
      <c r="R10" s="80">
        <f>IF(R4=0,0,R4/MBunk_ene!R4)</f>
        <v>3.1163086289999744</v>
      </c>
      <c r="S10" s="80">
        <f>IF(S4=0,0,S4/MBunk_ene!S4)</f>
        <v>3.1135316338887962</v>
      </c>
      <c r="T10" s="80">
        <f>IF(T4=0,0,T4/MBunk_ene!T4)</f>
        <v>3.1024188000000006</v>
      </c>
      <c r="U10" s="80">
        <f>IF(U4=0,0,U4/MBunk_ene!U4)</f>
        <v>3.1024188000000001</v>
      </c>
      <c r="V10" s="80">
        <f>IF(V4=0,0,V4/MBunk_ene!V4)</f>
        <v>3.1024188000000001</v>
      </c>
      <c r="W10" s="80">
        <f>IF(W4=0,0,W4/MBunk_ene!W4)</f>
        <v>3.1024188000000001</v>
      </c>
      <c r="DA10" s="181"/>
    </row>
    <row r="11" spans="1:105" ht="11.45" customHeight="1" x14ac:dyDescent="0.25">
      <c r="A11" s="57" t="s">
        <v>171</v>
      </c>
      <c r="B11" s="81">
        <f>IF(B5=0,0,B5/MBunk_ene!B10)</f>
        <v>3.1024187999999997</v>
      </c>
      <c r="C11" s="81">
        <f>IF(C5=0,0,C5/MBunk_ene!C10)</f>
        <v>3.2146491771483201</v>
      </c>
      <c r="D11" s="81">
        <f>IF(D5=0,0,D5/MBunk_ene!D10)</f>
        <v>3.2195661166948337</v>
      </c>
      <c r="E11" s="81">
        <f>IF(E5=0,0,E5/MBunk_ene!E10)</f>
        <v>3.2208046878709768</v>
      </c>
      <c r="F11" s="81">
        <f>IF(F5=0,0,F5/MBunk_ene!F10)</f>
        <v>3.2217386093183298</v>
      </c>
      <c r="G11" s="81">
        <f>IF(G5=0,0,G5/MBunk_ene!G10)</f>
        <v>3.2222769621059322</v>
      </c>
      <c r="H11" s="81">
        <f>IF(H5=0,0,H5/MBunk_ene!H10)</f>
        <v>3.2229000510130232</v>
      </c>
      <c r="I11" s="81">
        <f>IF(I5=0,0,I5/MBunk_ene!I10)</f>
        <v>3.2232938095706696</v>
      </c>
      <c r="J11" s="81">
        <f>IF(J5=0,0,J5/MBunk_ene!J10)</f>
        <v>3.2291757485972528</v>
      </c>
      <c r="K11" s="81">
        <f>IF(K5=0,0,K5/MBunk_ene!K10)</f>
        <v>3.2292360907591382</v>
      </c>
      <c r="L11" s="81">
        <f>IF(L5=0,0,L5/MBunk_ene!L10)</f>
        <v>3.2273149982702409</v>
      </c>
      <c r="M11" s="81">
        <f>IF(M5=0,0,M5/MBunk_ene!M10)</f>
        <v>3.2229356523927479</v>
      </c>
      <c r="N11" s="81">
        <f>IF(N5=0,0,N5/MBunk_ene!N10)</f>
        <v>3.2230491870481881</v>
      </c>
      <c r="O11" s="81">
        <f>IF(O5=0,0,O5/MBunk_ene!O10)</f>
        <v>3.2246853485185021</v>
      </c>
      <c r="P11" s="81">
        <f>IF(P5=0,0,P5/MBunk_ene!P10)</f>
        <v>3.2262621958640931</v>
      </c>
      <c r="Q11" s="81">
        <f>IF(Q5=0,0,Q5/MBunk_ene!Q10)</f>
        <v>3.2180079032933109</v>
      </c>
      <c r="R11" s="81">
        <f>IF(R5=0,0,R5/MBunk_ene!R10)</f>
        <v>3.2161208721205519</v>
      </c>
      <c r="S11" s="81">
        <f>IF(S5=0,0,S5/MBunk_ene!S10)</f>
        <v>3.2156571834842276</v>
      </c>
      <c r="T11" s="81">
        <f>IF(T5=0,0,T5/MBunk_ene!T10)</f>
        <v>3.1137133237645904</v>
      </c>
      <c r="U11" s="81">
        <f>IF(U5=0,0,U5/MBunk_ene!U10)</f>
        <v>3.1356323245243991</v>
      </c>
      <c r="V11" s="81">
        <f>IF(V5=0,0,V5/MBunk_ene!V10)</f>
        <v>3.1056335326322064</v>
      </c>
      <c r="W11" s="81">
        <f>IF(W5=0,0,W5/MBunk_ene!W10)</f>
        <v>3.1129878720983566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4144.8785927035151</v>
      </c>
      <c r="C13" s="62">
        <f>IF(C3=0,0,C3/MBunk_act!C7*100)</f>
        <v>4395.3898791073188</v>
      </c>
      <c r="D13" s="62">
        <f>IF(D3=0,0,D3/MBunk_act!D7*100)</f>
        <v>4456.3838396816627</v>
      </c>
      <c r="E13" s="62">
        <f>IF(E3=0,0,E3/MBunk_act!E7*100)</f>
        <v>4462.1723394866312</v>
      </c>
      <c r="F13" s="62">
        <f>IF(F3=0,0,F3/MBunk_act!F7*100)</f>
        <v>4486.2454368578547</v>
      </c>
      <c r="G13" s="62">
        <f>IF(G3=0,0,G3/MBunk_act!G7*100)</f>
        <v>5341.8102841090531</v>
      </c>
      <c r="H13" s="62">
        <f>IF(H3=0,0,H3/MBunk_act!H7*100)</f>
        <v>5232.5295413127087</v>
      </c>
      <c r="I13" s="62">
        <f>IF(I3=0,0,I3/MBunk_act!I7*100)</f>
        <v>4409.5243067047968</v>
      </c>
      <c r="J13" s="62">
        <f>IF(J3=0,0,J3/MBunk_act!J7*100)</f>
        <v>5272.0349667739465</v>
      </c>
      <c r="K13" s="62">
        <f>IF(K3=0,0,K3/MBunk_act!K7*100)</f>
        <v>8378.0477671697899</v>
      </c>
      <c r="L13" s="62">
        <f>IF(L3=0,0,L3/MBunk_act!L7*100)</f>
        <v>7633.4488545512031</v>
      </c>
      <c r="M13" s="62">
        <f>IF(M3=0,0,M3/MBunk_act!M7*100)</f>
        <v>6114.1980064973077</v>
      </c>
      <c r="N13" s="62">
        <f>IF(N3=0,0,N3/MBunk_act!N7*100)</f>
        <v>6163.9854876096661</v>
      </c>
      <c r="O13" s="62">
        <f>IF(O3=0,0,O3/MBunk_act!O7*100)</f>
        <v>6695.7949436704457</v>
      </c>
      <c r="P13" s="62">
        <f>IF(P3=0,0,P3/MBunk_act!P7*100)</f>
        <v>6478.9222309011266</v>
      </c>
      <c r="Q13" s="62">
        <f>IF(Q3=0,0,Q3/MBunk_act!Q7*100)</f>
        <v>8027.2432909733934</v>
      </c>
      <c r="R13" s="62">
        <f>IF(R3=0,0,R3/MBunk_act!R7*100)</f>
        <v>10295.024710151096</v>
      </c>
      <c r="S13" s="62">
        <f>IF(S3=0,0,S3/MBunk_act!S7*100)</f>
        <v>8192.9189353620623</v>
      </c>
      <c r="T13" s="62">
        <f>IF(T3=0,0,T3/MBunk_act!T7*100)</f>
        <v>1128.8502637140359</v>
      </c>
      <c r="U13" s="62">
        <f>IF(U3=0,0,U3/MBunk_act!U7*100)</f>
        <v>9411.4485730035503</v>
      </c>
      <c r="V13" s="62">
        <f>IF(V3=0,0,V3/MBunk_act!V7*100)</f>
        <v>10186.29091951515</v>
      </c>
      <c r="W13" s="62">
        <f>IF(W3=0,0,W3/MBunk_act!W7*100)</f>
        <v>10776.08681547549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3223.8008672987016</v>
      </c>
      <c r="C14" s="63">
        <f>IF(C4=0,0,C4/MBunk_act!C8*100)</f>
        <v>3358.3708293429731</v>
      </c>
      <c r="D14" s="63">
        <f>IF(D4=0,0,D4/MBunk_act!D8*100)</f>
        <v>3417.1818728952703</v>
      </c>
      <c r="E14" s="63">
        <f>IF(E4=0,0,E4/MBunk_act!E8*100)</f>
        <v>3440.0812167907288</v>
      </c>
      <c r="F14" s="63">
        <f>IF(F4=0,0,F4/MBunk_act!F8*100)</f>
        <v>3453.8940379586797</v>
      </c>
      <c r="G14" s="63">
        <f>IF(G4=0,0,G4/MBunk_act!G8*100)</f>
        <v>4212.466125864049</v>
      </c>
      <c r="H14" s="63">
        <f>IF(H4=0,0,H4/MBunk_act!H8*100)</f>
        <v>4051.858288841112</v>
      </c>
      <c r="I14" s="63">
        <f>IF(I4=0,0,I4/MBunk_act!I8*100)</f>
        <v>3446.6882526645604</v>
      </c>
      <c r="J14" s="63">
        <f>IF(J4=0,0,J4/MBunk_act!J8*100)</f>
        <v>4144.1853388157469</v>
      </c>
      <c r="K14" s="63">
        <f>IF(K4=0,0,K4/MBunk_act!K8*100)</f>
        <v>6577.3648106693454</v>
      </c>
      <c r="L14" s="63">
        <f>IF(L4=0,0,L4/MBunk_act!L8*100)</f>
        <v>5916.5993070769009</v>
      </c>
      <c r="M14" s="63">
        <f>IF(M4=0,0,M4/MBunk_act!M8*100)</f>
        <v>4727.4595933791052</v>
      </c>
      <c r="N14" s="63">
        <f>IF(N4=0,0,N4/MBunk_act!N8*100)</f>
        <v>4639.2168051083536</v>
      </c>
      <c r="O14" s="63">
        <f>IF(O4=0,0,O4/MBunk_act!O8*100)</f>
        <v>4975.9166107915535</v>
      </c>
      <c r="P14" s="63">
        <f>IF(P4=0,0,P4/MBunk_act!P8*100)</f>
        <v>4897.7735708236105</v>
      </c>
      <c r="Q14" s="63">
        <f>IF(Q4=0,0,Q4/MBunk_act!Q8*100)</f>
        <v>5989.1997499484642</v>
      </c>
      <c r="R14" s="63">
        <f>IF(R4=0,0,R4/MBunk_act!R8*100)</f>
        <v>7725.5925279384428</v>
      </c>
      <c r="S14" s="63">
        <f>IF(S4=0,0,S4/MBunk_act!S8*100)</f>
        <v>6258.6286978650842</v>
      </c>
      <c r="T14" s="63">
        <f>IF(T4=0,0,T4/MBunk_act!T8*100)</f>
        <v>885.74948915149105</v>
      </c>
      <c r="U14" s="63">
        <f>IF(U4=0,0,U4/MBunk_act!U8*100)</f>
        <v>7471.2819919569283</v>
      </c>
      <c r="V14" s="63">
        <f>IF(V4=0,0,V4/MBunk_act!V8*100)</f>
        <v>7617.4205197841957</v>
      </c>
      <c r="W14" s="63">
        <f>IF(W4=0,0,W4/MBunk_act!W8*100)</f>
        <v>7874.2476017144827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5331.9075247928795</v>
      </c>
      <c r="C15" s="64">
        <f>IF(C5=0,0,C5/MBunk_act!C9*100)</f>
        <v>5718.6657517528256</v>
      </c>
      <c r="D15" s="64">
        <f>IF(D5=0,0,D5/MBunk_act!D9*100)</f>
        <v>5773.6702480575559</v>
      </c>
      <c r="E15" s="64">
        <f>IF(E5=0,0,E5/MBunk_act!E9*100)</f>
        <v>5745.643560612707</v>
      </c>
      <c r="F15" s="64">
        <f>IF(F5=0,0,F5/MBunk_act!F9*100)</f>
        <v>5789.7180822502542</v>
      </c>
      <c r="G15" s="64">
        <f>IF(G5=0,0,G5/MBunk_act!G9*100)</f>
        <v>6522.9243436591005</v>
      </c>
      <c r="H15" s="64">
        <f>IF(H5=0,0,H5/MBunk_act!H9*100)</f>
        <v>6464.7726323658544</v>
      </c>
      <c r="I15" s="64">
        <f>IF(I5=0,0,I5/MBunk_act!I9*100)</f>
        <v>5469.8385711160608</v>
      </c>
      <c r="J15" s="64">
        <f>IF(J5=0,0,J5/MBunk_act!J9*100)</f>
        <v>6524.2126042948557</v>
      </c>
      <c r="K15" s="64">
        <f>IF(K5=0,0,K5/MBunk_act!K9*100)</f>
        <v>10540.55606566807</v>
      </c>
      <c r="L15" s="64">
        <f>IF(L5=0,0,L5/MBunk_act!L9*100)</f>
        <v>10121.673433365833</v>
      </c>
      <c r="M15" s="64">
        <f>IF(M5=0,0,M5/MBunk_act!M9*100)</f>
        <v>7830.8466244228739</v>
      </c>
      <c r="N15" s="64">
        <f>IF(N5=0,0,N5/MBunk_act!N9*100)</f>
        <v>8498.4081445770316</v>
      </c>
      <c r="O15" s="64">
        <f>IF(O5=0,0,O5/MBunk_act!O9*100)</f>
        <v>9645.1794397680314</v>
      </c>
      <c r="P15" s="64">
        <f>IF(P5=0,0,P5/MBunk_act!P9*100)</f>
        <v>8948.8253396036835</v>
      </c>
      <c r="Q15" s="64">
        <f>IF(Q5=0,0,Q5/MBunk_act!Q9*100)</f>
        <v>11661.176887121735</v>
      </c>
      <c r="R15" s="64">
        <f>IF(R5=0,0,R5/MBunk_act!R9*100)</f>
        <v>14826.783729680279</v>
      </c>
      <c r="S15" s="64">
        <f>IF(S5=0,0,S5/MBunk_act!S9*100)</f>
        <v>11210.35814827321</v>
      </c>
      <c r="T15" s="64">
        <f>IF(T5=0,0,T5/MBunk_act!T9*100)</f>
        <v>1451.6784848433299</v>
      </c>
      <c r="U15" s="64">
        <f>IF(U5=0,0,U5/MBunk_act!U9*100)</f>
        <v>11494.658977201372</v>
      </c>
      <c r="V15" s="64">
        <f>IF(V5=0,0,V5/MBunk_act!V9*100)</f>
        <v>12624.092228333489</v>
      </c>
      <c r="W15" s="64">
        <f>IF(W5=0,0,W5/MBunk_act!W9*100)</f>
        <v>13269.461726812884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5.8733953996453678</v>
      </c>
      <c r="C17" s="62">
        <f>IF(C3=0,0,C3/MBunk_act!C3*1000)</f>
        <v>6.0760510169738717</v>
      </c>
      <c r="D17" s="62">
        <f>IF(D3=0,0,D3/MBunk_act!D3*1000)</f>
        <v>6.0833484537102054</v>
      </c>
      <c r="E17" s="62">
        <f>IF(E3=0,0,E3/MBunk_act!E3*1000)</f>
        <v>6.0817525706091562</v>
      </c>
      <c r="F17" s="62">
        <f>IF(F3=0,0,F3/MBunk_act!F3*1000)</f>
        <v>6.0901885405232656</v>
      </c>
      <c r="G17" s="62">
        <f>IF(G3=0,0,G3/MBunk_act!G3*1000)</f>
        <v>6.92183338958775</v>
      </c>
      <c r="H17" s="62">
        <f>IF(H3=0,0,H3/MBunk_act!H3*1000)</f>
        <v>6.2868802868273423</v>
      </c>
      <c r="I17" s="62">
        <f>IF(I3=0,0,I3/MBunk_act!I3*1000)</f>
        <v>5.0401821811340843</v>
      </c>
      <c r="J17" s="62">
        <f>IF(J3=0,0,J3/MBunk_act!J3*1000)</f>
        <v>5.9503593364189413</v>
      </c>
      <c r="K17" s="62">
        <f>IF(K3=0,0,K3/MBunk_act!K3*1000)</f>
        <v>8.6579608252316795</v>
      </c>
      <c r="L17" s="62">
        <f>IF(L3=0,0,L3/MBunk_act!L3*1000)</f>
        <v>7.4794130210614531</v>
      </c>
      <c r="M17" s="62">
        <f>IF(M3=0,0,M3/MBunk_act!M3*1000)</f>
        <v>5.4356478347899699</v>
      </c>
      <c r="N17" s="62">
        <f>IF(N3=0,0,N3/MBunk_act!N3*1000)</f>
        <v>5.8359188747231974</v>
      </c>
      <c r="O17" s="62">
        <f>IF(O3=0,0,O3/MBunk_act!O3*1000)</f>
        <v>6.4377936786413885</v>
      </c>
      <c r="P17" s="62">
        <f>IF(P3=0,0,P3/MBunk_act!P3*1000)</f>
        <v>5.5227296786762503</v>
      </c>
      <c r="Q17" s="62">
        <f>IF(Q3=0,0,Q3/MBunk_act!Q3*1000)</f>
        <v>6.7619506484360326</v>
      </c>
      <c r="R17" s="62">
        <f>IF(R3=0,0,R3/MBunk_act!R3*1000)</f>
        <v>8.5770574507492992</v>
      </c>
      <c r="S17" s="62">
        <f>IF(S3=0,0,S3/MBunk_act!S3*1000)</f>
        <v>6.33477859772856</v>
      </c>
      <c r="T17" s="62">
        <f>IF(T3=0,0,T3/MBunk_act!T3*1000)</f>
        <v>0.84442754334227599</v>
      </c>
      <c r="U17" s="62">
        <f>IF(U3=0,0,U3/MBunk_act!U3*1000)</f>
        <v>6.6578281067199523</v>
      </c>
      <c r="V17" s="62">
        <f>IF(V3=0,0,V3/MBunk_act!V3*1000)</f>
        <v>7.7531834189541273</v>
      </c>
      <c r="W17" s="62">
        <f>IF(W3=0,0,W3/MBunk_act!W3*1000)</f>
        <v>8.0059222027799333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8.0497107436477044</v>
      </c>
      <c r="C18" s="63">
        <f>IF(C4=0,0,C4/MBunk_act!C4*1000)</f>
        <v>8.2762507700619707</v>
      </c>
      <c r="D18" s="63">
        <f>IF(D4=0,0,D4/MBunk_act!D4*1000)</f>
        <v>8.2901409062461386</v>
      </c>
      <c r="E18" s="63">
        <f>IF(E4=0,0,E4/MBunk_act!E4*1000)</f>
        <v>8.2801053332424015</v>
      </c>
      <c r="F18" s="63">
        <f>IF(F4=0,0,F4/MBunk_act!F4*1000)</f>
        <v>8.3042151164374705</v>
      </c>
      <c r="G18" s="63">
        <f>IF(G4=0,0,G4/MBunk_act!G4*1000)</f>
        <v>9.8549638767582763</v>
      </c>
      <c r="H18" s="63">
        <f>IF(H4=0,0,H4/MBunk_act!H4*1000)</f>
        <v>8.4074224122934798</v>
      </c>
      <c r="I18" s="63">
        <f>IF(I4=0,0,I4/MBunk_act!I4*1000)</f>
        <v>6.9741917564083842</v>
      </c>
      <c r="J18" s="63">
        <f>IF(J4=0,0,J4/MBunk_act!J4*1000)</f>
        <v>8.4706068886170502</v>
      </c>
      <c r="K18" s="63">
        <f>IF(K4=0,0,K4/MBunk_act!K4*1000)</f>
        <v>12.1716146481421</v>
      </c>
      <c r="L18" s="63">
        <f>IF(L4=0,0,L4/MBunk_act!L4*1000)</f>
        <v>10.422445234167766</v>
      </c>
      <c r="M18" s="63">
        <f>IF(M4=0,0,M4/MBunk_act!M4*1000)</f>
        <v>7.7361536763925622</v>
      </c>
      <c r="N18" s="63">
        <f>IF(N4=0,0,N4/MBunk_act!N4*1000)</f>
        <v>7.3610514837590761</v>
      </c>
      <c r="O18" s="63">
        <f>IF(O4=0,0,O4/MBunk_act!O4*1000)</f>
        <v>7.5931541483132623</v>
      </c>
      <c r="P18" s="63">
        <f>IF(P4=0,0,P4/MBunk_act!P4*1000)</f>
        <v>7.1389399461100638</v>
      </c>
      <c r="Q18" s="63">
        <f>IF(Q4=0,0,Q4/MBunk_act!Q4*1000)</f>
        <v>8.376430433453729</v>
      </c>
      <c r="R18" s="63">
        <f>IF(R4=0,0,R4/MBunk_act!R4*1000)</f>
        <v>11.058105119263278</v>
      </c>
      <c r="S18" s="63">
        <f>IF(S4=0,0,S4/MBunk_act!S4*1000)</f>
        <v>9.0188090462118602</v>
      </c>
      <c r="T18" s="63">
        <f>IF(T4=0,0,T4/MBunk_act!T4*1000)</f>
        <v>1.3041343434347628</v>
      </c>
      <c r="U18" s="63">
        <f>IF(U4=0,0,U4/MBunk_act!U4*1000)</f>
        <v>11.315813449318586</v>
      </c>
      <c r="V18" s="63">
        <f>IF(V4=0,0,V4/MBunk_act!V4*1000)</f>
        <v>11.846477303185955</v>
      </c>
      <c r="W18" s="63">
        <f>IF(W4=0,0,W4/MBunk_act!W4*1000)</f>
        <v>13.608211107621031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4.851379947946775</v>
      </c>
      <c r="C19" s="64">
        <f>IF(C5=0,0,C5/MBunk_act!C5*1000)</f>
        <v>5.0666824972111106</v>
      </c>
      <c r="D19" s="64">
        <f>IF(D5=0,0,D5/MBunk_act!D5*1000)</f>
        <v>5.0706899728285597</v>
      </c>
      <c r="E19" s="64">
        <f>IF(E5=0,0,E5/MBunk_act!E5*1000)</f>
        <v>5.0697636273432698</v>
      </c>
      <c r="F19" s="64">
        <f>IF(F5=0,0,F5/MBunk_act!F5*1000)</f>
        <v>5.0716851347082583</v>
      </c>
      <c r="G19" s="64">
        <f>IF(G5=0,0,G5/MBunk_act!G5*1000)</f>
        <v>5.7633030456573531</v>
      </c>
      <c r="H19" s="64">
        <f>IF(H5=0,0,H5/MBunk_act!H5*1000)</f>
        <v>5.3965192224849226</v>
      </c>
      <c r="I19" s="64">
        <f>IF(I5=0,0,I5/MBunk_act!I5*1000)</f>
        <v>4.2268132958258313</v>
      </c>
      <c r="J19" s="64">
        <f>IF(J5=0,0,J5/MBunk_act!J5*1000)</f>
        <v>4.9183690778406577</v>
      </c>
      <c r="K19" s="64">
        <f>IF(K5=0,0,K5/MBunk_act!K5*1000)</f>
        <v>7.1180932137365485</v>
      </c>
      <c r="L19" s="64">
        <f>IF(L5=0,0,L5/MBunk_act!L5*1000)</f>
        <v>6.0355676342908309</v>
      </c>
      <c r="M19" s="64">
        <f>IF(M5=0,0,M5/MBunk_act!M5*1000)</f>
        <v>4.4473170677568961</v>
      </c>
      <c r="N19" s="64">
        <f>IF(N5=0,0,N5/MBunk_act!N5*1000)</f>
        <v>4.9745246605119302</v>
      </c>
      <c r="O19" s="64">
        <f>IF(O5=0,0,O5/MBunk_act!O5*1000)</f>
        <v>5.6739922358213635</v>
      </c>
      <c r="P19" s="64">
        <f>IF(P5=0,0,P5/MBunk_act!P5*1000)</f>
        <v>4.6271269090389477</v>
      </c>
      <c r="Q19" s="64">
        <f>IF(Q5=0,0,Q5/MBunk_act!Q5*1000)</f>
        <v>5.7474769192209543</v>
      </c>
      <c r="R19" s="64">
        <f>IF(R5=0,0,R5/MBunk_act!R5*1000)</f>
        <v>7.1108640400016592</v>
      </c>
      <c r="S19" s="64">
        <f>IF(S5=0,0,S5/MBunk_act!S5*1000)</f>
        <v>5.0308442911641968</v>
      </c>
      <c r="T19" s="64">
        <f>IF(T5=0,0,T5/MBunk_act!T5*1000)</f>
        <v>0.65682662305940964</v>
      </c>
      <c r="U19" s="64">
        <f>IF(U5=0,0,U5/MBunk_act!U5*1000)</f>
        <v>5.1720121225012043</v>
      </c>
      <c r="V19" s="64">
        <f>IF(V5=0,0,V5/MBunk_act!V5*1000)</f>
        <v>6.4725545118294194</v>
      </c>
      <c r="W19" s="64">
        <f>IF(W5=0,0,W5/MBunk_act!W5*1000)</f>
        <v>6.6169532709813925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0.43795059246328188</v>
      </c>
      <c r="C22" s="77">
        <f t="shared" si="2"/>
        <v>0.4283663690239814</v>
      </c>
      <c r="D22" s="77">
        <f t="shared" si="2"/>
        <v>0.42864761573923099</v>
      </c>
      <c r="E22" s="77">
        <f t="shared" si="2"/>
        <v>0.42917223810797217</v>
      </c>
      <c r="F22" s="77">
        <f t="shared" si="2"/>
        <v>0.42962325087177666</v>
      </c>
      <c r="G22" s="77">
        <f t="shared" si="2"/>
        <v>0.4031268098334303</v>
      </c>
      <c r="H22" s="77">
        <f t="shared" si="2"/>
        <v>0.39545497689354997</v>
      </c>
      <c r="I22" s="77">
        <f t="shared" si="2"/>
        <v>0.40965354302302176</v>
      </c>
      <c r="J22" s="77">
        <f t="shared" si="2"/>
        <v>0.41356606822354602</v>
      </c>
      <c r="K22" s="77">
        <f t="shared" si="2"/>
        <v>0.42837276357647724</v>
      </c>
      <c r="L22" s="77">
        <f t="shared" si="2"/>
        <v>0.45863508867511399</v>
      </c>
      <c r="M22" s="77">
        <f t="shared" si="2"/>
        <v>0.4276946263411594</v>
      </c>
      <c r="N22" s="77">
        <f t="shared" si="2"/>
        <v>0.45526707116432541</v>
      </c>
      <c r="O22" s="77">
        <f t="shared" si="2"/>
        <v>0.4694118196433783</v>
      </c>
      <c r="P22" s="77">
        <f t="shared" si="2"/>
        <v>0.4609014347373977</v>
      </c>
      <c r="Q22" s="77">
        <f t="shared" si="2"/>
        <v>0.47801870102813254</v>
      </c>
      <c r="R22" s="77">
        <f t="shared" si="2"/>
        <v>0.4788946733322188</v>
      </c>
      <c r="S22" s="77">
        <f t="shared" si="2"/>
        <v>0.46550264323413887</v>
      </c>
      <c r="T22" s="77">
        <f t="shared" si="2"/>
        <v>0.44759385859013728</v>
      </c>
      <c r="U22" s="77">
        <f t="shared" si="2"/>
        <v>0.41103713858174395</v>
      </c>
      <c r="V22" s="77">
        <f t="shared" si="2"/>
        <v>0.36411707609802335</v>
      </c>
      <c r="W22" s="77">
        <f t="shared" si="2"/>
        <v>0.33769675304058711</v>
      </c>
      <c r="DA22" s="184"/>
    </row>
    <row r="23" spans="1:105" ht="11.45" customHeight="1" x14ac:dyDescent="0.25">
      <c r="A23" s="57" t="s">
        <v>171</v>
      </c>
      <c r="B23" s="78">
        <f t="shared" si="2"/>
        <v>0.56204940753671806</v>
      </c>
      <c r="C23" s="78">
        <f t="shared" si="2"/>
        <v>0.5716336309760186</v>
      </c>
      <c r="D23" s="78">
        <f t="shared" si="2"/>
        <v>0.57135238426076906</v>
      </c>
      <c r="E23" s="78">
        <f t="shared" si="2"/>
        <v>0.57082776189202789</v>
      </c>
      <c r="F23" s="78">
        <f t="shared" si="2"/>
        <v>0.57037674912822334</v>
      </c>
      <c r="G23" s="78">
        <f t="shared" si="2"/>
        <v>0.59687319016656959</v>
      </c>
      <c r="H23" s="78">
        <f t="shared" si="2"/>
        <v>0.6045450231064502</v>
      </c>
      <c r="I23" s="78">
        <f t="shared" si="2"/>
        <v>0.5903464569769783</v>
      </c>
      <c r="J23" s="78">
        <f t="shared" si="2"/>
        <v>0.58643393177645398</v>
      </c>
      <c r="K23" s="78">
        <f t="shared" si="2"/>
        <v>0.57162723642352276</v>
      </c>
      <c r="L23" s="78">
        <f t="shared" si="2"/>
        <v>0.54136491132488596</v>
      </c>
      <c r="M23" s="78">
        <f t="shared" si="2"/>
        <v>0.57230537365884071</v>
      </c>
      <c r="N23" s="78">
        <f t="shared" si="2"/>
        <v>0.54473292883567459</v>
      </c>
      <c r="O23" s="78">
        <f t="shared" si="2"/>
        <v>0.5305881803566217</v>
      </c>
      <c r="P23" s="78">
        <f t="shared" si="2"/>
        <v>0.53909856526260225</v>
      </c>
      <c r="Q23" s="78">
        <f t="shared" si="2"/>
        <v>0.52198129897186751</v>
      </c>
      <c r="R23" s="78">
        <f t="shared" si="2"/>
        <v>0.52110532666778131</v>
      </c>
      <c r="S23" s="78">
        <f t="shared" si="2"/>
        <v>0.53449735676586108</v>
      </c>
      <c r="T23" s="78">
        <f t="shared" si="2"/>
        <v>0.55240614140986266</v>
      </c>
      <c r="U23" s="78">
        <f t="shared" si="2"/>
        <v>0.58896286141825605</v>
      </c>
      <c r="V23" s="78">
        <f t="shared" si="2"/>
        <v>0.63588292390197665</v>
      </c>
      <c r="W23" s="78">
        <f t="shared" si="2"/>
        <v>0.66230324695941289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2024-05-20T16:53:30Z</dcterms:created>
  <dcterms:modified xsi:type="dcterms:W3CDTF">2024-05-20T16:53:31Z</dcterms:modified>
</cp:coreProperties>
</file>