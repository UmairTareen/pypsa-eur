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P18" i="20"/>
  <c r="N30" i="3"/>
  <c r="M30" i="3"/>
  <c r="K30" i="3"/>
  <c r="J30" i="3"/>
  <c r="I30" i="3"/>
  <c r="H30" i="3"/>
  <c r="G30" i="3"/>
  <c r="C30" i="3"/>
  <c r="C242" i="3" s="1"/>
  <c r="B30" i="3"/>
  <c r="C18" i="20"/>
  <c r="B25" i="1"/>
  <c r="B26" i="1"/>
  <c r="B24" i="1"/>
  <c r="S242" i="3" l="1"/>
  <c r="Q14" i="18"/>
  <c r="W14" i="18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N3" i="18"/>
  <c r="N17" i="18" s="1"/>
  <c r="U14" i="18"/>
  <c r="E21" i="20"/>
  <c r="P14" i="18"/>
  <c r="J14" i="20"/>
  <c r="O3" i="20"/>
  <c r="O23" i="20" s="1"/>
  <c r="O3" i="18"/>
  <c r="O18" i="18" s="1"/>
  <c r="N3" i="20"/>
  <c r="Q14" i="20"/>
  <c r="Q10" i="20"/>
  <c r="Q3" i="20"/>
  <c r="Q22" i="20" s="1"/>
  <c r="C19" i="20"/>
  <c r="E14" i="18"/>
  <c r="M14" i="18"/>
  <c r="U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G25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H11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M23" i="20"/>
  <c r="R3" i="20"/>
  <c r="Q21" i="19" l="1"/>
  <c r="E22" i="18"/>
  <c r="E13" i="20"/>
  <c r="R25" i="19"/>
  <c r="N22" i="18"/>
  <c r="E17" i="20"/>
  <c r="N20" i="19"/>
  <c r="R21" i="19"/>
  <c r="M24" i="19"/>
  <c r="E19" i="18"/>
  <c r="N29" i="3"/>
  <c r="T23" i="18"/>
  <c r="F20" i="19"/>
  <c r="F24" i="19"/>
  <c r="F19" i="18"/>
  <c r="W3" i="19"/>
  <c r="W28" i="19" s="1"/>
  <c r="D23" i="20"/>
  <c r="J21" i="19"/>
  <c r="M22" i="18"/>
  <c r="N23" i="18"/>
  <c r="Q11" i="20"/>
  <c r="G18" i="18"/>
  <c r="M23" i="18"/>
  <c r="E23" i="18"/>
  <c r="N13" i="20"/>
  <c r="S22" i="18"/>
  <c r="S23" i="18"/>
  <c r="L23" i="18"/>
  <c r="R22" i="18"/>
  <c r="D22" i="20"/>
  <c r="F89" i="3"/>
  <c r="F181" i="3" s="1"/>
  <c r="G23" i="20"/>
  <c r="F22" i="20"/>
  <c r="Q25" i="19"/>
  <c r="Q24" i="19"/>
  <c r="P24" i="19"/>
  <c r="N10" i="20"/>
  <c r="K20" i="19"/>
  <c r="N24" i="19"/>
  <c r="O11" i="20"/>
  <c r="L10" i="20"/>
  <c r="O21" i="19"/>
  <c r="L20" i="19"/>
  <c r="K23" i="18"/>
  <c r="T22" i="18"/>
  <c r="E13" i="18"/>
  <c r="W17" i="20"/>
  <c r="R212" i="3"/>
  <c r="I22" i="18"/>
  <c r="U18" i="18"/>
  <c r="I213" i="3"/>
  <c r="W24" i="19"/>
  <c r="H3" i="19"/>
  <c r="H29" i="19" s="1"/>
  <c r="T24" i="19"/>
  <c r="N241" i="3"/>
  <c r="J11" i="20"/>
  <c r="T20" i="19"/>
  <c r="R29" i="3"/>
  <c r="R123" i="3" s="1"/>
  <c r="R23" i="18"/>
  <c r="I21" i="18"/>
  <c r="U29" i="3"/>
  <c r="U122" i="3" s="1"/>
  <c r="G24" i="19"/>
  <c r="L21" i="20"/>
  <c r="S10" i="20"/>
  <c r="H20" i="19"/>
  <c r="W10" i="20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8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Q241" i="3"/>
  <c r="P121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M182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J17" i="18"/>
  <c r="J13" i="18"/>
  <c r="C25" i="19"/>
  <c r="C21" i="19"/>
  <c r="C3" i="19"/>
  <c r="C9" i="20" s="1"/>
  <c r="J19" i="18"/>
  <c r="T11" i="20"/>
  <c r="H19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W29" i="19" l="1"/>
  <c r="W19" i="19"/>
  <c r="W9" i="20"/>
  <c r="W27" i="19"/>
  <c r="M19" i="19"/>
  <c r="W23" i="19"/>
  <c r="N9" i="20"/>
  <c r="H23" i="19"/>
  <c r="F182" i="3"/>
  <c r="U182" i="3"/>
  <c r="K183" i="3"/>
  <c r="F183" i="3"/>
  <c r="M23" i="19"/>
  <c r="M27" i="19"/>
  <c r="N29" i="19"/>
  <c r="H28" i="19"/>
  <c r="E28" i="19"/>
  <c r="M9" i="20"/>
  <c r="M29" i="19"/>
  <c r="E23" i="19"/>
  <c r="E27" i="19"/>
  <c r="P27" i="19"/>
  <c r="T123" i="3"/>
  <c r="Q123" i="3"/>
  <c r="Q122" i="3"/>
  <c r="P122" i="3"/>
  <c r="L121" i="3"/>
  <c r="R241" i="3"/>
  <c r="D123" i="3"/>
  <c r="U121" i="3"/>
  <c r="F241" i="3"/>
  <c r="T241" i="3"/>
  <c r="Q9" i="20"/>
  <c r="N19" i="19"/>
  <c r="F152" i="3"/>
  <c r="U123" i="3"/>
  <c r="G27" i="19"/>
  <c r="Q23" i="19"/>
  <c r="N27" i="19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B24" i="10"/>
  <c r="C4" i="10" l="1"/>
  <c r="K4" i="10"/>
  <c r="S4" i="10"/>
  <c r="V11" i="10"/>
  <c r="V9" i="10" s="1"/>
  <c r="P17" i="9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Q10" i="5"/>
  <c r="N10" i="5"/>
  <c r="K10" i="5"/>
  <c r="I10" i="5"/>
  <c r="F10" i="5"/>
  <c r="C10" i="5"/>
  <c r="R10" i="5" l="1"/>
  <c r="B10" i="5"/>
  <c r="J10" i="5"/>
  <c r="S10" i="5"/>
  <c r="L10" i="5"/>
  <c r="E10" i="5"/>
  <c r="M10" i="5"/>
  <c r="U10" i="5"/>
  <c r="T10" i="5"/>
  <c r="G10" i="5"/>
  <c r="O10" i="5"/>
  <c r="W10" i="5"/>
  <c r="D10" i="5"/>
  <c r="H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6" i="3" l="1"/>
  <c r="W188" i="3" s="1"/>
  <c r="W22" i="13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63" i="4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R60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F84" i="4" l="1"/>
  <c r="W45" i="9"/>
  <c r="Q84" i="4"/>
  <c r="H60" i="7"/>
  <c r="H59" i="7" s="1"/>
  <c r="Q75" i="7"/>
  <c r="N84" i="4"/>
  <c r="D75" i="7"/>
  <c r="R75" i="7"/>
  <c r="R59" i="7" s="1"/>
  <c r="I60" i="7"/>
  <c r="W52" i="12"/>
  <c r="V75" i="7"/>
  <c r="U60" i="7"/>
  <c r="D60" i="7"/>
  <c r="O85" i="4"/>
  <c r="O84" i="4" s="1"/>
  <c r="S100" i="4"/>
  <c r="S84" i="4" s="1"/>
  <c r="B4" i="6"/>
  <c r="B47" i="6" s="1"/>
  <c r="Q60" i="7"/>
  <c r="G60" i="7"/>
  <c r="I75" i="7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18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2" i="6" s="1"/>
  <c r="D15" i="4"/>
  <c r="D93" i="6" s="1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N112" i="5" s="1"/>
  <c r="I15" i="4"/>
  <c r="I99" i="5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R6" i="4" s="1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95" i="5" s="1"/>
  <c r="S175" i="4"/>
  <c r="S62" i="6"/>
  <c r="S204" i="7" s="1"/>
  <c r="G176" i="4"/>
  <c r="G63" i="6"/>
  <c r="O12" i="4"/>
  <c r="O203" i="4" s="1"/>
  <c r="O176" i="4"/>
  <c r="O63" i="6"/>
  <c r="C40" i="4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73" i="4" s="1"/>
  <c r="V19" i="7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P94" i="5" s="1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H214" i="4" s="1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93" i="5" s="1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B200" i="4" s="1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95" i="5" s="1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24" i="5" s="1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E47" i="7" s="1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U91" i="5" s="1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0" i="7" s="1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7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42" i="5" s="1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68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05" i="6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P190" i="4"/>
  <c r="P83" i="5"/>
  <c r="P138" i="7" s="1"/>
  <c r="M58" i="4"/>
  <c r="M4" i="7" s="1"/>
  <c r="N47" i="7"/>
  <c r="P106" i="5"/>
  <c r="G216" i="4"/>
  <c r="G103" i="6"/>
  <c r="G109" i="5"/>
  <c r="Q63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B83" i="5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V219" i="7" s="1"/>
  <c r="N40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M105" i="5"/>
  <c r="R199" i="4"/>
  <c r="R86" i="6"/>
  <c r="R92" i="5"/>
  <c r="N106" i="6"/>
  <c r="B202" i="4"/>
  <c r="B89" i="6"/>
  <c r="B95" i="5"/>
  <c r="I206" i="4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F58" i="4"/>
  <c r="F13" i="7"/>
  <c r="O20" i="7"/>
  <c r="V20" i="7"/>
  <c r="B85" i="4"/>
  <c r="B100" i="4"/>
  <c r="F127" i="4"/>
  <c r="F46" i="7" s="1"/>
  <c r="F47" i="7"/>
  <c r="U127" i="4"/>
  <c r="U46" i="7" s="1"/>
  <c r="U47" i="7"/>
  <c r="P88" i="6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C213" i="4"/>
  <c r="C100" i="6"/>
  <c r="C106" i="5"/>
  <c r="E215" i="4"/>
  <c r="E102" i="6"/>
  <c r="E108" i="5"/>
  <c r="H218" i="4"/>
  <c r="H105" i="6"/>
  <c r="H111" i="5"/>
  <c r="O92" i="5"/>
  <c r="S202" i="4"/>
  <c r="S89" i="6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U85" i="6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89" i="6"/>
  <c r="N177" i="4"/>
  <c r="N70" i="5"/>
  <c r="N125" i="7" s="1"/>
  <c r="R272" i="4"/>
  <c r="R270" i="4"/>
  <c r="R268" i="4"/>
  <c r="R266" i="4"/>
  <c r="M184" i="4"/>
  <c r="M71" i="6"/>
  <c r="M213" i="7" s="1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U73" i="4"/>
  <c r="S47" i="7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18" i="4"/>
  <c r="N105" i="6"/>
  <c r="N111" i="5"/>
  <c r="D199" i="4"/>
  <c r="D86" i="6"/>
  <c r="D92" i="5"/>
  <c r="N196" i="4"/>
  <c r="N83" i="6"/>
  <c r="N89" i="5"/>
  <c r="V87" i="6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258" i="4"/>
  <c r="Q177" i="4"/>
  <c r="Q64" i="6"/>
  <c r="V46" i="4"/>
  <c r="N71" i="6"/>
  <c r="N265" i="4"/>
  <c r="N77" i="5"/>
  <c r="O77" i="6"/>
  <c r="O271" i="4"/>
  <c r="O83" i="5"/>
  <c r="I13" i="7"/>
  <c r="R73" i="4"/>
  <c r="R19" i="7" s="1"/>
  <c r="R20" i="7"/>
  <c r="M47" i="7"/>
  <c r="E252" i="4"/>
  <c r="R253" i="4"/>
  <c r="O109" i="5"/>
  <c r="V83" i="6"/>
  <c r="Q215" i="4"/>
  <c r="Q102" i="6"/>
  <c r="Q108" i="5"/>
  <c r="L4" i="6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I58" i="4" l="1"/>
  <c r="I4" i="7" s="1"/>
  <c r="V200" i="4"/>
  <c r="D202" i="4"/>
  <c r="U198" i="4"/>
  <c r="P201" i="4"/>
  <c r="N219" i="4"/>
  <c r="Q118" i="7"/>
  <c r="B63" i="5"/>
  <c r="R93" i="5"/>
  <c r="R87" i="6"/>
  <c r="B93" i="5"/>
  <c r="H107" i="5"/>
  <c r="R200" i="4"/>
  <c r="B87" i="6"/>
  <c r="H101" i="6"/>
  <c r="S47" i="6"/>
  <c r="J127" i="4"/>
  <c r="J46" i="7" s="1"/>
  <c r="N26" i="4"/>
  <c r="D229" i="4"/>
  <c r="V112" i="4"/>
  <c r="V31" i="7" s="1"/>
  <c r="J47" i="7"/>
  <c r="K18" i="5"/>
  <c r="B98" i="5"/>
  <c r="M216" i="4"/>
  <c r="N250" i="4"/>
  <c r="P64" i="6"/>
  <c r="P206" i="7" s="1"/>
  <c r="E96" i="6"/>
  <c r="I266" i="4"/>
  <c r="E209" i="4"/>
  <c r="N112" i="4"/>
  <c r="N31" i="7" s="1"/>
  <c r="T184" i="4"/>
  <c r="T125" i="6"/>
  <c r="C177" i="4"/>
  <c r="U118" i="7"/>
  <c r="T73" i="4"/>
  <c r="U170" i="4"/>
  <c r="Q117" i="5"/>
  <c r="S125" i="7"/>
  <c r="R127" i="4"/>
  <c r="R46" i="7" s="1"/>
  <c r="I59" i="7"/>
  <c r="O26" i="4"/>
  <c r="K112" i="4"/>
  <c r="O112" i="5"/>
  <c r="Q170" i="4"/>
  <c r="D59" i="7"/>
  <c r="V59" i="7"/>
  <c r="P70" i="5"/>
  <c r="E190" i="4"/>
  <c r="Q125" i="7"/>
  <c r="Q206" i="7"/>
  <c r="I95" i="5"/>
  <c r="I93" i="6"/>
  <c r="B138" i="7"/>
  <c r="Q205" i="4"/>
  <c r="N127" i="4"/>
  <c r="N46" i="7" s="1"/>
  <c r="R111" i="5"/>
  <c r="D206" i="4"/>
  <c r="J18" i="6"/>
  <c r="J55" i="6" s="1"/>
  <c r="B92" i="6"/>
  <c r="H199" i="4"/>
  <c r="O106" i="6"/>
  <c r="V190" i="4"/>
  <c r="T206" i="7"/>
  <c r="R177" i="4"/>
  <c r="I270" i="4"/>
  <c r="M64" i="6"/>
  <c r="M206" i="7" s="1"/>
  <c r="T118" i="6"/>
  <c r="Q18" i="5"/>
  <c r="Q61" i="5" s="1"/>
  <c r="R58" i="4"/>
  <c r="S112" i="4"/>
  <c r="S31" i="7" s="1"/>
  <c r="M26" i="7"/>
  <c r="S105" i="5"/>
  <c r="M203" i="4"/>
  <c r="S91" i="5"/>
  <c r="T177" i="4"/>
  <c r="Q100" i="6"/>
  <c r="I272" i="4"/>
  <c r="C118" i="6"/>
  <c r="B77" i="5"/>
  <c r="B132" i="7" s="1"/>
  <c r="J112" i="4"/>
  <c r="S99" i="6"/>
  <c r="F229" i="4"/>
  <c r="V94" i="5"/>
  <c r="S85" i="6"/>
  <c r="M98" i="5"/>
  <c r="B184" i="4"/>
  <c r="H109" i="5"/>
  <c r="Q213" i="4"/>
  <c r="B59" i="7"/>
  <c r="B71" i="6"/>
  <c r="B213" i="7" s="1"/>
  <c r="O206" i="7"/>
  <c r="D47" i="6"/>
  <c r="O125" i="7"/>
  <c r="U125" i="7"/>
  <c r="R13" i="7"/>
  <c r="B190" i="4"/>
  <c r="F95" i="5"/>
  <c r="V88" i="6"/>
  <c r="C64" i="6"/>
  <c r="C206" i="7" s="1"/>
  <c r="M92" i="6"/>
  <c r="G184" i="4"/>
  <c r="H103" i="6"/>
  <c r="Q98" i="5"/>
  <c r="D99" i="5"/>
  <c r="D71" i="6"/>
  <c r="D213" i="7" s="1"/>
  <c r="C58" i="4"/>
  <c r="C4" i="7" s="1"/>
  <c r="G112" i="4"/>
  <c r="I199" i="4"/>
  <c r="F89" i="6"/>
  <c r="R47" i="7"/>
  <c r="G46" i="4"/>
  <c r="G271" i="4" s="1"/>
  <c r="G77" i="5"/>
  <c r="G132" i="7" s="1"/>
  <c r="U59" i="7"/>
  <c r="T213" i="7"/>
  <c r="M13" i="4"/>
  <c r="K184" i="4"/>
  <c r="B57" i="6"/>
  <c r="P71" i="6"/>
  <c r="P213" i="7" s="1"/>
  <c r="O6" i="4"/>
  <c r="S42" i="5"/>
  <c r="W231" i="4"/>
  <c r="Q91" i="5"/>
  <c r="M196" i="4"/>
  <c r="U20" i="4"/>
  <c r="U19" i="4" s="1"/>
  <c r="U244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1" i="6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70" i="4" s="1"/>
  <c r="S216" i="4"/>
  <c r="G190" i="4"/>
  <c r="Q57" i="6"/>
  <c r="Q199" i="7" s="1"/>
  <c r="N200" i="4"/>
  <c r="V206" i="7"/>
  <c r="G137" i="5"/>
  <c r="V6" i="4"/>
  <c r="U6" i="4"/>
  <c r="U90" i="5" s="1"/>
  <c r="G213" i="7"/>
  <c r="Q96" i="6"/>
  <c r="O73" i="4"/>
  <c r="O19" i="7" s="1"/>
  <c r="R30" i="4"/>
  <c r="Q20" i="4"/>
  <c r="Q98" i="6" s="1"/>
  <c r="K13" i="4"/>
  <c r="K91" i="6" s="1"/>
  <c r="H206" i="7"/>
  <c r="J18" i="5"/>
  <c r="J61" i="5" s="1"/>
  <c r="F77" i="5"/>
  <c r="F132" i="7" s="1"/>
  <c r="S6" i="4"/>
  <c r="S143" i="4" s="1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150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76" i="5" s="1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91" i="6"/>
  <c r="B197" i="4"/>
  <c r="B84" i="6"/>
  <c r="B90" i="5"/>
  <c r="M204" i="4"/>
  <c r="M91" i="6"/>
  <c r="M97" i="5"/>
  <c r="U211" i="4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90" i="5"/>
  <c r="O57" i="4"/>
  <c r="O3" i="7" s="1"/>
  <c r="O4" i="7"/>
  <c r="J163" i="4"/>
  <c r="J217" i="4"/>
  <c r="J104" i="6"/>
  <c r="J110" i="5"/>
  <c r="B177" i="4"/>
  <c r="B64" i="6"/>
  <c r="B206" i="7" s="1"/>
  <c r="B70" i="5"/>
  <c r="B125" i="7" s="1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U143" i="4"/>
  <c r="U84" i="6"/>
  <c r="K143" i="4"/>
  <c r="K197" i="4"/>
  <c r="K84" i="6"/>
  <c r="K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4" i="4" s="1"/>
  <c r="D225" i="4" s="1"/>
  <c r="D198" i="4"/>
  <c r="D85" i="6"/>
  <c r="D91" i="5"/>
  <c r="K204" i="4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7" i="5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273" i="4"/>
  <c r="T269" i="4"/>
  <c r="T272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143" i="4"/>
  <c r="B4" i="4"/>
  <c r="B231" i="4" s="1"/>
  <c r="B143" i="4"/>
  <c r="P13" i="4"/>
  <c r="M150" i="4"/>
  <c r="V19" i="4"/>
  <c r="V157" i="4"/>
  <c r="H13" i="4"/>
  <c r="N19" i="4"/>
  <c r="N244" i="4" s="1"/>
  <c r="N157" i="4"/>
  <c r="V4" i="4"/>
  <c r="V231" i="4" s="1"/>
  <c r="Q4" i="4"/>
  <c r="T6" i="4"/>
  <c r="K4" i="4"/>
  <c r="K223" i="4" s="1"/>
  <c r="C46" i="4"/>
  <c r="C271" i="4" s="1"/>
  <c r="R19" i="4"/>
  <c r="R244" i="4" s="1"/>
  <c r="I19" i="4"/>
  <c r="I244" i="4" s="1"/>
  <c r="E19" i="4"/>
  <c r="E238" i="4" s="1"/>
  <c r="J111" i="4" l="1"/>
  <c r="J30" i="7" s="1"/>
  <c r="F204" i="4"/>
  <c r="F111" i="4"/>
  <c r="F30" i="7" s="1"/>
  <c r="O19" i="4"/>
  <c r="H157" i="4"/>
  <c r="R4" i="4"/>
  <c r="S84" i="6"/>
  <c r="R97" i="5"/>
  <c r="S197" i="4"/>
  <c r="R91" i="6"/>
  <c r="R204" i="4"/>
  <c r="J57" i="4"/>
  <c r="J3" i="7" s="1"/>
  <c r="T267" i="4"/>
  <c r="K150" i="4"/>
  <c r="U197" i="4"/>
  <c r="U98" i="6"/>
  <c r="D97" i="5"/>
  <c r="Q17" i="5"/>
  <c r="Q157" i="5" s="1"/>
  <c r="D204" i="4"/>
  <c r="U157" i="4"/>
  <c r="T264" i="4"/>
  <c r="T76" i="5"/>
  <c r="O104" i="5"/>
  <c r="S4" i="4"/>
  <c r="S223" i="4" s="1"/>
  <c r="J4" i="7"/>
  <c r="T271" i="4"/>
  <c r="T266" i="4"/>
  <c r="T183" i="4"/>
  <c r="O98" i="6"/>
  <c r="O211" i="4"/>
  <c r="N57" i="4"/>
  <c r="O157" i="4"/>
  <c r="T268" i="4"/>
  <c r="G183" i="4"/>
  <c r="U4" i="4"/>
  <c r="G265" i="4"/>
  <c r="J31" i="7"/>
  <c r="M4" i="4"/>
  <c r="M231" i="4" s="1"/>
  <c r="I90" i="5"/>
  <c r="C111" i="4"/>
  <c r="C30" i="7" s="1"/>
  <c r="D57" i="4"/>
  <c r="D3" i="7" s="1"/>
  <c r="I84" i="6"/>
  <c r="B110" i="5"/>
  <c r="I197" i="4"/>
  <c r="B104" i="6"/>
  <c r="B164" i="5"/>
  <c r="B217" i="4"/>
  <c r="S17" i="5"/>
  <c r="S148" i="5" s="1"/>
  <c r="O111" i="4"/>
  <c r="O30" i="7" s="1"/>
  <c r="B19" i="4"/>
  <c r="B238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4" i="5"/>
  <c r="S162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5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1" i="6"/>
  <c r="H149" i="6"/>
  <c r="H146" i="6"/>
  <c r="H148" i="6"/>
  <c r="H156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6" i="5"/>
  <c r="J148" i="5"/>
  <c r="J155" i="5"/>
  <c r="J161" i="5"/>
  <c r="J152" i="5"/>
  <c r="J153" i="5"/>
  <c r="K17" i="6"/>
  <c r="K151" i="6" s="1"/>
  <c r="N17" i="6"/>
  <c r="N136" i="6" s="1"/>
  <c r="N55" i="6"/>
  <c r="T57" i="4"/>
  <c r="T3" i="7" s="1"/>
  <c r="H158" i="6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245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37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V244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144" i="5" l="1"/>
  <c r="S157" i="5"/>
  <c r="S163" i="5"/>
  <c r="S153" i="5"/>
  <c r="S146" i="5"/>
  <c r="J167" i="4"/>
  <c r="S150" i="5"/>
  <c r="S147" i="5"/>
  <c r="E167" i="4"/>
  <c r="J159" i="5"/>
  <c r="S149" i="5"/>
  <c r="H154" i="6"/>
  <c r="S164" i="5"/>
  <c r="V147" i="5"/>
  <c r="S143" i="5"/>
  <c r="B239" i="4"/>
  <c r="H152" i="6"/>
  <c r="B237" i="4"/>
  <c r="B103" i="5"/>
  <c r="H147" i="6"/>
  <c r="B240" i="4"/>
  <c r="B97" i="6"/>
  <c r="H138" i="6"/>
  <c r="B210" i="4"/>
  <c r="H136" i="6"/>
  <c r="H159" i="6"/>
  <c r="H135" i="6"/>
  <c r="S161" i="5"/>
  <c r="B244" i="4"/>
  <c r="B156" i="4"/>
  <c r="H151" i="6"/>
  <c r="H139" i="6"/>
  <c r="S165" i="5"/>
  <c r="U54" i="6"/>
  <c r="H140" i="6"/>
  <c r="S231" i="4"/>
  <c r="H137" i="6"/>
  <c r="H153" i="6"/>
  <c r="S160" i="5"/>
  <c r="S141" i="5"/>
  <c r="S142" i="5"/>
  <c r="S151" i="5"/>
  <c r="S145" i="5"/>
  <c r="S159" i="5"/>
  <c r="S158" i="5"/>
  <c r="S152" i="5"/>
  <c r="G244" i="4"/>
  <c r="G241" i="4"/>
  <c r="G103" i="5"/>
  <c r="G245" i="4"/>
  <c r="G97" i="6"/>
  <c r="G242" i="4"/>
  <c r="G238" i="4"/>
  <c r="G210" i="4"/>
  <c r="G246" i="4"/>
  <c r="G156" i="4"/>
  <c r="S166" i="5"/>
  <c r="S156" i="5"/>
  <c r="G239" i="4"/>
  <c r="G243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33" i="6" l="1"/>
  <c r="L124" i="5"/>
  <c r="L42" i="5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55" i="6" l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G4" i="8" s="1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H61" i="8" l="1"/>
  <c r="E36" i="8"/>
  <c r="O14" i="8"/>
  <c r="O26" i="10" s="1"/>
  <c r="O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K10" i="16"/>
  <c r="K3" i="16" s="1"/>
  <c r="G4" i="16"/>
  <c r="S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O80" i="8" s="1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S76" i="8" s="1"/>
  <c r="R54" i="8"/>
  <c r="R76" i="8" s="1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P76" i="8"/>
  <c r="O76" i="8"/>
  <c r="T75" i="8"/>
  <c r="S75" i="8"/>
  <c r="N75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2" i="1"/>
  <c r="B4" i="1"/>
  <c r="B17" i="1"/>
  <c r="B6" i="1"/>
  <c r="B18" i="1"/>
  <c r="B8" i="1"/>
  <c r="B11" i="1"/>
  <c r="B20" i="1"/>
  <c r="B7" i="1"/>
  <c r="B13" i="1"/>
  <c r="B15" i="1"/>
  <c r="B16" i="1"/>
  <c r="B9" i="1"/>
  <c r="B12" i="1"/>
  <c r="B21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E219" i="3" s="1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F187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K221" i="3" s="1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M191" i="3" l="1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N225" i="3" s="1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28" i="3" l="1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3" i="3"/>
  <c r="I140" i="3"/>
  <c r="I150" i="3"/>
  <c r="I146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C234" i="3" l="1"/>
  <c r="I142" i="3"/>
  <c r="I141" i="3"/>
  <c r="I199" i="3"/>
  <c r="I144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B225" i="3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39" i="3" l="1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<sst xmlns="http://schemas.openxmlformats.org/spreadsheetml/2006/main" count="2655" uniqueCount="1167">
  <si>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</si>
  <si>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</si>
  <si>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</si>
  <si>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</si>
  <si>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</si>
  <si>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</si>
  <si>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</si>
  <si>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</si>
  <si>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</si>
  <si>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</si>
  <si>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</si>
  <si>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</si>
  <si>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</si>
  <si>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</si>
  <si>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</si>
  <si>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</si>
  <si>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</si>
  <si>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</si>
  <si>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</si>
  <si>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</si>
  <si>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</si>
  <si>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</si>
  <si>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</si>
  <si>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</si>
  <si>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</si>
  <si>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</si>
  <si>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</si>
  <si>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</si>
  <si>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</si>
  <si>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</si>
  <si>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</si>
  <si>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</si>
  <si>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</si>
  <si>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</si>
  <si>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</si>
  <si>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</si>
  <si>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</si>
  <si>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</si>
  <si>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</si>
  <si>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</si>
  <si>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</si>
  <si>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</si>
  <si>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</si>
  <si>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</si>
  <si>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</si>
  <si>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</si>
  <si>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</si>
  <si>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</si>
  <si>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</si>
  <si>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</si>
  <si>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</si>
  <si>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</si>
  <si>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</si>
  <si>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</si>
  <si>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</si>
  <si>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</si>
  <si>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</si>
  <si>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</si>
  <si>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</si>
  <si>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</si>
  <si>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</si>
  <si>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</si>
  <si>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</si>
  <si>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</si>
  <si>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</si>
  <si>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</si>
  <si>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</si>
  <si>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</si>
  <si>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</si>
  <si>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</si>
  <si>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</si>
  <si>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</si>
  <si>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</si>
  <si>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</si>
  <si>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</si>
  <si>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</si>
  <si>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</si>
  <si>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</si>
  <si>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</si>
  <si>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</si>
  <si>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</si>
  <si>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</si>
  <si>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</si>
  <si>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</si>
  <si>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</si>
  <si>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</si>
  <si>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</si>
  <si>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</si>
  <si>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</si>
  <si>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</si>
  <si>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</si>
  <si>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</si>
  <si>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</si>
  <si>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</si>
  <si>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</si>
  <si>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</si>
  <si>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</si>
  <si>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</si>
  <si>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</si>
  <si>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</si>
  <si>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</si>
  <si>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</si>
  <si>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</si>
  <si>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</si>
  <si>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</si>
  <si>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</si>
  <si>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</si>
  <si>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</si>
  <si>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</si>
  <si>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</si>
  <si>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</si>
  <si>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</si>
  <si>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</si>
  <si>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</si>
  <si>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</si>
  <si>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</si>
  <si>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</si>
  <si>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</si>
  <si>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</si>
  <si>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</si>
  <si>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</si>
  <si>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</si>
  <si>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</si>
  <si>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</si>
  <si>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</si>
  <si>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</si>
  <si>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</si>
  <si>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</si>
  <si>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</si>
  <si>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</si>
  <si>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</si>
  <si>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</si>
  <si>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</si>
  <si>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</si>
  <si>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</si>
  <si>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</si>
  <si>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</si>
  <si>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</si>
  <si>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</si>
  <si>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</si>
  <si>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</si>
  <si>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</si>
  <si>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</si>
  <si>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</si>
  <si>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</si>
  <si>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</si>
  <si>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</si>
  <si>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</si>
  <si>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</si>
  <si>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</si>
  <si>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</si>
  <si>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</si>
  <si>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</si>
  <si>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</si>
  <si>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</si>
  <si>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</si>
  <si>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</si>
  <si>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</si>
  <si>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</si>
  <si>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</si>
  <si>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</si>
  <si>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</si>
  <si>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</si>
  <si>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</si>
  <si>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</si>
  <si>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</si>
  <si>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</si>
  <si>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</si>
  <si>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</si>
  <si>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</si>
  <si>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</si>
  <si>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</si>
  <si>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</si>
  <si>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</si>
  <si>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</si>
  <si>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</si>
  <si>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</si>
  <si>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</si>
  <si>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</si>
  <si>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</si>
  <si>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</si>
  <si>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</si>
  <si>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</si>
  <si>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</si>
  <si>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</si>
  <si>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</si>
  <si>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MT</t>
  </si>
  <si>
    <t>Malta</t>
  </si>
  <si>
    <t>Aviation - MT - Malta</t>
  </si>
  <si>
    <t>Activity.Mpkm.MT.Tr.Avia.Passenger</t>
  </si>
  <si>
    <t>Activity.Mpkm.MT.Tr.Avia.Passenger.Domestic</t>
  </si>
  <si>
    <t>Activity.Mpkm.MT.Tr.Avia.Passenger.IntraEEAwUK</t>
  </si>
  <si>
    <t>Activity.Mpkm.MT.Tr.Avia.Passenger.ExtraEEAwUK</t>
  </si>
  <si>
    <t>Activity.Mtkm.MT.Tr.Avia.Freight</t>
  </si>
  <si>
    <t>Activity.Mtkm.MT.Tr.Avia.Freight.Domestic</t>
  </si>
  <si>
    <t>Activity.Mtkm.MT.Tr.Avia.Freight.IntraEEAwUK</t>
  </si>
  <si>
    <t>Activity.Mtkm.MT.Tr.Avia.Freight.ExtraEEAwUK</t>
  </si>
  <si>
    <t>VehicleKm.Mkm.MT.Tr.Avia</t>
  </si>
  <si>
    <t>VehicleKm.Mkm.MT.Tr.Avia.Passenger</t>
  </si>
  <si>
    <t>VehicleKm.Mkm.MT.Tr.Avia.Passenger.Domestic</t>
  </si>
  <si>
    <t>VehicleKm.Mkm.MT.Tr.Avia.Passenger.IntraEEAwUK</t>
  </si>
  <si>
    <t>VehicleKm.Mkm.MT.Tr.Avia.Passenger.ExtraEEAwUK</t>
  </si>
  <si>
    <t>VehicleKm.Mkm.MT.Tr.Avia.Freight</t>
  </si>
  <si>
    <t>VehicleKm.Mkm.MT.Tr.Avia.Freight.Domestic</t>
  </si>
  <si>
    <t>VehicleKm.Mkm.MT.Tr.Avia.Freight.IntraEEAwUK</t>
  </si>
  <si>
    <t>VehicleKm.Mkm.MT.Tr.Avia.Freight.ExtraEEAwUK</t>
  </si>
  <si>
    <t>Flights.number.MT.Tr.Avia</t>
  </si>
  <si>
    <t>Flights.number.MT.Tr.Avia.Passenger</t>
  </si>
  <si>
    <t>Flights.number.MT.Tr.Avia.Passenger.Domestic</t>
  </si>
  <si>
    <t>Flights.number.MT.Tr.Avia.Passenger.IntraEEAwUK</t>
  </si>
  <si>
    <t>Flights.number.MT.Tr.Avia.Passenger.ExtraEEAwUK</t>
  </si>
  <si>
    <t>Flights.number.MT.Tr.Avia.Freight</t>
  </si>
  <si>
    <t>Flights.number.MT.Tr.Avia.Freight.Domestic</t>
  </si>
  <si>
    <t>Flights.number.MT.Tr.Avia.Freight.IntraEEAwUK</t>
  </si>
  <si>
    <t>Flights.number.MT.Tr.Avia.Freight.ExtraEEAwUK</t>
  </si>
  <si>
    <t>VolCarried.passenger.MT.Tr.Avia.Passenger</t>
  </si>
  <si>
    <t>VolCarried.passenger.MT.Tr.Avia.Passenger.Domestic</t>
  </si>
  <si>
    <t>VolCarried.passenger.MT.Tr.Avia.Passenger.IntraEEAwUK</t>
  </si>
  <si>
    <t>VolCarried.passenger.MT.Tr.Avia.Passenger.ExtraEEAwUK</t>
  </si>
  <si>
    <t>VolCarried.t.MT.Tr.Avia.Freight</t>
  </si>
  <si>
    <t>VolCarried.t.MT.Tr.Avia.Freight.Domestic</t>
  </si>
  <si>
    <t>VolCarried.t.MT.Tr.Avia.Freight.IntraEEAwUK</t>
  </si>
  <si>
    <t>VolCarried.t.MT.Tr.Avia.Freight.ExtraEEAwUK</t>
  </si>
  <si>
    <t>Stock.number.MT.Tr.Avia</t>
  </si>
  <si>
    <t>Stock.number.MT.Tr.Avia.Passenger</t>
  </si>
  <si>
    <t>Stock.number.MT.Tr.Avia.Passenger.Domestic</t>
  </si>
  <si>
    <t>Stock.number.MT.Tr.Avia.Passenger.IntraEEAwUK</t>
  </si>
  <si>
    <t>Stock.number.MT.Tr.Avia.Passenger.ExtraEEAwUK</t>
  </si>
  <si>
    <t>Stock.number.MT.Tr.Avia.Freight</t>
  </si>
  <si>
    <t>Stock.number.MT.Tr.Avia.Freight.Domestic</t>
  </si>
  <si>
    <t>Stock.number.MT.Tr.Avia.Freight.IntraEEAwUK</t>
  </si>
  <si>
    <t>Stock.number.MT.Tr.Avia.Freight.ExtraEEAwUK</t>
  </si>
  <si>
    <t>StockNew.number.MT.Tr.Avia</t>
  </si>
  <si>
    <t>StockNew.number.MT.Tr.Avia.Passenger</t>
  </si>
  <si>
    <t>StockNew.number.MT.Tr.Avia.Passenger.Domestic</t>
  </si>
  <si>
    <t>StockNew.number.MT.Tr.Avia.Passenger.IntraEEAwUK</t>
  </si>
  <si>
    <t>StockNew.number.MT.Tr.Avia.Passenger.ExtraEEAwUK</t>
  </si>
  <si>
    <t>StockNew.number.MT.Tr.Avia.Freight</t>
  </si>
  <si>
    <t>StockNew.number.MT.Tr.Avia.Freight.Domestic</t>
  </si>
  <si>
    <t>StockNew.number.MT.Tr.Avia.Freight.IntraEEAwUK</t>
  </si>
  <si>
    <t>StockNew.number.MT.Tr.Avia.Freight.ExtraEEAwUK</t>
  </si>
  <si>
    <t>Load.passenger_per_movement.MT.Tr.Avia.Passenger</t>
  </si>
  <si>
    <t>Load.passenger_per_movement.MT.Tr.Avia.Passenger.Domestic</t>
  </si>
  <si>
    <t>Load.passenger_per_movement.MT.Tr.Avia.Passenger.IntraEEAwUK</t>
  </si>
  <si>
    <t>Load.passenger_per_movement.MT.Tr.Avia.Passenger.ExtraEEAwUK</t>
  </si>
  <si>
    <t>Load.t_per_movement.MT.Tr.Avia.Freight</t>
  </si>
  <si>
    <t>Load.t_per_movement.MT.Tr.Avia.Freight.Domestic</t>
  </si>
  <si>
    <t>Load.t_per_movement.MT.Tr.Avia.Freight.IntraEEAwUK</t>
  </si>
  <si>
    <t>Load.t_per_movement.MT.Tr.Avia.Freight.ExtraEEAwUK</t>
  </si>
  <si>
    <t>VehicleKm_per_flight.km.MT.Tr.Avia</t>
  </si>
  <si>
    <t>VehicleKm_per_flight.km.MT.Tr.Avia.Passenger</t>
  </si>
  <si>
    <t>VehicleKm_per_flight.km.MT.Tr.Avia.Passenger.Domestic</t>
  </si>
  <si>
    <t>VehicleKm_per_flight.km.MT.Tr.Avia.Passenger.IntraEEAwUK</t>
  </si>
  <si>
    <t>VehicleKm_per_flight.km.MT.Tr.Avia.Passenger.ExtraEEAwUK</t>
  </si>
  <si>
    <t>VehicleKm_per_flight.km.MT.Tr.Avia.Freight</t>
  </si>
  <si>
    <t>VehicleKm_per_flight.km.MT.Tr.Avia.Freight.Domestic</t>
  </si>
  <si>
    <t>VehicleKm_per_flight.km.MT.Tr.Avia.Freight.IntraEEAwUK</t>
  </si>
  <si>
    <t>VehicleKm_per_flight.km.MT.Tr.Avia.Freight.ExtraEEAwUK</t>
  </si>
  <si>
    <t>Activity_per_flight.pkm.MT.Tr.Avia.Passenger</t>
  </si>
  <si>
    <t>Activity_per_flight.pkm.MT.Tr.Avia.Passenger.Domestic</t>
  </si>
  <si>
    <t>Activity_per_flight.pkm.MT.Tr.Avia.Passenger.IntraEEAwUK</t>
  </si>
  <si>
    <t>Activity_per_flight.pkm.MT.Tr.Avia.Passenger.ExtraEEAwUK</t>
  </si>
  <si>
    <t>Activity_per_flight.tkm.MT.Tr.Avia.Freight</t>
  </si>
  <si>
    <t>Activity_per_flight.tkm.MT.Tr.Avia.Freight.Domestic</t>
  </si>
  <si>
    <t>Activity_per_flight.tkm.MT.Tr.Avia.Freight.IntraEEAwUK</t>
  </si>
  <si>
    <t>Activity_per_flight.tkm.MT.Tr.Avia.Freight.ExtraEEAwUK</t>
  </si>
  <si>
    <t>Flights_per_vehicle.number.MT.Tr.Avia</t>
  </si>
  <si>
    <t>Flights_per_vehicle.number.MT.Tr.Avia.Passenger</t>
  </si>
  <si>
    <t>Flights_per_vehicle.number.MT.Tr.Avia.Passenger.Domestic</t>
  </si>
  <si>
    <t>Flights_per_vehicle.number.MT.Tr.Avia.Passenger.IntraEEAwUK</t>
  </si>
  <si>
    <t>Flights_per_vehicle.number.MT.Tr.Avia.Passenger.ExtraEEAwUK</t>
  </si>
  <si>
    <t>Flights_per_vehicle.number.MT.Tr.Avia.Freight</t>
  </si>
  <si>
    <t>Flights_per_vehicle.number.MT.Tr.Avia.Freight.Domestic</t>
  </si>
  <si>
    <t>Flights_per_vehicle.number.MT.Tr.Avia.Freight.IntraEEAwUK</t>
  </si>
  <si>
    <t>Flights_per_vehicle.number.MT.Tr.Avia.Freight.ExtraEEAwUK</t>
  </si>
  <si>
    <t>Aviation / energy consumption - MT - Malta</t>
  </si>
  <si>
    <t>FEC.ktoe.MT.Tr.Avia</t>
  </si>
  <si>
    <t>FEC.ktoe.MT.Tr.Avia.Domestic</t>
  </si>
  <si>
    <t>FEC.ktoe.MT.Tr.Avia.International</t>
  </si>
  <si>
    <t>FEC.ktoe.MT.Tr.Avia.Passenger</t>
  </si>
  <si>
    <t>FEC.ktoe.MT.Tr.Avia.Passenger.Domestic</t>
  </si>
  <si>
    <t>FEC.ktoe.MT.Tr.Avia.Passenger.IntraEEAwUK</t>
  </si>
  <si>
    <t>FEC.ktoe.MT.Tr.Avia.Passenger.ExtraEEAwUK</t>
  </si>
  <si>
    <t>FEC.ktoe.MT.Tr.Avia.Freight</t>
  </si>
  <si>
    <t>FEC.ktoe.MT.Tr.Avia.Freight.Domestic</t>
  </si>
  <si>
    <t>FEC.ktoe.MT.Tr.Avia.Freight.IntraEEAwUK</t>
  </si>
  <si>
    <t>FEC.ktoe.MT.Tr.Avia.Freight.ExtraEEAwUK</t>
  </si>
  <si>
    <t>Eff.kgoe_per_100km.MT.Tr.Avia</t>
  </si>
  <si>
    <t>Eff.kgoe_per_100km.MT.Tr.Avia.Passenger</t>
  </si>
  <si>
    <t>Eff.kgoe_per_100km.MT.Tr.Avia.Passenger.Domestic</t>
  </si>
  <si>
    <t>Eff.kgoe_per_100km.MT.Tr.Avia.Passenger.IntraEEAwUK</t>
  </si>
  <si>
    <t>Eff.kgoe_per_100km.MT.Tr.Avia.Passenger.ExtraEEAwUK</t>
  </si>
  <si>
    <t>Eff.kgoe_per_100km.MT.Tr.Avia.Freight</t>
  </si>
  <si>
    <t>Eff.kgoe_per_100km.MT.Tr.Avia.Freight.Domestic</t>
  </si>
  <si>
    <t>Eff.kgoe_per_100km.MT.Tr.Avia.Freight.IntraEEAwUK</t>
  </si>
  <si>
    <t>Eff.kgoe_per_100km.MT.Tr.Avia.Freight.ExtraEEAwUK</t>
  </si>
  <si>
    <t>Eff.kgoe_per_kpkm.MT.Tr.Avia.Passenger</t>
  </si>
  <si>
    <t>Eff.kgoe_per_kpkm.MT.Tr.Avia.Passenger.Domestic</t>
  </si>
  <si>
    <t>Eff.kgoe_per_kpkm.MT.Tr.Avia.Passenger.IntraEEAwUK</t>
  </si>
  <si>
    <t>Eff.kgoe_per_kpkm.MT.Tr.Avia.Passenger.ExtraEEAwUK</t>
  </si>
  <si>
    <t>Eff.kgoe_per_ktkm.MT.Tr.Avia.Freight</t>
  </si>
  <si>
    <t>Eff.kgoe_per_ktkm.MT.Tr.Avia.Freight.Domestic</t>
  </si>
  <si>
    <t>Eff.kgoe_per_ktkm.MT.Tr.Avia.Freight.IntraEEAwUK</t>
  </si>
  <si>
    <t>Eff.kgoe_per_ktkm.MT.Tr.Avia.Freight.ExtraEEAwUK</t>
  </si>
  <si>
    <t>FEC_per_flight.kgoe.MT.Tr.Avia</t>
  </si>
  <si>
    <t>FEC_per_flight.kgoe.MT.Tr.Avia.Passenger</t>
  </si>
  <si>
    <t>FEC_per_flight.kgoe.MT.Tr.Avia.Passenger.Domestic</t>
  </si>
  <si>
    <t>FEC_per_flight.kgoe.MT.Tr.Avia.Passenger.IntraEEAwUK</t>
  </si>
  <si>
    <t>FEC_per_flight.kgoe.MT.Tr.Avia.Passenger.ExtraEEAwUK</t>
  </si>
  <si>
    <t>FEC_per_flight.kgoe.MT.Tr.Avia.Freight</t>
  </si>
  <si>
    <t>FEC_per_flight.kgoe.MT.Tr.Avia.Freight.Domestic</t>
  </si>
  <si>
    <t>FEC_per_flight.kgoe.MT.Tr.Avia.Freight.IntraEEAwUK</t>
  </si>
  <si>
    <t>FEC_per_flight.kgoe.MT.Tr.Avia.Freight.ExtraEEAwUK</t>
  </si>
  <si>
    <t>Eff_theor.kgoe_per_100km.MT.Tr.Avia</t>
  </si>
  <si>
    <t>Eff_theor.kgoe_per_100km.MT.Tr.Avia.Passenger</t>
  </si>
  <si>
    <t>Eff_theor.kgoe_per_100km.MT.Tr.Avia.Passenger.Domestic</t>
  </si>
  <si>
    <t>Eff_theor.kgoe_per_100km.MT.Tr.Avia.Passenger.IntraEEAwUK</t>
  </si>
  <si>
    <t>Eff_theor.kgoe_per_100km.MT.Tr.Avia.Passenger.ExtraEEAwUK</t>
  </si>
  <si>
    <t>Eff_theor.kgoe_per_100km.MT.Tr.Avia.Freight</t>
  </si>
  <si>
    <t>Eff_theor.kgoe_per_100km.MT.Tr.Avia.Freight.Domestic</t>
  </si>
  <si>
    <t>Eff_theor.kgoe_per_100km.MT.Tr.Avia.Freight.IntraEEAwUK</t>
  </si>
  <si>
    <t>Eff_theor.kgoe_per_100km.MT.Tr.Avia.Freight.ExtraEEAwUK</t>
  </si>
  <si>
    <t>Aviation / CO2 emissions - MT - Malta</t>
  </si>
  <si>
    <t>EMI.ktCO2.MT.Tr.Avia</t>
  </si>
  <si>
    <t>EMI.ktCO2.MT.Tr.Avia.Domestic</t>
  </si>
  <si>
    <t>EMI.ktCO2.MT.Tr.Avia.International</t>
  </si>
  <si>
    <t>EMI.ktCO2.MT.Tr.Avia.Passenger</t>
  </si>
  <si>
    <t>EMI.ktCO2.MT.Tr.Avia.Passenger.Domestic</t>
  </si>
  <si>
    <t>EMI.ktCO2.MT.Tr.Avia.Passenger.IntraEEAwUK</t>
  </si>
  <si>
    <t>EMI.ktCO2.MT.Tr.Avia.Passenger.ExtraEEAwUK</t>
  </si>
  <si>
    <t>EMI.ktCO2.MT.Tr.Avia.Freight</t>
  </si>
  <si>
    <t>EMI.ktCO2.MT.Tr.Avia.Freight.Domestic</t>
  </si>
  <si>
    <t>EMI.ktCO2.MT.Tr.Avia.Freight.IntraEEAwUK</t>
  </si>
  <si>
    <t>EMI.ktCO2.MT.Tr.Avia.Freight.ExtraEEAwUK</t>
  </si>
  <si>
    <t>EMIint.gCO2_per_km.MT.Tr.Avia</t>
  </si>
  <si>
    <t>EMIint.gCO2_per_km.MT.Tr.Avia.Passenger</t>
  </si>
  <si>
    <t>EMIint.gCO2_per_km.MT.Tr.Avia.Passenger.Domestic</t>
  </si>
  <si>
    <t>EMIint.gCO2_per_km.MT.Tr.Avia.Passenger.IntraEEAwUK</t>
  </si>
  <si>
    <t>EMIint.gCO2_per_km.MT.Tr.Avia.Passenger.ExtraEEAwUK</t>
  </si>
  <si>
    <t>EMIint.gCO2_per_km.MT.Tr.Avia.Freight</t>
  </si>
  <si>
    <t>EMIint.gCO2_per_km.MT.Tr.Avia.Freight.Domestic</t>
  </si>
  <si>
    <t>EMIint.gCO2_per_km.MT.Tr.Avia.Freight.IntraEEAwUK</t>
  </si>
  <si>
    <t>EMIint.gCO2_per_km.MT.Tr.Avia.Freight.ExtraEEAwUK</t>
  </si>
  <si>
    <t>EMIint.gCO2_per_pkm.MT.Tr.Avia.Passenger</t>
  </si>
  <si>
    <t>EMIint.gCO2_per_pkm.MT.Tr.Avia.Passenger.Domestic</t>
  </si>
  <si>
    <t>EMIint.gCO2_per_pkm.MT.Tr.Avia.Passenger.IntraEEAwUK</t>
  </si>
  <si>
    <t>EMIint.gCO2_per_pkm.MT.Tr.Avia.Passenger.ExtraEEAwUK</t>
  </si>
  <si>
    <t>EMIint.gCO2_per_tkm.MT.Tr.Avia.Freight</t>
  </si>
  <si>
    <t>EMIint.gCO2_per_tkm.MT.Tr.Avia.Freight.Domestic</t>
  </si>
  <si>
    <t>EMIint.gCO2_per_tkm.MT.Tr.Avia.Freight.IntraEEAwUK</t>
  </si>
  <si>
    <t>EMIint.gCO2_per_tkm.MT.Tr.Avia.Freight.ExtraEEAwUK</t>
  </si>
  <si>
    <t>EMI_per_flight.kgCO2.MT.Tr.Avia</t>
  </si>
  <si>
    <t>EMI_per_flight.kgCO2.MT.Tr.Avia.Passenger</t>
  </si>
  <si>
    <t>EMI_per_flight.kgCO2.MT.Tr.Avia.Passenger.Domestic</t>
  </si>
  <si>
    <t>EMI_per_flight.kgCO2.MT.Tr.Avia.Passenger.IntraEEAwUK</t>
  </si>
  <si>
    <t>EMI_per_flight.kgCO2.MT.Tr.Avia.Passenger.ExtraEEAwUK</t>
  </si>
  <si>
    <t>EMI_per_flight.kgCO2.MT.Tr.Avia.Freight</t>
  </si>
  <si>
    <t>EMI_per_flight.kgCO2.MT.Tr.Avia.Freight.Domestic</t>
  </si>
  <si>
    <t>EMI_per_flight.kgCO2.MT.Tr.Avia.Freight.IntraEEAwUK</t>
  </si>
  <si>
    <t>EMI_per_flight.kgCO2.MT.Tr.Avia.Freight.ExtraEEAwUK</t>
  </si>
  <si>
    <t>Aviation / passenger transport specific data - MT - Malta</t>
  </si>
  <si>
    <t>TrCap.seats.MT.Tr.Avia.Passenger</t>
  </si>
  <si>
    <t>TrCap.seats.MT.Tr.Avia.Passenger.Domestic</t>
  </si>
  <si>
    <t>TrCap.seats.MT.Tr.Avia.Passenger.IntraEEAwUK</t>
  </si>
  <si>
    <t>TrCap.seats.MT.Tr.Avia.Passenger.ExtraEEAwUK</t>
  </si>
  <si>
    <t>TrCap_per_flight.seats.MT.Tr.Avia.Passenger</t>
  </si>
  <si>
    <t>TrCap_per_flight.seats.MT.Tr.Avia.Passenger.Domestic</t>
  </si>
  <si>
    <t>TrCap_per_flight.seats.MT.Tr.Avia.Passenger.IntraEEAwUK</t>
  </si>
  <si>
    <t>TrCap_per_flight.seats.MT.Tr.Avia.Passenger.ExtraEEAwUK</t>
  </si>
  <si>
    <t>Transport overview - MT - Malta</t>
  </si>
  <si>
    <t>Activity.Mpkm.MT.Tr</t>
  </si>
  <si>
    <t>Activity.Mpkm.MT.Tr.Road.Passenger</t>
  </si>
  <si>
    <t>Activity.Mpkm.MT.Tr.Road.Passenger.P2W</t>
  </si>
  <si>
    <t>Activity.Mpkm.MT.Tr.Road.Passenger.Car</t>
  </si>
  <si>
    <t>Activity.Mpkm.MT.Tr.Road.Passenger.Bus</t>
  </si>
  <si>
    <t>Activity.Mpkm.MT.Tr.Rail.Passenger</t>
  </si>
  <si>
    <t>Activity.Mpkm.MT.Tr.Rail.Passenger.MTU</t>
  </si>
  <si>
    <t>Activity.Mpkm.MT.Tr.Rail.Passenger.CPT</t>
  </si>
  <si>
    <t>Activity.Mpkm.MT.Tr.Rail.Passenger.HST</t>
  </si>
  <si>
    <t>Activity.Mtkm.MT.Tr</t>
  </si>
  <si>
    <t>Activity.Mtkm.MT.Tr.Road.Freight</t>
  </si>
  <si>
    <t>Activity.Mtkm.MT.Tr.Road.Freight.LCV</t>
  </si>
  <si>
    <t>Activity.Mtkm.MT.Tr.Road.Freight.HGV</t>
  </si>
  <si>
    <t>Activity.Mtkm.MT.Tr.Rail.Freight</t>
  </si>
  <si>
    <t>Activity.Mtkm.MT.Tr.DNavi.Freight</t>
  </si>
  <si>
    <t>Activity.Mtkm.MT.Tr.DNavi.Freight.DCS</t>
  </si>
  <si>
    <t>Activity.Mtkm.MT.Tr.DNavi.Freight.IWW</t>
  </si>
  <si>
    <t>Activity.Mtkm.MT.MBunk.Freight</t>
  </si>
  <si>
    <t>Activity.Mtkm.MT.MBunk.Freight.IntraEEA</t>
  </si>
  <si>
    <t>Activity.Mtkm.MT.MBunk.Freight.ExtraEEA</t>
  </si>
  <si>
    <t>FEC.ktoe.MT.Tr.Road.Passenger</t>
  </si>
  <si>
    <t>FEC.ktoe.MT.Tr.Road.Passenger.P2W</t>
  </si>
  <si>
    <t>FEC.ktoe.MT.Tr.Road.Passenger.Car</t>
  </si>
  <si>
    <t>FEC.ktoe.MT.Tr.Road.Passenger.Bus</t>
  </si>
  <si>
    <t>FEC.ktoe.MT.Tr.Rail.Passenger</t>
  </si>
  <si>
    <t>FEC.ktoe.MT.Tr.Rail.Passenger.MTU</t>
  </si>
  <si>
    <t>FEC.ktoe.MT.Tr.Rail.Passenger.CPT</t>
  </si>
  <si>
    <t>FEC.ktoe.MT.Tr.Rail.Passenger.HST</t>
  </si>
  <si>
    <t>FEC.ktoe.MT.Tr.Road.Freight</t>
  </si>
  <si>
    <t>FEC.ktoe.MT.Tr.Road.Freight.LCV</t>
  </si>
  <si>
    <t>FEC.ktoe.MT.Tr.Road.Freight.HGV</t>
  </si>
  <si>
    <t>FEC.ktoe.MT.Tr.Rail.Freight</t>
  </si>
  <si>
    <t>EMI.ktCO2.MT.Tr.Road.Passenger</t>
  </si>
  <si>
    <t>EMI.ktCO2.MT.Tr.Road.Passenger.P2W</t>
  </si>
  <si>
    <t>EMI.ktCO2.MT.Tr.Road.Passenger.Car</t>
  </si>
  <si>
    <t>EMI.ktCO2.MT.Tr.Road.Passenger.Bus</t>
  </si>
  <si>
    <t>EMI.ktCO2.MT.Tr.Rail.Passenger</t>
  </si>
  <si>
    <t>EMI.ktCO2.MT.Tr.Rail.Passenger.MTU</t>
  </si>
  <si>
    <t>EMI.ktCO2.MT.Tr.Rail.Passenger.CPT</t>
  </si>
  <si>
    <t>EMI.ktCO2.MT.Tr.Rail.Passenger.HST</t>
  </si>
  <si>
    <t>EMI.ktCO2.MT.Tr.Road.Freight</t>
  </si>
  <si>
    <t>EMI.ktCO2.MT.Tr.Road.Freight.LCV</t>
  </si>
  <si>
    <t>EMI.ktCO2.MT.Tr.Road.Freight.HGV</t>
  </si>
  <si>
    <t>EMI.ktCO2.MT.Tr.Rail.Freight</t>
  </si>
  <si>
    <t>Eff.kgoe_per_kpkm.MT.Tr</t>
  </si>
  <si>
    <t>Eff.kgoe_per_kpkm.MT.Tr.Road.Passenger</t>
  </si>
  <si>
    <t>Eff.kgoe_per_kpkm.MT.Tr.Road.Passenger.P2W</t>
  </si>
  <si>
    <t>Eff.kgoe_per_kpkm.MT.Tr.Road.Passenger.Car</t>
  </si>
  <si>
    <t>Eff.kgoe_per_kpkm.MT.Tr.Road.Passenger.Bus</t>
  </si>
  <si>
    <t>Eff.kgoe_per_kpkm.MT.Tr.Rail.Passenger</t>
  </si>
  <si>
    <t>Eff.kgoe_per_kpkm.MT.Tr.Rail.Passenger.MTU</t>
  </si>
  <si>
    <t>Eff.kgoe_per_kpkm.MT.Tr.Rail.Passenger.CPT</t>
  </si>
  <si>
    <t>Eff.kgoe_per_kpkm.MT.Tr.Rail.Passenger.HST</t>
  </si>
  <si>
    <t>Eff.kgoe_per_ktkm.MT.Tr</t>
  </si>
  <si>
    <t>Eff.kgoe_per_ktkm.MT.Tr.Road.Freight</t>
  </si>
  <si>
    <t>Eff.kgoe_per_ktkm.MT.Tr.Road.Freight.LCV</t>
  </si>
  <si>
    <t>Eff.kgoe_per_ktkm.MT.Tr.Road.Freight.HGV</t>
  </si>
  <si>
    <t>Eff.kgoe_per_ktkm.MT.Tr.Rail.Freight</t>
  </si>
  <si>
    <t>Eff.kgoe_per_ktkm.MT.Tr.DNavi.Freight</t>
  </si>
  <si>
    <t>Eff.kgoe_per_ktkm.MT.Tr.DNavi.Freight.DCS</t>
  </si>
  <si>
    <t>Eff.kgoe_per_ktkm.MT.Tr.DNavi.Freight.IWW</t>
  </si>
  <si>
    <t>Eff.kgoe_per_ktkm.MT.MBunk.Freight</t>
  </si>
  <si>
    <t>Eff.kgoe_per_ktkm.MT.MBunk.Freight.IntraEEA</t>
  </si>
  <si>
    <t>Eff.kgoe_per_ktkm.MT.MBunk.Freight.ExtraEEA</t>
  </si>
  <si>
    <t>EMIint.gCO2_per_pkm.MT.Tr</t>
  </si>
  <si>
    <t>EMIint.gCO2_per_pkm.MT.Tr.Road.Passenger</t>
  </si>
  <si>
    <t>EMIint.gCO2_per_pkm.MT.Tr.Road.Passenger.P2W</t>
  </si>
  <si>
    <t>EMIint.gCO2_per_pkm.MT.Tr.Road.Passenger.Car</t>
  </si>
  <si>
    <t>EMIint.gCO2_per_pkm.MT.Tr.Road.Passenger.Bus</t>
  </si>
  <si>
    <t>EMIint.gCO2_per_pkm.MT.Tr.Rail.Passenger</t>
  </si>
  <si>
    <t>EMIint.gCO2_per_pkm.MT.Tr.Rail.Passenger.MTU</t>
  </si>
  <si>
    <t>EMIint.gCO2_per_pkm.MT.Tr.Rail.Passenger.CPT</t>
  </si>
  <si>
    <t>EMIint.gCO2_per_pkm.MT.Tr.Rail.Passenger.HST</t>
  </si>
  <si>
    <t>EMIint.gCO2_per_tkm.MT.Tr</t>
  </si>
  <si>
    <t>EMIint.gCO2_per_tkm.MT.Tr.Road.Freight</t>
  </si>
  <si>
    <t>EMIint.gCO2_per_tkm.MT.Tr.Road.Freight.LCV</t>
  </si>
  <si>
    <t>EMIint.gCO2_per_tkm.MT.Tr.Road.Freight.HGV</t>
  </si>
  <si>
    <t>EMIint.gCO2_per_tkm.MT.Tr.Rail.Freight</t>
  </si>
  <si>
    <t>EMIint.gCO2_per_tkm.MT.Tr.DNavi.Freight</t>
  </si>
  <si>
    <t>EMIint.gCO2_per_tkm.MT.Tr.DNavi.Freight.DCS</t>
  </si>
  <si>
    <t>EMIint.gCO2_per_tkm.MT.Tr.DNavi.Freight.IWW</t>
  </si>
  <si>
    <t>EMIint.gCO2_per_tkm.MT.MBunk.Freight</t>
  </si>
  <si>
    <t>EMIint.gCO2_per_tkm.MT.MBunk.Freight.IntraEEA</t>
  </si>
  <si>
    <t>EMIint.gCO2_per_tkm.MT.MBunk.Freight.ExtraEEA</t>
  </si>
  <si>
    <t>Road transport - MT - Malta</t>
  </si>
  <si>
    <t>Activity.Mpkm.MT.Tr.Road.Passenger.Car.ICE.Gasoline</t>
  </si>
  <si>
    <t>Activity.Mpkm.MT.Tr.Road.Passenger.Car.ICE.Diesel</t>
  </si>
  <si>
    <t>Activity.Mpkm.MT.Tr.Road.Passenger.Car.ICE.LPG</t>
  </si>
  <si>
    <t>Activity.Mpkm.MT.Tr.Road.Passenger.Car.ICE.NGas</t>
  </si>
  <si>
    <t>Activity.Mpkm.MT.Tr.Road.Passenger.Car.PHEV</t>
  </si>
  <si>
    <t>Activity.Mpkm.MT.Tr.Road.Passenger.Car.BEV</t>
  </si>
  <si>
    <t>Activity.Mpkm.MT.Tr.Road.Passenger.Bus.ICE.Gasoline</t>
  </si>
  <si>
    <t>Activity.Mpkm.MT.Tr.Road.Passenger.Bus.ICE.Diesel</t>
  </si>
  <si>
    <t>Activity.Mpkm.MT.Tr.Road.Passenger.Bus.ICE.LPG</t>
  </si>
  <si>
    <t>Activity.Mpkm.MT.Tr.Road.Passenger.Bus.ICE.NGas</t>
  </si>
  <si>
    <t>Activity.Mpkm.MT.Tr.Road.Passenger.Bus.ICE.BEV</t>
  </si>
  <si>
    <t>Activity.Mtkm.MT.Tr.Road.Freight.LCV.ICE.Gasoline</t>
  </si>
  <si>
    <t>Activity.Mtkm.MT.Tr.Road.Freight.LCV.ICE.Diesel</t>
  </si>
  <si>
    <t>Activity.Mtkm.MT.Tr.Road.Freight.LCV.ICE.LPG</t>
  </si>
  <si>
    <t>Activity.Mtkm.MT.Tr.Road.Freight.LCV.ICE.NGas</t>
  </si>
  <si>
    <t>Activity.Mtkm.MT.Tr.Road.Freight.LCV.ICE.BEV</t>
  </si>
  <si>
    <t>Activity.Mtkm.MT.Tr.Road.Freight.HGV.Domestic</t>
  </si>
  <si>
    <t>Activity.Mtkm.MT.Tr.Road.Freight.HGV.International</t>
  </si>
  <si>
    <t>VehicleKm.Mkm.MT.Tr.Road</t>
  </si>
  <si>
    <t>VehicleKm.Mkm.MT.Tr.Road.Passenger</t>
  </si>
  <si>
    <t>VehicleKm.Mkm.MT.Tr.Road.Passenger.P2W</t>
  </si>
  <si>
    <t>VehicleKm.Mkm.MT.Tr.Road.Passenger.Car</t>
  </si>
  <si>
    <t>VehicleKm.Mkm.MT.Tr.Road.Passenger.Car.ICE.Gasoline</t>
  </si>
  <si>
    <t>VehicleKm.Mkm.MT.Tr.Road.Passenger.Car.ICE.Diesel</t>
  </si>
  <si>
    <t>VehicleKm.Mkm.MT.Tr.Road.Passenger.Car.ICE.LPG</t>
  </si>
  <si>
    <t>VehicleKm.Mkm.MT.Tr.Road.Passenger.Car.ICE.NGas</t>
  </si>
  <si>
    <t>VehicleKm.Mkm.MT.Tr.Road.Passenger.Car.PHEV</t>
  </si>
  <si>
    <t>VehicleKm.Mkm.MT.Tr.Road.Passenger.Car.BEV</t>
  </si>
  <si>
    <t>VehicleKm.Mkm.MT.Tr.Road.Passenger.Bus</t>
  </si>
  <si>
    <t>VehicleKm.Mkm.MT.Tr.Road.Passenger.Bus.ICE.Gasoline</t>
  </si>
  <si>
    <t>VehicleKm.Mkm.MT.Tr.Road.Passenger.Bus.ICE.Diesel</t>
  </si>
  <si>
    <t>VehicleKm.Mkm.MT.Tr.Road.Passenger.Bus.ICE.LPG</t>
  </si>
  <si>
    <t>VehicleKm.Mkm.MT.Tr.Road.Passenger.Bus.ICE.NGas</t>
  </si>
  <si>
    <t>VehicleKm.Mkm.MT.Tr.Road.Passenger.Bus.ICE.BEV</t>
  </si>
  <si>
    <t>VehicleKm.Mkm.MT.Tr.Road.Freight</t>
  </si>
  <si>
    <t>VehicleKm.Mkm.MT.Tr.Road.Freight.LCV</t>
  </si>
  <si>
    <t>VehicleKm.Mkm.MT.Tr.Road.Freight.LCV.ICE.Gasoline</t>
  </si>
  <si>
    <t>VehicleKm.Mkm.MT.Tr.Road.Freight.LCV.ICE.Diesel</t>
  </si>
  <si>
    <t>VehicleKm.Mkm.MT.Tr.Road.Freight.LCV.ICE.LPG</t>
  </si>
  <si>
    <t>VehicleKm.Mkm.MT.Tr.Road.Freight.LCV.ICE.NGas</t>
  </si>
  <si>
    <t>VehicleKm.Mkm.MT.Tr.Road.Freight.LCV.ICE.BEV</t>
  </si>
  <si>
    <t>VehicleKm.Mkm.MT.Tr.Road.Freight.HGV</t>
  </si>
  <si>
    <t>VehicleKm.Mkm.MT.Tr.Road.Freight.HGV.Domestic</t>
  </si>
  <si>
    <t>VehicleKm.Mkm.MT.Tr.Road.Freight.HGV.International</t>
  </si>
  <si>
    <t>Stock.number.MT.Tr.Road</t>
  </si>
  <si>
    <t>Stock.number.MT.Tr.Road.Passenger</t>
  </si>
  <si>
    <t>Stock.number.MT.Tr.Road.Passenger.P2W</t>
  </si>
  <si>
    <t>Stock.number.MT.Tr.Road.Passenger.Car</t>
  </si>
  <si>
    <t>Stock.number.MT.Tr.Road.Passenger.Car.ICE.Gasoline</t>
  </si>
  <si>
    <t>Stock.number.MT.Tr.Road.Passenger.Car.ICE.Diesel</t>
  </si>
  <si>
    <t>Stock.number.MT.Tr.Road.Passenger.Car.ICE.LPG</t>
  </si>
  <si>
    <t>Stock.number.MT.Tr.Road.Passenger.Car.ICE.NGas</t>
  </si>
  <si>
    <t>Stock.number.MT.Tr.Road.Passenger.Car.PHEV</t>
  </si>
  <si>
    <t>Stock.number.MT.Tr.Road.Passenger.Car.BEV</t>
  </si>
  <si>
    <t>Stock.number.MT.Tr.Road.Passenger.Bus</t>
  </si>
  <si>
    <t>Stock.number.MT.Tr.Road.Passenger.Bus.ICE.Gasoline</t>
  </si>
  <si>
    <t>Stock.number.MT.Tr.Road.Passenger.Bus.ICE.Diesel</t>
  </si>
  <si>
    <t>Stock.number.MT.Tr.Road.Passenger.Bus.ICE.LPG</t>
  </si>
  <si>
    <t>Stock.number.MT.Tr.Road.Passenger.Bus.ICE.NGas</t>
  </si>
  <si>
    <t>Stock.number.MT.Tr.Road.Passenger.Bus.ICE.BEV</t>
  </si>
  <si>
    <t>Stock.number.MT.Tr.Road.Freight</t>
  </si>
  <si>
    <t>Stock.number.MT.Tr.Road.Freight.LCV</t>
  </si>
  <si>
    <t>Stock.number.MT.Tr.Road.Freight.LCV.ICE.Gasoline</t>
  </si>
  <si>
    <t>Stock.number.MT.Tr.Road.Freight.LCV.ICE.Diesel</t>
  </si>
  <si>
    <t>Stock.number.MT.Tr.Road.Freight.LCV.ICE.LPG</t>
  </si>
  <si>
    <t>Stock.number.MT.Tr.Road.Freight.LCV.ICE.NGas</t>
  </si>
  <si>
    <t>Stock.number.MT.Tr.Road.Freight.LCV.ICE.BEV</t>
  </si>
  <si>
    <t>Stock.number.MT.Tr.Road.Freight.HGV</t>
  </si>
  <si>
    <t>Stock.number.MT.Tr.Road.Freight.HGV.Domestic</t>
  </si>
  <si>
    <t>Stock.number.MT.Tr.Road.Freight.HGV.International</t>
  </si>
  <si>
    <t>StockNew.number.MT.Tr.Road</t>
  </si>
  <si>
    <t>StockNew.number.MT.Tr.Road.Passenger</t>
  </si>
  <si>
    <t>StockNew.number.MT.Tr.Road.Passenger.P2W</t>
  </si>
  <si>
    <t>StockNew.number.MT.Tr.Road.Passenger.Car</t>
  </si>
  <si>
    <t>StockNew.number.MT.Tr.Road.Passenger.Car.ICE.Gasoline</t>
  </si>
  <si>
    <t>StockNew.number.MT.Tr.Road.Passenger.Car.ICE.Diesel</t>
  </si>
  <si>
    <t>StockNew.number.MT.Tr.Road.Passenger.Car.ICE.LPG</t>
  </si>
  <si>
    <t>StockNew.number.MT.Tr.Road.Passenger.Car.ICE.NGas</t>
  </si>
  <si>
    <t>StockNew.number.MT.Tr.Road.Passenger.Car.PHEV</t>
  </si>
  <si>
    <t>StockNew.number.MT.Tr.Road.Passenger.Car.BEV</t>
  </si>
  <si>
    <t>StockNew.number.MT.Tr.Road.Passenger.Bus</t>
  </si>
  <si>
    <t>StockNew.number.MT.Tr.Road.Passenger.Bus.ICE.Gasoline</t>
  </si>
  <si>
    <t>StockNew.number.MT.Tr.Road.Passenger.Bus.ICE.Diesel</t>
  </si>
  <si>
    <t>StockNew.number.MT.Tr.Road.Passenger.Bus.ICE.LPG</t>
  </si>
  <si>
    <t>StockNew.number.MT.Tr.Road.Passenger.Bus.ICE.NGas</t>
  </si>
  <si>
    <t>StockNew.number.MT.Tr.Road.Passenger.Bus.ICE.BEV</t>
  </si>
  <si>
    <t>StockNew.number.MT.Tr.Road.Freight</t>
  </si>
  <si>
    <t>StockNew.number.MT.Tr.Road.Freight.LCV</t>
  </si>
  <si>
    <t>StockNew.number.MT.Tr.Road.Freight.LCV.ICE.Gasoline</t>
  </si>
  <si>
    <t>StockNew.number.MT.Tr.Road.Freight.LCV.ICE.Diesel</t>
  </si>
  <si>
    <t>StockNew.number.MT.Tr.Road.Freight.LCV.ICE.LPG</t>
  </si>
  <si>
    <t>StockNew.number.MT.Tr.Road.Freight.LCV.ICE.NGas</t>
  </si>
  <si>
    <t>StockNew.number.MT.Tr.Road.Freight.LCV.ICE.BEV</t>
  </si>
  <si>
    <t>StockNew.number.MT.Tr.Road.Freight.HGV</t>
  </si>
  <si>
    <t>StockNew.number.MT.Tr.Road.Freight.HGV.Domestic</t>
  </si>
  <si>
    <t>StockNew.number.MT.Tr.Road.Freight.HGV.International</t>
  </si>
  <si>
    <t>Load.passenger_per_movement.MT.Tr.Road.Passenger</t>
  </si>
  <si>
    <t>Load.passenger_per_movement.MT.Tr.Road.Passenger.P2W</t>
  </si>
  <si>
    <t>Load.passenger_per_movement.MT.Tr.Road.Passenger.Car</t>
  </si>
  <si>
    <t>Load.passenger_per_movement.MT.Tr.Road.Passenger.Car.ICE.Gasoline</t>
  </si>
  <si>
    <t>Load.passenger_per_movement.MT.Tr.Road.Passenger.Car.ICE.Diesel</t>
  </si>
  <si>
    <t>Load.passenger_per_movement.MT.Tr.Road.Passenger.Car.ICE.LPG</t>
  </si>
  <si>
    <t>Load.passenger_per_movement.MT.Tr.Road.Passenger.Car.ICE.NGas</t>
  </si>
  <si>
    <t>Load.passenger_per_movement.MT.Tr.Road.Passenger.Car.PHEV</t>
  </si>
  <si>
    <t>Load.passenger_per_movement.MT.Tr.Road.Passenger.Car.BEV</t>
  </si>
  <si>
    <t>Load.passenger_per_movement.MT.Tr.Road.Passenger.Bus</t>
  </si>
  <si>
    <t>Load.passenger_per_movement.MT.Tr.Road.Passenger.Bus.ICE.Gasoline</t>
  </si>
  <si>
    <t>Load.passenger_per_movement.MT.Tr.Road.Passenger.Bus.ICE.Diesel</t>
  </si>
  <si>
    <t>Load.passenger_per_movement.MT.Tr.Road.Passenger.Bus.ICE.LPG</t>
  </si>
  <si>
    <t>Load.passenger_per_movement.MT.Tr.Road.Passenger.Bus.ICE.NGas</t>
  </si>
  <si>
    <t>Load.passenger_per_movement.MT.Tr.Road.Passenger.Bus.ICE.BEV</t>
  </si>
  <si>
    <t>Load.t_per_movement.MT.Tr.Road.Freight</t>
  </si>
  <si>
    <t>Load.t_per_movement.MT.Tr.Road.Freight.LCV</t>
  </si>
  <si>
    <t>Load.t_per_movement.MT.Tr.Road.Freight.LCV.ICE.Gasoline</t>
  </si>
  <si>
    <t>Load.t_per_movement.MT.Tr.Road.Freight.LCV.ICE.Diesel</t>
  </si>
  <si>
    <t>Load.t_per_movement.MT.Tr.Road.Freight.LCV.ICE.LPG</t>
  </si>
  <si>
    <t>Load.t_per_movement.MT.Tr.Road.Freight.LCV.ICE.NGas</t>
  </si>
  <si>
    <t>Load.t_per_movement.MT.Tr.Road.Freight.LCV.ICE.BEV</t>
  </si>
  <si>
    <t>Load.t_per_movement.MT.Tr.Road.Freight.HGV</t>
  </si>
  <si>
    <t>Load.t_per_movement.MT.Tr.Road.Freight.HGV.Domestic</t>
  </si>
  <si>
    <t>Load.t_per_movement.MT.Tr.Road.Freight.HGV.International</t>
  </si>
  <si>
    <t>VehicleKm_per_vehicle.km.MT.Tr.Road</t>
  </si>
  <si>
    <t>VehicleKm_per_vehicle.km.MT.Tr.Road.Passenger</t>
  </si>
  <si>
    <t>VehicleKm_per_vehicle.km.MT.Tr.Road.Passenger.P2W</t>
  </si>
  <si>
    <t>VehicleKm_per_vehicle.km.MT.Tr.Road.Passenger.Car</t>
  </si>
  <si>
    <t>VehicleKm_per_vehicle.km.MT.Tr.Road.Passenger.Car.ICE.Gasoline</t>
  </si>
  <si>
    <t>VehicleKm_per_vehicle.km.MT.Tr.Road.Passenger.Car.ICE.Diesel</t>
  </si>
  <si>
    <t>VehicleKm_per_vehicle.km.MT.Tr.Road.Passenger.Car.ICE.LPG</t>
  </si>
  <si>
    <t>VehicleKm_per_vehicle.km.MT.Tr.Road.Passenger.Car.ICE.NGas</t>
  </si>
  <si>
    <t>VehicleKm_per_vehicle.km.MT.Tr.Road.Passenger.Car.PHEV</t>
  </si>
  <si>
    <t>VehicleKm_per_vehicle.km.MT.Tr.Road.Passenger.Car.BEV</t>
  </si>
  <si>
    <t>VehicleKm_per_vehicle.km.MT.Tr.Road.Passenger.Bus</t>
  </si>
  <si>
    <t>VehicleKm_per_vehicle.km.MT.Tr.Road.Passenger.Bus.ICE.Gasoline</t>
  </si>
  <si>
    <t>VehicleKm_per_vehicle.km.MT.Tr.Road.Passenger.Bus.ICE.Diesel</t>
  </si>
  <si>
    <t>VehicleKm_per_vehicle.km.MT.Tr.Road.Passenger.Bus.ICE.LPG</t>
  </si>
  <si>
    <t>VehicleKm_per_vehicle.km.MT.Tr.Road.Passenger.Bus.ICE.NGas</t>
  </si>
  <si>
    <t>VehicleKm_per_vehicle.km.MT.Tr.Road.Passenger.Bus.ICE.BEV</t>
  </si>
  <si>
    <t>VehicleKm_per_vehicle.km.MT.Tr.Road.Freight</t>
  </si>
  <si>
    <t>VehicleKm_per_vehicle.km.MT.Tr.Road.Freight.LCV</t>
  </si>
  <si>
    <t>VehicleKm_per_vehicle.km.MT.Tr.Road.Freight.LCV.ICE.Gasoline</t>
  </si>
  <si>
    <t>VehicleKm_per_vehicle.km.MT.Tr.Road.Freight.LCV.ICE.Diesel</t>
  </si>
  <si>
    <t>VehicleKm_per_vehicle.km.MT.Tr.Road.Freight.LCV.ICE.LPG</t>
  </si>
  <si>
    <t>VehicleKm_per_vehicle.km.MT.Tr.Road.Freight.LCV.ICE.NGas</t>
  </si>
  <si>
    <t>VehicleKm_per_vehicle.km.MT.Tr.Road.Freight.LCV.ICE.BEV</t>
  </si>
  <si>
    <t>VehicleKm_per_vehicle.km.MT.Tr.Road.Freight.HGV</t>
  </si>
  <si>
    <t>VehicleKm_per_vehicle.km.MT.Tr.Road.Freight.HGV.Domestic</t>
  </si>
  <si>
    <t>VehicleKm_per_vehicle.km.MT.Tr.Road.Freight.HGV.International</t>
  </si>
  <si>
    <t>Activity_per_vehicle.pkm.MT.Tr.Road.Passenger</t>
  </si>
  <si>
    <t>Activity_per_vehicle.pkm.MT.Tr.Road.Passenger.P2W</t>
  </si>
  <si>
    <t>Activity_per_vehicle.pkm.MT.Tr.Road.Passenger.Car</t>
  </si>
  <si>
    <t>Activity_per_vehicle.pkm.MT.Tr.Road.Passenger.Car.ICE.Gasoline</t>
  </si>
  <si>
    <t>Activity_per_vehicle.pkm.MT.Tr.Road.Passenger.Car.ICE.Diesel</t>
  </si>
  <si>
    <t>Activity_per_vehicle.pkm.MT.Tr.Road.Passenger.Car.ICE.LPG</t>
  </si>
  <si>
    <t>Activity_per_vehicle.pkm.MT.Tr.Road.Passenger.Car.ICE.NGas</t>
  </si>
  <si>
    <t>Activity_per_vehicle.pkm.MT.Tr.Road.Passenger.Car.PHEV</t>
  </si>
  <si>
    <t>Activity_per_vehicle.pkm.MT.Tr.Road.Passenger.Car.BEV</t>
  </si>
  <si>
    <t>Activity_per_vehicle.pkm.MT.Tr.Road.Passenger.Bus</t>
  </si>
  <si>
    <t>Activity_per_vehicle.pkm.MT.Tr.Road.Passenger.Bus.ICE.Gasoline</t>
  </si>
  <si>
    <t>Activity_per_vehicle.pkm.MT.Tr.Road.Passenger.Bus.ICE.Diesel</t>
  </si>
  <si>
    <t>Activity_per_vehicle.pkm.MT.Tr.Road.Passenger.Bus.ICE.LPG</t>
  </si>
  <si>
    <t>Activity_per_vehicle.pkm.MT.Tr.Road.Passenger.Bus.ICE.NGas</t>
  </si>
  <si>
    <t>Activity_per_vehicle.pkm.MT.Tr.Road.Passenger.Bus.ICE.BEV</t>
  </si>
  <si>
    <t>Activity_per_vehicle.tkm.MT.Tr.Road.Freight</t>
  </si>
  <si>
    <t>Activity_per_vehicle.tkm.MT.Tr.Road.Freight.LCV</t>
  </si>
  <si>
    <t>Activity_per_vehicle.tkm.MT.Tr.Road.Freight.LCV.ICE.Gasoline</t>
  </si>
  <si>
    <t>Activity_per_vehicle.tkm.MT.Tr.Road.Freight.LCV.ICE.Diesel</t>
  </si>
  <si>
    <t>Activity_per_vehicle.tkm.MT.Tr.Road.Freight.LCV.ICE.LPG</t>
  </si>
  <si>
    <t>Activity_per_vehicle.tkm.MT.Tr.Road.Freight.LCV.ICE.NGas</t>
  </si>
  <si>
    <t>Activity_per_vehicle.tkm.MT.Tr.Road.Freight.LCV.ICE.BEV</t>
  </si>
  <si>
    <t>Activity_per_vehicle.tkm.MT.Tr.Road.Freight.HGV</t>
  </si>
  <si>
    <t>Activity_per_vehicle.tkm.MT.Tr.Road.Freight.HGV.Domestic</t>
  </si>
  <si>
    <t>Activity_per_vehicle.tkm.MT.Tr.Road.Freight.HGV.International</t>
  </si>
  <si>
    <t>Road transport / energy consumption - MT - Malta</t>
  </si>
  <si>
    <t>FEC.ktoe.MT.ES.Tr.Road</t>
  </si>
  <si>
    <t>FEC.ktoe.MT.ES.Tr.Road.LPG</t>
  </si>
  <si>
    <t>FEC.ktoe.MT.ES.Tr.Road.Gasoline</t>
  </si>
  <si>
    <t>FEC.ktoe.MT.ES.Tr.Road.Diesel</t>
  </si>
  <si>
    <t>FEC.ktoe.MT.ES.Tr.Road.NG</t>
  </si>
  <si>
    <t>FEC.ktoe.MT.ES.Tr.Road.Biogas</t>
  </si>
  <si>
    <t>FEC.ktoe.MT.ES.Tr.Road.Biogasoline</t>
  </si>
  <si>
    <t>FEC.ktoe.MT.ES.Tr.Road.Biodiesel</t>
  </si>
  <si>
    <t>FEC.ktoe.MT.ES.Tr.Road.OthLiqBio</t>
  </si>
  <si>
    <t>FEC.ktoe.MT.ES.Tr.Road.Elec</t>
  </si>
  <si>
    <t>FEC.ktoe.MT.Tr.Road</t>
  </si>
  <si>
    <t>FEC.ktoe.MT.Tr.Road.Passenger.P2W.Biogasoline</t>
  </si>
  <si>
    <t>FEC.ktoe.MT.Tr.Road.Passenger.Car.ICE.Gasoline</t>
  </si>
  <si>
    <t>FEC.ktoe.MT.Tr.Road.Passenger.Car.ICE.Gasoline.Biogasoline</t>
  </si>
  <si>
    <t>FEC.ktoe.MT.Tr.Road.Passenger.Car.ICE.Diesel</t>
  </si>
  <si>
    <t>FEC.ktoe.MT.Tr.Road.Passenger.Car.ICE.Diesel.BioDiesel_OthLiqBio</t>
  </si>
  <si>
    <t>FEC.ktoe.MT.Tr.Road.Passenger.Car.ICE.LPG</t>
  </si>
  <si>
    <t>FEC.ktoe.MT.Tr.Road.Passenger.Car.ICE.NGas</t>
  </si>
  <si>
    <t>FEC.ktoe.MT.Tr.Road.Passenger.Car.ICE.NGas.Biogas</t>
  </si>
  <si>
    <t>FEC.ktoe.MT.Tr.Road.Passenger.Car.PHEV</t>
  </si>
  <si>
    <t>FEC.ktoe.MT.Tr.Road.Passenger.Car.PHEV.Biogasoline</t>
  </si>
  <si>
    <t>FEC.ktoe.MT.Tr.Road.Passenger.Car.PHEV.Elec</t>
  </si>
  <si>
    <t>FEC.ktoe.MT.Tr.Road.Passenger.Car.BEV</t>
  </si>
  <si>
    <t>FEC.ktoe.MT.Tr.Road.Passenger.Bus.ICE.Gasoline</t>
  </si>
  <si>
    <t>FEC.ktoe.MT.Tr.Road.Passenger.Bus.ICE.Gasoline.Biogasoline</t>
  </si>
  <si>
    <t>FEC.ktoe.MT.Tr.Road.Passenger.Bus.ICE.Diesel</t>
  </si>
  <si>
    <t>FEC.ktoe.MT.Tr.Road.Passenger.Bus.ICE.Diesel.BioDiesel_OthLiqBio</t>
  </si>
  <si>
    <t>FEC.ktoe.MT.Tr.Road.Passenger.Bus.ICE.LPG</t>
  </si>
  <si>
    <t>FEC.ktoe.MT.Tr.Road.Passenger.Bus.ICE.NGas</t>
  </si>
  <si>
    <t>FEC.ktoe.MT.Tr.Road.Passenger.Bus.ICE.NGas.Biogas</t>
  </si>
  <si>
    <t>FEC.ktoe.MT.Tr.Road.Passenger.Bus.ICE.BEV</t>
  </si>
  <si>
    <t>FEC.ktoe.MT.Tr.Road.Freight.LCV.ICE.Gasoline</t>
  </si>
  <si>
    <t>FEC.ktoe.MT.Tr.Road.Freight.LCV.ICE.Gasoline.Biogasoline</t>
  </si>
  <si>
    <t>FEC.ktoe.MT.Tr.Road.Freight.LCV.ICE.Diesel</t>
  </si>
  <si>
    <t>FEC.ktoe.MT.Tr.Road.Freight.LCV.ICE.Diesel.BioDiesel_OthLiqBio</t>
  </si>
  <si>
    <t>FEC.ktoe.MT.Tr.Road.Freight.LCV.ICE.LPG</t>
  </si>
  <si>
    <t>FEC.ktoe.MT.Tr.Road.Freight.LCV.ICE.NGas</t>
  </si>
  <si>
    <t>FEC.ktoe.MT.Tr.Road.Freight.LCV.ICE.NGas.Biogas</t>
  </si>
  <si>
    <t>FEC.ktoe.MT.Tr.Road.Freight.LCV.ICE.BEV</t>
  </si>
  <si>
    <t>FEC.ktoe.MT.Tr.Road.Freight.HGV.Domestic</t>
  </si>
  <si>
    <t>FEC.ktoe.MT.Tr.Road.Freight.HGV.Domestic.BioDiesel_OthLiqBio</t>
  </si>
  <si>
    <t>FEC.ktoe.MT.Tr.Road.Freight.HGV.International</t>
  </si>
  <si>
    <t>FEC.ktoe.MT.Tr.Road.Freight.HGV.International.BioDiesel_OthLiqBio</t>
  </si>
  <si>
    <t>Eff.kgoe_per_100km.MT.Tr.Road</t>
  </si>
  <si>
    <t>Eff.kgoe_per_100km.MT.Tr.Road.Passenger</t>
  </si>
  <si>
    <t>Eff.kgoe_per_100km.MT.Tr.Road.Passenger.P2W</t>
  </si>
  <si>
    <t>Eff.kgoe_per_100km.MT.Tr.Road.Passenger.Car</t>
  </si>
  <si>
    <t>Eff.kgoe_per_100km.MT.Tr.Road.Passenger.Car.ICE.Gasoline</t>
  </si>
  <si>
    <t>Eff.kgoe_per_100km.MT.Tr.Road.Passenger.Car.ICE.Diesel</t>
  </si>
  <si>
    <t>Eff.kgoe_per_100km.MT.Tr.Road.Passenger.Car.ICE.LPG</t>
  </si>
  <si>
    <t>Eff.kgoe_per_100km.MT.Tr.Road.Passenger.Car.ICE.NGas</t>
  </si>
  <si>
    <t>Eff.kgoe_per_100km.MT.Tr.Road.Passenger.Car.PHEV</t>
  </si>
  <si>
    <t>Eff.kgoe_per_100km.MT.Tr.Road.Passenger.Car.BEV</t>
  </si>
  <si>
    <t>Eff.kgoe_per_100km.MT.Tr.Road.Passenger.Bus</t>
  </si>
  <si>
    <t>Eff.kgoe_per_100km.MT.Tr.Road.Passenger.Bus.ICE.Gasoline</t>
  </si>
  <si>
    <t>Eff.kgoe_per_100km.MT.Tr.Road.Passenger.Bus.ICE.Diesel</t>
  </si>
  <si>
    <t>Eff.kgoe_per_100km.MT.Tr.Road.Passenger.Bus.ICE.LPG</t>
  </si>
  <si>
    <t>Eff.kgoe_per_100km.MT.Tr.Road.Passenger.Bus.ICE.NGas</t>
  </si>
  <si>
    <t>Eff.kgoe_per_100km.MT.Tr.Road.Passenger.Bus.ICE.BEV</t>
  </si>
  <si>
    <t>Eff.kgoe_per_100km.MT.Tr.Road.Freight</t>
  </si>
  <si>
    <t>Eff.kgoe_per_100km.MT.Tr.Road.Freight.LCV</t>
  </si>
  <si>
    <t>Eff.kgoe_per_100km.MT.Tr.Road.Freight.LCV.ICE.Gasoline</t>
  </si>
  <si>
    <t>Eff.kgoe_per_100km.MT.Tr.Road.Freight.LCV.ICE.Diesel</t>
  </si>
  <si>
    <t>Eff.kgoe_per_100km.MT.Tr.Road.Freight.LCV.ICE.LPG</t>
  </si>
  <si>
    <t>Eff.kgoe_per_100km.MT.Tr.Road.Freight.LCV.ICE.NGas</t>
  </si>
  <si>
    <t>Eff.kgoe_per_100km.MT.Tr.Road.Freight.LCV.ICE.BEV</t>
  </si>
  <si>
    <t>Eff.kgoe_per_100km.MT.Tr.Road.Freight.HGV</t>
  </si>
  <si>
    <t>Eff.kgoe_per_100km.MT.Tr.Road.Freight.HGV.Domestic</t>
  </si>
  <si>
    <t>Eff.kgoe_per_100km.MT.Tr.Road.Freight.HGV.International</t>
  </si>
  <si>
    <t>Eff.kgoe_per_kpkm.MT.Tr.Road.Passenger.Car.ICE.Gasoline</t>
  </si>
  <si>
    <t>Eff.kgoe_per_kpkm.MT.Tr.Road.Passenger.Car.ICE.Diesel</t>
  </si>
  <si>
    <t>Eff.kgoe_per_kpkm.MT.Tr.Road.Passenger.Car.ICE.LPG</t>
  </si>
  <si>
    <t>Eff.kgoe_per_kpkm.MT.Tr.Road.Passenger.Car.ICE.NGas</t>
  </si>
  <si>
    <t>Eff.kgoe_per_kpkm.MT.Tr.Road.Passenger.Car.PHEV</t>
  </si>
  <si>
    <t>Eff.kgoe_per_kpkm.MT.Tr.Road.Passenger.Car.BEV</t>
  </si>
  <si>
    <t>Eff.kgoe_per_kpkm.MT.Tr.Road.Passenger.Bus.ICE.Gasoline</t>
  </si>
  <si>
    <t>Eff.kgoe_per_kpkm.MT.Tr.Road.Passenger.Bus.ICE.Diesel</t>
  </si>
  <si>
    <t>Eff.kgoe_per_kpkm.MT.Tr.Road.Passenger.Bus.ICE.LPG</t>
  </si>
  <si>
    <t>Eff.kgoe_per_kpkm.MT.Tr.Road.Passenger.Bus.ICE.NGas</t>
  </si>
  <si>
    <t>Eff.kgoe_per_kpkm.MT.Tr.Road.Passenger.Bus.ICE.BEV</t>
  </si>
  <si>
    <t>Eff.kgoe_per_ktkm.MT.Tr.Road.Freight.LCV.ICE.Gasoline</t>
  </si>
  <si>
    <t>Eff.kgoe_per_ktkm.MT.Tr.Road.Freight.LCV.ICE.Diesel</t>
  </si>
  <si>
    <t>Eff.kgoe_per_ktkm.MT.Tr.Road.Freight.LCV.ICE.LPG</t>
  </si>
  <si>
    <t>Eff.kgoe_per_ktkm.MT.Tr.Road.Freight.LCV.ICE.NGas</t>
  </si>
  <si>
    <t>Eff.kgoe_per_ktkm.MT.Tr.Road.Freight.LCV.ICE.BEV</t>
  </si>
  <si>
    <t>Eff.kgoe_per_ktkm.MT.Tr.Road.Freight.HGV.Domestic</t>
  </si>
  <si>
    <t>Eff.kgoe_per_ktkm.MT.Tr.Road.Freight.HGV.International</t>
  </si>
  <si>
    <t>FEC_per_vehicle.kgoe.MT.Tr.Road.Passenger.P2W</t>
  </si>
  <si>
    <t>FEC_per_vehicle.kgoe.MT.Tr.Road.Passenger.Car</t>
  </si>
  <si>
    <t>FEC_per_vehicle.kgoe.MT.Tr.Road.Passenger.Car.ICE.Gasoline</t>
  </si>
  <si>
    <t>FEC_per_vehicle.kgoe.MT.Tr.Road.Passenger.Car.ICE.Diesel</t>
  </si>
  <si>
    <t>FEC_per_vehicle.kgoe.MT.Tr.Road.Passenger.Car.ICE.LPG</t>
  </si>
  <si>
    <t>FEC_per_vehicle.kgoe.MT.Tr.Road.Passenger.Car.ICE.NGas</t>
  </si>
  <si>
    <t>FEC_per_vehicle.kgoe.MT.Tr.Road.Passenger.Car.PHEV</t>
  </si>
  <si>
    <t>FEC_per_vehicle.kgoe.MT.Tr.Road.Passenger.Car.BEV</t>
  </si>
  <si>
    <t>FEC_per_vehicle.kgoe.MT.Tr.Road.Passenger.Bus</t>
  </si>
  <si>
    <t>FEC_per_vehicle.kgoe.MT.Tr.Road.Passenger.Bus.ICE.Gasoline</t>
  </si>
  <si>
    <t>FEC_per_vehicle.kgoe.MT.Tr.Road.Passenger.Bus.ICE.Diesel</t>
  </si>
  <si>
    <t>FEC_per_vehicle.kgoe.MT.Tr.Road.Passenger.Bus.ICE.LPG</t>
  </si>
  <si>
    <t>FEC_per_vehicle.kgoe.MT.Tr.Road.Passenger.Bus.ICE.NGas</t>
  </si>
  <si>
    <t>FEC_per_vehicle.kgoe.MT.Tr.Road.Passenger.Bus.ICE.BEV</t>
  </si>
  <si>
    <t>FEC_per_vehicle.kgoe.MT.Tr.Road.Freight.LCV</t>
  </si>
  <si>
    <t>FEC_per_vehicle.kgoe.MT.Tr.Road.Freight.LCV.ICE.Gasoline</t>
  </si>
  <si>
    <t>FEC_per_vehicle.kgoe.MT.Tr.Road.Freight.LCV.ICE.Diesel</t>
  </si>
  <si>
    <t>FEC_per_vehicle.kgoe.MT.Tr.Road.Freight.LCV.ICE.LPG</t>
  </si>
  <si>
    <t>FEC_per_vehicle.kgoe.MT.Tr.Road.Freight.LCV.ICE.NGas</t>
  </si>
  <si>
    <t>FEC_per_vehicle.kgoe.MT.Tr.Road.Freight.LCV.ICE.BEV</t>
  </si>
  <si>
    <t>FEC_per_vehicle.kgoe.MT.Tr.Road.Freight.HGV</t>
  </si>
  <si>
    <t>FEC_per_vehicle.kgoe.MT.Tr.Road.Freight.HGV.Domestic</t>
  </si>
  <si>
    <t>FEC_per_vehicle.kgoe.MT.Tr.Road.Freight.HGV.International</t>
  </si>
  <si>
    <t>Road transport / CO2 emissions - MT - Malta</t>
  </si>
  <si>
    <t>EMI.ktCO2.MT.ES.Tr.Road</t>
  </si>
  <si>
    <t>EMI.ktCO2.MT.ES.Tr.Road.LPG</t>
  </si>
  <si>
    <t>EMI.ktCO2.MT.ES.Tr.Road.Gasoline</t>
  </si>
  <si>
    <t>EMI.ktCO2.MT.ES.Tr.Road.Diesel</t>
  </si>
  <si>
    <t>EMI.ktCO2.MT.ES.Tr.Road.NG</t>
  </si>
  <si>
    <t>EMI.ktCO2.MT.ES.Tr.Road.Biogas</t>
  </si>
  <si>
    <t>EMI.ktCO2.MT.ES.Tr.Road.Biogasoline</t>
  </si>
  <si>
    <t>EMI.ktCO2.MT.ES.Tr.Road.Biodiesel</t>
  </si>
  <si>
    <t>EMI.ktCO2.MT.ES.Tr.Road.OthLiqBio</t>
  </si>
  <si>
    <t>EMI.ktCO2.MT.ES.Tr.Road.Elec</t>
  </si>
  <si>
    <t>EMI.ktCO2.MT.Tr.Road</t>
  </si>
  <si>
    <t>EMI.ktCO2.MT.Tr.Road.Passenger.Car.ICE.Gasoline</t>
  </si>
  <si>
    <t>EMI.ktCO2.MT.Tr.Road.Passenger.Car.ICE.Diesel</t>
  </si>
  <si>
    <t>EMI.ktCO2.MT.Tr.Road.Passenger.Car.ICE.LPG</t>
  </si>
  <si>
    <t>EMI.ktCO2.MT.Tr.Road.Passenger.Car.ICE.NGas</t>
  </si>
  <si>
    <t>EMI.ktCO2.MT.Tr.Road.Passenger.Car.PHEV</t>
  </si>
  <si>
    <t>EMI.ktCO2.MT.Tr.Road.Passenger.Car.BEV</t>
  </si>
  <si>
    <t>EMI.ktCO2.MT.Tr.Road.Passenger.Bus.ICE.Gasoline</t>
  </si>
  <si>
    <t>EMI.ktCO2.MT.Tr.Road.Passenger.Bus.ICE.Diesel</t>
  </si>
  <si>
    <t>EMI.ktCO2.MT.Tr.Road.Passenger.Bus.ICE.LPG</t>
  </si>
  <si>
    <t>EMI.ktCO2.MT.Tr.Road.Passenger.Bus.ICE.NGas</t>
  </si>
  <si>
    <t>EMI.ktCO2.MT.Tr.Road.Passenger.Bus.ICE.BEV</t>
  </si>
  <si>
    <t>EMI.ktCO2.MT.Tr.Road.Freight.LCV.ICE.Gasoline</t>
  </si>
  <si>
    <t>EMI.ktCO2.MT.Tr.Road.Freight.LCV.ICE.Diesel</t>
  </si>
  <si>
    <t>EMI.ktCO2.MT.Tr.Road.Freight.LCV.ICE.LPG</t>
  </si>
  <si>
    <t>EMI.ktCO2.MT.Tr.Road.Freight.LCV.ICE.NGas</t>
  </si>
  <si>
    <t>EMI.ktCO2.MT.Tr.Road.Freight.LCV.ICE.BEV</t>
  </si>
  <si>
    <t>EMI.ktCO2.MT.Tr.Road.Freight.HGV.Domestic</t>
  </si>
  <si>
    <t>EMI.ktCO2.MT.Tr.Road.Freight.HGV.International</t>
  </si>
  <si>
    <t>EMIint.gCO2_per_km.MT.Tr.Road</t>
  </si>
  <si>
    <t>EMIint.gCO2_per_km.MT.Tr.Road.Passenger</t>
  </si>
  <si>
    <t>EMIint.gCO2_per_km.MT.Tr.Road.Passenger.P2W</t>
  </si>
  <si>
    <t>EMIint.gCO2_per_km.MT.Tr.Road.Passenger.Car</t>
  </si>
  <si>
    <t>EMIint.gCO2_per_km.MT.Tr.Road.Passenger.Car.ICE.Gasoline</t>
  </si>
  <si>
    <t>EMIint.gCO2_per_km.MT.Tr.Road.Passenger.Car.ICE.Diesel</t>
  </si>
  <si>
    <t>EMIint.gCO2_per_km.MT.Tr.Road.Passenger.Car.ICE.LPG</t>
  </si>
  <si>
    <t>EMIint.gCO2_per_km.MT.Tr.Road.Passenger.Car.ICE.NGas</t>
  </si>
  <si>
    <t>EMIint.gCO2_per_km.MT.Tr.Road.Passenger.Car.PHEV</t>
  </si>
  <si>
    <t>EMIint.gCO2_per_km.MT.Tr.Road.Passenger.Car.BEV</t>
  </si>
  <si>
    <t>EMIint.gCO2_per_km.MT.Tr.Road.Passenger.Bus</t>
  </si>
  <si>
    <t>EMIint.gCO2_per_km.MT.Tr.Road.Passenger.Bus.ICE.Gasoline</t>
  </si>
  <si>
    <t>EMIint.gCO2_per_km.MT.Tr.Road.Passenger.Bus.ICE.Diesel</t>
  </si>
  <si>
    <t>EMIint.gCO2_per_km.MT.Tr.Road.Passenger.Bus.ICE.LPG</t>
  </si>
  <si>
    <t>EMIint.gCO2_per_km.MT.Tr.Road.Passenger.Bus.ICE.NGas</t>
  </si>
  <si>
    <t>EMIint.gCO2_per_km.MT.Tr.Road.Passenger.Bus.ICE.BEV</t>
  </si>
  <si>
    <t>EMIint.gCO2_per_km.MT.Tr.Road.Freight</t>
  </si>
  <si>
    <t>EMIint.gCO2_per_km.MT.Tr.Road.Freight.LCV</t>
  </si>
  <si>
    <t>EMIint.gCO2_per_km.MT.Tr.Road.Freight.LCV.ICE.Gasoline</t>
  </si>
  <si>
    <t>EMIint.gCO2_per_km.MT.Tr.Road.Freight.LCV.ICE.Diesel</t>
  </si>
  <si>
    <t>EMIint.gCO2_per_km.MT.Tr.Road.Freight.LCV.ICE.LPG</t>
  </si>
  <si>
    <t>EMIint.gCO2_per_km.MT.Tr.Road.Freight.LCV.ICE.NGas</t>
  </si>
  <si>
    <t>EMIint.gCO2_per_km.MT.Tr.Road.Freight.LCV.ICE.BEV</t>
  </si>
  <si>
    <t>EMIint.gCO2_per_km.MT.Tr.Road.Freight.HGV</t>
  </si>
  <si>
    <t>EMIint.gCO2_per_km.MT.Tr.Road.Freight.HGV.Domestic</t>
  </si>
  <si>
    <t>EMIint.gCO2_per_km.MT.Tr.Road.Freight.HGV.International</t>
  </si>
  <si>
    <t>EMIint.gCO2_per_pkm.MT.Tr.Road.Passenger.Car.ICE.Gasoline</t>
  </si>
  <si>
    <t>EMIint.gCO2_per_pkm.MT.Tr.Road.Passenger.Car.ICE.Diesel</t>
  </si>
  <si>
    <t>EMIint.gCO2_per_pkm.MT.Tr.Road.Passenger.Car.ICE.LPG</t>
  </si>
  <si>
    <t>EMIint.gCO2_per_pkm.MT.Tr.Road.Passenger.Car.ICE.NGas</t>
  </si>
  <si>
    <t>EMIint.gCO2_per_pkm.MT.Tr.Road.Passenger.Car.PHEV</t>
  </si>
  <si>
    <t>EMIint.gCO2_per_pkm.MT.Tr.Road.Passenger.Car.BEV</t>
  </si>
  <si>
    <t>EMIint.gCO2_per_pkm.MT.Tr.Road.Passenger.Bus.ICE.Gasoline</t>
  </si>
  <si>
    <t>EMIint.gCO2_per_pkm.MT.Tr.Road.Passenger.Bus.ICE.Diesel</t>
  </si>
  <si>
    <t>EMIint.gCO2_per_pkm.MT.Tr.Road.Passenger.Bus.ICE.LPG</t>
  </si>
  <si>
    <t>EMIint.gCO2_per_pkm.MT.Tr.Road.Passenger.Bus.ICE.NGas</t>
  </si>
  <si>
    <t>EMIint.gCO2_per_pkm.MT.Tr.Road.Passenger.Bus.ICE.BEV</t>
  </si>
  <si>
    <t>EMIint.gCO2_per_tkm.MT.Tr.Road.Freight.LCV.ICE.Gasoline</t>
  </si>
  <si>
    <t>EMIint.gCO2_per_tkm.MT.Tr.Road.Freight.LCV.ICE.Diesel</t>
  </si>
  <si>
    <t>EMIint.gCO2_per_tkm.MT.Tr.Road.Freight.LCV.ICE.LPG</t>
  </si>
  <si>
    <t>EMIint.gCO2_per_tkm.MT.Tr.Road.Freight.LCV.ICE.NGas</t>
  </si>
  <si>
    <t>EMIint.gCO2_per_tkm.MT.Tr.Road.Freight.LCV.ICE.BEV</t>
  </si>
  <si>
    <t>EMIint.gCO2_per_tkm.MT.Tr.Road.Freight.HGV.Domestic</t>
  </si>
  <si>
    <t>EMIint.gCO2_per_tkm.MT.Tr.Road.Freight.HGV.International</t>
  </si>
  <si>
    <t>EMI_per_vehicle.kgCO2.MT.Tr.Road.Passenger.P2W</t>
  </si>
  <si>
    <t>EMI_per_vehicle.kgCO2.MT.Tr.Road.Passenger.Car</t>
  </si>
  <si>
    <t>EMI_per_vehicle.kgCO2.MT.Tr.Road.Passenger.Car.ICE.Gasoline</t>
  </si>
  <si>
    <t>EMI_per_vehicle.kgCO2.MT.Tr.Road.Passenger.Car.ICE.Diesel</t>
  </si>
  <si>
    <t>EMI_per_vehicle.kgCO2.MT.Tr.Road.Passenger.Car.ICE.LPG</t>
  </si>
  <si>
    <t>EMI_per_vehicle.kgCO2.MT.Tr.Road.Passenger.Car.ICE.NGas</t>
  </si>
  <si>
    <t>EMI_per_vehicle.kgCO2.MT.Tr.Road.Passenger.Car.PHEV</t>
  </si>
  <si>
    <t>EMI_per_vehicle.kgCO2.MT.Tr.Road.Passenger.Car.BEV</t>
  </si>
  <si>
    <t>EMI_per_vehicle.kgCO2.MT.Tr.Road.Passenger.Bus</t>
  </si>
  <si>
    <t>EMI_per_vehicle.kgCO2.MT.Tr.Road.Passenger.Bus.ICE.Gasoline</t>
  </si>
  <si>
    <t>EMI_per_vehicle.kgCO2.MT.Tr.Road.Passenger.Bus.ICE.Diesel</t>
  </si>
  <si>
    <t>EMI_per_vehicle.kgCO2.MT.Tr.Road.Passenger.Bus.ICE.LPG</t>
  </si>
  <si>
    <t>EMI_per_vehicle.kgCO2.MT.Tr.Road.Passenger.Bus.ICE.NGas</t>
  </si>
  <si>
    <t>EMI_per_vehicle.kgCO2.MT.Tr.Road.Passenger.Bus.ICE.BEV</t>
  </si>
  <si>
    <t>EMI_per_vehicle.kgCO2.MT.Tr.Road.Freight.LCV</t>
  </si>
  <si>
    <t>EMI_per_vehicle.kgCO2.MT.Tr.Road.Freight.LCV.ICE.Gasoline</t>
  </si>
  <si>
    <t>EMI_per_vehicle.kgCO2.MT.Tr.Road.Freight.LCV.ICE.Diesel</t>
  </si>
  <si>
    <t>EMI_per_vehicle.kgCO2.MT.Tr.Road.Freight.LCV.ICE.LPG</t>
  </si>
  <si>
    <t>EMI_per_vehicle.kgCO2.MT.Tr.Road.Freight.LCV.ICE.NGas</t>
  </si>
  <si>
    <t>EMI_per_vehicle.kgCO2.MT.Tr.Road.Freight.LCV.ICE.BEV</t>
  </si>
  <si>
    <t>EMI_per_vehicle.kgCO2.MT.Tr.Road.Freight.HGV</t>
  </si>
  <si>
    <t>EMI_per_vehicle.kgCO2.MT.Tr.Road.Freight.HGV.Domestic</t>
  </si>
  <si>
    <t>EMI_per_vehicle.kgCO2.MT.Tr.Road.Freight.HGV.International</t>
  </si>
  <si>
    <t>Road transport / technologies - MT - Malta</t>
  </si>
  <si>
    <t>StockVin.number.MT.Tr.Road</t>
  </si>
  <si>
    <t>StockVin.number.MT.Tr.Road.Passenger</t>
  </si>
  <si>
    <t>StockVin.number.MT.Tr.Road.Passenger.P2W</t>
  </si>
  <si>
    <t>StockVin.number.MT.Tr.Road.Passenger.Car</t>
  </si>
  <si>
    <t>StockVin.number.MT.Tr.Road.Passenger.Car.ICE.Gasoline</t>
  </si>
  <si>
    <t>StockVin.number.MT.Tr.Road.Passenger.Car.ICE.Diesel</t>
  </si>
  <si>
    <t>StockVin.number.MT.Tr.Road.Passenger.Car.ICE.LPG</t>
  </si>
  <si>
    <t>StockVin.number.MT.Tr.Road.Passenger.Car.ICE.NGas</t>
  </si>
  <si>
    <t>StockVin.number.MT.Tr.Road.Passenger.Car.PHEV</t>
  </si>
  <si>
    <t>StockVin.number.MT.Tr.Road.Passenger.Car.BEV</t>
  </si>
  <si>
    <t>StockVin.number.MT.Tr.Road.Passenger.Bus</t>
  </si>
  <si>
    <t>StockVin.number.MT.Tr.Road.Passenger.Bus.ICE.Gasoline</t>
  </si>
  <si>
    <t>StockVin.number.MT.Tr.Road.Passenger.Bus.ICE.Diesel</t>
  </si>
  <si>
    <t>StockVin.number.MT.Tr.Road.Passenger.Bus.ICE.LPG</t>
  </si>
  <si>
    <t>StockVin.number.MT.Tr.Road.Passenger.Bus.ICE.NGas</t>
  </si>
  <si>
    <t>StockVin.number.MT.Tr.Road.Passenger.Bus.ICE.BEV</t>
  </si>
  <si>
    <t>StockVin.number.MT.Tr.Road.Freight</t>
  </si>
  <si>
    <t>StockVin.number.MT.Tr.Road.Freight.LCV</t>
  </si>
  <si>
    <t>StockVin.number.MT.Tr.Road.Freight.LCV.ICE.Gasoline</t>
  </si>
  <si>
    <t>StockVin.number.MT.Tr.Road.Freight.LCV.ICE.Diesel</t>
  </si>
  <si>
    <t>StockVin.number.MT.Tr.Road.Freight.LCV.ICE.LPG</t>
  </si>
  <si>
    <t>StockVin.number.MT.Tr.Road.Freight.LCV.ICE.NGas</t>
  </si>
  <si>
    <t>StockVin.number.MT.Tr.Road.Freight.LCV.ICE.BEV</t>
  </si>
  <si>
    <t>StockVin.number.MT.Tr.Road.Freight.HGV</t>
  </si>
  <si>
    <t>StockVin.number.MT.Tr.Road.Freight.HGV.Domestic</t>
  </si>
  <si>
    <t>StockVin.number.MT.Tr.Road.Freight.HGV.International</t>
  </si>
  <si>
    <t>Eff_test_stock.kgoe_per_100km.MT.Tr.Road.Passenger.P2W</t>
  </si>
  <si>
    <t>Eff_test_stock.kgoe_per_100km.MT.Tr.Road.Passenger.Car</t>
  </si>
  <si>
    <t>Eff_test_stock.kgoe_per_100km.MT.Tr.Road.Passenger.Car.ICE.Gasoline</t>
  </si>
  <si>
    <t>Eff_test_stock.kgoe_per_100km.MT.Tr.Road.Passenger.Car.ICE.Diesel</t>
  </si>
  <si>
    <t>Eff_test_stock.kgoe_per_100km.MT.Tr.Road.Passenger.Car.ICE.LPG</t>
  </si>
  <si>
    <t>Eff_test_stock.kgoe_per_100km.MT.Tr.Road.Passenger.Car.ICE.NGas</t>
  </si>
  <si>
    <t>Eff_test_stock.kgoe_per_100km.MT.Tr.Road.Passenger.Car.PHEV</t>
  </si>
  <si>
    <t>Eff_test_stock.kgoe_per_100km.MT.Tr.Road.Passenger.Car.BEV</t>
  </si>
  <si>
    <t>Eff_test_stock.kgoe_per_100km.MT.Tr.Road.Passenger.Bus</t>
  </si>
  <si>
    <t>Eff_test_stock.kgoe_per_100km.MT.Tr.Road.Passenger.Bus.ICE.Gasoline</t>
  </si>
  <si>
    <t>Eff_test_stock.kgoe_per_100km.MT.Tr.Road.Passenger.Bus.ICE.Diesel</t>
  </si>
  <si>
    <t>Eff_test_stock.kgoe_per_100km.MT.Tr.Road.Passenger.Bus.ICE.LPG</t>
  </si>
  <si>
    <t>Eff_test_stock.kgoe_per_100km.MT.Tr.Road.Passenger.Bus.ICE.NGas</t>
  </si>
  <si>
    <t>Eff_test_stock.kgoe_per_100km.MT.Tr.Road.Passenger.Bus.ICE.BEV</t>
  </si>
  <si>
    <t>Eff_test_stock.kgoe_per_100km.MT.Tr.Road.Freight.LCV</t>
  </si>
  <si>
    <t>Eff_test_stock.kgoe_per_100km.MT.Tr.Road.Freight.LCV.ICE.Gasoline</t>
  </si>
  <si>
    <t>Eff_test_stock.kgoe_per_100km.MT.Tr.Road.Freight.LCV.ICE.Diesel</t>
  </si>
  <si>
    <t>Eff_test_stock.kgoe_per_100km.MT.Tr.Road.Freight.LCV.ICE.LPG</t>
  </si>
  <si>
    <t>Eff_test_stock.kgoe_per_100km.MT.Tr.Road.Freight.LCV.ICE.NGas</t>
  </si>
  <si>
    <t>Eff_test_stock.kgoe_per_100km.MT.Tr.Road.Freight.LCV.ICE.BEV</t>
  </si>
  <si>
    <t>Eff_test_stock.kgoe_per_100km.MT.Tr.Road.Freight.HGV</t>
  </si>
  <si>
    <t>Eff_test_stock.kgoe_per_100km.MT.Tr.Road.Freight.HGV.Domestic</t>
  </si>
  <si>
    <t>Eff_test_stock.kgoe_per_100km.MT.Tr.Road.Freight.HGV.International</t>
  </si>
  <si>
    <t>Eff_test_new.kgoe_per_100km.MT.Tr.Road.Passenger.P2W</t>
  </si>
  <si>
    <t>Eff_test_new.kgoe_per_100km.MT.Tr.Road.Passenger.Car</t>
  </si>
  <si>
    <t>Eff_test_new.kgoe_per_100km.MT.Tr.Road.Passenger.Car.ICE.Gasoline</t>
  </si>
  <si>
    <t>Eff_test_new.kgoe_per_100km.MT.Tr.Road.Passenger.Car.ICE.Diesel</t>
  </si>
  <si>
    <t>Eff_test_new.kgoe_per_100km.MT.Tr.Road.Passenger.Car.ICE.LPG</t>
  </si>
  <si>
    <t>Eff_test_new.kgoe_per_100km.MT.Tr.Road.Passenger.Car.ICE.NGas</t>
  </si>
  <si>
    <t>Eff_test_new.kgoe_per_100km.MT.Tr.Road.Passenger.Car.PHEV</t>
  </si>
  <si>
    <t>Eff_test_new.kgoe_per_100km.MT.Tr.Road.Passenger.Car.BEV</t>
  </si>
  <si>
    <t>Eff_test_new.kgoe_per_100km.MT.Tr.Road.Passenger.Bus</t>
  </si>
  <si>
    <t>Eff_test_new.kgoe_per_100km.MT.Tr.Road.Passenger.Bus.ICE.Gasoline</t>
  </si>
  <si>
    <t>Eff_test_new.kgoe_per_100km.MT.Tr.Road.Passenger.Bus.ICE.Diesel</t>
  </si>
  <si>
    <t>Eff_test_new.kgoe_per_100km.MT.Tr.Road.Passenger.Bus.ICE.LPG</t>
  </si>
  <si>
    <t>Eff_test_new.kgoe_per_100km.MT.Tr.Road.Passenger.Bus.ICE.NGas</t>
  </si>
  <si>
    <t>Eff_test_new.kgoe_per_100km.MT.Tr.Road.Passenger.Bus.ICE.BEV</t>
  </si>
  <si>
    <t>Eff_test_new.kgoe_per_100km.MT.Tr.Road.Freight.LCV</t>
  </si>
  <si>
    <t>Eff_test_new.kgoe_per_100km.MT.Tr.Road.Freight.LCV.ICE.Gasoline</t>
  </si>
  <si>
    <t>Eff_test_new.kgoe_per_100km.MT.Tr.Road.Freight.LCV.ICE.Diesel</t>
  </si>
  <si>
    <t>Eff_test_new.kgoe_per_100km.MT.Tr.Road.Freight.LCV.ICE.LPG</t>
  </si>
  <si>
    <t>Eff_test_new.kgoe_per_100km.MT.Tr.Road.Freight.LCV.ICE.NGas</t>
  </si>
  <si>
    <t>Eff_test_new.kgoe_per_100km.MT.Tr.Road.Freight.LCV.ICE.BEV</t>
  </si>
  <si>
    <t>Eff_test_new.kgoe_per_100km.MT.Tr.Road.Freight.HGV</t>
  </si>
  <si>
    <t>Eff_test_new.kgoe_per_100km.MT.Tr.Road.Freight.HGV.Domestic</t>
  </si>
  <si>
    <t>Eff_test_new.kgoe_per_100km.MT.Tr.Road.Freight.HGV.International</t>
  </si>
  <si>
    <t>EMIint_test_stock.gCO2_per_km.MT.Tr.Road.Passenger.P2W</t>
  </si>
  <si>
    <t>EMIint_test_stock.gCO2_per_km.MT.Tr.Road.Passenger.Car</t>
  </si>
  <si>
    <t>EMIint_test_stock.gCO2_per_km.MT.Tr.Road.Passenger.Car.ICE.Gasoline</t>
  </si>
  <si>
    <t>EMIint_test_stock.gCO2_per_km.MT.Tr.Road.Passenger.Car.ICE.Diesel</t>
  </si>
  <si>
    <t>EMIint_test_stock.gCO2_per_km.MT.Tr.Road.Passenger.Car.ICE.LPG</t>
  </si>
  <si>
    <t>EMIint_test_stock.gCO2_per_km.MT.Tr.Road.Passenger.Car.ICE.NGas</t>
  </si>
  <si>
    <t>EMIint_test_stock.gCO2_per_km.MT.Tr.Road.Passenger.Car.PHEV</t>
  </si>
  <si>
    <t>EMIint_test_stock.gCO2_per_km.MT.Tr.Road.Passenger.Car.BEV</t>
  </si>
  <si>
    <t>EMIint_test_stock.gCO2_per_km.MT.Tr.Road.Passenger.Bus</t>
  </si>
  <si>
    <t>EMIint_test_stock.gCO2_per_km.MT.Tr.Road.Passenger.Bus.ICE.Gasoline</t>
  </si>
  <si>
    <t>EMIint_test_stock.gCO2_per_km.MT.Tr.Road.Passenger.Bus.ICE.Diesel</t>
  </si>
  <si>
    <t>EMIint_test_stock.gCO2_per_km.MT.Tr.Road.Passenger.Bus.ICE.LPG</t>
  </si>
  <si>
    <t>EMIint_test_stock.gCO2_per_km.MT.Tr.Road.Passenger.Bus.ICE.NGas</t>
  </si>
  <si>
    <t>EMIint_test_stock.gCO2_per_km.MT.Tr.Road.Passenger.Bus.ICE.BEV</t>
  </si>
  <si>
    <t>EMIint_test_stock.gCO2_per_km.MT.Tr.Road.Freight.LCV</t>
  </si>
  <si>
    <t>EMIint_test_stock.gCO2_per_km.MT.Tr.Road.Freight.LCV.ICE.Gasoline</t>
  </si>
  <si>
    <t>EMIint_test_stock.gCO2_per_km.MT.Tr.Road.Freight.LCV.ICE.Diesel</t>
  </si>
  <si>
    <t>EMIint_test_stock.gCO2_per_km.MT.Tr.Road.Freight.LCV.ICE.LPG</t>
  </si>
  <si>
    <t>EMIint_test_stock.gCO2_per_km.MT.Tr.Road.Freight.LCV.ICE.NGas</t>
  </si>
  <si>
    <t>EMIint_test_stock.gCO2_per_km.MT.Tr.Road.Freight.LCV.ICE.BEV</t>
  </si>
  <si>
    <t>EMIint_test_stock.gCO2_per_km.MT.Tr.Road.Freight.HGV</t>
  </si>
  <si>
    <t>EMIint_test_stock.gCO2_per_km.MT.Tr.Road.Freight.HGV.Domestic</t>
  </si>
  <si>
    <t>EMIint_test_stock.gCO2_per_km.MT.Tr.Road.Freight.HGV.International</t>
  </si>
  <si>
    <t>EMIint_test_new.gCO2_per_km.MT.Tr.Road.Passenger.P2W</t>
  </si>
  <si>
    <t>EMIint_test_new.gCO2_per_km.MT.Tr.Road.Passenger.Car</t>
  </si>
  <si>
    <t>EMIint_test_new.gCO2_per_km.MT.Tr.Road.Passenger.Car.ICE.Gasoline</t>
  </si>
  <si>
    <t>EMIint_test_new.gCO2_per_km.MT.Tr.Road.Passenger.Car.ICE.Diesel</t>
  </si>
  <si>
    <t>EMIint_test_new.gCO2_per_km.MT.Tr.Road.Passenger.Car.ICE.LPG</t>
  </si>
  <si>
    <t>EMIint_test_new.gCO2_per_km.MT.Tr.Road.Passenger.Car.ICE.NGas</t>
  </si>
  <si>
    <t>EMIint_test_new.gCO2_per_km.MT.Tr.Road.Passenger.Car.PHEV</t>
  </si>
  <si>
    <t>EMIint_test_new.gCO2_per_km.MT.Tr.Road.Passenger.Car.BEV</t>
  </si>
  <si>
    <t>EMIint_test_new.gCO2_per_km.MT.Tr.Road.Passenger.Bus</t>
  </si>
  <si>
    <t>EMIint_test_new.gCO2_per_km.MT.Tr.Road.Passenger.Bus.ICE.Gasoline</t>
  </si>
  <si>
    <t>EMIint_test_new.gCO2_per_km.MT.Tr.Road.Passenger.Bus.ICE.Diesel</t>
  </si>
  <si>
    <t>EMIint_test_new.gCO2_per_km.MT.Tr.Road.Passenger.Bus.ICE.LPG</t>
  </si>
  <si>
    <t>EMIint_test_new.gCO2_per_km.MT.Tr.Road.Passenger.Bus.ICE.NGas</t>
  </si>
  <si>
    <t>EMIint_test_new.gCO2_per_km.MT.Tr.Road.Passenger.Bus.ICE.BEV</t>
  </si>
  <si>
    <t>EMIint_test_new.gCO2_per_km.MT.Tr.Road.Freight.LCV</t>
  </si>
  <si>
    <t>EMIint_test_new.gCO2_per_km.MT.Tr.Road.Freight.LCV.ICE.Gasoline</t>
  </si>
  <si>
    <t>EMIint_test_new.gCO2_per_km.MT.Tr.Road.Freight.LCV.ICE.Diesel</t>
  </si>
  <si>
    <t>EMIint_test_new.gCO2_per_km.MT.Tr.Road.Freight.LCV.ICE.LPG</t>
  </si>
  <si>
    <t>EMIint_test_new.gCO2_per_km.MT.Tr.Road.Freight.LCV.ICE.NGas</t>
  </si>
  <si>
    <t>EMIint_test_new.gCO2_per_km.MT.Tr.Road.Freight.LCV.ICE.BEV</t>
  </si>
  <si>
    <t>EMIint_test_new.gCO2_per_km.MT.Tr.Road.Freight.HGV</t>
  </si>
  <si>
    <t>EMIint_test_new.gCO2_per_km.MT.Tr.Road.Freight.HGV.Domestic</t>
  </si>
  <si>
    <t>EMIint_test_new.gCO2_per_km.MT.Tr.Road.Freight.HGV.International</t>
  </si>
  <si>
    <t>FEC.ktoe.MT.MBunk</t>
  </si>
  <si>
    <t>FEC.ktoe.MT.MBunk.IntraEEA</t>
  </si>
  <si>
    <t>FEC.ktoe.MT.MBunk.ExtraEEA</t>
  </si>
  <si>
    <t>EMI.ktCO2.MT.MBunk</t>
  </si>
  <si>
    <t>EMI.ktCO2.MT.MBunk.IntraEEA</t>
  </si>
  <si>
    <t>EMI.ktCO2.MT.MBunk.ExtraEEA</t>
  </si>
  <si>
    <t>International maritime bunkers - MT - Malta</t>
  </si>
  <si>
    <t>VehicleKm.Mkm.MT.MBunk.Freight</t>
  </si>
  <si>
    <t>VehicleKm.Mkm.MT.MBunk.Freight.IntraEEA</t>
  </si>
  <si>
    <t>VehicleKm.Mkm.MT.MBunk.Freight.ExtraEEA</t>
  </si>
  <si>
    <t>Load.t_per_movement.MT.MBunk.Freight</t>
  </si>
  <si>
    <t>Load.t_per_movement.MT.MBunk.Freight.IntraEEA</t>
  </si>
  <si>
    <t>Load.t_per_movement.MT.MBunk.Freight.ExtraEEA</t>
  </si>
  <si>
    <t>International maritime bunkers / energy consumption - MT - Malta</t>
  </si>
  <si>
    <t>FEC.ktoe.MT.ES.MBunk</t>
  </si>
  <si>
    <t>FEC.ktoe.MT.ES.MBunk.IntraEEA</t>
  </si>
  <si>
    <t>FEC.ktoe.MT.ES.MBunk.IntraEEA.Diesel</t>
  </si>
  <si>
    <t>FEC.ktoe.MT.ES.MBunk.IntraEEA.RFO_Other</t>
  </si>
  <si>
    <t>FEC.ktoe.MT.ES.MBunk.IntraEEA.LiqBio</t>
  </si>
  <si>
    <t>FEC.ktoe.MT.ES.MBunk.IntraEEA.NG</t>
  </si>
  <si>
    <t>FEC.ktoe.MT.ES.MBunk.IntraEEA.Biogas</t>
  </si>
  <si>
    <t>FEC.ktoe.MT.ES.MBunk.ExtraEEA</t>
  </si>
  <si>
    <t>FEC.ktoe.MT.ES.MBunk.ExtraEEA.Diesel</t>
  </si>
  <si>
    <t>FEC.ktoe.MT.ES.MBunk.ExtraEEA.RFO_Other</t>
  </si>
  <si>
    <t>FEC.ktoe.MT.ES.MBunk.ExtraEEA.LiqBio</t>
  </si>
  <si>
    <t>FEC.ktoe.MT.ES.MBunk.ExtraEEA.NG</t>
  </si>
  <si>
    <t>FEC.ktoe.MT.ES.MBunk.ExtraEEA.Biogas</t>
  </si>
  <si>
    <t>Eff.kgoe_per_100km.MT.MBunk.Freight</t>
  </si>
  <si>
    <t>Eff.kgoe_per_100km.MT.MBunk.Freight.IntraEEA</t>
  </si>
  <si>
    <t>Eff.kgoe_per_100km.MT.MBunk.Freight.ExtraEEA</t>
  </si>
  <si>
    <t>International maritime bunkers / CO2 emissions - MT - Malta</t>
  </si>
  <si>
    <t>EMI.ktCO2.MT.ES.MBunk</t>
  </si>
  <si>
    <t>EMI.ktCO2.MT.ES.MBunk.IntraEEA</t>
  </si>
  <si>
    <t>EMI.ktCO2.MT.ES.MBunk.ExtraEEA</t>
  </si>
  <si>
    <t>EMIint.gCO2_per_km.MT.MBunk.Freight</t>
  </si>
  <si>
    <t>EMIint.gCO2_per_km.MT.MBunk.Freight.IntraEEA</t>
  </si>
  <si>
    <t>EMIint.gCO2_per_km.MT.MBunk.Freight.ExtraEEA</t>
  </si>
  <si>
    <t>FEC.ktoe.MT.Tr.DNavi</t>
  </si>
  <si>
    <t>FEC.ktoe.MT.Tr.Dnavi.DCS</t>
  </si>
  <si>
    <t>FEC.ktoe.MT.Tr.Dnavi.IWW</t>
  </si>
  <si>
    <t>EMI.ktCO2.MT.Tr.DNavi</t>
  </si>
  <si>
    <t>EMI.ktCO2.MT.Tr.Dnavi.DCS</t>
  </si>
  <si>
    <t>EMI.ktCO2.MT.Tr.Dnavi.IWW</t>
  </si>
  <si>
    <t>Domestic navigation - MT - Malta</t>
  </si>
  <si>
    <t>VehicleKm.Mkm.MT.Tr.DNavi.Freight</t>
  </si>
  <si>
    <t>VehicleKm.Mkm.MT.Tr.DNavi.Freight.DCS</t>
  </si>
  <si>
    <t>VehicleKm.Mkm.MT.Tr.DNavi.Freight.IWW</t>
  </si>
  <si>
    <t>Load.t_per_movement.MT.Tr.DNavi.Freight</t>
  </si>
  <si>
    <t>Load.t_per_movement.MT.Tr.DNavi.Freight.DCS</t>
  </si>
  <si>
    <t>Load.t_per_movement.MT.Tr.DNavi.Freight.IWW</t>
  </si>
  <si>
    <t>Domestic navigation / energy consumption - MT - Malta</t>
  </si>
  <si>
    <t>FEC.ktoe.MT.ES.Tr.DNavi</t>
  </si>
  <si>
    <t>FEC.ktoe.MT.ES.Tr.DNavi.DCS</t>
  </si>
  <si>
    <t>FEC.ktoe.MT.ES.Tr.DNavi.DCS.Diesel</t>
  </si>
  <si>
    <t>FEC.ktoe.MT.ES.Tr.DNavi.DCS.RFO_Other</t>
  </si>
  <si>
    <t>FEC.ktoe.MT.ES.Tr.DNavi.DCS.LiqBio</t>
  </si>
  <si>
    <t>FEC.ktoe.MT.ES.Tr.DNavi.DCS.NG</t>
  </si>
  <si>
    <t>FEC.ktoe.MT.ES.Tr.DNavi.DCS.Biogas</t>
  </si>
  <si>
    <t>FEC.ktoe.MT.ES.Tr.DNavi.IWW</t>
  </si>
  <si>
    <t>FEC.ktoe.MT.ES.Tr.DNavi.IWW.Diesel</t>
  </si>
  <si>
    <t>FEC.ktoe.MT.ES.Tr.DNavi.IWW.RFO_Other</t>
  </si>
  <si>
    <t>FEC.ktoe.MT.ES.Tr.DNavi.IWW.LiqBio</t>
  </si>
  <si>
    <t>FEC.ktoe.MT.ES.Tr.DNavi.IWW.NG</t>
  </si>
  <si>
    <t>FEC.ktoe.MT.ES.Tr.DNavi.IWW.Biogas</t>
  </si>
  <si>
    <t>Eff.kgoe_per_100km.MT.Tr.DNavi.Freight</t>
  </si>
  <si>
    <t>Eff.kgoe_per_100km.MT.Tr.DNavi.Freight.DCS</t>
  </si>
  <si>
    <t>Eff.kgoe_per_100km.MT.Tr.DNavi.Freight.IWW</t>
  </si>
  <si>
    <t>Domestic navigation / CO2 emissions - MT - Malta</t>
  </si>
  <si>
    <t>EMI.ktCO2.MT.ES.Tr.DNavi</t>
  </si>
  <si>
    <t>EMI.ktCO2.MT.ES.Tr.DNavi.DCS</t>
  </si>
  <si>
    <t>EMI.ktCO2.MT.ES.Tr.DNavi.IWW</t>
  </si>
  <si>
    <t>EMIint.gCO2_per_km.MT.Tr.DNavi.Freight</t>
  </si>
  <si>
    <t>EMIint.gCO2_per_km.MT.Tr.DNavi.Freight.DCS</t>
  </si>
  <si>
    <t>EMIint.gCO2_per_km.MT.Tr.DNavi.Freight.IWW</t>
  </si>
  <si>
    <t>Rail, metro and tram - MT - Malta</t>
  </si>
  <si>
    <t>Activity.Mpkm.MT.Tr.Rail.Passenger.CPT.Diesel</t>
  </si>
  <si>
    <t>Activity.Mpkm.MT.Tr.Rail.Passenger.CPT.Elc</t>
  </si>
  <si>
    <t>Activity.Mtkm.MT.Tr.Rail.Freight.Diesel</t>
  </si>
  <si>
    <t>Activity.Mtkm.MT.Tr.Rail.Freight.Elc</t>
  </si>
  <si>
    <t>VehicleKm.Mkm.MT.Tr.Rail</t>
  </si>
  <si>
    <t>VehicleKm.Mkm.MT.Tr.Rail.Passenger</t>
  </si>
  <si>
    <t>VehicleKm.Mkm.MT.Tr.Rail.Passenger.MTU</t>
  </si>
  <si>
    <t>VehicleKm.Mkm.MT.Tr.Rail.Passenger.CPT</t>
  </si>
  <si>
    <t>VehicleKm.Mkm.MT.Tr.Rail.Passenger.CPT.Diesel</t>
  </si>
  <si>
    <t>VehicleKm.Mkm.MT.Tr.Rail.Passenger.CPT.Elc</t>
  </si>
  <si>
    <t>VehicleKm.Mkm.MT.Tr.Rail.Passenger.HST</t>
  </si>
  <si>
    <t>VehicleKm.Mkm.MT.Tr.Rail.Freight</t>
  </si>
  <si>
    <t>VehicleKm.Mkm.MT.Tr.Rail.Freight.Diesel</t>
  </si>
  <si>
    <t>VehicleKm.Mkm.MT.Tr.Rail.Freight.Elc</t>
  </si>
  <si>
    <t>Stock.number.MT.Tr.Rail</t>
  </si>
  <si>
    <t>Stock.number.MT.Tr.Rail.Passenger</t>
  </si>
  <si>
    <t>Stock.number.MT.Tr.Rail.Passenger.MTU</t>
  </si>
  <si>
    <t>Stock.number.MT.Tr.Rail.Passenger.CPT</t>
  </si>
  <si>
    <t>Stock.number.MT.Tr.Rail.Passenger.CPT.Diesel</t>
  </si>
  <si>
    <t>Stock.number.MT.Tr.Rail.Passenger.CPT.Elc</t>
  </si>
  <si>
    <t>Stock.number.MT.Tr.Rail.Passenger.HST</t>
  </si>
  <si>
    <t>Stock.number.MT.Tr.Rail.Freight</t>
  </si>
  <si>
    <t>Stock.number.MT.Tr.Rail.Freight.Diesel</t>
  </si>
  <si>
    <t>Stock.number.MT.Tr.Rail.Freight.Elc</t>
  </si>
  <si>
    <t>StockNew.number.MT.Tr.Rail</t>
  </si>
  <si>
    <t>StockNew.number.MT.Tr.Rail.Passenger</t>
  </si>
  <si>
    <t>StockNew.number.MT.Tr.Rail.Passenger.MTU</t>
  </si>
  <si>
    <t>StockNew.number.MT.Tr.Rail.Passenger.CPT</t>
  </si>
  <si>
    <t>StockNew.number.MT.Tr.Rail.Passenger.CPT.Diesel</t>
  </si>
  <si>
    <t>StockNew.number.MT.Tr.Rail.Passenger.CPT.Elc</t>
  </si>
  <si>
    <t>StockNew.number.MT.Tr.Rail.Passenger.HST</t>
  </si>
  <si>
    <t>StockNew.number.MT.Tr.Rail.Freight</t>
  </si>
  <si>
    <t>StockNew.number.MT.Tr.Rail.Freight.Diesel</t>
  </si>
  <si>
    <t>StockNew.number.MT.Tr.Rail.Freight.Elc</t>
  </si>
  <si>
    <t>Load.passenger_per_movement.MT.Tr.Rail.Passenger</t>
  </si>
  <si>
    <t>Load.passenger_per_movement.MT.Tr.Rail.Passenger.MTU</t>
  </si>
  <si>
    <t>Load.passenger_per_movement.MT.Tr.Rail.Passenger.CPT</t>
  </si>
  <si>
    <t>Load.passenger_per_movement.MT.Tr.Rail.Passenger.CPT.Diesel</t>
  </si>
  <si>
    <t>Load.passenger_per_movement.MT.Tr.Rail.Passenger.CPT.Elc</t>
  </si>
  <si>
    <t>Load.passenger_per_movement.MT.Tr.Rail.Passenger.HST</t>
  </si>
  <si>
    <t>Load.t_per_movement.MT.Tr.Rail.Freight</t>
  </si>
  <si>
    <t>Load.t_per_movement.MT.Tr.Rail.Freight.Diesel</t>
  </si>
  <si>
    <t>Load.t_per_movement.MT.Tr.Rail.Freight.Elc</t>
  </si>
  <si>
    <t>TrCap.seats.MT.Tr.Rail.Passenger</t>
  </si>
  <si>
    <t>TrCap.seats.MT.Tr.Rail.Passenger.MTU</t>
  </si>
  <si>
    <t>TrCap.seats.MT.Tr.Rail.Passenger.CPT</t>
  </si>
  <si>
    <t>TrCap.seats.MT.Tr.Rail.Passenger.CPT.Diesel</t>
  </si>
  <si>
    <t>TrCap.seats.MT.Tr.Rail.Passenger.CPT.Elc</t>
  </si>
  <si>
    <t>TrCap.seats.MT.Tr.Rail.Passenger.HST</t>
  </si>
  <si>
    <t>TrCap.t.MT.Tr.Rail.Freight</t>
  </si>
  <si>
    <t>TrCap.t.MT.Tr.Rail.Freight.Diesel</t>
  </si>
  <si>
    <t>TrCap.t.MT.Tr.Rail.Freight.Elc</t>
  </si>
  <si>
    <t>VehicleKm_per_vehicle.km.MT.Tr.Rail</t>
  </si>
  <si>
    <t>VehicleKm_per_vehicle.km.MT.Tr.Rail.Passenger</t>
  </si>
  <si>
    <t>VehicleKm_per_vehicle.km.MT.Tr.Rail.Passenger.MTU</t>
  </si>
  <si>
    <t>VehicleKm_per_vehicle.km.MT.Tr.Rail.Passenger.CPT</t>
  </si>
  <si>
    <t>VehicleKm_per_vehicle.km.MT.Tr.Rail.Passenger.CPT.Diesel</t>
  </si>
  <si>
    <t>VehicleKm_per_vehicle.km.MT.Tr.Rail.Passenger.CPT.Elc</t>
  </si>
  <si>
    <t>VehicleKm_per_vehicle.km.MT.Tr.Rail.Passenger.HST</t>
  </si>
  <si>
    <t>VehicleKm_per_vehicle.km.MT.Tr.Rail.Freight</t>
  </si>
  <si>
    <t>VehicleKm_per_vehicle.km.MT.Tr.Rail.Freight.Diesel</t>
  </si>
  <si>
    <t>VehicleKm_per_vehicle.km.MT.Tr.Rail.Freight.Elc</t>
  </si>
  <si>
    <t>Activity_per_vehicle.pkm.MT.Tr.Rail.Passenger</t>
  </si>
  <si>
    <t>Activity_per_vehicle.pkm.MT.Tr.Rail.Passenger.MTU</t>
  </si>
  <si>
    <t>Activity_per_vehicle.pkm.MT.Tr.Rail.Passenger.CPT</t>
  </si>
  <si>
    <t>Activity_per_vehicle.pkm.MT.Tr.Rail.Passenger.CPT.Diesel</t>
  </si>
  <si>
    <t>Activity_per_vehicle.pkm.MT.Tr.Rail.Passenger.CPT.Elc</t>
  </si>
  <si>
    <t>Activity_per_vehicle.pkm.MT.Tr.Rail.Passenger.HST</t>
  </si>
  <si>
    <t>Activity_per_vehicle.tkm.MT.Tr.Rail.Freight</t>
  </si>
  <si>
    <t>Activity_per_vehicle.tkm.MT.Tr.Rail.Freight.Diesel</t>
  </si>
  <si>
    <t>Activity_per_vehicle.tkm.MT.Tr.Rail.Freight.Elc</t>
  </si>
  <si>
    <t>Rail, metro and tram / energy consumption - MT - Malta</t>
  </si>
  <si>
    <t>FEC.ktoe.MT.ES.Tr.Rail</t>
  </si>
  <si>
    <t>FEC.ktoe.MT.ES.Tr.Rail.Diesel</t>
  </si>
  <si>
    <t>FEC.ktoe.MT.ES.Tr.Rail.LiqBio</t>
  </si>
  <si>
    <t>FEC.ktoe.MT.ES.Tr.Rail.Elec</t>
  </si>
  <si>
    <t>FEC.ktoe.MT.Tr.Rail</t>
  </si>
  <si>
    <t>FEC.ktoe.MT.Tr.Rail.Passenger.CPT.Diesel</t>
  </si>
  <si>
    <t>FEC.ktoe.MT.Tr.Rail.Passenger.CPT.Elc</t>
  </si>
  <si>
    <t>FEC.ktoe.MT.Tr.Rail.Freight.Diesel</t>
  </si>
  <si>
    <t>FEC.ktoe.MT.Tr.Rail.Freight.Elc</t>
  </si>
  <si>
    <t>Eff.kgoe_per_100km.MT.Tr.Rail</t>
  </si>
  <si>
    <t>Eff.kgoe_per_100km.MT.Tr.Rail.Passenger</t>
  </si>
  <si>
    <t>Eff.kgoe_per_100km.MT.Tr.Rail.Passenger.MTU</t>
  </si>
  <si>
    <t>Eff.kgoe_per_100km.MT.Tr.Rail.Passenger.CPT</t>
  </si>
  <si>
    <t>Eff.kgoe_per_100km.MT.Tr.Rail.Passenger.CPT.Diesel</t>
  </si>
  <si>
    <t>Eff.kgoe_per_100km.MT.Tr.Rail.Passenger.CPT.Elc</t>
  </si>
  <si>
    <t>Eff.kgoe_per_100km.MT.Tr.Rail.Passenger.HST</t>
  </si>
  <si>
    <t>Eff.kgoe_per_100km.MT.Tr.Rail.Freight</t>
  </si>
  <si>
    <t>Eff.kgoe_per_100km.MT.Tr.Rail.Freight.Diesel</t>
  </si>
  <si>
    <t>Eff.kgoe_per_100km.MT.Tr.Rail.Freight.Elc</t>
  </si>
  <si>
    <t>Eff.kgoe_per_kpkm.MT.Tr.Rail.Passenger.CPT.Diesel</t>
  </si>
  <si>
    <t>Eff.kgoe_per_kpkm.MT.Tr.Rail.Passenger.CPT.Elc</t>
  </si>
  <si>
    <t>Eff.kgoe_per_ktkm.MT.Tr.Rail.Freight.Diesel</t>
  </si>
  <si>
    <t>Eff.kgoe_per_ktkm.MT.Tr.Rail.Freight.Elc</t>
  </si>
  <si>
    <t>FEC_per_vehicle.kgoe.MT.Tr.Rail</t>
  </si>
  <si>
    <t>FEC_per_vehicle.kgoe.MT.Tr.Rail.Passenger</t>
  </si>
  <si>
    <t>FEC_per_vehicle.kgoe.MT.Tr.Rail.Passenger.MTU</t>
  </si>
  <si>
    <t>FEC_per_vehicle.kgoe.MT.Tr.Rail.Passenger.CPT</t>
  </si>
  <si>
    <t>FEC_per_vehicle.kgoe.MT.Tr.Rail.Passenger.CPT.Diesel</t>
  </si>
  <si>
    <t>FEC_per_vehicle.kgoe.MT.Tr.Rail.Passenger.CPT.Elc</t>
  </si>
  <si>
    <t>FEC_per_vehicle.kgoe.MT.Tr.Rail.Passenger.HST</t>
  </si>
  <si>
    <t>FEC_per_vehicle.kgoe.MT.Tr.Rail.Freight</t>
  </si>
  <si>
    <t>FEC_per_vehicle.kgoe.MT.Tr.Rail.Freight.Diesel</t>
  </si>
  <si>
    <t>FEC_per_vehicle.kgoe.MT.Tr.Rail.Freight.Elc</t>
  </si>
  <si>
    <t>Rail, metro and tram / CO2 emissions - MT - Malta</t>
  </si>
  <si>
    <t>EMI.ktCO2.MT.ES.Tr.Rail</t>
  </si>
  <si>
    <t>EMI.ktCO2.MT.ES.Tr.Rail.Diesel</t>
  </si>
  <si>
    <t>EMI.ktCO2.MT.ES.Tr.Rail.Elec</t>
  </si>
  <si>
    <t>EMI.ktCO2.MT.Tr.Rail</t>
  </si>
  <si>
    <t>EMI.ktCO2.MT.Tr.Rail.Passenger.CPT.Diesel</t>
  </si>
  <si>
    <t>EMI.ktCO2.MT.Tr.Rail.Passenger.CPT.Elc</t>
  </si>
  <si>
    <t>EMI.ktCO2.MT.Tr.Rail.Freight.Diesel</t>
  </si>
  <si>
    <t>EMI.ktCO2.MT.Tr.Rail.Freight.Elc</t>
  </si>
  <si>
    <t>EMIint.gCO2_per_km.MT.Tr.Rail</t>
  </si>
  <si>
    <t>EMIint.gCO2_per_km.MT.Tr.Rail.Passenger</t>
  </si>
  <si>
    <t>EMIint.gCO2_per_km.MT.Tr.Rail.Passenger.MTU</t>
  </si>
  <si>
    <t>EMIint.gCO2_per_km.MT.Tr.Rail.Passenger.CPT</t>
  </si>
  <si>
    <t>EMIint.gCO2_per_km.MT.Tr.Rail.Passenger.CPT.Diesel</t>
  </si>
  <si>
    <t>EMIint.gCO2_per_km.MT.Tr.Rail.Passenger.CPT.Elc</t>
  </si>
  <si>
    <t>EMIint.gCO2_per_km.MT.Tr.Rail.Passenger.HST</t>
  </si>
  <si>
    <t>EMIint.gCO2_per_km.MT.Tr.Rail.Freight</t>
  </si>
  <si>
    <t>EMIint.gCO2_per_km.MT.Tr.Rail.Freight.Diesel</t>
  </si>
  <si>
    <t>EMIint.gCO2_per_km.MT.Tr.Rail.Freight.Elc</t>
  </si>
  <si>
    <t>EMIint.gCO2_per_pkm.MT.Tr.Rail.Passenger.CPT.Diesel</t>
  </si>
  <si>
    <t>EMIint.gCO2_per_pkm.MT.Tr.Rail.Passenger.CPT.Elc</t>
  </si>
  <si>
    <t>EMIint.gCO2_per_tkm.MT.Tr.Rail.Freight.Diesel</t>
  </si>
  <si>
    <t>EMIint.gCO2_per_tkm.MT.Tr.Rail.Freight.Elc</t>
  </si>
  <si>
    <t>EMI_per_vehicle.tCO2.MT.Tr.Rail</t>
  </si>
  <si>
    <t>EMI_per_vehicle.tCO2.MT.Tr.Rail.Passenger</t>
  </si>
  <si>
    <t>EMI_per_vehicle.tCO2.MT.Tr.Rail.Passenger.MTU</t>
  </si>
  <si>
    <t>EMI_per_vehicle.tCO2.MT.Tr.Rail.Passenger.CPT</t>
  </si>
  <si>
    <t>EMI_per_vehicle.tCO2.MT.Tr.Rail.Passenger.CPT.Diesel</t>
  </si>
  <si>
    <t>EMI_per_vehicle.tCO2.MT.Tr.Rail.Passenger.CPT.Elc</t>
  </si>
  <si>
    <t>EMI_per_vehicle.tCO2.MT.Tr.Rail.Passenger.HST</t>
  </si>
  <si>
    <t>EMI_per_vehicle.tCO2.MT.Tr.Rail.Freight</t>
  </si>
  <si>
    <t>EMI_per_vehicle.tCO2.MT.Tr.Rail.Freight.Diesel</t>
  </si>
  <si>
    <t>EMI_per_vehicle.tCO2.MT.Tr.Rail.Freight.Elc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</si>
</sst>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45432.787430555552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5216.8953537485904</v>
      </c>
      <c r="C4" s="28">
        <f t="shared" si="0"/>
        <v>5029.7782181878683</v>
      </c>
      <c r="D4" s="28">
        <f t="shared" si="0"/>
        <v>4831.4856249963414</v>
      </c>
      <c r="E4" s="28">
        <f t="shared" si="0"/>
        <v>4847.9264147998765</v>
      </c>
      <c r="F4" s="28">
        <f t="shared" si="0"/>
        <v>4989.6224290639493</v>
      </c>
      <c r="G4" s="28">
        <f t="shared" si="0"/>
        <v>5042.875113644599</v>
      </c>
      <c r="H4" s="28">
        <f t="shared" si="0"/>
        <v>4973.4913315474405</v>
      </c>
      <c r="I4" s="28">
        <f t="shared" si="0"/>
        <v>5212.8539703582737</v>
      </c>
      <c r="J4" s="28">
        <f t="shared" si="0"/>
        <v>5362.4948061588439</v>
      </c>
      <c r="K4" s="28">
        <f t="shared" si="0"/>
        <v>5183.6757659275481</v>
      </c>
      <c r="L4" s="28">
        <f t="shared" si="0"/>
        <v>5487.8224851148952</v>
      </c>
      <c r="M4" s="28">
        <f t="shared" si="0"/>
        <v>5793.9992707001493</v>
      </c>
      <c r="N4" s="28">
        <f t="shared" si="0"/>
        <v>5876.8318049211794</v>
      </c>
      <c r="O4" s="28">
        <f t="shared" si="0"/>
        <v>6243.555907248021</v>
      </c>
      <c r="P4" s="28">
        <f t="shared" si="0"/>
        <v>6514.6842186930226</v>
      </c>
      <c r="Q4" s="28">
        <f t="shared" si="0"/>
        <v>6849.8352739243264</v>
      </c>
      <c r="R4" s="28">
        <f t="shared" ref="R4:V4" si="1">R5+R9+R13</f>
        <v>7451.1143682942311</v>
      </c>
      <c r="S4" s="28">
        <f t="shared" si="1"/>
        <v>8098.1730941823462</v>
      </c>
      <c r="T4" s="28">
        <f t="shared" si="1"/>
        <v>8833.7887111839718</v>
      </c>
      <c r="U4" s="28">
        <f t="shared" si="1"/>
        <v>9442.7072333083979</v>
      </c>
      <c r="V4" s="28">
        <f t="shared" si="1"/>
        <v>4351.0971146643551</v>
      </c>
      <c r="W4" s="28">
        <f t="shared" ref="W4" si="2">W5+W9+W13</f>
        <v>5084.0537935262746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2291.8961961278264</v>
      </c>
      <c r="C5" s="137">
        <f t="shared" si="3"/>
        <v>2302.9963189187183</v>
      </c>
      <c r="D5" s="137">
        <f t="shared" si="3"/>
        <v>2364.260838622854</v>
      </c>
      <c r="E5" s="137">
        <f t="shared" si="3"/>
        <v>2425.1575749927074</v>
      </c>
      <c r="F5" s="137">
        <f t="shared" si="3"/>
        <v>2482.8853665230863</v>
      </c>
      <c r="G5" s="137">
        <f t="shared" si="3"/>
        <v>2520.827496970036</v>
      </c>
      <c r="H5" s="137">
        <f t="shared" si="3"/>
        <v>2581.5894502794622</v>
      </c>
      <c r="I5" s="137">
        <f t="shared" si="3"/>
        <v>2637.9406807240889</v>
      </c>
      <c r="J5" s="137">
        <f t="shared" si="3"/>
        <v>2697.1373538741605</v>
      </c>
      <c r="K5" s="137">
        <f t="shared" si="3"/>
        <v>2721.9586775084804</v>
      </c>
      <c r="L5" s="137">
        <f t="shared" si="3"/>
        <v>2737.8711032092456</v>
      </c>
      <c r="M5" s="137">
        <f t="shared" si="3"/>
        <v>2745.4120493660544</v>
      </c>
      <c r="N5" s="137">
        <f t="shared" si="3"/>
        <v>2757.3135128134222</v>
      </c>
      <c r="O5" s="137">
        <f t="shared" si="3"/>
        <v>2802.8749896232985</v>
      </c>
      <c r="P5" s="137">
        <f t="shared" si="3"/>
        <v>2952.1513110831997</v>
      </c>
      <c r="Q5" s="137">
        <f t="shared" si="3"/>
        <v>3093.0684721114203</v>
      </c>
      <c r="R5" s="137">
        <f t="shared" ref="R5:V5" si="4">R6+R7+R8</f>
        <v>3193.2668902916234</v>
      </c>
      <c r="S5" s="137">
        <f t="shared" si="4"/>
        <v>3225.2520855609264</v>
      </c>
      <c r="T5" s="137">
        <f t="shared" si="4"/>
        <v>3288.9302298531707</v>
      </c>
      <c r="U5" s="137">
        <f t="shared" si="4"/>
        <v>3376.7759239253769</v>
      </c>
      <c r="V5" s="137">
        <f t="shared" si="4"/>
        <v>2809.0062432253785</v>
      </c>
      <c r="W5" s="137">
        <f t="shared" ref="W5" si="5">W6+W7+W8</f>
        <v>3003.0479066330718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31.896196127826531</v>
      </c>
      <c r="C6" s="102">
        <f>TrRoad_act!C$5</f>
        <v>32.996318918718032</v>
      </c>
      <c r="D6" s="102">
        <f>TrRoad_act!D$5</f>
        <v>34.260838622853917</v>
      </c>
      <c r="E6" s="102">
        <f>TrRoad_act!E$5</f>
        <v>35.157574992707147</v>
      </c>
      <c r="F6" s="102">
        <f>TrRoad_act!F$5</f>
        <v>32.885366523086454</v>
      </c>
      <c r="G6" s="102">
        <f>TrRoad_act!G$5</f>
        <v>30.82749697003571</v>
      </c>
      <c r="H6" s="102">
        <f>TrRoad_act!H$5</f>
        <v>31.589450279462554</v>
      </c>
      <c r="I6" s="102">
        <f>TrRoad_act!I$5</f>
        <v>32.940680724089098</v>
      </c>
      <c r="J6" s="102">
        <f>TrRoad_act!J$5</f>
        <v>37.13735387416078</v>
      </c>
      <c r="K6" s="102">
        <f>TrRoad_act!K$5</f>
        <v>37.070105269604163</v>
      </c>
      <c r="L6" s="102">
        <f>TrRoad_act!L$5</f>
        <v>37.871103209245206</v>
      </c>
      <c r="M6" s="102">
        <f>TrRoad_act!M$5</f>
        <v>40.015743006003085</v>
      </c>
      <c r="N6" s="102">
        <f>TrRoad_act!N$5</f>
        <v>40.412719907214466</v>
      </c>
      <c r="O6" s="102">
        <f>TrRoad_act!O$5</f>
        <v>43.165602922553362</v>
      </c>
      <c r="P6" s="102">
        <f>TrRoad_act!P$5</f>
        <v>47.096125951277969</v>
      </c>
      <c r="Q6" s="102">
        <f>TrRoad_act!Q$5</f>
        <v>48.930270910826131</v>
      </c>
      <c r="R6" s="102">
        <f>TrRoad_act!R$5</f>
        <v>53.284445601172898</v>
      </c>
      <c r="S6" s="102">
        <f>TrRoad_act!S$5</f>
        <v>50.843695566852844</v>
      </c>
      <c r="T6" s="102">
        <f>TrRoad_act!T$5</f>
        <v>48.958964746139515</v>
      </c>
      <c r="U6" s="102">
        <f>TrRoad_act!U$5</f>
        <v>52.452838343033093</v>
      </c>
      <c r="V6" s="102">
        <f>TrRoad_act!V$5</f>
        <v>47.478501589309708</v>
      </c>
      <c r="W6" s="102">
        <f>TrRoad_act!W$5</f>
        <v>50.221701933334707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1800</v>
      </c>
      <c r="C7" s="102">
        <f>TrRoad_act!C$6</f>
        <v>1800.0000000000002</v>
      </c>
      <c r="D7" s="102">
        <f>TrRoad_act!D$6</f>
        <v>1850</v>
      </c>
      <c r="E7" s="102">
        <f>TrRoad_act!E$6</f>
        <v>1900.0000000000002</v>
      </c>
      <c r="F7" s="102">
        <f>TrRoad_act!F$6</f>
        <v>1950</v>
      </c>
      <c r="G7" s="102">
        <f>TrRoad_act!G$6</f>
        <v>2000</v>
      </c>
      <c r="H7" s="102">
        <f>TrRoad_act!H$6</f>
        <v>2049.9999999999995</v>
      </c>
      <c r="I7" s="102">
        <f>TrRoad_act!I$6</f>
        <v>2100</v>
      </c>
      <c r="J7" s="102">
        <f>TrRoad_act!J$6</f>
        <v>2149.9999999999995</v>
      </c>
      <c r="K7" s="102">
        <f>TrRoad_act!K$6</f>
        <v>2200</v>
      </c>
      <c r="L7" s="102">
        <f>TrRoad_act!L$6</f>
        <v>2200.0000000000005</v>
      </c>
      <c r="M7" s="102">
        <f>TrRoad_act!M$6</f>
        <v>2229.7181531995434</v>
      </c>
      <c r="N7" s="102">
        <f>TrRoad_act!N$6</f>
        <v>2240.4488975013951</v>
      </c>
      <c r="O7" s="102">
        <f>TrRoad_act!O$6</f>
        <v>2291.2353623027693</v>
      </c>
      <c r="P7" s="102">
        <f>TrRoad_act!P$6</f>
        <v>2413.5009155436642</v>
      </c>
      <c r="Q7" s="102">
        <f>TrRoad_act!Q$6</f>
        <v>2504.2317396135663</v>
      </c>
      <c r="R7" s="102">
        <f>TrRoad_act!R$6</f>
        <v>2593.9190716426606</v>
      </c>
      <c r="S7" s="102">
        <f>TrRoad_act!S$6</f>
        <v>2618.2962299592714</v>
      </c>
      <c r="T7" s="102">
        <f>TrRoad_act!T$6</f>
        <v>2671.9139301479654</v>
      </c>
      <c r="U7" s="102">
        <f>TrRoad_act!U$6</f>
        <v>2720.8325236161963</v>
      </c>
      <c r="V7" s="102">
        <f>TrRoad_act!V$6</f>
        <v>2376.5231368112977</v>
      </c>
      <c r="W7" s="102">
        <f>TrRoad_act!W$6</f>
        <v>2536.8676166241585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460</v>
      </c>
      <c r="C8" s="102">
        <f>TrRoad_act!C$13</f>
        <v>470</v>
      </c>
      <c r="D8" s="102">
        <f>TrRoad_act!D$13</f>
        <v>480</v>
      </c>
      <c r="E8" s="102">
        <f>TrRoad_act!E$13</f>
        <v>490</v>
      </c>
      <c r="F8" s="102">
        <f>TrRoad_act!F$13</f>
        <v>500</v>
      </c>
      <c r="G8" s="102">
        <f>TrRoad_act!G$13</f>
        <v>490.00000000000006</v>
      </c>
      <c r="H8" s="102">
        <f>TrRoad_act!H$13</f>
        <v>500</v>
      </c>
      <c r="I8" s="102">
        <f>TrRoad_act!I$13</f>
        <v>504.99999999999994</v>
      </c>
      <c r="J8" s="102">
        <f>TrRoad_act!J$13</f>
        <v>510</v>
      </c>
      <c r="K8" s="102">
        <f>TrRoad_act!K$13</f>
        <v>484.88857223887641</v>
      </c>
      <c r="L8" s="102">
        <f>TrRoad_act!L$13</f>
        <v>500</v>
      </c>
      <c r="M8" s="102">
        <f>TrRoad_act!M$13</f>
        <v>475.67815316050809</v>
      </c>
      <c r="N8" s="102">
        <f>TrRoad_act!N$13</f>
        <v>476.45189540481243</v>
      </c>
      <c r="O8" s="102">
        <f>TrRoad_act!O$13</f>
        <v>468.47402439797605</v>
      </c>
      <c r="P8" s="102">
        <f>TrRoad_act!P$13</f>
        <v>491.55426958825763</v>
      </c>
      <c r="Q8" s="102">
        <f>TrRoad_act!Q$13</f>
        <v>539.90646158702805</v>
      </c>
      <c r="R8" s="102">
        <f>TrRoad_act!R$13</f>
        <v>546.06337304778992</v>
      </c>
      <c r="S8" s="102">
        <f>TrRoad_act!S$13</f>
        <v>556.11216003480183</v>
      </c>
      <c r="T8" s="102">
        <f>TrRoad_act!T$13</f>
        <v>568.05733495906577</v>
      </c>
      <c r="U8" s="102">
        <f>TrRoad_act!U$13</f>
        <v>603.49056196614765</v>
      </c>
      <c r="V8" s="102">
        <f>TrRoad_act!V$13</f>
        <v>385.00460482477075</v>
      </c>
      <c r="W8" s="102">
        <f>TrRoad_act!W$13</f>
        <v>415.95858807557846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0</v>
      </c>
      <c r="C9" s="110">
        <f t="shared" si="6"/>
        <v>0</v>
      </c>
      <c r="D9" s="110">
        <f t="shared" si="6"/>
        <v>0</v>
      </c>
      <c r="E9" s="110">
        <f t="shared" si="6"/>
        <v>0</v>
      </c>
      <c r="F9" s="110">
        <f t="shared" si="6"/>
        <v>0</v>
      </c>
      <c r="G9" s="110">
        <f t="shared" si="6"/>
        <v>0</v>
      </c>
      <c r="H9" s="110">
        <f t="shared" si="6"/>
        <v>0</v>
      </c>
      <c r="I9" s="110">
        <f t="shared" si="6"/>
        <v>0</v>
      </c>
      <c r="J9" s="110">
        <f t="shared" si="6"/>
        <v>0</v>
      </c>
      <c r="K9" s="110">
        <f t="shared" si="6"/>
        <v>0</v>
      </c>
      <c r="L9" s="110">
        <f t="shared" si="6"/>
        <v>0</v>
      </c>
      <c r="M9" s="110">
        <f t="shared" si="6"/>
        <v>0</v>
      </c>
      <c r="N9" s="110">
        <f t="shared" si="6"/>
        <v>0</v>
      </c>
      <c r="O9" s="110">
        <f t="shared" si="6"/>
        <v>0</v>
      </c>
      <c r="P9" s="110">
        <f t="shared" si="6"/>
        <v>0</v>
      </c>
      <c r="Q9" s="110">
        <f t="shared" si="6"/>
        <v>0</v>
      </c>
      <c r="R9" s="110">
        <f t="shared" ref="R9:V9" si="7">R10+R11+R12</f>
        <v>0</v>
      </c>
      <c r="S9" s="110">
        <f t="shared" si="7"/>
        <v>0</v>
      </c>
      <c r="T9" s="110">
        <f t="shared" si="7"/>
        <v>0</v>
      </c>
      <c r="U9" s="110">
        <f t="shared" si="7"/>
        <v>0</v>
      </c>
      <c r="V9" s="110">
        <f t="shared" si="7"/>
        <v>0</v>
      </c>
      <c r="W9" s="110">
        <f t="shared" ref="W9" si="8">W10+W11+W12</f>
        <v>0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0</v>
      </c>
      <c r="C11" s="102">
        <f>TrRail_act!C$6</f>
        <v>0</v>
      </c>
      <c r="D11" s="102">
        <f>TrRail_act!D$6</f>
        <v>0</v>
      </c>
      <c r="E11" s="102">
        <f>TrRail_act!E$6</f>
        <v>0</v>
      </c>
      <c r="F11" s="102">
        <f>TrRail_act!F$6</f>
        <v>0</v>
      </c>
      <c r="G11" s="102">
        <f>TrRail_act!G$6</f>
        <v>0</v>
      </c>
      <c r="H11" s="102">
        <f>TrRail_act!H$6</f>
        <v>0</v>
      </c>
      <c r="I11" s="102">
        <f>TrRail_act!I$6</f>
        <v>0</v>
      </c>
      <c r="J11" s="102">
        <f>TrRail_act!J$6</f>
        <v>0</v>
      </c>
      <c r="K11" s="102">
        <f>TrRail_act!K$6</f>
        <v>0</v>
      </c>
      <c r="L11" s="102">
        <f>TrRail_act!L$6</f>
        <v>0</v>
      </c>
      <c r="M11" s="102">
        <f>TrRail_act!M$6</f>
        <v>0</v>
      </c>
      <c r="N11" s="102">
        <f>TrRail_act!N$6</f>
        <v>0</v>
      </c>
      <c r="O11" s="102">
        <f>TrRail_act!O$6</f>
        <v>0</v>
      </c>
      <c r="P11" s="102">
        <f>TrRail_act!P$6</f>
        <v>0</v>
      </c>
      <c r="Q11" s="102">
        <f>TrRail_act!Q$6</f>
        <v>0</v>
      </c>
      <c r="R11" s="102">
        <f>TrRail_act!R$6</f>
        <v>0</v>
      </c>
      <c r="S11" s="102">
        <f>TrRail_act!S$6</f>
        <v>0</v>
      </c>
      <c r="T11" s="102">
        <f>TrRail_act!T$6</f>
        <v>0</v>
      </c>
      <c r="U11" s="102">
        <f>TrRail_act!U$6</f>
        <v>0</v>
      </c>
      <c r="V11" s="102">
        <f>TrRail_act!V$6</f>
        <v>0</v>
      </c>
      <c r="W11" s="102">
        <f>TrRail_act!W$6</f>
        <v>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2924.999157620764</v>
      </c>
      <c r="C13" s="110">
        <f t="shared" ref="C13:V13" si="10">C14+C15+C16</f>
        <v>2726.78189926915</v>
      </c>
      <c r="D13" s="110">
        <f t="shared" si="10"/>
        <v>2467.2247863734869</v>
      </c>
      <c r="E13" s="110">
        <f t="shared" si="10"/>
        <v>2422.7688398071691</v>
      </c>
      <c r="F13" s="110">
        <f t="shared" si="10"/>
        <v>2506.7370625408626</v>
      </c>
      <c r="G13" s="110">
        <f t="shared" si="10"/>
        <v>2522.0476166745634</v>
      </c>
      <c r="H13" s="110">
        <f t="shared" si="10"/>
        <v>2391.9018812679778</v>
      </c>
      <c r="I13" s="110">
        <f t="shared" si="10"/>
        <v>2574.9132896341844</v>
      </c>
      <c r="J13" s="110">
        <f t="shared" si="10"/>
        <v>2665.3574522846829</v>
      </c>
      <c r="K13" s="110">
        <f t="shared" si="10"/>
        <v>2461.7170884190682</v>
      </c>
      <c r="L13" s="110">
        <f t="shared" si="10"/>
        <v>2749.9513819056501</v>
      </c>
      <c r="M13" s="110">
        <f t="shared" si="10"/>
        <v>3048.5872213340954</v>
      </c>
      <c r="N13" s="110">
        <f t="shared" si="10"/>
        <v>3119.5182921077576</v>
      </c>
      <c r="O13" s="110">
        <f t="shared" si="10"/>
        <v>3440.6809176247225</v>
      </c>
      <c r="P13" s="110">
        <f t="shared" si="10"/>
        <v>3562.5329076098233</v>
      </c>
      <c r="Q13" s="110">
        <f t="shared" si="10"/>
        <v>3756.7668018129061</v>
      </c>
      <c r="R13" s="110">
        <f t="shared" si="10"/>
        <v>4257.8474780026081</v>
      </c>
      <c r="S13" s="110">
        <f t="shared" si="10"/>
        <v>4872.9210086214198</v>
      </c>
      <c r="T13" s="110">
        <f t="shared" si="10"/>
        <v>5544.8584813308007</v>
      </c>
      <c r="U13" s="110">
        <f t="shared" si="10"/>
        <v>6065.9313093830206</v>
      </c>
      <c r="V13" s="110">
        <f t="shared" si="10"/>
        <v>1542.0908714389764</v>
      </c>
      <c r="W13" s="110">
        <f t="shared" ref="W13" si="11">W14+W15+W16</f>
        <v>2081.0058868932028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2692.9407923450108</v>
      </c>
      <c r="C15" s="102">
        <f>TrAvia_act!C$6</f>
        <v>2508.6896596464976</v>
      </c>
      <c r="D15" s="102">
        <f>TrAvia_act!D$6</f>
        <v>2306.624973669615</v>
      </c>
      <c r="E15" s="102">
        <f>TrAvia_act!E$6</f>
        <v>2263.1153024076561</v>
      </c>
      <c r="F15" s="102">
        <f>TrAvia_act!F$6</f>
        <v>2350.1137325766572</v>
      </c>
      <c r="G15" s="102">
        <f>TrAvia_act!G$6</f>
        <v>2369.6899054055762</v>
      </c>
      <c r="H15" s="102">
        <f>TrAvia_act!H$6</f>
        <v>2250.0333126000887</v>
      </c>
      <c r="I15" s="102">
        <f>TrAvia_act!I$6</f>
        <v>2442.7429836570541</v>
      </c>
      <c r="J15" s="102">
        <f>TrAvia_act!J$6</f>
        <v>2521.6451523915771</v>
      </c>
      <c r="K15" s="102">
        <f>TrAvia_act!K$6</f>
        <v>2331.641334290267</v>
      </c>
      <c r="L15" s="102">
        <f>TrAvia_act!L$6</f>
        <v>2586.7792871565366</v>
      </c>
      <c r="M15" s="102">
        <f>TrAvia_act!M$6</f>
        <v>2828.0289371284402</v>
      </c>
      <c r="N15" s="102">
        <f>TrAvia_act!N$6</f>
        <v>2907.3001878398609</v>
      </c>
      <c r="O15" s="102">
        <f>TrAvia_act!O$6</f>
        <v>3150.4939750297249</v>
      </c>
      <c r="P15" s="102">
        <f>TrAvia_act!P$6</f>
        <v>3319.5576747463747</v>
      </c>
      <c r="Q15" s="102">
        <f>TrAvia_act!Q$6</f>
        <v>3530.9252381920924</v>
      </c>
      <c r="R15" s="102">
        <f>TrAvia_act!R$6</f>
        <v>3870.1591223238029</v>
      </c>
      <c r="S15" s="102">
        <f>TrAvia_act!S$6</f>
        <v>4559.825154188773</v>
      </c>
      <c r="T15" s="102">
        <f>TrAvia_act!T$6</f>
        <v>5157.0561326482812</v>
      </c>
      <c r="U15" s="102">
        <f>TrAvia_act!U$6</f>
        <v>5456.3741534938263</v>
      </c>
      <c r="V15" s="102">
        <f>TrAvia_act!V$6</f>
        <v>1382.6189722335153</v>
      </c>
      <c r="W15" s="102">
        <f>TrAvia_act!W$6</f>
        <v>1891.0666535919358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232.05836527575335</v>
      </c>
      <c r="C16" s="102">
        <f>TrAvia_act!C$7</f>
        <v>218.09223962265224</v>
      </c>
      <c r="D16" s="102">
        <f>TrAvia_act!D$7</f>
        <v>160.59981270387215</v>
      </c>
      <c r="E16" s="102">
        <f>TrAvia_act!E$7</f>
        <v>159.65353739951297</v>
      </c>
      <c r="F16" s="102">
        <f>TrAvia_act!F$7</f>
        <v>156.62332996420557</v>
      </c>
      <c r="G16" s="102">
        <f>TrAvia_act!G$7</f>
        <v>152.3577112689874</v>
      </c>
      <c r="H16" s="102">
        <f>TrAvia_act!H$7</f>
        <v>141.86856866788901</v>
      </c>
      <c r="I16" s="102">
        <f>TrAvia_act!I$7</f>
        <v>132.17030597713011</v>
      </c>
      <c r="J16" s="102">
        <f>TrAvia_act!J$7</f>
        <v>143.71229989310586</v>
      </c>
      <c r="K16" s="102">
        <f>TrAvia_act!K$7</f>
        <v>130.07575412880135</v>
      </c>
      <c r="L16" s="102">
        <f>TrAvia_act!L$7</f>
        <v>163.17209474911368</v>
      </c>
      <c r="M16" s="102">
        <f>TrAvia_act!M$7</f>
        <v>220.55828420565516</v>
      </c>
      <c r="N16" s="102">
        <f>TrAvia_act!N$7</f>
        <v>212.21810426789676</v>
      </c>
      <c r="O16" s="102">
        <f>TrAvia_act!O$7</f>
        <v>290.18694259499779</v>
      </c>
      <c r="P16" s="102">
        <f>TrAvia_act!P$7</f>
        <v>242.97523286344872</v>
      </c>
      <c r="Q16" s="102">
        <f>TrAvia_act!Q$7</f>
        <v>225.84156362081393</v>
      </c>
      <c r="R16" s="102">
        <f>TrAvia_act!R$7</f>
        <v>387.6883556788049</v>
      </c>
      <c r="S16" s="102">
        <f>TrAvia_act!S$7</f>
        <v>313.09585443264649</v>
      </c>
      <c r="T16" s="102">
        <f>TrAvia_act!T$7</f>
        <v>387.80234868251915</v>
      </c>
      <c r="U16" s="102">
        <f>TrAvia_act!U$7</f>
        <v>609.55715588919441</v>
      </c>
      <c r="V16" s="102">
        <f>TrAvia_act!V$7</f>
        <v>159.47189920546117</v>
      </c>
      <c r="W16" s="102">
        <f>TrAvia_act!W$7</f>
        <v>189.93923330126702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922.22938653640767</v>
      </c>
      <c r="C17" s="28">
        <f t="shared" si="12"/>
        <v>861.89294467439106</v>
      </c>
      <c r="D17" s="28">
        <f t="shared" si="12"/>
        <v>298.04339504142195</v>
      </c>
      <c r="E17" s="28">
        <f t="shared" si="12"/>
        <v>641.21104374320896</v>
      </c>
      <c r="F17" s="28">
        <f t="shared" si="12"/>
        <v>1012.1675358430798</v>
      </c>
      <c r="G17" s="28">
        <f t="shared" si="12"/>
        <v>522.57976352368303</v>
      </c>
      <c r="H17" s="28">
        <f t="shared" si="12"/>
        <v>494.46759251575594</v>
      </c>
      <c r="I17" s="28">
        <f t="shared" si="12"/>
        <v>572.84830952890161</v>
      </c>
      <c r="J17" s="28">
        <f t="shared" si="12"/>
        <v>596.59110791480873</v>
      </c>
      <c r="K17" s="28">
        <f t="shared" si="12"/>
        <v>591.76796243719753</v>
      </c>
      <c r="L17" s="28">
        <f t="shared" si="12"/>
        <v>476.12402930328562</v>
      </c>
      <c r="M17" s="28">
        <f t="shared" si="12"/>
        <v>448.23305608733301</v>
      </c>
      <c r="N17" s="28">
        <f t="shared" si="12"/>
        <v>418.7020751494465</v>
      </c>
      <c r="O17" s="28">
        <f t="shared" si="12"/>
        <v>418.52451586519686</v>
      </c>
      <c r="P17" s="28">
        <f t="shared" si="12"/>
        <v>400.08564945451462</v>
      </c>
      <c r="Q17" s="28">
        <f t="shared" si="12"/>
        <v>384.60771075413561</v>
      </c>
      <c r="R17" s="28">
        <f t="shared" ref="R17:V17" si="13">R18+R21+R22+R26</f>
        <v>388.31797735792418</v>
      </c>
      <c r="S17" s="28">
        <f t="shared" si="13"/>
        <v>385.32553078286315</v>
      </c>
      <c r="T17" s="28">
        <f t="shared" si="13"/>
        <v>370.39287894407295</v>
      </c>
      <c r="U17" s="28">
        <f t="shared" si="13"/>
        <v>381.65096720267968</v>
      </c>
      <c r="V17" s="28">
        <f t="shared" si="13"/>
        <v>382.77961845693375</v>
      </c>
      <c r="W17" s="28">
        <f t="shared" ref="W17" si="14">W18+W21+W22+W26</f>
        <v>382.25183612434421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911.22168627992528</v>
      </c>
      <c r="C18" s="137">
        <f t="shared" si="15"/>
        <v>851.09562832357688</v>
      </c>
      <c r="D18" s="137">
        <f t="shared" si="15"/>
        <v>288.21852275506274</v>
      </c>
      <c r="E18" s="137">
        <f t="shared" si="15"/>
        <v>627.1315313798267</v>
      </c>
      <c r="F18" s="137">
        <f t="shared" si="15"/>
        <v>1000.3771031043218</v>
      </c>
      <c r="G18" s="137">
        <f t="shared" si="15"/>
        <v>508.15613439465278</v>
      </c>
      <c r="H18" s="137">
        <f t="shared" si="15"/>
        <v>477.76340924011521</v>
      </c>
      <c r="I18" s="137">
        <f t="shared" si="15"/>
        <v>553.6532614799396</v>
      </c>
      <c r="J18" s="137">
        <f t="shared" si="15"/>
        <v>576.03160797261273</v>
      </c>
      <c r="K18" s="137">
        <f t="shared" si="15"/>
        <v>569.2682635041092</v>
      </c>
      <c r="L18" s="137">
        <f t="shared" si="15"/>
        <v>454.91608451225989</v>
      </c>
      <c r="M18" s="137">
        <f t="shared" si="15"/>
        <v>428.90067552186571</v>
      </c>
      <c r="N18" s="137">
        <f t="shared" si="15"/>
        <v>397.45688370358044</v>
      </c>
      <c r="O18" s="137">
        <f t="shared" si="15"/>
        <v>400.09675208514665</v>
      </c>
      <c r="P18" s="137">
        <f t="shared" si="15"/>
        <v>384.20345589645268</v>
      </c>
      <c r="Q18" s="137">
        <f t="shared" si="15"/>
        <v>368.45410193152787</v>
      </c>
      <c r="R18" s="137">
        <f t="shared" ref="R18:V18" si="16">R19+R20</f>
        <v>375.13590489638915</v>
      </c>
      <c r="S18" s="137">
        <f t="shared" si="16"/>
        <v>373.36130978291254</v>
      </c>
      <c r="T18" s="137">
        <f t="shared" si="16"/>
        <v>359.2905083529036</v>
      </c>
      <c r="U18" s="137">
        <f t="shared" si="16"/>
        <v>371.40597202177099</v>
      </c>
      <c r="V18" s="137">
        <f t="shared" si="16"/>
        <v>370.43404925221648</v>
      </c>
      <c r="W18" s="137">
        <f t="shared" ref="W18" si="17">W19+W20</f>
        <v>369.38408349083846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28.917703775078909</v>
      </c>
      <c r="C19" s="102">
        <f>TrRoad_act!C$20</f>
        <v>28.944577608691755</v>
      </c>
      <c r="D19" s="102">
        <f>TrRoad_act!D$20</f>
        <v>29.367618826049796</v>
      </c>
      <c r="E19" s="102">
        <f>TrRoad_act!E$20</f>
        <v>30.13576103069763</v>
      </c>
      <c r="F19" s="102">
        <f>TrRoad_act!F$20</f>
        <v>29.934245252396366</v>
      </c>
      <c r="G19" s="102">
        <f>TrRoad_act!G$20</f>
        <v>29.680140194620733</v>
      </c>
      <c r="H19" s="102">
        <f>TrRoad_act!H$20</f>
        <v>31.268560177707418</v>
      </c>
      <c r="I19" s="102">
        <f>TrRoad_act!I$20</f>
        <v>33.969996184081033</v>
      </c>
      <c r="J19" s="102">
        <f>TrRoad_act!J$20</f>
        <v>35.537843318119194</v>
      </c>
      <c r="K19" s="102">
        <f>TrRoad_act!K$20</f>
        <v>36.097477749175091</v>
      </c>
      <c r="L19" s="102">
        <f>TrRoad_act!L$20</f>
        <v>34.610193887259889</v>
      </c>
      <c r="M19" s="102">
        <f>TrRoad_act!M$20</f>
        <v>35.667567751382379</v>
      </c>
      <c r="N19" s="102">
        <f>TrRoad_act!N$20</f>
        <v>35.723531489054679</v>
      </c>
      <c r="O19" s="102">
        <f>TrRoad_act!O$20</f>
        <v>36.51430145408164</v>
      </c>
      <c r="P19" s="102">
        <f>TrRoad_act!P$20</f>
        <v>37.513741798061297</v>
      </c>
      <c r="Q19" s="102">
        <f>TrRoad_act!Q$20</f>
        <v>38.778152568574335</v>
      </c>
      <c r="R19" s="102">
        <f>TrRoad_act!R$20</f>
        <v>38.522303399670683</v>
      </c>
      <c r="S19" s="102">
        <f>TrRoad_act!S$20</f>
        <v>40.237602332566553</v>
      </c>
      <c r="T19" s="102">
        <f>TrRoad_act!T$20</f>
        <v>40.78073222174207</v>
      </c>
      <c r="U19" s="102">
        <f>TrRoad_act!U$20</f>
        <v>42.704909375308922</v>
      </c>
      <c r="V19" s="102">
        <f>TrRoad_act!V$20</f>
        <v>41.732986605754427</v>
      </c>
      <c r="W19" s="102">
        <f>TrRoad_act!W$20</f>
        <v>40.683020844376408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882.30398250484632</v>
      </c>
      <c r="C20" s="102">
        <f>TrRoad_act!C$26</f>
        <v>822.15105071488517</v>
      </c>
      <c r="D20" s="102">
        <f>TrRoad_act!D$26</f>
        <v>258.85090392901293</v>
      </c>
      <c r="E20" s="102">
        <f>TrRoad_act!E$26</f>
        <v>596.99577034912909</v>
      </c>
      <c r="F20" s="102">
        <f>TrRoad_act!F$26</f>
        <v>970.4428578519254</v>
      </c>
      <c r="G20" s="102">
        <f>TrRoad_act!G$26</f>
        <v>478.47599420003206</v>
      </c>
      <c r="H20" s="102">
        <f>TrRoad_act!H$26</f>
        <v>446.49484906240781</v>
      </c>
      <c r="I20" s="102">
        <f>TrRoad_act!I$26</f>
        <v>519.68326529585852</v>
      </c>
      <c r="J20" s="102">
        <f>TrRoad_act!J$26</f>
        <v>540.49376465449359</v>
      </c>
      <c r="K20" s="102">
        <f>TrRoad_act!K$26</f>
        <v>533.17078575493406</v>
      </c>
      <c r="L20" s="102">
        <f>TrRoad_act!L$26</f>
        <v>420.30589062500002</v>
      </c>
      <c r="M20" s="102">
        <f>TrRoad_act!M$26</f>
        <v>393.23310777048334</v>
      </c>
      <c r="N20" s="102">
        <f>TrRoad_act!N$26</f>
        <v>361.73335221452578</v>
      </c>
      <c r="O20" s="102">
        <f>TrRoad_act!O$26</f>
        <v>363.582450631065</v>
      </c>
      <c r="P20" s="102">
        <f>TrRoad_act!P$26</f>
        <v>346.68971409839139</v>
      </c>
      <c r="Q20" s="102">
        <f>TrRoad_act!Q$26</f>
        <v>329.67594936295353</v>
      </c>
      <c r="R20" s="102">
        <f>TrRoad_act!R$26</f>
        <v>336.61360149671845</v>
      </c>
      <c r="S20" s="102">
        <f>TrRoad_act!S$26</f>
        <v>333.12370745034599</v>
      </c>
      <c r="T20" s="102">
        <f>TrRoad_act!T$26</f>
        <v>318.50977613116152</v>
      </c>
      <c r="U20" s="102">
        <f>TrRoad_act!U$26</f>
        <v>328.70106264646205</v>
      </c>
      <c r="V20" s="102">
        <f>TrRoad_act!V$26</f>
        <v>328.70106264646205</v>
      </c>
      <c r="W20" s="102">
        <f>TrRoad_act!W$26</f>
        <v>328.70106264646205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0</v>
      </c>
      <c r="C21" s="110">
        <f>TrRail_act!C$10</f>
        <v>0</v>
      </c>
      <c r="D21" s="110">
        <f>TrRail_act!D$10</f>
        <v>0</v>
      </c>
      <c r="E21" s="110">
        <f>TrRail_act!E$10</f>
        <v>0</v>
      </c>
      <c r="F21" s="110">
        <f>TrRail_act!F$10</f>
        <v>0</v>
      </c>
      <c r="G21" s="110">
        <f>TrRail_act!G$10</f>
        <v>0</v>
      </c>
      <c r="H21" s="110">
        <f>TrRail_act!H$10</f>
        <v>0</v>
      </c>
      <c r="I21" s="110">
        <f>TrRail_act!I$10</f>
        <v>0</v>
      </c>
      <c r="J21" s="110">
        <f>TrRail_act!J$10</f>
        <v>0</v>
      </c>
      <c r="K21" s="110">
        <f>TrRail_act!K$10</f>
        <v>0</v>
      </c>
      <c r="L21" s="110">
        <f>TrRail_act!L$10</f>
        <v>0</v>
      </c>
      <c r="M21" s="110">
        <f>TrRail_act!M$10</f>
        <v>0</v>
      </c>
      <c r="N21" s="110">
        <f>TrRail_act!N$10</f>
        <v>0</v>
      </c>
      <c r="O21" s="110">
        <f>TrRail_act!O$10</f>
        <v>0</v>
      </c>
      <c r="P21" s="110">
        <f>TrRail_act!P$10</f>
        <v>0</v>
      </c>
      <c r="Q21" s="110">
        <f>TrRail_act!Q$10</f>
        <v>0</v>
      </c>
      <c r="R21" s="110">
        <f>TrRail_act!R$10</f>
        <v>0</v>
      </c>
      <c r="S21" s="110">
        <f>TrRail_act!S$10</f>
        <v>0</v>
      </c>
      <c r="T21" s="110">
        <f>TrRail_act!T$10</f>
        <v>0</v>
      </c>
      <c r="U21" s="110">
        <f>TrRail_act!U$10</f>
        <v>0</v>
      </c>
      <c r="V21" s="110">
        <f>TrRail_act!V$10</f>
        <v>0</v>
      </c>
      <c r="W21" s="110">
        <f>TrRail_act!W$10</f>
        <v>0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11.007700256482346</v>
      </c>
      <c r="C22" s="110">
        <f t="shared" ref="C22:V22" si="19">C23+C24+C25</f>
        <v>10.797316350814189</v>
      </c>
      <c r="D22" s="110">
        <f t="shared" si="19"/>
        <v>9.8248722863592342</v>
      </c>
      <c r="E22" s="110">
        <f t="shared" si="19"/>
        <v>14.07951236338225</v>
      </c>
      <c r="F22" s="110">
        <f t="shared" si="19"/>
        <v>11.790432738758053</v>
      </c>
      <c r="G22" s="110">
        <f t="shared" si="19"/>
        <v>12.310629129030184</v>
      </c>
      <c r="H22" s="110">
        <f t="shared" si="19"/>
        <v>14.348183275640716</v>
      </c>
      <c r="I22" s="110">
        <f t="shared" si="19"/>
        <v>16.599048048961983</v>
      </c>
      <c r="J22" s="110">
        <f t="shared" si="19"/>
        <v>17.980499942196094</v>
      </c>
      <c r="K22" s="110">
        <f t="shared" si="19"/>
        <v>20.109698933088328</v>
      </c>
      <c r="L22" s="110">
        <f t="shared" si="19"/>
        <v>16.989944791025721</v>
      </c>
      <c r="M22" s="110">
        <f t="shared" si="19"/>
        <v>15.568380565467301</v>
      </c>
      <c r="N22" s="110">
        <f t="shared" si="19"/>
        <v>17.500191445866047</v>
      </c>
      <c r="O22" s="110">
        <f t="shared" si="19"/>
        <v>14.911763780050205</v>
      </c>
      <c r="P22" s="110">
        <f t="shared" si="19"/>
        <v>12.168193558061935</v>
      </c>
      <c r="Q22" s="110">
        <f t="shared" si="19"/>
        <v>12.203608822607725</v>
      </c>
      <c r="R22" s="110">
        <f t="shared" si="19"/>
        <v>9.5310724615349969</v>
      </c>
      <c r="S22" s="110">
        <f t="shared" si="19"/>
        <v>7.7162209999506288</v>
      </c>
      <c r="T22" s="110">
        <f t="shared" si="19"/>
        <v>7.5993705911693663</v>
      </c>
      <c r="U22" s="110">
        <f t="shared" si="19"/>
        <v>5.562995180908648</v>
      </c>
      <c r="V22" s="110">
        <f t="shared" si="19"/>
        <v>6.7925692047172905</v>
      </c>
      <c r="W22" s="110">
        <f t="shared" ref="W22" si="20">W23+W24+W25</f>
        <v>6.310752633505718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9.0253943905459764</v>
      </c>
      <c r="C24" s="102">
        <f>TrAvia_act!C$10</f>
        <v>8.7207145258767653</v>
      </c>
      <c r="D24" s="102">
        <f>TrAvia_act!D$10</f>
        <v>7.809206639700097</v>
      </c>
      <c r="E24" s="102">
        <f>TrAvia_act!E$10</f>
        <v>11.950682419181316</v>
      </c>
      <c r="F24" s="102">
        <f>TrAvia_act!F$10</f>
        <v>9.2434560070090264</v>
      </c>
      <c r="G24" s="102">
        <f>TrAvia_act!G$10</f>
        <v>9.3596041107877817</v>
      </c>
      <c r="H24" s="102">
        <f>TrAvia_act!H$10</f>
        <v>10.184856028536682</v>
      </c>
      <c r="I24" s="102">
        <f>TrAvia_act!I$10</f>
        <v>11.064541510413127</v>
      </c>
      <c r="J24" s="102">
        <f>TrAvia_act!J$10</f>
        <v>10.650041985453628</v>
      </c>
      <c r="K24" s="102">
        <f>TrAvia_act!K$10</f>
        <v>10.437885021863236</v>
      </c>
      <c r="L24" s="102">
        <f>TrAvia_act!L$10</f>
        <v>11.319133424789046</v>
      </c>
      <c r="M24" s="102">
        <f>TrAvia_act!M$10</f>
        <v>11.692318767655969</v>
      </c>
      <c r="N24" s="102">
        <f>TrAvia_act!N$10</f>
        <v>12.143700572178147</v>
      </c>
      <c r="O24" s="102">
        <f>TrAvia_act!O$10</f>
        <v>9.4027035792573574</v>
      </c>
      <c r="P24" s="102">
        <f>TrAvia_act!P$10</f>
        <v>9.0012629371795736</v>
      </c>
      <c r="Q24" s="102">
        <f>TrAvia_act!Q$10</f>
        <v>10.456322900138304</v>
      </c>
      <c r="R24" s="102">
        <f>TrAvia_act!R$10</f>
        <v>6.2802522906049534</v>
      </c>
      <c r="S24" s="102">
        <f>TrAvia_act!S$10</f>
        <v>6.0341746736474846</v>
      </c>
      <c r="T24" s="102">
        <f>TrAvia_act!T$10</f>
        <v>6.3066674084223422</v>
      </c>
      <c r="U24" s="102">
        <f>TrAvia_act!U$10</f>
        <v>4.3757483033770761</v>
      </c>
      <c r="V24" s="102">
        <f>TrAvia_act!V$10</f>
        <v>4.3571001601474411</v>
      </c>
      <c r="W24" s="102">
        <f>TrAvia_act!W$10</f>
        <v>4.0637357411738328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1.9823058659363693</v>
      </c>
      <c r="C25" s="102">
        <f>TrAvia_act!C$11</f>
        <v>2.0766018249374243</v>
      </c>
      <c r="D25" s="102">
        <f>TrAvia_act!D$11</f>
        <v>2.0156656466591372</v>
      </c>
      <c r="E25" s="102">
        <f>TrAvia_act!E$11</f>
        <v>2.1288299442009335</v>
      </c>
      <c r="F25" s="102">
        <f>TrAvia_act!F$11</f>
        <v>2.5469767317490257</v>
      </c>
      <c r="G25" s="102">
        <f>TrAvia_act!G$11</f>
        <v>2.9510250182424023</v>
      </c>
      <c r="H25" s="102">
        <f>TrAvia_act!H$11</f>
        <v>4.1633272471040339</v>
      </c>
      <c r="I25" s="102">
        <f>TrAvia_act!I$11</f>
        <v>5.5345065385488548</v>
      </c>
      <c r="J25" s="102">
        <f>TrAvia_act!J$11</f>
        <v>7.3304579567424666</v>
      </c>
      <c r="K25" s="102">
        <f>TrAvia_act!K$11</f>
        <v>9.671813911225092</v>
      </c>
      <c r="L25" s="102">
        <f>TrAvia_act!L$11</f>
        <v>5.670811366236677</v>
      </c>
      <c r="M25" s="102">
        <f>TrAvia_act!M$11</f>
        <v>3.8760617978113312</v>
      </c>
      <c r="N25" s="102">
        <f>TrAvia_act!N$11</f>
        <v>5.3564908736879007</v>
      </c>
      <c r="O25" s="102">
        <f>TrAvia_act!O$11</f>
        <v>5.5090602007928471</v>
      </c>
      <c r="P25" s="102">
        <f>TrAvia_act!P$11</f>
        <v>3.1669306208823618</v>
      </c>
      <c r="Q25" s="102">
        <f>TrAvia_act!Q$11</f>
        <v>1.7472859224694222</v>
      </c>
      <c r="R25" s="102">
        <f>TrAvia_act!R$11</f>
        <v>3.2508201709300426</v>
      </c>
      <c r="S25" s="102">
        <f>TrAvia_act!S$11</f>
        <v>1.6820463263031438</v>
      </c>
      <c r="T25" s="102">
        <f>TrAvia_act!T$11</f>
        <v>1.2927031827470246</v>
      </c>
      <c r="U25" s="102">
        <f>TrAvia_act!U$11</f>
        <v>1.1872468775315721</v>
      </c>
      <c r="V25" s="102">
        <f>TrAvia_act!V$11</f>
        <v>2.435469044569849</v>
      </c>
      <c r="W25" s="102">
        <f>TrAvia_act!W$11</f>
        <v>2.2470168923318852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2.113</v>
      </c>
      <c r="H26" s="110">
        <f t="shared" si="21"/>
        <v>2.3559999999999999</v>
      </c>
      <c r="I26" s="110">
        <f t="shared" si="21"/>
        <v>2.5960000000000001</v>
      </c>
      <c r="J26" s="110">
        <f t="shared" si="21"/>
        <v>2.5790000000000002</v>
      </c>
      <c r="K26" s="110">
        <f t="shared" si="21"/>
        <v>2.39</v>
      </c>
      <c r="L26" s="110">
        <f t="shared" si="21"/>
        <v>4.218</v>
      </c>
      <c r="M26" s="110">
        <f t="shared" si="21"/>
        <v>3.7639999999999998</v>
      </c>
      <c r="N26" s="110">
        <f t="shared" si="21"/>
        <v>3.7450000000000001</v>
      </c>
      <c r="O26" s="110">
        <f t="shared" si="21"/>
        <v>3.516</v>
      </c>
      <c r="P26" s="110">
        <f t="shared" si="21"/>
        <v>3.714</v>
      </c>
      <c r="Q26" s="110">
        <f t="shared" si="21"/>
        <v>3.95</v>
      </c>
      <c r="R26" s="110">
        <f t="shared" ref="R26:V26" si="22">R27+R28</f>
        <v>3.6509999999999998</v>
      </c>
      <c r="S26" s="110">
        <f t="shared" si="22"/>
        <v>4.2480000000000002</v>
      </c>
      <c r="T26" s="110">
        <f t="shared" si="22"/>
        <v>3.5030000000000001</v>
      </c>
      <c r="U26" s="110">
        <f t="shared" si="22"/>
        <v>4.6820000000000004</v>
      </c>
      <c r="V26" s="110">
        <f t="shared" si="22"/>
        <v>5.5529999999999999</v>
      </c>
      <c r="W26" s="110">
        <f t="shared" ref="W26" si="23">W27+W28</f>
        <v>6.5570000000000004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2.113</v>
      </c>
      <c r="H27" s="102">
        <f>TrNavi_act!H4</f>
        <v>2.3559999999999999</v>
      </c>
      <c r="I27" s="102">
        <f>TrNavi_act!I4</f>
        <v>2.5960000000000001</v>
      </c>
      <c r="J27" s="102">
        <f>TrNavi_act!J4</f>
        <v>2.5790000000000002</v>
      </c>
      <c r="K27" s="102">
        <f>TrNavi_act!K4</f>
        <v>2.39</v>
      </c>
      <c r="L27" s="102">
        <f>TrNavi_act!L4</f>
        <v>4.218</v>
      </c>
      <c r="M27" s="102">
        <f>TrNavi_act!M4</f>
        <v>3.7639999999999998</v>
      </c>
      <c r="N27" s="102">
        <f>TrNavi_act!N4</f>
        <v>3.7450000000000001</v>
      </c>
      <c r="O27" s="102">
        <f>TrNavi_act!O4</f>
        <v>3.516</v>
      </c>
      <c r="P27" s="102">
        <f>TrNavi_act!P4</f>
        <v>3.714</v>
      </c>
      <c r="Q27" s="102">
        <f>TrNavi_act!Q4</f>
        <v>3.95</v>
      </c>
      <c r="R27" s="102">
        <f>TrNavi_act!R4</f>
        <v>3.6509999999999998</v>
      </c>
      <c r="S27" s="102">
        <f>TrNavi_act!S4</f>
        <v>4.2480000000000002</v>
      </c>
      <c r="T27" s="102">
        <f>TrNavi_act!T4</f>
        <v>3.5030000000000001</v>
      </c>
      <c r="U27" s="102">
        <f>TrNavi_act!U4</f>
        <v>4.6820000000000004</v>
      </c>
      <c r="V27" s="102">
        <f>TrNavi_act!V4</f>
        <v>5.5529999999999999</v>
      </c>
      <c r="W27" s="102">
        <f>TrNavi_act!W4</f>
        <v>6.5570000000000004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3259.7195629999997</v>
      </c>
      <c r="C29" s="28">
        <f t="shared" si="24"/>
        <v>3524.284983</v>
      </c>
      <c r="D29" s="28">
        <f t="shared" si="24"/>
        <v>3627.9979960000001</v>
      </c>
      <c r="E29" s="28">
        <f t="shared" si="24"/>
        <v>4480.6051710000002</v>
      </c>
      <c r="F29" s="28">
        <f t="shared" si="24"/>
        <v>5813.5357339999991</v>
      </c>
      <c r="G29" s="28">
        <f t="shared" si="24"/>
        <v>4202.0340670000005</v>
      </c>
      <c r="H29" s="28">
        <f t="shared" si="24"/>
        <v>4552.4063559999995</v>
      </c>
      <c r="I29" s="28">
        <f t="shared" si="24"/>
        <v>4588.8240889999997</v>
      </c>
      <c r="J29" s="28">
        <f t="shared" si="24"/>
        <v>4559.9663149999997</v>
      </c>
      <c r="K29" s="28">
        <f t="shared" si="24"/>
        <v>5021.8026890000001</v>
      </c>
      <c r="L29" s="28">
        <f t="shared" si="24"/>
        <v>4713.7001720000007</v>
      </c>
      <c r="M29" s="28">
        <f t="shared" si="24"/>
        <v>4301.350735</v>
      </c>
      <c r="N29" s="28">
        <f t="shared" si="24"/>
        <v>4149.4414569999999</v>
      </c>
      <c r="O29" s="28">
        <f t="shared" si="24"/>
        <v>4778.8879159999997</v>
      </c>
      <c r="P29" s="28">
        <f t="shared" si="24"/>
        <v>5638.1130699999994</v>
      </c>
      <c r="Q29" s="28">
        <f t="shared" si="24"/>
        <v>4301.8621290000001</v>
      </c>
      <c r="R29" s="28">
        <f t="shared" si="24"/>
        <v>4131.8831330000003</v>
      </c>
      <c r="S29" s="28">
        <f t="shared" si="24"/>
        <v>5188.1001259999994</v>
      </c>
      <c r="T29" s="28">
        <f t="shared" si="24"/>
        <v>6249.2826379999997</v>
      </c>
      <c r="U29" s="28">
        <f t="shared" si="24"/>
        <v>7524.9993930000001</v>
      </c>
      <c r="V29" s="28">
        <f t="shared" si="24"/>
        <v>4809.8320970000004</v>
      </c>
      <c r="W29" s="28">
        <f t="shared" si="24"/>
        <v>3584.0949070000001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1522.218494</v>
      </c>
      <c r="C30" s="102">
        <f>MBunk_act!C$4</f>
        <v>1628.68119</v>
      </c>
      <c r="D30" s="102">
        <f>MBunk_act!D$4</f>
        <v>1674.852026</v>
      </c>
      <c r="E30" s="102">
        <f>MBunk_act!E$4</f>
        <v>2071.8792210000001</v>
      </c>
      <c r="F30" s="102">
        <f>MBunk_act!F$4</f>
        <v>1809.0398349999998</v>
      </c>
      <c r="G30" s="102">
        <f>MBunk_act!G$4</f>
        <v>1927.44812</v>
      </c>
      <c r="H30" s="102">
        <f>MBunk_act!H$4</f>
        <v>1994.113977</v>
      </c>
      <c r="I30" s="102">
        <f>MBunk_act!I$4</f>
        <v>1928.9974400000001</v>
      </c>
      <c r="J30" s="102">
        <f>MBunk_act!J$4</f>
        <v>2327.0264809999999</v>
      </c>
      <c r="K30" s="102">
        <f>MBunk_act!K$4</f>
        <v>2375.707782</v>
      </c>
      <c r="L30" s="102">
        <f>MBunk_act!L$4</f>
        <v>2237.3457050000002</v>
      </c>
      <c r="M30" s="102">
        <f>MBunk_act!M$4</f>
        <v>1792.064018</v>
      </c>
      <c r="N30" s="102">
        <f>MBunk_act!N$4</f>
        <v>2136.7020390000002</v>
      </c>
      <c r="O30" s="102">
        <f>MBunk_act!O$4</f>
        <v>2365.616974</v>
      </c>
      <c r="P30" s="102">
        <f>MBunk_act!P$4</f>
        <v>2175.269104</v>
      </c>
      <c r="Q30" s="102">
        <f>MBunk_act!Q$4</f>
        <v>2256.7434910000002</v>
      </c>
      <c r="R30" s="102">
        <f>MBunk_act!R$4</f>
        <v>1738.402855</v>
      </c>
      <c r="S30" s="102">
        <f>MBunk_act!S$4</f>
        <v>2101.2633639999999</v>
      </c>
      <c r="T30" s="102">
        <f>MBunk_act!T$4</f>
        <v>2909.6905269999997</v>
      </c>
      <c r="U30" s="102">
        <f>MBunk_act!U$4</f>
        <v>2551.9599009999997</v>
      </c>
      <c r="V30" s="102">
        <f>MBunk_act!V$4</f>
        <v>2808.3685100000002</v>
      </c>
      <c r="W30" s="102">
        <f>MBunk_act!W$4</f>
        <v>1924.0334620000001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1737.5010689999999</v>
      </c>
      <c r="C31" s="86">
        <f>MBunk_act!C$5</f>
        <v>1895.603793</v>
      </c>
      <c r="D31" s="86">
        <f>MBunk_act!D$5</f>
        <v>1953.14597</v>
      </c>
      <c r="E31" s="86">
        <f>MBunk_act!E$5</f>
        <v>2408.72595</v>
      </c>
      <c r="F31" s="86">
        <f>MBunk_act!F$5</f>
        <v>4004.4958989999996</v>
      </c>
      <c r="G31" s="86">
        <f>MBunk_act!G$5</f>
        <v>2274.585947</v>
      </c>
      <c r="H31" s="86">
        <f>MBunk_act!H$5</f>
        <v>2558.292379</v>
      </c>
      <c r="I31" s="86">
        <f>MBunk_act!I$5</f>
        <v>2659.8266490000001</v>
      </c>
      <c r="J31" s="86">
        <f>MBunk_act!J$5</f>
        <v>2232.9398340000002</v>
      </c>
      <c r="K31" s="86">
        <f>MBunk_act!K$5</f>
        <v>2646.0949070000001</v>
      </c>
      <c r="L31" s="86">
        <f>MBunk_act!L$5</f>
        <v>2476.3544670000001</v>
      </c>
      <c r="M31" s="86">
        <f>MBunk_act!M$5</f>
        <v>2509.286717</v>
      </c>
      <c r="N31" s="86">
        <f>MBunk_act!N$5</f>
        <v>2012.7394179999999</v>
      </c>
      <c r="O31" s="86">
        <f>MBunk_act!O$5</f>
        <v>2413.2709420000001</v>
      </c>
      <c r="P31" s="86">
        <f>MBunk_act!P$5</f>
        <v>3462.8439659999999</v>
      </c>
      <c r="Q31" s="86">
        <f>MBunk_act!Q$5</f>
        <v>2045.1186379999999</v>
      </c>
      <c r="R31" s="86">
        <f>MBunk_act!R$5</f>
        <v>2393.480278</v>
      </c>
      <c r="S31" s="86">
        <f>MBunk_act!S$5</f>
        <v>3086.8367619999999</v>
      </c>
      <c r="T31" s="86">
        <f>MBunk_act!T$5</f>
        <v>3339.5921109999999</v>
      </c>
      <c r="U31" s="86">
        <f>MBunk_act!U$5</f>
        <v>4973.0394919999999</v>
      </c>
      <c r="V31" s="86">
        <f>MBunk_act!V$5</f>
        <v>2001.463587</v>
      </c>
      <c r="W31" s="86">
        <f>MBunk_act!W$5</f>
        <v>1660.061445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217.93245469153243</v>
      </c>
      <c r="C34" s="28">
        <f t="shared" si="25"/>
        <v>182.7778154413306</v>
      </c>
      <c r="D34" s="28">
        <f t="shared" si="25"/>
        <v>176.47232533194091</v>
      </c>
      <c r="E34" s="28">
        <f t="shared" si="25"/>
        <v>168.89328932117672</v>
      </c>
      <c r="F34" s="28">
        <f t="shared" si="25"/>
        <v>186.5682249229921</v>
      </c>
      <c r="G34" s="28">
        <f t="shared" si="25"/>
        <v>186.93088971168783</v>
      </c>
      <c r="H34" s="28">
        <f t="shared" si="25"/>
        <v>190.4286537543889</v>
      </c>
      <c r="I34" s="28">
        <f t="shared" si="25"/>
        <v>195.98378899124197</v>
      </c>
      <c r="J34" s="28">
        <f t="shared" si="25"/>
        <v>215.28929007652278</v>
      </c>
      <c r="K34" s="28">
        <f t="shared" si="25"/>
        <v>193.71550166838529</v>
      </c>
      <c r="L34" s="28">
        <f t="shared" si="25"/>
        <v>222.15453868863636</v>
      </c>
      <c r="M34" s="28">
        <f t="shared" si="25"/>
        <v>227.0815812789275</v>
      </c>
      <c r="N34" s="28">
        <f t="shared" si="25"/>
        <v>225.16403127341962</v>
      </c>
      <c r="O34" s="28">
        <f t="shared" si="25"/>
        <v>235.59459192381712</v>
      </c>
      <c r="P34" s="28">
        <f t="shared" si="25"/>
        <v>249.08557212507768</v>
      </c>
      <c r="Q34" s="28">
        <f t="shared" si="25"/>
        <v>263.09995712924137</v>
      </c>
      <c r="R34" s="28">
        <f t="shared" ref="R34:V34" si="26">R35+R39+R43</f>
        <v>273.34504254179859</v>
      </c>
      <c r="S34" s="28">
        <f t="shared" si="26"/>
        <v>291.78547607695361</v>
      </c>
      <c r="T34" s="28">
        <f t="shared" si="26"/>
        <v>326.52527645334499</v>
      </c>
      <c r="U34" s="28">
        <f t="shared" si="26"/>
        <v>341.50148397165668</v>
      </c>
      <c r="V34" s="28">
        <f t="shared" si="26"/>
        <v>201.37722988040883</v>
      </c>
      <c r="W34" s="28">
        <f t="shared" ref="W34" si="27">W35+W39+W43</f>
        <v>225.86405958036207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94.232532122750555</v>
      </c>
      <c r="C35" s="137">
        <f t="shared" si="28"/>
        <v>89.906563537945345</v>
      </c>
      <c r="D35" s="137">
        <f t="shared" si="28"/>
        <v>86.730664309500412</v>
      </c>
      <c r="E35" s="137">
        <f t="shared" si="28"/>
        <v>90.201642974327626</v>
      </c>
      <c r="F35" s="137">
        <f t="shared" si="28"/>
        <v>85.014036119277833</v>
      </c>
      <c r="G35" s="137">
        <f t="shared" si="28"/>
        <v>101.00011608643651</v>
      </c>
      <c r="H35" s="137">
        <f t="shared" si="28"/>
        <v>104.10776260982196</v>
      </c>
      <c r="I35" s="137">
        <f t="shared" si="28"/>
        <v>105.68747953101575</v>
      </c>
      <c r="J35" s="137">
        <f t="shared" si="28"/>
        <v>122.16807637191991</v>
      </c>
      <c r="K35" s="137">
        <f t="shared" si="28"/>
        <v>106.80718275858813</v>
      </c>
      <c r="L35" s="137">
        <f t="shared" si="28"/>
        <v>123.72262252618998</v>
      </c>
      <c r="M35" s="137">
        <f t="shared" si="28"/>
        <v>125.3666247056957</v>
      </c>
      <c r="N35" s="137">
        <f t="shared" si="28"/>
        <v>128.32540622428701</v>
      </c>
      <c r="O35" s="137">
        <f t="shared" si="28"/>
        <v>132.9041171954984</v>
      </c>
      <c r="P35" s="137">
        <f t="shared" si="28"/>
        <v>138.81818027565748</v>
      </c>
      <c r="Q35" s="137">
        <f t="shared" si="28"/>
        <v>148.80514973265645</v>
      </c>
      <c r="R35" s="137">
        <f t="shared" ref="R35:V35" si="29">R36+R37+R38</f>
        <v>150.16001399555469</v>
      </c>
      <c r="S35" s="137">
        <f t="shared" si="29"/>
        <v>153.45801849171099</v>
      </c>
      <c r="T35" s="137">
        <f t="shared" si="29"/>
        <v>170.85679448474676</v>
      </c>
      <c r="U35" s="137">
        <f t="shared" si="29"/>
        <v>177.47217695681593</v>
      </c>
      <c r="V35" s="137">
        <f t="shared" si="29"/>
        <v>143.12676175897562</v>
      </c>
      <c r="W35" s="137">
        <f t="shared" ref="W35" si="30">W36+W37+W38</f>
        <v>149.59833325248709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1.1439133564782196</v>
      </c>
      <c r="C36" s="102">
        <f>TrRoad_ene!C$19</f>
        <v>1.1787299590373743</v>
      </c>
      <c r="D36" s="102">
        <f>TrRoad_ene!D$19</f>
        <v>1.2192597355942141</v>
      </c>
      <c r="E36" s="102">
        <f>TrRoad_ene!E$19</f>
        <v>1.2459048300306104</v>
      </c>
      <c r="F36" s="102">
        <f>TrRoad_ene!F$19</f>
        <v>1.1609316143922908</v>
      </c>
      <c r="G36" s="102">
        <f>TrRoad_ene!G$19</f>
        <v>1.08425180301159</v>
      </c>
      <c r="H36" s="102">
        <f>TrRoad_ene!H$19</f>
        <v>1.104404315438833</v>
      </c>
      <c r="I36" s="102">
        <f>TrRoad_ene!I$19</f>
        <v>1.1421935313281029</v>
      </c>
      <c r="J36" s="102">
        <f>TrRoad_ene!J$19</f>
        <v>1.2673867912341241</v>
      </c>
      <c r="K36" s="102">
        <f>TrRoad_ene!K$19</f>
        <v>1.2465271184513764</v>
      </c>
      <c r="L36" s="102">
        <f>TrRoad_ene!L$19</f>
        <v>1.2532990573466958</v>
      </c>
      <c r="M36" s="102">
        <f>TrRoad_ene!M$19</f>
        <v>1.3047467446315002</v>
      </c>
      <c r="N36" s="102">
        <f>TrRoad_ene!N$19</f>
        <v>1.2992705470963699</v>
      </c>
      <c r="O36" s="102">
        <f>TrRoad_ene!O$19</f>
        <v>1.3675805526407416</v>
      </c>
      <c r="P36" s="102">
        <f>TrRoad_ene!P$19</f>
        <v>1.4625326264819076</v>
      </c>
      <c r="Q36" s="102">
        <f>TrRoad_ene!Q$19</f>
        <v>1.4859353595079445</v>
      </c>
      <c r="R36" s="102">
        <f>TrRoad_ene!R$19</f>
        <v>1.5813731840812477</v>
      </c>
      <c r="S36" s="102">
        <f>TrRoad_ene!S$19</f>
        <v>1.4951603949263614</v>
      </c>
      <c r="T36" s="102">
        <f>TrRoad_ene!T$19</f>
        <v>1.484585578063671</v>
      </c>
      <c r="U36" s="102">
        <f>TrRoad_ene!U$19</f>
        <v>1.5742815819209557</v>
      </c>
      <c r="V36" s="102">
        <f>TrRoad_ene!V$19</f>
        <v>1.3451913445408019</v>
      </c>
      <c r="W36" s="102">
        <f>TrRoad_ene!W$19</f>
        <v>1.3175515977445973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81.754401679378162</v>
      </c>
      <c r="C37" s="102">
        <f>TrRoad_ene!C$21</f>
        <v>77.757088095373803</v>
      </c>
      <c r="D37" s="102">
        <f>TrRoad_ene!D$21</f>
        <v>81.111284738557558</v>
      </c>
      <c r="E37" s="102">
        <f>TrRoad_ene!E$21</f>
        <v>80.083828581313199</v>
      </c>
      <c r="F37" s="102">
        <f>TrRoad_ene!F$21</f>
        <v>71.240915170294556</v>
      </c>
      <c r="G37" s="102">
        <f>TrRoad_ene!G$21</f>
        <v>82.324508145156074</v>
      </c>
      <c r="H37" s="102">
        <f>TrRoad_ene!H$21</f>
        <v>84.057848072161192</v>
      </c>
      <c r="I37" s="102">
        <f>TrRoad_ene!I$21</f>
        <v>86.604646478308254</v>
      </c>
      <c r="J37" s="102">
        <f>TrRoad_ene!J$21</f>
        <v>103.06995374838615</v>
      </c>
      <c r="K37" s="102">
        <f>TrRoad_ene!K$21</f>
        <v>90.196253734087378</v>
      </c>
      <c r="L37" s="102">
        <f>TrRoad_ene!L$21</f>
        <v>105.51275813790721</v>
      </c>
      <c r="M37" s="102">
        <f>TrRoad_ene!M$21</f>
        <v>106.81690146964308</v>
      </c>
      <c r="N37" s="102">
        <f>TrRoad_ene!N$21</f>
        <v>107.17043859641332</v>
      </c>
      <c r="O37" s="102">
        <f>TrRoad_ene!O$21</f>
        <v>110.92636357359596</v>
      </c>
      <c r="P37" s="102">
        <f>TrRoad_ene!P$21</f>
        <v>112.28537111406634</v>
      </c>
      <c r="Q37" s="102">
        <f>TrRoad_ene!Q$21</f>
        <v>118.95101443311442</v>
      </c>
      <c r="R37" s="102">
        <f>TrRoad_ene!R$21</f>
        <v>120.56830679702561</v>
      </c>
      <c r="S37" s="102">
        <f>TrRoad_ene!S$21</f>
        <v>121.74891570115034</v>
      </c>
      <c r="T37" s="102">
        <f>TrRoad_ene!T$21</f>
        <v>133.54479394289928</v>
      </c>
      <c r="U37" s="102">
        <f>TrRoad_ene!U$21</f>
        <v>139.3360680962295</v>
      </c>
      <c r="V37" s="102">
        <f>TrRoad_ene!V$21</f>
        <v>115.97262336922935</v>
      </c>
      <c r="W37" s="102">
        <f>TrRoad_ene!W$21</f>
        <v>124.45602593592204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11.334217086894167</v>
      </c>
      <c r="C38" s="102">
        <f>TrRoad_ene!C$33</f>
        <v>10.970745483534166</v>
      </c>
      <c r="D38" s="102">
        <f>TrRoad_ene!D$33</f>
        <v>4.4001198353486481</v>
      </c>
      <c r="E38" s="102">
        <f>TrRoad_ene!E$33</f>
        <v>8.8719095629838165</v>
      </c>
      <c r="F38" s="102">
        <f>TrRoad_ene!F$33</f>
        <v>12.612189334590981</v>
      </c>
      <c r="G38" s="102">
        <f>TrRoad_ene!G$33</f>
        <v>17.591356138268839</v>
      </c>
      <c r="H38" s="102">
        <f>TrRoad_ene!H$33</f>
        <v>18.945510222221937</v>
      </c>
      <c r="I38" s="102">
        <f>TrRoad_ene!I$33</f>
        <v>17.940639521379392</v>
      </c>
      <c r="J38" s="102">
        <f>TrRoad_ene!J$33</f>
        <v>17.830735832299631</v>
      </c>
      <c r="K38" s="102">
        <f>TrRoad_ene!K$33</f>
        <v>15.36440190604937</v>
      </c>
      <c r="L38" s="102">
        <f>TrRoad_ene!L$33</f>
        <v>16.956565330936066</v>
      </c>
      <c r="M38" s="102">
        <f>TrRoad_ene!M$33</f>
        <v>17.24497649142112</v>
      </c>
      <c r="N38" s="102">
        <f>TrRoad_ene!N$33</f>
        <v>19.855697080777329</v>
      </c>
      <c r="O38" s="102">
        <f>TrRoad_ene!O$33</f>
        <v>20.610173069261691</v>
      </c>
      <c r="P38" s="102">
        <f>TrRoad_ene!P$33</f>
        <v>25.070276535109251</v>
      </c>
      <c r="Q38" s="102">
        <f>TrRoad_ene!Q$33</f>
        <v>28.368199940034074</v>
      </c>
      <c r="R38" s="102">
        <f>TrRoad_ene!R$33</f>
        <v>28.010334014447832</v>
      </c>
      <c r="S38" s="102">
        <f>TrRoad_ene!S$33</f>
        <v>30.213942395634291</v>
      </c>
      <c r="T38" s="102">
        <f>TrRoad_ene!T$33</f>
        <v>35.827414963783816</v>
      </c>
      <c r="U38" s="102">
        <f>TrRoad_ene!U$33</f>
        <v>36.56182727866549</v>
      </c>
      <c r="V38" s="102">
        <f>TrRoad_ene!V$33</f>
        <v>25.808947045205461</v>
      </c>
      <c r="W38" s="102">
        <f>TrRoad_ene!W$33</f>
        <v>23.824755718820445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0</v>
      </c>
      <c r="C39" s="110">
        <f t="shared" si="31"/>
        <v>0</v>
      </c>
      <c r="D39" s="110">
        <f t="shared" si="31"/>
        <v>0</v>
      </c>
      <c r="E39" s="110">
        <f t="shared" si="31"/>
        <v>0</v>
      </c>
      <c r="F39" s="110">
        <f t="shared" si="31"/>
        <v>0</v>
      </c>
      <c r="G39" s="110">
        <f t="shared" si="31"/>
        <v>0</v>
      </c>
      <c r="H39" s="110">
        <f t="shared" si="31"/>
        <v>0</v>
      </c>
      <c r="I39" s="110">
        <f t="shared" si="31"/>
        <v>0</v>
      </c>
      <c r="J39" s="110">
        <f t="shared" si="31"/>
        <v>0</v>
      </c>
      <c r="K39" s="110">
        <f t="shared" si="31"/>
        <v>0</v>
      </c>
      <c r="L39" s="110">
        <f t="shared" si="31"/>
        <v>0</v>
      </c>
      <c r="M39" s="110">
        <f t="shared" si="31"/>
        <v>0</v>
      </c>
      <c r="N39" s="110">
        <f t="shared" si="31"/>
        <v>0</v>
      </c>
      <c r="O39" s="110">
        <f t="shared" si="31"/>
        <v>0</v>
      </c>
      <c r="P39" s="110">
        <f t="shared" si="31"/>
        <v>0</v>
      </c>
      <c r="Q39" s="110">
        <f t="shared" si="31"/>
        <v>0</v>
      </c>
      <c r="R39" s="110">
        <f t="shared" ref="R39:V39" si="32">R40+R41+R42</f>
        <v>0</v>
      </c>
      <c r="S39" s="110">
        <f t="shared" si="32"/>
        <v>0</v>
      </c>
      <c r="T39" s="110">
        <f t="shared" si="32"/>
        <v>0</v>
      </c>
      <c r="U39" s="110">
        <f t="shared" si="32"/>
        <v>0</v>
      </c>
      <c r="V39" s="110">
        <f t="shared" si="32"/>
        <v>0</v>
      </c>
      <c r="W39" s="110">
        <f t="shared" ref="W39" si="33">W40+W41+W42</f>
        <v>0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0</v>
      </c>
      <c r="C41" s="102">
        <f>TrRail_ene!C$13</f>
        <v>0</v>
      </c>
      <c r="D41" s="102">
        <f>TrRail_ene!D$13</f>
        <v>0</v>
      </c>
      <c r="E41" s="102">
        <f>TrRail_ene!E$13</f>
        <v>0</v>
      </c>
      <c r="F41" s="102">
        <f>TrRail_ene!F$13</f>
        <v>0</v>
      </c>
      <c r="G41" s="102">
        <f>TrRail_ene!G$13</f>
        <v>0</v>
      </c>
      <c r="H41" s="102">
        <f>TrRail_ene!H$13</f>
        <v>0</v>
      </c>
      <c r="I41" s="102">
        <f>TrRail_ene!I$13</f>
        <v>0</v>
      </c>
      <c r="J41" s="102">
        <f>TrRail_ene!J$13</f>
        <v>0</v>
      </c>
      <c r="K41" s="102">
        <f>TrRail_ene!K$13</f>
        <v>0</v>
      </c>
      <c r="L41" s="102">
        <f>TrRail_ene!L$13</f>
        <v>0</v>
      </c>
      <c r="M41" s="102">
        <f>TrRail_ene!M$13</f>
        <v>0</v>
      </c>
      <c r="N41" s="102">
        <f>TrRail_ene!N$13</f>
        <v>0</v>
      </c>
      <c r="O41" s="102">
        <f>TrRail_ene!O$13</f>
        <v>0</v>
      </c>
      <c r="P41" s="102">
        <f>TrRail_ene!P$13</f>
        <v>0</v>
      </c>
      <c r="Q41" s="102">
        <f>TrRail_ene!Q$13</f>
        <v>0</v>
      </c>
      <c r="R41" s="102">
        <f>TrRail_ene!R$13</f>
        <v>0</v>
      </c>
      <c r="S41" s="102">
        <f>TrRail_ene!S$13</f>
        <v>0</v>
      </c>
      <c r="T41" s="102">
        <f>TrRail_ene!T$13</f>
        <v>0</v>
      </c>
      <c r="U41" s="102">
        <f>TrRail_ene!U$13</f>
        <v>0</v>
      </c>
      <c r="V41" s="102">
        <f>TrRail_ene!V$13</f>
        <v>0</v>
      </c>
      <c r="W41" s="102">
        <f>TrRail_ene!W$13</f>
        <v>0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123.69992256878189</v>
      </c>
      <c r="C43" s="110">
        <f t="shared" si="34"/>
        <v>92.871251903385257</v>
      </c>
      <c r="D43" s="110">
        <f t="shared" si="34"/>
        <v>89.74166102244051</v>
      </c>
      <c r="E43" s="110">
        <f t="shared" si="34"/>
        <v>78.691646346849112</v>
      </c>
      <c r="F43" s="110">
        <f t="shared" si="34"/>
        <v>101.55418880371427</v>
      </c>
      <c r="G43" s="110">
        <f t="shared" si="34"/>
        <v>85.930773625251305</v>
      </c>
      <c r="H43" s="110">
        <f t="shared" si="34"/>
        <v>86.320891144566929</v>
      </c>
      <c r="I43" s="110">
        <f t="shared" si="34"/>
        <v>90.296309460226198</v>
      </c>
      <c r="J43" s="110">
        <f t="shared" si="34"/>
        <v>93.121213704602852</v>
      </c>
      <c r="K43" s="110">
        <f t="shared" si="34"/>
        <v>86.90831890979716</v>
      </c>
      <c r="L43" s="110">
        <f t="shared" si="34"/>
        <v>98.431916162446399</v>
      </c>
      <c r="M43" s="110">
        <f t="shared" si="34"/>
        <v>101.71495657323179</v>
      </c>
      <c r="N43" s="110">
        <f t="shared" si="34"/>
        <v>96.838625049132617</v>
      </c>
      <c r="O43" s="110">
        <f t="shared" si="34"/>
        <v>102.6904747283187</v>
      </c>
      <c r="P43" s="110">
        <f t="shared" si="34"/>
        <v>110.26739184942019</v>
      </c>
      <c r="Q43" s="110">
        <f t="shared" si="34"/>
        <v>114.29480739658491</v>
      </c>
      <c r="R43" s="110">
        <f t="shared" ref="R43:V43" si="35">R44+R45+R46</f>
        <v>123.18502854624391</v>
      </c>
      <c r="S43" s="110">
        <f t="shared" si="35"/>
        <v>138.32745758524266</v>
      </c>
      <c r="T43" s="110">
        <f t="shared" si="35"/>
        <v>155.66848196859826</v>
      </c>
      <c r="U43" s="110">
        <f t="shared" si="35"/>
        <v>164.02930701484075</v>
      </c>
      <c r="V43" s="110">
        <f t="shared" si="35"/>
        <v>58.250468121433229</v>
      </c>
      <c r="W43" s="110">
        <f t="shared" ref="W43" si="36">W44+W45+W46</f>
        <v>76.265726327874972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107.71716305336959</v>
      </c>
      <c r="C45" s="102">
        <f>TrAvia_ene!C$8</f>
        <v>80.871582797415144</v>
      </c>
      <c r="D45" s="102">
        <f>TrAvia_ene!D$8</f>
        <v>79.704933963882112</v>
      </c>
      <c r="E45" s="102">
        <f>TrAvia_ene!E$8</f>
        <v>70.650334536156109</v>
      </c>
      <c r="F45" s="102">
        <f>TrAvia_ene!F$8</f>
        <v>91.716338331924334</v>
      </c>
      <c r="G45" s="102">
        <f>TrAvia_ene!G$8</f>
        <v>77.917874289154895</v>
      </c>
      <c r="H45" s="102">
        <f>TrAvia_ene!H$8</f>
        <v>78.02456663043408</v>
      </c>
      <c r="I45" s="102">
        <f>TrAvia_ene!I$8</f>
        <v>81.947043191455379</v>
      </c>
      <c r="J45" s="102">
        <f>TrAvia_ene!J$8</f>
        <v>83.968084439551617</v>
      </c>
      <c r="K45" s="102">
        <f>TrAvia_ene!K$8</f>
        <v>77.839560120821517</v>
      </c>
      <c r="L45" s="102">
        <f>TrAvia_ene!L$8</f>
        <v>88.316193153317201</v>
      </c>
      <c r="M45" s="102">
        <f>TrAvia_ene!M$8</f>
        <v>91.392374000422421</v>
      </c>
      <c r="N45" s="102">
        <f>TrAvia_ene!N$8</f>
        <v>86.84509032593057</v>
      </c>
      <c r="O45" s="102">
        <f>TrAvia_ene!O$8</f>
        <v>92.321263237156131</v>
      </c>
      <c r="P45" s="102">
        <f>TrAvia_ene!P$8</f>
        <v>99.494553109517554</v>
      </c>
      <c r="Q45" s="102">
        <f>TrAvia_ene!Q$8</f>
        <v>103.1447149537354</v>
      </c>
      <c r="R45" s="102">
        <f>TrAvia_ene!R$8</f>
        <v>111.62859944514778</v>
      </c>
      <c r="S45" s="102">
        <f>TrAvia_ene!S$8</f>
        <v>125.87614860333645</v>
      </c>
      <c r="T45" s="102">
        <f>TrAvia_ene!T$8</f>
        <v>142.12361465101486</v>
      </c>
      <c r="U45" s="102">
        <f>TrAvia_ene!U$8</f>
        <v>149.60982128488766</v>
      </c>
      <c r="V45" s="102">
        <f>TrAvia_ene!V$8</f>
        <v>49.984072093986754</v>
      </c>
      <c r="W45" s="102">
        <f>TrAvia_ene!W$8</f>
        <v>66.917683607430206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15.982759515412299</v>
      </c>
      <c r="C46" s="102">
        <f>TrAvia_ene!C$9</f>
        <v>11.999669105970113</v>
      </c>
      <c r="D46" s="102">
        <f>TrAvia_ene!D$9</f>
        <v>10.036727058558393</v>
      </c>
      <c r="E46" s="102">
        <f>TrAvia_ene!E$9</f>
        <v>8.0413118106930082</v>
      </c>
      <c r="F46" s="102">
        <f>TrAvia_ene!F$9</f>
        <v>9.8378504717899311</v>
      </c>
      <c r="G46" s="102">
        <f>TrAvia_ene!G$9</f>
        <v>8.0128993360964174</v>
      </c>
      <c r="H46" s="102">
        <f>TrAvia_ene!H$9</f>
        <v>8.2963245141328503</v>
      </c>
      <c r="I46" s="102">
        <f>TrAvia_ene!I$9</f>
        <v>8.3492662687708137</v>
      </c>
      <c r="J46" s="102">
        <f>TrAvia_ene!J$9</f>
        <v>9.1531292650512377</v>
      </c>
      <c r="K46" s="102">
        <f>TrAvia_ene!K$9</f>
        <v>9.0687587889756411</v>
      </c>
      <c r="L46" s="102">
        <f>TrAvia_ene!L$9</f>
        <v>10.115723009129196</v>
      </c>
      <c r="M46" s="102">
        <f>TrAvia_ene!M$9</f>
        <v>10.322582572809363</v>
      </c>
      <c r="N46" s="102">
        <f>TrAvia_ene!N$9</f>
        <v>9.9935347232020479</v>
      </c>
      <c r="O46" s="102">
        <f>TrAvia_ene!O$9</f>
        <v>10.369211491162575</v>
      </c>
      <c r="P46" s="102">
        <f>TrAvia_ene!P$9</f>
        <v>10.772838739902642</v>
      </c>
      <c r="Q46" s="102">
        <f>TrAvia_ene!Q$9</f>
        <v>11.150092442849513</v>
      </c>
      <c r="R46" s="102">
        <f>TrAvia_ene!R$9</f>
        <v>11.556429101096123</v>
      </c>
      <c r="S46" s="102">
        <f>TrAvia_ene!S$9</f>
        <v>12.451308981906209</v>
      </c>
      <c r="T46" s="102">
        <f>TrAvia_ene!T$9</f>
        <v>13.544867317583396</v>
      </c>
      <c r="U46" s="102">
        <f>TrAvia_ene!U$9</f>
        <v>14.419485729953092</v>
      </c>
      <c r="V46" s="102">
        <f>TrAvia_ene!V$9</f>
        <v>8.2663960274464792</v>
      </c>
      <c r="W46" s="102">
        <f>TrAvia_ene!W$9</f>
        <v>9.34804272044477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61.648628713454634</v>
      </c>
      <c r="C47" s="28">
        <f t="shared" si="37"/>
        <v>54.809372864774282</v>
      </c>
      <c r="D47" s="28">
        <f t="shared" si="37"/>
        <v>13.008930042091745</v>
      </c>
      <c r="E47" s="28">
        <f t="shared" si="37"/>
        <v>35.576589730498398</v>
      </c>
      <c r="F47" s="28">
        <f t="shared" si="37"/>
        <v>66.383151404944741</v>
      </c>
      <c r="G47" s="28">
        <f t="shared" si="37"/>
        <v>65.507201674337026</v>
      </c>
      <c r="H47" s="28">
        <f t="shared" si="37"/>
        <v>68.171959457368473</v>
      </c>
      <c r="I47" s="28">
        <f t="shared" si="37"/>
        <v>71.861386784789374</v>
      </c>
      <c r="J47" s="28">
        <f t="shared" si="37"/>
        <v>71.998902731387972</v>
      </c>
      <c r="K47" s="28">
        <f t="shared" si="37"/>
        <v>65.031059848471273</v>
      </c>
      <c r="L47" s="28">
        <f t="shared" si="37"/>
        <v>64.752708074487259</v>
      </c>
      <c r="M47" s="28">
        <f t="shared" si="37"/>
        <v>59.930879718078835</v>
      </c>
      <c r="N47" s="28">
        <f t="shared" si="37"/>
        <v>54.678612365077328</v>
      </c>
      <c r="O47" s="28">
        <f t="shared" si="37"/>
        <v>51.921382389009835</v>
      </c>
      <c r="P47" s="28">
        <f t="shared" si="37"/>
        <v>50.943460914676805</v>
      </c>
      <c r="Q47" s="28">
        <f t="shared" si="37"/>
        <v>51.908116608439379</v>
      </c>
      <c r="R47" s="28">
        <f t="shared" ref="R47:V47" si="38">R48+R51+R52+R56</f>
        <v>49.864308613517764</v>
      </c>
      <c r="S47" s="28">
        <f t="shared" si="38"/>
        <v>54.574471905479534</v>
      </c>
      <c r="T47" s="28">
        <f t="shared" si="38"/>
        <v>57.645150188553124</v>
      </c>
      <c r="U47" s="28">
        <f t="shared" si="38"/>
        <v>64.817113391192819</v>
      </c>
      <c r="V47" s="28">
        <f t="shared" si="38"/>
        <v>62.955613813920237</v>
      </c>
      <c r="W47" s="28">
        <f t="shared" ref="W47" si="39">W48+W51+W52+W56</f>
        <v>66.106151511488093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58.94648765368968</v>
      </c>
      <c r="C48" s="137">
        <f t="shared" si="40"/>
        <v>52.877873263430395</v>
      </c>
      <c r="D48" s="137">
        <f t="shared" si="40"/>
        <v>11.112585905460886</v>
      </c>
      <c r="E48" s="137">
        <f t="shared" si="40"/>
        <v>33.16333495954872</v>
      </c>
      <c r="F48" s="137">
        <f t="shared" si="40"/>
        <v>63.654795066784537</v>
      </c>
      <c r="G48" s="137">
        <f t="shared" si="40"/>
        <v>55.111492066570278</v>
      </c>
      <c r="H48" s="137">
        <f t="shared" si="40"/>
        <v>56.112197119562268</v>
      </c>
      <c r="I48" s="137">
        <f t="shared" si="40"/>
        <v>58.641961077345726</v>
      </c>
      <c r="J48" s="137">
        <f t="shared" si="40"/>
        <v>58.594836986291789</v>
      </c>
      <c r="K48" s="137">
        <f t="shared" si="40"/>
        <v>52.388389936256416</v>
      </c>
      <c r="L48" s="137">
        <f t="shared" si="40"/>
        <v>44.263300075282793</v>
      </c>
      <c r="M48" s="137">
        <f t="shared" si="40"/>
        <v>40.520040934474892</v>
      </c>
      <c r="N48" s="137">
        <f t="shared" si="40"/>
        <v>37.639163467520376</v>
      </c>
      <c r="O48" s="137">
        <f t="shared" si="40"/>
        <v>38.534986953957976</v>
      </c>
      <c r="P48" s="137">
        <f t="shared" si="40"/>
        <v>37.955134793331723</v>
      </c>
      <c r="Q48" s="137">
        <f t="shared" si="40"/>
        <v>37.814789869168806</v>
      </c>
      <c r="R48" s="137">
        <f t="shared" ref="R48:V48" si="41">R49+R50</f>
        <v>37.480377572487328</v>
      </c>
      <c r="S48" s="137">
        <f t="shared" si="41"/>
        <v>40.14947893182277</v>
      </c>
      <c r="T48" s="137">
        <f t="shared" si="41"/>
        <v>45.723434392748999</v>
      </c>
      <c r="U48" s="137">
        <f t="shared" si="41"/>
        <v>49.130771222886629</v>
      </c>
      <c r="V48" s="137">
        <f t="shared" si="41"/>
        <v>43.998945219962252</v>
      </c>
      <c r="W48" s="137">
        <f t="shared" ref="W48" si="42">W49+W50</f>
        <v>43.518395466190263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16.196854573774907</v>
      </c>
      <c r="C49" s="102">
        <f>TrRoad_ene!C$43</f>
        <v>15.233442377792095</v>
      </c>
      <c r="D49" s="102">
        <f>TrRoad_ene!D$43</f>
        <v>6.4637831396212544</v>
      </c>
      <c r="E49" s="102">
        <f>TrRoad_ene!E$43</f>
        <v>12.034416912788798</v>
      </c>
      <c r="F49" s="102">
        <f>TrRoad_ene!F$43</f>
        <v>15.993234046598166</v>
      </c>
      <c r="G49" s="102">
        <f>TrRoad_ene!G$43</f>
        <v>21.802213656984833</v>
      </c>
      <c r="H49" s="102">
        <f>TrRoad_ene!H$43</f>
        <v>23.535637135176806</v>
      </c>
      <c r="I49" s="102">
        <f>TrRoad_ene!I$43</f>
        <v>23.473675908319748</v>
      </c>
      <c r="J49" s="102">
        <f>TrRoad_ene!J$43</f>
        <v>23.364165887234321</v>
      </c>
      <c r="K49" s="102">
        <f>TrRoad_ene!K$43</f>
        <v>21.177564897014786</v>
      </c>
      <c r="L49" s="102">
        <f>TrRoad_ene!L$43</f>
        <v>19.680118509831978</v>
      </c>
      <c r="M49" s="102">
        <f>TrRoad_ene!M$43</f>
        <v>18.880136191151852</v>
      </c>
      <c r="N49" s="102">
        <f>TrRoad_ene!N$43</f>
        <v>18.14136734193568</v>
      </c>
      <c r="O49" s="102">
        <f>TrRoad_ene!O$43</f>
        <v>18.5360872049759</v>
      </c>
      <c r="P49" s="102">
        <f>TrRoad_ene!P$43</f>
        <v>19.082798968920212</v>
      </c>
      <c r="Q49" s="102">
        <f>TrRoad_ene!Q$43</f>
        <v>19.653495659745147</v>
      </c>
      <c r="R49" s="102">
        <f>TrRoad_ene!R$43</f>
        <v>18.990861896933012</v>
      </c>
      <c r="S49" s="102">
        <f>TrRoad_ene!S$43</f>
        <v>20.655401111917872</v>
      </c>
      <c r="T49" s="102">
        <f>TrRoad_ene!T$43</f>
        <v>23.87021780407245</v>
      </c>
      <c r="U49" s="102">
        <f>TrRoad_ene!U$43</f>
        <v>25.583717115941411</v>
      </c>
      <c r="V49" s="102">
        <f>TrRoad_ene!V$43</f>
        <v>22.485771960537679</v>
      </c>
      <c r="W49" s="102">
        <f>TrRoad_ene!W$43</f>
        <v>21.758595001588034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42.749633079914773</v>
      </c>
      <c r="C50" s="102">
        <f>TrRoad_ene!C$52</f>
        <v>37.6444308856383</v>
      </c>
      <c r="D50" s="102">
        <f>TrRoad_ene!D$52</f>
        <v>4.6488027658396316</v>
      </c>
      <c r="E50" s="102">
        <f>TrRoad_ene!E$52</f>
        <v>21.128918046759921</v>
      </c>
      <c r="F50" s="102">
        <f>TrRoad_ene!F$52</f>
        <v>47.661561020186369</v>
      </c>
      <c r="G50" s="102">
        <f>TrRoad_ene!G$52</f>
        <v>33.309278409585446</v>
      </c>
      <c r="H50" s="102">
        <f>TrRoad_ene!H$52</f>
        <v>32.576559984385462</v>
      </c>
      <c r="I50" s="102">
        <f>TrRoad_ene!I$52</f>
        <v>35.168285169025978</v>
      </c>
      <c r="J50" s="102">
        <f>TrRoad_ene!J$52</f>
        <v>35.230671099057467</v>
      </c>
      <c r="K50" s="102">
        <f>TrRoad_ene!K$52</f>
        <v>31.210825039241634</v>
      </c>
      <c r="L50" s="102">
        <f>TrRoad_ene!L$52</f>
        <v>24.583181565450815</v>
      </c>
      <c r="M50" s="102">
        <f>TrRoad_ene!M$52</f>
        <v>21.63990474332304</v>
      </c>
      <c r="N50" s="102">
        <f>TrRoad_ene!N$52</f>
        <v>19.497796125584699</v>
      </c>
      <c r="O50" s="102">
        <f>TrRoad_ene!O$52</f>
        <v>19.998899748982076</v>
      </c>
      <c r="P50" s="102">
        <f>TrRoad_ene!P$52</f>
        <v>18.872335824411511</v>
      </c>
      <c r="Q50" s="102">
        <f>TrRoad_ene!Q$52</f>
        <v>18.161294209423655</v>
      </c>
      <c r="R50" s="102">
        <f>TrRoad_ene!R$52</f>
        <v>18.489515675554319</v>
      </c>
      <c r="S50" s="102">
        <f>TrRoad_ene!S$52</f>
        <v>19.494077819904902</v>
      </c>
      <c r="T50" s="102">
        <f>TrRoad_ene!T$52</f>
        <v>21.853216588676549</v>
      </c>
      <c r="U50" s="102">
        <f>TrRoad_ene!U$52</f>
        <v>23.547054106945218</v>
      </c>
      <c r="V50" s="102">
        <f>TrRoad_ene!V$52</f>
        <v>21.513173259424569</v>
      </c>
      <c r="W50" s="102">
        <f>TrRoad_ene!W$52</f>
        <v>21.759800464602229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0</v>
      </c>
      <c r="C51" s="110">
        <f>TrRail_ene!C$17</f>
        <v>0</v>
      </c>
      <c r="D51" s="110">
        <f>TrRail_ene!D$17</f>
        <v>0</v>
      </c>
      <c r="E51" s="110">
        <f>TrRail_ene!E$17</f>
        <v>0</v>
      </c>
      <c r="F51" s="110">
        <f>TrRail_ene!F$17</f>
        <v>0</v>
      </c>
      <c r="G51" s="110">
        <f>TrRail_ene!G$17</f>
        <v>0</v>
      </c>
      <c r="H51" s="110">
        <f>TrRail_ene!H$17</f>
        <v>0</v>
      </c>
      <c r="I51" s="110">
        <f>TrRail_ene!I$17</f>
        <v>0</v>
      </c>
      <c r="J51" s="110">
        <f>TrRail_ene!J$17</f>
        <v>0</v>
      </c>
      <c r="K51" s="110">
        <f>TrRail_ene!K$17</f>
        <v>0</v>
      </c>
      <c r="L51" s="110">
        <f>TrRail_ene!L$17</f>
        <v>0</v>
      </c>
      <c r="M51" s="110">
        <f>TrRail_ene!M$17</f>
        <v>0</v>
      </c>
      <c r="N51" s="110">
        <f>TrRail_ene!N$17</f>
        <v>0</v>
      </c>
      <c r="O51" s="110">
        <f>TrRail_ene!O$17</f>
        <v>0</v>
      </c>
      <c r="P51" s="110">
        <f>TrRail_ene!P$17</f>
        <v>0</v>
      </c>
      <c r="Q51" s="110">
        <f>TrRail_ene!Q$17</f>
        <v>0</v>
      </c>
      <c r="R51" s="110">
        <f>TrRail_ene!R$17</f>
        <v>0</v>
      </c>
      <c r="S51" s="110">
        <f>TrRail_ene!S$17</f>
        <v>0</v>
      </c>
      <c r="T51" s="110">
        <f>TrRail_ene!T$17</f>
        <v>0</v>
      </c>
      <c r="U51" s="110">
        <f>TrRail_ene!U$17</f>
        <v>0</v>
      </c>
      <c r="V51" s="110">
        <f>TrRail_ene!V$17</f>
        <v>0</v>
      </c>
      <c r="W51" s="110">
        <f>TrRail_ene!W$17</f>
        <v>0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2.7021410597649558</v>
      </c>
      <c r="C52" s="110">
        <f t="shared" si="43"/>
        <v>1.9314996013438877</v>
      </c>
      <c r="D52" s="110">
        <f t="shared" si="43"/>
        <v>1.8963441366308593</v>
      </c>
      <c r="E52" s="110">
        <f t="shared" si="43"/>
        <v>2.4132547709496772</v>
      </c>
      <c r="F52" s="110">
        <f t="shared" si="43"/>
        <v>2.7283563381602041</v>
      </c>
      <c r="G52" s="110">
        <f t="shared" si="43"/>
        <v>2.394419839924959</v>
      </c>
      <c r="H52" s="110">
        <f t="shared" si="43"/>
        <v>3.0313874452868657</v>
      </c>
      <c r="I52" s="110">
        <f t="shared" si="43"/>
        <v>3.1640516747695226</v>
      </c>
      <c r="J52" s="110">
        <f t="shared" si="43"/>
        <v>3.4203168199027245</v>
      </c>
      <c r="K52" s="110">
        <f t="shared" si="43"/>
        <v>3.4709588202114205</v>
      </c>
      <c r="L52" s="110">
        <f t="shared" si="43"/>
        <v>3.2447820318785832</v>
      </c>
      <c r="M52" s="110">
        <f t="shared" si="43"/>
        <v>3.0428250260802994</v>
      </c>
      <c r="N52" s="110">
        <f t="shared" si="43"/>
        <v>2.7839888803600554</v>
      </c>
      <c r="O52" s="110">
        <f t="shared" si="43"/>
        <v>2.0673068709933924</v>
      </c>
      <c r="P52" s="110">
        <f t="shared" si="43"/>
        <v>1.6796416845437143</v>
      </c>
      <c r="Q52" s="110">
        <f t="shared" si="43"/>
        <v>1.7603946670435757</v>
      </c>
      <c r="R52" s="110">
        <f t="shared" si="43"/>
        <v>1.0865105767140222</v>
      </c>
      <c r="S52" s="110">
        <f t="shared" si="43"/>
        <v>1.0568932316103345</v>
      </c>
      <c r="T52" s="110">
        <f t="shared" si="43"/>
        <v>1.1306581861738543</v>
      </c>
      <c r="U52" s="110">
        <f t="shared" si="43"/>
        <v>0.79012548730876753</v>
      </c>
      <c r="V52" s="110">
        <f t="shared" si="43"/>
        <v>0.95228338329590478</v>
      </c>
      <c r="W52" s="110">
        <f t="shared" ref="W52" si="44">W53+W54+W55</f>
        <v>0.93126421382750124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2.5246289413752123</v>
      </c>
      <c r="C54" s="102">
        <f>TrAvia_ene!C$12</f>
        <v>1.7894870968663967</v>
      </c>
      <c r="D54" s="102">
        <f>TrAvia_ene!D$12</f>
        <v>1.7462173026094874</v>
      </c>
      <c r="E54" s="102">
        <f>TrAvia_ene!E$12</f>
        <v>2.2631230910988336</v>
      </c>
      <c r="F54" s="102">
        <f>TrAvia_ene!F$12</f>
        <v>2.4936804904511298</v>
      </c>
      <c r="G54" s="102">
        <f>TrAvia_ene!G$12</f>
        <v>2.1111263714585817</v>
      </c>
      <c r="H54" s="102">
        <f>TrAvia_ene!H$12</f>
        <v>2.6668330413633399</v>
      </c>
      <c r="I54" s="102">
        <f>TrAvia_ene!I$12</f>
        <v>2.678493629466153</v>
      </c>
      <c r="J54" s="102">
        <f>TrAvia_ene!J$12</f>
        <v>2.6671349960438686</v>
      </c>
      <c r="K54" s="102">
        <f>TrAvia_ene!K$12</f>
        <v>2.4655192324414772</v>
      </c>
      <c r="L54" s="102">
        <f>TrAvia_ene!L$12</f>
        <v>2.5848487722847588</v>
      </c>
      <c r="M54" s="102">
        <f>TrAvia_ene!M$12</f>
        <v>2.6018330280657374</v>
      </c>
      <c r="N54" s="102">
        <f>TrAvia_ene!N$12</f>
        <v>2.3371875832589493</v>
      </c>
      <c r="O54" s="102">
        <f>TrAvia_ene!O$12</f>
        <v>1.7427188806040601</v>
      </c>
      <c r="P54" s="102">
        <f>TrAvia_ene!P$12</f>
        <v>1.497640328386479</v>
      </c>
      <c r="Q54" s="102">
        <f>TrAvia_ene!Q$12</f>
        <v>1.647731855484891</v>
      </c>
      <c r="R54" s="102">
        <f>TrAvia_ene!R$12</f>
        <v>0.95440684052696989</v>
      </c>
      <c r="S54" s="102">
        <f>TrAvia_ene!S$12</f>
        <v>0.95143624038365915</v>
      </c>
      <c r="T54" s="102">
        <f>TrAvia_ene!T$12</f>
        <v>1.042895916488408</v>
      </c>
      <c r="U54" s="102">
        <f>TrAvia_ene!U$12</f>
        <v>0.74894484686072427</v>
      </c>
      <c r="V54" s="102">
        <f>TrAvia_ene!V$12</f>
        <v>0.78743561964886988</v>
      </c>
      <c r="W54" s="102">
        <f>TrAvia_ene!W$12</f>
        <v>0.78115475633339171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0.17751211838974357</v>
      </c>
      <c r="C55" s="102">
        <f>TrAvia_ene!C$13</f>
        <v>0.142012504477491</v>
      </c>
      <c r="D55" s="102">
        <f>TrAvia_ene!D$13</f>
        <v>0.150126834021372</v>
      </c>
      <c r="E55" s="102">
        <f>TrAvia_ene!E$13</f>
        <v>0.15013167985084344</v>
      </c>
      <c r="F55" s="102">
        <f>TrAvia_ene!F$13</f>
        <v>0.23467584770907421</v>
      </c>
      <c r="G55" s="102">
        <f>TrAvia_ene!G$13</f>
        <v>0.28329346846637743</v>
      </c>
      <c r="H55" s="102">
        <f>TrAvia_ene!H$13</f>
        <v>0.364554403923526</v>
      </c>
      <c r="I55" s="102">
        <f>TrAvia_ene!I$13</f>
        <v>0.48555804530336977</v>
      </c>
      <c r="J55" s="102">
        <f>TrAvia_ene!J$13</f>
        <v>0.75318182385885601</v>
      </c>
      <c r="K55" s="102">
        <f>TrAvia_ene!K$13</f>
        <v>1.0054395877699434</v>
      </c>
      <c r="L55" s="102">
        <f>TrAvia_ene!L$13</f>
        <v>0.65993325959382432</v>
      </c>
      <c r="M55" s="102">
        <f>TrAvia_ene!M$13</f>
        <v>0.44099199801456207</v>
      </c>
      <c r="N55" s="102">
        <f>TrAvia_ene!N$13</f>
        <v>0.44680129710110622</v>
      </c>
      <c r="O55" s="102">
        <f>TrAvia_ene!O$13</f>
        <v>0.32458799038933239</v>
      </c>
      <c r="P55" s="102">
        <f>TrAvia_ene!P$13</f>
        <v>0.18200135615723545</v>
      </c>
      <c r="Q55" s="102">
        <f>TrAvia_ene!Q$13</f>
        <v>0.11266281155868479</v>
      </c>
      <c r="R55" s="102">
        <f>TrAvia_ene!R$13</f>
        <v>0.13210373618705223</v>
      </c>
      <c r="S55" s="102">
        <f>TrAvia_ene!S$13</f>
        <v>0.10545699122667532</v>
      </c>
      <c r="T55" s="102">
        <f>TrAvia_ene!T$13</f>
        <v>8.776226968544637E-2</v>
      </c>
      <c r="U55" s="102">
        <f>TrAvia_ene!U$13</f>
        <v>4.1180640448043218E-2</v>
      </c>
      <c r="V55" s="102">
        <f>TrAvia_ene!V$13</f>
        <v>0.16484776364703485</v>
      </c>
      <c r="W55" s="102">
        <f>TrAvia_ene!W$13</f>
        <v>0.15010945749410953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0</v>
      </c>
      <c r="C56" s="110">
        <f t="shared" si="45"/>
        <v>0</v>
      </c>
      <c r="D56" s="110">
        <f t="shared" si="45"/>
        <v>0</v>
      </c>
      <c r="E56" s="110">
        <f t="shared" si="45"/>
        <v>0</v>
      </c>
      <c r="F56" s="110">
        <f t="shared" si="45"/>
        <v>0</v>
      </c>
      <c r="G56" s="110">
        <f t="shared" si="45"/>
        <v>8.0012897678417882</v>
      </c>
      <c r="H56" s="110">
        <f t="shared" si="45"/>
        <v>9.028374892519345</v>
      </c>
      <c r="I56" s="110">
        <f t="shared" si="45"/>
        <v>10.055374032674118</v>
      </c>
      <c r="J56" s="110">
        <f t="shared" si="45"/>
        <v>9.9837489251934652</v>
      </c>
      <c r="K56" s="110">
        <f t="shared" si="45"/>
        <v>9.1717110920034379</v>
      </c>
      <c r="L56" s="110">
        <f t="shared" si="45"/>
        <v>17.244625967325888</v>
      </c>
      <c r="M56" s="110">
        <f t="shared" si="45"/>
        <v>16.368013757523642</v>
      </c>
      <c r="N56" s="110">
        <f t="shared" si="45"/>
        <v>14.255460017196899</v>
      </c>
      <c r="O56" s="110">
        <f t="shared" si="45"/>
        <v>11.319088564058466</v>
      </c>
      <c r="P56" s="110">
        <f t="shared" si="45"/>
        <v>11.308684436801373</v>
      </c>
      <c r="Q56" s="110">
        <f t="shared" si="45"/>
        <v>12.332932072226994</v>
      </c>
      <c r="R56" s="110">
        <f t="shared" ref="R56:V56" si="46">R57+R58</f>
        <v>11.297420464316421</v>
      </c>
      <c r="S56" s="110">
        <f t="shared" si="46"/>
        <v>13.368099742046432</v>
      </c>
      <c r="T56" s="110">
        <f t="shared" si="46"/>
        <v>10.79105760963027</v>
      </c>
      <c r="U56" s="110">
        <f t="shared" si="46"/>
        <v>14.896216680997419</v>
      </c>
      <c r="V56" s="110">
        <f t="shared" si="46"/>
        <v>18.004385210662079</v>
      </c>
      <c r="W56" s="110">
        <f t="shared" ref="W56" si="47">W57+W58</f>
        <v>21.656491831470333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8.0012897678417882</v>
      </c>
      <c r="H57" s="102">
        <f>TrNavi_ene!H4</f>
        <v>9.028374892519345</v>
      </c>
      <c r="I57" s="102">
        <f>TrNavi_ene!I4</f>
        <v>10.055374032674118</v>
      </c>
      <c r="J57" s="102">
        <f>TrNavi_ene!J4</f>
        <v>9.9837489251934652</v>
      </c>
      <c r="K57" s="102">
        <f>TrNavi_ene!K4</f>
        <v>9.1717110920034379</v>
      </c>
      <c r="L57" s="102">
        <f>TrNavi_ene!L4</f>
        <v>17.244625967325888</v>
      </c>
      <c r="M57" s="102">
        <f>TrNavi_ene!M4</f>
        <v>16.368013757523642</v>
      </c>
      <c r="N57" s="102">
        <f>TrNavi_ene!N4</f>
        <v>14.255460017196899</v>
      </c>
      <c r="O57" s="102">
        <f>TrNavi_ene!O4</f>
        <v>11.319088564058466</v>
      </c>
      <c r="P57" s="102">
        <f>TrNavi_ene!P4</f>
        <v>11.308684436801373</v>
      </c>
      <c r="Q57" s="102">
        <f>TrNavi_ene!Q4</f>
        <v>12.332932072226994</v>
      </c>
      <c r="R57" s="102">
        <f>TrNavi_ene!R4</f>
        <v>11.297420464316421</v>
      </c>
      <c r="S57" s="102">
        <f>TrNavi_ene!S4</f>
        <v>13.368099742046432</v>
      </c>
      <c r="T57" s="102">
        <f>TrNavi_ene!T4</f>
        <v>10.79105760963027</v>
      </c>
      <c r="U57" s="102">
        <f>TrNavi_ene!U4</f>
        <v>14.896216680997419</v>
      </c>
      <c r="V57" s="102">
        <f>TrNavi_ene!V4</f>
        <v>18.004385210662079</v>
      </c>
      <c r="W57" s="102">
        <f>TrNavi_ene!W4</f>
        <v>21.656491831470333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658.31659501289766</v>
      </c>
      <c r="C59" s="28">
        <f t="shared" ref="C59:W59" si="48">C60+C61</f>
        <v>724.99286328460869</v>
      </c>
      <c r="D59" s="28">
        <f t="shared" si="48"/>
        <v>743.07351676698215</v>
      </c>
      <c r="E59" s="28">
        <f t="shared" si="48"/>
        <v>915.98357695614777</v>
      </c>
      <c r="F59" s="28">
        <f t="shared" si="48"/>
        <v>980.94006878761809</v>
      </c>
      <c r="G59" s="28">
        <f t="shared" si="48"/>
        <v>658.49819432502136</v>
      </c>
      <c r="H59" s="28">
        <f t="shared" si="48"/>
        <v>752.57953568357698</v>
      </c>
      <c r="I59" s="28">
        <f t="shared" si="48"/>
        <v>842.17059329320716</v>
      </c>
      <c r="J59" s="28">
        <f t="shared" si="48"/>
        <v>912.34350816852975</v>
      </c>
      <c r="K59" s="28">
        <f t="shared" si="48"/>
        <v>1132.7266552020637</v>
      </c>
      <c r="L59" s="28">
        <f t="shared" si="48"/>
        <v>1449.4362854686158</v>
      </c>
      <c r="M59" s="28">
        <f t="shared" si="48"/>
        <v>1334.3365434221841</v>
      </c>
      <c r="N59" s="28">
        <f t="shared" si="48"/>
        <v>1185.2249355116078</v>
      </c>
      <c r="O59" s="28">
        <f t="shared" si="48"/>
        <v>1187.0640584694759</v>
      </c>
      <c r="P59" s="28">
        <f t="shared" si="48"/>
        <v>1223.4498710232153</v>
      </c>
      <c r="Q59" s="28">
        <f t="shared" si="48"/>
        <v>1536.6628546861562</v>
      </c>
      <c r="R59" s="28">
        <f t="shared" si="48"/>
        <v>1751.8390369733443</v>
      </c>
      <c r="S59" s="28">
        <f t="shared" si="48"/>
        <v>2134.42287188306</v>
      </c>
      <c r="T59" s="28">
        <f t="shared" si="48"/>
        <v>2207.1673258813407</v>
      </c>
      <c r="U59" s="28">
        <f t="shared" si="48"/>
        <v>2262.3583834909714</v>
      </c>
      <c r="V59" s="28">
        <f t="shared" si="48"/>
        <v>2185.7777300085986</v>
      </c>
      <c r="W59" s="28">
        <f t="shared" si="48"/>
        <v>1939.3180567497845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332.95105454547587</v>
      </c>
      <c r="C60" s="102">
        <f>MBunk_ene!C$4</f>
        <v>366.69081591256014</v>
      </c>
      <c r="D60" s="102">
        <f>MBunk_ene!D$4</f>
        <v>374.49407715368613</v>
      </c>
      <c r="E60" s="102">
        <f>MBunk_ene!E$4</f>
        <v>461.76206091261804</v>
      </c>
      <c r="F60" s="102">
        <f>MBunk_ene!F$4</f>
        <v>420.0653988939431</v>
      </c>
      <c r="G60" s="102">
        <f>MBunk_ene!G$4</f>
        <v>333.76623161349744</v>
      </c>
      <c r="H60" s="102">
        <f>MBunk_ene!H$4</f>
        <v>344.6908714815691</v>
      </c>
      <c r="I60" s="102">
        <f>MBunk_ene!I$4</f>
        <v>352.13154798504502</v>
      </c>
      <c r="J60" s="102">
        <f>MBunk_ene!J$4</f>
        <v>480.4327191692305</v>
      </c>
      <c r="K60" s="102">
        <f>MBunk_ene!K$4</f>
        <v>589.25531154160024</v>
      </c>
      <c r="L60" s="102">
        <f>MBunk_ene!L$4</f>
        <v>753.47188285675702</v>
      </c>
      <c r="M60" s="102">
        <f>MBunk_ene!M$4</f>
        <v>672.80939078735605</v>
      </c>
      <c r="N60" s="102">
        <f>MBunk_ene!N$4</f>
        <v>662.79649530795803</v>
      </c>
      <c r="O60" s="102">
        <f>MBunk_ene!O$4</f>
        <v>664.75125128027014</v>
      </c>
      <c r="P60" s="102">
        <f>MBunk_ene!P$4</f>
        <v>626.96220376584017</v>
      </c>
      <c r="Q60" s="102">
        <f>MBunk_ene!Q$4</f>
        <v>869.05563984272362</v>
      </c>
      <c r="R60" s="102">
        <f>MBunk_ene!R$4</f>
        <v>920.94969404699498</v>
      </c>
      <c r="S60" s="102">
        <f>MBunk_ene!S$4</f>
        <v>1095.5167291771781</v>
      </c>
      <c r="T60" s="102">
        <f>MBunk_ene!T$4</f>
        <v>1184.8243693113754</v>
      </c>
      <c r="U60" s="102">
        <f>MBunk_ene!U$4</f>
        <v>1083.4175001773933</v>
      </c>
      <c r="V60" s="102">
        <f>MBunk_ene!V$4</f>
        <v>1189.8571105990163</v>
      </c>
      <c r="W60" s="102">
        <f>MBunk_ene!W$4</f>
        <v>1004.1392578213172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325.36554046742179</v>
      </c>
      <c r="C61" s="86">
        <f>MBunk_ene!C$10</f>
        <v>358.30204737204855</v>
      </c>
      <c r="D61" s="86">
        <f>MBunk_ene!D$10</f>
        <v>368.57943961329602</v>
      </c>
      <c r="E61" s="86">
        <f>MBunk_ene!E$10</f>
        <v>454.22151604352979</v>
      </c>
      <c r="F61" s="86">
        <f>MBunk_ene!F$10</f>
        <v>560.87466989367499</v>
      </c>
      <c r="G61" s="86">
        <f>MBunk_ene!G$10</f>
        <v>324.73196271152398</v>
      </c>
      <c r="H61" s="86">
        <f>MBunk_ene!H$10</f>
        <v>407.88866420200793</v>
      </c>
      <c r="I61" s="86">
        <f>MBunk_ene!I$10</f>
        <v>490.03904530816214</v>
      </c>
      <c r="J61" s="86">
        <f>MBunk_ene!J$10</f>
        <v>431.9107889992992</v>
      </c>
      <c r="K61" s="86">
        <f>MBunk_ene!K$10</f>
        <v>543.4713436604635</v>
      </c>
      <c r="L61" s="86">
        <f>MBunk_ene!L$10</f>
        <v>695.96440261185876</v>
      </c>
      <c r="M61" s="86">
        <f>MBunk_ene!M$10</f>
        <v>661.5271526348281</v>
      </c>
      <c r="N61" s="86">
        <f>MBunk_ene!N$10</f>
        <v>522.42844020364976</v>
      </c>
      <c r="O61" s="86">
        <f>MBunk_ene!O$10</f>
        <v>522.31280718920573</v>
      </c>
      <c r="P61" s="86">
        <f>MBunk_ene!P$10</f>
        <v>596.48766725737516</v>
      </c>
      <c r="Q61" s="86">
        <f>MBunk_ene!Q$10</f>
        <v>667.60721484343242</v>
      </c>
      <c r="R61" s="86">
        <f>MBunk_ene!R$10</f>
        <v>830.88934292634917</v>
      </c>
      <c r="S61" s="86">
        <f>MBunk_ene!S$10</f>
        <v>1038.9061427058821</v>
      </c>
      <c r="T61" s="86">
        <f>MBunk_ene!T$10</f>
        <v>1022.3429565699653</v>
      </c>
      <c r="U61" s="86">
        <f>MBunk_ene!U$10</f>
        <v>1178.9408833135783</v>
      </c>
      <c r="V61" s="86">
        <f>MBunk_ene!V$10</f>
        <v>995.92061940958229</v>
      </c>
      <c r="W61" s="86">
        <f>MBunk_ene!W$10</f>
        <v>935.17879892846736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649.67566404461763</v>
      </c>
      <c r="C64" s="28">
        <f t="shared" si="49"/>
        <v>544.32413613240101</v>
      </c>
      <c r="D64" s="28">
        <f t="shared" si="49"/>
        <v>523.43362506001233</v>
      </c>
      <c r="E64" s="28">
        <f t="shared" si="49"/>
        <v>501.99037657808231</v>
      </c>
      <c r="F64" s="28">
        <f t="shared" si="49"/>
        <v>557.17784595377998</v>
      </c>
      <c r="G64" s="28">
        <f t="shared" si="49"/>
        <v>558.73808770856635</v>
      </c>
      <c r="H64" s="28">
        <f t="shared" si="49"/>
        <v>569.55212061844361</v>
      </c>
      <c r="I64" s="28">
        <f t="shared" si="49"/>
        <v>585.79818784851818</v>
      </c>
      <c r="J64" s="28">
        <f t="shared" si="49"/>
        <v>642.12291534521046</v>
      </c>
      <c r="K64" s="28">
        <f t="shared" si="49"/>
        <v>578.23026367588079</v>
      </c>
      <c r="L64" s="28">
        <f t="shared" si="49"/>
        <v>664.40291209843122</v>
      </c>
      <c r="M64" s="28">
        <f t="shared" si="49"/>
        <v>677.60387619166909</v>
      </c>
      <c r="N64" s="28">
        <f t="shared" si="49"/>
        <v>670.06104093066142</v>
      </c>
      <c r="O64" s="28">
        <f t="shared" si="49"/>
        <v>697.04629575161744</v>
      </c>
      <c r="P64" s="28">
        <f t="shared" si="49"/>
        <v>733.28655485166973</v>
      </c>
      <c r="Q64" s="28">
        <f t="shared" si="49"/>
        <v>775.90101377301505</v>
      </c>
      <c r="R64" s="28">
        <f t="shared" ref="R64:V64" si="50">R65+R69+R73</f>
        <v>806.45499277613794</v>
      </c>
      <c r="S64" s="28">
        <f t="shared" si="50"/>
        <v>860.81784602213668</v>
      </c>
      <c r="T64" s="28">
        <f t="shared" si="50"/>
        <v>960.5267088132191</v>
      </c>
      <c r="U64" s="28">
        <f t="shared" si="50"/>
        <v>1003.8343006769217</v>
      </c>
      <c r="V64" s="28">
        <f t="shared" si="50"/>
        <v>575.82601686748535</v>
      </c>
      <c r="W64" s="28">
        <f t="shared" ref="W64" si="51">W65+W69+W73</f>
        <v>654.68193225618825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277.38302274005241</v>
      </c>
      <c r="C65" s="137">
        <f t="shared" si="52"/>
        <v>264.83541022095665</v>
      </c>
      <c r="D65" s="137">
        <f t="shared" si="52"/>
        <v>253.28347726087841</v>
      </c>
      <c r="E65" s="137">
        <f t="shared" si="52"/>
        <v>265.104189617016</v>
      </c>
      <c r="F65" s="137">
        <f t="shared" si="52"/>
        <v>251.55030791040195</v>
      </c>
      <c r="G65" s="137">
        <f t="shared" si="52"/>
        <v>300.0598893013551</v>
      </c>
      <c r="H65" s="137">
        <f t="shared" si="52"/>
        <v>309.69954785375512</v>
      </c>
      <c r="I65" s="137">
        <f t="shared" si="52"/>
        <v>313.97837675435227</v>
      </c>
      <c r="J65" s="137">
        <f t="shared" si="52"/>
        <v>361.79926901507838</v>
      </c>
      <c r="K65" s="137">
        <f t="shared" si="52"/>
        <v>316.60935170518439</v>
      </c>
      <c r="L65" s="137">
        <f t="shared" si="52"/>
        <v>368.09240930099003</v>
      </c>
      <c r="M65" s="137">
        <f t="shared" si="52"/>
        <v>371.41040664166889</v>
      </c>
      <c r="N65" s="137">
        <f t="shared" si="52"/>
        <v>378.54683702990695</v>
      </c>
      <c r="O65" s="137">
        <f t="shared" si="52"/>
        <v>387.91621492459211</v>
      </c>
      <c r="P65" s="137">
        <f t="shared" si="52"/>
        <v>401.3476107073551</v>
      </c>
      <c r="Q65" s="137">
        <f t="shared" si="52"/>
        <v>431.83830355484736</v>
      </c>
      <c r="R65" s="137">
        <f t="shared" ref="R65:V65" si="53">R66+R67+R68</f>
        <v>435.62996804111725</v>
      </c>
      <c r="S65" s="137">
        <f t="shared" si="53"/>
        <v>444.40942784067084</v>
      </c>
      <c r="T65" s="137">
        <f t="shared" si="53"/>
        <v>491.91752511085986</v>
      </c>
      <c r="U65" s="137">
        <f t="shared" si="53"/>
        <v>510.05702965971875</v>
      </c>
      <c r="V65" s="137">
        <f t="shared" si="53"/>
        <v>400.47483707478352</v>
      </c>
      <c r="W65" s="137">
        <f t="shared" ref="W65" si="54">W66+W67+W68</f>
        <v>425.10115682365529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3.3190101535457859</v>
      </c>
      <c r="C66" s="102">
        <f>TrRoad_emi!C$19</f>
        <v>3.4200288686008915</v>
      </c>
      <c r="D66" s="102">
        <f>TrRoad_emi!D$19</f>
        <v>3.537624086063198</v>
      </c>
      <c r="E66" s="102">
        <f>TrRoad_emi!E$19</f>
        <v>3.6149335592639069</v>
      </c>
      <c r="F66" s="102">
        <f>TrRoad_emi!F$19</f>
        <v>3.3683878188143868</v>
      </c>
      <c r="G66" s="102">
        <f>TrRoad_emi!G$19</f>
        <v>3.1459049960523049</v>
      </c>
      <c r="H66" s="102">
        <f>TrRoad_emi!H$19</f>
        <v>3.2043765516003591</v>
      </c>
      <c r="I66" s="102">
        <f>TrRoad_emi!I$19</f>
        <v>3.3140201627363992</v>
      </c>
      <c r="J66" s="102">
        <f>TrRoad_emi!J$19</f>
        <v>3.6772624471545488</v>
      </c>
      <c r="K66" s="102">
        <f>TrRoad_emi!K$19</f>
        <v>3.6167390994958306</v>
      </c>
      <c r="L66" s="102">
        <f>TrRoad_emi!L$19</f>
        <v>3.6363875578563083</v>
      </c>
      <c r="M66" s="102">
        <f>TrRoad_emi!M$19</f>
        <v>3.7856605736032534</v>
      </c>
      <c r="N66" s="102">
        <f>TrRoad_emi!N$19</f>
        <v>3.7697716471220759</v>
      </c>
      <c r="O66" s="102">
        <f>TrRoad_emi!O$19</f>
        <v>3.9679698766528064</v>
      </c>
      <c r="P66" s="102">
        <f>TrRoad_emi!P$19</f>
        <v>4.2434687991842344</v>
      </c>
      <c r="Q66" s="102">
        <f>TrRoad_emi!Q$19</f>
        <v>4.3113707150891889</v>
      </c>
      <c r="R66" s="102">
        <f>TrRoad_emi!R$19</f>
        <v>4.5882790202481782</v>
      </c>
      <c r="S66" s="102">
        <f>TrRoad_emi!S$19</f>
        <v>4.3381367162440396</v>
      </c>
      <c r="T66" s="102">
        <f>TrRoad_emi!T$19</f>
        <v>4.3074543884782255</v>
      </c>
      <c r="U66" s="102">
        <f>TrRoad_emi!U$19</f>
        <v>4.5677030741403541</v>
      </c>
      <c r="V66" s="102">
        <f>TrRoad_emi!V$19</f>
        <v>3.9030086550771368</v>
      </c>
      <c r="W66" s="102">
        <f>TrRoad_emi!W$19</f>
        <v>3.8228132453998964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238.90052441284496</v>
      </c>
      <c r="C67" s="102">
        <f>TrRoad_emi!C$20</f>
        <v>227.37953431422426</v>
      </c>
      <c r="D67" s="102">
        <f>TrRoad_emi!D$20</f>
        <v>236.09483867537665</v>
      </c>
      <c r="E67" s="102">
        <f>TrRoad_emi!E$20</f>
        <v>233.96487703765132</v>
      </c>
      <c r="F67" s="102">
        <f>TrRoad_emi!F$20</f>
        <v>209.053626790793</v>
      </c>
      <c r="G67" s="102">
        <f>TrRoad_emi!G$20</f>
        <v>242.33823030444213</v>
      </c>
      <c r="H67" s="102">
        <f>TrRoad_emi!H$20</f>
        <v>247.71826421314128</v>
      </c>
      <c r="I67" s="102">
        <f>TrRoad_emi!I$20</f>
        <v>255.00497925646539</v>
      </c>
      <c r="J67" s="102">
        <f>TrRoad_emi!J$20</f>
        <v>302.80359650396383</v>
      </c>
      <c r="K67" s="102">
        <f>TrRoad_emi!K$20</f>
        <v>265.32580328160515</v>
      </c>
      <c r="L67" s="102">
        <f>TrRoad_emi!L$20</f>
        <v>312.15812491400942</v>
      </c>
      <c r="M67" s="102">
        <f>TrRoad_emi!M$20</f>
        <v>315.01315369110591</v>
      </c>
      <c r="N67" s="102">
        <f>TrRoad_emi!N$20</f>
        <v>314.91095544819973</v>
      </c>
      <c r="O67" s="102">
        <f>TrRoad_emi!O$20</f>
        <v>323.27889066996124</v>
      </c>
      <c r="P67" s="102">
        <f>TrRoad_emi!P$20</f>
        <v>324.75735419167182</v>
      </c>
      <c r="Q67" s="102">
        <f>TrRoad_emi!Q$20</f>
        <v>344.93748022513716</v>
      </c>
      <c r="R67" s="102">
        <f>TrRoad_emi!R$20</f>
        <v>349.4296490462296</v>
      </c>
      <c r="S67" s="102">
        <f>TrRoad_emi!S$20</f>
        <v>352.40984576316202</v>
      </c>
      <c r="T67" s="102">
        <f>TrRoad_emi!T$20</f>
        <v>384.97231697067184</v>
      </c>
      <c r="U67" s="102">
        <f>TrRoad_emi!U$20</f>
        <v>401.03501130701926</v>
      </c>
      <c r="V67" s="102">
        <f>TrRoad_emi!V$20</f>
        <v>326.62295331703473</v>
      </c>
      <c r="W67" s="102">
        <f>TrRoad_emi!W$20</f>
        <v>354.6733968805072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35.163488173661698</v>
      </c>
      <c r="C68" s="102">
        <f>TrRoad_emi!C$27</f>
        <v>34.035847038131493</v>
      </c>
      <c r="D68" s="102">
        <f>TrRoad_emi!D$27</f>
        <v>13.651014499438551</v>
      </c>
      <c r="E68" s="102">
        <f>TrRoad_emi!E$27</f>
        <v>27.524379020100781</v>
      </c>
      <c r="F68" s="102">
        <f>TrRoad_emi!F$27</f>
        <v>39.12829330079456</v>
      </c>
      <c r="G68" s="102">
        <f>TrRoad_emi!G$27</f>
        <v>54.575754000860641</v>
      </c>
      <c r="H68" s="102">
        <f>TrRoad_emi!H$27</f>
        <v>58.77690708901352</v>
      </c>
      <c r="I68" s="102">
        <f>TrRoad_emi!I$27</f>
        <v>55.659377335150438</v>
      </c>
      <c r="J68" s="102">
        <f>TrRoad_emi!J$27</f>
        <v>55.31841006396003</v>
      </c>
      <c r="K68" s="102">
        <f>TrRoad_emi!K$27</f>
        <v>47.666809324083403</v>
      </c>
      <c r="L68" s="102">
        <f>TrRoad_emi!L$27</f>
        <v>52.297896829124277</v>
      </c>
      <c r="M68" s="102">
        <f>TrRoad_emi!M$27</f>
        <v>52.611592376959727</v>
      </c>
      <c r="N68" s="102">
        <f>TrRoad_emi!N$27</f>
        <v>59.86610993458514</v>
      </c>
      <c r="O68" s="102">
        <f>TrRoad_emi!O$27</f>
        <v>60.669354377978038</v>
      </c>
      <c r="P68" s="102">
        <f>TrRoad_emi!P$27</f>
        <v>72.346787716499009</v>
      </c>
      <c r="Q68" s="102">
        <f>TrRoad_emi!Q$27</f>
        <v>82.589452614620967</v>
      </c>
      <c r="R68" s="102">
        <f>TrRoad_emi!R$27</f>
        <v>81.612039974639444</v>
      </c>
      <c r="S68" s="102">
        <f>TrRoad_emi!S$27</f>
        <v>87.661445361264782</v>
      </c>
      <c r="T68" s="102">
        <f>TrRoad_emi!T$27</f>
        <v>102.63775375170979</v>
      </c>
      <c r="U68" s="102">
        <f>TrRoad_emi!U$27</f>
        <v>104.45431527855911</v>
      </c>
      <c r="V68" s="102">
        <f>TrRoad_emi!V$27</f>
        <v>69.94887510267165</v>
      </c>
      <c r="W68" s="102">
        <f>TrRoad_emi!W$27</f>
        <v>66.604946697748176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0</v>
      </c>
      <c r="C69" s="110">
        <f t="shared" si="55"/>
        <v>0</v>
      </c>
      <c r="D69" s="110">
        <f t="shared" si="55"/>
        <v>0</v>
      </c>
      <c r="E69" s="110">
        <f t="shared" si="55"/>
        <v>0</v>
      </c>
      <c r="F69" s="110">
        <f t="shared" si="55"/>
        <v>0</v>
      </c>
      <c r="G69" s="110">
        <f t="shared" si="55"/>
        <v>0</v>
      </c>
      <c r="H69" s="110">
        <f t="shared" si="55"/>
        <v>0</v>
      </c>
      <c r="I69" s="110">
        <f t="shared" si="55"/>
        <v>0</v>
      </c>
      <c r="J69" s="110">
        <f t="shared" si="55"/>
        <v>0</v>
      </c>
      <c r="K69" s="110">
        <f t="shared" si="55"/>
        <v>0</v>
      </c>
      <c r="L69" s="110">
        <f t="shared" si="55"/>
        <v>0</v>
      </c>
      <c r="M69" s="110">
        <f t="shared" si="55"/>
        <v>0</v>
      </c>
      <c r="N69" s="110">
        <f t="shared" si="55"/>
        <v>0</v>
      </c>
      <c r="O69" s="110">
        <f t="shared" si="55"/>
        <v>0</v>
      </c>
      <c r="P69" s="110">
        <f t="shared" si="55"/>
        <v>0</v>
      </c>
      <c r="Q69" s="110">
        <f t="shared" si="55"/>
        <v>0</v>
      </c>
      <c r="R69" s="110">
        <f t="shared" ref="R69:V69" si="56">R70+R71+R72</f>
        <v>0</v>
      </c>
      <c r="S69" s="110">
        <f t="shared" si="56"/>
        <v>0</v>
      </c>
      <c r="T69" s="110">
        <f t="shared" si="56"/>
        <v>0</v>
      </c>
      <c r="U69" s="110">
        <f t="shared" si="56"/>
        <v>0</v>
      </c>
      <c r="V69" s="110">
        <f t="shared" si="56"/>
        <v>0</v>
      </c>
      <c r="W69" s="110">
        <f t="shared" ref="W69" si="57">W70+W71+W72</f>
        <v>0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0</v>
      </c>
      <c r="C71" s="102">
        <f>TrRail_emi!C$11</f>
        <v>0</v>
      </c>
      <c r="D71" s="102">
        <f>TrRail_emi!D$11</f>
        <v>0</v>
      </c>
      <c r="E71" s="102">
        <f>TrRail_emi!E$11</f>
        <v>0</v>
      </c>
      <c r="F71" s="102">
        <f>TrRail_emi!F$11</f>
        <v>0</v>
      </c>
      <c r="G71" s="102">
        <f>TrRail_emi!G$11</f>
        <v>0</v>
      </c>
      <c r="H71" s="102">
        <f>TrRail_emi!H$11</f>
        <v>0</v>
      </c>
      <c r="I71" s="102">
        <f>TrRail_emi!I$11</f>
        <v>0</v>
      </c>
      <c r="J71" s="102">
        <f>TrRail_emi!J$11</f>
        <v>0</v>
      </c>
      <c r="K71" s="102">
        <f>TrRail_emi!K$11</f>
        <v>0</v>
      </c>
      <c r="L71" s="102">
        <f>TrRail_emi!L$11</f>
        <v>0</v>
      </c>
      <c r="M71" s="102">
        <f>TrRail_emi!M$11</f>
        <v>0</v>
      </c>
      <c r="N71" s="102">
        <f>TrRail_emi!N$11</f>
        <v>0</v>
      </c>
      <c r="O71" s="102">
        <f>TrRail_emi!O$11</f>
        <v>0</v>
      </c>
      <c r="P71" s="102">
        <f>TrRail_emi!P$11</f>
        <v>0</v>
      </c>
      <c r="Q71" s="102">
        <f>TrRail_emi!Q$11</f>
        <v>0</v>
      </c>
      <c r="R71" s="102">
        <f>TrRail_emi!R$11</f>
        <v>0</v>
      </c>
      <c r="S71" s="102">
        <f>TrRail_emi!S$11</f>
        <v>0</v>
      </c>
      <c r="T71" s="102">
        <f>TrRail_emi!T$11</f>
        <v>0</v>
      </c>
      <c r="U71" s="102">
        <f>TrRail_emi!U$11</f>
        <v>0</v>
      </c>
      <c r="V71" s="102">
        <f>TrRail_emi!V$11</f>
        <v>0</v>
      </c>
      <c r="W71" s="102">
        <f>TrRail_emi!W$11</f>
        <v>0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372.29264130456522</v>
      </c>
      <c r="C73" s="110">
        <f t="shared" si="58"/>
        <v>279.48872591144436</v>
      </c>
      <c r="D73" s="110">
        <f t="shared" si="58"/>
        <v>270.15014779913395</v>
      </c>
      <c r="E73" s="110">
        <f t="shared" si="58"/>
        <v>236.8861869610663</v>
      </c>
      <c r="F73" s="110">
        <f t="shared" si="58"/>
        <v>305.62753804337808</v>
      </c>
      <c r="G73" s="110">
        <f t="shared" si="58"/>
        <v>258.67819840721131</v>
      </c>
      <c r="H73" s="110">
        <f t="shared" si="58"/>
        <v>259.85257276468849</v>
      </c>
      <c r="I73" s="110">
        <f t="shared" si="58"/>
        <v>271.81981109416586</v>
      </c>
      <c r="J73" s="110">
        <f t="shared" si="58"/>
        <v>280.32364633013214</v>
      </c>
      <c r="K73" s="110">
        <f t="shared" si="58"/>
        <v>261.6209119706964</v>
      </c>
      <c r="L73" s="110">
        <f t="shared" si="58"/>
        <v>296.31050279744113</v>
      </c>
      <c r="M73" s="110">
        <f t="shared" si="58"/>
        <v>306.19346955000026</v>
      </c>
      <c r="N73" s="110">
        <f t="shared" si="58"/>
        <v>291.51420390075447</v>
      </c>
      <c r="O73" s="110">
        <f t="shared" si="58"/>
        <v>309.13008082702532</v>
      </c>
      <c r="P73" s="110">
        <f t="shared" si="58"/>
        <v>331.93894414431463</v>
      </c>
      <c r="Q73" s="110">
        <f t="shared" si="58"/>
        <v>344.06271021816769</v>
      </c>
      <c r="R73" s="110">
        <f t="shared" ref="R73:V73" si="59">R74+R75+R76</f>
        <v>370.82502473502069</v>
      </c>
      <c r="S73" s="110">
        <f t="shared" si="59"/>
        <v>416.40841818146583</v>
      </c>
      <c r="T73" s="110">
        <f t="shared" si="59"/>
        <v>468.60918370235925</v>
      </c>
      <c r="U73" s="110">
        <f t="shared" si="59"/>
        <v>493.77727101720296</v>
      </c>
      <c r="V73" s="110">
        <f t="shared" si="59"/>
        <v>175.35117979270177</v>
      </c>
      <c r="W73" s="110">
        <f t="shared" ref="W73" si="60">W74+W75+W76</f>
        <v>229.58077543253302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324.19023645447373</v>
      </c>
      <c r="C75" s="102">
        <f>TrAvia_emi!C$8</f>
        <v>243.37666581694424</v>
      </c>
      <c r="D75" s="102">
        <f>TrAvia_emi!D$8</f>
        <v>239.93649599686671</v>
      </c>
      <c r="E75" s="102">
        <f>TrAvia_emi!E$8</f>
        <v>212.67935203726847</v>
      </c>
      <c r="F75" s="102">
        <f>TrAvia_emi!F$8</f>
        <v>276.02050701146783</v>
      </c>
      <c r="G75" s="102">
        <f>TrAvia_emi!G$8</f>
        <v>234.5568938170864</v>
      </c>
      <c r="H75" s="102">
        <f>TrAvia_emi!H$8</f>
        <v>234.87807075360882</v>
      </c>
      <c r="I75" s="102">
        <f>TrAvia_emi!I$8</f>
        <v>246.68593803203541</v>
      </c>
      <c r="J75" s="102">
        <f>TrAvia_emi!J$8</f>
        <v>252.76989709475913</v>
      </c>
      <c r="K75" s="102">
        <f>TrAvia_emi!K$8</f>
        <v>234.32114395566217</v>
      </c>
      <c r="L75" s="102">
        <f>TrAvia_emi!L$8</f>
        <v>265.85904875840782</v>
      </c>
      <c r="M75" s="102">
        <f>TrAvia_emi!M$8</f>
        <v>275.11930426331253</v>
      </c>
      <c r="N75" s="102">
        <f>TrAvia_emi!N$8</f>
        <v>261.4305743829799</v>
      </c>
      <c r="O75" s="102">
        <f>TrAvia_emi!O$8</f>
        <v>277.91554807843289</v>
      </c>
      <c r="P75" s="102">
        <f>TrAvia_emi!P$8</f>
        <v>299.5093685754693</v>
      </c>
      <c r="Q75" s="102">
        <f>TrAvia_emi!Q$8</f>
        <v>310.49748435660734</v>
      </c>
      <c r="R75" s="102">
        <f>TrAvia_emi!R$8</f>
        <v>336.0365998928433</v>
      </c>
      <c r="S75" s="102">
        <f>TrAvia_emi!S$8</f>
        <v>378.92612820119092</v>
      </c>
      <c r="T75" s="102">
        <f>TrAvia_emi!T$8</f>
        <v>427.83503895075887</v>
      </c>
      <c r="U75" s="102">
        <f>TrAvia_emi!U$8</f>
        <v>450.3703064766313</v>
      </c>
      <c r="V75" s="102">
        <f>TrAvia_emi!V$8</f>
        <v>150.46687683697854</v>
      </c>
      <c r="W75" s="102">
        <f>TrAvia_emi!W$8</f>
        <v>201.44060028610227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48.10240485009151</v>
      </c>
      <c r="C76" s="102">
        <f>TrAvia_emi!C$9</f>
        <v>36.112060094500137</v>
      </c>
      <c r="D76" s="102">
        <f>TrAvia_emi!D$9</f>
        <v>30.213651802267261</v>
      </c>
      <c r="E76" s="102">
        <f>TrAvia_emi!E$9</f>
        <v>24.206834923797825</v>
      </c>
      <c r="F76" s="102">
        <f>TrAvia_emi!F$9</f>
        <v>29.607031031910257</v>
      </c>
      <c r="G76" s="102">
        <f>TrAvia_emi!G$9</f>
        <v>24.121304590124936</v>
      </c>
      <c r="H76" s="102">
        <f>TrAvia_emi!H$9</f>
        <v>24.974502011079661</v>
      </c>
      <c r="I76" s="102">
        <f>TrAvia_emi!I$9</f>
        <v>25.133873062130451</v>
      </c>
      <c r="J76" s="102">
        <f>TrAvia_emi!J$9</f>
        <v>27.553749235372987</v>
      </c>
      <c r="K76" s="102">
        <f>TrAvia_emi!K$9</f>
        <v>27.299768015034239</v>
      </c>
      <c r="L76" s="102">
        <f>TrAvia_emi!L$9</f>
        <v>30.451454039033312</v>
      </c>
      <c r="M76" s="102">
        <f>TrAvia_emi!M$9</f>
        <v>31.074165286687702</v>
      </c>
      <c r="N76" s="102">
        <f>TrAvia_emi!N$9</f>
        <v>30.083629517774593</v>
      </c>
      <c r="O76" s="102">
        <f>TrAvia_emi!O$9</f>
        <v>31.214532748592426</v>
      </c>
      <c r="P76" s="102">
        <f>TrAvia_emi!P$9</f>
        <v>32.429575568845337</v>
      </c>
      <c r="Q76" s="102">
        <f>TrAvia_emi!Q$9</f>
        <v>33.565225861560371</v>
      </c>
      <c r="R76" s="102">
        <f>TrAvia_emi!R$9</f>
        <v>34.788424842177392</v>
      </c>
      <c r="S76" s="102">
        <f>TrAvia_emi!S$9</f>
        <v>37.482289980274899</v>
      </c>
      <c r="T76" s="102">
        <f>TrAvia_emi!T$9</f>
        <v>40.774144751600382</v>
      </c>
      <c r="U76" s="102">
        <f>TrAvia_emi!U$9</f>
        <v>43.406964540571686</v>
      </c>
      <c r="V76" s="102">
        <f>TrAvia_emi!V$9</f>
        <v>24.884302955723239</v>
      </c>
      <c r="W76" s="102">
        <f>TrAvia_emi!W$9</f>
        <v>28.140175146430735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190.87749635538248</v>
      </c>
      <c r="C77" s="28">
        <f t="shared" si="61"/>
        <v>169.7075307875989</v>
      </c>
      <c r="D77" s="28">
        <f t="shared" si="61"/>
        <v>40.027838099987541</v>
      </c>
      <c r="E77" s="28">
        <f t="shared" si="61"/>
        <v>110.00209222191774</v>
      </c>
      <c r="F77" s="28">
        <f t="shared" si="61"/>
        <v>205.55560988622014</v>
      </c>
      <c r="G77" s="28">
        <f t="shared" si="61"/>
        <v>203.26911925143347</v>
      </c>
      <c r="H77" s="28">
        <f t="shared" si="61"/>
        <v>211.47837086155636</v>
      </c>
      <c r="I77" s="28">
        <f t="shared" si="61"/>
        <v>222.91114879148179</v>
      </c>
      <c r="J77" s="28">
        <f t="shared" si="61"/>
        <v>223.44985373478951</v>
      </c>
      <c r="K77" s="28">
        <f t="shared" si="61"/>
        <v>201.44152480411918</v>
      </c>
      <c r="L77" s="28">
        <f t="shared" si="61"/>
        <v>200.07741718156882</v>
      </c>
      <c r="M77" s="28">
        <f t="shared" si="61"/>
        <v>183.5871658483309</v>
      </c>
      <c r="N77" s="28">
        <f t="shared" si="61"/>
        <v>166.22866070933856</v>
      </c>
      <c r="O77" s="28">
        <f t="shared" si="61"/>
        <v>154.67614760838251</v>
      </c>
      <c r="P77" s="28">
        <f t="shared" si="61"/>
        <v>149.63657082833046</v>
      </c>
      <c r="Q77" s="28">
        <f t="shared" si="61"/>
        <v>153.61269522698475</v>
      </c>
      <c r="R77" s="28">
        <f t="shared" ref="R77:V77" si="62">R78+R81+R82+R86+R92</f>
        <v>147.50890030386222</v>
      </c>
      <c r="S77" s="28">
        <f t="shared" si="62"/>
        <v>160.91606973786347</v>
      </c>
      <c r="T77" s="28">
        <f t="shared" si="62"/>
        <v>168.20435026678095</v>
      </c>
      <c r="U77" s="28">
        <f t="shared" si="62"/>
        <v>189.34879824307822</v>
      </c>
      <c r="V77" s="28">
        <f t="shared" si="62"/>
        <v>178.5366638925147</v>
      </c>
      <c r="W77" s="28">
        <f t="shared" ref="W77" si="63">W78+W81+W82+W86+W92</f>
        <v>192.40682762381164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182.74501565994757</v>
      </c>
      <c r="C78" s="137">
        <f t="shared" si="64"/>
        <v>163.89483469904334</v>
      </c>
      <c r="D78" s="137">
        <f t="shared" si="64"/>
        <v>34.319255899121607</v>
      </c>
      <c r="E78" s="137">
        <f t="shared" si="64"/>
        <v>102.73744918298402</v>
      </c>
      <c r="F78" s="137">
        <f t="shared" si="64"/>
        <v>197.34461592959812</v>
      </c>
      <c r="G78" s="137">
        <f t="shared" si="64"/>
        <v>170.84182733864483</v>
      </c>
      <c r="H78" s="137">
        <f t="shared" si="64"/>
        <v>173.94716130624482</v>
      </c>
      <c r="I78" s="137">
        <f t="shared" si="64"/>
        <v>181.79439744564769</v>
      </c>
      <c r="J78" s="137">
        <f t="shared" si="64"/>
        <v>181.6518774649216</v>
      </c>
      <c r="K78" s="137">
        <f t="shared" si="64"/>
        <v>162.40637793481559</v>
      </c>
      <c r="L78" s="137">
        <f t="shared" si="64"/>
        <v>136.41357213901</v>
      </c>
      <c r="M78" s="137">
        <f t="shared" si="64"/>
        <v>123.53676371833113</v>
      </c>
      <c r="N78" s="137">
        <f t="shared" si="64"/>
        <v>113.420544210093</v>
      </c>
      <c r="O78" s="137">
        <f t="shared" si="64"/>
        <v>113.4035850754079</v>
      </c>
      <c r="P78" s="137">
        <f t="shared" si="64"/>
        <v>109.53100037264502</v>
      </c>
      <c r="Q78" s="137">
        <f t="shared" si="64"/>
        <v>110.07785188515254</v>
      </c>
      <c r="R78" s="137">
        <f t="shared" ref="R78:V78" si="65">R79+R80</f>
        <v>109.18883787888271</v>
      </c>
      <c r="S78" s="137">
        <f t="shared" si="65"/>
        <v>116.47796187932914</v>
      </c>
      <c r="T78" s="137">
        <f t="shared" si="65"/>
        <v>131.39148464914004</v>
      </c>
      <c r="U78" s="137">
        <f t="shared" si="65"/>
        <v>140.83173706028128</v>
      </c>
      <c r="V78" s="137">
        <f t="shared" si="65"/>
        <v>119.85709248521647</v>
      </c>
      <c r="W78" s="137">
        <f t="shared" ref="W78" si="66">W79+W80</f>
        <v>122.46883605634461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50.117750299718068</v>
      </c>
      <c r="C79" s="102">
        <f>TrRoad_emi!C$34</f>
        <v>47.106044604138411</v>
      </c>
      <c r="D79" s="102">
        <f>TrRoad_emi!D$34</f>
        <v>19.896722800888735</v>
      </c>
      <c r="E79" s="102">
        <f>TrRoad_emi!E$34</f>
        <v>37.186696611056739</v>
      </c>
      <c r="F79" s="102">
        <f>TrRoad_emi!F$34</f>
        <v>49.478492983224733</v>
      </c>
      <c r="G79" s="102">
        <f>TrRoad_emi!G$34</f>
        <v>67.502495786312863</v>
      </c>
      <c r="H79" s="102">
        <f>TrRoad_emi!H$34</f>
        <v>72.881029171359657</v>
      </c>
      <c r="I79" s="102">
        <f>TrRoad_emi!I$34</f>
        <v>72.687648373500309</v>
      </c>
      <c r="J79" s="102">
        <f>TrRoad_emi!J$34</f>
        <v>72.351581110589038</v>
      </c>
      <c r="K79" s="102">
        <f>TrRoad_emi!K$34</f>
        <v>65.577327569561604</v>
      </c>
      <c r="L79" s="102">
        <f>TrRoad_emi!L$34</f>
        <v>60.581519383842547</v>
      </c>
      <c r="M79" s="102">
        <f>TrRoad_emi!M$34</f>
        <v>57.5098637552464</v>
      </c>
      <c r="N79" s="102">
        <f>TrRoad_emi!N$34</f>
        <v>54.629548357769906</v>
      </c>
      <c r="O79" s="102">
        <f>TrRoad_emi!O$34</f>
        <v>54.532252817791225</v>
      </c>
      <c r="P79" s="102">
        <f>TrRoad_emi!P$34</f>
        <v>55.070343469840871</v>
      </c>
      <c r="Q79" s="102">
        <f>TrRoad_emi!Q$34</f>
        <v>57.204000898773849</v>
      </c>
      <c r="R79" s="102">
        <f>TrRoad_emi!R$34</f>
        <v>55.316839005412881</v>
      </c>
      <c r="S79" s="102">
        <f>TrRoad_emi!S$34</f>
        <v>59.918676405771294</v>
      </c>
      <c r="T79" s="102">
        <f>TrRoad_emi!T$34</f>
        <v>68.595812888540735</v>
      </c>
      <c r="U79" s="102">
        <f>TrRoad_emi!U$34</f>
        <v>73.308372480106627</v>
      </c>
      <c r="V79" s="102">
        <f>TrRoad_emi!V$34</f>
        <v>61.26246576922906</v>
      </c>
      <c r="W79" s="102">
        <f>TrRoad_emi!W$34</f>
        <v>61.215573493639369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132.6272653602295</v>
      </c>
      <c r="C80" s="102">
        <f>TrRoad_emi!C$40</f>
        <v>116.78879009490493</v>
      </c>
      <c r="D80" s="102">
        <f>TrRoad_emi!D$40</f>
        <v>14.422533098232872</v>
      </c>
      <c r="E80" s="102">
        <f>TrRoad_emi!E$40</f>
        <v>65.550752571927276</v>
      </c>
      <c r="F80" s="102">
        <f>TrRoad_emi!F$40</f>
        <v>147.86612294637339</v>
      </c>
      <c r="G80" s="102">
        <f>TrRoad_emi!G$40</f>
        <v>103.33933155233197</v>
      </c>
      <c r="H80" s="102">
        <f>TrRoad_emi!H$40</f>
        <v>101.06613213488517</v>
      </c>
      <c r="I80" s="102">
        <f>TrRoad_emi!I$40</f>
        <v>109.10674907214739</v>
      </c>
      <c r="J80" s="102">
        <f>TrRoad_emi!J$40</f>
        <v>109.30029635433257</v>
      </c>
      <c r="K80" s="102">
        <f>TrRoad_emi!K$40</f>
        <v>96.829050365253991</v>
      </c>
      <c r="L80" s="102">
        <f>TrRoad_emi!L$40</f>
        <v>75.832052755167453</v>
      </c>
      <c r="M80" s="102">
        <f>TrRoad_emi!M$40</f>
        <v>66.02689996308473</v>
      </c>
      <c r="N80" s="102">
        <f>TrRoad_emi!N$40</f>
        <v>58.7909958523231</v>
      </c>
      <c r="O80" s="102">
        <f>TrRoad_emi!O$40</f>
        <v>58.871332257616679</v>
      </c>
      <c r="P80" s="102">
        <f>TrRoad_emi!P$40</f>
        <v>54.460656902804146</v>
      </c>
      <c r="Q80" s="102">
        <f>TrRoad_emi!Q$40</f>
        <v>52.873850986378685</v>
      </c>
      <c r="R80" s="102">
        <f>TrRoad_emi!R$40</f>
        <v>53.871998873469821</v>
      </c>
      <c r="S80" s="102">
        <f>TrRoad_emi!S$40</f>
        <v>56.55928547355785</v>
      </c>
      <c r="T80" s="102">
        <f>TrRoad_emi!T$40</f>
        <v>62.795671760599312</v>
      </c>
      <c r="U80" s="102">
        <f>TrRoad_emi!U$40</f>
        <v>67.523364580174643</v>
      </c>
      <c r="V80" s="102">
        <f>TrRoad_emi!V$40</f>
        <v>58.594626715987417</v>
      </c>
      <c r="W80" s="102">
        <f>TrRoad_emi!W$40</f>
        <v>61.253262562705245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0</v>
      </c>
      <c r="C81" s="110">
        <f>TrRail_emi!C$15</f>
        <v>0</v>
      </c>
      <c r="D81" s="110">
        <f>TrRail_emi!D$15</f>
        <v>0</v>
      </c>
      <c r="E81" s="110">
        <f>TrRail_emi!E$15</f>
        <v>0</v>
      </c>
      <c r="F81" s="110">
        <f>TrRail_emi!F$15</f>
        <v>0</v>
      </c>
      <c r="G81" s="110">
        <f>TrRail_emi!G$15</f>
        <v>0</v>
      </c>
      <c r="H81" s="110">
        <f>TrRail_emi!H$15</f>
        <v>0</v>
      </c>
      <c r="I81" s="110">
        <f>TrRail_emi!I$15</f>
        <v>0</v>
      </c>
      <c r="J81" s="110">
        <f>TrRail_emi!J$15</f>
        <v>0</v>
      </c>
      <c r="K81" s="110">
        <f>TrRail_emi!K$15</f>
        <v>0</v>
      </c>
      <c r="L81" s="110">
        <f>TrRail_emi!L$15</f>
        <v>0</v>
      </c>
      <c r="M81" s="110">
        <f>TrRail_emi!M$15</f>
        <v>0</v>
      </c>
      <c r="N81" s="110">
        <f>TrRail_emi!N$15</f>
        <v>0</v>
      </c>
      <c r="O81" s="110">
        <f>TrRail_emi!O$15</f>
        <v>0</v>
      </c>
      <c r="P81" s="110">
        <f>TrRail_emi!P$15</f>
        <v>0</v>
      </c>
      <c r="Q81" s="110">
        <f>TrRail_emi!Q$15</f>
        <v>0</v>
      </c>
      <c r="R81" s="110">
        <f>TrRail_emi!R$15</f>
        <v>0</v>
      </c>
      <c r="S81" s="110">
        <f>TrRail_emi!S$15</f>
        <v>0</v>
      </c>
      <c r="T81" s="110">
        <f>TrRail_emi!T$15</f>
        <v>0</v>
      </c>
      <c r="U81" s="110">
        <f>TrRail_emi!U$15</f>
        <v>0</v>
      </c>
      <c r="V81" s="110">
        <f>TrRail_emi!V$15</f>
        <v>0</v>
      </c>
      <c r="W81" s="110">
        <f>TrRail_emi!W$15</f>
        <v>0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8.1324806954349143</v>
      </c>
      <c r="C82" s="110">
        <f t="shared" si="67"/>
        <v>5.8126960885555654</v>
      </c>
      <c r="D82" s="110">
        <f t="shared" si="67"/>
        <v>5.7085822008659317</v>
      </c>
      <c r="E82" s="110">
        <f t="shared" si="67"/>
        <v>7.2646430389337056</v>
      </c>
      <c r="F82" s="110">
        <f t="shared" si="67"/>
        <v>8.2109939566220174</v>
      </c>
      <c r="G82" s="110">
        <f t="shared" si="67"/>
        <v>7.2079440727886315</v>
      </c>
      <c r="H82" s="110">
        <f t="shared" si="67"/>
        <v>9.1254135153115516</v>
      </c>
      <c r="I82" s="110">
        <f t="shared" si="67"/>
        <v>9.5247738658340992</v>
      </c>
      <c r="J82" s="110">
        <f t="shared" si="67"/>
        <v>10.296211189867917</v>
      </c>
      <c r="K82" s="110">
        <f t="shared" si="67"/>
        <v>10.448659269303588</v>
      </c>
      <c r="L82" s="110">
        <f t="shared" si="67"/>
        <v>9.7677972025587945</v>
      </c>
      <c r="M82" s="110">
        <f t="shared" si="67"/>
        <v>9.1598441699997686</v>
      </c>
      <c r="N82" s="110">
        <f t="shared" si="67"/>
        <v>8.3806673392455782</v>
      </c>
      <c r="O82" s="110">
        <f t="shared" si="67"/>
        <v>6.2232328929746235</v>
      </c>
      <c r="P82" s="110">
        <f t="shared" si="67"/>
        <v>5.0562408156854426</v>
      </c>
      <c r="Q82" s="110">
        <f t="shared" si="67"/>
        <v>5.2993322618322143</v>
      </c>
      <c r="R82" s="110">
        <f t="shared" si="67"/>
        <v>3.2707327849795274</v>
      </c>
      <c r="S82" s="110">
        <f t="shared" si="67"/>
        <v>3.1815754185343215</v>
      </c>
      <c r="T82" s="110">
        <f t="shared" si="67"/>
        <v>3.4036228976408962</v>
      </c>
      <c r="U82" s="110">
        <f t="shared" si="67"/>
        <v>2.3785140227969257</v>
      </c>
      <c r="V82" s="110">
        <f t="shared" si="67"/>
        <v>2.8666553272982345</v>
      </c>
      <c r="W82" s="110">
        <f t="shared" ref="W82" si="68">W83+W84+W85</f>
        <v>2.8033609674670124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7.5982325403308577</v>
      </c>
      <c r="C84" s="102">
        <f>TrAvia_emi!C$12</f>
        <v>5.3853206292347622</v>
      </c>
      <c r="D84" s="102">
        <f>TrAvia_emi!D$12</f>
        <v>5.2566540112445228</v>
      </c>
      <c r="E84" s="102">
        <f>TrAvia_emi!E$12</f>
        <v>6.8127002618672572</v>
      </c>
      <c r="F84" s="102">
        <f>TrAvia_emi!F$12</f>
        <v>7.5047365149699035</v>
      </c>
      <c r="G84" s="102">
        <f>TrAvia_emi!G$12</f>
        <v>6.3551431383643857</v>
      </c>
      <c r="H84" s="102">
        <f>TrAvia_emi!H$12</f>
        <v>8.0279920392800452</v>
      </c>
      <c r="I84" s="102">
        <f>TrAvia_emi!I$12</f>
        <v>8.0630940149233492</v>
      </c>
      <c r="J84" s="102">
        <f>TrAvia_emi!J$12</f>
        <v>8.0289010162328225</v>
      </c>
      <c r="K84" s="102">
        <f>TrAvia_emi!K$12</f>
        <v>7.42197522819552</v>
      </c>
      <c r="L84" s="102">
        <f>TrAvia_emi!L$12</f>
        <v>7.7811940398175157</v>
      </c>
      <c r="M84" s="102">
        <f>TrAvia_emi!M$12</f>
        <v>7.8323219012501495</v>
      </c>
      <c r="N84" s="102">
        <f>TrAvia_emi!N$12</f>
        <v>7.0356572840101848</v>
      </c>
      <c r="O84" s="102">
        <f>TrAvia_emi!O$12</f>
        <v>5.2461226792961044</v>
      </c>
      <c r="P84" s="102">
        <f>TrAvia_emi!P$12</f>
        <v>4.5083604588328399</v>
      </c>
      <c r="Q84" s="102">
        <f>TrAvia_emi!Q$12</f>
        <v>4.9601823636992393</v>
      </c>
      <c r="R84" s="102">
        <f>TrAvia_emi!R$12</f>
        <v>2.873059692581271</v>
      </c>
      <c r="S84" s="102">
        <f>TrAvia_emi!S$12</f>
        <v>2.8641172676403412</v>
      </c>
      <c r="T84" s="102">
        <f>TrAvia_emi!T$12</f>
        <v>3.13943193851367</v>
      </c>
      <c r="U84" s="102">
        <f>TrAvia_emi!U$12</f>
        <v>2.254547978989061</v>
      </c>
      <c r="V84" s="102">
        <f>TrAvia_emi!V$12</f>
        <v>2.3704146828207358</v>
      </c>
      <c r="W84" s="102">
        <f>TrAvia_emi!W$12</f>
        <v>2.3514902870109262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0.53424815510405599</v>
      </c>
      <c r="C85" s="102">
        <f>TrAvia_emi!C$13</f>
        <v>0.42737545932080284</v>
      </c>
      <c r="D85" s="102">
        <f>TrAvia_emi!D$13</f>
        <v>0.45192818962140902</v>
      </c>
      <c r="E85" s="102">
        <f>TrAvia_emi!E$13</f>
        <v>0.45194277706644875</v>
      </c>
      <c r="F85" s="102">
        <f>TrAvia_emi!F$13</f>
        <v>0.70625744165211468</v>
      </c>
      <c r="G85" s="102">
        <f>TrAvia_emi!G$13</f>
        <v>0.85280093442424576</v>
      </c>
      <c r="H85" s="102">
        <f>TrAvia_emi!H$13</f>
        <v>1.0974214760315069</v>
      </c>
      <c r="I85" s="102">
        <f>TrAvia_emi!I$13</f>
        <v>1.4616798509107505</v>
      </c>
      <c r="J85" s="102">
        <f>TrAvia_emi!J$13</f>
        <v>2.2673101736350945</v>
      </c>
      <c r="K85" s="102">
        <f>TrAvia_emi!K$13</f>
        <v>3.0266840411080684</v>
      </c>
      <c r="L85" s="102">
        <f>TrAvia_emi!L$13</f>
        <v>1.9866031627412781</v>
      </c>
      <c r="M85" s="102">
        <f>TrAvia_emi!M$13</f>
        <v>1.3275222687496184</v>
      </c>
      <c r="N85" s="102">
        <f>TrAvia_emi!N$13</f>
        <v>1.3450100552353941</v>
      </c>
      <c r="O85" s="102">
        <f>TrAvia_emi!O$13</f>
        <v>0.97711021367851902</v>
      </c>
      <c r="P85" s="102">
        <f>TrAvia_emi!P$13</f>
        <v>0.54788035685260261</v>
      </c>
      <c r="Q85" s="102">
        <f>TrAvia_emi!Q$13</f>
        <v>0.33914989813297525</v>
      </c>
      <c r="R85" s="102">
        <f>TrAvia_emi!R$13</f>
        <v>0.39767309239825632</v>
      </c>
      <c r="S85" s="102">
        <f>TrAvia_emi!S$13</f>
        <v>0.31745815089398005</v>
      </c>
      <c r="T85" s="102">
        <f>TrAvia_emi!T$13</f>
        <v>0.26419095912722645</v>
      </c>
      <c r="U85" s="102">
        <f>TrAvia_emi!U$13</f>
        <v>0.12396604380786465</v>
      </c>
      <c r="V85" s="102">
        <f>TrAvia_emi!V$13</f>
        <v>0.49624064447749866</v>
      </c>
      <c r="W85" s="102">
        <f>TrAvia_emi!W$13</f>
        <v>0.4518706804560863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25.219347840000001</v>
      </c>
      <c r="H86" s="110">
        <f t="shared" si="69"/>
        <v>28.405796039999998</v>
      </c>
      <c r="I86" s="110">
        <f t="shared" si="69"/>
        <v>31.591977480000004</v>
      </c>
      <c r="J86" s="110">
        <f t="shared" si="69"/>
        <v>31.501765080000002</v>
      </c>
      <c r="K86" s="110">
        <f t="shared" si="69"/>
        <v>28.586487599999998</v>
      </c>
      <c r="L86" s="110">
        <f t="shared" si="69"/>
        <v>53.896047840000016</v>
      </c>
      <c r="M86" s="110">
        <f t="shared" si="69"/>
        <v>50.890557959999995</v>
      </c>
      <c r="N86" s="110">
        <f t="shared" si="69"/>
        <v>44.427449159999988</v>
      </c>
      <c r="O86" s="110">
        <f t="shared" si="69"/>
        <v>35.049329639999996</v>
      </c>
      <c r="P86" s="110">
        <f t="shared" si="69"/>
        <v>35.049329639999996</v>
      </c>
      <c r="Q86" s="110">
        <f t="shared" si="69"/>
        <v>38.235511079999988</v>
      </c>
      <c r="R86" s="110">
        <f t="shared" ref="R86:V86" si="70">R87+R88</f>
        <v>35.049329639999996</v>
      </c>
      <c r="S86" s="110">
        <f t="shared" si="70"/>
        <v>41.256532440000001</v>
      </c>
      <c r="T86" s="110">
        <f t="shared" si="70"/>
        <v>33.409242720000009</v>
      </c>
      <c r="U86" s="110">
        <f t="shared" si="70"/>
        <v>46.138547160000002</v>
      </c>
      <c r="V86" s="110">
        <f t="shared" si="70"/>
        <v>55.812916079999994</v>
      </c>
      <c r="W86" s="110">
        <f t="shared" ref="W86" si="71">W87+W88</f>
        <v>67.134630600000008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25.219347840000001</v>
      </c>
      <c r="H87" s="102">
        <f>TrNavi_emi!H$4</f>
        <v>28.405796039999998</v>
      </c>
      <c r="I87" s="102">
        <f>TrNavi_emi!I$4</f>
        <v>31.591977480000004</v>
      </c>
      <c r="J87" s="102">
        <f>TrNavi_emi!J$4</f>
        <v>31.501765080000002</v>
      </c>
      <c r="K87" s="102">
        <f>TrNavi_emi!K$4</f>
        <v>28.586487599999998</v>
      </c>
      <c r="L87" s="102">
        <f>TrNavi_emi!L$4</f>
        <v>53.896047840000016</v>
      </c>
      <c r="M87" s="102">
        <f>TrNavi_emi!M$4</f>
        <v>50.890557959999995</v>
      </c>
      <c r="N87" s="102">
        <f>TrNavi_emi!N$4</f>
        <v>44.427449159999988</v>
      </c>
      <c r="O87" s="102">
        <f>TrNavi_emi!O$4</f>
        <v>35.049329639999996</v>
      </c>
      <c r="P87" s="102">
        <f>TrNavi_emi!P$4</f>
        <v>35.049329639999996</v>
      </c>
      <c r="Q87" s="102">
        <f>TrNavi_emi!Q$4</f>
        <v>38.235511079999988</v>
      </c>
      <c r="R87" s="102">
        <f>TrNavi_emi!R$4</f>
        <v>35.049329639999996</v>
      </c>
      <c r="S87" s="102">
        <f>TrNavi_emi!S$4</f>
        <v>41.256532440000001</v>
      </c>
      <c r="T87" s="102">
        <f>TrNavi_emi!T$4</f>
        <v>33.409242720000009</v>
      </c>
      <c r="U87" s="102">
        <f>TrNavi_emi!U$4</f>
        <v>46.138547160000002</v>
      </c>
      <c r="V87" s="102">
        <f>TrNavi_emi!V$4</f>
        <v>55.812916079999994</v>
      </c>
      <c r="W87" s="102">
        <f>TrNavi_emi!W$4</f>
        <v>67.134630600000008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2115.16649676</v>
      </c>
      <c r="C89" s="28">
        <f t="shared" si="72"/>
        <v>2333.22308892</v>
      </c>
      <c r="D89" s="28">
        <f t="shared" si="72"/>
        <v>2387.9836508400003</v>
      </c>
      <c r="E89" s="28">
        <f t="shared" si="72"/>
        <v>2947.8873909600006</v>
      </c>
      <c r="F89" s="28">
        <f t="shared" si="72"/>
        <v>3153.2759071200003</v>
      </c>
      <c r="G89" s="28">
        <f t="shared" si="72"/>
        <v>2112.6331817999999</v>
      </c>
      <c r="H89" s="28">
        <f t="shared" si="72"/>
        <v>2412.8289039600008</v>
      </c>
      <c r="I89" s="28">
        <f t="shared" si="72"/>
        <v>2703.5818761600003</v>
      </c>
      <c r="J89" s="28">
        <f t="shared" si="72"/>
        <v>2924.4556504800003</v>
      </c>
      <c r="K89" s="28">
        <f t="shared" si="72"/>
        <v>3620.3204664000004</v>
      </c>
      <c r="L89" s="28">
        <f t="shared" si="72"/>
        <v>4660.8343801200008</v>
      </c>
      <c r="M89" s="28">
        <f t="shared" si="72"/>
        <v>4292.5267818000011</v>
      </c>
      <c r="N89" s="28">
        <f t="shared" si="72"/>
        <v>3809.46011688</v>
      </c>
      <c r="O89" s="28">
        <f t="shared" si="72"/>
        <v>3822.0892491600021</v>
      </c>
      <c r="P89" s="28">
        <f t="shared" si="72"/>
        <v>3938.4396007199989</v>
      </c>
      <c r="Q89" s="28">
        <f t="shared" si="72"/>
        <v>4942.9317322799998</v>
      </c>
      <c r="R89" s="28">
        <f t="shared" si="72"/>
        <v>5639.8023575999987</v>
      </c>
      <c r="S89" s="28">
        <f t="shared" si="72"/>
        <v>6871.0672061999994</v>
      </c>
      <c r="T89" s="28">
        <f t="shared" si="72"/>
        <v>7101.3779665199991</v>
      </c>
      <c r="U89" s="28">
        <f t="shared" si="72"/>
        <v>7277.7442172400024</v>
      </c>
      <c r="V89" s="28">
        <f t="shared" si="72"/>
        <v>7027.2414302400011</v>
      </c>
      <c r="W89" s="28">
        <f t="shared" si="72"/>
        <v>6230.7827024399994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1063.751533082687</v>
      </c>
      <c r="C90" s="102">
        <f>MBunk_emi!C$4</f>
        <v>1174.7502461464549</v>
      </c>
      <c r="D90" s="102">
        <f>MBunk_emi!D$4</f>
        <v>1196.8502572808732</v>
      </c>
      <c r="E90" s="102">
        <f>MBunk_emi!E$4</f>
        <v>1479.2919854375771</v>
      </c>
      <c r="F90" s="102">
        <f>MBunk_emi!F$4</f>
        <v>1341.0850287615376</v>
      </c>
      <c r="G90" s="102">
        <f>MBunk_emi!G$4</f>
        <v>1063.7635547729985</v>
      </c>
      <c r="H90" s="102">
        <f>MBunk_emi!H$4</f>
        <v>1095.9923690838637</v>
      </c>
      <c r="I90" s="102">
        <f>MBunk_emi!I$4</f>
        <v>1121.1281332423509</v>
      </c>
      <c r="J90" s="102">
        <f>MBunk_emi!J$4</f>
        <v>1529.6748131023414</v>
      </c>
      <c r="K90" s="102">
        <f>MBunk_emi!K$4</f>
        <v>1866.9563914569515</v>
      </c>
      <c r="L90" s="102">
        <f>MBunk_emi!L$4</f>
        <v>2411.110140812591</v>
      </c>
      <c r="M90" s="102">
        <f>MBunk_emi!M$4</f>
        <v>2153.9326643134186</v>
      </c>
      <c r="N90" s="102">
        <f>MBunk_emi!N$4</f>
        <v>2120.7183961044043</v>
      </c>
      <c r="O90" s="102">
        <f>MBunk_emi!O$4</f>
        <v>2132.8170670708141</v>
      </c>
      <c r="P90" s="102">
        <f>MBunk_emi!P$4</f>
        <v>2009.6446741298469</v>
      </c>
      <c r="Q90" s="102">
        <f>MBunk_emi!Q$4</f>
        <v>2784.3606269845764</v>
      </c>
      <c r="R90" s="102">
        <f>MBunk_emi!R$4</f>
        <v>2952.891900173458</v>
      </c>
      <c r="S90" s="102">
        <f>MBunk_emi!S$4</f>
        <v>3511.6546891909188</v>
      </c>
      <c r="T90" s="102">
        <f>MBunk_emi!T$4</f>
        <v>3795.8736966566657</v>
      </c>
      <c r="U90" s="102">
        <f>MBunk_emi!U$4</f>
        <v>3466.6649020012469</v>
      </c>
      <c r="V90" s="102">
        <f>MBunk_emi!V$4</f>
        <v>3807.8439278535498</v>
      </c>
      <c r="W90" s="102">
        <f>MBunk_emi!W$4</f>
        <v>3208.6959511959194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1051.4149636773127</v>
      </c>
      <c r="C91" s="86">
        <f>MBunk_emi!C$5</f>
        <v>1158.4728427735449</v>
      </c>
      <c r="D91" s="86">
        <f>MBunk_emi!D$5</f>
        <v>1191.1333935591274</v>
      </c>
      <c r="E91" s="86">
        <f>MBunk_emi!E$5</f>
        <v>1468.5954055224233</v>
      </c>
      <c r="F91" s="86">
        <f>MBunk_emi!F$5</f>
        <v>1812.1908783584627</v>
      </c>
      <c r="G91" s="86">
        <f>MBunk_emi!G$5</f>
        <v>1048.8696270270011</v>
      </c>
      <c r="H91" s="86">
        <f>MBunk_emi!H$5</f>
        <v>1316.8365348761372</v>
      </c>
      <c r="I91" s="86">
        <f>MBunk_emi!I$5</f>
        <v>1582.4537429176494</v>
      </c>
      <c r="J91" s="86">
        <f>MBunk_emi!J$5</f>
        <v>1394.7808373776591</v>
      </c>
      <c r="K91" s="86">
        <f>MBunk_emi!K$5</f>
        <v>1753.3640749430488</v>
      </c>
      <c r="L91" s="86">
        <f>MBunk_emi!L$5</f>
        <v>2249.7242393074102</v>
      </c>
      <c r="M91" s="86">
        <f>MBunk_emi!M$5</f>
        <v>2138.5941174865825</v>
      </c>
      <c r="N91" s="86">
        <f>MBunk_emi!N$5</f>
        <v>1688.7417207755955</v>
      </c>
      <c r="O91" s="86">
        <f>MBunk_emi!O$5</f>
        <v>1689.2721820891879</v>
      </c>
      <c r="P91" s="86">
        <f>MBunk_emi!P$5</f>
        <v>1928.794926590152</v>
      </c>
      <c r="Q91" s="86">
        <f>MBunk_emi!Q$5</f>
        <v>2158.5711052954239</v>
      </c>
      <c r="R91" s="86">
        <f>MBunk_emi!R$5</f>
        <v>2686.9104574265407</v>
      </c>
      <c r="S91" s="86">
        <f>MBunk_emi!S$5</f>
        <v>3359.4125170090811</v>
      </c>
      <c r="T91" s="86">
        <f>MBunk_emi!T$5</f>
        <v>3305.5042698633333</v>
      </c>
      <c r="U91" s="86">
        <f>MBunk_emi!U$5</f>
        <v>3811.079315238755</v>
      </c>
      <c r="V91" s="86">
        <f>MBunk_emi!V$5</f>
        <v>3219.3975023864518</v>
      </c>
      <c r="W91" s="86">
        <f>MBunk_emi!W$5</f>
        <v>3022.0867512440796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0.43932186496341902</v>
      </c>
      <c r="C97" s="139">
        <f t="shared" si="76"/>
        <v>0.45787233929937438</v>
      </c>
      <c r="D97" s="139">
        <f t="shared" si="76"/>
        <v>0.48934448369069594</v>
      </c>
      <c r="E97" s="139">
        <f t="shared" si="76"/>
        <v>0.50024636669177214</v>
      </c>
      <c r="F97" s="139">
        <f t="shared" si="76"/>
        <v>0.49760986964876908</v>
      </c>
      <c r="G97" s="139">
        <f t="shared" si="76"/>
        <v>0.49987902538958129</v>
      </c>
      <c r="H97" s="139">
        <f t="shared" si="76"/>
        <v>0.51906986022155843</v>
      </c>
      <c r="I97" s="139">
        <f t="shared" si="76"/>
        <v>0.50604538238058228</v>
      </c>
      <c r="J97" s="139">
        <f t="shared" si="76"/>
        <v>0.50296316385733164</v>
      </c>
      <c r="K97" s="139">
        <f t="shared" si="76"/>
        <v>0.52510203192105376</v>
      </c>
      <c r="L97" s="139">
        <f t="shared" si="76"/>
        <v>0.49889935591674378</v>
      </c>
      <c r="M97" s="139">
        <f t="shared" si="76"/>
        <v>0.47383714099679158</v>
      </c>
      <c r="N97" s="139">
        <f t="shared" si="76"/>
        <v>0.46918366976310011</v>
      </c>
      <c r="O97" s="139">
        <f t="shared" si="76"/>
        <v>0.44892286242996499</v>
      </c>
      <c r="P97" s="139">
        <f t="shared" si="76"/>
        <v>0.45315340114450875</v>
      </c>
      <c r="Q97" s="139">
        <f t="shared" si="76"/>
        <v>0.45155370142782664</v>
      </c>
      <c r="R97" s="139">
        <f t="shared" ref="R97:V97" si="77">IF(R5=0,0,R5/R$4)</f>
        <v>0.42856232403028482</v>
      </c>
      <c r="S97" s="139">
        <f t="shared" si="77"/>
        <v>0.39826909699891672</v>
      </c>
      <c r="T97" s="139">
        <f t="shared" si="77"/>
        <v>0.37231253060074188</v>
      </c>
      <c r="U97" s="139">
        <f t="shared" si="77"/>
        <v>0.35760675836841249</v>
      </c>
      <c r="V97" s="139">
        <f t="shared" si="77"/>
        <v>0.64558573830914512</v>
      </c>
      <c r="W97" s="139">
        <f t="shared" ref="W97" si="78">IF(W5=0,0,W5/W$4)</f>
        <v>0.59067980564190148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6.1140187726609427E-3</v>
      </c>
      <c r="C98" s="140">
        <f t="shared" si="79"/>
        <v>6.5601936084183779E-3</v>
      </c>
      <c r="D98" s="140">
        <f t="shared" si="79"/>
        <v>7.0911602107643365E-3</v>
      </c>
      <c r="E98" s="140">
        <f t="shared" si="79"/>
        <v>7.2520851152726214E-3</v>
      </c>
      <c r="F98" s="140">
        <f t="shared" si="79"/>
        <v>6.5907525049456964E-3</v>
      </c>
      <c r="G98" s="140">
        <f t="shared" si="79"/>
        <v>6.1130795975147569E-3</v>
      </c>
      <c r="H98" s="140">
        <f t="shared" si="79"/>
        <v>6.3515643586401676E-3</v>
      </c>
      <c r="I98" s="140">
        <f t="shared" si="79"/>
        <v>6.319125935888268E-3</v>
      </c>
      <c r="J98" s="140">
        <f t="shared" si="79"/>
        <v>6.9253873834075139E-3</v>
      </c>
      <c r="K98" s="140">
        <f t="shared" si="79"/>
        <v>7.1513163522431405E-3</v>
      </c>
      <c r="L98" s="140">
        <f t="shared" si="79"/>
        <v>6.9009344438465967E-3</v>
      </c>
      <c r="M98" s="140">
        <f t="shared" si="79"/>
        <v>6.9064114675263955E-3</v>
      </c>
      <c r="N98" s="140">
        <f t="shared" si="79"/>
        <v>6.876616729676252E-3</v>
      </c>
      <c r="O98" s="140">
        <f t="shared" si="79"/>
        <v>6.9136247939164388E-3</v>
      </c>
      <c r="P98" s="140">
        <f t="shared" si="79"/>
        <v>7.2292262173110217E-3</v>
      </c>
      <c r="Q98" s="140">
        <f t="shared" si="79"/>
        <v>7.1432770211412077E-3</v>
      </c>
      <c r="R98" s="140">
        <f t="shared" ref="R98:V98" si="80">IF(R6=0,0,R6/R$4)</f>
        <v>7.1512049027065462E-3</v>
      </c>
      <c r="S98" s="140">
        <f t="shared" si="80"/>
        <v>6.2784155111945544E-3</v>
      </c>
      <c r="T98" s="140">
        <f t="shared" si="80"/>
        <v>5.5422385962384715E-3</v>
      </c>
      <c r="U98" s="140">
        <f t="shared" si="80"/>
        <v>5.55485170164017E-3</v>
      </c>
      <c r="V98" s="140">
        <f t="shared" si="80"/>
        <v>1.0911845986910871E-2</v>
      </c>
      <c r="W98" s="140">
        <f t="shared" ref="W98" si="81">IF(W6=0,0,W6/W$4)</f>
        <v>9.878279021611449E-3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0.34503279785104629</v>
      </c>
      <c r="C99" s="140">
        <f t="shared" si="82"/>
        <v>0.35786866178137478</v>
      </c>
      <c r="D99" s="140">
        <f t="shared" si="82"/>
        <v>0.3829049993295594</v>
      </c>
      <c r="E99" s="140">
        <f t="shared" si="82"/>
        <v>0.39192014016541804</v>
      </c>
      <c r="F99" s="140">
        <f t="shared" si="82"/>
        <v>0.39081113405324719</v>
      </c>
      <c r="G99" s="140">
        <f t="shared" si="82"/>
        <v>0.39659915324663975</v>
      </c>
      <c r="H99" s="140">
        <f t="shared" si="82"/>
        <v>0.41218529667411069</v>
      </c>
      <c r="I99" s="140">
        <f t="shared" si="82"/>
        <v>0.40285034108785311</v>
      </c>
      <c r="J99" s="140">
        <f t="shared" si="82"/>
        <v>0.4009327892552394</v>
      </c>
      <c r="K99" s="140">
        <f t="shared" si="82"/>
        <v>0.42440926079147623</v>
      </c>
      <c r="L99" s="140">
        <f t="shared" si="82"/>
        <v>0.40088760268161999</v>
      </c>
      <c r="M99" s="140">
        <f t="shared" si="82"/>
        <v>0.38483231512904614</v>
      </c>
      <c r="N99" s="140">
        <f t="shared" si="82"/>
        <v>0.38123413632925029</v>
      </c>
      <c r="O99" s="140">
        <f t="shared" si="82"/>
        <v>0.36697603038084747</v>
      </c>
      <c r="P99" s="140">
        <f t="shared" si="82"/>
        <v>0.37047089843870612</v>
      </c>
      <c r="Q99" s="140">
        <f t="shared" si="82"/>
        <v>0.3655900674205369</v>
      </c>
      <c r="R99" s="140">
        <f t="shared" ref="R99:V99" si="83">IF(R7=0,0,R7/R$4)</f>
        <v>0.34812498418763116</v>
      </c>
      <c r="S99" s="140">
        <f t="shared" si="83"/>
        <v>0.32331937086405715</v>
      </c>
      <c r="T99" s="140">
        <f t="shared" si="83"/>
        <v>0.30246522953002064</v>
      </c>
      <c r="U99" s="140">
        <f t="shared" si="83"/>
        <v>0.28814115024329845</v>
      </c>
      <c r="V99" s="140">
        <f t="shared" si="83"/>
        <v>0.54618940331204802</v>
      </c>
      <c r="W99" s="140">
        <f t="shared" ref="W99" si="84">IF(W7=0,0,W7/W$4)</f>
        <v>0.49898520347177516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8.8175048339711834E-2</v>
      </c>
      <c r="C100" s="140">
        <f t="shared" si="85"/>
        <v>9.3443483909581182E-2</v>
      </c>
      <c r="D100" s="140">
        <f t="shared" si="85"/>
        <v>9.9348324150372175E-2</v>
      </c>
      <c r="E100" s="140">
        <f t="shared" si="85"/>
        <v>0.10107414141108148</v>
      </c>
      <c r="F100" s="140">
        <f t="shared" si="85"/>
        <v>0.1002079830905762</v>
      </c>
      <c r="G100" s="140">
        <f t="shared" si="85"/>
        <v>9.7166792545426747E-2</v>
      </c>
      <c r="H100" s="140">
        <f t="shared" si="85"/>
        <v>0.10053299918880751</v>
      </c>
      <c r="I100" s="140">
        <f t="shared" si="85"/>
        <v>9.6875915356840855E-2</v>
      </c>
      <c r="J100" s="140">
        <f t="shared" si="85"/>
        <v>9.5104987218684711E-2</v>
      </c>
      <c r="K100" s="140">
        <f t="shared" si="85"/>
        <v>9.3541454777334485E-2</v>
      </c>
      <c r="L100" s="140">
        <f t="shared" si="85"/>
        <v>9.1110818791277248E-2</v>
      </c>
      <c r="M100" s="140">
        <f t="shared" si="85"/>
        <v>8.2098414400219102E-2</v>
      </c>
      <c r="N100" s="140">
        <f t="shared" si="85"/>
        <v>8.1072916704173506E-2</v>
      </c>
      <c r="O100" s="140">
        <f t="shared" si="85"/>
        <v>7.5033207255201129E-2</v>
      </c>
      <c r="P100" s="140">
        <f t="shared" si="85"/>
        <v>7.5453276488491622E-2</v>
      </c>
      <c r="Q100" s="140">
        <f t="shared" si="85"/>
        <v>7.8820356986148546E-2</v>
      </c>
      <c r="R100" s="140">
        <f t="shared" ref="R100:V100" si="86">IF(R8=0,0,R8/R$4)</f>
        <v>7.3286134939947123E-2</v>
      </c>
      <c r="S100" s="140">
        <f t="shared" si="86"/>
        <v>6.8671310623664952E-2</v>
      </c>
      <c r="T100" s="140">
        <f t="shared" si="86"/>
        <v>6.4305062474482755E-2</v>
      </c>
      <c r="U100" s="140">
        <f t="shared" si="86"/>
        <v>6.3910756423473852E-2</v>
      </c>
      <c r="V100" s="140">
        <f t="shared" si="86"/>
        <v>8.8484489010186143E-2</v>
      </c>
      <c r="W100" s="140">
        <f t="shared" ref="W100" si="87">IF(W8=0,0,W8/W$4)</f>
        <v>8.181632314851485E-2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</v>
      </c>
      <c r="C101" s="124">
        <f t="shared" si="88"/>
        <v>0</v>
      </c>
      <c r="D101" s="124">
        <f t="shared" si="88"/>
        <v>0</v>
      </c>
      <c r="E101" s="124">
        <f t="shared" si="88"/>
        <v>0</v>
      </c>
      <c r="F101" s="124">
        <f t="shared" si="88"/>
        <v>0</v>
      </c>
      <c r="G101" s="124">
        <f t="shared" si="88"/>
        <v>0</v>
      </c>
      <c r="H101" s="124">
        <f t="shared" si="88"/>
        <v>0</v>
      </c>
      <c r="I101" s="124">
        <f t="shared" si="88"/>
        <v>0</v>
      </c>
      <c r="J101" s="124">
        <f t="shared" si="88"/>
        <v>0</v>
      </c>
      <c r="K101" s="124">
        <f t="shared" si="88"/>
        <v>0</v>
      </c>
      <c r="L101" s="124">
        <f t="shared" si="88"/>
        <v>0</v>
      </c>
      <c r="M101" s="124">
        <f t="shared" si="88"/>
        <v>0</v>
      </c>
      <c r="N101" s="124">
        <f t="shared" si="88"/>
        <v>0</v>
      </c>
      <c r="O101" s="124">
        <f t="shared" si="88"/>
        <v>0</v>
      </c>
      <c r="P101" s="124">
        <f t="shared" si="88"/>
        <v>0</v>
      </c>
      <c r="Q101" s="124">
        <f t="shared" si="88"/>
        <v>0</v>
      </c>
      <c r="R101" s="124">
        <f t="shared" ref="R101:V101" si="89">IF(R9=0,0,R9/R$4)</f>
        <v>0</v>
      </c>
      <c r="S101" s="124">
        <f t="shared" si="89"/>
        <v>0</v>
      </c>
      <c r="T101" s="124">
        <f t="shared" si="89"/>
        <v>0</v>
      </c>
      <c r="U101" s="124">
        <f t="shared" si="89"/>
        <v>0</v>
      </c>
      <c r="V101" s="124">
        <f t="shared" si="89"/>
        <v>0</v>
      </c>
      <c r="W101" s="124">
        <f t="shared" ref="W101" si="90">IF(W9=0,0,W9/W$4)</f>
        <v>0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0</v>
      </c>
      <c r="G102" s="140">
        <f t="shared" si="91"/>
        <v>0</v>
      </c>
      <c r="H102" s="140">
        <f t="shared" si="91"/>
        <v>0</v>
      </c>
      <c r="I102" s="140">
        <f t="shared" si="91"/>
        <v>0</v>
      </c>
      <c r="J102" s="140">
        <f t="shared" si="91"/>
        <v>0</v>
      </c>
      <c r="K102" s="140">
        <f t="shared" si="91"/>
        <v>0</v>
      </c>
      <c r="L102" s="140">
        <f t="shared" si="91"/>
        <v>0</v>
      </c>
      <c r="M102" s="140">
        <f t="shared" si="91"/>
        <v>0</v>
      </c>
      <c r="N102" s="140">
        <f t="shared" si="91"/>
        <v>0</v>
      </c>
      <c r="O102" s="140">
        <f t="shared" si="91"/>
        <v>0</v>
      </c>
      <c r="P102" s="140">
        <f t="shared" si="91"/>
        <v>0</v>
      </c>
      <c r="Q102" s="140">
        <f t="shared" si="91"/>
        <v>0</v>
      </c>
      <c r="R102" s="140">
        <f t="shared" ref="R102:V102" si="92">IF(R10=0,0,R10/R$4)</f>
        <v>0</v>
      </c>
      <c r="S102" s="140">
        <f t="shared" si="92"/>
        <v>0</v>
      </c>
      <c r="T102" s="140">
        <f t="shared" si="92"/>
        <v>0</v>
      </c>
      <c r="U102" s="140">
        <f t="shared" si="92"/>
        <v>0</v>
      </c>
      <c r="V102" s="140">
        <f t="shared" si="92"/>
        <v>0</v>
      </c>
      <c r="W102" s="140">
        <f t="shared" ref="W102" si="93">IF(W10=0,0,W10/W$4)</f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0</v>
      </c>
      <c r="C103" s="140">
        <f t="shared" si="94"/>
        <v>0</v>
      </c>
      <c r="D103" s="140">
        <f t="shared" si="94"/>
        <v>0</v>
      </c>
      <c r="E103" s="140">
        <f t="shared" si="94"/>
        <v>0</v>
      </c>
      <c r="F103" s="140">
        <f t="shared" si="94"/>
        <v>0</v>
      </c>
      <c r="G103" s="140">
        <f t="shared" si="94"/>
        <v>0</v>
      </c>
      <c r="H103" s="140">
        <f t="shared" si="94"/>
        <v>0</v>
      </c>
      <c r="I103" s="140">
        <f t="shared" si="94"/>
        <v>0</v>
      </c>
      <c r="J103" s="140">
        <f t="shared" si="94"/>
        <v>0</v>
      </c>
      <c r="K103" s="140">
        <f t="shared" si="94"/>
        <v>0</v>
      </c>
      <c r="L103" s="140">
        <f t="shared" si="94"/>
        <v>0</v>
      </c>
      <c r="M103" s="140">
        <f t="shared" si="94"/>
        <v>0</v>
      </c>
      <c r="N103" s="140">
        <f t="shared" si="94"/>
        <v>0</v>
      </c>
      <c r="O103" s="140">
        <f t="shared" si="94"/>
        <v>0</v>
      </c>
      <c r="P103" s="140">
        <f t="shared" si="94"/>
        <v>0</v>
      </c>
      <c r="Q103" s="140">
        <f t="shared" si="94"/>
        <v>0</v>
      </c>
      <c r="R103" s="140">
        <f t="shared" ref="R103:V103" si="95">IF(R11=0,0,R11/R$4)</f>
        <v>0</v>
      </c>
      <c r="S103" s="140">
        <f t="shared" si="95"/>
        <v>0</v>
      </c>
      <c r="T103" s="140">
        <f t="shared" si="95"/>
        <v>0</v>
      </c>
      <c r="U103" s="140">
        <f t="shared" si="95"/>
        <v>0</v>
      </c>
      <c r="V103" s="140">
        <f t="shared" si="95"/>
        <v>0</v>
      </c>
      <c r="W103" s="140">
        <f t="shared" ref="W103" si="96">IF(W11=0,0,W11/W$4)</f>
        <v>0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0.56067813503658093</v>
      </c>
      <c r="C105" s="124">
        <f t="shared" si="100"/>
        <v>0.54212766070062568</v>
      </c>
      <c r="D105" s="124">
        <f t="shared" si="100"/>
        <v>0.51065551630930395</v>
      </c>
      <c r="E105" s="124">
        <f t="shared" si="100"/>
        <v>0.49975363330822781</v>
      </c>
      <c r="F105" s="124">
        <f t="shared" si="100"/>
        <v>0.50239013035123081</v>
      </c>
      <c r="G105" s="124">
        <f t="shared" si="100"/>
        <v>0.50012097461041882</v>
      </c>
      <c r="H105" s="124">
        <f t="shared" si="100"/>
        <v>0.48093013977844151</v>
      </c>
      <c r="I105" s="124">
        <f t="shared" si="100"/>
        <v>0.49395461761941767</v>
      </c>
      <c r="J105" s="124">
        <f t="shared" si="100"/>
        <v>0.49703683614266825</v>
      </c>
      <c r="K105" s="124">
        <f t="shared" si="100"/>
        <v>0.4748979680789463</v>
      </c>
      <c r="L105" s="124">
        <f t="shared" si="100"/>
        <v>0.50110064408325627</v>
      </c>
      <c r="M105" s="124">
        <f t="shared" si="100"/>
        <v>0.52616285900320847</v>
      </c>
      <c r="N105" s="124">
        <f t="shared" si="100"/>
        <v>0.5308163302369</v>
      </c>
      <c r="O105" s="124">
        <f t="shared" si="100"/>
        <v>0.55107713757003507</v>
      </c>
      <c r="P105" s="124">
        <f t="shared" si="100"/>
        <v>0.54684659885549136</v>
      </c>
      <c r="Q105" s="124">
        <f t="shared" si="100"/>
        <v>0.54844629857217342</v>
      </c>
      <c r="R105" s="124">
        <f t="shared" ref="R105:V105" si="101">IF(R13=0,0,R13/R$4)</f>
        <v>0.57143767596971518</v>
      </c>
      <c r="S105" s="124">
        <f t="shared" si="101"/>
        <v>0.60173090300108323</v>
      </c>
      <c r="T105" s="124">
        <f t="shared" si="101"/>
        <v>0.62768746939925812</v>
      </c>
      <c r="U105" s="124">
        <f t="shared" si="101"/>
        <v>0.64239324163158751</v>
      </c>
      <c r="V105" s="124">
        <f t="shared" si="101"/>
        <v>0.35441426169085488</v>
      </c>
      <c r="W105" s="124">
        <f t="shared" ref="W105" si="102">IF(W13=0,0,W13/W$4)</f>
        <v>0.40932019435809852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0.51619605335000696</v>
      </c>
      <c r="C107" s="140">
        <f t="shared" si="106"/>
        <v>0.49876745073470258</v>
      </c>
      <c r="D107" s="140">
        <f t="shared" si="106"/>
        <v>0.47741526161973452</v>
      </c>
      <c r="E107" s="140">
        <f t="shared" si="106"/>
        <v>0.46682129817374263</v>
      </c>
      <c r="F107" s="140">
        <f t="shared" si="106"/>
        <v>0.47100031434994516</v>
      </c>
      <c r="G107" s="140">
        <f t="shared" si="106"/>
        <v>0.46990850497048064</v>
      </c>
      <c r="H107" s="140">
        <f t="shared" si="106"/>
        <v>0.45240519438082916</v>
      </c>
      <c r="I107" s="140">
        <f t="shared" si="106"/>
        <v>0.46859992578866871</v>
      </c>
      <c r="J107" s="140">
        <f t="shared" si="106"/>
        <v>0.47023731370246902</v>
      </c>
      <c r="K107" s="140">
        <f t="shared" si="106"/>
        <v>0.44980462505317431</v>
      </c>
      <c r="L107" s="140">
        <f t="shared" si="106"/>
        <v>0.47136715777029708</v>
      </c>
      <c r="M107" s="140">
        <f t="shared" si="106"/>
        <v>0.48809618451793491</v>
      </c>
      <c r="N107" s="140">
        <f t="shared" si="106"/>
        <v>0.49470535900063145</v>
      </c>
      <c r="O107" s="140">
        <f t="shared" si="106"/>
        <v>0.50459930556117527</v>
      </c>
      <c r="P107" s="140">
        <f t="shared" si="106"/>
        <v>0.50955005082538674</v>
      </c>
      <c r="Q107" s="140">
        <f t="shared" si="106"/>
        <v>0.51547593438246242</v>
      </c>
      <c r="R107" s="140">
        <f t="shared" ref="R107:V107" si="107">IF(R15=0,0,R15/R$4)</f>
        <v>0.51940675327599228</v>
      </c>
      <c r="S107" s="140">
        <f t="shared" si="107"/>
        <v>0.56306837371314156</v>
      </c>
      <c r="T107" s="140">
        <f t="shared" si="107"/>
        <v>0.58378757985452123</v>
      </c>
      <c r="U107" s="140">
        <f t="shared" si="107"/>
        <v>0.5778400217944808</v>
      </c>
      <c r="V107" s="140">
        <f t="shared" si="107"/>
        <v>0.3177632987261354</v>
      </c>
      <c r="W107" s="140">
        <f t="shared" ref="W107" si="108">IF(W15=0,0,W15/W$4)</f>
        <v>0.37196039428219768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4.4482081686574033E-2</v>
      </c>
      <c r="C108" s="140">
        <f t="shared" si="109"/>
        <v>4.336020996592304E-2</v>
      </c>
      <c r="D108" s="140">
        <f t="shared" si="109"/>
        <v>3.3240254689569475E-2</v>
      </c>
      <c r="E108" s="140">
        <f t="shared" si="109"/>
        <v>3.2932335134485229E-2</v>
      </c>
      <c r="F108" s="140">
        <f t="shared" si="109"/>
        <v>3.1389816001285695E-2</v>
      </c>
      <c r="G108" s="140">
        <f t="shared" si="109"/>
        <v>3.0212469639938212E-2</v>
      </c>
      <c r="H108" s="140">
        <f t="shared" si="109"/>
        <v>2.8524945397612335E-2</v>
      </c>
      <c r="I108" s="140">
        <f t="shared" si="109"/>
        <v>2.5354691830748944E-2</v>
      </c>
      <c r="J108" s="140">
        <f t="shared" si="109"/>
        <v>2.6799522440199251E-2</v>
      </c>
      <c r="K108" s="140">
        <f t="shared" si="109"/>
        <v>2.5093343025771996E-2</v>
      </c>
      <c r="L108" s="140">
        <f t="shared" si="109"/>
        <v>2.9733486312959238E-2</v>
      </c>
      <c r="M108" s="140">
        <f t="shared" si="109"/>
        <v>3.8066674485273587E-2</v>
      </c>
      <c r="N108" s="140">
        <f t="shared" si="109"/>
        <v>3.6110971236268524E-2</v>
      </c>
      <c r="O108" s="140">
        <f t="shared" si="109"/>
        <v>4.6477832008859805E-2</v>
      </c>
      <c r="P108" s="140">
        <f t="shared" si="109"/>
        <v>3.7296548030104591E-2</v>
      </c>
      <c r="Q108" s="140">
        <f t="shared" si="109"/>
        <v>3.2970364189711013E-2</v>
      </c>
      <c r="R108" s="140">
        <f t="shared" ref="R108:V108" si="110">IF(R16=0,0,R16/R$4)</f>
        <v>5.2030922693722878E-2</v>
      </c>
      <c r="S108" s="140">
        <f t="shared" si="110"/>
        <v>3.8662529287941706E-2</v>
      </c>
      <c r="T108" s="140">
        <f t="shared" si="110"/>
        <v>4.3899889544736795E-2</v>
      </c>
      <c r="U108" s="140">
        <f t="shared" si="110"/>
        <v>6.4553219837106685E-2</v>
      </c>
      <c r="V108" s="140">
        <f t="shared" si="110"/>
        <v>3.6650962964719501E-2</v>
      </c>
      <c r="W108" s="140">
        <f t="shared" ref="W108" si="111">IF(W16=0,0,W16/W$4)</f>
        <v>3.7359800075900867E-2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0.98806403220588779</v>
      </c>
      <c r="C110" s="139">
        <f t="shared" si="115"/>
        <v>0.98747255512702536</v>
      </c>
      <c r="D110" s="139">
        <f t="shared" si="115"/>
        <v>0.96703543024332494</v>
      </c>
      <c r="E110" s="139">
        <f t="shared" si="115"/>
        <v>0.97804231149671095</v>
      </c>
      <c r="F110" s="139">
        <f t="shared" si="115"/>
        <v>0.98835130319711628</v>
      </c>
      <c r="G110" s="139">
        <f t="shared" si="115"/>
        <v>0.97239918164497274</v>
      </c>
      <c r="H110" s="139">
        <f t="shared" si="115"/>
        <v>0.96621784010019129</v>
      </c>
      <c r="I110" s="139">
        <f t="shared" si="115"/>
        <v>0.96649191814016588</v>
      </c>
      <c r="J110" s="139">
        <f t="shared" si="115"/>
        <v>0.9655383734865659</v>
      </c>
      <c r="K110" s="139">
        <f t="shared" si="115"/>
        <v>0.96197884920903243</v>
      </c>
      <c r="L110" s="139">
        <f t="shared" si="115"/>
        <v>0.95545710049110644</v>
      </c>
      <c r="M110" s="139">
        <f t="shared" si="115"/>
        <v>0.95686980176290115</v>
      </c>
      <c r="N110" s="139">
        <f t="shared" si="115"/>
        <v>0.94925940732850911</v>
      </c>
      <c r="O110" s="139">
        <f t="shared" si="115"/>
        <v>0.95596969094640649</v>
      </c>
      <c r="P110" s="139">
        <f t="shared" si="115"/>
        <v>0.96030301616737301</v>
      </c>
      <c r="Q110" s="139">
        <f t="shared" si="115"/>
        <v>0.95799977907116352</v>
      </c>
      <c r="R110" s="139">
        <f t="shared" ref="R110:V110" si="116">IF(R18=0,0,R18/R$17)</f>
        <v>0.96605340666629835</v>
      </c>
      <c r="S110" s="139">
        <f t="shared" si="116"/>
        <v>0.9689503548450501</v>
      </c>
      <c r="T110" s="139">
        <f t="shared" si="116"/>
        <v>0.97002542105339518</v>
      </c>
      <c r="U110" s="139">
        <f t="shared" si="116"/>
        <v>0.97315611367108634</v>
      </c>
      <c r="V110" s="139">
        <f t="shared" si="116"/>
        <v>0.96774757952242885</v>
      </c>
      <c r="W110" s="139">
        <f t="shared" ref="W110" si="117">IF(W18=0,0,W18/W$17)</f>
        <v>0.96633697626158699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3.1356302669647472E-2</v>
      </c>
      <c r="C111" s="140">
        <f t="shared" si="118"/>
        <v>3.3582567054921818E-2</v>
      </c>
      <c r="D111" s="140">
        <f t="shared" si="118"/>
        <v>9.8534707746059255E-2</v>
      </c>
      <c r="E111" s="140">
        <f t="shared" si="118"/>
        <v>4.699819400298156E-2</v>
      </c>
      <c r="F111" s="140">
        <f t="shared" si="118"/>
        <v>2.9574397708243813E-2</v>
      </c>
      <c r="G111" s="140">
        <f t="shared" si="118"/>
        <v>5.6795425820723819E-2</v>
      </c>
      <c r="H111" s="140">
        <f t="shared" si="118"/>
        <v>6.3236824113424711E-2</v>
      </c>
      <c r="I111" s="140">
        <f t="shared" si="118"/>
        <v>5.9300159604236666E-2</v>
      </c>
      <c r="J111" s="140">
        <f t="shared" si="118"/>
        <v>5.9568174662090141E-2</v>
      </c>
      <c r="K111" s="140">
        <f t="shared" si="118"/>
        <v>6.0999378203084126E-2</v>
      </c>
      <c r="L111" s="140">
        <f t="shared" si="118"/>
        <v>7.2691550430473206E-2</v>
      </c>
      <c r="M111" s="140">
        <f t="shared" si="118"/>
        <v>7.9573711191066127E-2</v>
      </c>
      <c r="N111" s="140">
        <f t="shared" si="118"/>
        <v>8.5319690561132158E-2</v>
      </c>
      <c r="O111" s="140">
        <f t="shared" si="118"/>
        <v>8.7245310776113721E-2</v>
      </c>
      <c r="P111" s="140">
        <f t="shared" si="118"/>
        <v>9.3764277347133898E-2</v>
      </c>
      <c r="Q111" s="140">
        <f t="shared" si="118"/>
        <v>0.10082520834680733</v>
      </c>
      <c r="R111" s="140">
        <f t="shared" ref="R111:V111" si="119">IF(R19=0,0,R19/R$17)</f>
        <v>9.9202987360442335E-2</v>
      </c>
      <c r="S111" s="140">
        <f t="shared" si="119"/>
        <v>0.1044249579071911</v>
      </c>
      <c r="T111" s="140">
        <f t="shared" si="119"/>
        <v>0.1101012857968571</v>
      </c>
      <c r="U111" s="140">
        <f t="shared" si="119"/>
        <v>0.11189519494294911</v>
      </c>
      <c r="V111" s="140">
        <f t="shared" si="119"/>
        <v>0.10902614609939001</v>
      </c>
      <c r="W111" s="140">
        <f t="shared" ref="W111" si="120">IF(W19=0,0,W19/W$17)</f>
        <v>0.10642988993031931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0.95670772953624028</v>
      </c>
      <c r="C112" s="140">
        <f t="shared" si="121"/>
        <v>0.95388998807210368</v>
      </c>
      <c r="D112" s="140">
        <f t="shared" si="121"/>
        <v>0.86850072249726562</v>
      </c>
      <c r="E112" s="140">
        <f t="shared" si="121"/>
        <v>0.9310441174937294</v>
      </c>
      <c r="F112" s="140">
        <f t="shared" si="121"/>
        <v>0.9587769054888724</v>
      </c>
      <c r="G112" s="140">
        <f t="shared" si="121"/>
        <v>0.91560375582424902</v>
      </c>
      <c r="H112" s="140">
        <f t="shared" si="121"/>
        <v>0.90298101598676661</v>
      </c>
      <c r="I112" s="140">
        <f t="shared" si="121"/>
        <v>0.90719175853592915</v>
      </c>
      <c r="J112" s="140">
        <f t="shared" si="121"/>
        <v>0.90597019882447583</v>
      </c>
      <c r="K112" s="140">
        <f t="shared" si="121"/>
        <v>0.90097947100594822</v>
      </c>
      <c r="L112" s="140">
        <f t="shared" si="121"/>
        <v>0.88276555006063329</v>
      </c>
      <c r="M112" s="140">
        <f t="shared" si="121"/>
        <v>0.87729609057183511</v>
      </c>
      <c r="N112" s="140">
        <f t="shared" si="121"/>
        <v>0.86393971676737691</v>
      </c>
      <c r="O112" s="140">
        <f t="shared" si="121"/>
        <v>0.86872438017029274</v>
      </c>
      <c r="P112" s="140">
        <f t="shared" si="121"/>
        <v>0.86653873882023913</v>
      </c>
      <c r="Q112" s="140">
        <f t="shared" si="121"/>
        <v>0.85717457072435621</v>
      </c>
      <c r="R112" s="140">
        <f t="shared" ref="R112:V112" si="122">IF(R20=0,0,R20/R$17)</f>
        <v>0.86685041930585593</v>
      </c>
      <c r="S112" s="140">
        <f t="shared" si="122"/>
        <v>0.86452539693785901</v>
      </c>
      <c r="T112" s="140">
        <f t="shared" si="122"/>
        <v>0.8599241352565381</v>
      </c>
      <c r="U112" s="140">
        <f t="shared" si="122"/>
        <v>0.86126091872813715</v>
      </c>
      <c r="V112" s="140">
        <f t="shared" si="122"/>
        <v>0.85872143342303886</v>
      </c>
      <c r="W112" s="140">
        <f t="shared" ref="W112" si="123">IF(W20=0,0,W20/W$17)</f>
        <v>0.85990708633126767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</v>
      </c>
      <c r="C113" s="124">
        <f t="shared" si="124"/>
        <v>0</v>
      </c>
      <c r="D113" s="124">
        <f t="shared" si="124"/>
        <v>0</v>
      </c>
      <c r="E113" s="124">
        <f t="shared" si="124"/>
        <v>0</v>
      </c>
      <c r="F113" s="124">
        <f t="shared" si="124"/>
        <v>0</v>
      </c>
      <c r="G113" s="124">
        <f t="shared" si="124"/>
        <v>0</v>
      </c>
      <c r="H113" s="124">
        <f t="shared" si="124"/>
        <v>0</v>
      </c>
      <c r="I113" s="124">
        <f t="shared" si="124"/>
        <v>0</v>
      </c>
      <c r="J113" s="124">
        <f t="shared" si="124"/>
        <v>0</v>
      </c>
      <c r="K113" s="124">
        <f t="shared" si="124"/>
        <v>0</v>
      </c>
      <c r="L113" s="124">
        <f t="shared" si="124"/>
        <v>0</v>
      </c>
      <c r="M113" s="124">
        <f t="shared" si="124"/>
        <v>0</v>
      </c>
      <c r="N113" s="124">
        <f t="shared" si="124"/>
        <v>0</v>
      </c>
      <c r="O113" s="124">
        <f t="shared" si="124"/>
        <v>0</v>
      </c>
      <c r="P113" s="124">
        <f t="shared" si="124"/>
        <v>0</v>
      </c>
      <c r="Q113" s="124">
        <f t="shared" si="124"/>
        <v>0</v>
      </c>
      <c r="R113" s="124">
        <f t="shared" ref="R113:V113" si="125">IF(R21=0,0,R21/R$17)</f>
        <v>0</v>
      </c>
      <c r="S113" s="124">
        <f t="shared" si="125"/>
        <v>0</v>
      </c>
      <c r="T113" s="124">
        <f t="shared" si="125"/>
        <v>0</v>
      </c>
      <c r="U113" s="124">
        <f t="shared" si="125"/>
        <v>0</v>
      </c>
      <c r="V113" s="124">
        <f t="shared" si="125"/>
        <v>0</v>
      </c>
      <c r="W113" s="124">
        <f t="shared" ref="W113" si="126">IF(W21=0,0,W21/W$17)</f>
        <v>0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1.1935967794112127E-2</v>
      </c>
      <c r="C114" s="124">
        <f t="shared" si="127"/>
        <v>1.252744487297461E-2</v>
      </c>
      <c r="D114" s="124">
        <f t="shared" si="127"/>
        <v>3.2964569756675124E-2</v>
      </c>
      <c r="E114" s="124">
        <f t="shared" si="127"/>
        <v>2.195768850328908E-2</v>
      </c>
      <c r="F114" s="124">
        <f t="shared" si="127"/>
        <v>1.1648696802883796E-2</v>
      </c>
      <c r="G114" s="124">
        <f t="shared" si="127"/>
        <v>2.3557416471738812E-2</v>
      </c>
      <c r="H114" s="124">
        <f t="shared" si="127"/>
        <v>2.9017439146294545E-2</v>
      </c>
      <c r="I114" s="124">
        <f t="shared" si="127"/>
        <v>2.897634115846949E-2</v>
      </c>
      <c r="J114" s="124">
        <f t="shared" si="127"/>
        <v>3.0138732716015693E-2</v>
      </c>
      <c r="K114" s="124">
        <f t="shared" si="127"/>
        <v>3.3982405621058788E-2</v>
      </c>
      <c r="L114" s="124">
        <f t="shared" si="127"/>
        <v>3.5683863332600922E-2</v>
      </c>
      <c r="M114" s="124">
        <f t="shared" si="127"/>
        <v>3.4732780980869876E-2</v>
      </c>
      <c r="N114" s="124">
        <f t="shared" si="127"/>
        <v>4.179628543665502E-2</v>
      </c>
      <c r="O114" s="124">
        <f t="shared" si="127"/>
        <v>3.5629367491707836E-2</v>
      </c>
      <c r="P114" s="124">
        <f t="shared" si="127"/>
        <v>3.041397154497371E-2</v>
      </c>
      <c r="Q114" s="124">
        <f t="shared" si="127"/>
        <v>3.1730016017304984E-2</v>
      </c>
      <c r="R114" s="124">
        <f t="shared" ref="R114:V114" si="128">IF(R22=0,0,R22/R$17)</f>
        <v>2.4544504806044365E-2</v>
      </c>
      <c r="S114" s="124">
        <f t="shared" si="128"/>
        <v>2.0025200469518948E-2</v>
      </c>
      <c r="T114" s="124">
        <f t="shared" si="128"/>
        <v>2.0517053710195181E-2</v>
      </c>
      <c r="U114" s="124">
        <f t="shared" si="128"/>
        <v>1.4576132799250479E-2</v>
      </c>
      <c r="V114" s="124">
        <f t="shared" si="128"/>
        <v>1.7745378482009008E-2</v>
      </c>
      <c r="W114" s="124">
        <f t="shared" ref="W114" si="129">IF(W22=0,0,W22/W$17)</f>
        <v>1.6509410909547256E-2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9.7864962039893449E-3</v>
      </c>
      <c r="C116" s="140">
        <f t="shared" si="133"/>
        <v>1.0118094804884738E-2</v>
      </c>
      <c r="D116" s="140">
        <f t="shared" si="133"/>
        <v>2.6201575910161593E-2</v>
      </c>
      <c r="E116" s="140">
        <f t="shared" si="133"/>
        <v>1.8637674032275876E-2</v>
      </c>
      <c r="F116" s="140">
        <f t="shared" si="133"/>
        <v>9.1323379575790654E-3</v>
      </c>
      <c r="G116" s="140">
        <f t="shared" si="133"/>
        <v>1.7910383761662079E-2</v>
      </c>
      <c r="H116" s="140">
        <f t="shared" si="133"/>
        <v>2.0597620921359264E-2</v>
      </c>
      <c r="I116" s="140">
        <f t="shared" si="133"/>
        <v>1.9314958823064998E-2</v>
      </c>
      <c r="J116" s="140">
        <f t="shared" si="133"/>
        <v>1.7851492997737438E-2</v>
      </c>
      <c r="K116" s="140">
        <f t="shared" si="133"/>
        <v>1.7638476031846647E-2</v>
      </c>
      <c r="L116" s="140">
        <f t="shared" si="133"/>
        <v>2.3773497509361967E-2</v>
      </c>
      <c r="M116" s="140">
        <f t="shared" si="133"/>
        <v>2.6085355840819238E-2</v>
      </c>
      <c r="N116" s="140">
        <f t="shared" si="133"/>
        <v>2.9003201304516394E-2</v>
      </c>
      <c r="O116" s="140">
        <f t="shared" si="133"/>
        <v>2.2466314929770775E-2</v>
      </c>
      <c r="P116" s="140">
        <f t="shared" si="133"/>
        <v>2.249833991659558E-2</v>
      </c>
      <c r="Q116" s="140">
        <f t="shared" si="133"/>
        <v>2.7186981976090995E-2</v>
      </c>
      <c r="R116" s="140">
        <f t="shared" si="131"/>
        <v>1.6172963027195258E-2</v>
      </c>
      <c r="S116" s="140">
        <f t="shared" si="131"/>
        <v>1.5659939951001674E-2</v>
      </c>
      <c r="T116" s="140">
        <f t="shared" si="131"/>
        <v>1.7026967220324478E-2</v>
      </c>
      <c r="U116" s="140">
        <f t="shared" si="131"/>
        <v>1.1465314330130571E-2</v>
      </c>
      <c r="V116" s="140">
        <f t="shared" si="131"/>
        <v>1.1382790383959942E-2</v>
      </c>
      <c r="W116" s="140">
        <f t="shared" ref="W116" si="134">IF(W24=0,0,W24/W$17)</f>
        <v>1.0631043090272886E-2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2.1494715901227814E-3</v>
      </c>
      <c r="C117" s="140">
        <f t="shared" si="135"/>
        <v>2.4093500680898721E-3</v>
      </c>
      <c r="D117" s="140">
        <f t="shared" si="135"/>
        <v>6.7629938465135278E-3</v>
      </c>
      <c r="E117" s="140">
        <f t="shared" si="135"/>
        <v>3.3200144710132029E-3</v>
      </c>
      <c r="F117" s="140">
        <f t="shared" si="135"/>
        <v>2.5163588453047296E-3</v>
      </c>
      <c r="G117" s="140">
        <f t="shared" si="135"/>
        <v>5.6470327100767333E-3</v>
      </c>
      <c r="H117" s="140">
        <f t="shared" si="135"/>
        <v>8.4198182249352813E-3</v>
      </c>
      <c r="I117" s="140">
        <f t="shared" si="135"/>
        <v>9.661382335404492E-3</v>
      </c>
      <c r="J117" s="140">
        <f t="shared" si="135"/>
        <v>1.2287239718278255E-2</v>
      </c>
      <c r="K117" s="140">
        <f t="shared" si="135"/>
        <v>1.6343929589212141E-2</v>
      </c>
      <c r="L117" s="140">
        <f t="shared" si="135"/>
        <v>1.1910365823238957E-2</v>
      </c>
      <c r="M117" s="140">
        <f t="shared" si="135"/>
        <v>8.647425140050638E-3</v>
      </c>
      <c r="N117" s="140">
        <f t="shared" si="135"/>
        <v>1.2793084132138631E-2</v>
      </c>
      <c r="O117" s="140">
        <f t="shared" si="135"/>
        <v>1.3163052561937059E-2</v>
      </c>
      <c r="P117" s="140">
        <f t="shared" si="135"/>
        <v>7.9156316283781319E-3</v>
      </c>
      <c r="Q117" s="140">
        <f t="shared" si="135"/>
        <v>4.5430340412139902E-3</v>
      </c>
      <c r="R117" s="140">
        <f t="shared" ref="R117:V117" si="136">IF(R25=0,0,R25/R$17)</f>
        <v>8.3715417788491047E-3</v>
      </c>
      <c r="S117" s="140">
        <f t="shared" si="136"/>
        <v>4.3652605185172709E-3</v>
      </c>
      <c r="T117" s="140">
        <f t="shared" si="136"/>
        <v>3.4900864898707051E-3</v>
      </c>
      <c r="U117" s="140">
        <f t="shared" si="136"/>
        <v>3.1108184691199079E-3</v>
      </c>
      <c r="V117" s="140">
        <f t="shared" si="136"/>
        <v>6.3625880980490651E-3</v>
      </c>
      <c r="W117" s="140">
        <f t="shared" ref="W117" si="137">IF(W25=0,0,W25/W$17)</f>
        <v>5.8783678192743704E-3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</v>
      </c>
      <c r="C118" s="124">
        <f t="shared" si="138"/>
        <v>0</v>
      </c>
      <c r="D118" s="124">
        <f t="shared" si="138"/>
        <v>0</v>
      </c>
      <c r="E118" s="124">
        <f t="shared" si="138"/>
        <v>0</v>
      </c>
      <c r="F118" s="124">
        <f t="shared" si="138"/>
        <v>0</v>
      </c>
      <c r="G118" s="124">
        <f t="shared" si="138"/>
        <v>4.0434018832882727E-3</v>
      </c>
      <c r="H118" s="124">
        <f t="shared" si="138"/>
        <v>4.7647207535141487E-3</v>
      </c>
      <c r="I118" s="124">
        <f t="shared" si="138"/>
        <v>4.5317407013645474E-3</v>
      </c>
      <c r="J118" s="124">
        <f t="shared" si="138"/>
        <v>4.3228937974185717E-3</v>
      </c>
      <c r="K118" s="124">
        <f t="shared" si="138"/>
        <v>4.0387451699087943E-3</v>
      </c>
      <c r="L118" s="124">
        <f t="shared" si="138"/>
        <v>8.8590361762925889E-3</v>
      </c>
      <c r="M118" s="124">
        <f t="shared" si="138"/>
        <v>8.3974172562289295E-3</v>
      </c>
      <c r="N118" s="124">
        <f t="shared" si="138"/>
        <v>8.9443072348359028E-3</v>
      </c>
      <c r="O118" s="124">
        <f t="shared" si="138"/>
        <v>8.4009415618856442E-3</v>
      </c>
      <c r="P118" s="124">
        <f t="shared" si="138"/>
        <v>9.2830122876532747E-3</v>
      </c>
      <c r="Q118" s="124">
        <f t="shared" si="138"/>
        <v>1.0270204911531475E-2</v>
      </c>
      <c r="R118" s="124">
        <f t="shared" ref="R118:V118" si="139">IF(R26=0,0,R26/R$17)</f>
        <v>9.4020885276572316E-3</v>
      </c>
      <c r="S118" s="124">
        <f t="shared" si="139"/>
        <v>1.1024444685430962E-2</v>
      </c>
      <c r="T118" s="124">
        <f t="shared" si="139"/>
        <v>9.4575252364096658E-3</v>
      </c>
      <c r="U118" s="124">
        <f t="shared" si="139"/>
        <v>1.2267753529663075E-2</v>
      </c>
      <c r="V118" s="124">
        <f t="shared" si="139"/>
        <v>1.4507041995562164E-2</v>
      </c>
      <c r="W118" s="124">
        <f t="shared" ref="W118" si="140">IF(W26=0,0,W26/W$17)</f>
        <v>1.7153612828865648E-2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4.0434018832882727E-3</v>
      </c>
      <c r="H119" s="140">
        <f t="shared" si="141"/>
        <v>4.7647207535141487E-3</v>
      </c>
      <c r="I119" s="140">
        <f t="shared" si="141"/>
        <v>4.5317407013645474E-3</v>
      </c>
      <c r="J119" s="140">
        <f t="shared" si="141"/>
        <v>4.3228937974185717E-3</v>
      </c>
      <c r="K119" s="140">
        <f t="shared" si="141"/>
        <v>4.0387451699087943E-3</v>
      </c>
      <c r="L119" s="140">
        <f t="shared" si="141"/>
        <v>8.8590361762925889E-3</v>
      </c>
      <c r="M119" s="140">
        <f t="shared" si="141"/>
        <v>8.3974172562289295E-3</v>
      </c>
      <c r="N119" s="140">
        <f t="shared" si="141"/>
        <v>8.9443072348359028E-3</v>
      </c>
      <c r="O119" s="140">
        <f t="shared" si="141"/>
        <v>8.4009415618856442E-3</v>
      </c>
      <c r="P119" s="140">
        <f t="shared" si="141"/>
        <v>9.2830122876532747E-3</v>
      </c>
      <c r="Q119" s="140">
        <f t="shared" si="141"/>
        <v>1.0270204911531475E-2</v>
      </c>
      <c r="R119" s="140">
        <f t="shared" ref="R119:V119" si="142">IF(R27=0,0,R27/R$17)</f>
        <v>9.4020885276572316E-3</v>
      </c>
      <c r="S119" s="140">
        <f t="shared" si="142"/>
        <v>1.1024444685430962E-2</v>
      </c>
      <c r="T119" s="140">
        <f t="shared" si="142"/>
        <v>9.4575252364096658E-3</v>
      </c>
      <c r="U119" s="140">
        <f t="shared" si="142"/>
        <v>1.2267753529663075E-2</v>
      </c>
      <c r="V119" s="140">
        <f t="shared" si="142"/>
        <v>1.4507041995562164E-2</v>
      </c>
      <c r="W119" s="140">
        <f t="shared" ref="W119" si="143">IF(W27=0,0,W27/W$17)</f>
        <v>1.7153612828865648E-2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0.46697835951233335</v>
      </c>
      <c r="C122" s="140">
        <f>IF(C30=0,0,C30/C$29)</f>
        <v>0.46213095645108904</v>
      </c>
      <c r="D122" s="140">
        <f t="shared" ref="D122:W122" si="150">IF(D30=0,0,D30/D$29)</f>
        <v>0.46164634816407984</v>
      </c>
      <c r="E122" s="140">
        <f t="shared" si="150"/>
        <v>0.46241057668055796</v>
      </c>
      <c r="F122" s="140">
        <f t="shared" si="150"/>
        <v>0.31117721087013794</v>
      </c>
      <c r="G122" s="140">
        <f t="shared" si="150"/>
        <v>0.45869407274369911</v>
      </c>
      <c r="H122" s="140">
        <f t="shared" si="150"/>
        <v>0.43803514472555583</v>
      </c>
      <c r="I122" s="140">
        <f t="shared" si="150"/>
        <v>0.42036857429859964</v>
      </c>
      <c r="J122" s="140">
        <f t="shared" si="150"/>
        <v>0.51031659452072076</v>
      </c>
      <c r="K122" s="140">
        <f t="shared" si="150"/>
        <v>0.47307867893811628</v>
      </c>
      <c r="L122" s="140">
        <f t="shared" si="150"/>
        <v>0.47464743690957012</v>
      </c>
      <c r="M122" s="140">
        <f t="shared" si="150"/>
        <v>0.41662820086211827</v>
      </c>
      <c r="N122" s="140">
        <f t="shared" si="150"/>
        <v>0.5149372659289938</v>
      </c>
      <c r="O122" s="140">
        <f t="shared" si="150"/>
        <v>0.49501411533000689</v>
      </c>
      <c r="P122" s="140">
        <f t="shared" si="150"/>
        <v>0.38581509043769502</v>
      </c>
      <c r="Q122" s="140">
        <f t="shared" si="150"/>
        <v>0.52459688928352455</v>
      </c>
      <c r="R122" s="140">
        <f t="shared" si="150"/>
        <v>0.42072895070916805</v>
      </c>
      <c r="S122" s="140">
        <f t="shared" si="150"/>
        <v>0.4050159620994177</v>
      </c>
      <c r="T122" s="140">
        <f t="shared" si="150"/>
        <v>0.46560392537009782</v>
      </c>
      <c r="U122" s="140">
        <f t="shared" si="150"/>
        <v>0.33913091120962963</v>
      </c>
      <c r="V122" s="140">
        <f t="shared" si="150"/>
        <v>0.58388077865579602</v>
      </c>
      <c r="W122" s="140">
        <f t="shared" si="150"/>
        <v>0.53682547809831194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0.53302164048766676</v>
      </c>
      <c r="C123" s="127">
        <f>IF(C31=0,0,C31/C$29)</f>
        <v>0.53786904354891096</v>
      </c>
      <c r="D123" s="127">
        <f t="shared" ref="D123:W123" si="152">IF(D31=0,0,D31/D$29)</f>
        <v>0.5383536518359201</v>
      </c>
      <c r="E123" s="127">
        <f t="shared" si="152"/>
        <v>0.53758942331944204</v>
      </c>
      <c r="F123" s="127">
        <f t="shared" si="152"/>
        <v>0.68882278912986206</v>
      </c>
      <c r="G123" s="127">
        <f t="shared" si="152"/>
        <v>0.54130592725630078</v>
      </c>
      <c r="H123" s="127">
        <f t="shared" si="152"/>
        <v>0.56196485527444429</v>
      </c>
      <c r="I123" s="127">
        <f t="shared" si="152"/>
        <v>0.57963142570140047</v>
      </c>
      <c r="J123" s="127">
        <f t="shared" si="152"/>
        <v>0.48968340547927935</v>
      </c>
      <c r="K123" s="127">
        <f t="shared" si="152"/>
        <v>0.52692132106188372</v>
      </c>
      <c r="L123" s="127">
        <f t="shared" si="152"/>
        <v>0.52535256309042977</v>
      </c>
      <c r="M123" s="127">
        <f t="shared" si="152"/>
        <v>0.58337179913788173</v>
      </c>
      <c r="N123" s="127">
        <f t="shared" si="152"/>
        <v>0.48506273407100631</v>
      </c>
      <c r="O123" s="127">
        <f t="shared" si="152"/>
        <v>0.50498588466999328</v>
      </c>
      <c r="P123" s="127">
        <f t="shared" si="152"/>
        <v>0.61418490956230509</v>
      </c>
      <c r="Q123" s="127">
        <f t="shared" si="152"/>
        <v>0.47540311071647545</v>
      </c>
      <c r="R123" s="127">
        <f t="shared" si="152"/>
        <v>0.57927104929083184</v>
      </c>
      <c r="S123" s="127">
        <f t="shared" si="152"/>
        <v>0.59498403790058241</v>
      </c>
      <c r="T123" s="127">
        <f t="shared" si="152"/>
        <v>0.53439607462990224</v>
      </c>
      <c r="U123" s="127">
        <f t="shared" si="152"/>
        <v>0.66086908879037032</v>
      </c>
      <c r="V123" s="127">
        <f t="shared" si="152"/>
        <v>0.41611922134420398</v>
      </c>
      <c r="W123" s="127">
        <f t="shared" si="152"/>
        <v>0.46317452190168801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0.43239329477626387</v>
      </c>
      <c r="C127" s="139">
        <f t="shared" ref="C127:W127" si="155">IF(C35=0,0,C35/C$34)</f>
        <v>0.49188991191769788</v>
      </c>
      <c r="D127" s="139">
        <f t="shared" si="155"/>
        <v>0.4914689266226972</v>
      </c>
      <c r="E127" s="139">
        <f t="shared" si="155"/>
        <v>0.53407476008590993</v>
      </c>
      <c r="F127" s="139">
        <f t="shared" si="155"/>
        <v>0.45567264283276654</v>
      </c>
      <c r="G127" s="139">
        <f t="shared" si="155"/>
        <v>0.54030725602501362</v>
      </c>
      <c r="H127" s="139">
        <f t="shared" si="155"/>
        <v>0.54670219295935418</v>
      </c>
      <c r="I127" s="139">
        <f t="shared" si="155"/>
        <v>0.53926643665277163</v>
      </c>
      <c r="J127" s="139">
        <f t="shared" si="155"/>
        <v>0.56746007350619387</v>
      </c>
      <c r="K127" s="139">
        <f t="shared" si="155"/>
        <v>0.55136105184513096</v>
      </c>
      <c r="L127" s="139">
        <f t="shared" si="155"/>
        <v>0.55692142621310592</v>
      </c>
      <c r="M127" s="139">
        <f t="shared" si="155"/>
        <v>0.55207746924972356</v>
      </c>
      <c r="N127" s="139">
        <f t="shared" si="155"/>
        <v>0.56991965145827306</v>
      </c>
      <c r="O127" s="139">
        <f t="shared" si="155"/>
        <v>0.56412210530908469</v>
      </c>
      <c r="P127" s="139">
        <f t="shared" si="155"/>
        <v>0.55731120470498507</v>
      </c>
      <c r="Q127" s="139">
        <f t="shared" si="155"/>
        <v>0.56558408962248363</v>
      </c>
      <c r="R127" s="139">
        <f t="shared" si="155"/>
        <v>0.54934237182147894</v>
      </c>
      <c r="S127" s="139">
        <f t="shared" si="155"/>
        <v>0.52592754291594335</v>
      </c>
      <c r="T127" s="139">
        <f t="shared" si="155"/>
        <v>0.52325748358767366</v>
      </c>
      <c r="U127" s="139">
        <f t="shared" si="155"/>
        <v>0.51968200809208032</v>
      </c>
      <c r="V127" s="139">
        <f t="shared" si="155"/>
        <v>0.71073955006717393</v>
      </c>
      <c r="W127" s="139">
        <f t="shared" si="155"/>
        <v>0.66233792809014946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5.2489353093248363E-3</v>
      </c>
      <c r="C128" s="140">
        <f t="shared" ref="C128:W128" si="156">IF(C36=0,0,C36/C$34)</f>
        <v>6.4489771704035487E-3</v>
      </c>
      <c r="D128" s="140">
        <f t="shared" si="156"/>
        <v>6.9090704919358373E-3</v>
      </c>
      <c r="E128" s="140">
        <f t="shared" si="156"/>
        <v>7.3768758666386651E-3</v>
      </c>
      <c r="F128" s="140">
        <f t="shared" si="156"/>
        <v>6.2225580742459059E-3</v>
      </c>
      <c r="G128" s="140">
        <f t="shared" si="156"/>
        <v>5.8002816157558647E-3</v>
      </c>
      <c r="H128" s="140">
        <f t="shared" si="156"/>
        <v>5.7995700419290457E-3</v>
      </c>
      <c r="I128" s="140">
        <f t="shared" si="156"/>
        <v>5.8280000463668182E-3</v>
      </c>
      <c r="J128" s="140">
        <f t="shared" si="156"/>
        <v>5.8869012517233999E-3</v>
      </c>
      <c r="K128" s="140">
        <f t="shared" si="156"/>
        <v>6.4348341135097289E-3</v>
      </c>
      <c r="L128" s="140">
        <f t="shared" si="156"/>
        <v>5.6415640425121977E-3</v>
      </c>
      <c r="M128" s="140">
        <f t="shared" si="156"/>
        <v>5.7457180687361048E-3</v>
      </c>
      <c r="N128" s="140">
        <f t="shared" si="156"/>
        <v>5.7703290341193474E-3</v>
      </c>
      <c r="O128" s="140">
        <f t="shared" si="156"/>
        <v>5.8048045223507011E-3</v>
      </c>
      <c r="P128" s="140">
        <f t="shared" si="156"/>
        <v>5.8716071509252272E-3</v>
      </c>
      <c r="Q128" s="140">
        <f t="shared" si="156"/>
        <v>5.6477978017229983E-3</v>
      </c>
      <c r="R128" s="140">
        <f t="shared" si="156"/>
        <v>5.7852638166628976E-3</v>
      </c>
      <c r="S128" s="140">
        <f t="shared" si="156"/>
        <v>5.1241768953984449E-3</v>
      </c>
      <c r="T128" s="140">
        <f t="shared" si="156"/>
        <v>4.5466176284695483E-3</v>
      </c>
      <c r="U128" s="140">
        <f t="shared" si="156"/>
        <v>4.6098821112344418E-3</v>
      </c>
      <c r="V128" s="140">
        <f t="shared" si="156"/>
        <v>6.679957537104199E-3</v>
      </c>
      <c r="W128" s="140">
        <f t="shared" si="156"/>
        <v>5.8333831429068714E-3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0.37513642378366996</v>
      </c>
      <c r="C129" s="140">
        <f t="shared" ref="C129:W129" si="157">IF(C37=0,0,C37/C$34)</f>
        <v>0.42541863140022512</v>
      </c>
      <c r="D129" s="140">
        <f t="shared" si="157"/>
        <v>0.45962608916717596</v>
      </c>
      <c r="E129" s="140">
        <f t="shared" si="157"/>
        <v>0.47416820942495475</v>
      </c>
      <c r="F129" s="140">
        <f t="shared" si="157"/>
        <v>0.38184913427621425</v>
      </c>
      <c r="G129" s="140">
        <f t="shared" si="157"/>
        <v>0.44040077202932582</v>
      </c>
      <c r="H129" s="140">
        <f t="shared" si="157"/>
        <v>0.44141386506138586</v>
      </c>
      <c r="I129" s="140">
        <f t="shared" si="157"/>
        <v>0.44189699017492923</v>
      </c>
      <c r="J129" s="140">
        <f t="shared" si="157"/>
        <v>0.47875095742919122</v>
      </c>
      <c r="K129" s="140">
        <f t="shared" si="157"/>
        <v>0.46561195648911541</v>
      </c>
      <c r="L129" s="140">
        <f t="shared" si="157"/>
        <v>0.47495207057547456</v>
      </c>
      <c r="M129" s="140">
        <f t="shared" si="157"/>
        <v>0.47038998437499158</v>
      </c>
      <c r="N129" s="140">
        <f t="shared" si="157"/>
        <v>0.47596606789418711</v>
      </c>
      <c r="O129" s="140">
        <f t="shared" si="157"/>
        <v>0.47083578051513841</v>
      </c>
      <c r="P129" s="140">
        <f t="shared" si="157"/>
        <v>0.45079034548690172</v>
      </c>
      <c r="Q129" s="140">
        <f t="shared" si="157"/>
        <v>0.45211339344568069</v>
      </c>
      <c r="R129" s="140">
        <f t="shared" si="157"/>
        <v>0.4410846660172697</v>
      </c>
      <c r="S129" s="140">
        <f t="shared" si="157"/>
        <v>0.41725488649421694</v>
      </c>
      <c r="T129" s="140">
        <f t="shared" si="157"/>
        <v>0.40898761466014899</v>
      </c>
      <c r="U129" s="140">
        <f t="shared" si="157"/>
        <v>0.40801013944581821</v>
      </c>
      <c r="V129" s="140">
        <f t="shared" si="157"/>
        <v>0.57589740130054223</v>
      </c>
      <c r="W129" s="140">
        <f t="shared" si="157"/>
        <v>0.55102182333546867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5.2007935683269058E-2</v>
      </c>
      <c r="C130" s="140">
        <f t="shared" ref="C130:W130" si="158">IF(C38=0,0,C38/C$34)</f>
        <v>6.0022303347069157E-2</v>
      </c>
      <c r="D130" s="140">
        <f t="shared" si="158"/>
        <v>2.493376696358543E-2</v>
      </c>
      <c r="E130" s="140">
        <f t="shared" si="158"/>
        <v>5.2529674794316472E-2</v>
      </c>
      <c r="F130" s="140">
        <f t="shared" si="158"/>
        <v>6.7600950482306341E-2</v>
      </c>
      <c r="G130" s="140">
        <f t="shared" si="158"/>
        <v>9.4106202379931975E-2</v>
      </c>
      <c r="H130" s="140">
        <f t="shared" si="158"/>
        <v>9.948875785603925E-2</v>
      </c>
      <c r="I130" s="140">
        <f t="shared" si="158"/>
        <v>9.154144643147559E-2</v>
      </c>
      <c r="J130" s="140">
        <f t="shared" si="158"/>
        <v>8.2822214825279253E-2</v>
      </c>
      <c r="K130" s="140">
        <f t="shared" si="158"/>
        <v>7.9314261242505749E-2</v>
      </c>
      <c r="L130" s="140">
        <f t="shared" si="158"/>
        <v>7.6327791595119127E-2</v>
      </c>
      <c r="M130" s="140">
        <f t="shared" si="158"/>
        <v>7.5941766805995917E-2</v>
      </c>
      <c r="N130" s="140">
        <f t="shared" si="158"/>
        <v>8.8183254529966629E-2</v>
      </c>
      <c r="O130" s="140">
        <f t="shared" si="158"/>
        <v>8.7481520271595559E-2</v>
      </c>
      <c r="P130" s="140">
        <f t="shared" si="158"/>
        <v>0.10064925206715818</v>
      </c>
      <c r="Q130" s="140">
        <f t="shared" si="158"/>
        <v>0.10782289837507991</v>
      </c>
      <c r="R130" s="140">
        <f t="shared" si="158"/>
        <v>0.10247244198754631</v>
      </c>
      <c r="S130" s="140">
        <f t="shared" si="158"/>
        <v>0.10354847952632797</v>
      </c>
      <c r="T130" s="140">
        <f t="shared" si="158"/>
        <v>0.10972325129905512</v>
      </c>
      <c r="U130" s="140">
        <f t="shared" si="158"/>
        <v>0.10706198653502771</v>
      </c>
      <c r="V130" s="140">
        <f t="shared" si="158"/>
        <v>0.12816219122952743</v>
      </c>
      <c r="W130" s="140">
        <f t="shared" si="158"/>
        <v>0.1054827216117739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0</v>
      </c>
      <c r="C131" s="124">
        <f t="shared" ref="C131:W131" si="159">IF(C39=0,0,C39/C$34)</f>
        <v>0</v>
      </c>
      <c r="D131" s="124">
        <f t="shared" si="159"/>
        <v>0</v>
      </c>
      <c r="E131" s="124">
        <f t="shared" si="159"/>
        <v>0</v>
      </c>
      <c r="F131" s="124">
        <f t="shared" si="159"/>
        <v>0</v>
      </c>
      <c r="G131" s="124">
        <f t="shared" si="159"/>
        <v>0</v>
      </c>
      <c r="H131" s="124">
        <f t="shared" si="159"/>
        <v>0</v>
      </c>
      <c r="I131" s="124">
        <f t="shared" si="159"/>
        <v>0</v>
      </c>
      <c r="J131" s="124">
        <f t="shared" si="159"/>
        <v>0</v>
      </c>
      <c r="K131" s="124">
        <f t="shared" si="159"/>
        <v>0</v>
      </c>
      <c r="L131" s="124">
        <f t="shared" si="159"/>
        <v>0</v>
      </c>
      <c r="M131" s="124">
        <f t="shared" si="159"/>
        <v>0</v>
      </c>
      <c r="N131" s="124">
        <f t="shared" si="159"/>
        <v>0</v>
      </c>
      <c r="O131" s="124">
        <f t="shared" si="159"/>
        <v>0</v>
      </c>
      <c r="P131" s="124">
        <f t="shared" si="159"/>
        <v>0</v>
      </c>
      <c r="Q131" s="124">
        <f t="shared" si="159"/>
        <v>0</v>
      </c>
      <c r="R131" s="124">
        <f t="shared" si="159"/>
        <v>0</v>
      </c>
      <c r="S131" s="124">
        <f t="shared" si="159"/>
        <v>0</v>
      </c>
      <c r="T131" s="124">
        <f t="shared" si="159"/>
        <v>0</v>
      </c>
      <c r="U131" s="124">
        <f t="shared" si="159"/>
        <v>0</v>
      </c>
      <c r="V131" s="124">
        <f t="shared" si="159"/>
        <v>0</v>
      </c>
      <c r="W131" s="124">
        <f t="shared" si="159"/>
        <v>0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0</v>
      </c>
      <c r="G132" s="140">
        <f t="shared" si="160"/>
        <v>0</v>
      </c>
      <c r="H132" s="140">
        <f t="shared" si="160"/>
        <v>0</v>
      </c>
      <c r="I132" s="140">
        <f t="shared" si="160"/>
        <v>0</v>
      </c>
      <c r="J132" s="140">
        <f t="shared" si="160"/>
        <v>0</v>
      </c>
      <c r="K132" s="140">
        <f t="shared" si="160"/>
        <v>0</v>
      </c>
      <c r="L132" s="140">
        <f t="shared" si="160"/>
        <v>0</v>
      </c>
      <c r="M132" s="140">
        <f t="shared" si="160"/>
        <v>0</v>
      </c>
      <c r="N132" s="140">
        <f t="shared" si="160"/>
        <v>0</v>
      </c>
      <c r="O132" s="140">
        <f t="shared" si="160"/>
        <v>0</v>
      </c>
      <c r="P132" s="140">
        <f t="shared" si="160"/>
        <v>0</v>
      </c>
      <c r="Q132" s="140">
        <f t="shared" si="160"/>
        <v>0</v>
      </c>
      <c r="R132" s="140">
        <f t="shared" si="160"/>
        <v>0</v>
      </c>
      <c r="S132" s="140">
        <f t="shared" si="160"/>
        <v>0</v>
      </c>
      <c r="T132" s="140">
        <f t="shared" si="160"/>
        <v>0</v>
      </c>
      <c r="U132" s="140">
        <f t="shared" si="160"/>
        <v>0</v>
      </c>
      <c r="V132" s="140">
        <f t="shared" si="160"/>
        <v>0</v>
      </c>
      <c r="W132" s="140">
        <f t="shared" si="160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0</v>
      </c>
      <c r="C133" s="140">
        <f t="shared" ref="C133:W133" si="161">IF(C41=0,0,C41/C$34)</f>
        <v>0</v>
      </c>
      <c r="D133" s="140">
        <f t="shared" si="161"/>
        <v>0</v>
      </c>
      <c r="E133" s="140">
        <f t="shared" si="161"/>
        <v>0</v>
      </c>
      <c r="F133" s="140">
        <f t="shared" si="161"/>
        <v>0</v>
      </c>
      <c r="G133" s="140">
        <f t="shared" si="161"/>
        <v>0</v>
      </c>
      <c r="H133" s="140">
        <f t="shared" si="161"/>
        <v>0</v>
      </c>
      <c r="I133" s="140">
        <f t="shared" si="161"/>
        <v>0</v>
      </c>
      <c r="J133" s="140">
        <f t="shared" si="161"/>
        <v>0</v>
      </c>
      <c r="K133" s="140">
        <f t="shared" si="161"/>
        <v>0</v>
      </c>
      <c r="L133" s="140">
        <f t="shared" si="161"/>
        <v>0</v>
      </c>
      <c r="M133" s="140">
        <f t="shared" si="161"/>
        <v>0</v>
      </c>
      <c r="N133" s="140">
        <f t="shared" si="161"/>
        <v>0</v>
      </c>
      <c r="O133" s="140">
        <f t="shared" si="161"/>
        <v>0</v>
      </c>
      <c r="P133" s="140">
        <f t="shared" si="161"/>
        <v>0</v>
      </c>
      <c r="Q133" s="140">
        <f t="shared" si="161"/>
        <v>0</v>
      </c>
      <c r="R133" s="140">
        <f t="shared" si="161"/>
        <v>0</v>
      </c>
      <c r="S133" s="140">
        <f t="shared" si="161"/>
        <v>0</v>
      </c>
      <c r="T133" s="140">
        <f t="shared" si="161"/>
        <v>0</v>
      </c>
      <c r="U133" s="140">
        <f t="shared" si="161"/>
        <v>0</v>
      </c>
      <c r="V133" s="140">
        <f t="shared" si="161"/>
        <v>0</v>
      </c>
      <c r="W133" s="140">
        <f t="shared" si="161"/>
        <v>0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0.56760670522373613</v>
      </c>
      <c r="C135" s="124">
        <f t="shared" ref="C135:W135" si="163">IF(C43=0,0,C43/C$34)</f>
        <v>0.50811008808230218</v>
      </c>
      <c r="D135" s="124">
        <f t="shared" si="163"/>
        <v>0.50853107337730286</v>
      </c>
      <c r="E135" s="124">
        <f t="shared" si="163"/>
        <v>0.46592523991409018</v>
      </c>
      <c r="F135" s="124">
        <f t="shared" si="163"/>
        <v>0.54432735716723346</v>
      </c>
      <c r="G135" s="124">
        <f t="shared" si="163"/>
        <v>0.45969274397498627</v>
      </c>
      <c r="H135" s="124">
        <f t="shared" si="163"/>
        <v>0.45329780704064576</v>
      </c>
      <c r="I135" s="124">
        <f t="shared" si="163"/>
        <v>0.46073356334722826</v>
      </c>
      <c r="J135" s="124">
        <f t="shared" si="163"/>
        <v>0.43253992649380607</v>
      </c>
      <c r="K135" s="124">
        <f t="shared" si="163"/>
        <v>0.4486389481548691</v>
      </c>
      <c r="L135" s="124">
        <f t="shared" si="163"/>
        <v>0.44307857378689414</v>
      </c>
      <c r="M135" s="124">
        <f t="shared" si="163"/>
        <v>0.44792253075027638</v>
      </c>
      <c r="N135" s="124">
        <f t="shared" si="163"/>
        <v>0.43008034854172694</v>
      </c>
      <c r="O135" s="124">
        <f t="shared" si="163"/>
        <v>0.4358778946909152</v>
      </c>
      <c r="P135" s="124">
        <f t="shared" si="163"/>
        <v>0.44268879529501493</v>
      </c>
      <c r="Q135" s="124">
        <f t="shared" si="163"/>
        <v>0.43441591037751637</v>
      </c>
      <c r="R135" s="124">
        <f t="shared" si="163"/>
        <v>0.45065762817852112</v>
      </c>
      <c r="S135" s="124">
        <f t="shared" si="163"/>
        <v>0.47407245708405671</v>
      </c>
      <c r="T135" s="124">
        <f t="shared" si="163"/>
        <v>0.47674251641232646</v>
      </c>
      <c r="U135" s="124">
        <f t="shared" si="163"/>
        <v>0.48031799190791968</v>
      </c>
      <c r="V135" s="124">
        <f t="shared" si="163"/>
        <v>0.28926044993282618</v>
      </c>
      <c r="W135" s="124">
        <f t="shared" si="163"/>
        <v>0.33766207190985048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0.49426857145180791</v>
      </c>
      <c r="C137" s="140">
        <f t="shared" ref="C137:W137" si="165">IF(C45=0,0,C45/C$34)</f>
        <v>0.44245841653236034</v>
      </c>
      <c r="D137" s="140">
        <f t="shared" si="165"/>
        <v>0.45165684655630128</v>
      </c>
      <c r="E137" s="140">
        <f t="shared" si="165"/>
        <v>0.41831344999032832</v>
      </c>
      <c r="F137" s="140">
        <f t="shared" si="165"/>
        <v>0.49159677844274485</v>
      </c>
      <c r="G137" s="140">
        <f t="shared" si="165"/>
        <v>0.4168271729157832</v>
      </c>
      <c r="H137" s="140">
        <f t="shared" si="165"/>
        <v>0.40973123052725363</v>
      </c>
      <c r="I137" s="140">
        <f t="shared" si="165"/>
        <v>0.41813174249385182</v>
      </c>
      <c r="J137" s="140">
        <f t="shared" si="165"/>
        <v>0.39002443832531503</v>
      </c>
      <c r="K137" s="140">
        <f t="shared" si="165"/>
        <v>0.401824115522114</v>
      </c>
      <c r="L137" s="140">
        <f t="shared" si="165"/>
        <v>0.39754395149719596</v>
      </c>
      <c r="M137" s="140">
        <f t="shared" si="165"/>
        <v>0.4024649356662876</v>
      </c>
      <c r="N137" s="140">
        <f t="shared" si="165"/>
        <v>0.38569699536278707</v>
      </c>
      <c r="O137" s="140">
        <f t="shared" si="165"/>
        <v>0.3918649510724318</v>
      </c>
      <c r="P137" s="140">
        <f t="shared" si="165"/>
        <v>0.39943924596145064</v>
      </c>
      <c r="Q137" s="140">
        <f t="shared" si="165"/>
        <v>0.39203622866068388</v>
      </c>
      <c r="R137" s="140">
        <f t="shared" si="165"/>
        <v>0.40837982063668882</v>
      </c>
      <c r="S137" s="140">
        <f t="shared" si="165"/>
        <v>0.4313996374862013</v>
      </c>
      <c r="T137" s="140">
        <f t="shared" si="165"/>
        <v>0.43526068240331756</v>
      </c>
      <c r="U137" s="140">
        <f t="shared" si="165"/>
        <v>0.4380942054626758</v>
      </c>
      <c r="V137" s="140">
        <f t="shared" si="165"/>
        <v>0.24821114146654324</v>
      </c>
      <c r="W137" s="140">
        <f t="shared" si="165"/>
        <v>0.2962741559314841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7.3338133771928257E-2</v>
      </c>
      <c r="C138" s="140">
        <f t="shared" ref="C138:W138" si="166">IF(C46=0,0,C46/C$34)</f>
        <v>6.5651671549941781E-2</v>
      </c>
      <c r="D138" s="140">
        <f t="shared" si="166"/>
        <v>5.6874226821001593E-2</v>
      </c>
      <c r="E138" s="140">
        <f t="shared" si="166"/>
        <v>4.7611789923761916E-2</v>
      </c>
      <c r="F138" s="140">
        <f t="shared" si="166"/>
        <v>5.2730578724488601E-2</v>
      </c>
      <c r="G138" s="140">
        <f t="shared" si="166"/>
        <v>4.2865571059203127E-2</v>
      </c>
      <c r="H138" s="140">
        <f t="shared" si="166"/>
        <v>4.3566576513392179E-2</v>
      </c>
      <c r="I138" s="140">
        <f t="shared" si="166"/>
        <v>4.260182085337641E-2</v>
      </c>
      <c r="J138" s="140">
        <f t="shared" si="166"/>
        <v>4.2515488168491031E-2</v>
      </c>
      <c r="K138" s="140">
        <f t="shared" si="166"/>
        <v>4.6814832632755064E-2</v>
      </c>
      <c r="L138" s="140">
        <f t="shared" si="166"/>
        <v>4.5534622289698172E-2</v>
      </c>
      <c r="M138" s="140">
        <f t="shared" si="166"/>
        <v>4.5457595083988736E-2</v>
      </c>
      <c r="N138" s="140">
        <f t="shared" si="166"/>
        <v>4.4383353178939884E-2</v>
      </c>
      <c r="O138" s="140">
        <f t="shared" si="166"/>
        <v>4.4012943618483437E-2</v>
      </c>
      <c r="P138" s="140">
        <f t="shared" si="166"/>
        <v>4.3249549333564327E-2</v>
      </c>
      <c r="Q138" s="140">
        <f t="shared" si="166"/>
        <v>4.237968171683245E-2</v>
      </c>
      <c r="R138" s="140">
        <f t="shared" si="166"/>
        <v>4.2277807541832302E-2</v>
      </c>
      <c r="S138" s="140">
        <f t="shared" si="166"/>
        <v>4.2672819597855453E-2</v>
      </c>
      <c r="T138" s="140">
        <f t="shared" si="166"/>
        <v>4.1481834009008893E-2</v>
      </c>
      <c r="U138" s="140">
        <f t="shared" si="166"/>
        <v>4.2223786445243834E-2</v>
      </c>
      <c r="V138" s="140">
        <f t="shared" si="166"/>
        <v>4.1049308466282977E-2</v>
      </c>
      <c r="W138" s="140">
        <f t="shared" si="166"/>
        <v>4.1387915978366413E-2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0.95616867534354055</v>
      </c>
      <c r="C140" s="139">
        <f t="shared" ref="C140:W140" si="169">IF(C48=0,0,C48/C$47)</f>
        <v>0.96475968433155979</v>
      </c>
      <c r="D140" s="139">
        <f t="shared" si="169"/>
        <v>0.8542275090653082</v>
      </c>
      <c r="E140" s="139">
        <f t="shared" si="169"/>
        <v>0.93216733843151667</v>
      </c>
      <c r="F140" s="139">
        <f t="shared" si="169"/>
        <v>0.958899867204</v>
      </c>
      <c r="G140" s="139">
        <f t="shared" si="169"/>
        <v>0.84130432468405458</v>
      </c>
      <c r="H140" s="139">
        <f t="shared" si="169"/>
        <v>0.82309790662027527</v>
      </c>
      <c r="I140" s="139">
        <f t="shared" si="169"/>
        <v>0.81604271363377368</v>
      </c>
      <c r="J140" s="139">
        <f t="shared" si="169"/>
        <v>0.8138295829992882</v>
      </c>
      <c r="K140" s="139">
        <f t="shared" si="169"/>
        <v>0.80559028344803985</v>
      </c>
      <c r="L140" s="139">
        <f t="shared" si="169"/>
        <v>0.6835745004574203</v>
      </c>
      <c r="M140" s="139">
        <f t="shared" si="169"/>
        <v>0.67611290081316056</v>
      </c>
      <c r="N140" s="139">
        <f t="shared" si="169"/>
        <v>0.68837086091746036</v>
      </c>
      <c r="O140" s="139">
        <f t="shared" si="169"/>
        <v>0.74217952567677881</v>
      </c>
      <c r="P140" s="139">
        <f t="shared" si="169"/>
        <v>0.74504429247359705</v>
      </c>
      <c r="Q140" s="139">
        <f t="shared" si="169"/>
        <v>0.72849473916417851</v>
      </c>
      <c r="R140" s="139">
        <f t="shared" si="169"/>
        <v>0.75164739298775185</v>
      </c>
      <c r="S140" s="139">
        <f t="shared" si="169"/>
        <v>0.73568240845939503</v>
      </c>
      <c r="T140" s="139">
        <f t="shared" si="169"/>
        <v>0.79318787865398821</v>
      </c>
      <c r="U140" s="139">
        <f t="shared" si="169"/>
        <v>0.7579907319594148</v>
      </c>
      <c r="V140" s="139">
        <f t="shared" si="169"/>
        <v>0.69888835251469761</v>
      </c>
      <c r="W140" s="139">
        <f t="shared" si="169"/>
        <v>0.65831082994791379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0.26272854582149024</v>
      </c>
      <c r="C141" s="140">
        <f t="shared" ref="C141:W141" si="170">IF(C49=0,0,C49/C$47)</f>
        <v>0.27793498778714459</v>
      </c>
      <c r="D141" s="140">
        <f t="shared" si="170"/>
        <v>0.49687277268053659</v>
      </c>
      <c r="E141" s="140">
        <f t="shared" si="170"/>
        <v>0.33826786108372187</v>
      </c>
      <c r="F141" s="140">
        <f t="shared" si="170"/>
        <v>0.24092309129823661</v>
      </c>
      <c r="G141" s="140">
        <f t="shared" si="170"/>
        <v>0.33282163028994149</v>
      </c>
      <c r="H141" s="140">
        <f t="shared" si="170"/>
        <v>0.34523926439132036</v>
      </c>
      <c r="I141" s="140">
        <f t="shared" si="170"/>
        <v>0.32665214183270302</v>
      </c>
      <c r="J141" s="140">
        <f t="shared" si="170"/>
        <v>0.32450724942852077</v>
      </c>
      <c r="K141" s="140">
        <f t="shared" si="170"/>
        <v>0.32565307941098581</v>
      </c>
      <c r="L141" s="140">
        <f t="shared" si="170"/>
        <v>0.30392734288723899</v>
      </c>
      <c r="M141" s="140">
        <f t="shared" si="170"/>
        <v>0.31503185469604317</v>
      </c>
      <c r="N141" s="140">
        <f t="shared" si="170"/>
        <v>0.33178178006438191</v>
      </c>
      <c r="O141" s="140">
        <f t="shared" si="170"/>
        <v>0.35700296009259225</v>
      </c>
      <c r="P141" s="140">
        <f t="shared" si="170"/>
        <v>0.37458780040251366</v>
      </c>
      <c r="Q141" s="140">
        <f t="shared" si="170"/>
        <v>0.37862085823683733</v>
      </c>
      <c r="R141" s="140">
        <f t="shared" si="170"/>
        <v>0.38085080140436883</v>
      </c>
      <c r="S141" s="140">
        <f t="shared" si="170"/>
        <v>0.37848100752476493</v>
      </c>
      <c r="T141" s="140">
        <f t="shared" si="170"/>
        <v>0.41408891686455307</v>
      </c>
      <c r="U141" s="140">
        <f t="shared" si="170"/>
        <v>0.39470620916940835</v>
      </c>
      <c r="V141" s="140">
        <f t="shared" si="170"/>
        <v>0.35716865579294543</v>
      </c>
      <c r="W141" s="140">
        <f t="shared" si="170"/>
        <v>0.32914629734279377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0.69344012952205036</v>
      </c>
      <c r="C142" s="140">
        <f t="shared" ref="C142:W142" si="171">IF(C50=0,0,C50/C$47)</f>
        <v>0.68682469654441514</v>
      </c>
      <c r="D142" s="140">
        <f t="shared" si="171"/>
        <v>0.35735473638477161</v>
      </c>
      <c r="E142" s="140">
        <f t="shared" si="171"/>
        <v>0.5938994773477948</v>
      </c>
      <c r="F142" s="140">
        <f t="shared" si="171"/>
        <v>0.71797677590576336</v>
      </c>
      <c r="G142" s="140">
        <f t="shared" si="171"/>
        <v>0.50848269439411309</v>
      </c>
      <c r="H142" s="140">
        <f t="shared" si="171"/>
        <v>0.47785864222895491</v>
      </c>
      <c r="I142" s="140">
        <f t="shared" si="171"/>
        <v>0.48939057180107071</v>
      </c>
      <c r="J142" s="140">
        <f t="shared" si="171"/>
        <v>0.48932233357076749</v>
      </c>
      <c r="K142" s="140">
        <f t="shared" si="171"/>
        <v>0.47993720403705409</v>
      </c>
      <c r="L142" s="140">
        <f t="shared" si="171"/>
        <v>0.3796471575701813</v>
      </c>
      <c r="M142" s="140">
        <f t="shared" si="171"/>
        <v>0.36108104611711739</v>
      </c>
      <c r="N142" s="140">
        <f t="shared" si="171"/>
        <v>0.35658908085307855</v>
      </c>
      <c r="O142" s="140">
        <f t="shared" si="171"/>
        <v>0.38517656558418656</v>
      </c>
      <c r="P142" s="140">
        <f t="shared" si="171"/>
        <v>0.37045649207108333</v>
      </c>
      <c r="Q142" s="140">
        <f t="shared" si="171"/>
        <v>0.34987388092734106</v>
      </c>
      <c r="R142" s="140">
        <f t="shared" si="171"/>
        <v>0.37079659158338313</v>
      </c>
      <c r="S142" s="140">
        <f t="shared" si="171"/>
        <v>0.3572014009346301</v>
      </c>
      <c r="T142" s="140">
        <f t="shared" si="171"/>
        <v>0.37909896178943508</v>
      </c>
      <c r="U142" s="140">
        <f t="shared" si="171"/>
        <v>0.36328452279000645</v>
      </c>
      <c r="V142" s="140">
        <f t="shared" si="171"/>
        <v>0.34171969672175206</v>
      </c>
      <c r="W142" s="140">
        <f t="shared" si="171"/>
        <v>0.32916453260512007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</v>
      </c>
      <c r="C143" s="124">
        <f t="shared" ref="C143:W143" si="172">IF(C51=0,0,C51/C$47)</f>
        <v>0</v>
      </c>
      <c r="D143" s="124">
        <f t="shared" si="172"/>
        <v>0</v>
      </c>
      <c r="E143" s="124">
        <f t="shared" si="172"/>
        <v>0</v>
      </c>
      <c r="F143" s="124">
        <f t="shared" si="172"/>
        <v>0</v>
      </c>
      <c r="G143" s="124">
        <f t="shared" si="172"/>
        <v>0</v>
      </c>
      <c r="H143" s="124">
        <f t="shared" si="172"/>
        <v>0</v>
      </c>
      <c r="I143" s="124">
        <f t="shared" si="172"/>
        <v>0</v>
      </c>
      <c r="J143" s="124">
        <f t="shared" si="172"/>
        <v>0</v>
      </c>
      <c r="K143" s="124">
        <f t="shared" si="172"/>
        <v>0</v>
      </c>
      <c r="L143" s="124">
        <f t="shared" si="172"/>
        <v>0</v>
      </c>
      <c r="M143" s="124">
        <f t="shared" si="172"/>
        <v>0</v>
      </c>
      <c r="N143" s="124">
        <f t="shared" si="172"/>
        <v>0</v>
      </c>
      <c r="O143" s="124">
        <f t="shared" si="172"/>
        <v>0</v>
      </c>
      <c r="P143" s="124">
        <f t="shared" si="172"/>
        <v>0</v>
      </c>
      <c r="Q143" s="124">
        <f t="shared" si="172"/>
        <v>0</v>
      </c>
      <c r="R143" s="124">
        <f t="shared" si="172"/>
        <v>0</v>
      </c>
      <c r="S143" s="124">
        <f t="shared" si="172"/>
        <v>0</v>
      </c>
      <c r="T143" s="124">
        <f t="shared" si="172"/>
        <v>0</v>
      </c>
      <c r="U143" s="124">
        <f t="shared" si="172"/>
        <v>0</v>
      </c>
      <c r="V143" s="124">
        <f t="shared" si="172"/>
        <v>0</v>
      </c>
      <c r="W143" s="124">
        <f t="shared" si="172"/>
        <v>0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4.3831324656459413E-2</v>
      </c>
      <c r="C144" s="124">
        <f t="shared" ref="C144:W144" si="173">IF(C52=0,0,C52/C$47)</f>
        <v>3.5240315668440228E-2</v>
      </c>
      <c r="D144" s="124">
        <f t="shared" si="173"/>
        <v>0.14577249093469186</v>
      </c>
      <c r="E144" s="124">
        <f t="shared" si="173"/>
        <v>6.7832661568483318E-2</v>
      </c>
      <c r="F144" s="124">
        <f t="shared" si="173"/>
        <v>4.110013279600002E-2</v>
      </c>
      <c r="G144" s="124">
        <f t="shared" si="173"/>
        <v>3.6552009225315332E-2</v>
      </c>
      <c r="H144" s="124">
        <f t="shared" si="173"/>
        <v>4.4466778854765826E-2</v>
      </c>
      <c r="I144" s="124">
        <f t="shared" si="173"/>
        <v>4.402992784212794E-2</v>
      </c>
      <c r="J144" s="124">
        <f t="shared" si="173"/>
        <v>4.7505124247006543E-2</v>
      </c>
      <c r="K144" s="124">
        <f t="shared" si="173"/>
        <v>5.3373862094499055E-2</v>
      </c>
      <c r="L144" s="124">
        <f t="shared" si="173"/>
        <v>5.0110368019604667E-2</v>
      </c>
      <c r="M144" s="124">
        <f t="shared" si="173"/>
        <v>5.0772240294053222E-2</v>
      </c>
      <c r="N144" s="124">
        <f t="shared" si="173"/>
        <v>5.0915499862578095E-2</v>
      </c>
      <c r="O144" s="124">
        <f t="shared" si="173"/>
        <v>3.9816098414031782E-2</v>
      </c>
      <c r="P144" s="124">
        <f t="shared" si="173"/>
        <v>3.2970702311664296E-2</v>
      </c>
      <c r="Q144" s="124">
        <f t="shared" si="173"/>
        <v>3.3913668652685532E-2</v>
      </c>
      <c r="R144" s="124">
        <f t="shared" si="173"/>
        <v>2.1789344060402335E-2</v>
      </c>
      <c r="S144" s="124">
        <f t="shared" si="173"/>
        <v>1.9366073453552145E-2</v>
      </c>
      <c r="T144" s="124">
        <f t="shared" si="173"/>
        <v>1.9614107734571826E-2</v>
      </c>
      <c r="U144" s="124">
        <f t="shared" si="173"/>
        <v>1.219007521270035E-2</v>
      </c>
      <c r="V144" s="124">
        <f t="shared" si="173"/>
        <v>1.5126266358240853E-2</v>
      </c>
      <c r="W144" s="124">
        <f t="shared" si="173"/>
        <v>1.4087406278153461E-2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4.0951907512976352E-2</v>
      </c>
      <c r="C146" s="140">
        <f t="shared" ref="C146:W146" si="175">IF(C54=0,0,C54/C$47)</f>
        <v>3.2649289771685956E-2</v>
      </c>
      <c r="D146" s="140">
        <f t="shared" si="175"/>
        <v>0.13423220026239052</v>
      </c>
      <c r="E146" s="140">
        <f t="shared" si="175"/>
        <v>6.3612704540894988E-2</v>
      </c>
      <c r="F146" s="140">
        <f t="shared" si="175"/>
        <v>3.756496095280859E-2</v>
      </c>
      <c r="G146" s="140">
        <f t="shared" si="175"/>
        <v>3.222739359183515E-2</v>
      </c>
      <c r="H146" s="140">
        <f t="shared" si="175"/>
        <v>3.9119207700507003E-2</v>
      </c>
      <c r="I146" s="140">
        <f t="shared" si="175"/>
        <v>3.7273057886952711E-2</v>
      </c>
      <c r="J146" s="140">
        <f t="shared" si="175"/>
        <v>3.7044106158039117E-2</v>
      </c>
      <c r="K146" s="140">
        <f t="shared" si="175"/>
        <v>3.7912948646175816E-2</v>
      </c>
      <c r="L146" s="140">
        <f t="shared" si="175"/>
        <v>3.9918774814967098E-2</v>
      </c>
      <c r="M146" s="140">
        <f t="shared" si="175"/>
        <v>4.341389681421387E-2</v>
      </c>
      <c r="N146" s="140">
        <f t="shared" si="175"/>
        <v>4.2744091010467687E-2</v>
      </c>
      <c r="O146" s="140">
        <f t="shared" si="175"/>
        <v>3.3564570133112252E-2</v>
      </c>
      <c r="P146" s="140">
        <f t="shared" si="175"/>
        <v>2.9398087634737217E-2</v>
      </c>
      <c r="Q146" s="140">
        <f t="shared" si="175"/>
        <v>3.1743241002448505E-2</v>
      </c>
      <c r="R146" s="140">
        <f t="shared" si="175"/>
        <v>1.9140079689548506E-2</v>
      </c>
      <c r="S146" s="140">
        <f t="shared" si="175"/>
        <v>1.7433723262251677E-2</v>
      </c>
      <c r="T146" s="140">
        <f t="shared" si="175"/>
        <v>1.8091650608545052E-2</v>
      </c>
      <c r="U146" s="140">
        <f t="shared" si="175"/>
        <v>1.1554739291467567E-2</v>
      </c>
      <c r="V146" s="140">
        <f t="shared" si="175"/>
        <v>1.2507790361258594E-2</v>
      </c>
      <c r="W146" s="140">
        <f t="shared" si="175"/>
        <v>1.1816672707042107E-2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2.8794171434830644E-3</v>
      </c>
      <c r="C147" s="140">
        <f t="shared" ref="C147:W147" si="176">IF(C55=0,0,C55/C$47)</f>
        <v>2.5910258967542714E-3</v>
      </c>
      <c r="D147" s="140">
        <f t="shared" si="176"/>
        <v>1.1540290672301338E-2</v>
      </c>
      <c r="E147" s="140">
        <f t="shared" si="176"/>
        <v>4.2199570275883273E-3</v>
      </c>
      <c r="F147" s="140">
        <f t="shared" si="176"/>
        <v>3.5351718431914292E-3</v>
      </c>
      <c r="G147" s="140">
        <f t="shared" si="176"/>
        <v>4.324615633480188E-3</v>
      </c>
      <c r="H147" s="140">
        <f t="shared" si="176"/>
        <v>5.3475711542588285E-3</v>
      </c>
      <c r="I147" s="140">
        <f t="shared" si="176"/>
        <v>6.7568699551752319E-3</v>
      </c>
      <c r="J147" s="140">
        <f t="shared" si="176"/>
        <v>1.046101808896743E-2</v>
      </c>
      <c r="K147" s="140">
        <f t="shared" si="176"/>
        <v>1.5460913448323246E-2</v>
      </c>
      <c r="L147" s="140">
        <f t="shared" si="176"/>
        <v>1.0191593204637564E-2</v>
      </c>
      <c r="M147" s="140">
        <f t="shared" si="176"/>
        <v>7.3583434798393556E-3</v>
      </c>
      <c r="N147" s="140">
        <f t="shared" si="176"/>
        <v>8.1714088521104029E-3</v>
      </c>
      <c r="O147" s="140">
        <f t="shared" si="176"/>
        <v>6.2515282809195334E-3</v>
      </c>
      <c r="P147" s="140">
        <f t="shared" si="176"/>
        <v>3.5726146769270808E-3</v>
      </c>
      <c r="Q147" s="140">
        <f t="shared" si="176"/>
        <v>2.1704276502370291E-3</v>
      </c>
      <c r="R147" s="140">
        <f t="shared" si="176"/>
        <v>2.6492643708538274E-3</v>
      </c>
      <c r="S147" s="140">
        <f t="shared" si="176"/>
        <v>1.9323501913004666E-3</v>
      </c>
      <c r="T147" s="140">
        <f t="shared" si="176"/>
        <v>1.5224571260267746E-3</v>
      </c>
      <c r="U147" s="140">
        <f t="shared" si="176"/>
        <v>6.3533592123278255E-4</v>
      </c>
      <c r="V147" s="140">
        <f t="shared" si="176"/>
        <v>2.6184759969822588E-3</v>
      </c>
      <c r="W147" s="140">
        <f t="shared" si="176"/>
        <v>2.2707335711113531E-3</v>
      </c>
      <c r="DA147" s="175"/>
    </row>
    <row r="148" spans="1:105" ht="11.45" customHeight="1" x14ac:dyDescent="0.25">
      <c r="A148" s="109" t="s">
        <v>142</v>
      </c>
      <c r="B148" s="124">
        <f t="shared" si="167"/>
        <v>0</v>
      </c>
      <c r="C148" s="124">
        <f t="shared" ref="C148:W148" si="177">IF(C56=0,0,C56/C$47)</f>
        <v>0</v>
      </c>
      <c r="D148" s="124">
        <f t="shared" si="177"/>
        <v>0</v>
      </c>
      <c r="E148" s="124">
        <f t="shared" si="177"/>
        <v>0</v>
      </c>
      <c r="F148" s="124">
        <f t="shared" si="177"/>
        <v>0</v>
      </c>
      <c r="G148" s="124">
        <f t="shared" si="177"/>
        <v>0.12214366609063013</v>
      </c>
      <c r="H148" s="124">
        <f t="shared" si="177"/>
        <v>0.13243531452495896</v>
      </c>
      <c r="I148" s="124">
        <f t="shared" si="177"/>
        <v>0.13992735852409824</v>
      </c>
      <c r="J148" s="124">
        <f t="shared" si="177"/>
        <v>0.13866529275370529</v>
      </c>
      <c r="K148" s="124">
        <f t="shared" si="177"/>
        <v>0.14103585445746111</v>
      </c>
      <c r="L148" s="124">
        <f t="shared" si="177"/>
        <v>0.26631513152297515</v>
      </c>
      <c r="M148" s="124">
        <f t="shared" si="177"/>
        <v>0.27311485889278619</v>
      </c>
      <c r="N148" s="124">
        <f t="shared" si="177"/>
        <v>0.26071363921996155</v>
      </c>
      <c r="O148" s="124">
        <f t="shared" si="177"/>
        <v>0.21800437590918939</v>
      </c>
      <c r="P148" s="124">
        <f t="shared" si="177"/>
        <v>0.2219850052147388</v>
      </c>
      <c r="Q148" s="124">
        <f t="shared" si="177"/>
        <v>0.23759159218313594</v>
      </c>
      <c r="R148" s="124">
        <f t="shared" si="177"/>
        <v>0.22656326295184592</v>
      </c>
      <c r="S148" s="124">
        <f t="shared" si="177"/>
        <v>0.24495151808705293</v>
      </c>
      <c r="T148" s="124">
        <f t="shared" si="177"/>
        <v>0.18719801361143998</v>
      </c>
      <c r="U148" s="124">
        <f t="shared" si="177"/>
        <v>0.22981919282788485</v>
      </c>
      <c r="V148" s="124">
        <f t="shared" si="177"/>
        <v>0.28598538112706151</v>
      </c>
      <c r="W148" s="124">
        <f t="shared" si="177"/>
        <v>0.3276017637739328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0.12214366609063013</v>
      </c>
      <c r="H149" s="140">
        <f t="shared" si="178"/>
        <v>0.13243531452495896</v>
      </c>
      <c r="I149" s="140">
        <f t="shared" si="178"/>
        <v>0.13992735852409824</v>
      </c>
      <c r="J149" s="140">
        <f t="shared" si="178"/>
        <v>0.13866529275370529</v>
      </c>
      <c r="K149" s="140">
        <f t="shared" si="178"/>
        <v>0.14103585445746111</v>
      </c>
      <c r="L149" s="140">
        <f t="shared" si="178"/>
        <v>0.26631513152297515</v>
      </c>
      <c r="M149" s="140">
        <f t="shared" si="178"/>
        <v>0.27311485889278619</v>
      </c>
      <c r="N149" s="140">
        <f t="shared" si="178"/>
        <v>0.26071363921996155</v>
      </c>
      <c r="O149" s="140">
        <f t="shared" si="178"/>
        <v>0.21800437590918939</v>
      </c>
      <c r="P149" s="140">
        <f t="shared" si="178"/>
        <v>0.2219850052147388</v>
      </c>
      <c r="Q149" s="140">
        <f t="shared" si="178"/>
        <v>0.23759159218313594</v>
      </c>
      <c r="R149" s="140">
        <f t="shared" si="178"/>
        <v>0.22656326295184592</v>
      </c>
      <c r="S149" s="140">
        <f t="shared" si="178"/>
        <v>0.24495151808705293</v>
      </c>
      <c r="T149" s="140">
        <f t="shared" si="178"/>
        <v>0.18719801361143998</v>
      </c>
      <c r="U149" s="140">
        <f t="shared" si="178"/>
        <v>0.22981919282788485</v>
      </c>
      <c r="V149" s="140">
        <f t="shared" si="178"/>
        <v>0.28598538112706151</v>
      </c>
      <c r="W149" s="140">
        <f t="shared" si="178"/>
        <v>0.3276017637739328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0.50576129641537093</v>
      </c>
      <c r="C152" s="140">
        <f t="shared" ref="C152:W152" si="181">IF(C60=0,0,C60/C$59)</f>
        <v>0.50578541456429371</v>
      </c>
      <c r="D152" s="140">
        <f t="shared" si="181"/>
        <v>0.50397984681658681</v>
      </c>
      <c r="E152" s="140">
        <f t="shared" si="181"/>
        <v>0.50411609173940974</v>
      </c>
      <c r="F152" s="140">
        <f t="shared" si="181"/>
        <v>0.42822738336412153</v>
      </c>
      <c r="G152" s="140">
        <f t="shared" si="181"/>
        <v>0.50685975222091073</v>
      </c>
      <c r="H152" s="140">
        <f t="shared" si="181"/>
        <v>0.45801254902378163</v>
      </c>
      <c r="I152" s="140">
        <f t="shared" si="181"/>
        <v>0.41812377538388845</v>
      </c>
      <c r="J152" s="140">
        <f t="shared" si="181"/>
        <v>0.52659191945549977</v>
      </c>
      <c r="K152" s="140">
        <f t="shared" si="181"/>
        <v>0.5202096276585676</v>
      </c>
      <c r="L152" s="140">
        <f t="shared" si="181"/>
        <v>0.51983787794656511</v>
      </c>
      <c r="M152" s="140">
        <f t="shared" si="181"/>
        <v>0.50422765838503991</v>
      </c>
      <c r="N152" s="140">
        <f t="shared" si="181"/>
        <v>0.55921578718883336</v>
      </c>
      <c r="O152" s="140">
        <f t="shared" si="181"/>
        <v>0.55999610681276768</v>
      </c>
      <c r="P152" s="140">
        <f t="shared" si="181"/>
        <v>0.51245434620176877</v>
      </c>
      <c r="Q152" s="140">
        <f t="shared" si="181"/>
        <v>0.56554737247176912</v>
      </c>
      <c r="R152" s="140">
        <f t="shared" si="181"/>
        <v>0.52570451657369255</v>
      </c>
      <c r="S152" s="140">
        <f t="shared" si="181"/>
        <v>0.51326133336018664</v>
      </c>
      <c r="T152" s="140">
        <f t="shared" si="181"/>
        <v>0.53680767897298631</v>
      </c>
      <c r="U152" s="140">
        <f t="shared" si="181"/>
        <v>0.47888853865213304</v>
      </c>
      <c r="V152" s="140">
        <f t="shared" si="181"/>
        <v>0.54436326908424282</v>
      </c>
      <c r="W152" s="140">
        <f t="shared" si="181"/>
        <v>0.51777956396910585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0.49423870358462901</v>
      </c>
      <c r="C153" s="127">
        <f t="shared" ref="C153:W153" si="182">IF(C61=0,0,C61/C$59)</f>
        <v>0.49421458543570623</v>
      </c>
      <c r="D153" s="127">
        <f t="shared" si="182"/>
        <v>0.49602015318341314</v>
      </c>
      <c r="E153" s="127">
        <f t="shared" si="182"/>
        <v>0.49588390826059037</v>
      </c>
      <c r="F153" s="127">
        <f t="shared" si="182"/>
        <v>0.57177261663587842</v>
      </c>
      <c r="G153" s="127">
        <f t="shared" si="182"/>
        <v>0.49314024777908938</v>
      </c>
      <c r="H153" s="127">
        <f t="shared" si="182"/>
        <v>0.54198745097621848</v>
      </c>
      <c r="I153" s="127">
        <f t="shared" si="182"/>
        <v>0.58187622461611155</v>
      </c>
      <c r="J153" s="127">
        <f t="shared" si="182"/>
        <v>0.47340808054450018</v>
      </c>
      <c r="K153" s="127">
        <f t="shared" si="182"/>
        <v>0.4797903723414324</v>
      </c>
      <c r="L153" s="127">
        <f t="shared" si="182"/>
        <v>0.48016212205343489</v>
      </c>
      <c r="M153" s="127">
        <f t="shared" si="182"/>
        <v>0.49577234161496009</v>
      </c>
      <c r="N153" s="127">
        <f t="shared" si="182"/>
        <v>0.44078421281116664</v>
      </c>
      <c r="O153" s="127">
        <f t="shared" si="182"/>
        <v>0.44000389318723226</v>
      </c>
      <c r="P153" s="127">
        <f t="shared" si="182"/>
        <v>0.48754565379823123</v>
      </c>
      <c r="Q153" s="127">
        <f t="shared" si="182"/>
        <v>0.43445262752823077</v>
      </c>
      <c r="R153" s="127">
        <f t="shared" si="182"/>
        <v>0.47429548342630745</v>
      </c>
      <c r="S153" s="127">
        <f t="shared" si="182"/>
        <v>0.48673866663981347</v>
      </c>
      <c r="T153" s="127">
        <f t="shared" si="182"/>
        <v>0.46319232102701369</v>
      </c>
      <c r="U153" s="127">
        <f t="shared" si="182"/>
        <v>0.52111146134786701</v>
      </c>
      <c r="V153" s="127">
        <f t="shared" si="182"/>
        <v>0.45563673091575713</v>
      </c>
      <c r="W153" s="127">
        <f t="shared" si="182"/>
        <v>0.4822204360308941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0.42695615380323471</v>
      </c>
      <c r="C157" s="139">
        <f t="shared" ref="C157:W157" si="185">IF(C65=0,0,C65/C$64)</f>
        <v>0.48653989900704731</v>
      </c>
      <c r="D157" s="139">
        <f t="shared" si="185"/>
        <v>0.48388843424386263</v>
      </c>
      <c r="E157" s="139">
        <f t="shared" si="185"/>
        <v>0.52810611913350147</v>
      </c>
      <c r="F157" s="139">
        <f t="shared" si="185"/>
        <v>0.4514722000114646</v>
      </c>
      <c r="G157" s="139">
        <f t="shared" si="185"/>
        <v>0.53703138537042805</v>
      </c>
      <c r="H157" s="139">
        <f t="shared" si="185"/>
        <v>0.54375980115300127</v>
      </c>
      <c r="I157" s="139">
        <f t="shared" si="185"/>
        <v>0.53598386486566607</v>
      </c>
      <c r="J157" s="139">
        <f t="shared" si="185"/>
        <v>0.56344238831684146</v>
      </c>
      <c r="K157" s="139">
        <f t="shared" si="185"/>
        <v>0.54754891190312294</v>
      </c>
      <c r="L157" s="139">
        <f t="shared" si="185"/>
        <v>0.5540198614398264</v>
      </c>
      <c r="M157" s="139">
        <f t="shared" si="185"/>
        <v>0.54812320249568736</v>
      </c>
      <c r="N157" s="139">
        <f t="shared" si="185"/>
        <v>0.56494380945374101</v>
      </c>
      <c r="O157" s="139">
        <f t="shared" si="185"/>
        <v>0.5565142764388501</v>
      </c>
      <c r="P157" s="139">
        <f t="shared" si="185"/>
        <v>0.54732710977980537</v>
      </c>
      <c r="Q157" s="139">
        <f t="shared" si="185"/>
        <v>0.5565636542410537</v>
      </c>
      <c r="R157" s="139">
        <f t="shared" si="185"/>
        <v>0.54017889645832073</v>
      </c>
      <c r="S157" s="139">
        <f t="shared" si="185"/>
        <v>0.51626418979845645</v>
      </c>
      <c r="T157" s="139">
        <f t="shared" si="185"/>
        <v>0.51213310426177494</v>
      </c>
      <c r="U157" s="139">
        <f t="shared" si="185"/>
        <v>0.50810878779074287</v>
      </c>
      <c r="V157" s="139">
        <f t="shared" si="185"/>
        <v>0.69547888657998003</v>
      </c>
      <c r="W157" s="139">
        <f t="shared" si="185"/>
        <v>0.64932471155673488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5.1087186071938923E-3</v>
      </c>
      <c r="C158" s="140">
        <f t="shared" ref="C158:W158" si="186">IF(C66=0,0,C66/C$64)</f>
        <v>6.2830740758646171E-3</v>
      </c>
      <c r="D158" s="140">
        <f t="shared" si="186"/>
        <v>6.7584960474360144E-3</v>
      </c>
      <c r="E158" s="140">
        <f t="shared" si="186"/>
        <v>7.2012009152562324E-3</v>
      </c>
      <c r="F158" s="140">
        <f t="shared" si="186"/>
        <v>6.0454446336579712E-3</v>
      </c>
      <c r="G158" s="140">
        <f t="shared" si="186"/>
        <v>5.6303750634826696E-3</v>
      </c>
      <c r="H158" s="140">
        <f t="shared" si="186"/>
        <v>5.6261340017853198E-3</v>
      </c>
      <c r="I158" s="140">
        <f t="shared" si="186"/>
        <v>5.6572728142227939E-3</v>
      </c>
      <c r="J158" s="140">
        <f t="shared" si="186"/>
        <v>5.7267267049294183E-3</v>
      </c>
      <c r="K158" s="140">
        <f t="shared" si="186"/>
        <v>6.2548422777178349E-3</v>
      </c>
      <c r="L158" s="140">
        <f t="shared" si="186"/>
        <v>5.4731661942468701E-3</v>
      </c>
      <c r="M158" s="140">
        <f t="shared" si="186"/>
        <v>5.5868342945140266E-3</v>
      </c>
      <c r="N158" s="140">
        <f t="shared" si="186"/>
        <v>5.6260122837259174E-3</v>
      </c>
      <c r="O158" s="140">
        <f t="shared" si="186"/>
        <v>5.6925485449631254E-3</v>
      </c>
      <c r="P158" s="140">
        <f t="shared" si="186"/>
        <v>5.7869175032707497E-3</v>
      </c>
      <c r="Q158" s="140">
        <f t="shared" si="186"/>
        <v>5.5565988941347786E-3</v>
      </c>
      <c r="R158" s="140">
        <f t="shared" si="186"/>
        <v>5.6894421404144356E-3</v>
      </c>
      <c r="S158" s="140">
        <f t="shared" si="186"/>
        <v>5.0395524863833746E-3</v>
      </c>
      <c r="T158" s="140">
        <f t="shared" si="186"/>
        <v>4.4844712270419949E-3</v>
      </c>
      <c r="U158" s="140">
        <f t="shared" si="186"/>
        <v>4.5502560243858847E-3</v>
      </c>
      <c r="V158" s="140">
        <f t="shared" si="186"/>
        <v>6.7781040466174955E-3</v>
      </c>
      <c r="W158" s="140">
        <f t="shared" si="186"/>
        <v>5.8391916090086383E-3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0.36772275403629406</v>
      </c>
      <c r="C159" s="140">
        <f t="shared" ref="C159:W159" si="187">IF(C67=0,0,C67/C$64)</f>
        <v>0.41772818660923133</v>
      </c>
      <c r="D159" s="140">
        <f t="shared" si="187"/>
        <v>0.45105019504298771</v>
      </c>
      <c r="E159" s="140">
        <f t="shared" si="187"/>
        <v>0.46607442682969275</v>
      </c>
      <c r="F159" s="140">
        <f t="shared" si="187"/>
        <v>0.37520089556492309</v>
      </c>
      <c r="G159" s="140">
        <f t="shared" si="187"/>
        <v>0.43372420036423925</v>
      </c>
      <c r="H159" s="140">
        <f t="shared" si="187"/>
        <v>0.43493519775531408</v>
      </c>
      <c r="I159" s="140">
        <f t="shared" si="187"/>
        <v>0.43531199745262311</v>
      </c>
      <c r="J159" s="140">
        <f t="shared" si="187"/>
        <v>0.47156640771988984</v>
      </c>
      <c r="K159" s="140">
        <f t="shared" si="187"/>
        <v>0.45885838211735308</v>
      </c>
      <c r="L159" s="140">
        <f t="shared" si="187"/>
        <v>0.46983256579670624</v>
      </c>
      <c r="M159" s="140">
        <f t="shared" si="187"/>
        <v>0.46489278582875215</v>
      </c>
      <c r="N159" s="140">
        <f t="shared" si="187"/>
        <v>0.46997353406909542</v>
      </c>
      <c r="O159" s="140">
        <f t="shared" si="187"/>
        <v>0.46378395902867992</v>
      </c>
      <c r="P159" s="140">
        <f t="shared" si="187"/>
        <v>0.44287918828317291</v>
      </c>
      <c r="Q159" s="140">
        <f t="shared" si="187"/>
        <v>0.44456377050958001</v>
      </c>
      <c r="R159" s="140">
        <f t="shared" si="187"/>
        <v>0.43329094887658165</v>
      </c>
      <c r="S159" s="140">
        <f t="shared" si="187"/>
        <v>0.40938956759743977</v>
      </c>
      <c r="T159" s="140">
        <f t="shared" si="187"/>
        <v>0.40079293312554032</v>
      </c>
      <c r="U159" s="140">
        <f t="shared" si="187"/>
        <v>0.39950319593242323</v>
      </c>
      <c r="V159" s="140">
        <f t="shared" si="187"/>
        <v>0.56722507102731412</v>
      </c>
      <c r="W159" s="140">
        <f t="shared" si="187"/>
        <v>0.54174917529527522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5.4124681159746786E-2</v>
      </c>
      <c r="C160" s="140">
        <f t="shared" ref="C160:W160" si="188">IF(C68=0,0,C68/C$64)</f>
        <v>6.252863832195131E-2</v>
      </c>
      <c r="D160" s="140">
        <f t="shared" si="188"/>
        <v>2.6079743153438882E-2</v>
      </c>
      <c r="E160" s="140">
        <f t="shared" si="188"/>
        <v>5.4830491388552526E-2</v>
      </c>
      <c r="F160" s="140">
        <f t="shared" si="188"/>
        <v>7.0225859812883512E-2</v>
      </c>
      <c r="G160" s="140">
        <f t="shared" si="188"/>
        <v>9.7676809942706014E-2</v>
      </c>
      <c r="H160" s="140">
        <f t="shared" si="188"/>
        <v>0.10319846939590196</v>
      </c>
      <c r="I160" s="140">
        <f t="shared" si="188"/>
        <v>9.501459459882014E-2</v>
      </c>
      <c r="J160" s="140">
        <f t="shared" si="188"/>
        <v>8.6149253892022229E-2</v>
      </c>
      <c r="K160" s="140">
        <f t="shared" si="188"/>
        <v>8.2435687508051969E-2</v>
      </c>
      <c r="L160" s="140">
        <f t="shared" si="188"/>
        <v>7.8714129448873266E-2</v>
      </c>
      <c r="M160" s="140">
        <f t="shared" si="188"/>
        <v>7.7643582372421152E-2</v>
      </c>
      <c r="N160" s="140">
        <f t="shared" si="188"/>
        <v>8.9344263100919696E-2</v>
      </c>
      <c r="O160" s="140">
        <f t="shared" si="188"/>
        <v>8.703776886520706E-2</v>
      </c>
      <c r="P160" s="140">
        <f t="shared" si="188"/>
        <v>9.8661003993361668E-2</v>
      </c>
      <c r="Q160" s="140">
        <f t="shared" si="188"/>
        <v>0.10644328483733879</v>
      </c>
      <c r="R160" s="140">
        <f t="shared" si="188"/>
        <v>0.10119850544132467</v>
      </c>
      <c r="S160" s="140">
        <f t="shared" si="188"/>
        <v>0.10183506971463333</v>
      </c>
      <c r="T160" s="140">
        <f t="shared" si="188"/>
        <v>0.10685569990919264</v>
      </c>
      <c r="U160" s="140">
        <f t="shared" si="188"/>
        <v>0.10405533583393374</v>
      </c>
      <c r="V160" s="140">
        <f t="shared" si="188"/>
        <v>0.12147571150604847</v>
      </c>
      <c r="W160" s="140">
        <f t="shared" si="188"/>
        <v>0.10173634465245104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0</v>
      </c>
      <c r="C161" s="124">
        <f t="shared" ref="C161:W161" si="189">IF(C69=0,0,C69/C$64)</f>
        <v>0</v>
      </c>
      <c r="D161" s="124">
        <f t="shared" si="189"/>
        <v>0</v>
      </c>
      <c r="E161" s="124">
        <f t="shared" si="189"/>
        <v>0</v>
      </c>
      <c r="F161" s="124">
        <f t="shared" si="189"/>
        <v>0</v>
      </c>
      <c r="G161" s="124">
        <f t="shared" si="189"/>
        <v>0</v>
      </c>
      <c r="H161" s="124">
        <f t="shared" si="189"/>
        <v>0</v>
      </c>
      <c r="I161" s="124">
        <f t="shared" si="189"/>
        <v>0</v>
      </c>
      <c r="J161" s="124">
        <f t="shared" si="189"/>
        <v>0</v>
      </c>
      <c r="K161" s="124">
        <f t="shared" si="189"/>
        <v>0</v>
      </c>
      <c r="L161" s="124">
        <f t="shared" si="189"/>
        <v>0</v>
      </c>
      <c r="M161" s="124">
        <f t="shared" si="189"/>
        <v>0</v>
      </c>
      <c r="N161" s="124">
        <f t="shared" si="189"/>
        <v>0</v>
      </c>
      <c r="O161" s="124">
        <f t="shared" si="189"/>
        <v>0</v>
      </c>
      <c r="P161" s="124">
        <f t="shared" si="189"/>
        <v>0</v>
      </c>
      <c r="Q161" s="124">
        <f t="shared" si="189"/>
        <v>0</v>
      </c>
      <c r="R161" s="124">
        <f t="shared" si="189"/>
        <v>0</v>
      </c>
      <c r="S161" s="124">
        <f t="shared" si="189"/>
        <v>0</v>
      </c>
      <c r="T161" s="124">
        <f t="shared" si="189"/>
        <v>0</v>
      </c>
      <c r="U161" s="124">
        <f t="shared" si="189"/>
        <v>0</v>
      </c>
      <c r="V161" s="124">
        <f t="shared" si="189"/>
        <v>0</v>
      </c>
      <c r="W161" s="124">
        <f t="shared" si="189"/>
        <v>0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0</v>
      </c>
      <c r="C163" s="140">
        <f t="shared" ref="C163:W163" si="191">IF(C71=0,0,C71/C$64)</f>
        <v>0</v>
      </c>
      <c r="D163" s="140">
        <f t="shared" si="191"/>
        <v>0</v>
      </c>
      <c r="E163" s="140">
        <f t="shared" si="191"/>
        <v>0</v>
      </c>
      <c r="F163" s="140">
        <f t="shared" si="191"/>
        <v>0</v>
      </c>
      <c r="G163" s="140">
        <f t="shared" si="191"/>
        <v>0</v>
      </c>
      <c r="H163" s="140">
        <f t="shared" si="191"/>
        <v>0</v>
      </c>
      <c r="I163" s="140">
        <f t="shared" si="191"/>
        <v>0</v>
      </c>
      <c r="J163" s="140">
        <f t="shared" si="191"/>
        <v>0</v>
      </c>
      <c r="K163" s="140">
        <f t="shared" si="191"/>
        <v>0</v>
      </c>
      <c r="L163" s="140">
        <f t="shared" si="191"/>
        <v>0</v>
      </c>
      <c r="M163" s="140">
        <f t="shared" si="191"/>
        <v>0</v>
      </c>
      <c r="N163" s="140">
        <f t="shared" si="191"/>
        <v>0</v>
      </c>
      <c r="O163" s="140">
        <f t="shared" si="191"/>
        <v>0</v>
      </c>
      <c r="P163" s="140">
        <f t="shared" si="191"/>
        <v>0</v>
      </c>
      <c r="Q163" s="140">
        <f t="shared" si="191"/>
        <v>0</v>
      </c>
      <c r="R163" s="140">
        <f t="shared" si="191"/>
        <v>0</v>
      </c>
      <c r="S163" s="140">
        <f t="shared" si="191"/>
        <v>0</v>
      </c>
      <c r="T163" s="140">
        <f t="shared" si="191"/>
        <v>0</v>
      </c>
      <c r="U163" s="140">
        <f t="shared" si="191"/>
        <v>0</v>
      </c>
      <c r="V163" s="140">
        <f t="shared" si="191"/>
        <v>0</v>
      </c>
      <c r="W163" s="140">
        <f t="shared" si="191"/>
        <v>0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0.57304384619676529</v>
      </c>
      <c r="C165" s="124">
        <f t="shared" ref="C165:W165" si="193">IF(C73=0,0,C73/C$64)</f>
        <v>0.51346010099295269</v>
      </c>
      <c r="D165" s="124">
        <f t="shared" si="193"/>
        <v>0.51611156575613748</v>
      </c>
      <c r="E165" s="124">
        <f t="shared" si="193"/>
        <v>0.47189388086649853</v>
      </c>
      <c r="F165" s="124">
        <f t="shared" si="193"/>
        <v>0.54852779998853551</v>
      </c>
      <c r="G165" s="124">
        <f t="shared" si="193"/>
        <v>0.46296861462957212</v>
      </c>
      <c r="H165" s="124">
        <f t="shared" si="193"/>
        <v>0.45624019884699868</v>
      </c>
      <c r="I165" s="124">
        <f t="shared" si="193"/>
        <v>0.46401613513433376</v>
      </c>
      <c r="J165" s="124">
        <f t="shared" si="193"/>
        <v>0.43655761168315865</v>
      </c>
      <c r="K165" s="124">
        <f t="shared" si="193"/>
        <v>0.45245108809687706</v>
      </c>
      <c r="L165" s="124">
        <f t="shared" si="193"/>
        <v>0.44598013856017349</v>
      </c>
      <c r="M165" s="124">
        <f t="shared" si="193"/>
        <v>0.45187679750431275</v>
      </c>
      <c r="N165" s="124">
        <f t="shared" si="193"/>
        <v>0.43505619054625899</v>
      </c>
      <c r="O165" s="124">
        <f t="shared" si="193"/>
        <v>0.44348572356114985</v>
      </c>
      <c r="P165" s="124">
        <f t="shared" si="193"/>
        <v>0.45267289022019463</v>
      </c>
      <c r="Q165" s="124">
        <f t="shared" si="193"/>
        <v>0.44343634575894636</v>
      </c>
      <c r="R165" s="124">
        <f t="shared" si="193"/>
        <v>0.45982110354167921</v>
      </c>
      <c r="S165" s="124">
        <f t="shared" si="193"/>
        <v>0.48373581020154355</v>
      </c>
      <c r="T165" s="124">
        <f t="shared" si="193"/>
        <v>0.48786689573822506</v>
      </c>
      <c r="U165" s="124">
        <f t="shared" si="193"/>
        <v>0.49189121220925719</v>
      </c>
      <c r="V165" s="124">
        <f t="shared" si="193"/>
        <v>0.30452111342001986</v>
      </c>
      <c r="W165" s="124">
        <f t="shared" si="193"/>
        <v>0.35067528844326518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0.49900320174561658</v>
      </c>
      <c r="C167" s="140">
        <f t="shared" ref="C167:W167" si="195">IF(C75=0,0,C75/C$64)</f>
        <v>0.44711716725665362</v>
      </c>
      <c r="D167" s="140">
        <f t="shared" si="195"/>
        <v>0.45838953500428575</v>
      </c>
      <c r="E167" s="140">
        <f t="shared" si="195"/>
        <v>0.42367216974763494</v>
      </c>
      <c r="F167" s="140">
        <f t="shared" si="195"/>
        <v>0.49539031211654594</v>
      </c>
      <c r="G167" s="140">
        <f t="shared" si="195"/>
        <v>0.41979757417115537</v>
      </c>
      <c r="H167" s="140">
        <f t="shared" si="195"/>
        <v>0.41239082825039497</v>
      </c>
      <c r="I167" s="140">
        <f t="shared" si="195"/>
        <v>0.42111079062577439</v>
      </c>
      <c r="J167" s="140">
        <f t="shared" si="195"/>
        <v>0.39364721465962321</v>
      </c>
      <c r="K167" s="140">
        <f t="shared" si="195"/>
        <v>0.40523846411298825</v>
      </c>
      <c r="L167" s="140">
        <f t="shared" si="195"/>
        <v>0.40014732614389992</v>
      </c>
      <c r="M167" s="140">
        <f t="shared" si="195"/>
        <v>0.40601790209578353</v>
      </c>
      <c r="N167" s="140">
        <f t="shared" si="195"/>
        <v>0.39015934133384872</v>
      </c>
      <c r="O167" s="140">
        <f t="shared" si="195"/>
        <v>0.3987045763994192</v>
      </c>
      <c r="P167" s="140">
        <f t="shared" si="195"/>
        <v>0.4084479206577768</v>
      </c>
      <c r="Q167" s="140">
        <f t="shared" si="195"/>
        <v>0.40017667053524619</v>
      </c>
      <c r="R167" s="140">
        <f t="shared" si="195"/>
        <v>0.41668363752832882</v>
      </c>
      <c r="S167" s="140">
        <f t="shared" si="195"/>
        <v>0.44019316043715767</v>
      </c>
      <c r="T167" s="140">
        <f t="shared" si="195"/>
        <v>0.44541711857171717</v>
      </c>
      <c r="U167" s="140">
        <f t="shared" si="195"/>
        <v>0.44865004729658109</v>
      </c>
      <c r="V167" s="140">
        <f t="shared" si="195"/>
        <v>0.2613061453102169</v>
      </c>
      <c r="W167" s="140">
        <f t="shared" si="195"/>
        <v>0.3076923164686865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7.4040644451148774E-2</v>
      </c>
      <c r="C168" s="140">
        <f t="shared" ref="C168:W168" si="196">IF(C76=0,0,C76/C$64)</f>
        <v>6.6342933736299112E-2</v>
      </c>
      <c r="D168" s="140">
        <f t="shared" si="196"/>
        <v>5.7722030751851734E-2</v>
      </c>
      <c r="E168" s="140">
        <f t="shared" si="196"/>
        <v>4.8221711118863572E-2</v>
      </c>
      <c r="F168" s="140">
        <f t="shared" si="196"/>
        <v>5.3137487871989568E-2</v>
      </c>
      <c r="G168" s="140">
        <f t="shared" si="196"/>
        <v>4.3171040458416771E-2</v>
      </c>
      <c r="H168" s="140">
        <f t="shared" si="196"/>
        <v>4.3849370596603696E-2</v>
      </c>
      <c r="I168" s="140">
        <f t="shared" si="196"/>
        <v>4.2905344508559373E-2</v>
      </c>
      <c r="J168" s="140">
        <f t="shared" si="196"/>
        <v>4.2910397023535392E-2</v>
      </c>
      <c r="K168" s="140">
        <f t="shared" si="196"/>
        <v>4.7212623983888806E-2</v>
      </c>
      <c r="L168" s="140">
        <f t="shared" si="196"/>
        <v>4.5832812416273593E-2</v>
      </c>
      <c r="M168" s="140">
        <f t="shared" si="196"/>
        <v>4.5858895408529173E-2</v>
      </c>
      <c r="N168" s="140">
        <f t="shared" si="196"/>
        <v>4.48968492124103E-2</v>
      </c>
      <c r="O168" s="140">
        <f t="shared" si="196"/>
        <v>4.4781147161730678E-2</v>
      </c>
      <c r="P168" s="140">
        <f t="shared" si="196"/>
        <v>4.4224969562417844E-2</v>
      </c>
      <c r="Q168" s="140">
        <f t="shared" si="196"/>
        <v>4.3259675223700209E-2</v>
      </c>
      <c r="R168" s="140">
        <f t="shared" si="196"/>
        <v>4.3137466013350396E-2</v>
      </c>
      <c r="S168" s="140">
        <f t="shared" si="196"/>
        <v>4.3542649764385821E-2</v>
      </c>
      <c r="T168" s="140">
        <f t="shared" si="196"/>
        <v>4.2449777166507913E-2</v>
      </c>
      <c r="U168" s="140">
        <f t="shared" si="196"/>
        <v>4.3241164912676128E-2</v>
      </c>
      <c r="V168" s="140">
        <f t="shared" si="196"/>
        <v>4.3214968109802958E-2</v>
      </c>
      <c r="W168" s="140">
        <f t="shared" si="196"/>
        <v>4.2982971974578649E-2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0.95739424054319333</v>
      </c>
      <c r="C170" s="139">
        <f t="shared" ref="C170:W170" si="199">IF(C78=0,0,C78/C$77)</f>
        <v>0.96574874396216059</v>
      </c>
      <c r="D170" s="139">
        <f t="shared" si="199"/>
        <v>0.85738469845395648</v>
      </c>
      <c r="E170" s="139">
        <f t="shared" si="199"/>
        <v>0.93395904666723928</v>
      </c>
      <c r="F170" s="139">
        <f t="shared" si="199"/>
        <v>0.96005463455282491</v>
      </c>
      <c r="G170" s="139">
        <f t="shared" si="199"/>
        <v>0.84047113485704761</v>
      </c>
      <c r="H170" s="139">
        <f t="shared" si="199"/>
        <v>0.82252932343666851</v>
      </c>
      <c r="I170" s="139">
        <f t="shared" si="199"/>
        <v>0.81554645620575927</v>
      </c>
      <c r="J170" s="139">
        <f t="shared" si="199"/>
        <v>0.81294247648298967</v>
      </c>
      <c r="K170" s="139">
        <f t="shared" si="199"/>
        <v>0.80622095217328604</v>
      </c>
      <c r="L170" s="139">
        <f t="shared" si="199"/>
        <v>0.68180394399641642</v>
      </c>
      <c r="M170" s="139">
        <f t="shared" si="199"/>
        <v>0.67290522813773412</v>
      </c>
      <c r="N170" s="139">
        <f t="shared" si="199"/>
        <v>0.68231641719363956</v>
      </c>
      <c r="O170" s="139">
        <f t="shared" si="199"/>
        <v>0.73316789193980492</v>
      </c>
      <c r="P170" s="139">
        <f t="shared" si="199"/>
        <v>0.73198015542807193</v>
      </c>
      <c r="Q170" s="139">
        <f t="shared" si="199"/>
        <v>0.71659345422262621</v>
      </c>
      <c r="R170" s="139">
        <f t="shared" si="199"/>
        <v>0.74021864208843147</v>
      </c>
      <c r="S170" s="139">
        <f t="shared" si="199"/>
        <v>0.72384294538808225</v>
      </c>
      <c r="T170" s="139">
        <f t="shared" si="199"/>
        <v>0.7811420123245697</v>
      </c>
      <c r="U170" s="139">
        <f t="shared" si="199"/>
        <v>0.74376884546944566</v>
      </c>
      <c r="V170" s="139">
        <f t="shared" si="199"/>
        <v>0.67133041400042415</v>
      </c>
      <c r="W170" s="139">
        <f t="shared" si="199"/>
        <v>0.63650982435920722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0.26256500245794856</v>
      </c>
      <c r="C171" s="140">
        <f t="shared" ref="C171:W171" si="200">IF(C79=0,0,C79/C$77)</f>
        <v>0.27757191672946435</v>
      </c>
      <c r="D171" s="140">
        <f t="shared" si="200"/>
        <v>0.49707213142982432</v>
      </c>
      <c r="E171" s="140">
        <f t="shared" si="200"/>
        <v>0.33805444841936699</v>
      </c>
      <c r="F171" s="140">
        <f t="shared" si="200"/>
        <v>0.24070611845919573</v>
      </c>
      <c r="G171" s="140">
        <f t="shared" si="200"/>
        <v>0.33208436202655917</v>
      </c>
      <c r="H171" s="140">
        <f t="shared" si="200"/>
        <v>0.34462639784127613</v>
      </c>
      <c r="I171" s="140">
        <f t="shared" si="200"/>
        <v>0.32608350352855009</v>
      </c>
      <c r="J171" s="140">
        <f t="shared" si="200"/>
        <v>0.32379336974846462</v>
      </c>
      <c r="K171" s="140">
        <f t="shared" si="200"/>
        <v>0.32554026600686575</v>
      </c>
      <c r="L171" s="140">
        <f t="shared" si="200"/>
        <v>0.30279039102581606</v>
      </c>
      <c r="M171" s="140">
        <f t="shared" si="200"/>
        <v>0.31325644954265336</v>
      </c>
      <c r="N171" s="140">
        <f t="shared" si="200"/>
        <v>0.32864097036366768</v>
      </c>
      <c r="O171" s="140">
        <f t="shared" si="200"/>
        <v>0.35255760930805541</v>
      </c>
      <c r="P171" s="140">
        <f t="shared" si="200"/>
        <v>0.36802730218283303</v>
      </c>
      <c r="Q171" s="140">
        <f t="shared" si="200"/>
        <v>0.37239110227345951</v>
      </c>
      <c r="R171" s="140">
        <f t="shared" si="200"/>
        <v>0.37500678868503856</v>
      </c>
      <c r="S171" s="140">
        <f t="shared" si="200"/>
        <v>0.37235980535306634</v>
      </c>
      <c r="T171" s="140">
        <f t="shared" si="200"/>
        <v>0.40781235907242686</v>
      </c>
      <c r="U171" s="140">
        <f t="shared" si="200"/>
        <v>0.38716048456772534</v>
      </c>
      <c r="V171" s="140">
        <f t="shared" si="200"/>
        <v>0.34313661089865105</v>
      </c>
      <c r="W171" s="140">
        <f t="shared" si="200"/>
        <v>0.31815697108902141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0.69482923808524477</v>
      </c>
      <c r="C172" s="140">
        <f t="shared" ref="C172:W172" si="201">IF(C80=0,0,C80/C$77)</f>
        <v>0.68817682723269624</v>
      </c>
      <c r="D172" s="140">
        <f t="shared" si="201"/>
        <v>0.36031256702413217</v>
      </c>
      <c r="E172" s="140">
        <f t="shared" si="201"/>
        <v>0.59590459824787223</v>
      </c>
      <c r="F172" s="140">
        <f t="shared" si="201"/>
        <v>0.71934851609362915</v>
      </c>
      <c r="G172" s="140">
        <f t="shared" si="201"/>
        <v>0.50838677283048839</v>
      </c>
      <c r="H172" s="140">
        <f t="shared" si="201"/>
        <v>0.47790292559539238</v>
      </c>
      <c r="I172" s="140">
        <f t="shared" si="201"/>
        <v>0.48946295267720924</v>
      </c>
      <c r="J172" s="140">
        <f t="shared" si="201"/>
        <v>0.48914910673452511</v>
      </c>
      <c r="K172" s="140">
        <f t="shared" si="201"/>
        <v>0.48068068616642035</v>
      </c>
      <c r="L172" s="140">
        <f t="shared" si="201"/>
        <v>0.37901355297060041</v>
      </c>
      <c r="M172" s="140">
        <f t="shared" si="201"/>
        <v>0.35964877859508076</v>
      </c>
      <c r="N172" s="140">
        <f t="shared" si="201"/>
        <v>0.35367544682997187</v>
      </c>
      <c r="O172" s="140">
        <f t="shared" si="201"/>
        <v>0.38061028263174956</v>
      </c>
      <c r="P172" s="140">
        <f t="shared" si="201"/>
        <v>0.36395285324523885</v>
      </c>
      <c r="Q172" s="140">
        <f t="shared" si="201"/>
        <v>0.34420235194916671</v>
      </c>
      <c r="R172" s="140">
        <f t="shared" si="201"/>
        <v>0.36521185340339285</v>
      </c>
      <c r="S172" s="140">
        <f t="shared" si="201"/>
        <v>0.35148314003501591</v>
      </c>
      <c r="T172" s="140">
        <f t="shared" si="201"/>
        <v>0.37332965325214285</v>
      </c>
      <c r="U172" s="140">
        <f t="shared" si="201"/>
        <v>0.35660836090172021</v>
      </c>
      <c r="V172" s="140">
        <f t="shared" si="201"/>
        <v>0.32819380310177315</v>
      </c>
      <c r="W172" s="140">
        <f t="shared" si="201"/>
        <v>0.31835285327018586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</v>
      </c>
      <c r="C173" s="124">
        <f t="shared" ref="C173:W173" si="202">IF(C81=0,0,C81/C$77)</f>
        <v>0</v>
      </c>
      <c r="D173" s="124">
        <f t="shared" si="202"/>
        <v>0</v>
      </c>
      <c r="E173" s="124">
        <f t="shared" si="202"/>
        <v>0</v>
      </c>
      <c r="F173" s="124">
        <f t="shared" si="202"/>
        <v>0</v>
      </c>
      <c r="G173" s="124">
        <f t="shared" si="202"/>
        <v>0</v>
      </c>
      <c r="H173" s="124">
        <f t="shared" si="202"/>
        <v>0</v>
      </c>
      <c r="I173" s="124">
        <f t="shared" si="202"/>
        <v>0</v>
      </c>
      <c r="J173" s="124">
        <f t="shared" si="202"/>
        <v>0</v>
      </c>
      <c r="K173" s="124">
        <f t="shared" si="202"/>
        <v>0</v>
      </c>
      <c r="L173" s="124">
        <f t="shared" si="202"/>
        <v>0</v>
      </c>
      <c r="M173" s="124">
        <f t="shared" si="202"/>
        <v>0</v>
      </c>
      <c r="N173" s="124">
        <f t="shared" si="202"/>
        <v>0</v>
      </c>
      <c r="O173" s="124">
        <f t="shared" si="202"/>
        <v>0</v>
      </c>
      <c r="P173" s="124">
        <f t="shared" si="202"/>
        <v>0</v>
      </c>
      <c r="Q173" s="124">
        <f t="shared" si="202"/>
        <v>0</v>
      </c>
      <c r="R173" s="124">
        <f t="shared" si="202"/>
        <v>0</v>
      </c>
      <c r="S173" s="124">
        <f t="shared" si="202"/>
        <v>0</v>
      </c>
      <c r="T173" s="124">
        <f t="shared" si="202"/>
        <v>0</v>
      </c>
      <c r="U173" s="124">
        <f t="shared" si="202"/>
        <v>0</v>
      </c>
      <c r="V173" s="124">
        <f t="shared" si="202"/>
        <v>0</v>
      </c>
      <c r="W173" s="124">
        <f t="shared" si="202"/>
        <v>0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4.2605759456806655E-2</v>
      </c>
      <c r="C174" s="124">
        <f t="shared" ref="C174:W174" si="203">IF(C82=0,0,C82/C$77)</f>
        <v>3.4251256037839413E-2</v>
      </c>
      <c r="D174" s="124">
        <f t="shared" si="203"/>
        <v>0.14261530154604349</v>
      </c>
      <c r="E174" s="124">
        <f t="shared" si="203"/>
        <v>6.604095333276068E-2</v>
      </c>
      <c r="F174" s="124">
        <f t="shared" si="203"/>
        <v>3.9945365447175078E-2</v>
      </c>
      <c r="G174" s="124">
        <f t="shared" si="203"/>
        <v>3.5460103823605267E-2</v>
      </c>
      <c r="H174" s="124">
        <f t="shared" si="203"/>
        <v>4.315057600517206E-2</v>
      </c>
      <c r="I174" s="124">
        <f t="shared" si="203"/>
        <v>4.2729015203918204E-2</v>
      </c>
      <c r="J174" s="124">
        <f t="shared" si="203"/>
        <v>4.6078397536515693E-2</v>
      </c>
      <c r="K174" s="124">
        <f t="shared" si="203"/>
        <v>5.1869440918220891E-2</v>
      </c>
      <c r="L174" s="124">
        <f t="shared" si="203"/>
        <v>4.8820088444537391E-2</v>
      </c>
      <c r="M174" s="124">
        <f t="shared" si="203"/>
        <v>4.989370649997997E-2</v>
      </c>
      <c r="N174" s="124">
        <f t="shared" si="203"/>
        <v>5.0416500400612088E-2</v>
      </c>
      <c r="O174" s="124">
        <f t="shared" si="203"/>
        <v>4.0233953257815439E-2</v>
      </c>
      <c r="P174" s="124">
        <f t="shared" si="203"/>
        <v>3.3790140924080524E-2</v>
      </c>
      <c r="Q174" s="124">
        <f t="shared" si="203"/>
        <v>3.4498009777132625E-2</v>
      </c>
      <c r="R174" s="124">
        <f t="shared" si="203"/>
        <v>2.2173121609895766E-2</v>
      </c>
      <c r="S174" s="124">
        <f t="shared" si="203"/>
        <v>1.9771645080054415E-2</v>
      </c>
      <c r="T174" s="124">
        <f t="shared" si="203"/>
        <v>2.0235046788282057E-2</v>
      </c>
      <c r="U174" s="124">
        <f t="shared" si="203"/>
        <v>1.2561548026005884E-2</v>
      </c>
      <c r="V174" s="124">
        <f t="shared" si="203"/>
        <v>1.6056395727345175E-2</v>
      </c>
      <c r="W174" s="124">
        <f t="shared" si="203"/>
        <v>1.4569966160182548E-2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3.9806853533871797E-2</v>
      </c>
      <c r="C176" s="140">
        <f t="shared" ref="C176:W176" si="205">IF(C84=0,0,C84/C$77)</f>
        <v>3.1732950236456364E-2</v>
      </c>
      <c r="D176" s="140">
        <f t="shared" si="205"/>
        <v>0.13132495435086111</v>
      </c>
      <c r="E176" s="140">
        <f t="shared" si="205"/>
        <v>6.1932460776503648E-2</v>
      </c>
      <c r="F176" s="140">
        <f t="shared" si="205"/>
        <v>3.650951934186545E-2</v>
      </c>
      <c r="G176" s="140">
        <f t="shared" si="205"/>
        <v>3.1264675922088293E-2</v>
      </c>
      <c r="H176" s="140">
        <f t="shared" si="205"/>
        <v>3.7961291296950382E-2</v>
      </c>
      <c r="I176" s="140">
        <f t="shared" si="205"/>
        <v>3.6171784402160276E-2</v>
      </c>
      <c r="J176" s="140">
        <f t="shared" si="205"/>
        <v>3.5931556373996323E-2</v>
      </c>
      <c r="K176" s="140">
        <f t="shared" si="205"/>
        <v>3.6844316162780312E-2</v>
      </c>
      <c r="L176" s="140">
        <f t="shared" si="205"/>
        <v>3.8890916073532365E-2</v>
      </c>
      <c r="M176" s="140">
        <f t="shared" si="205"/>
        <v>4.2662687585257243E-2</v>
      </c>
      <c r="N176" s="140">
        <f t="shared" si="205"/>
        <v>4.2325175778877754E-2</v>
      </c>
      <c r="O176" s="140">
        <f t="shared" si="205"/>
        <v>3.3916817559864004E-2</v>
      </c>
      <c r="P176" s="140">
        <f t="shared" si="205"/>
        <v>3.0128734131477965E-2</v>
      </c>
      <c r="Q176" s="140">
        <f t="shared" si="205"/>
        <v>3.229018510722606E-2</v>
      </c>
      <c r="R176" s="140">
        <f t="shared" si="205"/>
        <v>1.9477195522865989E-2</v>
      </c>
      <c r="S176" s="140">
        <f t="shared" si="205"/>
        <v>1.779882688103223E-2</v>
      </c>
      <c r="T176" s="140">
        <f t="shared" si="205"/>
        <v>1.866439205367974E-2</v>
      </c>
      <c r="U176" s="140">
        <f t="shared" si="205"/>
        <v>1.190685127082119E-2</v>
      </c>
      <c r="V176" s="140">
        <f t="shared" si="205"/>
        <v>1.3276907001285787E-2</v>
      </c>
      <c r="W176" s="140">
        <f t="shared" si="205"/>
        <v>1.2221449290814633E-2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2.7989059229348539E-3</v>
      </c>
      <c r="C177" s="140">
        <f t="shared" ref="C177:W177" si="206">IF(C85=0,0,C85/C$77)</f>
        <v>2.51830580138305E-3</v>
      </c>
      <c r="D177" s="140">
        <f t="shared" si="206"/>
        <v>1.1290347195182387E-2</v>
      </c>
      <c r="E177" s="140">
        <f t="shared" si="206"/>
        <v>4.1084925562570335E-3</v>
      </c>
      <c r="F177" s="140">
        <f t="shared" si="206"/>
        <v>3.4358461053096276E-3</v>
      </c>
      <c r="G177" s="140">
        <f t="shared" si="206"/>
        <v>4.1954279015169772E-3</v>
      </c>
      <c r="H177" s="140">
        <f t="shared" si="206"/>
        <v>5.1892847082216764E-3</v>
      </c>
      <c r="I177" s="140">
        <f t="shared" si="206"/>
        <v>6.557230801757935E-3</v>
      </c>
      <c r="J177" s="140">
        <f t="shared" si="206"/>
        <v>1.0146841162519368E-2</v>
      </c>
      <c r="K177" s="140">
        <f t="shared" si="206"/>
        <v>1.5025124755440579E-2</v>
      </c>
      <c r="L177" s="140">
        <f t="shared" si="206"/>
        <v>9.9291723710050201E-3</v>
      </c>
      <c r="M177" s="140">
        <f t="shared" si="206"/>
        <v>7.2310189147227243E-3</v>
      </c>
      <c r="N177" s="140">
        <f t="shared" si="206"/>
        <v>8.0913246217343363E-3</v>
      </c>
      <c r="O177" s="140">
        <f t="shared" si="206"/>
        <v>6.3171356979514377E-3</v>
      </c>
      <c r="P177" s="140">
        <f t="shared" si="206"/>
        <v>3.6614067926025559E-3</v>
      </c>
      <c r="Q177" s="140">
        <f t="shared" si="206"/>
        <v>2.207824669906564E-3</v>
      </c>
      <c r="R177" s="140">
        <f t="shared" si="206"/>
        <v>2.695926087029774E-3</v>
      </c>
      <c r="S177" s="140">
        <f t="shared" si="206"/>
        <v>1.9728181990221845E-3</v>
      </c>
      <c r="T177" s="140">
        <f t="shared" si="206"/>
        <v>1.5706547346023196E-3</v>
      </c>
      <c r="U177" s="140">
        <f t="shared" si="206"/>
        <v>6.5469675518469426E-4</v>
      </c>
      <c r="V177" s="140">
        <f t="shared" si="206"/>
        <v>2.7794887260593872E-3</v>
      </c>
      <c r="W177" s="140">
        <f t="shared" si="206"/>
        <v>2.3485168693679155E-3</v>
      </c>
      <c r="DA177" s="175"/>
    </row>
    <row r="178" spans="1:105" ht="11.45" customHeight="1" x14ac:dyDescent="0.25">
      <c r="A178" s="109" t="s">
        <v>142</v>
      </c>
      <c r="B178" s="124">
        <f t="shared" si="197"/>
        <v>0</v>
      </c>
      <c r="C178" s="124">
        <f t="shared" ref="C178:W178" si="207">IF(C86=0,0,C86/C$77)</f>
        <v>0</v>
      </c>
      <c r="D178" s="124">
        <f t="shared" si="207"/>
        <v>0</v>
      </c>
      <c r="E178" s="124">
        <f t="shared" si="207"/>
        <v>0</v>
      </c>
      <c r="F178" s="124">
        <f t="shared" si="207"/>
        <v>0</v>
      </c>
      <c r="G178" s="124">
        <f t="shared" si="207"/>
        <v>0.1240687613193471</v>
      </c>
      <c r="H178" s="124">
        <f t="shared" si="207"/>
        <v>0.13432010055815952</v>
      </c>
      <c r="I178" s="124">
        <f t="shared" si="207"/>
        <v>0.14172452859032256</v>
      </c>
      <c r="J178" s="124">
        <f t="shared" si="207"/>
        <v>0.1409791259804947</v>
      </c>
      <c r="K178" s="124">
        <f t="shared" si="207"/>
        <v>0.14190960690849302</v>
      </c>
      <c r="L178" s="124">
        <f t="shared" si="207"/>
        <v>0.26937596755904608</v>
      </c>
      <c r="M178" s="124">
        <f t="shared" si="207"/>
        <v>0.27720106536228589</v>
      </c>
      <c r="N178" s="124">
        <f t="shared" si="207"/>
        <v>0.26726708240574848</v>
      </c>
      <c r="O178" s="124">
        <f t="shared" si="207"/>
        <v>0.22659815480237971</v>
      </c>
      <c r="P178" s="124">
        <f t="shared" si="207"/>
        <v>0.23422970364784756</v>
      </c>
      <c r="Q178" s="124">
        <f t="shared" si="207"/>
        <v>0.24890853600024102</v>
      </c>
      <c r="R178" s="124">
        <f t="shared" si="207"/>
        <v>0.23760823630167285</v>
      </c>
      <c r="S178" s="124">
        <f t="shared" si="207"/>
        <v>0.25638540953186328</v>
      </c>
      <c r="T178" s="124">
        <f t="shared" si="207"/>
        <v>0.19862294088714824</v>
      </c>
      <c r="U178" s="124">
        <f t="shared" si="207"/>
        <v>0.24366960650454844</v>
      </c>
      <c r="V178" s="124">
        <f t="shared" si="207"/>
        <v>0.31261319027223067</v>
      </c>
      <c r="W178" s="124">
        <f t="shared" si="207"/>
        <v>0.3489202094806102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0.1240687613193471</v>
      </c>
      <c r="H179" s="140">
        <f t="shared" si="208"/>
        <v>0.13432010055815952</v>
      </c>
      <c r="I179" s="140">
        <f t="shared" si="208"/>
        <v>0.14172452859032256</v>
      </c>
      <c r="J179" s="140">
        <f t="shared" si="208"/>
        <v>0.1409791259804947</v>
      </c>
      <c r="K179" s="140">
        <f t="shared" si="208"/>
        <v>0.14190960690849302</v>
      </c>
      <c r="L179" s="140">
        <f t="shared" si="208"/>
        <v>0.26937596755904608</v>
      </c>
      <c r="M179" s="140">
        <f t="shared" si="208"/>
        <v>0.27720106536228589</v>
      </c>
      <c r="N179" s="140">
        <f t="shared" si="208"/>
        <v>0.26726708240574848</v>
      </c>
      <c r="O179" s="140">
        <f t="shared" si="208"/>
        <v>0.22659815480237971</v>
      </c>
      <c r="P179" s="140">
        <f t="shared" si="208"/>
        <v>0.23422970364784756</v>
      </c>
      <c r="Q179" s="140">
        <f t="shared" si="208"/>
        <v>0.24890853600024102</v>
      </c>
      <c r="R179" s="140">
        <f t="shared" si="208"/>
        <v>0.23760823630167285</v>
      </c>
      <c r="S179" s="140">
        <f t="shared" si="208"/>
        <v>0.25638540953186328</v>
      </c>
      <c r="T179" s="140">
        <f t="shared" si="208"/>
        <v>0.19862294088714824</v>
      </c>
      <c r="U179" s="140">
        <f t="shared" si="208"/>
        <v>0.24366960650454844</v>
      </c>
      <c r="V179" s="140">
        <f t="shared" si="208"/>
        <v>0.31261319027223067</v>
      </c>
      <c r="W179" s="140">
        <f t="shared" si="208"/>
        <v>0.3489202094806102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0.50291621709786705</v>
      </c>
      <c r="C182" s="140">
        <f t="shared" ref="C182:W182" si="211">IF(C90=0,0,C90/C$89)</f>
        <v>0.5034881798166253</v>
      </c>
      <c r="D182" s="140">
        <f t="shared" si="211"/>
        <v>0.50119700646186061</v>
      </c>
      <c r="E182" s="140">
        <f t="shared" si="211"/>
        <v>0.50181427892190789</v>
      </c>
      <c r="F182" s="140">
        <f t="shared" si="211"/>
        <v>0.42529898057236565</v>
      </c>
      <c r="G182" s="140">
        <f t="shared" si="211"/>
        <v>0.5035249677687319</v>
      </c>
      <c r="H182" s="140">
        <f t="shared" si="211"/>
        <v>0.45423542766960845</v>
      </c>
      <c r="I182" s="140">
        <f t="shared" si="211"/>
        <v>0.41468251549116453</v>
      </c>
      <c r="J182" s="140">
        <f t="shared" si="211"/>
        <v>0.52306309136583107</v>
      </c>
      <c r="K182" s="140">
        <f t="shared" si="211"/>
        <v>0.51568815766009479</v>
      </c>
      <c r="L182" s="140">
        <f t="shared" si="211"/>
        <v>0.51731298393626102</v>
      </c>
      <c r="M182" s="140">
        <f t="shared" si="211"/>
        <v>0.50178665709109493</v>
      </c>
      <c r="N182" s="140">
        <f t="shared" si="211"/>
        <v>0.55669788658695862</v>
      </c>
      <c r="O182" s="140">
        <f t="shared" si="211"/>
        <v>0.5580238785736239</v>
      </c>
      <c r="P182" s="140">
        <f t="shared" si="211"/>
        <v>0.51026418527846851</v>
      </c>
      <c r="Q182" s="140">
        <f t="shared" si="211"/>
        <v>0.56330145302254642</v>
      </c>
      <c r="R182" s="140">
        <f t="shared" si="211"/>
        <v>0.52358074147655986</v>
      </c>
      <c r="S182" s="140">
        <f t="shared" si="211"/>
        <v>0.51107849534963545</v>
      </c>
      <c r="T182" s="140">
        <f t="shared" si="211"/>
        <v>0.53452635735664389</v>
      </c>
      <c r="U182" s="140">
        <f t="shared" si="211"/>
        <v>0.47633783196023594</v>
      </c>
      <c r="V182" s="140">
        <f t="shared" si="211"/>
        <v>0.54186894895448334</v>
      </c>
      <c r="W182" s="140">
        <f t="shared" si="211"/>
        <v>0.51497477996454299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0.49708378290213284</v>
      </c>
      <c r="C183" s="127">
        <f t="shared" ref="C183:W183" si="212">IF(C91=0,0,C91/C$89)</f>
        <v>0.49651182018337464</v>
      </c>
      <c r="D183" s="127">
        <f t="shared" si="212"/>
        <v>0.49880299353813945</v>
      </c>
      <c r="E183" s="127">
        <f t="shared" si="212"/>
        <v>0.49818572107809206</v>
      </c>
      <c r="F183" s="127">
        <f t="shared" si="212"/>
        <v>0.57470101942763441</v>
      </c>
      <c r="G183" s="127">
        <f t="shared" si="212"/>
        <v>0.49647503223126793</v>
      </c>
      <c r="H183" s="127">
        <f t="shared" si="212"/>
        <v>0.54576457233039155</v>
      </c>
      <c r="I183" s="127">
        <f t="shared" si="212"/>
        <v>0.58531748450883547</v>
      </c>
      <c r="J183" s="127">
        <f t="shared" si="212"/>
        <v>0.47693690863416899</v>
      </c>
      <c r="K183" s="127">
        <f t="shared" si="212"/>
        <v>0.4843118423399051</v>
      </c>
      <c r="L183" s="127">
        <f t="shared" si="212"/>
        <v>0.48268701606373909</v>
      </c>
      <c r="M183" s="127">
        <f t="shared" si="212"/>
        <v>0.49821334290890501</v>
      </c>
      <c r="N183" s="127">
        <f t="shared" si="212"/>
        <v>0.44330211341304132</v>
      </c>
      <c r="O183" s="127">
        <f t="shared" si="212"/>
        <v>0.44197612142637616</v>
      </c>
      <c r="P183" s="127">
        <f t="shared" si="212"/>
        <v>0.48973581472153155</v>
      </c>
      <c r="Q183" s="127">
        <f t="shared" si="212"/>
        <v>0.43669854697745364</v>
      </c>
      <c r="R183" s="127">
        <f t="shared" si="212"/>
        <v>0.47641925852344008</v>
      </c>
      <c r="S183" s="127">
        <f t="shared" si="212"/>
        <v>0.48892150465036466</v>
      </c>
      <c r="T183" s="127">
        <f t="shared" si="212"/>
        <v>0.46547364264335617</v>
      </c>
      <c r="U183" s="127">
        <f t="shared" si="212"/>
        <v>0.52366216803976406</v>
      </c>
      <c r="V183" s="127">
        <f t="shared" si="212"/>
        <v>0.45813105104551671</v>
      </c>
      <c r="W183" s="127">
        <f t="shared" si="212"/>
        <v>0.48502522003545689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41.774358102647675</v>
      </c>
      <c r="C186" s="32">
        <f t="shared" si="213"/>
        <v>36.339140119617824</v>
      </c>
      <c r="D186" s="32">
        <f t="shared" si="213"/>
        <v>36.525478709682503</v>
      </c>
      <c r="E186" s="32">
        <f t="shared" si="213"/>
        <v>34.838253486186353</v>
      </c>
      <c r="F186" s="32">
        <f t="shared" si="213"/>
        <v>37.391251056644023</v>
      </c>
      <c r="G186" s="32">
        <f t="shared" si="213"/>
        <v>37.068316287648194</v>
      </c>
      <c r="H186" s="32">
        <f t="shared" si="213"/>
        <v>38.288727386831368</v>
      </c>
      <c r="I186" s="32">
        <f t="shared" si="213"/>
        <v>37.59625535371984</v>
      </c>
      <c r="J186" s="32">
        <f t="shared" si="213"/>
        <v>40.147225845190988</v>
      </c>
      <c r="K186" s="32">
        <f t="shared" si="213"/>
        <v>37.370296757695172</v>
      </c>
      <c r="L186" s="32">
        <f t="shared" si="213"/>
        <v>40.481363836240277</v>
      </c>
      <c r="M186" s="32">
        <f t="shared" si="213"/>
        <v>39.192545713159348</v>
      </c>
      <c r="N186" s="32">
        <f t="shared" si="213"/>
        <v>38.31384643080483</v>
      </c>
      <c r="O186" s="32">
        <f t="shared" si="213"/>
        <v>37.734040572988221</v>
      </c>
      <c r="P186" s="32">
        <f t="shared" si="213"/>
        <v>38.234481329173207</v>
      </c>
      <c r="Q186" s="32">
        <f t="shared" si="213"/>
        <v>38.409676526207797</v>
      </c>
      <c r="R186" s="32">
        <f t="shared" si="213"/>
        <v>36.685122389870784</v>
      </c>
      <c r="S186" s="32">
        <f t="shared" si="213"/>
        <v>36.031024859985969</v>
      </c>
      <c r="T186" s="32">
        <f t="shared" si="213"/>
        <v>36.963220100561088</v>
      </c>
      <c r="U186" s="32">
        <f t="shared" si="213"/>
        <v>36.165632962445073</v>
      </c>
      <c r="V186" s="32">
        <f t="shared" si="213"/>
        <v>46.281943283158171</v>
      </c>
      <c r="W186" s="32">
        <f t="shared" ref="W186" si="214">IF(W34=0,0,W34/W4*1000)</f>
        <v>44.425977527610677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41.115532318591491</v>
      </c>
      <c r="C187" s="141">
        <f t="shared" si="215"/>
        <v>39.038952341946185</v>
      </c>
      <c r="D187" s="141">
        <f t="shared" si="215"/>
        <v>36.684050631240716</v>
      </c>
      <c r="E187" s="141">
        <f t="shared" si="215"/>
        <v>37.194136951945843</v>
      </c>
      <c r="F187" s="141">
        <f t="shared" si="215"/>
        <v>34.240016581324255</v>
      </c>
      <c r="G187" s="141">
        <f t="shared" si="215"/>
        <v>40.066254516755237</v>
      </c>
      <c r="H187" s="141">
        <f t="shared" si="215"/>
        <v>40.3270018780686</v>
      </c>
      <c r="I187" s="141">
        <f t="shared" si="215"/>
        <v>40.06438821892143</v>
      </c>
      <c r="J187" s="141">
        <f t="shared" si="215"/>
        <v>45.295459720076188</v>
      </c>
      <c r="K187" s="141">
        <f t="shared" si="215"/>
        <v>39.239090453920149</v>
      </c>
      <c r="L187" s="141">
        <f t="shared" si="215"/>
        <v>45.189352552487314</v>
      </c>
      <c r="M187" s="141">
        <f t="shared" si="215"/>
        <v>45.664046945027515</v>
      </c>
      <c r="N187" s="141">
        <f t="shared" si="215"/>
        <v>46.540012816079916</v>
      </c>
      <c r="O187" s="141">
        <f t="shared" si="215"/>
        <v>47.417069147761197</v>
      </c>
      <c r="P187" s="141">
        <f t="shared" si="215"/>
        <v>47.022718569503979</v>
      </c>
      <c r="Q187" s="141">
        <f t="shared" si="215"/>
        <v>48.109232328464309</v>
      </c>
      <c r="R187" s="141">
        <f t="shared" si="215"/>
        <v>47.023947309910383</v>
      </c>
      <c r="S187" s="141">
        <f t="shared" si="215"/>
        <v>47.580162548758423</v>
      </c>
      <c r="T187" s="141">
        <f t="shared" si="215"/>
        <v>51.949048032063118</v>
      </c>
      <c r="U187" s="141">
        <f t="shared" si="215"/>
        <v>52.556693412606158</v>
      </c>
      <c r="V187" s="141">
        <f t="shared" si="215"/>
        <v>50.95281012783849</v>
      </c>
      <c r="W187" s="141">
        <f t="shared" ref="W187" si="216">IF(W35=0,0,W35/W5*1000)</f>
        <v>49.81550008644794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35.863629377430968</v>
      </c>
      <c r="C188" s="97">
        <f t="shared" si="217"/>
        <v>35.723074502371489</v>
      </c>
      <c r="D188" s="97">
        <f t="shared" si="217"/>
        <v>35.587562494191218</v>
      </c>
      <c r="E188" s="97">
        <f t="shared" si="217"/>
        <v>35.437735119360553</v>
      </c>
      <c r="F188" s="97">
        <f t="shared" si="217"/>
        <v>35.302377231443785</v>
      </c>
      <c r="G188" s="97">
        <f t="shared" si="217"/>
        <v>35.171580880065662</v>
      </c>
      <c r="H188" s="97">
        <f t="shared" si="217"/>
        <v>34.961175508547747</v>
      </c>
      <c r="I188" s="97">
        <f t="shared" si="217"/>
        <v>34.674254029390212</v>
      </c>
      <c r="J188" s="97">
        <f t="shared" si="217"/>
        <v>34.127008497391607</v>
      </c>
      <c r="K188" s="97">
        <f t="shared" si="217"/>
        <v>33.626209296833942</v>
      </c>
      <c r="L188" s="97">
        <f t="shared" si="217"/>
        <v>33.093809029591107</v>
      </c>
      <c r="M188" s="97">
        <f t="shared" si="217"/>
        <v>32.605835769081295</v>
      </c>
      <c r="N188" s="97">
        <f t="shared" si="217"/>
        <v>32.150039642949757</v>
      </c>
      <c r="O188" s="97">
        <f t="shared" si="217"/>
        <v>31.682183499079585</v>
      </c>
      <c r="P188" s="97">
        <f t="shared" si="217"/>
        <v>31.054202377387291</v>
      </c>
      <c r="Q188" s="97">
        <f t="shared" si="217"/>
        <v>30.368426984923396</v>
      </c>
      <c r="R188" s="97">
        <f t="shared" si="217"/>
        <v>29.677951346582812</v>
      </c>
      <c r="S188" s="97">
        <f t="shared" si="217"/>
        <v>29.406996841140707</v>
      </c>
      <c r="T188" s="97">
        <f t="shared" si="217"/>
        <v>30.323059030383863</v>
      </c>
      <c r="U188" s="97">
        <f t="shared" si="217"/>
        <v>30.013277291600662</v>
      </c>
      <c r="V188" s="97">
        <f t="shared" si="217"/>
        <v>28.332641079887956</v>
      </c>
      <c r="W188" s="97">
        <f t="shared" ref="W188" si="218">IF(W36=0,0,W36/W6*1000)</f>
        <v>26.234706252956972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45.419112044098981</v>
      </c>
      <c r="C189" s="97">
        <f t="shared" si="219"/>
        <v>43.198382275207663</v>
      </c>
      <c r="D189" s="97">
        <f t="shared" si="219"/>
        <v>43.8439376965176</v>
      </c>
      <c r="E189" s="97">
        <f t="shared" si="219"/>
        <v>42.149383463849048</v>
      </c>
      <c r="F189" s="97">
        <f t="shared" si="219"/>
        <v>36.533802651433106</v>
      </c>
      <c r="G189" s="97">
        <f t="shared" si="219"/>
        <v>41.162254072578037</v>
      </c>
      <c r="H189" s="97">
        <f t="shared" si="219"/>
        <v>41.003828327883518</v>
      </c>
      <c r="I189" s="97">
        <f t="shared" si="219"/>
        <v>41.240307846813458</v>
      </c>
      <c r="J189" s="97">
        <f t="shared" si="219"/>
        <v>47.939513371342407</v>
      </c>
      <c r="K189" s="97">
        <f t="shared" si="219"/>
        <v>40.998297151857898</v>
      </c>
      <c r="L189" s="97">
        <f t="shared" si="219"/>
        <v>47.960344608139629</v>
      </c>
      <c r="M189" s="97">
        <f t="shared" si="219"/>
        <v>47.906010594372979</v>
      </c>
      <c r="N189" s="97">
        <f t="shared" si="219"/>
        <v>47.834359764211754</v>
      </c>
      <c r="O189" s="97">
        <f t="shared" si="219"/>
        <v>48.413343036968151</v>
      </c>
      <c r="P189" s="97">
        <f t="shared" si="219"/>
        <v>46.52385685495917</v>
      </c>
      <c r="Q189" s="97">
        <f t="shared" si="219"/>
        <v>47.500002715990661</v>
      </c>
      <c r="R189" s="97">
        <f t="shared" si="219"/>
        <v>46.481136638034315</v>
      </c>
      <c r="S189" s="97">
        <f t="shared" si="219"/>
        <v>46.499289999376501</v>
      </c>
      <c r="T189" s="97">
        <f t="shared" si="219"/>
        <v>49.980949025369178</v>
      </c>
      <c r="U189" s="97">
        <f t="shared" si="219"/>
        <v>51.210821278716971</v>
      </c>
      <c r="V189" s="97">
        <f t="shared" si="219"/>
        <v>48.799282267807307</v>
      </c>
      <c r="W189" s="97">
        <f t="shared" ref="W189" si="220">IF(W37=0,0,W37/W7*1000)</f>
        <v>49.058935957224776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24.63960236281341</v>
      </c>
      <c r="C190" s="97">
        <f t="shared" si="221"/>
        <v>23.342011667093971</v>
      </c>
      <c r="D190" s="97">
        <f t="shared" si="221"/>
        <v>9.1669163236430169</v>
      </c>
      <c r="E190" s="97">
        <f t="shared" si="221"/>
        <v>18.10593788364044</v>
      </c>
      <c r="F190" s="97">
        <f t="shared" si="221"/>
        <v>25.224378669181963</v>
      </c>
      <c r="G190" s="97">
        <f t="shared" si="221"/>
        <v>35.90072681279355</v>
      </c>
      <c r="H190" s="97">
        <f t="shared" si="221"/>
        <v>37.891020444443875</v>
      </c>
      <c r="I190" s="97">
        <f t="shared" si="221"/>
        <v>35.526018854216623</v>
      </c>
      <c r="J190" s="97">
        <f t="shared" si="221"/>
        <v>34.962227122156136</v>
      </c>
      <c r="K190" s="97">
        <f t="shared" si="221"/>
        <v>31.686459087099752</v>
      </c>
      <c r="L190" s="97">
        <f t="shared" si="221"/>
        <v>33.913130661872131</v>
      </c>
      <c r="M190" s="97">
        <f t="shared" si="221"/>
        <v>36.253454939735576</v>
      </c>
      <c r="N190" s="97">
        <f t="shared" si="221"/>
        <v>41.674085615520831</v>
      </c>
      <c r="O190" s="97">
        <f t="shared" si="221"/>
        <v>43.994270751184757</v>
      </c>
      <c r="P190" s="97">
        <f t="shared" si="221"/>
        <v>51.002052237505652</v>
      </c>
      <c r="Q190" s="97">
        <f t="shared" si="221"/>
        <v>52.542805019682795</v>
      </c>
      <c r="R190" s="97">
        <f t="shared" si="221"/>
        <v>51.295024345089054</v>
      </c>
      <c r="S190" s="97">
        <f t="shared" si="221"/>
        <v>54.330663069377017</v>
      </c>
      <c r="T190" s="97">
        <f t="shared" si="221"/>
        <v>63.070068387314357</v>
      </c>
      <c r="U190" s="97">
        <f t="shared" si="221"/>
        <v>60.583925553944951</v>
      </c>
      <c r="V190" s="97">
        <f t="shared" si="221"/>
        <v>67.035424308631391</v>
      </c>
      <c r="W190" s="97">
        <f t="shared" ref="W190" si="222">IF(W38=0,0,W38/W8*1000)</f>
        <v>57.27674918083806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0</v>
      </c>
      <c r="C191" s="130">
        <f t="shared" si="223"/>
        <v>0</v>
      </c>
      <c r="D191" s="130">
        <f t="shared" si="223"/>
        <v>0</v>
      </c>
      <c r="E191" s="130">
        <f t="shared" si="223"/>
        <v>0</v>
      </c>
      <c r="F191" s="130">
        <f t="shared" si="223"/>
        <v>0</v>
      </c>
      <c r="G191" s="130">
        <f t="shared" si="223"/>
        <v>0</v>
      </c>
      <c r="H191" s="130">
        <f t="shared" si="223"/>
        <v>0</v>
      </c>
      <c r="I191" s="130">
        <f t="shared" si="223"/>
        <v>0</v>
      </c>
      <c r="J191" s="130">
        <f t="shared" si="223"/>
        <v>0</v>
      </c>
      <c r="K191" s="130">
        <f t="shared" si="223"/>
        <v>0</v>
      </c>
      <c r="L191" s="130">
        <f t="shared" si="223"/>
        <v>0</v>
      </c>
      <c r="M191" s="130">
        <f t="shared" si="223"/>
        <v>0</v>
      </c>
      <c r="N191" s="130">
        <f t="shared" si="223"/>
        <v>0</v>
      </c>
      <c r="O191" s="130">
        <f t="shared" si="223"/>
        <v>0</v>
      </c>
      <c r="P191" s="130">
        <f t="shared" si="223"/>
        <v>0</v>
      </c>
      <c r="Q191" s="130">
        <f t="shared" si="223"/>
        <v>0</v>
      </c>
      <c r="R191" s="130">
        <f t="shared" si="223"/>
        <v>0</v>
      </c>
      <c r="S191" s="130">
        <f t="shared" si="223"/>
        <v>0</v>
      </c>
      <c r="T191" s="130">
        <f t="shared" si="223"/>
        <v>0</v>
      </c>
      <c r="U191" s="130">
        <f t="shared" si="223"/>
        <v>0</v>
      </c>
      <c r="V191" s="130">
        <f t="shared" si="223"/>
        <v>0</v>
      </c>
      <c r="W191" s="130">
        <f t="shared" ref="W191" si="224">IF(W39=0,0,W39/W9*1000)</f>
        <v>0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0</v>
      </c>
      <c r="G192" s="97">
        <f t="shared" si="225"/>
        <v>0</v>
      </c>
      <c r="H192" s="97">
        <f t="shared" si="225"/>
        <v>0</v>
      </c>
      <c r="I192" s="97">
        <f t="shared" si="225"/>
        <v>0</v>
      </c>
      <c r="J192" s="97">
        <f t="shared" si="225"/>
        <v>0</v>
      </c>
      <c r="K192" s="97">
        <f t="shared" si="225"/>
        <v>0</v>
      </c>
      <c r="L192" s="97">
        <f t="shared" si="225"/>
        <v>0</v>
      </c>
      <c r="M192" s="97">
        <f t="shared" si="225"/>
        <v>0</v>
      </c>
      <c r="N192" s="97">
        <f t="shared" si="225"/>
        <v>0</v>
      </c>
      <c r="O192" s="97">
        <f t="shared" si="225"/>
        <v>0</v>
      </c>
      <c r="P192" s="97">
        <f t="shared" si="225"/>
        <v>0</v>
      </c>
      <c r="Q192" s="97">
        <f t="shared" si="225"/>
        <v>0</v>
      </c>
      <c r="R192" s="97">
        <f t="shared" si="225"/>
        <v>0</v>
      </c>
      <c r="S192" s="97">
        <f t="shared" si="225"/>
        <v>0</v>
      </c>
      <c r="T192" s="97">
        <f t="shared" si="225"/>
        <v>0</v>
      </c>
      <c r="U192" s="97">
        <f t="shared" si="225"/>
        <v>0</v>
      </c>
      <c r="V192" s="97">
        <f t="shared" si="225"/>
        <v>0</v>
      </c>
      <c r="W192" s="97">
        <f t="shared" ref="W192" si="226">IF(W40=0,0,W40/W10*1000)</f>
        <v>0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0</v>
      </c>
      <c r="C193" s="97">
        <f t="shared" si="227"/>
        <v>0</v>
      </c>
      <c r="D193" s="97">
        <f t="shared" si="227"/>
        <v>0</v>
      </c>
      <c r="E193" s="97">
        <f t="shared" si="227"/>
        <v>0</v>
      </c>
      <c r="F193" s="97">
        <f t="shared" si="227"/>
        <v>0</v>
      </c>
      <c r="G193" s="97">
        <f t="shared" si="227"/>
        <v>0</v>
      </c>
      <c r="H193" s="97">
        <f t="shared" si="227"/>
        <v>0</v>
      </c>
      <c r="I193" s="97">
        <f t="shared" si="227"/>
        <v>0</v>
      </c>
      <c r="J193" s="97">
        <f t="shared" si="227"/>
        <v>0</v>
      </c>
      <c r="K193" s="97">
        <f t="shared" si="227"/>
        <v>0</v>
      </c>
      <c r="L193" s="97">
        <f t="shared" si="227"/>
        <v>0</v>
      </c>
      <c r="M193" s="97">
        <f t="shared" si="227"/>
        <v>0</v>
      </c>
      <c r="N193" s="97">
        <f t="shared" si="227"/>
        <v>0</v>
      </c>
      <c r="O193" s="97">
        <f t="shared" si="227"/>
        <v>0</v>
      </c>
      <c r="P193" s="97">
        <f t="shared" si="227"/>
        <v>0</v>
      </c>
      <c r="Q193" s="97">
        <f t="shared" si="227"/>
        <v>0</v>
      </c>
      <c r="R193" s="97">
        <f t="shared" si="227"/>
        <v>0</v>
      </c>
      <c r="S193" s="97">
        <f t="shared" si="227"/>
        <v>0</v>
      </c>
      <c r="T193" s="97">
        <f t="shared" si="227"/>
        <v>0</v>
      </c>
      <c r="U193" s="97">
        <f t="shared" si="227"/>
        <v>0</v>
      </c>
      <c r="V193" s="97">
        <f t="shared" si="227"/>
        <v>0</v>
      </c>
      <c r="W193" s="97">
        <f t="shared" ref="W193" si="228">IF(W41=0,0,W41/W11*1000)</f>
        <v>0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42.290583997774945</v>
      </c>
      <c r="C195" s="130">
        <f t="shared" si="231"/>
        <v>34.058921957886405</v>
      </c>
      <c r="D195" s="130">
        <f t="shared" si="231"/>
        <v>36.373524422292128</v>
      </c>
      <c r="E195" s="130">
        <f t="shared" si="231"/>
        <v>32.480047231048367</v>
      </c>
      <c r="F195" s="130">
        <f t="shared" si="231"/>
        <v>40.51250141918657</v>
      </c>
      <c r="G195" s="130">
        <f t="shared" si="231"/>
        <v>34.071828405268178</v>
      </c>
      <c r="H195" s="130">
        <f t="shared" si="231"/>
        <v>36.088809420061629</v>
      </c>
      <c r="I195" s="130">
        <f t="shared" si="231"/>
        <v>35.067708813237168</v>
      </c>
      <c r="J195" s="130">
        <f t="shared" si="231"/>
        <v>34.937607946274333</v>
      </c>
      <c r="K195" s="130">
        <f t="shared" si="231"/>
        <v>35.303942649888455</v>
      </c>
      <c r="L195" s="130">
        <f t="shared" si="231"/>
        <v>35.79405687319295</v>
      </c>
      <c r="M195" s="130">
        <f t="shared" si="231"/>
        <v>33.364620786122764</v>
      </c>
      <c r="N195" s="130">
        <f t="shared" si="231"/>
        <v>31.042813659445443</v>
      </c>
      <c r="O195" s="130">
        <f t="shared" si="231"/>
        <v>29.845974441364699</v>
      </c>
      <c r="P195" s="130">
        <f t="shared" si="231"/>
        <v>30.951964433474064</v>
      </c>
      <c r="Q195" s="130">
        <f t="shared" si="231"/>
        <v>30.423716303452633</v>
      </c>
      <c r="R195" s="130">
        <f t="shared" si="231"/>
        <v>28.931291969159741</v>
      </c>
      <c r="S195" s="130">
        <f t="shared" si="231"/>
        <v>28.386968994676227</v>
      </c>
      <c r="T195" s="130">
        <f t="shared" si="231"/>
        <v>28.07438323137092</v>
      </c>
      <c r="U195" s="130">
        <f t="shared" si="231"/>
        <v>27.041075582427681</v>
      </c>
      <c r="V195" s="130">
        <f t="shared" si="231"/>
        <v>37.773693626159513</v>
      </c>
      <c r="W195" s="130">
        <f t="shared" ref="W195" si="232">IF(W43=0,0,W43/W13*1000)</f>
        <v>36.648491389774208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39.999825974476614</v>
      </c>
      <c r="C197" s="97">
        <f t="shared" si="235"/>
        <v>32.236583144688709</v>
      </c>
      <c r="D197" s="97">
        <f t="shared" si="235"/>
        <v>34.554786700795731</v>
      </c>
      <c r="E197" s="97">
        <f t="shared" si="235"/>
        <v>31.218177200690334</v>
      </c>
      <c r="F197" s="97">
        <f t="shared" si="235"/>
        <v>39.026340325821948</v>
      </c>
      <c r="G197" s="97">
        <f t="shared" si="235"/>
        <v>32.881042414627295</v>
      </c>
      <c r="H197" s="97">
        <f t="shared" si="235"/>
        <v>34.67707175422688</v>
      </c>
      <c r="I197" s="97">
        <f t="shared" si="235"/>
        <v>33.547140955767553</v>
      </c>
      <c r="J197" s="97">
        <f t="shared" si="235"/>
        <v>33.298929613436954</v>
      </c>
      <c r="K197" s="97">
        <f t="shared" si="235"/>
        <v>33.384019650052764</v>
      </c>
      <c r="L197" s="97">
        <f t="shared" si="235"/>
        <v>34.141371701795613</v>
      </c>
      <c r="M197" s="97">
        <f t="shared" si="235"/>
        <v>32.316633256667295</v>
      </c>
      <c r="N197" s="97">
        <f t="shared" si="235"/>
        <v>29.871387443639566</v>
      </c>
      <c r="O197" s="97">
        <f t="shared" si="235"/>
        <v>29.303742196899485</v>
      </c>
      <c r="P197" s="97">
        <f t="shared" si="235"/>
        <v>29.972232103820662</v>
      </c>
      <c r="Q197" s="97">
        <f t="shared" si="235"/>
        <v>29.211809368851902</v>
      </c>
      <c r="R197" s="97">
        <f t="shared" si="235"/>
        <v>28.843413388677767</v>
      </c>
      <c r="S197" s="97">
        <f t="shared" si="235"/>
        <v>27.605477040649983</v>
      </c>
      <c r="T197" s="97">
        <f t="shared" si="235"/>
        <v>27.55905908242087</v>
      </c>
      <c r="U197" s="97">
        <f t="shared" si="235"/>
        <v>27.419274609144882</v>
      </c>
      <c r="V197" s="97">
        <f t="shared" si="235"/>
        <v>36.151733122279744</v>
      </c>
      <c r="W197" s="97">
        <f t="shared" ref="W197" si="236">IF(W45=0,0,W45/W15*1000)</f>
        <v>35.386210993845836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68.873877898864365</v>
      </c>
      <c r="C198" s="97">
        <f t="shared" si="237"/>
        <v>55.021073316190396</v>
      </c>
      <c r="D198" s="97">
        <f t="shared" si="237"/>
        <v>62.49526004781201</v>
      </c>
      <c r="E198" s="97">
        <f t="shared" si="237"/>
        <v>50.367263648976554</v>
      </c>
      <c r="F198" s="97">
        <f t="shared" si="237"/>
        <v>62.812165173848982</v>
      </c>
      <c r="G198" s="97">
        <f t="shared" si="237"/>
        <v>52.592673317004945</v>
      </c>
      <c r="H198" s="97">
        <f t="shared" si="237"/>
        <v>58.478947042557053</v>
      </c>
      <c r="I198" s="97">
        <f t="shared" si="237"/>
        <v>63.170514791843772</v>
      </c>
      <c r="J198" s="97">
        <f t="shared" si="237"/>
        <v>63.690646325049379</v>
      </c>
      <c r="K198" s="97">
        <f t="shared" si="237"/>
        <v>69.71905602019983</v>
      </c>
      <c r="L198" s="97">
        <f t="shared" si="237"/>
        <v>61.994197136971813</v>
      </c>
      <c r="M198" s="97">
        <f t="shared" si="237"/>
        <v>46.80206236635518</v>
      </c>
      <c r="N198" s="97">
        <f t="shared" si="237"/>
        <v>47.090867943041076</v>
      </c>
      <c r="O198" s="97">
        <f t="shared" si="237"/>
        <v>35.73286722840065</v>
      </c>
      <c r="P198" s="97">
        <f t="shared" si="237"/>
        <v>44.337188662998187</v>
      </c>
      <c r="Q198" s="97">
        <f t="shared" si="237"/>
        <v>49.371303776351915</v>
      </c>
      <c r="R198" s="97">
        <f t="shared" si="237"/>
        <v>29.808553524549197</v>
      </c>
      <c r="S198" s="97">
        <f t="shared" si="237"/>
        <v>39.768361048628151</v>
      </c>
      <c r="T198" s="97">
        <f t="shared" si="237"/>
        <v>34.927244158266113</v>
      </c>
      <c r="U198" s="97">
        <f t="shared" si="237"/>
        <v>23.655674600224483</v>
      </c>
      <c r="V198" s="97">
        <f t="shared" si="237"/>
        <v>51.836066847088716</v>
      </c>
      <c r="W198" s="97">
        <f t="shared" ref="W198" si="238">IF(W46=0,0,W46/W16*1000)</f>
        <v>49.215965327277182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66.847391346947589</v>
      </c>
      <c r="C199" s="32">
        <f t="shared" si="239"/>
        <v>63.59185697416325</v>
      </c>
      <c r="D199" s="32">
        <f t="shared" si="239"/>
        <v>43.647771628301875</v>
      </c>
      <c r="E199" s="32">
        <f t="shared" si="239"/>
        <v>55.483432604049234</v>
      </c>
      <c r="F199" s="32">
        <f t="shared" si="239"/>
        <v>65.585141840823056</v>
      </c>
      <c r="G199" s="32">
        <f t="shared" si="239"/>
        <v>125.35349863651632</v>
      </c>
      <c r="H199" s="32">
        <f t="shared" si="239"/>
        <v>137.86941852047909</v>
      </c>
      <c r="I199" s="32">
        <f t="shared" si="239"/>
        <v>125.44575167531988</v>
      </c>
      <c r="J199" s="32">
        <f t="shared" si="239"/>
        <v>120.68383483461034</v>
      </c>
      <c r="K199" s="32">
        <f t="shared" si="239"/>
        <v>109.89283634186739</v>
      </c>
      <c r="L199" s="32">
        <f t="shared" si="239"/>
        <v>135.99966414053955</v>
      </c>
      <c r="M199" s="32">
        <f t="shared" si="239"/>
        <v>133.70472994834634</v>
      </c>
      <c r="N199" s="32">
        <f t="shared" si="239"/>
        <v>130.59073649339092</v>
      </c>
      <c r="O199" s="32">
        <f t="shared" si="239"/>
        <v>124.0581624750825</v>
      </c>
      <c r="P199" s="32">
        <f t="shared" si="239"/>
        <v>127.33138762695992</v>
      </c>
      <c r="Q199" s="32">
        <f t="shared" si="239"/>
        <v>134.96379598489685</v>
      </c>
      <c r="R199" s="32">
        <f t="shared" si="239"/>
        <v>128.41102272109424</v>
      </c>
      <c r="S199" s="32">
        <f t="shared" si="239"/>
        <v>141.63212023506713</v>
      </c>
      <c r="T199" s="32">
        <f t="shared" si="239"/>
        <v>155.63244723518883</v>
      </c>
      <c r="U199" s="32">
        <f t="shared" si="239"/>
        <v>169.83348389307505</v>
      </c>
      <c r="V199" s="32">
        <f t="shared" si="239"/>
        <v>164.46960804158732</v>
      </c>
      <c r="W199" s="32">
        <f t="shared" ref="W199" si="240">IF(W47=0,0,W47/W17*1000)</f>
        <v>172.93874159438744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64.689513585151275</v>
      </c>
      <c r="C200" s="141">
        <f t="shared" si="241"/>
        <v>62.129179734579523</v>
      </c>
      <c r="D200" s="141">
        <f t="shared" si="241"/>
        <v>38.556112907790855</v>
      </c>
      <c r="E200" s="141">
        <f t="shared" si="241"/>
        <v>52.880987958908911</v>
      </c>
      <c r="F200" s="141">
        <f t="shared" si="241"/>
        <v>63.630799694689195</v>
      </c>
      <c r="G200" s="141">
        <f t="shared" si="241"/>
        <v>108.45385568792261</v>
      </c>
      <c r="H200" s="141">
        <f t="shared" si="241"/>
        <v>117.44766558998096</v>
      </c>
      <c r="I200" s="141">
        <f t="shared" si="241"/>
        <v>105.91820758102855</v>
      </c>
      <c r="J200" s="141">
        <f t="shared" si="241"/>
        <v>101.72156557957088</v>
      </c>
      <c r="K200" s="141">
        <f t="shared" si="241"/>
        <v>92.02759629314599</v>
      </c>
      <c r="L200" s="141">
        <f t="shared" si="241"/>
        <v>97.29992317756772</v>
      </c>
      <c r="M200" s="141">
        <f t="shared" si="241"/>
        <v>94.474183061549283</v>
      </c>
      <c r="N200" s="141">
        <f t="shared" si="241"/>
        <v>94.699991397284009</v>
      </c>
      <c r="O200" s="141">
        <f t="shared" si="241"/>
        <v>96.314170892737337</v>
      </c>
      <c r="P200" s="141">
        <f t="shared" si="241"/>
        <v>98.789155096931438</v>
      </c>
      <c r="Q200" s="141">
        <f t="shared" si="241"/>
        <v>102.63093739745138</v>
      </c>
      <c r="R200" s="141">
        <f t="shared" si="241"/>
        <v>99.911464307420104</v>
      </c>
      <c r="S200" s="141">
        <f t="shared" si="241"/>
        <v>107.53518878313157</v>
      </c>
      <c r="T200" s="141">
        <f t="shared" si="241"/>
        <v>127.26034595892627</v>
      </c>
      <c r="U200" s="141">
        <f t="shared" si="241"/>
        <v>132.28320200518127</v>
      </c>
      <c r="V200" s="141">
        <f t="shared" si="241"/>
        <v>118.77673045655909</v>
      </c>
      <c r="W200" s="141">
        <f t="shared" ref="W200" si="242">IF(W48=0,0,W48/W18*1000)</f>
        <v>117.81340185240985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560.10168372127976</v>
      </c>
      <c r="C201" s="97">
        <f t="shared" si="243"/>
        <v>526.29693145764372</v>
      </c>
      <c r="D201" s="97">
        <f t="shared" si="243"/>
        <v>220.09898650304331</v>
      </c>
      <c r="E201" s="97">
        <f t="shared" si="243"/>
        <v>399.3400697772326</v>
      </c>
      <c r="F201" s="97">
        <f t="shared" si="243"/>
        <v>534.27884724495732</v>
      </c>
      <c r="G201" s="97">
        <f t="shared" si="243"/>
        <v>734.57246205785418</v>
      </c>
      <c r="H201" s="97">
        <f t="shared" si="243"/>
        <v>752.69334441424917</v>
      </c>
      <c r="I201" s="97">
        <f t="shared" si="243"/>
        <v>691.01202664603022</v>
      </c>
      <c r="J201" s="97">
        <f t="shared" si="243"/>
        <v>657.44467603418002</v>
      </c>
      <c r="K201" s="97">
        <f t="shared" si="243"/>
        <v>586.67713695034388</v>
      </c>
      <c r="L201" s="97">
        <f t="shared" si="243"/>
        <v>568.6220243070145</v>
      </c>
      <c r="M201" s="97">
        <f t="shared" si="243"/>
        <v>529.33623965486436</v>
      </c>
      <c r="N201" s="97">
        <f t="shared" si="243"/>
        <v>507.8268185074034</v>
      </c>
      <c r="O201" s="97">
        <f t="shared" si="243"/>
        <v>507.6391021278568</v>
      </c>
      <c r="P201" s="97">
        <f t="shared" si="243"/>
        <v>508.68823141247952</v>
      </c>
      <c r="Q201" s="97">
        <f t="shared" si="243"/>
        <v>506.81877185846815</v>
      </c>
      <c r="R201" s="97">
        <f t="shared" si="243"/>
        <v>492.98355033191916</v>
      </c>
      <c r="S201" s="97">
        <f t="shared" si="243"/>
        <v>513.33578331033652</v>
      </c>
      <c r="T201" s="97">
        <f t="shared" si="243"/>
        <v>585.33078009193139</v>
      </c>
      <c r="U201" s="97">
        <f t="shared" si="243"/>
        <v>599.08140516353319</v>
      </c>
      <c r="V201" s="97">
        <f t="shared" si="243"/>
        <v>538.80092917762056</v>
      </c>
      <c r="W201" s="97">
        <f t="shared" ref="W201" si="244">IF(W49=0,0,W49/W19*1000)</f>
        <v>534.83233422661908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48.452272603994466</v>
      </c>
      <c r="C202" s="97">
        <f t="shared" si="245"/>
        <v>45.787730676626069</v>
      </c>
      <c r="D202" s="97">
        <f t="shared" si="245"/>
        <v>17.959383935991646</v>
      </c>
      <c r="E202" s="97">
        <f t="shared" si="245"/>
        <v>35.392073271144817</v>
      </c>
      <c r="F202" s="97">
        <f t="shared" si="245"/>
        <v>49.113207062686001</v>
      </c>
      <c r="G202" s="97">
        <f t="shared" si="245"/>
        <v>69.615359627969426</v>
      </c>
      <c r="H202" s="97">
        <f t="shared" si="245"/>
        <v>72.960662486460507</v>
      </c>
      <c r="I202" s="97">
        <f t="shared" si="245"/>
        <v>67.672537327143829</v>
      </c>
      <c r="J202" s="97">
        <f t="shared" si="245"/>
        <v>65.18238211606085</v>
      </c>
      <c r="K202" s="97">
        <f t="shared" si="245"/>
        <v>58.538138009660827</v>
      </c>
      <c r="L202" s="97">
        <f t="shared" si="245"/>
        <v>58.488786652253012</v>
      </c>
      <c r="M202" s="97">
        <f t="shared" si="245"/>
        <v>55.030729396146135</v>
      </c>
      <c r="N202" s="97">
        <f t="shared" si="245"/>
        <v>53.901018543685574</v>
      </c>
      <c r="O202" s="97">
        <f t="shared" si="245"/>
        <v>55.005129412242709</v>
      </c>
      <c r="P202" s="97">
        <f t="shared" si="245"/>
        <v>54.435811207988415</v>
      </c>
      <c r="Q202" s="97">
        <f t="shared" si="245"/>
        <v>55.088320044326778</v>
      </c>
      <c r="R202" s="97">
        <f t="shared" si="245"/>
        <v>54.928011207338479</v>
      </c>
      <c r="S202" s="97">
        <f t="shared" si="245"/>
        <v>58.519034772722108</v>
      </c>
      <c r="T202" s="97">
        <f t="shared" si="245"/>
        <v>68.610818964870475</v>
      </c>
      <c r="U202" s="97">
        <f t="shared" si="245"/>
        <v>71.636683852986209</v>
      </c>
      <c r="V202" s="97">
        <f t="shared" si="245"/>
        <v>65.44905296689987</v>
      </c>
      <c r="W202" s="97">
        <f t="shared" ref="W202" si="246">IF(W50=0,0,W50/W20*1000)</f>
        <v>66.199361478810346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0</v>
      </c>
      <c r="C203" s="130">
        <f t="shared" si="247"/>
        <v>0</v>
      </c>
      <c r="D203" s="130">
        <f t="shared" si="247"/>
        <v>0</v>
      </c>
      <c r="E203" s="130">
        <f t="shared" si="247"/>
        <v>0</v>
      </c>
      <c r="F203" s="130">
        <f t="shared" si="247"/>
        <v>0</v>
      </c>
      <c r="G203" s="130">
        <f t="shared" si="247"/>
        <v>0</v>
      </c>
      <c r="H203" s="130">
        <f t="shared" si="247"/>
        <v>0</v>
      </c>
      <c r="I203" s="130">
        <f t="shared" si="247"/>
        <v>0</v>
      </c>
      <c r="J203" s="130">
        <f t="shared" si="247"/>
        <v>0</v>
      </c>
      <c r="K203" s="130">
        <f t="shared" si="247"/>
        <v>0</v>
      </c>
      <c r="L203" s="130">
        <f t="shared" si="247"/>
        <v>0</v>
      </c>
      <c r="M203" s="130">
        <f t="shared" si="247"/>
        <v>0</v>
      </c>
      <c r="N203" s="130">
        <f t="shared" si="247"/>
        <v>0</v>
      </c>
      <c r="O203" s="130">
        <f t="shared" si="247"/>
        <v>0</v>
      </c>
      <c r="P203" s="130">
        <f t="shared" si="247"/>
        <v>0</v>
      </c>
      <c r="Q203" s="130">
        <f t="shared" si="247"/>
        <v>0</v>
      </c>
      <c r="R203" s="130">
        <f t="shared" si="247"/>
        <v>0</v>
      </c>
      <c r="S203" s="130">
        <f t="shared" si="247"/>
        <v>0</v>
      </c>
      <c r="T203" s="130">
        <f t="shared" si="247"/>
        <v>0</v>
      </c>
      <c r="U203" s="130">
        <f t="shared" si="247"/>
        <v>0</v>
      </c>
      <c r="V203" s="130">
        <f t="shared" si="247"/>
        <v>0</v>
      </c>
      <c r="W203" s="130">
        <f t="shared" ref="W203" si="248">IF(W51=0,0,W51/W21*1000)</f>
        <v>0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245.47734738449901</v>
      </c>
      <c r="C204" s="130">
        <f t="shared" si="249"/>
        <v>178.8870066031028</v>
      </c>
      <c r="D204" s="130">
        <f t="shared" si="249"/>
        <v>193.0146348328341</v>
      </c>
      <c r="E204" s="130">
        <f t="shared" si="249"/>
        <v>171.40187164621042</v>
      </c>
      <c r="F204" s="130">
        <f t="shared" si="249"/>
        <v>231.4042578938961</v>
      </c>
      <c r="G204" s="130">
        <f t="shared" si="249"/>
        <v>194.5002009912379</v>
      </c>
      <c r="H204" s="130">
        <f t="shared" si="249"/>
        <v>211.2732592727144</v>
      </c>
      <c r="I204" s="130">
        <f t="shared" si="249"/>
        <v>190.61645375304434</v>
      </c>
      <c r="J204" s="130">
        <f t="shared" si="249"/>
        <v>190.22367736705857</v>
      </c>
      <c r="K204" s="130">
        <f t="shared" si="249"/>
        <v>172.6012324580521</v>
      </c>
      <c r="L204" s="130">
        <f t="shared" si="249"/>
        <v>190.98249416281291</v>
      </c>
      <c r="M204" s="130">
        <f t="shared" si="249"/>
        <v>195.44903937084391</v>
      </c>
      <c r="N204" s="130">
        <f t="shared" si="249"/>
        <v>159.0833385435734</v>
      </c>
      <c r="O204" s="130">
        <f t="shared" si="249"/>
        <v>138.63597234279902</v>
      </c>
      <c r="P204" s="130">
        <f t="shared" si="249"/>
        <v>138.03541803712366</v>
      </c>
      <c r="Q204" s="130">
        <f t="shared" si="249"/>
        <v>144.25197436535058</v>
      </c>
      <c r="R204" s="130">
        <f t="shared" si="249"/>
        <v>113.99667572551826</v>
      </c>
      <c r="S204" s="130">
        <f t="shared" si="249"/>
        <v>136.970316378587</v>
      </c>
      <c r="T204" s="130">
        <f t="shared" si="249"/>
        <v>148.78313573596523</v>
      </c>
      <c r="U204" s="130">
        <f t="shared" si="249"/>
        <v>142.03238752036992</v>
      </c>
      <c r="V204" s="130">
        <f t="shared" si="249"/>
        <v>140.19487392702084</v>
      </c>
      <c r="W204" s="130">
        <f t="shared" ref="W204" si="250">IF(W52=0,0,W52/W22*1000)</f>
        <v>147.56785250670964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279.72505489840307</v>
      </c>
      <c r="C206" s="97">
        <f t="shared" si="253"/>
        <v>205.19959592261563</v>
      </c>
      <c r="D206" s="97">
        <f t="shared" si="253"/>
        <v>223.61007758869457</v>
      </c>
      <c r="E206" s="97">
        <f t="shared" si="253"/>
        <v>189.37187113820647</v>
      </c>
      <c r="F206" s="97">
        <f t="shared" si="253"/>
        <v>269.77793679769223</v>
      </c>
      <c r="G206" s="97">
        <f t="shared" si="253"/>
        <v>225.55722939449115</v>
      </c>
      <c r="H206" s="97">
        <f t="shared" si="253"/>
        <v>261.84297881984878</v>
      </c>
      <c r="I206" s="97">
        <f t="shared" si="253"/>
        <v>242.07904384879873</v>
      </c>
      <c r="J206" s="97">
        <f t="shared" si="253"/>
        <v>250.434223610271</v>
      </c>
      <c r="K206" s="97">
        <f t="shared" si="253"/>
        <v>236.20869814882906</v>
      </c>
      <c r="L206" s="97">
        <f t="shared" si="253"/>
        <v>228.36101274536682</v>
      </c>
      <c r="M206" s="97">
        <f t="shared" si="253"/>
        <v>222.52498240666276</v>
      </c>
      <c r="N206" s="97">
        <f t="shared" si="253"/>
        <v>192.4609034426926</v>
      </c>
      <c r="O206" s="97">
        <f t="shared" si="253"/>
        <v>185.34231839963024</v>
      </c>
      <c r="P206" s="97">
        <f t="shared" si="253"/>
        <v>166.38113327414305</v>
      </c>
      <c r="Q206" s="97">
        <f t="shared" si="253"/>
        <v>157.58234239907577</v>
      </c>
      <c r="R206" s="97">
        <f t="shared" si="253"/>
        <v>151.96950637711328</v>
      </c>
      <c r="S206" s="97">
        <f t="shared" si="253"/>
        <v>157.67462691108068</v>
      </c>
      <c r="T206" s="97">
        <f t="shared" si="253"/>
        <v>165.36402650560828</v>
      </c>
      <c r="U206" s="97">
        <f t="shared" si="253"/>
        <v>171.15811855145103</v>
      </c>
      <c r="V206" s="97">
        <f t="shared" si="253"/>
        <v>180.72470007717786</v>
      </c>
      <c r="W206" s="97">
        <f t="shared" ref="W206" si="254">IF(W54=0,0,W54/W24*1000)</f>
        <v>192.22577600672201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89.548298998698314</v>
      </c>
      <c r="C207" s="97">
        <f t="shared" si="255"/>
        <v>68.386968927839774</v>
      </c>
      <c r="D207" s="97">
        <f t="shared" si="255"/>
        <v>74.48002810892747</v>
      </c>
      <c r="E207" s="97">
        <f t="shared" si="255"/>
        <v>70.523096623951375</v>
      </c>
      <c r="F207" s="97">
        <f t="shared" si="255"/>
        <v>92.138983754249196</v>
      </c>
      <c r="G207" s="97">
        <f t="shared" si="255"/>
        <v>95.998328280898107</v>
      </c>
      <c r="H207" s="97">
        <f t="shared" si="255"/>
        <v>87.563235433175748</v>
      </c>
      <c r="I207" s="97">
        <f t="shared" si="255"/>
        <v>87.73285240903931</v>
      </c>
      <c r="J207" s="97">
        <f t="shared" si="255"/>
        <v>102.74689907553299</v>
      </c>
      <c r="K207" s="97">
        <f t="shared" si="255"/>
        <v>103.95563820795103</v>
      </c>
      <c r="L207" s="97">
        <f t="shared" si="255"/>
        <v>116.37369275285489</v>
      </c>
      <c r="M207" s="97">
        <f t="shared" si="255"/>
        <v>113.77321132072093</v>
      </c>
      <c r="N207" s="97">
        <f t="shared" si="255"/>
        <v>83.413060460137999</v>
      </c>
      <c r="O207" s="97">
        <f t="shared" si="255"/>
        <v>58.918940537737939</v>
      </c>
      <c r="P207" s="97">
        <f t="shared" si="255"/>
        <v>57.469322174960283</v>
      </c>
      <c r="Q207" s="97">
        <f t="shared" si="255"/>
        <v>64.478749648174087</v>
      </c>
      <c r="R207" s="97">
        <f t="shared" si="255"/>
        <v>40.637048265040768</v>
      </c>
      <c r="S207" s="97">
        <f t="shared" si="255"/>
        <v>62.695652062361525</v>
      </c>
      <c r="T207" s="97">
        <f t="shared" si="255"/>
        <v>67.890503293222736</v>
      </c>
      <c r="U207" s="97">
        <f t="shared" si="255"/>
        <v>34.685827545541905</v>
      </c>
      <c r="V207" s="97">
        <f t="shared" si="255"/>
        <v>67.686248780119541</v>
      </c>
      <c r="W207" s="97">
        <f t="shared" ref="W207" si="256">IF(W55=0,0,W55/W25*1000)</f>
        <v>66.803884744422433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0</v>
      </c>
      <c r="C208" s="130">
        <f t="shared" si="257"/>
        <v>0</v>
      </c>
      <c r="D208" s="130">
        <f t="shared" si="257"/>
        <v>0</v>
      </c>
      <c r="E208" s="130">
        <f t="shared" si="257"/>
        <v>0</v>
      </c>
      <c r="F208" s="130">
        <f t="shared" si="257"/>
        <v>0</v>
      </c>
      <c r="G208" s="130">
        <f t="shared" si="257"/>
        <v>3786.6965299771832</v>
      </c>
      <c r="H208" s="130">
        <f t="shared" si="257"/>
        <v>3832.077628403797</v>
      </c>
      <c r="I208" s="130">
        <f t="shared" si="257"/>
        <v>3873.4106443274723</v>
      </c>
      <c r="J208" s="130">
        <f t="shared" si="257"/>
        <v>3871.1705797570626</v>
      </c>
      <c r="K208" s="130">
        <f t="shared" si="257"/>
        <v>3837.5360217587609</v>
      </c>
      <c r="L208" s="130">
        <f t="shared" si="257"/>
        <v>4088.3418604376216</v>
      </c>
      <c r="M208" s="130">
        <f t="shared" si="257"/>
        <v>4348.5690110317855</v>
      </c>
      <c r="N208" s="130">
        <f t="shared" si="257"/>
        <v>3806.5313797588515</v>
      </c>
      <c r="O208" s="130">
        <f t="shared" si="257"/>
        <v>3219.3084653181077</v>
      </c>
      <c r="P208" s="130">
        <f t="shared" si="257"/>
        <v>3044.8800314489426</v>
      </c>
      <c r="Q208" s="130">
        <f t="shared" si="257"/>
        <v>3122.2612841080995</v>
      </c>
      <c r="R208" s="130">
        <f t="shared" si="257"/>
        <v>3094.3359255865303</v>
      </c>
      <c r="S208" s="130">
        <f t="shared" si="257"/>
        <v>3146.9161351333405</v>
      </c>
      <c r="T208" s="130">
        <f t="shared" si="257"/>
        <v>3080.5188722895432</v>
      </c>
      <c r="U208" s="130">
        <f t="shared" si="257"/>
        <v>3181.5926272954757</v>
      </c>
      <c r="V208" s="130">
        <f t="shared" si="257"/>
        <v>3242.2807870812317</v>
      </c>
      <c r="W208" s="130">
        <f t="shared" ref="W208" si="258">IF(W56=0,0,W56/W26*1000)</f>
        <v>3302.8049155818717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3786.6965299771832</v>
      </c>
      <c r="H209" s="97">
        <f t="shared" si="259"/>
        <v>3832.077628403797</v>
      </c>
      <c r="I209" s="97">
        <f t="shared" si="259"/>
        <v>3873.4106443274723</v>
      </c>
      <c r="J209" s="97">
        <f t="shared" si="259"/>
        <v>3871.1705797570626</v>
      </c>
      <c r="K209" s="97">
        <f t="shared" si="259"/>
        <v>3837.5360217587609</v>
      </c>
      <c r="L209" s="97">
        <f t="shared" si="259"/>
        <v>4088.3418604376216</v>
      </c>
      <c r="M209" s="97">
        <f t="shared" si="259"/>
        <v>4348.5690110317855</v>
      </c>
      <c r="N209" s="97">
        <f t="shared" si="259"/>
        <v>3806.5313797588515</v>
      </c>
      <c r="O209" s="97">
        <f t="shared" si="259"/>
        <v>3219.3084653181077</v>
      </c>
      <c r="P209" s="97">
        <f t="shared" si="259"/>
        <v>3044.8800314489426</v>
      </c>
      <c r="Q209" s="97">
        <f t="shared" si="259"/>
        <v>3122.2612841080995</v>
      </c>
      <c r="R209" s="97">
        <f t="shared" si="259"/>
        <v>3094.3359255865303</v>
      </c>
      <c r="S209" s="97">
        <f t="shared" si="259"/>
        <v>3146.9161351333405</v>
      </c>
      <c r="T209" s="97">
        <f t="shared" si="259"/>
        <v>3080.5188722895432</v>
      </c>
      <c r="U209" s="97">
        <f t="shared" si="259"/>
        <v>3181.5926272954757</v>
      </c>
      <c r="V209" s="97">
        <f t="shared" si="259"/>
        <v>3242.2807870812317</v>
      </c>
      <c r="W209" s="97">
        <f t="shared" ref="W209" si="260">IF(W57=0,0,W57/W27*1000)</f>
        <v>3302.8049155818717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201.95497873045028</v>
      </c>
      <c r="C211" s="32">
        <f t="shared" si="263"/>
        <v>205.7134615338253</v>
      </c>
      <c r="D211" s="32">
        <f t="shared" si="263"/>
        <v>204.81640772300531</v>
      </c>
      <c r="E211" s="32">
        <f t="shared" si="263"/>
        <v>204.4330044710712</v>
      </c>
      <c r="F211" s="32">
        <f t="shared" si="263"/>
        <v>168.73381598923845</v>
      </c>
      <c r="G211" s="32">
        <f t="shared" si="263"/>
        <v>156.70938974446474</v>
      </c>
      <c r="H211" s="32">
        <f t="shared" si="263"/>
        <v>165.31466587812162</v>
      </c>
      <c r="I211" s="32">
        <f t="shared" si="263"/>
        <v>183.52644968718636</v>
      </c>
      <c r="J211" s="32">
        <f t="shared" si="263"/>
        <v>200.07680871838409</v>
      </c>
      <c r="K211" s="32">
        <f t="shared" si="263"/>
        <v>225.56176045770238</v>
      </c>
      <c r="L211" s="32">
        <f t="shared" si="263"/>
        <v>307.49437439369984</v>
      </c>
      <c r="M211" s="32">
        <f t="shared" si="263"/>
        <v>310.21337845452035</v>
      </c>
      <c r="N211" s="32">
        <f t="shared" si="263"/>
        <v>285.63481321375531</v>
      </c>
      <c r="O211" s="32">
        <f t="shared" si="263"/>
        <v>248.39755175992204</v>
      </c>
      <c r="P211" s="32">
        <f t="shared" si="263"/>
        <v>216.99633473707817</v>
      </c>
      <c r="Q211" s="32">
        <f t="shared" si="263"/>
        <v>357.20876415985117</v>
      </c>
      <c r="R211" s="32">
        <f t="shared" si="263"/>
        <v>423.98078081685765</v>
      </c>
      <c r="S211" s="32">
        <f t="shared" si="263"/>
        <v>411.40741698227208</v>
      </c>
      <c r="T211" s="32">
        <f t="shared" si="263"/>
        <v>353.18731024585492</v>
      </c>
      <c r="U211" s="32">
        <f t="shared" si="263"/>
        <v>300.64565660902127</v>
      </c>
      <c r="V211" s="32">
        <f t="shared" si="263"/>
        <v>454.43950764350313</v>
      </c>
      <c r="W211" s="32">
        <f t="shared" si="262"/>
        <v>541.09004004390465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218.7275058461324</v>
      </c>
      <c r="C212" s="97">
        <f t="shared" si="264"/>
        <v>225.14585307672164</v>
      </c>
      <c r="D212" s="97">
        <f t="shared" si="264"/>
        <v>223.59830679972328</v>
      </c>
      <c r="E212" s="97">
        <f t="shared" si="264"/>
        <v>222.87112889222706</v>
      </c>
      <c r="F212" s="97">
        <f t="shared" si="264"/>
        <v>232.20350971096397</v>
      </c>
      <c r="G212" s="97">
        <f t="shared" si="264"/>
        <v>173.16483289495619</v>
      </c>
      <c r="H212" s="97">
        <f t="shared" si="264"/>
        <v>172.85414748465459</v>
      </c>
      <c r="I212" s="97">
        <f t="shared" si="264"/>
        <v>182.54640503050382</v>
      </c>
      <c r="J212" s="97">
        <f t="shared" si="264"/>
        <v>206.45777909788666</v>
      </c>
      <c r="K212" s="97">
        <f t="shared" si="264"/>
        <v>248.03358224702748</v>
      </c>
      <c r="L212" s="97">
        <f t="shared" si="264"/>
        <v>336.77043345286552</v>
      </c>
      <c r="M212" s="97">
        <f t="shared" si="264"/>
        <v>375.43825668584793</v>
      </c>
      <c r="N212" s="97">
        <f t="shared" si="264"/>
        <v>310.19603258213488</v>
      </c>
      <c r="O212" s="97">
        <f t="shared" si="264"/>
        <v>281.00544533895885</v>
      </c>
      <c r="P212" s="97">
        <f t="shared" si="264"/>
        <v>288.22282383956485</v>
      </c>
      <c r="Q212" s="97">
        <f t="shared" si="264"/>
        <v>385.09278671171921</v>
      </c>
      <c r="R212" s="97">
        <f t="shared" si="264"/>
        <v>529.7677068339807</v>
      </c>
      <c r="S212" s="97">
        <f t="shared" si="264"/>
        <v>521.36098118216569</v>
      </c>
      <c r="T212" s="97">
        <f t="shared" si="264"/>
        <v>407.1994455482432</v>
      </c>
      <c r="U212" s="97">
        <f t="shared" si="264"/>
        <v>424.54330875373478</v>
      </c>
      <c r="V212" s="97">
        <f t="shared" si="264"/>
        <v>423.68268493333028</v>
      </c>
      <c r="W212" s="97">
        <f t="shared" si="262"/>
        <v>521.89282445094875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187.26062750262503</v>
      </c>
      <c r="C213" s="98">
        <f t="shared" si="265"/>
        <v>189.01737203479448</v>
      </c>
      <c r="D213" s="98">
        <f t="shared" si="265"/>
        <v>188.71064696372693</v>
      </c>
      <c r="E213" s="98">
        <f t="shared" si="265"/>
        <v>188.57334768346303</v>
      </c>
      <c r="F213" s="98">
        <f t="shared" si="265"/>
        <v>140.06124217376183</v>
      </c>
      <c r="G213" s="98">
        <f t="shared" si="265"/>
        <v>142.76530774307292</v>
      </c>
      <c r="H213" s="98">
        <f t="shared" si="265"/>
        <v>159.43786079738305</v>
      </c>
      <c r="I213" s="98">
        <f t="shared" si="265"/>
        <v>184.23721165903774</v>
      </c>
      <c r="J213" s="98">
        <f t="shared" si="265"/>
        <v>193.42697121650218</v>
      </c>
      <c r="K213" s="98">
        <f t="shared" si="265"/>
        <v>205.38618710264706</v>
      </c>
      <c r="L213" s="98">
        <f t="shared" si="265"/>
        <v>281.04393449577128</v>
      </c>
      <c r="M213" s="98">
        <f t="shared" si="265"/>
        <v>263.63155240614464</v>
      </c>
      <c r="N213" s="98">
        <f t="shared" si="265"/>
        <v>259.56089274724474</v>
      </c>
      <c r="O213" s="98">
        <f t="shared" si="265"/>
        <v>216.43355418531604</v>
      </c>
      <c r="P213" s="98">
        <f t="shared" si="265"/>
        <v>172.25369468390744</v>
      </c>
      <c r="Q213" s="98">
        <f t="shared" si="265"/>
        <v>326.43935781462102</v>
      </c>
      <c r="R213" s="98">
        <f t="shared" si="265"/>
        <v>347.14693518203671</v>
      </c>
      <c r="S213" s="98">
        <f t="shared" si="265"/>
        <v>336.56011730039199</v>
      </c>
      <c r="T213" s="98">
        <f t="shared" si="265"/>
        <v>306.12809067387491</v>
      </c>
      <c r="U213" s="98">
        <f t="shared" si="265"/>
        <v>237.06646311779949</v>
      </c>
      <c r="V213" s="98">
        <f t="shared" si="265"/>
        <v>497.59617206045243</v>
      </c>
      <c r="W213" s="98">
        <f t="shared" si="262"/>
        <v>563.33987018683354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124.53300670058378</v>
      </c>
      <c r="C216" s="32">
        <f t="shared" si="266"/>
        <v>108.22030565166955</v>
      </c>
      <c r="D216" s="32">
        <f t="shared" si="266"/>
        <v>108.33802802847183</v>
      </c>
      <c r="E216" s="32">
        <f t="shared" si="266"/>
        <v>103.54744144745946</v>
      </c>
      <c r="F216" s="32">
        <f t="shared" si="266"/>
        <v>111.66733633156012</v>
      </c>
      <c r="G216" s="32">
        <f t="shared" si="266"/>
        <v>110.79752623593207</v>
      </c>
      <c r="H216" s="32">
        <f t="shared" si="266"/>
        <v>114.51756576023517</v>
      </c>
      <c r="I216" s="32">
        <f t="shared" si="266"/>
        <v>112.37571418258182</v>
      </c>
      <c r="J216" s="32">
        <f t="shared" si="266"/>
        <v>119.74331697398196</v>
      </c>
      <c r="K216" s="32">
        <f t="shared" si="266"/>
        <v>111.54830853360951</v>
      </c>
      <c r="L216" s="32">
        <f t="shared" si="266"/>
        <v>121.06858665719413</v>
      </c>
      <c r="M216" s="32">
        <f t="shared" si="266"/>
        <v>116.94925120516751</v>
      </c>
      <c r="N216" s="32">
        <f t="shared" si="266"/>
        <v>114.01739290370048</v>
      </c>
      <c r="O216" s="32">
        <f t="shared" si="266"/>
        <v>111.64251687767064</v>
      </c>
      <c r="P216" s="32">
        <f t="shared" si="266"/>
        <v>112.55903283041735</v>
      </c>
      <c r="Q216" s="32">
        <f t="shared" si="266"/>
        <v>113.27294493149104</v>
      </c>
      <c r="R216" s="32">
        <f t="shared" si="266"/>
        <v>108.23280289559668</v>
      </c>
      <c r="S216" s="32">
        <f t="shared" si="266"/>
        <v>106.29778297040112</v>
      </c>
      <c r="T216" s="32">
        <f t="shared" si="266"/>
        <v>108.73326725566227</v>
      </c>
      <c r="U216" s="32">
        <f t="shared" si="266"/>
        <v>106.30789199266668</v>
      </c>
      <c r="V216" s="32">
        <f t="shared" si="266"/>
        <v>132.34041936843894</v>
      </c>
      <c r="W216" s="32">
        <f t="shared" ref="W216" si="267">IF(W4=0,0,W64/W4*1000)</f>
        <v>128.7716375247289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121.02774253419192</v>
      </c>
      <c r="C217" s="141">
        <f t="shared" si="268"/>
        <v>114.99601977014872</v>
      </c>
      <c r="D217" s="141">
        <f t="shared" si="268"/>
        <v>107.13009035348747</v>
      </c>
      <c r="E217" s="141">
        <f t="shared" si="268"/>
        <v>109.31421213642713</v>
      </c>
      <c r="F217" s="141">
        <f t="shared" si="268"/>
        <v>101.31370191393933</v>
      </c>
      <c r="G217" s="141">
        <f t="shared" si="268"/>
        <v>119.03229779190312</v>
      </c>
      <c r="H217" s="141">
        <f t="shared" si="268"/>
        <v>119.96467827997574</v>
      </c>
      <c r="I217" s="141">
        <f t="shared" si="268"/>
        <v>119.02404745059252</v>
      </c>
      <c r="J217" s="141">
        <f t="shared" si="268"/>
        <v>134.1419518347447</v>
      </c>
      <c r="K217" s="141">
        <f t="shared" si="268"/>
        <v>116.31673703253638</v>
      </c>
      <c r="L217" s="141">
        <f t="shared" si="268"/>
        <v>134.44475485698499</v>
      </c>
      <c r="M217" s="141">
        <f t="shared" si="268"/>
        <v>135.2840302159494</v>
      </c>
      <c r="N217" s="141">
        <f t="shared" si="268"/>
        <v>137.28828269646314</v>
      </c>
      <c r="O217" s="141">
        <f t="shared" si="268"/>
        <v>138.39939931703032</v>
      </c>
      <c r="P217" s="141">
        <f t="shared" si="268"/>
        <v>135.95089425145122</v>
      </c>
      <c r="Q217" s="141">
        <f t="shared" si="268"/>
        <v>139.61485413223386</v>
      </c>
      <c r="R217" s="141">
        <f t="shared" si="268"/>
        <v>136.42140886048318</v>
      </c>
      <c r="S217" s="141">
        <f t="shared" si="268"/>
        <v>137.79060242461031</v>
      </c>
      <c r="T217" s="141">
        <f t="shared" si="268"/>
        <v>149.56763772177095</v>
      </c>
      <c r="U217" s="141">
        <f t="shared" si="268"/>
        <v>151.04852710119903</v>
      </c>
      <c r="V217" s="141">
        <f t="shared" si="268"/>
        <v>142.56815485569987</v>
      </c>
      <c r="W217" s="141">
        <f t="shared" ref="W217" si="269">IF(W5=0,0,W65/W5*1000)</f>
        <v>141.55656853981597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104.05661352985761</v>
      </c>
      <c r="C218" s="97">
        <f t="shared" si="270"/>
        <v>103.64880025028458</v>
      </c>
      <c r="D218" s="97">
        <f t="shared" si="270"/>
        <v>103.25561860892111</v>
      </c>
      <c r="E218" s="97">
        <f t="shared" si="270"/>
        <v>102.82090161263297</v>
      </c>
      <c r="F218" s="97">
        <f t="shared" si="270"/>
        <v>102.42816714387793</v>
      </c>
      <c r="G218" s="97">
        <f t="shared" si="270"/>
        <v>102.0486677562606</v>
      </c>
      <c r="H218" s="97">
        <f t="shared" si="270"/>
        <v>101.43818658609707</v>
      </c>
      <c r="I218" s="97">
        <f t="shared" si="270"/>
        <v>100.60569757178389</v>
      </c>
      <c r="J218" s="97">
        <f t="shared" si="270"/>
        <v>99.017890709577287</v>
      </c>
      <c r="K218" s="97">
        <f t="shared" si="270"/>
        <v>97.564845667201169</v>
      </c>
      <c r="L218" s="97">
        <f t="shared" si="270"/>
        <v>96.020111634048789</v>
      </c>
      <c r="M218" s="97">
        <f t="shared" si="270"/>
        <v>94.604280446206772</v>
      </c>
      <c r="N218" s="97">
        <f t="shared" si="270"/>
        <v>93.281809682131723</v>
      </c>
      <c r="O218" s="97">
        <f t="shared" si="270"/>
        <v>91.924347350644865</v>
      </c>
      <c r="P218" s="97">
        <f t="shared" si="270"/>
        <v>90.102290017956051</v>
      </c>
      <c r="Q218" s="97">
        <f t="shared" si="270"/>
        <v>88.112545359630758</v>
      </c>
      <c r="R218" s="97">
        <f t="shared" si="270"/>
        <v>86.109163161625943</v>
      </c>
      <c r="S218" s="97">
        <f t="shared" si="270"/>
        <v>85.32300156152013</v>
      </c>
      <c r="T218" s="97">
        <f t="shared" si="270"/>
        <v>87.980912399048933</v>
      </c>
      <c r="U218" s="97">
        <f t="shared" si="270"/>
        <v>87.082095429580264</v>
      </c>
      <c r="V218" s="97">
        <f t="shared" si="270"/>
        <v>82.205809459579498</v>
      </c>
      <c r="W218" s="97">
        <f t="shared" ref="W218" si="271">IF(W6=0,0,W66/W6*1000)</f>
        <v>76.118751420937016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132.72251356269166</v>
      </c>
      <c r="C219" s="97">
        <f t="shared" si="272"/>
        <v>126.32196350790234</v>
      </c>
      <c r="D219" s="97">
        <f t="shared" si="272"/>
        <v>127.61883171641981</v>
      </c>
      <c r="E219" s="97">
        <f t="shared" si="272"/>
        <v>123.13940896718489</v>
      </c>
      <c r="F219" s="97">
        <f t="shared" si="272"/>
        <v>107.20698809784257</v>
      </c>
      <c r="G219" s="97">
        <f t="shared" si="272"/>
        <v>121.16911515222107</v>
      </c>
      <c r="H219" s="97">
        <f t="shared" si="272"/>
        <v>120.838177664947</v>
      </c>
      <c r="I219" s="97">
        <f t="shared" si="272"/>
        <v>121.43094250307875</v>
      </c>
      <c r="J219" s="97">
        <f t="shared" si="272"/>
        <v>140.83888209486693</v>
      </c>
      <c r="K219" s="97">
        <f t="shared" si="272"/>
        <v>120.60263785527508</v>
      </c>
      <c r="L219" s="97">
        <f t="shared" si="272"/>
        <v>141.89005677909518</v>
      </c>
      <c r="M219" s="97">
        <f t="shared" si="272"/>
        <v>141.27936001197122</v>
      </c>
      <c r="N219" s="97">
        <f t="shared" si="272"/>
        <v>140.55708023485667</v>
      </c>
      <c r="O219" s="97">
        <f t="shared" si="272"/>
        <v>141.0937069097323</v>
      </c>
      <c r="P219" s="97">
        <f t="shared" si="272"/>
        <v>134.55862067428185</v>
      </c>
      <c r="Q219" s="97">
        <f t="shared" si="272"/>
        <v>137.74183705473089</v>
      </c>
      <c r="R219" s="97">
        <f t="shared" si="272"/>
        <v>134.71108365186777</v>
      </c>
      <c r="S219" s="97">
        <f t="shared" si="272"/>
        <v>134.59510109314252</v>
      </c>
      <c r="T219" s="97">
        <f t="shared" si="272"/>
        <v>144.08110703975888</v>
      </c>
      <c r="U219" s="97">
        <f t="shared" si="272"/>
        <v>147.39422872452758</v>
      </c>
      <c r="V219" s="97">
        <f t="shared" si="272"/>
        <v>137.437312626075</v>
      </c>
      <c r="W219" s="97">
        <f t="shared" ref="W219" si="273">IF(W7=0,0,W67/W7*1000)</f>
        <v>139.80760941419385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76.442365594916737</v>
      </c>
      <c r="C220" s="97">
        <f t="shared" si="274"/>
        <v>72.416695825811686</v>
      </c>
      <c r="D220" s="97">
        <f t="shared" si="274"/>
        <v>28.439613540496978</v>
      </c>
      <c r="E220" s="97">
        <f t="shared" si="274"/>
        <v>56.172202081838336</v>
      </c>
      <c r="F220" s="97">
        <f t="shared" si="274"/>
        <v>78.25658660158912</v>
      </c>
      <c r="G220" s="97">
        <f t="shared" si="274"/>
        <v>111.37908979767477</v>
      </c>
      <c r="H220" s="97">
        <f t="shared" si="274"/>
        <v>117.55381417802704</v>
      </c>
      <c r="I220" s="97">
        <f t="shared" si="274"/>
        <v>110.21658878247612</v>
      </c>
      <c r="J220" s="97">
        <f t="shared" si="274"/>
        <v>108.46747071364712</v>
      </c>
      <c r="K220" s="97">
        <f t="shared" si="274"/>
        <v>98.30466637724912</v>
      </c>
      <c r="L220" s="97">
        <f t="shared" si="274"/>
        <v>104.59579365824855</v>
      </c>
      <c r="M220" s="97">
        <f t="shared" si="274"/>
        <v>110.60333973170088</v>
      </c>
      <c r="N220" s="97">
        <f t="shared" si="274"/>
        <v>125.64985156312689</v>
      </c>
      <c r="O220" s="97">
        <f t="shared" si="274"/>
        <v>129.50420133953565</v>
      </c>
      <c r="P220" s="97">
        <f t="shared" si="274"/>
        <v>147.17965480617045</v>
      </c>
      <c r="Q220" s="97">
        <f t="shared" si="274"/>
        <v>152.96992810912727</v>
      </c>
      <c r="R220" s="97">
        <f t="shared" si="274"/>
        <v>149.45525373571795</v>
      </c>
      <c r="S220" s="97">
        <f t="shared" si="274"/>
        <v>157.63267135855992</v>
      </c>
      <c r="T220" s="97">
        <f t="shared" si="274"/>
        <v>180.682032314759</v>
      </c>
      <c r="U220" s="97">
        <f t="shared" si="274"/>
        <v>173.08359378189976</v>
      </c>
      <c r="V220" s="97">
        <f t="shared" si="274"/>
        <v>181.6832168397255</v>
      </c>
      <c r="W220" s="97">
        <f t="shared" ref="W220" si="275">IF(W8=0,0,W68/W8*1000)</f>
        <v>160.12398495219014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0</v>
      </c>
      <c r="C221" s="130">
        <f t="shared" si="276"/>
        <v>0</v>
      </c>
      <c r="D221" s="130">
        <f t="shared" si="276"/>
        <v>0</v>
      </c>
      <c r="E221" s="130">
        <f t="shared" si="276"/>
        <v>0</v>
      </c>
      <c r="F221" s="130">
        <f t="shared" si="276"/>
        <v>0</v>
      </c>
      <c r="G221" s="130">
        <f t="shared" si="276"/>
        <v>0</v>
      </c>
      <c r="H221" s="130">
        <f t="shared" si="276"/>
        <v>0</v>
      </c>
      <c r="I221" s="130">
        <f t="shared" si="276"/>
        <v>0</v>
      </c>
      <c r="J221" s="130">
        <f t="shared" si="276"/>
        <v>0</v>
      </c>
      <c r="K221" s="130">
        <f t="shared" si="276"/>
        <v>0</v>
      </c>
      <c r="L221" s="130">
        <f t="shared" si="276"/>
        <v>0</v>
      </c>
      <c r="M221" s="130">
        <f t="shared" si="276"/>
        <v>0</v>
      </c>
      <c r="N221" s="130">
        <f t="shared" si="276"/>
        <v>0</v>
      </c>
      <c r="O221" s="130">
        <f t="shared" si="276"/>
        <v>0</v>
      </c>
      <c r="P221" s="130">
        <f t="shared" si="276"/>
        <v>0</v>
      </c>
      <c r="Q221" s="130">
        <f t="shared" si="276"/>
        <v>0</v>
      </c>
      <c r="R221" s="130">
        <f t="shared" si="276"/>
        <v>0</v>
      </c>
      <c r="S221" s="130">
        <f t="shared" si="276"/>
        <v>0</v>
      </c>
      <c r="T221" s="130">
        <f t="shared" si="276"/>
        <v>0</v>
      </c>
      <c r="U221" s="130">
        <f t="shared" si="276"/>
        <v>0</v>
      </c>
      <c r="V221" s="130">
        <f t="shared" si="276"/>
        <v>0</v>
      </c>
      <c r="W221" s="130">
        <f t="shared" ref="W221" si="277">IF(W9=0,0,W69/W9*1000)</f>
        <v>0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0</v>
      </c>
      <c r="C223" s="97">
        <f t="shared" si="280"/>
        <v>0</v>
      </c>
      <c r="D223" s="97">
        <f t="shared" si="280"/>
        <v>0</v>
      </c>
      <c r="E223" s="97">
        <f t="shared" si="280"/>
        <v>0</v>
      </c>
      <c r="F223" s="97">
        <f t="shared" si="280"/>
        <v>0</v>
      </c>
      <c r="G223" s="97">
        <f t="shared" si="280"/>
        <v>0</v>
      </c>
      <c r="H223" s="97">
        <f t="shared" si="280"/>
        <v>0</v>
      </c>
      <c r="I223" s="97">
        <f t="shared" si="280"/>
        <v>0</v>
      </c>
      <c r="J223" s="97">
        <f t="shared" si="280"/>
        <v>0</v>
      </c>
      <c r="K223" s="97">
        <f t="shared" si="280"/>
        <v>0</v>
      </c>
      <c r="L223" s="97">
        <f t="shared" si="280"/>
        <v>0</v>
      </c>
      <c r="M223" s="97">
        <f t="shared" si="280"/>
        <v>0</v>
      </c>
      <c r="N223" s="97">
        <f t="shared" si="280"/>
        <v>0</v>
      </c>
      <c r="O223" s="97">
        <f t="shared" si="280"/>
        <v>0</v>
      </c>
      <c r="P223" s="97">
        <f t="shared" si="280"/>
        <v>0</v>
      </c>
      <c r="Q223" s="97">
        <f t="shared" si="280"/>
        <v>0</v>
      </c>
      <c r="R223" s="97">
        <f t="shared" si="280"/>
        <v>0</v>
      </c>
      <c r="S223" s="97">
        <f t="shared" si="280"/>
        <v>0</v>
      </c>
      <c r="T223" s="97">
        <f t="shared" si="280"/>
        <v>0</v>
      </c>
      <c r="U223" s="97">
        <f t="shared" si="280"/>
        <v>0</v>
      </c>
      <c r="V223" s="97">
        <f t="shared" si="280"/>
        <v>0</v>
      </c>
      <c r="W223" s="97">
        <f t="shared" ref="W223" si="281">IF(W11=0,0,W71/W11*1000)</f>
        <v>0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127.27957214435348</v>
      </c>
      <c r="C225" s="130">
        <f t="shared" si="284"/>
        <v>102.49764602968604</v>
      </c>
      <c r="D225" s="130">
        <f t="shared" si="284"/>
        <v>109.49555520485063</v>
      </c>
      <c r="E225" s="130">
        <f t="shared" si="284"/>
        <v>97.774984996059445</v>
      </c>
      <c r="F225" s="130">
        <f t="shared" si="284"/>
        <v>121.92245553412366</v>
      </c>
      <c r="G225" s="130">
        <f t="shared" si="284"/>
        <v>102.56673850920012</v>
      </c>
      <c r="H225" s="130">
        <f t="shared" si="284"/>
        <v>108.63847501425825</v>
      </c>
      <c r="I225" s="130">
        <f t="shared" si="284"/>
        <v>105.56464646340889</v>
      </c>
      <c r="J225" s="130">
        <f t="shared" si="284"/>
        <v>105.17300262666276</v>
      </c>
      <c r="K225" s="130">
        <f t="shared" si="284"/>
        <v>106.2757833552316</v>
      </c>
      <c r="L225" s="130">
        <f t="shared" si="284"/>
        <v>107.75117871069601</v>
      </c>
      <c r="M225" s="130">
        <f t="shared" si="284"/>
        <v>100.43782490697663</v>
      </c>
      <c r="N225" s="130">
        <f t="shared" si="284"/>
        <v>93.448467552914323</v>
      </c>
      <c r="O225" s="130">
        <f t="shared" si="284"/>
        <v>89.845611443805026</v>
      </c>
      <c r="P225" s="130">
        <f t="shared" si="284"/>
        <v>93.174983292159766</v>
      </c>
      <c r="Q225" s="130">
        <f t="shared" si="284"/>
        <v>91.584793086473468</v>
      </c>
      <c r="R225" s="130">
        <f t="shared" si="284"/>
        <v>87.0921343826477</v>
      </c>
      <c r="S225" s="130">
        <f t="shared" si="284"/>
        <v>85.453553924788622</v>
      </c>
      <c r="T225" s="130">
        <f t="shared" si="284"/>
        <v>84.512379401591161</v>
      </c>
      <c r="U225" s="130">
        <f t="shared" si="284"/>
        <v>81.401724786004237</v>
      </c>
      <c r="V225" s="130">
        <f t="shared" si="284"/>
        <v>113.71001737989391</v>
      </c>
      <c r="W225" s="130">
        <f t="shared" ref="W225" si="285">IF(W13=0,0,W73/W13*1000)</f>
        <v>110.3220211333862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120.38520764215137</v>
      </c>
      <c r="C227" s="97">
        <f t="shared" si="288"/>
        <v>97.013460744777305</v>
      </c>
      <c r="D227" s="97">
        <f t="shared" si="288"/>
        <v>104.02059230944299</v>
      </c>
      <c r="E227" s="97">
        <f t="shared" si="288"/>
        <v>93.97636603446837</v>
      </c>
      <c r="F227" s="97">
        <f t="shared" si="288"/>
        <v>117.44985069673196</v>
      </c>
      <c r="G227" s="97">
        <f t="shared" si="288"/>
        <v>98.982104486342749</v>
      </c>
      <c r="H227" s="97">
        <f t="shared" si="288"/>
        <v>104.38870813080938</v>
      </c>
      <c r="I227" s="97">
        <f t="shared" si="288"/>
        <v>100.98726705284382</v>
      </c>
      <c r="J227" s="97">
        <f t="shared" si="288"/>
        <v>100.24007416548172</v>
      </c>
      <c r="K227" s="97">
        <f t="shared" si="288"/>
        <v>100.49622148553463</v>
      </c>
      <c r="L227" s="97">
        <f t="shared" si="288"/>
        <v>102.776085334535</v>
      </c>
      <c r="M227" s="97">
        <f t="shared" si="288"/>
        <v>97.283058405571566</v>
      </c>
      <c r="N227" s="97">
        <f t="shared" si="288"/>
        <v>89.922112438352698</v>
      </c>
      <c r="O227" s="97">
        <f t="shared" si="288"/>
        <v>88.213324729754731</v>
      </c>
      <c r="P227" s="97">
        <f t="shared" si="288"/>
        <v>90.225686046666681</v>
      </c>
      <c r="Q227" s="97">
        <f t="shared" si="288"/>
        <v>87.936578491701098</v>
      </c>
      <c r="R227" s="97">
        <f t="shared" si="288"/>
        <v>86.827592683339873</v>
      </c>
      <c r="S227" s="97">
        <f t="shared" si="288"/>
        <v>83.101021505857432</v>
      </c>
      <c r="T227" s="97">
        <f t="shared" si="288"/>
        <v>82.961097949316795</v>
      </c>
      <c r="U227" s="97">
        <f t="shared" si="288"/>
        <v>82.54021696592234</v>
      </c>
      <c r="V227" s="97">
        <f t="shared" si="288"/>
        <v>108.82743536631124</v>
      </c>
      <c r="W227" s="97">
        <f t="shared" ref="W227" si="289">IF(W15=0,0,W75/W15*1000)</f>
        <v>106.52221057543441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207.28580412488796</v>
      </c>
      <c r="C228" s="97">
        <f t="shared" si="290"/>
        <v>165.58159133484978</v>
      </c>
      <c r="D228" s="97">
        <f t="shared" si="290"/>
        <v>188.13005627832089</v>
      </c>
      <c r="E228" s="97">
        <f t="shared" si="290"/>
        <v>151.62103714133971</v>
      </c>
      <c r="F228" s="97">
        <f t="shared" si="290"/>
        <v>189.03333902220439</v>
      </c>
      <c r="G228" s="97">
        <f t="shared" si="290"/>
        <v>158.32020833877451</v>
      </c>
      <c r="H228" s="97">
        <f t="shared" si="290"/>
        <v>176.0397122885224</v>
      </c>
      <c r="I228" s="97">
        <f t="shared" si="290"/>
        <v>190.16278184662335</v>
      </c>
      <c r="J228" s="97">
        <f t="shared" si="290"/>
        <v>191.72853858624239</v>
      </c>
      <c r="K228" s="97">
        <f t="shared" si="290"/>
        <v>209.87591575292299</v>
      </c>
      <c r="L228" s="97">
        <f t="shared" si="290"/>
        <v>186.62170198803994</v>
      </c>
      <c r="M228" s="97">
        <f t="shared" si="290"/>
        <v>140.88867892041279</v>
      </c>
      <c r="N228" s="97">
        <f t="shared" si="290"/>
        <v>141.7580730049217</v>
      </c>
      <c r="O228" s="97">
        <f t="shared" si="290"/>
        <v>107.56697896003298</v>
      </c>
      <c r="P228" s="97">
        <f t="shared" si="290"/>
        <v>133.46864693435913</v>
      </c>
      <c r="Q228" s="97">
        <f t="shared" si="290"/>
        <v>148.62288997394697</v>
      </c>
      <c r="R228" s="97">
        <f t="shared" si="290"/>
        <v>89.732962913642879</v>
      </c>
      <c r="S228" s="97">
        <f t="shared" si="290"/>
        <v>119.715063133607</v>
      </c>
      <c r="T228" s="97">
        <f t="shared" si="290"/>
        <v>105.14156216465005</v>
      </c>
      <c r="U228" s="97">
        <f t="shared" si="290"/>
        <v>71.210655344126948</v>
      </c>
      <c r="V228" s="97">
        <f t="shared" si="290"/>
        <v>156.04193014383483</v>
      </c>
      <c r="W228" s="97">
        <f t="shared" ref="W228" si="291">IF(W16=0,0,W76/W16*1000)</f>
        <v>148.1535681561742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206.97399057327377</v>
      </c>
      <c r="C229" s="32">
        <f t="shared" si="292"/>
        <v>196.9009397700913</v>
      </c>
      <c r="D229" s="32">
        <f t="shared" si="292"/>
        <v>134.30204717143451</v>
      </c>
      <c r="E229" s="32">
        <f t="shared" si="292"/>
        <v>171.55364570728008</v>
      </c>
      <c r="F229" s="32">
        <f t="shared" si="292"/>
        <v>203.08457108832644</v>
      </c>
      <c r="G229" s="32">
        <f t="shared" si="292"/>
        <v>388.97242763634381</v>
      </c>
      <c r="H229" s="32">
        <f t="shared" si="292"/>
        <v>427.68904183506771</v>
      </c>
      <c r="I229" s="32">
        <f t="shared" si="292"/>
        <v>389.1277063814664</v>
      </c>
      <c r="J229" s="32">
        <f t="shared" si="292"/>
        <v>374.54439191322547</v>
      </c>
      <c r="K229" s="32">
        <f t="shared" si="292"/>
        <v>340.40627000907904</v>
      </c>
      <c r="L229" s="32">
        <f t="shared" si="292"/>
        <v>420.2212131035331</v>
      </c>
      <c r="M229" s="32">
        <f t="shared" si="292"/>
        <v>409.57971161448893</v>
      </c>
      <c r="N229" s="32">
        <f t="shared" si="292"/>
        <v>397.0094025686567</v>
      </c>
      <c r="O229" s="32">
        <f t="shared" si="292"/>
        <v>369.57487971434</v>
      </c>
      <c r="P229" s="32">
        <f t="shared" si="292"/>
        <v>374.01134240217857</v>
      </c>
      <c r="Q229" s="32">
        <f t="shared" si="292"/>
        <v>399.40097645411805</v>
      </c>
      <c r="R229" s="32">
        <f t="shared" si="292"/>
        <v>379.86626657745205</v>
      </c>
      <c r="S229" s="32">
        <f t="shared" si="292"/>
        <v>417.61071323494042</v>
      </c>
      <c r="T229" s="32">
        <f t="shared" si="292"/>
        <v>454.12414716584976</v>
      </c>
      <c r="U229" s="32">
        <f t="shared" si="292"/>
        <v>496.13079623750195</v>
      </c>
      <c r="V229" s="32">
        <f t="shared" si="292"/>
        <v>466.42155246466376</v>
      </c>
      <c r="W229" s="32">
        <f t="shared" ref="W229" si="293">IF(W17=0,0,W77/W17*1000)</f>
        <v>503.35095725013821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200.54945839360622</v>
      </c>
      <c r="C230" s="141">
        <f t="shared" si="294"/>
        <v>192.56923575306203</v>
      </c>
      <c r="D230" s="141">
        <f t="shared" si="294"/>
        <v>119.07373464781513</v>
      </c>
      <c r="E230" s="141">
        <f t="shared" si="294"/>
        <v>163.82121459742126</v>
      </c>
      <c r="F230" s="141">
        <f t="shared" si="294"/>
        <v>197.27022471546766</v>
      </c>
      <c r="G230" s="141">
        <f t="shared" si="294"/>
        <v>336.19947841850274</v>
      </c>
      <c r="H230" s="141">
        <f t="shared" si="294"/>
        <v>364.08640331604414</v>
      </c>
      <c r="I230" s="141">
        <f t="shared" si="294"/>
        <v>328.35424279756478</v>
      </c>
      <c r="J230" s="141">
        <f t="shared" si="294"/>
        <v>315.35053797526712</v>
      </c>
      <c r="K230" s="141">
        <f t="shared" si="294"/>
        <v>285.2897102240151</v>
      </c>
      <c r="L230" s="141">
        <f t="shared" si="294"/>
        <v>299.86535271723</v>
      </c>
      <c r="M230" s="141">
        <f t="shared" si="294"/>
        <v>288.0311707786833</v>
      </c>
      <c r="N230" s="141">
        <f t="shared" si="294"/>
        <v>285.36565564852805</v>
      </c>
      <c r="O230" s="141">
        <f t="shared" si="294"/>
        <v>283.44040406324996</v>
      </c>
      <c r="P230" s="141">
        <f t="shared" si="294"/>
        <v>285.0859321842355</v>
      </c>
      <c r="Q230" s="141">
        <f t="shared" si="294"/>
        <v>298.75594085694013</v>
      </c>
      <c r="R230" s="141">
        <f t="shared" si="294"/>
        <v>291.06474867832276</v>
      </c>
      <c r="S230" s="141">
        <f t="shared" si="294"/>
        <v>311.97116259061272</v>
      </c>
      <c r="T230" s="141">
        <f t="shared" si="294"/>
        <v>365.69706572956341</v>
      </c>
      <c r="U230" s="141">
        <f t="shared" si="294"/>
        <v>379.18544037850319</v>
      </c>
      <c r="V230" s="141">
        <f t="shared" si="294"/>
        <v>323.55851932933319</v>
      </c>
      <c r="W230" s="141">
        <f t="shared" ref="W230" si="295">IF(W18=0,0,W78/W18*1000)</f>
        <v>331.5487632790277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1733.1165257633361</v>
      </c>
      <c r="C231" s="97">
        <f t="shared" si="296"/>
        <v>1627.4566255889308</v>
      </c>
      <c r="D231" s="97">
        <f t="shared" si="296"/>
        <v>677.50548380312853</v>
      </c>
      <c r="E231" s="97">
        <f t="shared" si="296"/>
        <v>1233.9723749858751</v>
      </c>
      <c r="F231" s="97">
        <f t="shared" si="296"/>
        <v>1652.9059799583144</v>
      </c>
      <c r="G231" s="97">
        <f t="shared" si="296"/>
        <v>2274.3321070480356</v>
      </c>
      <c r="H231" s="97">
        <f t="shared" si="296"/>
        <v>2330.8086063815435</v>
      </c>
      <c r="I231" s="97">
        <f t="shared" si="296"/>
        <v>2139.760274908806</v>
      </c>
      <c r="J231" s="97">
        <f t="shared" si="296"/>
        <v>2035.9024171199528</v>
      </c>
      <c r="K231" s="97">
        <f t="shared" si="296"/>
        <v>1816.6733982143724</v>
      </c>
      <c r="L231" s="97">
        <f t="shared" si="296"/>
        <v>1750.3952616151851</v>
      </c>
      <c r="M231" s="97">
        <f t="shared" si="296"/>
        <v>1612.3853511995494</v>
      </c>
      <c r="N231" s="97">
        <f t="shared" si="296"/>
        <v>1529.2314639863596</v>
      </c>
      <c r="O231" s="97">
        <f t="shared" si="296"/>
        <v>1493.4491595400768</v>
      </c>
      <c r="P231" s="97">
        <f t="shared" si="296"/>
        <v>1468.004545275377</v>
      </c>
      <c r="Q231" s="97">
        <f t="shared" si="296"/>
        <v>1475.1605507151405</v>
      </c>
      <c r="R231" s="97">
        <f t="shared" si="296"/>
        <v>1435.969143160992</v>
      </c>
      <c r="S231" s="97">
        <f t="shared" si="296"/>
        <v>1489.1214419422736</v>
      </c>
      <c r="T231" s="97">
        <f t="shared" si="296"/>
        <v>1682.0642776975244</v>
      </c>
      <c r="U231" s="97">
        <f t="shared" si="296"/>
        <v>1716.6263446631262</v>
      </c>
      <c r="V231" s="97">
        <f t="shared" si="296"/>
        <v>1467.9626538106857</v>
      </c>
      <c r="W231" s="97">
        <f t="shared" ref="W231" si="297">IF(W19=0,0,W79/W19*1000)</f>
        <v>1504.6958712285782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150.31924142935736</v>
      </c>
      <c r="C232" s="97">
        <f t="shared" si="298"/>
        <v>142.05271646050144</v>
      </c>
      <c r="D232" s="97">
        <f t="shared" si="298"/>
        <v>55.717530359438477</v>
      </c>
      <c r="E232" s="97">
        <f t="shared" si="298"/>
        <v>109.80103348737721</v>
      </c>
      <c r="F232" s="97">
        <f t="shared" si="298"/>
        <v>152.36973691956985</v>
      </c>
      <c r="G232" s="97">
        <f t="shared" si="298"/>
        <v>215.97600047857333</v>
      </c>
      <c r="H232" s="97">
        <f t="shared" si="298"/>
        <v>226.35453095844983</v>
      </c>
      <c r="I232" s="97">
        <f t="shared" si="298"/>
        <v>209.94855204743283</v>
      </c>
      <c r="J232" s="97">
        <f t="shared" si="298"/>
        <v>202.22304770565103</v>
      </c>
      <c r="K232" s="97">
        <f t="shared" si="298"/>
        <v>181.60981987816635</v>
      </c>
      <c r="L232" s="97">
        <f t="shared" si="298"/>
        <v>180.42110388318437</v>
      </c>
      <c r="M232" s="97">
        <f t="shared" si="298"/>
        <v>167.90778461518138</v>
      </c>
      <c r="N232" s="97">
        <f t="shared" si="298"/>
        <v>162.52578174615519</v>
      </c>
      <c r="O232" s="97">
        <f t="shared" si="298"/>
        <v>161.92017011666687</v>
      </c>
      <c r="P232" s="97">
        <f t="shared" si="298"/>
        <v>157.08760510658843</v>
      </c>
      <c r="Q232" s="97">
        <f t="shared" si="298"/>
        <v>160.38128073506428</v>
      </c>
      <c r="R232" s="97">
        <f t="shared" si="298"/>
        <v>160.04106380114592</v>
      </c>
      <c r="S232" s="97">
        <f t="shared" si="298"/>
        <v>169.78463017973087</v>
      </c>
      <c r="T232" s="97">
        <f t="shared" si="298"/>
        <v>197.1546133476927</v>
      </c>
      <c r="U232" s="97">
        <f t="shared" si="298"/>
        <v>205.4248441928529</v>
      </c>
      <c r="V232" s="97">
        <f t="shared" si="298"/>
        <v>178.26114173232685</v>
      </c>
      <c r="W232" s="97">
        <f t="shared" ref="W232" si="299">IF(W20=0,0,W80/W20*1000)</f>
        <v>186.34945098606769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0</v>
      </c>
      <c r="C233" s="130">
        <f t="shared" si="300"/>
        <v>0</v>
      </c>
      <c r="D233" s="130">
        <f t="shared" si="300"/>
        <v>0</v>
      </c>
      <c r="E233" s="130">
        <f t="shared" si="300"/>
        <v>0</v>
      </c>
      <c r="F233" s="130">
        <f t="shared" si="300"/>
        <v>0</v>
      </c>
      <c r="G233" s="130">
        <f t="shared" si="300"/>
        <v>0</v>
      </c>
      <c r="H233" s="130">
        <f t="shared" si="300"/>
        <v>0</v>
      </c>
      <c r="I233" s="130">
        <f t="shared" si="300"/>
        <v>0</v>
      </c>
      <c r="J233" s="130">
        <f t="shared" si="300"/>
        <v>0</v>
      </c>
      <c r="K233" s="130">
        <f t="shared" si="300"/>
        <v>0</v>
      </c>
      <c r="L233" s="130">
        <f t="shared" si="300"/>
        <v>0</v>
      </c>
      <c r="M233" s="130">
        <f t="shared" si="300"/>
        <v>0</v>
      </c>
      <c r="N233" s="130">
        <f t="shared" si="300"/>
        <v>0</v>
      </c>
      <c r="O233" s="130">
        <f t="shared" si="300"/>
        <v>0</v>
      </c>
      <c r="P233" s="130">
        <f t="shared" si="300"/>
        <v>0</v>
      </c>
      <c r="Q233" s="130">
        <f t="shared" si="300"/>
        <v>0</v>
      </c>
      <c r="R233" s="130">
        <f t="shared" si="300"/>
        <v>0</v>
      </c>
      <c r="S233" s="130">
        <f t="shared" si="300"/>
        <v>0</v>
      </c>
      <c r="T233" s="130">
        <f t="shared" si="300"/>
        <v>0</v>
      </c>
      <c r="U233" s="130">
        <f t="shared" si="300"/>
        <v>0</v>
      </c>
      <c r="V233" s="130">
        <f t="shared" si="300"/>
        <v>0</v>
      </c>
      <c r="W233" s="130">
        <f t="shared" ref="W233" si="301">IF(W21=0,0,W81/W21*1000)</f>
        <v>0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738.79925015634046</v>
      </c>
      <c r="C234" s="130">
        <f t="shared" si="302"/>
        <v>538.34637234809281</v>
      </c>
      <c r="D234" s="130">
        <f t="shared" si="302"/>
        <v>581.03373097192082</v>
      </c>
      <c r="E234" s="130">
        <f t="shared" si="302"/>
        <v>515.9726311138063</v>
      </c>
      <c r="F234" s="130">
        <f t="shared" si="302"/>
        <v>696.41158543998654</v>
      </c>
      <c r="G234" s="130">
        <f t="shared" si="302"/>
        <v>585.50574444577262</v>
      </c>
      <c r="H234" s="130">
        <f t="shared" si="302"/>
        <v>635.99783610263773</v>
      </c>
      <c r="I234" s="130">
        <f t="shared" si="302"/>
        <v>573.81446440416369</v>
      </c>
      <c r="J234" s="130">
        <f t="shared" si="302"/>
        <v>572.63208603588828</v>
      </c>
      <c r="K234" s="130">
        <f t="shared" si="302"/>
        <v>519.58307799981299</v>
      </c>
      <c r="L234" s="130">
        <f t="shared" si="302"/>
        <v>574.9163592172622</v>
      </c>
      <c r="M234" s="130">
        <f t="shared" si="302"/>
        <v>588.36204134921377</v>
      </c>
      <c r="N234" s="130">
        <f t="shared" si="302"/>
        <v>478.89003758443374</v>
      </c>
      <c r="O234" s="130">
        <f t="shared" si="302"/>
        <v>417.33714299447354</v>
      </c>
      <c r="P234" s="130">
        <f t="shared" si="302"/>
        <v>415.52928884299945</v>
      </c>
      <c r="Q234" s="130">
        <f t="shared" si="302"/>
        <v>434.24304555017909</v>
      </c>
      <c r="R234" s="130">
        <f t="shared" si="302"/>
        <v>343.16524170594437</v>
      </c>
      <c r="S234" s="130">
        <f t="shared" si="302"/>
        <v>412.32300352137116</v>
      </c>
      <c r="T234" s="130">
        <f t="shared" si="302"/>
        <v>447.88221034989135</v>
      </c>
      <c r="U234" s="130">
        <f t="shared" si="302"/>
        <v>427.55996463193486</v>
      </c>
      <c r="V234" s="130">
        <f t="shared" si="302"/>
        <v>422.02813705709548</v>
      </c>
      <c r="W234" s="130">
        <f t="shared" ref="W234" si="303">IF(W22=0,0,W82/W22*1000)</f>
        <v>444.21975163201785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841.87263309955097</v>
      </c>
      <c r="C236" s="97">
        <f t="shared" si="306"/>
        <v>617.53203974915482</v>
      </c>
      <c r="D236" s="97">
        <f t="shared" si="306"/>
        <v>673.1354737779609</v>
      </c>
      <c r="E236" s="97">
        <f t="shared" si="306"/>
        <v>570.0678859085574</v>
      </c>
      <c r="F236" s="97">
        <f t="shared" si="306"/>
        <v>811.89725025783582</v>
      </c>
      <c r="G236" s="97">
        <f t="shared" si="306"/>
        <v>678.99700277274701</v>
      </c>
      <c r="H236" s="97">
        <f t="shared" si="306"/>
        <v>788.22832809679619</v>
      </c>
      <c r="I236" s="97">
        <f t="shared" si="306"/>
        <v>728.73277282524191</v>
      </c>
      <c r="J236" s="97">
        <f t="shared" si="306"/>
        <v>753.88444732885614</v>
      </c>
      <c r="K236" s="97">
        <f t="shared" si="306"/>
        <v>711.06121715744337</v>
      </c>
      <c r="L236" s="97">
        <f t="shared" si="306"/>
        <v>687.43725758869516</v>
      </c>
      <c r="M236" s="97">
        <f t="shared" si="306"/>
        <v>669.86900176861514</v>
      </c>
      <c r="N236" s="97">
        <f t="shared" si="306"/>
        <v>579.36682827384959</v>
      </c>
      <c r="O236" s="97">
        <f t="shared" si="306"/>
        <v>557.93768622773632</v>
      </c>
      <c r="P236" s="97">
        <f t="shared" si="306"/>
        <v>500.85865620157909</v>
      </c>
      <c r="Q236" s="97">
        <f t="shared" si="306"/>
        <v>474.37157508148795</v>
      </c>
      <c r="R236" s="97">
        <f t="shared" si="306"/>
        <v>457.47520316648291</v>
      </c>
      <c r="S236" s="97">
        <f t="shared" si="306"/>
        <v>474.64937999699384</v>
      </c>
      <c r="T236" s="97">
        <f t="shared" si="306"/>
        <v>497.79570337276135</v>
      </c>
      <c r="U236" s="97">
        <f t="shared" si="306"/>
        <v>515.23712578464938</v>
      </c>
      <c r="V236" s="97">
        <f t="shared" si="306"/>
        <v>544.03493050307168</v>
      </c>
      <c r="W236" s="97">
        <f t="shared" ref="W236" si="307">IF(W24=0,0,W84/W24*1000)</f>
        <v>578.65236245201447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269.50843675766276</v>
      </c>
      <c r="C237" s="97">
        <f t="shared" si="308"/>
        <v>205.80520260964389</v>
      </c>
      <c r="D237" s="97">
        <f t="shared" si="308"/>
        <v>224.20791383256292</v>
      </c>
      <c r="E237" s="97">
        <f t="shared" si="308"/>
        <v>212.29632657956981</v>
      </c>
      <c r="F237" s="97">
        <f t="shared" si="308"/>
        <v>277.2924592707696</v>
      </c>
      <c r="G237" s="97">
        <f t="shared" si="308"/>
        <v>288.98465080860768</v>
      </c>
      <c r="H237" s="97">
        <f t="shared" si="308"/>
        <v>263.59241320625506</v>
      </c>
      <c r="I237" s="97">
        <f t="shared" si="308"/>
        <v>264.10301274917322</v>
      </c>
      <c r="J237" s="97">
        <f t="shared" si="308"/>
        <v>309.29993555854855</v>
      </c>
      <c r="K237" s="97">
        <f t="shared" si="308"/>
        <v>312.93861408926648</v>
      </c>
      <c r="L237" s="97">
        <f t="shared" si="308"/>
        <v>350.32079793189246</v>
      </c>
      <c r="M237" s="97">
        <f t="shared" si="308"/>
        <v>342.49254475231049</v>
      </c>
      <c r="N237" s="97">
        <f t="shared" si="308"/>
        <v>251.09910330330976</v>
      </c>
      <c r="O237" s="97">
        <f t="shared" si="308"/>
        <v>177.36422875500548</v>
      </c>
      <c r="P237" s="97">
        <f t="shared" si="308"/>
        <v>173.00042926104697</v>
      </c>
      <c r="Q237" s="97">
        <f t="shared" si="308"/>
        <v>194.10097327039526</v>
      </c>
      <c r="R237" s="97">
        <f t="shared" si="308"/>
        <v>122.33008025309628</v>
      </c>
      <c r="S237" s="97">
        <f t="shared" si="308"/>
        <v>188.73329820332592</v>
      </c>
      <c r="T237" s="97">
        <f t="shared" si="308"/>
        <v>204.37093576718399</v>
      </c>
      <c r="U237" s="97">
        <f t="shared" si="308"/>
        <v>104.41471454159968</v>
      </c>
      <c r="V237" s="97">
        <f t="shared" si="308"/>
        <v>203.75567720062907</v>
      </c>
      <c r="W237" s="97">
        <f t="shared" ref="W237" si="309">IF(W25=0,0,W85/W25*1000)</f>
        <v>201.09803446432875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0</v>
      </c>
      <c r="C238" s="130">
        <f t="shared" si="310"/>
        <v>0</v>
      </c>
      <c r="D238" s="130">
        <f t="shared" si="310"/>
        <v>0</v>
      </c>
      <c r="E238" s="130">
        <f t="shared" si="310"/>
        <v>0</v>
      </c>
      <c r="F238" s="130">
        <f t="shared" si="310"/>
        <v>0</v>
      </c>
      <c r="G238" s="130">
        <f t="shared" si="310"/>
        <v>11935.32789398959</v>
      </c>
      <c r="H238" s="130">
        <f t="shared" si="310"/>
        <v>12056.789490662139</v>
      </c>
      <c r="I238" s="130">
        <f t="shared" si="310"/>
        <v>12169.482850539292</v>
      </c>
      <c r="J238" s="130">
        <f t="shared" si="310"/>
        <v>12214.720853043815</v>
      </c>
      <c r="K238" s="130">
        <f t="shared" si="310"/>
        <v>11960.873472803347</v>
      </c>
      <c r="L238" s="130">
        <f t="shared" si="310"/>
        <v>12777.631066856333</v>
      </c>
      <c r="M238" s="130">
        <f t="shared" si="310"/>
        <v>13520.339521785334</v>
      </c>
      <c r="N238" s="130">
        <f t="shared" si="310"/>
        <v>11863.137292389849</v>
      </c>
      <c r="O238" s="130">
        <f t="shared" si="310"/>
        <v>9968.5237883959035</v>
      </c>
      <c r="P238" s="130">
        <f t="shared" si="310"/>
        <v>9437.0839095315023</v>
      </c>
      <c r="Q238" s="130">
        <f t="shared" si="310"/>
        <v>9679.8762227848056</v>
      </c>
      <c r="R238" s="130">
        <f t="shared" si="310"/>
        <v>9599.9259490550521</v>
      </c>
      <c r="S238" s="130">
        <f t="shared" si="310"/>
        <v>9711.9897457627103</v>
      </c>
      <c r="T238" s="130">
        <f t="shared" si="310"/>
        <v>9537.3230716528706</v>
      </c>
      <c r="U238" s="130">
        <f t="shared" si="310"/>
        <v>9854.452618539086</v>
      </c>
      <c r="V238" s="130">
        <f t="shared" si="310"/>
        <v>10050.948330632091</v>
      </c>
      <c r="W238" s="130">
        <f t="shared" ref="W238" si="311">IF(W26=0,0,W86/W26*1000)</f>
        <v>10238.61988714351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11935.32789398959</v>
      </c>
      <c r="H239" s="97">
        <f t="shared" si="312"/>
        <v>12056.789490662139</v>
      </c>
      <c r="I239" s="97">
        <f t="shared" si="312"/>
        <v>12169.482850539292</v>
      </c>
      <c r="J239" s="97">
        <f t="shared" si="312"/>
        <v>12214.720853043815</v>
      </c>
      <c r="K239" s="97">
        <f t="shared" si="312"/>
        <v>11960.873472803347</v>
      </c>
      <c r="L239" s="97">
        <f t="shared" si="312"/>
        <v>12777.631066856333</v>
      </c>
      <c r="M239" s="97">
        <f t="shared" si="312"/>
        <v>13520.339521785334</v>
      </c>
      <c r="N239" s="97">
        <f t="shared" si="312"/>
        <v>11863.137292389849</v>
      </c>
      <c r="O239" s="97">
        <f t="shared" si="312"/>
        <v>9968.5237883959035</v>
      </c>
      <c r="P239" s="97">
        <f t="shared" si="312"/>
        <v>9437.0839095315023</v>
      </c>
      <c r="Q239" s="97">
        <f t="shared" si="312"/>
        <v>9679.8762227848056</v>
      </c>
      <c r="R239" s="97">
        <f t="shared" si="312"/>
        <v>9599.9259490550521</v>
      </c>
      <c r="S239" s="97">
        <f t="shared" si="312"/>
        <v>9711.9897457627103</v>
      </c>
      <c r="T239" s="97">
        <f t="shared" si="312"/>
        <v>9537.3230716528706</v>
      </c>
      <c r="U239" s="97">
        <f t="shared" si="312"/>
        <v>9854.452618539086</v>
      </c>
      <c r="V239" s="97">
        <f t="shared" si="312"/>
        <v>10050.948330632091</v>
      </c>
      <c r="W239" s="97">
        <f t="shared" ref="W239" si="313">IF(W27=0,0,W87/W27*1000)</f>
        <v>10238.61988714351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648.87989775824781</v>
      </c>
      <c r="C241" s="32">
        <f t="shared" si="316"/>
        <v>662.04154890274378</v>
      </c>
      <c r="D241" s="32">
        <f t="shared" si="316"/>
        <v>658.20974914342264</v>
      </c>
      <c r="E241" s="32">
        <f t="shared" si="316"/>
        <v>657.92170442504732</v>
      </c>
      <c r="F241" s="32">
        <f t="shared" si="316"/>
        <v>542.40242967430618</v>
      </c>
      <c r="G241" s="32">
        <f t="shared" si="316"/>
        <v>502.76441078648668</v>
      </c>
      <c r="H241" s="32">
        <f t="shared" si="316"/>
        <v>530.01175977621824</v>
      </c>
      <c r="I241" s="32">
        <f t="shared" si="316"/>
        <v>589.16659774359903</v>
      </c>
      <c r="J241" s="32">
        <f t="shared" si="316"/>
        <v>641.33273109058052</v>
      </c>
      <c r="K241" s="32">
        <f t="shared" si="316"/>
        <v>720.92049222286767</v>
      </c>
      <c r="L241" s="32">
        <f t="shared" si="316"/>
        <v>988.78465113372511</v>
      </c>
      <c r="M241" s="32">
        <f t="shared" si="316"/>
        <v>997.94856226715058</v>
      </c>
      <c r="N241" s="32">
        <f t="shared" si="316"/>
        <v>918.06575809222227</v>
      </c>
      <c r="O241" s="32">
        <f t="shared" si="316"/>
        <v>799.78633446568631</v>
      </c>
      <c r="P241" s="32">
        <f t="shared" si="316"/>
        <v>698.53859825482346</v>
      </c>
      <c r="Q241" s="32">
        <f t="shared" si="316"/>
        <v>1149.0214200400285</v>
      </c>
      <c r="R241" s="32">
        <f t="shared" si="316"/>
        <v>1364.9472107661372</v>
      </c>
      <c r="S241" s="32">
        <f t="shared" si="316"/>
        <v>1324.3898612838761</v>
      </c>
      <c r="T241" s="32">
        <f t="shared" si="316"/>
        <v>1136.3509026361946</v>
      </c>
      <c r="U241" s="32">
        <f t="shared" si="316"/>
        <v>967.14216668376048</v>
      </c>
      <c r="V241" s="32">
        <f t="shared" si="316"/>
        <v>1461.0159540959962</v>
      </c>
      <c r="W241" s="32">
        <f t="shared" si="315"/>
        <v>1738.4536024062377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698.81658728729587</v>
      </c>
      <c r="C242" s="97">
        <f t="shared" si="317"/>
        <v>721.28925744298351</v>
      </c>
      <c r="D242" s="97">
        <f t="shared" si="317"/>
        <v>714.60059676989829</v>
      </c>
      <c r="E242" s="97">
        <f t="shared" si="317"/>
        <v>713.98562736856422</v>
      </c>
      <c r="F242" s="97">
        <f t="shared" si="317"/>
        <v>741.32421122807273</v>
      </c>
      <c r="G242" s="97">
        <f t="shared" si="317"/>
        <v>551.90256159683224</v>
      </c>
      <c r="H242" s="97">
        <f t="shared" si="317"/>
        <v>549.61370399334191</v>
      </c>
      <c r="I242" s="97">
        <f t="shared" si="317"/>
        <v>581.19731524493409</v>
      </c>
      <c r="J242" s="97">
        <f t="shared" si="317"/>
        <v>657.3516999449829</v>
      </c>
      <c r="K242" s="97">
        <f t="shared" si="317"/>
        <v>785.85270697107626</v>
      </c>
      <c r="L242" s="97">
        <f t="shared" si="317"/>
        <v>1077.665438749257</v>
      </c>
      <c r="M242" s="97">
        <f t="shared" si="317"/>
        <v>1201.9284147657154</v>
      </c>
      <c r="N242" s="97">
        <f t="shared" si="317"/>
        <v>992.51947973846814</v>
      </c>
      <c r="O242" s="97">
        <f t="shared" si="317"/>
        <v>901.59019423353777</v>
      </c>
      <c r="P242" s="97">
        <f t="shared" si="317"/>
        <v>923.86025730536323</v>
      </c>
      <c r="Q242" s="97">
        <f t="shared" si="317"/>
        <v>1233.7957938457509</v>
      </c>
      <c r="R242" s="97">
        <f t="shared" si="317"/>
        <v>1698.6234759568765</v>
      </c>
      <c r="S242" s="97">
        <f t="shared" si="317"/>
        <v>1671.2111148723759</v>
      </c>
      <c r="T242" s="97">
        <f t="shared" si="317"/>
        <v>1304.5626885173779</v>
      </c>
      <c r="U242" s="97">
        <f t="shared" si="317"/>
        <v>1358.4323564969868</v>
      </c>
      <c r="V242" s="97">
        <f t="shared" si="317"/>
        <v>1355.8918333881863</v>
      </c>
      <c r="W242" s="97">
        <f t="shared" si="315"/>
        <v>1667.6923840298155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605.13054203900049</v>
      </c>
      <c r="C243" s="98">
        <f t="shared" si="318"/>
        <v>611.13659249443435</v>
      </c>
      <c r="D243" s="98">
        <f t="shared" si="318"/>
        <v>609.8537497221098</v>
      </c>
      <c r="E243" s="98">
        <f t="shared" si="318"/>
        <v>609.69800467438949</v>
      </c>
      <c r="F243" s="98">
        <f t="shared" si="318"/>
        <v>452.53907709357424</v>
      </c>
      <c r="G243" s="98">
        <f t="shared" si="318"/>
        <v>461.12551975025508</v>
      </c>
      <c r="H243" s="98">
        <f t="shared" si="318"/>
        <v>514.73261840027442</v>
      </c>
      <c r="I243" s="98">
        <f t="shared" si="318"/>
        <v>594.94619452459267</v>
      </c>
      <c r="J243" s="98">
        <f t="shared" si="318"/>
        <v>624.63879059343208</v>
      </c>
      <c r="K243" s="98">
        <f t="shared" si="318"/>
        <v>662.62327564468137</v>
      </c>
      <c r="L243" s="98">
        <f t="shared" si="318"/>
        <v>908.482315148064</v>
      </c>
      <c r="M243" s="98">
        <f t="shared" si="318"/>
        <v>852.27172446973213</v>
      </c>
      <c r="N243" s="98">
        <f t="shared" si="318"/>
        <v>839.02650570318167</v>
      </c>
      <c r="O243" s="98">
        <f t="shared" si="318"/>
        <v>699.9927578331517</v>
      </c>
      <c r="P243" s="98">
        <f t="shared" si="318"/>
        <v>556.99735406159277</v>
      </c>
      <c r="Q243" s="98">
        <f t="shared" si="318"/>
        <v>1055.4747608218825</v>
      </c>
      <c r="R243" s="98">
        <f t="shared" si="318"/>
        <v>1122.5956119729267</v>
      </c>
      <c r="S243" s="98">
        <f t="shared" si="318"/>
        <v>1088.3026139783549</v>
      </c>
      <c r="T243" s="98">
        <f t="shared" si="318"/>
        <v>989.79281301318576</v>
      </c>
      <c r="U243" s="98">
        <f t="shared" si="318"/>
        <v>766.34808980896685</v>
      </c>
      <c r="V243" s="98">
        <f t="shared" si="318"/>
        <v>1608.5216455084335</v>
      </c>
      <c r="W243" s="98">
        <f t="shared" si="315"/>
        <v>1820.4668028080609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2291.8961961278264</v>
      </c>
      <c r="C4" s="29">
        <f t="shared" si="0"/>
        <v>2302.9963189187183</v>
      </c>
      <c r="D4" s="29">
        <f t="shared" si="0"/>
        <v>2364.260838622854</v>
      </c>
      <c r="E4" s="29">
        <f t="shared" si="0"/>
        <v>2425.1575749927074</v>
      </c>
      <c r="F4" s="29">
        <f t="shared" si="0"/>
        <v>2482.8853665230863</v>
      </c>
      <c r="G4" s="29">
        <f t="shared" si="0"/>
        <v>2520.827496970036</v>
      </c>
      <c r="H4" s="29">
        <f t="shared" si="0"/>
        <v>2581.5894502794622</v>
      </c>
      <c r="I4" s="29">
        <f t="shared" si="0"/>
        <v>2637.9406807240889</v>
      </c>
      <c r="J4" s="29">
        <f t="shared" si="0"/>
        <v>2697.1373538741605</v>
      </c>
      <c r="K4" s="29">
        <f t="shared" si="0"/>
        <v>2721.9586775084804</v>
      </c>
      <c r="L4" s="29">
        <f t="shared" ref="L4" si="1">L5+L6+L13</f>
        <v>2737.8711032092456</v>
      </c>
      <c r="M4" s="29">
        <f t="shared" ref="M4:V4" si="2">M5+M6+M13</f>
        <v>2745.4120493660544</v>
      </c>
      <c r="N4" s="29">
        <f t="shared" si="2"/>
        <v>2757.3135128134222</v>
      </c>
      <c r="O4" s="29">
        <f t="shared" si="2"/>
        <v>2802.8749896232985</v>
      </c>
      <c r="P4" s="29">
        <f t="shared" si="2"/>
        <v>2952.1513110831997</v>
      </c>
      <c r="Q4" s="29">
        <f t="shared" si="2"/>
        <v>3093.0684721114203</v>
      </c>
      <c r="R4" s="29">
        <f t="shared" si="2"/>
        <v>3193.2668902916234</v>
      </c>
      <c r="S4" s="29">
        <f t="shared" si="2"/>
        <v>3225.2520855609264</v>
      </c>
      <c r="T4" s="29">
        <f t="shared" si="2"/>
        <v>3288.9302298531707</v>
      </c>
      <c r="U4" s="29">
        <f t="shared" si="2"/>
        <v>3376.7759239253769</v>
      </c>
      <c r="V4" s="29">
        <f t="shared" si="2"/>
        <v>2809.0062432253785</v>
      </c>
      <c r="W4" s="29">
        <f t="shared" ref="W4" si="3">W5+W6+W13</f>
        <v>3003.0479066330718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31.896196127826531</v>
      </c>
      <c r="C5" s="152">
        <f t="shared" si="4"/>
        <v>32.996318918718032</v>
      </c>
      <c r="D5" s="152">
        <f t="shared" si="4"/>
        <v>34.260838622853917</v>
      </c>
      <c r="E5" s="152">
        <f t="shared" si="4"/>
        <v>35.157574992707147</v>
      </c>
      <c r="F5" s="152">
        <f t="shared" si="4"/>
        <v>32.885366523086454</v>
      </c>
      <c r="G5" s="152">
        <f t="shared" si="4"/>
        <v>30.82749697003571</v>
      </c>
      <c r="H5" s="152">
        <f t="shared" si="4"/>
        <v>31.589450279462554</v>
      </c>
      <c r="I5" s="152">
        <f t="shared" si="4"/>
        <v>32.940680724089098</v>
      </c>
      <c r="J5" s="152">
        <f t="shared" si="4"/>
        <v>37.13735387416078</v>
      </c>
      <c r="K5" s="152">
        <f t="shared" si="4"/>
        <v>37.070105269604163</v>
      </c>
      <c r="L5" s="152">
        <f t="shared" ref="L5:L7" si="5">IF(L32=0,0,L32*L142)</f>
        <v>37.871103209245206</v>
      </c>
      <c r="M5" s="152">
        <f t="shared" ref="M5:V5" si="6">IF(M32=0,0,M32*M142)</f>
        <v>40.015743006003085</v>
      </c>
      <c r="N5" s="152">
        <f t="shared" si="6"/>
        <v>40.412719907214466</v>
      </c>
      <c r="O5" s="152">
        <f t="shared" si="6"/>
        <v>43.165602922553362</v>
      </c>
      <c r="P5" s="152">
        <f t="shared" si="6"/>
        <v>47.096125951277969</v>
      </c>
      <c r="Q5" s="152">
        <f t="shared" si="6"/>
        <v>48.930270910826131</v>
      </c>
      <c r="R5" s="152">
        <f t="shared" si="6"/>
        <v>53.284445601172898</v>
      </c>
      <c r="S5" s="152">
        <f t="shared" si="6"/>
        <v>50.843695566852844</v>
      </c>
      <c r="T5" s="152">
        <f t="shared" si="6"/>
        <v>48.958964746139515</v>
      </c>
      <c r="U5" s="152">
        <f t="shared" si="6"/>
        <v>52.452838343033093</v>
      </c>
      <c r="V5" s="152">
        <f t="shared" si="6"/>
        <v>47.478501589309708</v>
      </c>
      <c r="W5" s="152">
        <f t="shared" ref="W5" si="7">IF(W32=0,0,W32*W142)</f>
        <v>50.221701933334707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1800</v>
      </c>
      <c r="C6" s="116">
        <f t="shared" si="8"/>
        <v>1800.0000000000002</v>
      </c>
      <c r="D6" s="116">
        <f t="shared" si="8"/>
        <v>1850</v>
      </c>
      <c r="E6" s="116">
        <f t="shared" si="8"/>
        <v>1900.0000000000002</v>
      </c>
      <c r="F6" s="116">
        <f t="shared" si="8"/>
        <v>1950</v>
      </c>
      <c r="G6" s="116">
        <f t="shared" si="8"/>
        <v>2000</v>
      </c>
      <c r="H6" s="116">
        <f t="shared" si="8"/>
        <v>2049.9999999999995</v>
      </c>
      <c r="I6" s="116">
        <f t="shared" si="8"/>
        <v>2100</v>
      </c>
      <c r="J6" s="116">
        <f t="shared" si="8"/>
        <v>2149.9999999999995</v>
      </c>
      <c r="K6" s="116">
        <f t="shared" si="8"/>
        <v>2200</v>
      </c>
      <c r="L6" s="116">
        <f t="shared" ref="L6" si="9">SUM(L7:L12)</f>
        <v>2200.0000000000005</v>
      </c>
      <c r="M6" s="116">
        <f t="shared" ref="M6:V6" si="10">SUM(M7:M12)</f>
        <v>2229.7181531995434</v>
      </c>
      <c r="N6" s="116">
        <f t="shared" si="10"/>
        <v>2240.4488975013951</v>
      </c>
      <c r="O6" s="116">
        <f t="shared" si="10"/>
        <v>2291.2353623027693</v>
      </c>
      <c r="P6" s="116">
        <f t="shared" si="10"/>
        <v>2413.5009155436642</v>
      </c>
      <c r="Q6" s="116">
        <f t="shared" si="10"/>
        <v>2504.2317396135663</v>
      </c>
      <c r="R6" s="116">
        <f t="shared" si="10"/>
        <v>2593.9190716426606</v>
      </c>
      <c r="S6" s="116">
        <f t="shared" si="10"/>
        <v>2618.2962299592714</v>
      </c>
      <c r="T6" s="116">
        <f t="shared" si="10"/>
        <v>2671.9139301479654</v>
      </c>
      <c r="U6" s="116">
        <f t="shared" si="10"/>
        <v>2720.8325236161963</v>
      </c>
      <c r="V6" s="116">
        <f t="shared" si="10"/>
        <v>2376.5231368112977</v>
      </c>
      <c r="W6" s="116">
        <f t="shared" ref="W6" si="11">SUM(W7:W12)</f>
        <v>2536.8676166241585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1525.2615329971184</v>
      </c>
      <c r="C7" s="87">
        <f t="shared" si="12"/>
        <v>1500.2453093801505</v>
      </c>
      <c r="D7" s="87">
        <f t="shared" si="12"/>
        <v>1529.8656633322942</v>
      </c>
      <c r="E7" s="87">
        <f t="shared" si="12"/>
        <v>1559.4351129665592</v>
      </c>
      <c r="F7" s="87">
        <f t="shared" si="12"/>
        <v>1573.489029767946</v>
      </c>
      <c r="G7" s="87">
        <f t="shared" si="12"/>
        <v>1636.9015789940545</v>
      </c>
      <c r="H7" s="87">
        <f t="shared" si="12"/>
        <v>1673.8930513851335</v>
      </c>
      <c r="I7" s="87">
        <f t="shared" si="12"/>
        <v>1685.0642649413207</v>
      </c>
      <c r="J7" s="87">
        <f t="shared" si="12"/>
        <v>1742.7126470048572</v>
      </c>
      <c r="K7" s="87">
        <f t="shared" si="12"/>
        <v>1770.6307237999481</v>
      </c>
      <c r="L7" s="87">
        <f t="shared" si="5"/>
        <v>1417.3147251214266</v>
      </c>
      <c r="M7" s="87">
        <f t="shared" ref="M7:V7" si="13">IF(M34=0,0,M34*M144)</f>
        <v>1368.3734773372605</v>
      </c>
      <c r="N7" s="87">
        <f t="shared" si="13"/>
        <v>1326.2265604267855</v>
      </c>
      <c r="O7" s="87">
        <f t="shared" si="13"/>
        <v>1327.2225769457277</v>
      </c>
      <c r="P7" s="87">
        <f t="shared" si="13"/>
        <v>1395.4904967107045</v>
      </c>
      <c r="Q7" s="87">
        <f t="shared" si="13"/>
        <v>1426.9654380787408</v>
      </c>
      <c r="R7" s="87">
        <f t="shared" si="13"/>
        <v>1455.7824251707609</v>
      </c>
      <c r="S7" s="87">
        <f t="shared" si="13"/>
        <v>1508.3201367002848</v>
      </c>
      <c r="T7" s="87">
        <f t="shared" si="13"/>
        <v>1477.9644043519902</v>
      </c>
      <c r="U7" s="87">
        <f t="shared" si="13"/>
        <v>1497.5928621826411</v>
      </c>
      <c r="V7" s="87">
        <f t="shared" si="13"/>
        <v>1286.2677631238414</v>
      </c>
      <c r="W7" s="87">
        <f t="shared" ref="W7" si="14">IF(W34=0,0,W34*W144)</f>
        <v>1361.5257481095844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274.73846700288163</v>
      </c>
      <c r="C8" s="87">
        <f t="shared" si="15"/>
        <v>299.75469061984973</v>
      </c>
      <c r="D8" s="87">
        <f t="shared" si="15"/>
        <v>320.13433666770584</v>
      </c>
      <c r="E8" s="87">
        <f t="shared" si="15"/>
        <v>340.46575889386895</v>
      </c>
      <c r="F8" s="87">
        <f t="shared" si="15"/>
        <v>376.35875157097189</v>
      </c>
      <c r="G8" s="87">
        <f t="shared" si="15"/>
        <v>362.93073232472392</v>
      </c>
      <c r="H8" s="87">
        <f t="shared" si="15"/>
        <v>375.91743521750664</v>
      </c>
      <c r="I8" s="87">
        <f t="shared" si="15"/>
        <v>414.61238510623843</v>
      </c>
      <c r="J8" s="87">
        <f t="shared" si="15"/>
        <v>406.94644454174158</v>
      </c>
      <c r="K8" s="87">
        <f t="shared" si="15"/>
        <v>429.00034730088419</v>
      </c>
      <c r="L8" s="87">
        <f t="shared" ref="L8" si="16">IF(L35=0,0,L35*L145)</f>
        <v>779.36389682067579</v>
      </c>
      <c r="M8" s="87">
        <f t="shared" ref="M8:V8" si="17">IF(M35=0,0,M35*M145)</f>
        <v>858.08867887834776</v>
      </c>
      <c r="N8" s="87">
        <f t="shared" si="17"/>
        <v>910.27428426441713</v>
      </c>
      <c r="O8" s="87">
        <f t="shared" si="17"/>
        <v>958.854163422547</v>
      </c>
      <c r="P8" s="87">
        <f t="shared" si="17"/>
        <v>1009.042005716624</v>
      </c>
      <c r="Q8" s="87">
        <f t="shared" si="17"/>
        <v>1064.2530831928746</v>
      </c>
      <c r="R8" s="87">
        <f t="shared" si="17"/>
        <v>1099.8622398136583</v>
      </c>
      <c r="S8" s="87">
        <f t="shared" si="17"/>
        <v>1081.6455973758148</v>
      </c>
      <c r="T8" s="87">
        <f t="shared" si="17"/>
        <v>1165.5593564269509</v>
      </c>
      <c r="U8" s="87">
        <f t="shared" si="17"/>
        <v>1180.0844218144287</v>
      </c>
      <c r="V8" s="87">
        <f t="shared" si="17"/>
        <v>1042.6354997730391</v>
      </c>
      <c r="W8" s="87">
        <f t="shared" ref="W8" si="18">IF(W35=0,0,W35*W145)</f>
        <v>1115.8323090609374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0</v>
      </c>
      <c r="I9" s="87">
        <f t="shared" si="19"/>
        <v>0</v>
      </c>
      <c r="J9" s="87">
        <f t="shared" si="19"/>
        <v>0</v>
      </c>
      <c r="K9" s="87">
        <f t="shared" si="19"/>
        <v>0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24.910936862189608</v>
      </c>
      <c r="S9" s="87">
        <f t="shared" si="21"/>
        <v>14.163223769443761</v>
      </c>
      <c r="T9" s="87">
        <f t="shared" si="21"/>
        <v>11.456932400082559</v>
      </c>
      <c r="U9" s="87">
        <f t="shared" si="21"/>
        <v>16.283192394385161</v>
      </c>
      <c r="V9" s="87">
        <f t="shared" si="21"/>
        <v>12.806710150556354</v>
      </c>
      <c r="W9" s="87">
        <f t="shared" ref="W9" si="22">IF(W36=0,0,W36*W146)</f>
        <v>12.859238623978994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" si="26">IF(W37=0,0,W37*W147)</f>
        <v>0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2.9149771099512973</v>
      </c>
      <c r="M11" s="87">
        <f t="shared" ref="M11:V11" si="29">IF(M38=0,0,M38*M148)</f>
        <v>2.9172421869190446</v>
      </c>
      <c r="N11" s="87">
        <f t="shared" si="29"/>
        <v>3.5193869594095593</v>
      </c>
      <c r="O11" s="87">
        <f t="shared" si="29"/>
        <v>4.6086323976281065</v>
      </c>
      <c r="P11" s="87">
        <f t="shared" si="29"/>
        <v>7.9909720288512416</v>
      </c>
      <c r="Q11" s="87">
        <f t="shared" si="29"/>
        <v>11.734110493572103</v>
      </c>
      <c r="R11" s="87">
        <f t="shared" si="29"/>
        <v>11.889117819706744</v>
      </c>
      <c r="S11" s="87">
        <f t="shared" si="29"/>
        <v>12.195173996972104</v>
      </c>
      <c r="T11" s="87">
        <f t="shared" si="29"/>
        <v>13.538650486215733</v>
      </c>
      <c r="U11" s="87">
        <f t="shared" si="29"/>
        <v>14.607445407333726</v>
      </c>
      <c r="V11" s="87">
        <f t="shared" si="29"/>
        <v>15.367559176400173</v>
      </c>
      <c r="W11" s="87">
        <f t="shared" ref="W11" si="30">IF(W38=0,0,W38*W148)</f>
        <v>24.916767569626131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9.9128139572046636E-2</v>
      </c>
      <c r="F12" s="87">
        <f t="shared" si="31"/>
        <v>0.15221866108217461</v>
      </c>
      <c r="G12" s="87">
        <f t="shared" si="31"/>
        <v>0.16768868122147221</v>
      </c>
      <c r="H12" s="87">
        <f t="shared" si="31"/>
        <v>0.1895133973595288</v>
      </c>
      <c r="I12" s="87">
        <f t="shared" si="31"/>
        <v>0.32334995244078613</v>
      </c>
      <c r="J12" s="87">
        <f t="shared" si="31"/>
        <v>0.3409084534011193</v>
      </c>
      <c r="K12" s="87">
        <f t="shared" si="31"/>
        <v>0.36892889916753091</v>
      </c>
      <c r="L12" s="87">
        <f t="shared" ref="L12" si="32">IF(L39=0,0,L39*L149)</f>
        <v>0.40640094794649756</v>
      </c>
      <c r="M12" s="87">
        <f t="shared" ref="M12:V12" si="33">IF(M39=0,0,M39*M149)</f>
        <v>0.3387547970166605</v>
      </c>
      <c r="N12" s="87">
        <f t="shared" si="33"/>
        <v>0.42866585078319525</v>
      </c>
      <c r="O12" s="87">
        <f t="shared" si="33"/>
        <v>0.54998953686619845</v>
      </c>
      <c r="P12" s="87">
        <f t="shared" si="33"/>
        <v>0.97744108748474157</v>
      </c>
      <c r="Q12" s="87">
        <f t="shared" si="33"/>
        <v>1.2791078483789251</v>
      </c>
      <c r="R12" s="87">
        <f t="shared" si="33"/>
        <v>1.4743519763445216</v>
      </c>
      <c r="S12" s="87">
        <f t="shared" si="33"/>
        <v>1.9720981167555953</v>
      </c>
      <c r="T12" s="87">
        <f t="shared" si="33"/>
        <v>3.3945864827255288</v>
      </c>
      <c r="U12" s="87">
        <f t="shared" si="33"/>
        <v>12.264601817407906</v>
      </c>
      <c r="V12" s="87">
        <f t="shared" si="33"/>
        <v>19.445604587460551</v>
      </c>
      <c r="W12" s="87">
        <f t="shared" ref="W12" si="34">IF(W39=0,0,W39*W149)</f>
        <v>21.733553260032064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460</v>
      </c>
      <c r="C13" s="116">
        <f t="shared" si="35"/>
        <v>470</v>
      </c>
      <c r="D13" s="116">
        <f t="shared" si="35"/>
        <v>480</v>
      </c>
      <c r="E13" s="116">
        <f t="shared" si="35"/>
        <v>490</v>
      </c>
      <c r="F13" s="116">
        <f t="shared" si="35"/>
        <v>500</v>
      </c>
      <c r="G13" s="116">
        <f t="shared" si="35"/>
        <v>490.00000000000006</v>
      </c>
      <c r="H13" s="116">
        <f t="shared" si="35"/>
        <v>500</v>
      </c>
      <c r="I13" s="116">
        <f t="shared" si="35"/>
        <v>504.99999999999994</v>
      </c>
      <c r="J13" s="116">
        <f t="shared" si="35"/>
        <v>510</v>
      </c>
      <c r="K13" s="116">
        <f t="shared" si="35"/>
        <v>484.88857223887641</v>
      </c>
      <c r="L13" s="116">
        <f t="shared" ref="L13" si="36">SUM(L14:L18)</f>
        <v>500</v>
      </c>
      <c r="M13" s="116">
        <f t="shared" ref="M13:V13" si="37">SUM(M14:M18)</f>
        <v>475.67815316050809</v>
      </c>
      <c r="N13" s="116">
        <f t="shared" si="37"/>
        <v>476.45189540481243</v>
      </c>
      <c r="O13" s="116">
        <f t="shared" si="37"/>
        <v>468.47402439797605</v>
      </c>
      <c r="P13" s="116">
        <f t="shared" si="37"/>
        <v>491.55426958825763</v>
      </c>
      <c r="Q13" s="116">
        <f t="shared" si="37"/>
        <v>539.90646158702805</v>
      </c>
      <c r="R13" s="116">
        <f t="shared" si="37"/>
        <v>546.06337304778992</v>
      </c>
      <c r="S13" s="116">
        <f t="shared" si="37"/>
        <v>556.11216003480183</v>
      </c>
      <c r="T13" s="116">
        <f t="shared" si="37"/>
        <v>568.05733495906577</v>
      </c>
      <c r="U13" s="116">
        <f t="shared" si="37"/>
        <v>603.49056196614765</v>
      </c>
      <c r="V13" s="116">
        <f t="shared" si="37"/>
        <v>385.00460482477075</v>
      </c>
      <c r="W13" s="116">
        <f t="shared" ref="W13" si="38">SUM(W14:W18)</f>
        <v>415.95858807557846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2.1807919069552821</v>
      </c>
      <c r="M14" s="101">
        <f t="shared" ref="M14:V14" si="41">IF(M41=0,0,M41*M151)</f>
        <v>1.8111930992161229</v>
      </c>
      <c r="N14" s="101">
        <f t="shared" si="41"/>
        <v>1.688727354236577</v>
      </c>
      <c r="O14" s="101">
        <f t="shared" si="41"/>
        <v>1.5681488755646358</v>
      </c>
      <c r="P14" s="101">
        <f t="shared" si="41"/>
        <v>1.4481226060274395</v>
      </c>
      <c r="Q14" s="101">
        <f t="shared" si="41"/>
        <v>1.2076423671101084</v>
      </c>
      <c r="R14" s="101">
        <f t="shared" si="41"/>
        <v>1.1624006025761098</v>
      </c>
      <c r="S14" s="101">
        <f t="shared" si="41"/>
        <v>1.1243220445524418</v>
      </c>
      <c r="T14" s="101">
        <f t="shared" si="41"/>
        <v>1.2166691636654046</v>
      </c>
      <c r="U14" s="101">
        <f t="shared" si="41"/>
        <v>1.2989157258176671</v>
      </c>
      <c r="V14" s="101">
        <f t="shared" si="41"/>
        <v>0.85398457947960915</v>
      </c>
      <c r="W14" s="101">
        <f t="shared" ref="W14" si="42">IF(W41=0,0,W41*W151)</f>
        <v>0.806472867687407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460</v>
      </c>
      <c r="C15" s="101">
        <f t="shared" si="43"/>
        <v>470</v>
      </c>
      <c r="D15" s="101">
        <f t="shared" si="43"/>
        <v>480</v>
      </c>
      <c r="E15" s="101">
        <f t="shared" si="43"/>
        <v>490</v>
      </c>
      <c r="F15" s="101">
        <f t="shared" si="43"/>
        <v>500</v>
      </c>
      <c r="G15" s="101">
        <f t="shared" si="43"/>
        <v>490.00000000000006</v>
      </c>
      <c r="H15" s="101">
        <f t="shared" si="43"/>
        <v>500</v>
      </c>
      <c r="I15" s="101">
        <f t="shared" si="43"/>
        <v>504.99999999999994</v>
      </c>
      <c r="J15" s="101">
        <f t="shared" si="43"/>
        <v>510</v>
      </c>
      <c r="K15" s="101">
        <f t="shared" si="43"/>
        <v>484.88857223887641</v>
      </c>
      <c r="L15" s="101">
        <f t="shared" ref="L15" si="44">IF(L42=0,0,L42*L152)</f>
        <v>497.81920809304472</v>
      </c>
      <c r="M15" s="101">
        <f t="shared" ref="M15:V15" si="45">IF(M42=0,0,M42*M152)</f>
        <v>473.86696006129199</v>
      </c>
      <c r="N15" s="101">
        <f t="shared" si="45"/>
        <v>474.76316805057587</v>
      </c>
      <c r="O15" s="101">
        <f t="shared" si="45"/>
        <v>466.90587552241141</v>
      </c>
      <c r="P15" s="101">
        <f t="shared" si="45"/>
        <v>490.1061469822302</v>
      </c>
      <c r="Q15" s="101">
        <f t="shared" si="45"/>
        <v>538.69881921991794</v>
      </c>
      <c r="R15" s="101">
        <f t="shared" si="45"/>
        <v>544.90097244521382</v>
      </c>
      <c r="S15" s="101">
        <f t="shared" si="45"/>
        <v>554.98783799024943</v>
      </c>
      <c r="T15" s="101">
        <f t="shared" si="45"/>
        <v>564.66890431800334</v>
      </c>
      <c r="U15" s="101">
        <f t="shared" si="45"/>
        <v>599.30143519456794</v>
      </c>
      <c r="V15" s="101">
        <f t="shared" si="45"/>
        <v>381.96161378832085</v>
      </c>
      <c r="W15" s="101">
        <f t="shared" ref="W15" si="46">IF(W42=0,0,W42*W152)</f>
        <v>411.93149684673762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" si="54">IF(W44=0,0,W44*W154)</f>
        <v>0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</v>
      </c>
      <c r="R18" s="101">
        <f t="shared" si="57"/>
        <v>0</v>
      </c>
      <c r="S18" s="101">
        <f t="shared" si="57"/>
        <v>0</v>
      </c>
      <c r="T18" s="101">
        <f t="shared" si="57"/>
        <v>2.1717614773969749</v>
      </c>
      <c r="U18" s="101">
        <f t="shared" si="57"/>
        <v>2.8902110457620718</v>
      </c>
      <c r="V18" s="101">
        <f t="shared" si="57"/>
        <v>2.1890064569702896</v>
      </c>
      <c r="W18" s="101">
        <f t="shared" ref="W18" si="58">IF(W45=0,0,W45*W155)</f>
        <v>3.2206183611534258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911.22168627992528</v>
      </c>
      <c r="C19" s="29">
        <f t="shared" si="59"/>
        <v>851.09562832357688</v>
      </c>
      <c r="D19" s="29">
        <f t="shared" si="59"/>
        <v>288.21852275506274</v>
      </c>
      <c r="E19" s="29">
        <f t="shared" si="59"/>
        <v>627.1315313798267</v>
      </c>
      <c r="F19" s="29">
        <f t="shared" si="59"/>
        <v>1000.3771031043218</v>
      </c>
      <c r="G19" s="29">
        <f t="shared" si="59"/>
        <v>508.15613439465278</v>
      </c>
      <c r="H19" s="29">
        <f t="shared" si="59"/>
        <v>477.76340924011521</v>
      </c>
      <c r="I19" s="29">
        <f t="shared" si="59"/>
        <v>553.6532614799396</v>
      </c>
      <c r="J19" s="29">
        <f t="shared" si="59"/>
        <v>576.03160797261273</v>
      </c>
      <c r="K19" s="29">
        <f t="shared" si="59"/>
        <v>569.2682635041092</v>
      </c>
      <c r="L19" s="29">
        <f t="shared" ref="L19" si="60">L20+L26</f>
        <v>454.91608451225989</v>
      </c>
      <c r="M19" s="29">
        <f t="shared" ref="M19:V19" si="61">M20+M26</f>
        <v>428.90067552186571</v>
      </c>
      <c r="N19" s="29">
        <f t="shared" si="61"/>
        <v>397.45688370358044</v>
      </c>
      <c r="O19" s="29">
        <f t="shared" si="61"/>
        <v>400.09675208514665</v>
      </c>
      <c r="P19" s="29">
        <f t="shared" si="61"/>
        <v>384.20345589645268</v>
      </c>
      <c r="Q19" s="29">
        <f t="shared" si="61"/>
        <v>368.45410193152787</v>
      </c>
      <c r="R19" s="29">
        <f t="shared" si="61"/>
        <v>375.13590489638915</v>
      </c>
      <c r="S19" s="29">
        <f t="shared" si="61"/>
        <v>373.36130978291254</v>
      </c>
      <c r="T19" s="29">
        <f t="shared" si="61"/>
        <v>359.2905083529036</v>
      </c>
      <c r="U19" s="29">
        <f t="shared" si="61"/>
        <v>371.40597202177099</v>
      </c>
      <c r="V19" s="29">
        <f t="shared" si="61"/>
        <v>370.43404925221648</v>
      </c>
      <c r="W19" s="29">
        <f t="shared" ref="W19" si="62">W20+W26</f>
        <v>369.38408349083846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28.917703775078909</v>
      </c>
      <c r="C20" s="152">
        <f t="shared" si="63"/>
        <v>28.944577608691755</v>
      </c>
      <c r="D20" s="152">
        <f t="shared" si="63"/>
        <v>29.367618826049796</v>
      </c>
      <c r="E20" s="152">
        <f t="shared" si="63"/>
        <v>30.13576103069763</v>
      </c>
      <c r="F20" s="152">
        <f t="shared" si="63"/>
        <v>29.934245252396366</v>
      </c>
      <c r="G20" s="152">
        <f t="shared" si="63"/>
        <v>29.680140194620733</v>
      </c>
      <c r="H20" s="152">
        <f t="shared" si="63"/>
        <v>31.268560177707418</v>
      </c>
      <c r="I20" s="152">
        <f t="shared" si="63"/>
        <v>33.969996184081033</v>
      </c>
      <c r="J20" s="152">
        <f t="shared" si="63"/>
        <v>35.537843318119194</v>
      </c>
      <c r="K20" s="152">
        <f t="shared" si="63"/>
        <v>36.097477749175091</v>
      </c>
      <c r="L20" s="152">
        <f t="shared" ref="L20" si="64">SUM(L21:L25)</f>
        <v>34.610193887259889</v>
      </c>
      <c r="M20" s="152">
        <f t="shared" ref="M20:V20" si="65">SUM(M21:M25)</f>
        <v>35.667567751382379</v>
      </c>
      <c r="N20" s="152">
        <f t="shared" si="65"/>
        <v>35.723531489054679</v>
      </c>
      <c r="O20" s="152">
        <f t="shared" si="65"/>
        <v>36.51430145408164</v>
      </c>
      <c r="P20" s="152">
        <f t="shared" si="65"/>
        <v>37.513741798061297</v>
      </c>
      <c r="Q20" s="152">
        <f t="shared" si="65"/>
        <v>38.778152568574335</v>
      </c>
      <c r="R20" s="152">
        <f t="shared" si="65"/>
        <v>38.522303399670683</v>
      </c>
      <c r="S20" s="152">
        <f t="shared" si="65"/>
        <v>40.237602332566553</v>
      </c>
      <c r="T20" s="152">
        <f t="shared" si="65"/>
        <v>40.78073222174207</v>
      </c>
      <c r="U20" s="152">
        <f t="shared" si="65"/>
        <v>42.704909375308922</v>
      </c>
      <c r="V20" s="152">
        <f t="shared" si="65"/>
        <v>41.732986605754427</v>
      </c>
      <c r="W20" s="152">
        <f t="shared" ref="W20" si="66">SUM(W21:W25)</f>
        <v>40.683020844376408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0.82017858884990114</v>
      </c>
      <c r="C21" s="87">
        <f t="shared" si="67"/>
        <v>0.9585258637521229</v>
      </c>
      <c r="D21" s="87">
        <f t="shared" si="67"/>
        <v>0.94978891363879969</v>
      </c>
      <c r="E21" s="87">
        <f t="shared" si="67"/>
        <v>0.93945811890339503</v>
      </c>
      <c r="F21" s="87">
        <f t="shared" si="67"/>
        <v>0.91721297643354283</v>
      </c>
      <c r="G21" s="87">
        <f t="shared" si="67"/>
        <v>0.90882311333913202</v>
      </c>
      <c r="H21" s="87">
        <f t="shared" si="67"/>
        <v>0.916928226411175</v>
      </c>
      <c r="I21" s="87">
        <f t="shared" si="67"/>
        <v>0.91298119005929135</v>
      </c>
      <c r="J21" s="87">
        <f t="shared" si="67"/>
        <v>0.86515271702514451</v>
      </c>
      <c r="K21" s="87">
        <f t="shared" si="67"/>
        <v>0.84557886488873457</v>
      </c>
      <c r="L21" s="87">
        <f t="shared" ref="L21" si="68">IF(L48=0,0,L48*L158)</f>
        <v>0.88061881225096938</v>
      </c>
      <c r="M21" s="87">
        <f t="shared" ref="M21:V21" si="69">IF(M48=0,0,M48*M158)</f>
        <v>0.8175258502399132</v>
      </c>
      <c r="N21" s="87">
        <f t="shared" si="69"/>
        <v>0.78137184673484417</v>
      </c>
      <c r="O21" s="87">
        <f t="shared" si="69"/>
        <v>0.78654265257604616</v>
      </c>
      <c r="P21" s="87">
        <f t="shared" si="69"/>
        <v>0.72790338450312786</v>
      </c>
      <c r="Q21" s="87">
        <f t="shared" si="69"/>
        <v>0.70707732539345713</v>
      </c>
      <c r="R21" s="87">
        <f t="shared" si="69"/>
        <v>0.66928640877013013</v>
      </c>
      <c r="S21" s="87">
        <f t="shared" si="69"/>
        <v>0.65070841909291088</v>
      </c>
      <c r="T21" s="87">
        <f t="shared" si="69"/>
        <v>0.62601643374850968</v>
      </c>
      <c r="U21" s="87">
        <f t="shared" si="69"/>
        <v>0.64793909975776909</v>
      </c>
      <c r="V21" s="87">
        <f t="shared" si="69"/>
        <v>0.62919335168251844</v>
      </c>
      <c r="W21" s="87">
        <f t="shared" ref="W21" si="70">IF(W48=0,0,W48*W158)</f>
        <v>0.64736685915167369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28.097525186229007</v>
      </c>
      <c r="C22" s="87">
        <f t="shared" si="71"/>
        <v>27.986051744939633</v>
      </c>
      <c r="D22" s="87">
        <f t="shared" si="71"/>
        <v>28.417829912410998</v>
      </c>
      <c r="E22" s="87">
        <f t="shared" si="71"/>
        <v>29.196302911794234</v>
      </c>
      <c r="F22" s="87">
        <f t="shared" si="71"/>
        <v>29.017032275962823</v>
      </c>
      <c r="G22" s="87">
        <f t="shared" si="71"/>
        <v>28.771317081281602</v>
      </c>
      <c r="H22" s="87">
        <f t="shared" si="71"/>
        <v>30.351631951296241</v>
      </c>
      <c r="I22" s="87">
        <f t="shared" si="71"/>
        <v>33.057014994021742</v>
      </c>
      <c r="J22" s="87">
        <f t="shared" si="71"/>
        <v>34.66937069631021</v>
      </c>
      <c r="K22" s="87">
        <f t="shared" si="71"/>
        <v>35.248506617585385</v>
      </c>
      <c r="L22" s="87">
        <f t="shared" ref="L22" si="72">IF(L49=0,0,L49*L159)</f>
        <v>33.725037780741644</v>
      </c>
      <c r="M22" s="87">
        <f t="shared" ref="M22:V22" si="73">IF(M49=0,0,M49*M159)</f>
        <v>34.844503094370026</v>
      </c>
      <c r="N22" s="87">
        <f t="shared" si="73"/>
        <v>34.936600363882775</v>
      </c>
      <c r="O22" s="87">
        <f t="shared" si="73"/>
        <v>35.710881545926831</v>
      </c>
      <c r="P22" s="87">
        <f t="shared" si="73"/>
        <v>36.768954583232208</v>
      </c>
      <c r="Q22" s="87">
        <f t="shared" si="73"/>
        <v>38.052123698115345</v>
      </c>
      <c r="R22" s="87">
        <f t="shared" si="73"/>
        <v>37.832474722275883</v>
      </c>
      <c r="S22" s="87">
        <f t="shared" si="73"/>
        <v>39.564373144770194</v>
      </c>
      <c r="T22" s="87">
        <f t="shared" si="73"/>
        <v>40.132604398739289</v>
      </c>
      <c r="U22" s="87">
        <f t="shared" si="73"/>
        <v>41.938498137853067</v>
      </c>
      <c r="V22" s="87">
        <f t="shared" si="73"/>
        <v>40.982987560636055</v>
      </c>
      <c r="W22" s="87">
        <f t="shared" ref="W22" si="74">IF(W49=0,0,W49*W159)</f>
        <v>39.911754499883671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1.9960970625315599E-3</v>
      </c>
      <c r="T23" s="87">
        <f t="shared" si="77"/>
        <v>1.9315869539273595E-3</v>
      </c>
      <c r="U23" s="87">
        <f t="shared" si="77"/>
        <v>3.8956046041237181E-3</v>
      </c>
      <c r="V23" s="87">
        <f t="shared" si="77"/>
        <v>3.7146866098090284E-3</v>
      </c>
      <c r="W23" s="87">
        <f t="shared" ref="W23" si="78">IF(W50=0,0,W50*W160)</f>
        <v>3.5748150158844321E-3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3.3199047838333978E-3</v>
      </c>
      <c r="K25" s="87">
        <f t="shared" si="83"/>
        <v>3.3922667009670896E-3</v>
      </c>
      <c r="L25" s="87">
        <f t="shared" ref="L25" si="84">IF(L52=0,0,L52*L162)</f>
        <v>4.5372942672747838E-3</v>
      </c>
      <c r="M25" s="87">
        <f t="shared" ref="M25:V25" si="85">IF(M52=0,0,M52*M162)</f>
        <v>5.538806772441957E-3</v>
      </c>
      <c r="N25" s="87">
        <f t="shared" si="85"/>
        <v>5.5592784370614426E-3</v>
      </c>
      <c r="O25" s="87">
        <f t="shared" si="85"/>
        <v>1.6877255578763913E-2</v>
      </c>
      <c r="P25" s="87">
        <f t="shared" si="85"/>
        <v>1.6883830325961868E-2</v>
      </c>
      <c r="Q25" s="87">
        <f t="shared" si="85"/>
        <v>1.8951545065532368E-2</v>
      </c>
      <c r="R25" s="87">
        <f t="shared" si="85"/>
        <v>2.0542268624672094E-2</v>
      </c>
      <c r="S25" s="87">
        <f t="shared" si="85"/>
        <v>2.0524671640921237E-2</v>
      </c>
      <c r="T25" s="87">
        <f t="shared" si="85"/>
        <v>2.0179802300337505E-2</v>
      </c>
      <c r="U25" s="87">
        <f t="shared" si="85"/>
        <v>0.11457653309395842</v>
      </c>
      <c r="V25" s="87">
        <f t="shared" si="85"/>
        <v>0.11709100682604147</v>
      </c>
      <c r="W25" s="87">
        <f t="shared" ref="W25" si="86">IF(W52=0,0,W52*W162)</f>
        <v>0.12032467032518059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882.30398250484632</v>
      </c>
      <c r="C26" s="116">
        <f t="shared" si="87"/>
        <v>822.15105071488517</v>
      </c>
      <c r="D26" s="116">
        <f t="shared" si="87"/>
        <v>258.85090392901293</v>
      </c>
      <c r="E26" s="116">
        <f t="shared" si="87"/>
        <v>596.99577034912909</v>
      </c>
      <c r="F26" s="116">
        <f t="shared" si="87"/>
        <v>970.4428578519254</v>
      </c>
      <c r="G26" s="116">
        <f t="shared" si="87"/>
        <v>478.47599420003206</v>
      </c>
      <c r="H26" s="116">
        <f t="shared" si="87"/>
        <v>446.49484906240781</v>
      </c>
      <c r="I26" s="116">
        <f t="shared" si="87"/>
        <v>519.68326529585852</v>
      </c>
      <c r="J26" s="116">
        <f t="shared" si="87"/>
        <v>540.49376465449359</v>
      </c>
      <c r="K26" s="116">
        <f t="shared" si="87"/>
        <v>533.17078575493406</v>
      </c>
      <c r="L26" s="116">
        <f t="shared" ref="L26" si="88">SUM(L27:L28)</f>
        <v>420.30589062500002</v>
      </c>
      <c r="M26" s="116">
        <f t="shared" ref="M26:V26" si="89">SUM(M27:M28)</f>
        <v>393.23310777048334</v>
      </c>
      <c r="N26" s="116">
        <f t="shared" si="89"/>
        <v>361.73335221452578</v>
      </c>
      <c r="O26" s="116">
        <f t="shared" si="89"/>
        <v>363.582450631065</v>
      </c>
      <c r="P26" s="116">
        <f t="shared" si="89"/>
        <v>346.68971409839139</v>
      </c>
      <c r="Q26" s="116">
        <f t="shared" si="89"/>
        <v>329.67594936295353</v>
      </c>
      <c r="R26" s="116">
        <f t="shared" si="89"/>
        <v>336.61360149671845</v>
      </c>
      <c r="S26" s="116">
        <f t="shared" si="89"/>
        <v>333.12370745034599</v>
      </c>
      <c r="T26" s="116">
        <f t="shared" si="89"/>
        <v>318.50977613116152</v>
      </c>
      <c r="U26" s="116">
        <f t="shared" si="89"/>
        <v>328.70106264646205</v>
      </c>
      <c r="V26" s="116">
        <f t="shared" si="89"/>
        <v>328.70106264646205</v>
      </c>
      <c r="W26" s="116">
        <f t="shared" ref="W26" si="90">SUM(W27:W28)</f>
        <v>328.70106264646205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882.30398250484632</v>
      </c>
      <c r="C27" s="101">
        <f t="shared" si="91"/>
        <v>822.15105071488517</v>
      </c>
      <c r="D27" s="101">
        <f t="shared" si="91"/>
        <v>258.85090392901293</v>
      </c>
      <c r="E27" s="101">
        <f t="shared" si="91"/>
        <v>596.99577034912909</v>
      </c>
      <c r="F27" s="101">
        <f t="shared" si="91"/>
        <v>970.4428578519254</v>
      </c>
      <c r="G27" s="101">
        <f t="shared" si="91"/>
        <v>478.47599420003206</v>
      </c>
      <c r="H27" s="101">
        <f t="shared" si="91"/>
        <v>446.49484906240781</v>
      </c>
      <c r="I27" s="101">
        <f t="shared" si="91"/>
        <v>519.68326529585852</v>
      </c>
      <c r="J27" s="101">
        <f t="shared" si="91"/>
        <v>540.49376465449359</v>
      </c>
      <c r="K27" s="101">
        <f t="shared" si="91"/>
        <v>533.17078575493406</v>
      </c>
      <c r="L27" s="101">
        <f t="shared" ref="L27:V27" si="92">IF(L54=0,0,L54*L164)</f>
        <v>420.30589062500002</v>
      </c>
      <c r="M27" s="101">
        <f t="shared" si="92"/>
        <v>393.23310777048334</v>
      </c>
      <c r="N27" s="101">
        <f t="shared" si="92"/>
        <v>361.73335221452578</v>
      </c>
      <c r="O27" s="101">
        <f t="shared" si="92"/>
        <v>363.582450631065</v>
      </c>
      <c r="P27" s="101">
        <f t="shared" si="92"/>
        <v>346.68971409839139</v>
      </c>
      <c r="Q27" s="101">
        <f t="shared" si="92"/>
        <v>329.67594936295353</v>
      </c>
      <c r="R27" s="101">
        <f t="shared" si="92"/>
        <v>336.61360149671845</v>
      </c>
      <c r="S27" s="101">
        <f t="shared" si="92"/>
        <v>333.12370745034599</v>
      </c>
      <c r="T27" s="101">
        <f t="shared" si="92"/>
        <v>318.50977613116152</v>
      </c>
      <c r="U27" s="101">
        <f t="shared" si="92"/>
        <v>328.70106264646205</v>
      </c>
      <c r="V27" s="101">
        <f t="shared" si="92"/>
        <v>328.70106264646205</v>
      </c>
      <c r="W27" s="101">
        <f t="shared" ref="W27" si="93">IF(W54=0,0,W54*W164)</f>
        <v>328.70106264646205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0</v>
      </c>
      <c r="C28" s="88">
        <f t="shared" si="94"/>
        <v>0</v>
      </c>
      <c r="D28" s="88">
        <f t="shared" si="94"/>
        <v>0</v>
      </c>
      <c r="E28" s="88">
        <f t="shared" si="94"/>
        <v>0</v>
      </c>
      <c r="F28" s="88">
        <f t="shared" si="94"/>
        <v>0</v>
      </c>
      <c r="G28" s="88">
        <f t="shared" si="94"/>
        <v>0</v>
      </c>
      <c r="H28" s="88">
        <f t="shared" si="94"/>
        <v>0</v>
      </c>
      <c r="I28" s="88">
        <f t="shared" si="94"/>
        <v>0</v>
      </c>
      <c r="J28" s="88">
        <f t="shared" si="94"/>
        <v>0</v>
      </c>
      <c r="K28" s="88">
        <f t="shared" si="94"/>
        <v>0</v>
      </c>
      <c r="L28" s="88">
        <f t="shared" ref="L28:V28" si="95">IF(L55=0,0,L55*L165)</f>
        <v>0</v>
      </c>
      <c r="M28" s="88">
        <f t="shared" si="95"/>
        <v>0</v>
      </c>
      <c r="N28" s="88">
        <f t="shared" si="95"/>
        <v>0</v>
      </c>
      <c r="O28" s="88">
        <f t="shared" si="95"/>
        <v>0</v>
      </c>
      <c r="P28" s="88">
        <f t="shared" si="95"/>
        <v>0</v>
      </c>
      <c r="Q28" s="88">
        <f t="shared" si="95"/>
        <v>0</v>
      </c>
      <c r="R28" s="88">
        <f t="shared" si="95"/>
        <v>0</v>
      </c>
      <c r="S28" s="88">
        <f t="shared" si="95"/>
        <v>0</v>
      </c>
      <c r="T28" s="88">
        <f t="shared" si="95"/>
        <v>0</v>
      </c>
      <c r="U28" s="88">
        <f t="shared" si="95"/>
        <v>0</v>
      </c>
      <c r="V28" s="88">
        <f t="shared" si="95"/>
        <v>0</v>
      </c>
      <c r="W28" s="88">
        <f t="shared" ref="W28" si="96">IF(W55=0,0,W55*W165)</f>
        <v>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2016.7137524736368</v>
      </c>
      <c r="C30" s="62">
        <f t="shared" ref="C30:V30" si="98">C31+C46</f>
        <v>2021.7704518423004</v>
      </c>
      <c r="D30" s="62">
        <f t="shared" si="98"/>
        <v>1898.7854939337049</v>
      </c>
      <c r="E30" s="62">
        <f t="shared" si="98"/>
        <v>2086.5911182329687</v>
      </c>
      <c r="F30" s="62">
        <f t="shared" si="98"/>
        <v>2174.5912995605117</v>
      </c>
      <c r="G30" s="62">
        <f t="shared" si="98"/>
        <v>2166.6735721579826</v>
      </c>
      <c r="H30" s="62">
        <f t="shared" si="98"/>
        <v>2236.7512707056799</v>
      </c>
      <c r="I30" s="62">
        <f t="shared" si="98"/>
        <v>2245.4144147282041</v>
      </c>
      <c r="J30" s="62">
        <f t="shared" si="98"/>
        <v>2428.8641798316271</v>
      </c>
      <c r="K30" s="62">
        <f t="shared" si="98"/>
        <v>2518.6437370143367</v>
      </c>
      <c r="L30" s="62">
        <f t="shared" si="98"/>
        <v>2487.4485556423078</v>
      </c>
      <c r="M30" s="62">
        <f t="shared" si="98"/>
        <v>2532.565400043522</v>
      </c>
      <c r="N30" s="62">
        <f t="shared" si="98"/>
        <v>2544.1613889283958</v>
      </c>
      <c r="O30" s="62">
        <f t="shared" si="98"/>
        <v>2613.2006965732289</v>
      </c>
      <c r="P30" s="62">
        <f t="shared" si="98"/>
        <v>2760.7780189287514</v>
      </c>
      <c r="Q30" s="62">
        <f t="shared" si="98"/>
        <v>2871.1769004906264</v>
      </c>
      <c r="R30" s="62">
        <f t="shared" si="98"/>
        <v>2948.7096688143138</v>
      </c>
      <c r="S30" s="62">
        <f t="shared" si="98"/>
        <v>2950.4679449528171</v>
      </c>
      <c r="T30" s="62">
        <f t="shared" si="98"/>
        <v>3010.5285927788555</v>
      </c>
      <c r="U30" s="62">
        <f t="shared" si="98"/>
        <v>3047.9250065964029</v>
      </c>
      <c r="V30" s="62">
        <f t="shared" si="98"/>
        <v>2765.4883001241892</v>
      </c>
      <c r="W30" s="62">
        <f t="shared" ref="W30" si="99">W31+W46</f>
        <v>2878.9498942815408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1457.9803451499752</v>
      </c>
      <c r="C31" s="29">
        <f t="shared" ref="C31:V31" si="101">C32+C33+C40</f>
        <v>1482.8424882317822</v>
      </c>
      <c r="D31" s="29">
        <f t="shared" si="101"/>
        <v>1547.6010153960576</v>
      </c>
      <c r="E31" s="29">
        <f t="shared" si="101"/>
        <v>1612.8148619976434</v>
      </c>
      <c r="F31" s="29">
        <f t="shared" si="101"/>
        <v>1575.6647565608048</v>
      </c>
      <c r="G31" s="29">
        <f t="shared" si="101"/>
        <v>1738.0935193190187</v>
      </c>
      <c r="H31" s="29">
        <f t="shared" si="101"/>
        <v>1803.9508728974815</v>
      </c>
      <c r="I31" s="29">
        <f t="shared" si="101"/>
        <v>1760.1402930726044</v>
      </c>
      <c r="J31" s="29">
        <f t="shared" si="101"/>
        <v>1920.1875369400191</v>
      </c>
      <c r="K31" s="29">
        <f t="shared" si="101"/>
        <v>2004.7371898047568</v>
      </c>
      <c r="L31" s="29">
        <f t="shared" si="101"/>
        <v>2029.7351143448204</v>
      </c>
      <c r="M31" s="29">
        <f t="shared" si="101"/>
        <v>2072.2252153029845</v>
      </c>
      <c r="N31" s="29">
        <f t="shared" si="101"/>
        <v>2094.5369836295372</v>
      </c>
      <c r="O31" s="29">
        <f t="shared" si="101"/>
        <v>2155.6414404505053</v>
      </c>
      <c r="P31" s="29">
        <f t="shared" si="101"/>
        <v>2288.9645651134192</v>
      </c>
      <c r="Q31" s="29">
        <f t="shared" si="101"/>
        <v>2392.3787740801395</v>
      </c>
      <c r="R31" s="29">
        <f t="shared" si="101"/>
        <v>2472.4605454440634</v>
      </c>
      <c r="S31" s="29">
        <f t="shared" si="101"/>
        <v>2458.8991165890016</v>
      </c>
      <c r="T31" s="29">
        <f t="shared" si="101"/>
        <v>2521.958764560427</v>
      </c>
      <c r="U31" s="29">
        <f t="shared" si="101"/>
        <v>2537.0091815582005</v>
      </c>
      <c r="V31" s="29">
        <f t="shared" si="101"/>
        <v>2268.3708004488808</v>
      </c>
      <c r="W31" s="29">
        <f t="shared" ref="W31" si="102">W32+W33+W40</f>
        <v>2394.9518374531353</v>
      </c>
      <c r="DA31" s="173" t="s">
        <v>474</v>
      </c>
    </row>
    <row r="32" spans="1:105" ht="11.45" customHeight="1" x14ac:dyDescent="0.25">
      <c r="A32" s="136" t="s">
        <v>180</v>
      </c>
      <c r="B32" s="152">
        <v>28.612222826086953</v>
      </c>
      <c r="C32" s="152">
        <v>29.599646739130431</v>
      </c>
      <c r="D32" s="152">
        <v>30.739336956521736</v>
      </c>
      <c r="E32" s="152">
        <v>31.530660326086956</v>
      </c>
      <c r="F32" s="152">
        <v>29.488907608695651</v>
      </c>
      <c r="G32" s="152">
        <v>27.668633152173914</v>
      </c>
      <c r="H32" s="152">
        <v>28.344603260869562</v>
      </c>
      <c r="I32" s="152">
        <v>29.509671195652171</v>
      </c>
      <c r="J32" s="152">
        <v>33.251730978260866</v>
      </c>
      <c r="K32" s="152">
        <v>33.175597826086957</v>
      </c>
      <c r="L32" s="152">
        <v>33.950771739130431</v>
      </c>
      <c r="M32" s="152">
        <v>35.904855978260869</v>
      </c>
      <c r="N32" s="152">
        <v>36.486236413043478</v>
      </c>
      <c r="O32" s="152">
        <v>38.991709239130437</v>
      </c>
      <c r="P32" s="152">
        <v>42.45</v>
      </c>
      <c r="Q32" s="152">
        <v>44.027109782608697</v>
      </c>
      <c r="R32" s="152">
        <v>47.867009635009175</v>
      </c>
      <c r="S32" s="152">
        <v>45.729116589001372</v>
      </c>
      <c r="T32" s="152">
        <v>44.078764560426869</v>
      </c>
      <c r="U32" s="152">
        <v>47.179181558201137</v>
      </c>
      <c r="V32" s="152">
        <v>42.751138057990282</v>
      </c>
      <c r="W32" s="152">
        <v>45.211837453135352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1399.1904593020497</v>
      </c>
      <c r="C33" s="116">
        <f t="shared" ref="C33:V33" si="104">SUM(C34:C39)</f>
        <v>1422.4034977262309</v>
      </c>
      <c r="D33" s="116">
        <f t="shared" si="104"/>
        <v>1485.3546458773531</v>
      </c>
      <c r="E33" s="116">
        <f t="shared" si="104"/>
        <v>1549.0972140501681</v>
      </c>
      <c r="F33" s="116">
        <f t="shared" si="104"/>
        <v>1513.2838525272475</v>
      </c>
      <c r="G33" s="116">
        <f t="shared" si="104"/>
        <v>1678.09618444635</v>
      </c>
      <c r="H33" s="116">
        <f t="shared" si="104"/>
        <v>1742.4239993232993</v>
      </c>
      <c r="I33" s="116">
        <f t="shared" si="104"/>
        <v>1696.7215980584547</v>
      </c>
      <c r="J33" s="116">
        <f t="shared" si="104"/>
        <v>1851.8792119804391</v>
      </c>
      <c r="K33" s="116">
        <f t="shared" si="104"/>
        <v>1936.6320606648981</v>
      </c>
      <c r="L33" s="116">
        <f t="shared" si="104"/>
        <v>1956.22734260569</v>
      </c>
      <c r="M33" s="116">
        <f t="shared" si="104"/>
        <v>1990.9291643929078</v>
      </c>
      <c r="N33" s="116">
        <f t="shared" si="104"/>
        <v>2004.2365291452477</v>
      </c>
      <c r="O33" s="116">
        <f t="shared" si="104"/>
        <v>2061.5031215324316</v>
      </c>
      <c r="P33" s="116">
        <f t="shared" si="104"/>
        <v>2178.1131243794066</v>
      </c>
      <c r="Q33" s="116">
        <f t="shared" si="104"/>
        <v>2270.6437456635967</v>
      </c>
      <c r="R33" s="116">
        <f t="shared" si="104"/>
        <v>2346.503535809054</v>
      </c>
      <c r="S33" s="116">
        <f t="shared" si="104"/>
        <v>2333.17</v>
      </c>
      <c r="T33" s="116">
        <f t="shared" si="104"/>
        <v>2395.9500000000003</v>
      </c>
      <c r="U33" s="116">
        <f t="shared" si="104"/>
        <v>2408.3899999999994</v>
      </c>
      <c r="V33" s="116">
        <f t="shared" si="104"/>
        <v>2161.3196623908902</v>
      </c>
      <c r="W33" s="116">
        <f t="shared" ref="W33" si="105">SUM(W34:W39)</f>
        <v>2290.31</v>
      </c>
      <c r="DA33" s="176" t="s">
        <v>476</v>
      </c>
    </row>
    <row r="34" spans="1:105" ht="11.45" customHeight="1" x14ac:dyDescent="0.25">
      <c r="A34" s="111" t="s">
        <v>110</v>
      </c>
      <c r="B34" s="87">
        <v>1201.992523562566</v>
      </c>
      <c r="C34" s="87">
        <v>1203.4050720754888</v>
      </c>
      <c r="D34" s="87">
        <v>1247.5766587473645</v>
      </c>
      <c r="E34" s="87">
        <v>1292.0795900583821</v>
      </c>
      <c r="F34" s="87">
        <v>1242.482357783085</v>
      </c>
      <c r="G34" s="87">
        <v>1396.0323114134103</v>
      </c>
      <c r="H34" s="87">
        <v>1446.4013829258804</v>
      </c>
      <c r="I34" s="87">
        <v>1385.8697496879679</v>
      </c>
      <c r="J34" s="87">
        <v>1526.8381859659576</v>
      </c>
      <c r="K34" s="87">
        <v>1586.2475332900653</v>
      </c>
      <c r="L34" s="87">
        <v>1301.3512577619558</v>
      </c>
      <c r="M34" s="87">
        <v>1265.2296471882648</v>
      </c>
      <c r="N34" s="87">
        <v>1230.9806511026177</v>
      </c>
      <c r="O34" s="87">
        <v>1240.4125909946235</v>
      </c>
      <c r="P34" s="87">
        <v>1308.1064291027722</v>
      </c>
      <c r="Q34" s="87">
        <v>1344.7494863077739</v>
      </c>
      <c r="R34" s="87">
        <v>1369.049290926888</v>
      </c>
      <c r="S34" s="87">
        <v>1395.6351350353834</v>
      </c>
      <c r="T34" s="87">
        <v>1379.0874520083144</v>
      </c>
      <c r="U34" s="87">
        <v>1379.1577661320032</v>
      </c>
      <c r="V34" s="87">
        <v>1217.5709692250348</v>
      </c>
      <c r="W34" s="87">
        <v>1279.4719901286376</v>
      </c>
      <c r="DA34" s="171" t="s">
        <v>477</v>
      </c>
    </row>
    <row r="35" spans="1:105" ht="11.45" customHeight="1" x14ac:dyDescent="0.25">
      <c r="A35" s="111" t="s">
        <v>111</v>
      </c>
      <c r="B35" s="87">
        <v>197.19793573948374</v>
      </c>
      <c r="C35" s="87">
        <v>218.99842565074215</v>
      </c>
      <c r="D35" s="87">
        <v>237.77798712998845</v>
      </c>
      <c r="E35" s="87">
        <v>256.93356533646909</v>
      </c>
      <c r="F35" s="87">
        <v>270.67863373022698</v>
      </c>
      <c r="G35" s="87">
        <v>281.91753708862024</v>
      </c>
      <c r="H35" s="87">
        <v>295.85508341831394</v>
      </c>
      <c r="I35" s="87">
        <v>310.58012655617972</v>
      </c>
      <c r="J35" s="87">
        <v>324.73562366200508</v>
      </c>
      <c r="K35" s="87">
        <v>350.04675235872975</v>
      </c>
      <c r="L35" s="87">
        <v>651.76939815654953</v>
      </c>
      <c r="M35" s="87">
        <v>722.64055240919799</v>
      </c>
      <c r="N35" s="87">
        <v>769.54004460692124</v>
      </c>
      <c r="O35" s="87">
        <v>816.20717571297371</v>
      </c>
      <c r="P35" s="87">
        <v>861.4912838830794</v>
      </c>
      <c r="Q35" s="87">
        <v>913.47842557568094</v>
      </c>
      <c r="R35" s="87">
        <v>942.07688889798362</v>
      </c>
      <c r="S35" s="87">
        <v>911.56742469908988</v>
      </c>
      <c r="T35" s="87">
        <v>990.57570542230678</v>
      </c>
      <c r="U35" s="87">
        <v>989.82566454585299</v>
      </c>
      <c r="V35" s="87">
        <v>898.91960440191122</v>
      </c>
      <c r="W35" s="87">
        <v>955.05702050823948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22.658922561723021</v>
      </c>
      <c r="S36" s="87">
        <v>12.690365294323852</v>
      </c>
      <c r="T36" s="87">
        <v>10.330183607076277</v>
      </c>
      <c r="U36" s="87">
        <v>14.492688668770903</v>
      </c>
      <c r="V36" s="87">
        <v>11.711133767249271</v>
      </c>
      <c r="W36" s="87">
        <v>11.673366570924701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2.7308390994166278</v>
      </c>
      <c r="M38" s="87">
        <v>2.7443698768011249</v>
      </c>
      <c r="N38" s="87">
        <v>3.3169984670119605</v>
      </c>
      <c r="O38" s="87">
        <v>4.3686844958427526</v>
      </c>
      <c r="P38" s="87">
        <v>7.597958096116427</v>
      </c>
      <c r="Q38" s="87">
        <v>11.209570633560112</v>
      </c>
      <c r="R38" s="87">
        <v>11.331273994666448</v>
      </c>
      <c r="S38" s="87">
        <v>11.449326065643895</v>
      </c>
      <c r="T38" s="87">
        <v>12.790719727621628</v>
      </c>
      <c r="U38" s="87">
        <v>13.622712663823377</v>
      </c>
      <c r="V38" s="87">
        <v>14.724690374332988</v>
      </c>
      <c r="W38" s="87">
        <v>23.700225880441305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8.4058655316705103E-2</v>
      </c>
      <c r="F39" s="87">
        <v>0.12286101393549187</v>
      </c>
      <c r="G39" s="87">
        <v>0.14633594431932559</v>
      </c>
      <c r="H39" s="87">
        <v>0.16753297910481044</v>
      </c>
      <c r="I39" s="87">
        <v>0.27172181430709724</v>
      </c>
      <c r="J39" s="87">
        <v>0.30540235247637004</v>
      </c>
      <c r="K39" s="87">
        <v>0.33777501610308097</v>
      </c>
      <c r="L39" s="87">
        <v>0.37584758776801769</v>
      </c>
      <c r="M39" s="87">
        <v>0.31459491864360312</v>
      </c>
      <c r="N39" s="87">
        <v>0.39883496869706531</v>
      </c>
      <c r="O39" s="87">
        <v>0.51467032899150478</v>
      </c>
      <c r="P39" s="87">
        <v>0.91745329743865645</v>
      </c>
      <c r="Q39" s="87">
        <v>1.2062631465818241</v>
      </c>
      <c r="R39" s="87">
        <v>1.3871594277928576</v>
      </c>
      <c r="S39" s="87">
        <v>1.8277489055591039</v>
      </c>
      <c r="T39" s="87">
        <v>3.1659392346808262</v>
      </c>
      <c r="U39" s="87">
        <v>11.291167989549352</v>
      </c>
      <c r="V39" s="87">
        <v>18.393264622361926</v>
      </c>
      <c r="W39" s="87">
        <v>20.407396911756873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30.177663021838544</v>
      </c>
      <c r="C40" s="116">
        <f t="shared" ref="C40:V40" si="107">SUM(C41:C45)</f>
        <v>30.83934376642096</v>
      </c>
      <c r="D40" s="116">
        <f t="shared" si="107"/>
        <v>31.507032562182854</v>
      </c>
      <c r="E40" s="116">
        <f t="shared" si="107"/>
        <v>32.186987621388504</v>
      </c>
      <c r="F40" s="116">
        <f t="shared" si="107"/>
        <v>32.891996424861659</v>
      </c>
      <c r="G40" s="116">
        <f t="shared" si="107"/>
        <v>32.32870172049477</v>
      </c>
      <c r="H40" s="116">
        <f t="shared" si="107"/>
        <v>33.182270313312749</v>
      </c>
      <c r="I40" s="116">
        <f t="shared" si="107"/>
        <v>33.909023818497566</v>
      </c>
      <c r="J40" s="116">
        <f t="shared" si="107"/>
        <v>35.056593981319089</v>
      </c>
      <c r="K40" s="116">
        <f t="shared" si="107"/>
        <v>34.929531313771804</v>
      </c>
      <c r="L40" s="116">
        <f t="shared" si="107"/>
        <v>39.557000000000002</v>
      </c>
      <c r="M40" s="116">
        <f t="shared" si="107"/>
        <v>45.391194931815811</v>
      </c>
      <c r="N40" s="116">
        <f t="shared" si="107"/>
        <v>53.814218071245882</v>
      </c>
      <c r="O40" s="116">
        <f t="shared" si="107"/>
        <v>55.146609678943051</v>
      </c>
      <c r="P40" s="116">
        <f t="shared" si="107"/>
        <v>68.401440734012738</v>
      </c>
      <c r="Q40" s="116">
        <f t="shared" si="107"/>
        <v>77.707918633934298</v>
      </c>
      <c r="R40" s="116">
        <f t="shared" si="107"/>
        <v>78.09</v>
      </c>
      <c r="S40" s="116">
        <f t="shared" si="107"/>
        <v>80</v>
      </c>
      <c r="T40" s="116">
        <f t="shared" si="107"/>
        <v>81.93</v>
      </c>
      <c r="U40" s="116">
        <f t="shared" si="107"/>
        <v>81.44</v>
      </c>
      <c r="V40" s="116">
        <f t="shared" si="107"/>
        <v>64.3</v>
      </c>
      <c r="W40" s="116">
        <f t="shared" ref="W40" si="108">SUM(W41:W45)</f>
        <v>59.429999999999993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0.33622268536939026</v>
      </c>
      <c r="M41" s="101">
        <v>0.28286373735825404</v>
      </c>
      <c r="N41" s="101">
        <v>0.26633873726279328</v>
      </c>
      <c r="O41" s="101">
        <v>0.24786075379662026</v>
      </c>
      <c r="P41" s="101">
        <v>0.23072515521806911</v>
      </c>
      <c r="Q41" s="101">
        <v>0.19269166710796562</v>
      </c>
      <c r="R41" s="101">
        <v>0.18542184725117078</v>
      </c>
      <c r="S41" s="101">
        <v>0.17939319821430838</v>
      </c>
      <c r="T41" s="101">
        <v>0.19414919886017631</v>
      </c>
      <c r="U41" s="101">
        <v>0.20666885567953278</v>
      </c>
      <c r="V41" s="101">
        <v>0.13706971992472675</v>
      </c>
      <c r="W41" s="101">
        <v>0.12864052665457443</v>
      </c>
      <c r="DA41" s="175" t="s">
        <v>484</v>
      </c>
    </row>
    <row r="42" spans="1:105" ht="11.45" customHeight="1" x14ac:dyDescent="0.25">
      <c r="A42" s="111" t="s">
        <v>111</v>
      </c>
      <c r="B42" s="101">
        <v>30.177663021838544</v>
      </c>
      <c r="C42" s="101">
        <v>30.83934376642096</v>
      </c>
      <c r="D42" s="101">
        <v>31.507032562182854</v>
      </c>
      <c r="E42" s="101">
        <v>32.186987621388504</v>
      </c>
      <c r="F42" s="101">
        <v>32.891996424861659</v>
      </c>
      <c r="G42" s="101">
        <v>32.32870172049477</v>
      </c>
      <c r="H42" s="101">
        <v>33.182270313312749</v>
      </c>
      <c r="I42" s="101">
        <v>33.909023818497566</v>
      </c>
      <c r="J42" s="101">
        <v>35.056593981319089</v>
      </c>
      <c r="K42" s="101">
        <v>34.929531313771804</v>
      </c>
      <c r="L42" s="101">
        <v>39.22077731463061</v>
      </c>
      <c r="M42" s="101">
        <v>45.108331194457556</v>
      </c>
      <c r="N42" s="101">
        <v>53.54787933398309</v>
      </c>
      <c r="O42" s="101">
        <v>54.898748925146428</v>
      </c>
      <c r="P42" s="101">
        <v>68.17071557879467</v>
      </c>
      <c r="Q42" s="101">
        <v>77.515226966826333</v>
      </c>
      <c r="R42" s="101">
        <v>77.904578152748826</v>
      </c>
      <c r="S42" s="101">
        <v>79.820606801785686</v>
      </c>
      <c r="T42" s="101">
        <v>81.422692654938203</v>
      </c>
      <c r="U42" s="101">
        <v>80.84345281833707</v>
      </c>
      <c r="V42" s="101">
        <v>63.797310491171807</v>
      </c>
      <c r="W42" s="101">
        <v>58.841318345852727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</v>
      </c>
      <c r="S45" s="101">
        <v>0</v>
      </c>
      <c r="T45" s="101">
        <v>0.31315814620162447</v>
      </c>
      <c r="U45" s="101">
        <v>0.38987832598339245</v>
      </c>
      <c r="V45" s="101">
        <v>0.36561978890346708</v>
      </c>
      <c r="W45" s="101">
        <v>0.46004112749269632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558.7334073236616</v>
      </c>
      <c r="C46" s="29">
        <f t="shared" ref="C46:V46" si="110">C47+C53</f>
        <v>538.92796361051819</v>
      </c>
      <c r="D46" s="29">
        <f t="shared" si="110"/>
        <v>351.18447853764718</v>
      </c>
      <c r="E46" s="29">
        <f t="shared" si="110"/>
        <v>473.77625623532515</v>
      </c>
      <c r="F46" s="29">
        <f t="shared" si="110"/>
        <v>598.92654299970695</v>
      </c>
      <c r="G46" s="29">
        <f t="shared" si="110"/>
        <v>428.58005283896387</v>
      </c>
      <c r="H46" s="29">
        <f t="shared" si="110"/>
        <v>432.80039780819845</v>
      </c>
      <c r="I46" s="29">
        <f t="shared" si="110"/>
        <v>485.27412165559963</v>
      </c>
      <c r="J46" s="29">
        <f t="shared" si="110"/>
        <v>508.6766428916082</v>
      </c>
      <c r="K46" s="29">
        <f t="shared" si="110"/>
        <v>513.90654720958003</v>
      </c>
      <c r="L46" s="29">
        <f t="shared" si="110"/>
        <v>457.71344129748752</v>
      </c>
      <c r="M46" s="29">
        <f t="shared" si="110"/>
        <v>460.34018474053767</v>
      </c>
      <c r="N46" s="29">
        <f t="shared" si="110"/>
        <v>449.62440529885856</v>
      </c>
      <c r="O46" s="29">
        <f t="shared" si="110"/>
        <v>457.55925612272381</v>
      </c>
      <c r="P46" s="29">
        <f t="shared" si="110"/>
        <v>471.81345381533208</v>
      </c>
      <c r="Q46" s="29">
        <f t="shared" si="110"/>
        <v>478.79812641048676</v>
      </c>
      <c r="R46" s="29">
        <f t="shared" si="110"/>
        <v>476.24912337025046</v>
      </c>
      <c r="S46" s="29">
        <f t="shared" si="110"/>
        <v>491.56882836381567</v>
      </c>
      <c r="T46" s="29">
        <f t="shared" si="110"/>
        <v>488.5698282184286</v>
      </c>
      <c r="U46" s="29">
        <f t="shared" si="110"/>
        <v>510.91582503820246</v>
      </c>
      <c r="V46" s="29">
        <f t="shared" si="110"/>
        <v>497.11749967530852</v>
      </c>
      <c r="W46" s="29">
        <f t="shared" ref="W46" si="111">W47+W53</f>
        <v>483.99805682840548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257.84110778382058</v>
      </c>
      <c r="C47" s="152">
        <f t="shared" ref="C47:V47" si="113">SUM(C48:C52)</f>
        <v>258.54963015180061</v>
      </c>
      <c r="D47" s="152">
        <f t="shared" si="113"/>
        <v>262.90850419595893</v>
      </c>
      <c r="E47" s="152">
        <f t="shared" si="113"/>
        <v>270.18267203100407</v>
      </c>
      <c r="F47" s="152">
        <f t="shared" si="113"/>
        <v>267.97622557951206</v>
      </c>
      <c r="G47" s="152">
        <f t="shared" si="113"/>
        <v>265.40529105138631</v>
      </c>
      <c r="H47" s="152">
        <f t="shared" si="113"/>
        <v>280.53217219544126</v>
      </c>
      <c r="I47" s="152">
        <f t="shared" si="113"/>
        <v>308.04643615505819</v>
      </c>
      <c r="J47" s="152">
        <f t="shared" si="113"/>
        <v>324.35194872879686</v>
      </c>
      <c r="K47" s="152">
        <f t="shared" si="113"/>
        <v>332.07920997166286</v>
      </c>
      <c r="L47" s="152">
        <f t="shared" si="113"/>
        <v>314.37644129748753</v>
      </c>
      <c r="M47" s="152">
        <f t="shared" si="113"/>
        <v>326.23582116694473</v>
      </c>
      <c r="N47" s="152">
        <f t="shared" si="113"/>
        <v>326.26240951699543</v>
      </c>
      <c r="O47" s="152">
        <f t="shared" si="113"/>
        <v>333.56666194658794</v>
      </c>
      <c r="P47" s="152">
        <f t="shared" si="113"/>
        <v>353.58179287946859</v>
      </c>
      <c r="Q47" s="152">
        <f t="shared" si="113"/>
        <v>366.36867298653101</v>
      </c>
      <c r="R47" s="152">
        <f t="shared" si="113"/>
        <v>361.45372108362534</v>
      </c>
      <c r="S47" s="152">
        <f t="shared" si="113"/>
        <v>377.96358532568701</v>
      </c>
      <c r="T47" s="152">
        <f t="shared" si="113"/>
        <v>379.94837703337885</v>
      </c>
      <c r="U47" s="152">
        <f t="shared" si="113"/>
        <v>398.818837421647</v>
      </c>
      <c r="V47" s="152">
        <f t="shared" si="113"/>
        <v>385.02051205875307</v>
      </c>
      <c r="W47" s="152">
        <f t="shared" ref="W47" si="114">SUM(W48:W52)</f>
        <v>371.90106921185003</v>
      </c>
      <c r="DA47" s="174" t="s">
        <v>490</v>
      </c>
    </row>
    <row r="48" spans="1:105" ht="11.45" customHeight="1" x14ac:dyDescent="0.25">
      <c r="A48" s="111" t="s">
        <v>110</v>
      </c>
      <c r="B48" s="87">
        <v>8.4558677264213333</v>
      </c>
      <c r="C48" s="87">
        <v>10.212450399454077</v>
      </c>
      <c r="D48" s="87">
        <v>10.153378911967577</v>
      </c>
      <c r="E48" s="87">
        <v>10.03821909540336</v>
      </c>
      <c r="F48" s="87">
        <v>9.8126693351102485</v>
      </c>
      <c r="G48" s="87">
        <v>9.7762296492322385</v>
      </c>
      <c r="H48" s="87">
        <v>9.8600358972829518</v>
      </c>
      <c r="I48" s="87">
        <v>9.782165927101941</v>
      </c>
      <c r="J48" s="87">
        <v>9.1705315593021677</v>
      </c>
      <c r="K48" s="87">
        <v>9.0112468912834025</v>
      </c>
      <c r="L48" s="87">
        <v>9.5203298985299156</v>
      </c>
      <c r="M48" s="87">
        <v>8.8067640388330535</v>
      </c>
      <c r="N48" s="87">
        <v>8.4977615406005267</v>
      </c>
      <c r="O48" s="87">
        <v>8.5731486937045851</v>
      </c>
      <c r="P48" s="87">
        <v>8.8715448986385024</v>
      </c>
      <c r="Q48" s="87">
        <v>8.6106961095247012</v>
      </c>
      <c r="R48" s="87">
        <v>8.0808398018223411</v>
      </c>
      <c r="S48" s="87">
        <v>7.8526060190976859</v>
      </c>
      <c r="T48" s="87">
        <v>7.4803201507707291</v>
      </c>
      <c r="U48" s="87">
        <v>7.7454853054539781</v>
      </c>
      <c r="V48" s="87">
        <v>7.444954426062905</v>
      </c>
      <c r="W48" s="87">
        <v>7.5805224549578112</v>
      </c>
      <c r="DA48" s="171" t="s">
        <v>491</v>
      </c>
    </row>
    <row r="49" spans="1:105" ht="11.45" customHeight="1" x14ac:dyDescent="0.25">
      <c r="A49" s="111" t="s">
        <v>111</v>
      </c>
      <c r="B49" s="87">
        <v>249.38524005739924</v>
      </c>
      <c r="C49" s="87">
        <v>248.33717975234654</v>
      </c>
      <c r="D49" s="87">
        <v>252.75512528399136</v>
      </c>
      <c r="E49" s="87">
        <v>260.14445293560073</v>
      </c>
      <c r="F49" s="87">
        <v>258.16355624440183</v>
      </c>
      <c r="G49" s="87">
        <v>255.62906140215406</v>
      </c>
      <c r="H49" s="87">
        <v>270.67213629815831</v>
      </c>
      <c r="I49" s="87">
        <v>298.26427022795627</v>
      </c>
      <c r="J49" s="87">
        <v>315.15058942932302</v>
      </c>
      <c r="K49" s="87">
        <v>323.03629314761633</v>
      </c>
      <c r="L49" s="87">
        <v>304.81302865711802</v>
      </c>
      <c r="M49" s="87">
        <v>317.3762391091476</v>
      </c>
      <c r="N49" s="87">
        <v>317.7115858227491</v>
      </c>
      <c r="O49" s="87">
        <v>324.83194396523089</v>
      </c>
      <c r="P49" s="87">
        <v>344.54860001266144</v>
      </c>
      <c r="Q49" s="87">
        <v>357.57607049679791</v>
      </c>
      <c r="R49" s="87">
        <v>353.17643017162271</v>
      </c>
      <c r="S49" s="87">
        <v>369.89496288598679</v>
      </c>
      <c r="T49" s="87">
        <v>372.25695083501324</v>
      </c>
      <c r="U49" s="87">
        <v>389.94433453308739</v>
      </c>
      <c r="V49" s="87">
        <v>376.42968695387816</v>
      </c>
      <c r="W49" s="87">
        <v>363.15080743006382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1.9775643614722976E-2</v>
      </c>
      <c r="T50" s="87">
        <v>1.8978288941339936E-2</v>
      </c>
      <c r="U50" s="87">
        <v>3.8351656421199122E-2</v>
      </c>
      <c r="V50" s="87">
        <v>3.6138345309694779E-2</v>
      </c>
      <c r="W50" s="87">
        <v>3.4445500922278958E-2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3.0827740171691952E-2</v>
      </c>
      <c r="K52" s="87">
        <v>3.1669932763095536E-2</v>
      </c>
      <c r="L52" s="87">
        <v>4.3082741839640032E-2</v>
      </c>
      <c r="M52" s="87">
        <v>5.2818018964019268E-2</v>
      </c>
      <c r="N52" s="87">
        <v>5.3062153645784205E-2</v>
      </c>
      <c r="O52" s="87">
        <v>0.16156928765249592</v>
      </c>
      <c r="P52" s="87">
        <v>0.16164796816865012</v>
      </c>
      <c r="Q52" s="87">
        <v>0.18190638020837241</v>
      </c>
      <c r="R52" s="87">
        <v>0.19645111018028855</v>
      </c>
      <c r="S52" s="87">
        <v>0.196240776987853</v>
      </c>
      <c r="T52" s="87">
        <v>0.19212775865351842</v>
      </c>
      <c r="U52" s="87">
        <v>1.0906659266844427</v>
      </c>
      <c r="V52" s="87">
        <v>1.1097323335023408</v>
      </c>
      <c r="W52" s="87">
        <v>1.1352938259061247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300.89229953984102</v>
      </c>
      <c r="C53" s="116">
        <f t="shared" ref="C53:V53" si="116">SUM(C54:C55)</f>
        <v>280.37833345871752</v>
      </c>
      <c r="D53" s="116">
        <f t="shared" si="116"/>
        <v>88.275974341688254</v>
      </c>
      <c r="E53" s="116">
        <f t="shared" si="116"/>
        <v>203.5935842043211</v>
      </c>
      <c r="F53" s="116">
        <f t="shared" si="116"/>
        <v>330.95031742019484</v>
      </c>
      <c r="G53" s="116">
        <f t="shared" si="116"/>
        <v>163.17476178757755</v>
      </c>
      <c r="H53" s="116">
        <f t="shared" si="116"/>
        <v>152.26822561275719</v>
      </c>
      <c r="I53" s="116">
        <f t="shared" si="116"/>
        <v>177.22768550054144</v>
      </c>
      <c r="J53" s="116">
        <f t="shared" si="116"/>
        <v>184.32469416281134</v>
      </c>
      <c r="K53" s="116">
        <f t="shared" si="116"/>
        <v>181.82733723791713</v>
      </c>
      <c r="L53" s="116">
        <f t="shared" si="116"/>
        <v>143.33700000000002</v>
      </c>
      <c r="M53" s="116">
        <f t="shared" si="116"/>
        <v>134.10436357359291</v>
      </c>
      <c r="N53" s="116">
        <f t="shared" si="116"/>
        <v>123.36199578186314</v>
      </c>
      <c r="O53" s="116">
        <f t="shared" si="116"/>
        <v>123.99259417613585</v>
      </c>
      <c r="P53" s="116">
        <f t="shared" si="116"/>
        <v>118.2316609358635</v>
      </c>
      <c r="Q53" s="116">
        <f t="shared" si="116"/>
        <v>112.42945342395574</v>
      </c>
      <c r="R53" s="116">
        <f t="shared" si="116"/>
        <v>114.79540228662512</v>
      </c>
      <c r="S53" s="116">
        <f t="shared" si="116"/>
        <v>113.60524303812865</v>
      </c>
      <c r="T53" s="116">
        <f t="shared" si="116"/>
        <v>108.62145118504975</v>
      </c>
      <c r="U53" s="116">
        <f t="shared" si="116"/>
        <v>112.09698761655545</v>
      </c>
      <c r="V53" s="116">
        <f t="shared" si="116"/>
        <v>112.09698761655545</v>
      </c>
      <c r="W53" s="116">
        <f t="shared" ref="W53" si="117">SUM(W54:W55)</f>
        <v>112.09698761655545</v>
      </c>
      <c r="DA53" s="176" t="s">
        <v>496</v>
      </c>
    </row>
    <row r="54" spans="1:105" ht="11.45" customHeight="1" x14ac:dyDescent="0.25">
      <c r="A54" s="128" t="s">
        <v>27</v>
      </c>
      <c r="B54" s="101">
        <v>300.89229953984102</v>
      </c>
      <c r="C54" s="101">
        <v>280.37833345871752</v>
      </c>
      <c r="D54" s="101">
        <v>88.275974341688254</v>
      </c>
      <c r="E54" s="101">
        <v>203.5935842043211</v>
      </c>
      <c r="F54" s="101">
        <v>330.95031742019484</v>
      </c>
      <c r="G54" s="101">
        <v>163.17476178757755</v>
      </c>
      <c r="H54" s="101">
        <v>152.26822561275719</v>
      </c>
      <c r="I54" s="101">
        <v>177.22768550054144</v>
      </c>
      <c r="J54" s="101">
        <v>184.32469416281134</v>
      </c>
      <c r="K54" s="101">
        <v>181.82733723791713</v>
      </c>
      <c r="L54" s="101">
        <v>143.33700000000002</v>
      </c>
      <c r="M54" s="101">
        <v>134.10436357359291</v>
      </c>
      <c r="N54" s="101">
        <v>123.36199578186314</v>
      </c>
      <c r="O54" s="101">
        <v>123.99259417613585</v>
      </c>
      <c r="P54" s="101">
        <v>118.2316609358635</v>
      </c>
      <c r="Q54" s="101">
        <v>112.42945342395574</v>
      </c>
      <c r="R54" s="101">
        <v>114.79540228662512</v>
      </c>
      <c r="S54" s="101">
        <v>113.60524303812865</v>
      </c>
      <c r="T54" s="101">
        <v>108.62145118504975</v>
      </c>
      <c r="U54" s="101">
        <v>112.09698761655545</v>
      </c>
      <c r="V54" s="101">
        <v>112.09698761655545</v>
      </c>
      <c r="W54" s="101">
        <v>112.09698761655545</v>
      </c>
      <c r="DA54" s="175" t="s">
        <v>497</v>
      </c>
    </row>
    <row r="55" spans="1:105" ht="11.45" customHeight="1" x14ac:dyDescent="0.25">
      <c r="A55" s="138" t="s">
        <v>116</v>
      </c>
      <c r="B55" s="88">
        <v>0</v>
      </c>
      <c r="C55" s="88">
        <v>0</v>
      </c>
      <c r="D55" s="88">
        <v>0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235023</v>
      </c>
      <c r="C57" s="54">
        <f t="shared" si="118"/>
        <v>241828</v>
      </c>
      <c r="D57" s="54">
        <f t="shared" si="118"/>
        <v>249013</v>
      </c>
      <c r="E57" s="54">
        <f t="shared" si="118"/>
        <v>256749</v>
      </c>
      <c r="F57" s="54">
        <f t="shared" si="118"/>
        <v>258691</v>
      </c>
      <c r="G57" s="54">
        <f t="shared" si="118"/>
        <v>259262</v>
      </c>
      <c r="H57" s="54">
        <f t="shared" si="118"/>
        <v>266153</v>
      </c>
      <c r="I57" s="54">
        <f t="shared" si="118"/>
        <v>274144</v>
      </c>
      <c r="J57" s="54">
        <f t="shared" si="118"/>
        <v>280622</v>
      </c>
      <c r="K57" s="54">
        <f t="shared" si="118"/>
        <v>286389</v>
      </c>
      <c r="L57" s="54">
        <f t="shared" ref="L57" si="119">L58+L73</f>
        <v>298160</v>
      </c>
      <c r="M57" s="54">
        <f t="shared" ref="M57:V57" si="120">M58+M73</f>
        <v>305338</v>
      </c>
      <c r="N57" s="54">
        <f t="shared" si="120"/>
        <v>308017</v>
      </c>
      <c r="O57" s="54">
        <f t="shared" si="120"/>
        <v>316194</v>
      </c>
      <c r="P57" s="54">
        <f t="shared" si="120"/>
        <v>328093</v>
      </c>
      <c r="Q57" s="54">
        <f t="shared" si="120"/>
        <v>339625</v>
      </c>
      <c r="R57" s="54">
        <f t="shared" si="120"/>
        <v>351394</v>
      </c>
      <c r="S57" s="54">
        <f t="shared" si="120"/>
        <v>364266</v>
      </c>
      <c r="T57" s="54">
        <f t="shared" si="120"/>
        <v>377235</v>
      </c>
      <c r="U57" s="54">
        <f t="shared" si="120"/>
        <v>389219</v>
      </c>
      <c r="V57" s="54">
        <f t="shared" si="120"/>
        <v>394415</v>
      </c>
      <c r="W57" s="54">
        <f t="shared" ref="W57" si="121">W58+W73</f>
        <v>403050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195845</v>
      </c>
      <c r="C58" s="28">
        <f t="shared" si="122"/>
        <v>202671</v>
      </c>
      <c r="D58" s="28">
        <f t="shared" si="122"/>
        <v>209729</v>
      </c>
      <c r="E58" s="28">
        <f t="shared" si="122"/>
        <v>216925</v>
      </c>
      <c r="F58" s="28">
        <f t="shared" si="122"/>
        <v>218922</v>
      </c>
      <c r="G58" s="28">
        <f t="shared" si="122"/>
        <v>219630</v>
      </c>
      <c r="H58" s="28">
        <f t="shared" si="122"/>
        <v>225610</v>
      </c>
      <c r="I58" s="28">
        <f t="shared" si="122"/>
        <v>232706</v>
      </c>
      <c r="J58" s="28">
        <f t="shared" si="122"/>
        <v>238667</v>
      </c>
      <c r="K58" s="28">
        <f t="shared" si="122"/>
        <v>245153</v>
      </c>
      <c r="L58" s="28">
        <f t="shared" ref="L58" si="123">L59+L60+L67</f>
        <v>256841</v>
      </c>
      <c r="M58" s="28">
        <f t="shared" ref="M58:V58" si="124">M59+M60+M67</f>
        <v>264053</v>
      </c>
      <c r="N58" s="28">
        <f t="shared" si="124"/>
        <v>266647</v>
      </c>
      <c r="O58" s="28">
        <f t="shared" si="124"/>
        <v>274246</v>
      </c>
      <c r="P58" s="28">
        <f t="shared" si="124"/>
        <v>285676</v>
      </c>
      <c r="Q58" s="28">
        <f t="shared" si="124"/>
        <v>296341</v>
      </c>
      <c r="R58" s="28">
        <f t="shared" si="124"/>
        <v>307203</v>
      </c>
      <c r="S58" s="28">
        <f t="shared" si="124"/>
        <v>318475</v>
      </c>
      <c r="T58" s="28">
        <f t="shared" si="124"/>
        <v>329582</v>
      </c>
      <c r="U58" s="28">
        <f t="shared" si="124"/>
        <v>339721</v>
      </c>
      <c r="V58" s="28">
        <f t="shared" si="124"/>
        <v>343517</v>
      </c>
      <c r="W58" s="28">
        <f t="shared" ref="W58" si="125">W59+W60+W67</f>
        <v>351423</v>
      </c>
      <c r="DA58" s="173" t="s">
        <v>500</v>
      </c>
    </row>
    <row r="59" spans="1:105" ht="11.45" customHeight="1" x14ac:dyDescent="0.25">
      <c r="A59" s="136" t="s">
        <v>180</v>
      </c>
      <c r="B59" s="137">
        <v>12167</v>
      </c>
      <c r="C59" s="137">
        <v>12605</v>
      </c>
      <c r="D59" s="137">
        <v>13097</v>
      </c>
      <c r="E59" s="137">
        <v>13420</v>
      </c>
      <c r="F59" s="137">
        <v>12639</v>
      </c>
      <c r="G59" s="137">
        <v>11905</v>
      </c>
      <c r="H59" s="137">
        <v>12192</v>
      </c>
      <c r="I59" s="137">
        <v>12695</v>
      </c>
      <c r="J59" s="137">
        <v>14310</v>
      </c>
      <c r="K59" s="137">
        <v>14402</v>
      </c>
      <c r="L59" s="137">
        <v>14047</v>
      </c>
      <c r="M59" s="137">
        <v>14758</v>
      </c>
      <c r="N59" s="137">
        <v>15021</v>
      </c>
      <c r="O59" s="137">
        <v>16102</v>
      </c>
      <c r="P59" s="137">
        <v>17555</v>
      </c>
      <c r="Q59" s="137">
        <v>19206</v>
      </c>
      <c r="R59" s="137">
        <v>22286</v>
      </c>
      <c r="S59" s="137">
        <v>24606</v>
      </c>
      <c r="T59" s="137">
        <v>27329</v>
      </c>
      <c r="U59" s="137">
        <v>30316</v>
      </c>
      <c r="V59" s="137">
        <v>32152</v>
      </c>
      <c r="W59" s="137">
        <v>35921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182105</v>
      </c>
      <c r="C60" s="110">
        <f t="shared" si="126"/>
        <v>188495</v>
      </c>
      <c r="D60" s="110">
        <f t="shared" si="126"/>
        <v>195055</v>
      </c>
      <c r="E60" s="110">
        <f t="shared" si="126"/>
        <v>201924</v>
      </c>
      <c r="F60" s="110">
        <f t="shared" si="126"/>
        <v>204702</v>
      </c>
      <c r="G60" s="110">
        <f t="shared" si="126"/>
        <v>206148</v>
      </c>
      <c r="H60" s="110">
        <f t="shared" si="126"/>
        <v>211840</v>
      </c>
      <c r="I60" s="110">
        <f t="shared" si="126"/>
        <v>218429</v>
      </c>
      <c r="J60" s="110">
        <f t="shared" si="126"/>
        <v>222775</v>
      </c>
      <c r="K60" s="110">
        <f t="shared" si="126"/>
        <v>229016</v>
      </c>
      <c r="L60" s="110">
        <f t="shared" ref="L60" si="127">SUM(L61:L66)</f>
        <v>240943</v>
      </c>
      <c r="M60" s="110">
        <f t="shared" ref="M60:V60" si="128">SUM(M61:M66)</f>
        <v>247539</v>
      </c>
      <c r="N60" s="110">
        <f t="shared" si="128"/>
        <v>249880</v>
      </c>
      <c r="O60" s="110">
        <f t="shared" si="128"/>
        <v>256432</v>
      </c>
      <c r="P60" s="110">
        <f t="shared" si="128"/>
        <v>266326</v>
      </c>
      <c r="Q60" s="110">
        <f t="shared" si="128"/>
        <v>275183</v>
      </c>
      <c r="R60" s="110">
        <f t="shared" si="128"/>
        <v>282921</v>
      </c>
      <c r="S60" s="110">
        <f t="shared" si="128"/>
        <v>291799</v>
      </c>
      <c r="T60" s="110">
        <f t="shared" si="128"/>
        <v>300141</v>
      </c>
      <c r="U60" s="110">
        <f t="shared" si="128"/>
        <v>307130</v>
      </c>
      <c r="V60" s="110">
        <f t="shared" si="128"/>
        <v>309143</v>
      </c>
      <c r="W60" s="110">
        <f t="shared" ref="W60" si="129">SUM(W61:W66)</f>
        <v>313177</v>
      </c>
      <c r="DA60" s="176" t="s">
        <v>502</v>
      </c>
    </row>
    <row r="61" spans="1:105" ht="11.45" customHeight="1" x14ac:dyDescent="0.25">
      <c r="A61" s="111" t="s">
        <v>110</v>
      </c>
      <c r="B61" s="84">
        <v>155927</v>
      </c>
      <c r="C61" s="84">
        <v>159509</v>
      </c>
      <c r="D61" s="84">
        <v>164132</v>
      </c>
      <c r="E61" s="84">
        <v>169534</v>
      </c>
      <c r="F61" s="84">
        <v>171445</v>
      </c>
      <c r="G61" s="84">
        <v>172297</v>
      </c>
      <c r="H61" s="84">
        <v>177080</v>
      </c>
      <c r="I61" s="84">
        <v>182663</v>
      </c>
      <c r="J61" s="84">
        <v>186088</v>
      </c>
      <c r="K61" s="84">
        <v>190756</v>
      </c>
      <c r="L61" s="84">
        <v>173252</v>
      </c>
      <c r="M61" s="84">
        <v>175812</v>
      </c>
      <c r="N61" s="84">
        <v>175215</v>
      </c>
      <c r="O61" s="84">
        <v>178079</v>
      </c>
      <c r="P61" s="84">
        <v>183303</v>
      </c>
      <c r="Q61" s="84">
        <v>188764</v>
      </c>
      <c r="R61" s="84">
        <v>192308</v>
      </c>
      <c r="S61" s="84">
        <v>197670</v>
      </c>
      <c r="T61" s="84">
        <v>202972</v>
      </c>
      <c r="U61" s="84">
        <v>206457</v>
      </c>
      <c r="V61" s="84">
        <v>207150</v>
      </c>
      <c r="W61" s="84">
        <v>211174</v>
      </c>
      <c r="DA61" s="171" t="s">
        <v>503</v>
      </c>
    </row>
    <row r="62" spans="1:105" ht="11.45" customHeight="1" x14ac:dyDescent="0.25">
      <c r="A62" s="111" t="s">
        <v>111</v>
      </c>
      <c r="B62" s="84">
        <v>26178</v>
      </c>
      <c r="C62" s="84">
        <v>28986</v>
      </c>
      <c r="D62" s="84">
        <v>30923</v>
      </c>
      <c r="E62" s="84">
        <v>32381</v>
      </c>
      <c r="F62" s="84">
        <v>33244</v>
      </c>
      <c r="G62" s="84">
        <v>33836</v>
      </c>
      <c r="H62" s="84">
        <v>34743</v>
      </c>
      <c r="I62" s="84">
        <v>35739</v>
      </c>
      <c r="J62" s="84">
        <v>36657</v>
      </c>
      <c r="K62" s="84">
        <v>38227</v>
      </c>
      <c r="L62" s="84">
        <v>67467</v>
      </c>
      <c r="M62" s="84">
        <v>71474</v>
      </c>
      <c r="N62" s="84">
        <v>74345</v>
      </c>
      <c r="O62" s="84">
        <v>77854</v>
      </c>
      <c r="P62" s="84">
        <v>82144</v>
      </c>
      <c r="Q62" s="84">
        <v>85178</v>
      </c>
      <c r="R62" s="84">
        <v>87418</v>
      </c>
      <c r="S62" s="84">
        <v>91687</v>
      </c>
      <c r="T62" s="84">
        <v>94771</v>
      </c>
      <c r="U62" s="84">
        <v>96973</v>
      </c>
      <c r="V62" s="84">
        <v>97398</v>
      </c>
      <c r="W62" s="84">
        <v>96769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2000</v>
      </c>
      <c r="S63" s="84">
        <v>1200</v>
      </c>
      <c r="T63" s="84">
        <v>950</v>
      </c>
      <c r="U63" s="84">
        <v>1400</v>
      </c>
      <c r="V63" s="84">
        <v>1300</v>
      </c>
      <c r="W63" s="84">
        <v>1200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188</v>
      </c>
      <c r="M65" s="84">
        <v>223</v>
      </c>
      <c r="N65" s="84">
        <v>282</v>
      </c>
      <c r="O65" s="84">
        <v>450</v>
      </c>
      <c r="P65" s="84">
        <v>792</v>
      </c>
      <c r="Q65" s="84">
        <v>1127</v>
      </c>
      <c r="R65" s="84">
        <v>1064</v>
      </c>
      <c r="S65" s="84">
        <v>1064</v>
      </c>
      <c r="T65" s="84">
        <v>1134</v>
      </c>
      <c r="U65" s="84">
        <v>1172</v>
      </c>
      <c r="V65" s="84">
        <v>1361</v>
      </c>
      <c r="W65" s="84">
        <v>1990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9</v>
      </c>
      <c r="F66" s="84">
        <v>13</v>
      </c>
      <c r="G66" s="84">
        <v>15</v>
      </c>
      <c r="H66" s="84">
        <v>17</v>
      </c>
      <c r="I66" s="84">
        <v>27</v>
      </c>
      <c r="J66" s="84">
        <v>30</v>
      </c>
      <c r="K66" s="84">
        <v>33</v>
      </c>
      <c r="L66" s="84">
        <v>36</v>
      </c>
      <c r="M66" s="84">
        <v>30</v>
      </c>
      <c r="N66" s="84">
        <v>38</v>
      </c>
      <c r="O66" s="84">
        <v>49</v>
      </c>
      <c r="P66" s="84">
        <v>87</v>
      </c>
      <c r="Q66" s="84">
        <v>114</v>
      </c>
      <c r="R66" s="84">
        <v>131</v>
      </c>
      <c r="S66" s="84">
        <v>178</v>
      </c>
      <c r="T66" s="84">
        <v>314</v>
      </c>
      <c r="U66" s="84">
        <v>1128</v>
      </c>
      <c r="V66" s="84">
        <v>1934</v>
      </c>
      <c r="W66" s="84">
        <v>2044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1573</v>
      </c>
      <c r="C67" s="110">
        <f t="shared" si="130"/>
        <v>1571</v>
      </c>
      <c r="D67" s="110">
        <f t="shared" si="130"/>
        <v>1577</v>
      </c>
      <c r="E67" s="110">
        <f t="shared" si="130"/>
        <v>1581</v>
      </c>
      <c r="F67" s="110">
        <f t="shared" si="130"/>
        <v>1581</v>
      </c>
      <c r="G67" s="110">
        <f t="shared" si="130"/>
        <v>1577</v>
      </c>
      <c r="H67" s="110">
        <f t="shared" si="130"/>
        <v>1578</v>
      </c>
      <c r="I67" s="110">
        <f t="shared" si="130"/>
        <v>1582</v>
      </c>
      <c r="J67" s="110">
        <f t="shared" si="130"/>
        <v>1582</v>
      </c>
      <c r="K67" s="110">
        <f t="shared" si="130"/>
        <v>1735</v>
      </c>
      <c r="L67" s="110">
        <f t="shared" ref="L67" si="131">SUM(L68:L72)</f>
        <v>1851</v>
      </c>
      <c r="M67" s="110">
        <f t="shared" ref="M67:V67" si="132">SUM(M68:M72)</f>
        <v>1756</v>
      </c>
      <c r="N67" s="110">
        <f t="shared" si="132"/>
        <v>1746</v>
      </c>
      <c r="O67" s="110">
        <f t="shared" si="132"/>
        <v>1712</v>
      </c>
      <c r="P67" s="110">
        <f t="shared" si="132"/>
        <v>1795</v>
      </c>
      <c r="Q67" s="110">
        <f t="shared" si="132"/>
        <v>1952</v>
      </c>
      <c r="R67" s="110">
        <f t="shared" si="132"/>
        <v>1996</v>
      </c>
      <c r="S67" s="110">
        <f t="shared" si="132"/>
        <v>2070</v>
      </c>
      <c r="T67" s="110">
        <f t="shared" si="132"/>
        <v>2112</v>
      </c>
      <c r="U67" s="110">
        <f t="shared" si="132"/>
        <v>2275</v>
      </c>
      <c r="V67" s="110">
        <f t="shared" si="132"/>
        <v>2222</v>
      </c>
      <c r="W67" s="110">
        <f t="shared" ref="W67" si="133">SUM(W68:W72)</f>
        <v>2325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18</v>
      </c>
      <c r="M68" s="102">
        <v>15</v>
      </c>
      <c r="N68" s="102">
        <v>14</v>
      </c>
      <c r="O68" s="102">
        <v>13</v>
      </c>
      <c r="P68" s="102">
        <v>12</v>
      </c>
      <c r="Q68" s="102">
        <v>10</v>
      </c>
      <c r="R68" s="102">
        <v>10</v>
      </c>
      <c r="S68" s="102">
        <v>10</v>
      </c>
      <c r="T68" s="102">
        <v>11</v>
      </c>
      <c r="U68" s="102">
        <v>13</v>
      </c>
      <c r="V68" s="102">
        <v>11</v>
      </c>
      <c r="W68" s="102">
        <v>12</v>
      </c>
      <c r="DA68" s="175" t="s">
        <v>510</v>
      </c>
    </row>
    <row r="69" spans="1:105" ht="11.45" customHeight="1" x14ac:dyDescent="0.25">
      <c r="A69" s="111" t="s">
        <v>111</v>
      </c>
      <c r="B69" s="102">
        <v>1573</v>
      </c>
      <c r="C69" s="102">
        <v>1571</v>
      </c>
      <c r="D69" s="102">
        <v>1577</v>
      </c>
      <c r="E69" s="102">
        <v>1581</v>
      </c>
      <c r="F69" s="102">
        <v>1581</v>
      </c>
      <c r="G69" s="102">
        <v>1577</v>
      </c>
      <c r="H69" s="102">
        <v>1578</v>
      </c>
      <c r="I69" s="102">
        <v>1582</v>
      </c>
      <c r="J69" s="102">
        <v>1582</v>
      </c>
      <c r="K69" s="102">
        <v>1735</v>
      </c>
      <c r="L69" s="102">
        <v>1833</v>
      </c>
      <c r="M69" s="102">
        <v>1741</v>
      </c>
      <c r="N69" s="102">
        <v>1732</v>
      </c>
      <c r="O69" s="102">
        <v>1699</v>
      </c>
      <c r="P69" s="102">
        <v>1783</v>
      </c>
      <c r="Q69" s="102">
        <v>1942</v>
      </c>
      <c r="R69" s="102">
        <v>1986</v>
      </c>
      <c r="S69" s="102">
        <v>2060</v>
      </c>
      <c r="T69" s="102">
        <v>2093</v>
      </c>
      <c r="U69" s="102">
        <v>2252</v>
      </c>
      <c r="V69" s="102">
        <v>2200</v>
      </c>
      <c r="W69" s="102">
        <v>2301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8</v>
      </c>
      <c r="U72" s="102">
        <v>10</v>
      </c>
      <c r="V72" s="102">
        <v>11</v>
      </c>
      <c r="W72" s="102">
        <v>12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39178</v>
      </c>
      <c r="C73" s="28">
        <f t="shared" si="134"/>
        <v>39157</v>
      </c>
      <c r="D73" s="28">
        <f t="shared" si="134"/>
        <v>39284</v>
      </c>
      <c r="E73" s="28">
        <f t="shared" si="134"/>
        <v>39824</v>
      </c>
      <c r="F73" s="28">
        <f t="shared" si="134"/>
        <v>39769</v>
      </c>
      <c r="G73" s="28">
        <f t="shared" si="134"/>
        <v>39632</v>
      </c>
      <c r="H73" s="28">
        <f t="shared" si="134"/>
        <v>40543</v>
      </c>
      <c r="I73" s="28">
        <f t="shared" si="134"/>
        <v>41438</v>
      </c>
      <c r="J73" s="28">
        <f t="shared" si="134"/>
        <v>41955</v>
      </c>
      <c r="K73" s="28">
        <f t="shared" si="134"/>
        <v>41236</v>
      </c>
      <c r="L73" s="28">
        <f t="shared" ref="L73" si="135">L74+L80</f>
        <v>41319</v>
      </c>
      <c r="M73" s="28">
        <f t="shared" ref="M73:V73" si="136">M74+M80</f>
        <v>41285</v>
      </c>
      <c r="N73" s="28">
        <f t="shared" si="136"/>
        <v>41370</v>
      </c>
      <c r="O73" s="28">
        <f t="shared" si="136"/>
        <v>41948</v>
      </c>
      <c r="P73" s="28">
        <f t="shared" si="136"/>
        <v>42417</v>
      </c>
      <c r="Q73" s="28">
        <f t="shared" si="136"/>
        <v>43284</v>
      </c>
      <c r="R73" s="28">
        <f t="shared" si="136"/>
        <v>44191</v>
      </c>
      <c r="S73" s="28">
        <f t="shared" si="136"/>
        <v>45791</v>
      </c>
      <c r="T73" s="28">
        <f t="shared" si="136"/>
        <v>47653</v>
      </c>
      <c r="U73" s="28">
        <f t="shared" si="136"/>
        <v>49498</v>
      </c>
      <c r="V73" s="28">
        <f t="shared" si="136"/>
        <v>50898</v>
      </c>
      <c r="W73" s="28">
        <f t="shared" ref="W73" si="137">W74+W80</f>
        <v>51627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28249</v>
      </c>
      <c r="C74" s="137">
        <f t="shared" si="138"/>
        <v>28210</v>
      </c>
      <c r="D74" s="137">
        <f t="shared" si="138"/>
        <v>28332</v>
      </c>
      <c r="E74" s="137">
        <f t="shared" si="138"/>
        <v>28852</v>
      </c>
      <c r="F74" s="137">
        <f t="shared" si="138"/>
        <v>28799</v>
      </c>
      <c r="G74" s="137">
        <f t="shared" si="138"/>
        <v>28667</v>
      </c>
      <c r="H74" s="137">
        <f t="shared" si="138"/>
        <v>29751</v>
      </c>
      <c r="I74" s="137">
        <f t="shared" si="138"/>
        <v>30877</v>
      </c>
      <c r="J74" s="137">
        <f t="shared" si="138"/>
        <v>31391</v>
      </c>
      <c r="K74" s="137">
        <f t="shared" si="138"/>
        <v>30849</v>
      </c>
      <c r="L74" s="137">
        <f t="shared" ref="L74" si="139">SUM(L75:L79)</f>
        <v>31160</v>
      </c>
      <c r="M74" s="137">
        <f t="shared" ref="M74:V74" si="140">SUM(M75:M79)</f>
        <v>31126</v>
      </c>
      <c r="N74" s="137">
        <f t="shared" si="140"/>
        <v>31283</v>
      </c>
      <c r="O74" s="137">
        <f t="shared" si="140"/>
        <v>31927</v>
      </c>
      <c r="P74" s="137">
        <f t="shared" si="140"/>
        <v>32393</v>
      </c>
      <c r="Q74" s="137">
        <f t="shared" si="140"/>
        <v>33089</v>
      </c>
      <c r="R74" s="137">
        <f t="shared" si="140"/>
        <v>33728</v>
      </c>
      <c r="S74" s="137">
        <f t="shared" si="140"/>
        <v>34985</v>
      </c>
      <c r="T74" s="137">
        <f t="shared" si="140"/>
        <v>36571</v>
      </c>
      <c r="U74" s="137">
        <f t="shared" si="140"/>
        <v>37953</v>
      </c>
      <c r="V74" s="137">
        <f t="shared" si="140"/>
        <v>38931</v>
      </c>
      <c r="W74" s="137">
        <f t="shared" ref="W74" si="141">SUM(W75:W79)</f>
        <v>39450</v>
      </c>
      <c r="DA74" s="174" t="s">
        <v>516</v>
      </c>
    </row>
    <row r="75" spans="1:105" ht="11.45" customHeight="1" x14ac:dyDescent="0.25">
      <c r="A75" s="111" t="s">
        <v>110</v>
      </c>
      <c r="B75" s="84">
        <v>1661</v>
      </c>
      <c r="C75" s="84">
        <v>1702</v>
      </c>
      <c r="D75" s="84">
        <v>1664</v>
      </c>
      <c r="E75" s="84">
        <v>1649</v>
      </c>
      <c r="F75" s="84">
        <v>1602</v>
      </c>
      <c r="G75" s="84">
        <v>1553</v>
      </c>
      <c r="H75" s="84">
        <v>1569</v>
      </c>
      <c r="I75" s="84">
        <v>1585</v>
      </c>
      <c r="J75" s="84">
        <v>1568</v>
      </c>
      <c r="K75" s="84">
        <v>1500</v>
      </c>
      <c r="L75" s="84">
        <v>1475</v>
      </c>
      <c r="M75" s="84">
        <v>1389</v>
      </c>
      <c r="N75" s="84">
        <v>1278</v>
      </c>
      <c r="O75" s="84">
        <v>1275</v>
      </c>
      <c r="P75" s="84">
        <v>1258</v>
      </c>
      <c r="Q75" s="84">
        <v>1226</v>
      </c>
      <c r="R75" s="84">
        <v>1201</v>
      </c>
      <c r="S75" s="84">
        <v>1170</v>
      </c>
      <c r="T75" s="84">
        <v>1171</v>
      </c>
      <c r="U75" s="84">
        <v>1210</v>
      </c>
      <c r="V75" s="84">
        <v>1224</v>
      </c>
      <c r="W75" s="84">
        <v>1313</v>
      </c>
      <c r="DA75" s="171" t="s">
        <v>517</v>
      </c>
    </row>
    <row r="76" spans="1:105" ht="11.45" customHeight="1" x14ac:dyDescent="0.25">
      <c r="A76" s="111" t="s">
        <v>111</v>
      </c>
      <c r="B76" s="84">
        <v>26588</v>
      </c>
      <c r="C76" s="84">
        <v>26508</v>
      </c>
      <c r="D76" s="84">
        <v>26668</v>
      </c>
      <c r="E76" s="84">
        <v>27203</v>
      </c>
      <c r="F76" s="84">
        <v>27197</v>
      </c>
      <c r="G76" s="84">
        <v>27114</v>
      </c>
      <c r="H76" s="84">
        <v>28182</v>
      </c>
      <c r="I76" s="84">
        <v>29292</v>
      </c>
      <c r="J76" s="84">
        <v>29819</v>
      </c>
      <c r="K76" s="84">
        <v>29345</v>
      </c>
      <c r="L76" s="84">
        <v>29680</v>
      </c>
      <c r="M76" s="84">
        <v>29731</v>
      </c>
      <c r="N76" s="84">
        <v>29999</v>
      </c>
      <c r="O76" s="84">
        <v>30634</v>
      </c>
      <c r="P76" s="84">
        <v>31117</v>
      </c>
      <c r="Q76" s="84">
        <v>31843</v>
      </c>
      <c r="R76" s="84">
        <v>32505</v>
      </c>
      <c r="S76" s="84">
        <v>33791</v>
      </c>
      <c r="T76" s="84">
        <v>35376</v>
      </c>
      <c r="U76" s="84">
        <v>36614</v>
      </c>
      <c r="V76" s="84">
        <v>37573</v>
      </c>
      <c r="W76" s="84">
        <v>37997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2</v>
      </c>
      <c r="T77" s="84">
        <v>2</v>
      </c>
      <c r="U77" s="84">
        <v>4</v>
      </c>
      <c r="V77" s="84">
        <v>4</v>
      </c>
      <c r="W77" s="84">
        <v>4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4</v>
      </c>
      <c r="K79" s="84">
        <v>4</v>
      </c>
      <c r="L79" s="84">
        <v>5</v>
      </c>
      <c r="M79" s="84">
        <v>6</v>
      </c>
      <c r="N79" s="84">
        <v>6</v>
      </c>
      <c r="O79" s="84">
        <v>18</v>
      </c>
      <c r="P79" s="84">
        <v>18</v>
      </c>
      <c r="Q79" s="84">
        <v>20</v>
      </c>
      <c r="R79" s="84">
        <v>22</v>
      </c>
      <c r="S79" s="84">
        <v>22</v>
      </c>
      <c r="T79" s="84">
        <v>22</v>
      </c>
      <c r="U79" s="84">
        <v>125</v>
      </c>
      <c r="V79" s="84">
        <v>130</v>
      </c>
      <c r="W79" s="84">
        <v>136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10929</v>
      </c>
      <c r="C80" s="110">
        <f t="shared" si="142"/>
        <v>10947</v>
      </c>
      <c r="D80" s="110">
        <f t="shared" si="142"/>
        <v>10952</v>
      </c>
      <c r="E80" s="110">
        <f t="shared" si="142"/>
        <v>10972</v>
      </c>
      <c r="F80" s="110">
        <f t="shared" si="142"/>
        <v>10970</v>
      </c>
      <c r="G80" s="110">
        <f t="shared" si="142"/>
        <v>10965</v>
      </c>
      <c r="H80" s="110">
        <f t="shared" si="142"/>
        <v>10792</v>
      </c>
      <c r="I80" s="110">
        <f t="shared" si="142"/>
        <v>10561</v>
      </c>
      <c r="J80" s="110">
        <f t="shared" si="142"/>
        <v>10564</v>
      </c>
      <c r="K80" s="110">
        <f t="shared" si="142"/>
        <v>10387</v>
      </c>
      <c r="L80" s="110">
        <f t="shared" ref="L80" si="143">SUM(L81:L82)</f>
        <v>10159</v>
      </c>
      <c r="M80" s="110">
        <f t="shared" ref="M80:V80" si="144">SUM(M81:M82)</f>
        <v>10159</v>
      </c>
      <c r="N80" s="110">
        <f t="shared" si="144"/>
        <v>10087</v>
      </c>
      <c r="O80" s="110">
        <f t="shared" si="144"/>
        <v>10021</v>
      </c>
      <c r="P80" s="110">
        <f t="shared" si="144"/>
        <v>10024</v>
      </c>
      <c r="Q80" s="110">
        <f t="shared" si="144"/>
        <v>10195</v>
      </c>
      <c r="R80" s="110">
        <f t="shared" si="144"/>
        <v>10463</v>
      </c>
      <c r="S80" s="110">
        <f t="shared" si="144"/>
        <v>10806</v>
      </c>
      <c r="T80" s="110">
        <f t="shared" si="144"/>
        <v>11082</v>
      </c>
      <c r="U80" s="110">
        <f t="shared" si="144"/>
        <v>11545</v>
      </c>
      <c r="V80" s="110">
        <f t="shared" si="144"/>
        <v>11967</v>
      </c>
      <c r="W80" s="110">
        <f t="shared" ref="W80" si="145">SUM(W81:W82)</f>
        <v>12177</v>
      </c>
      <c r="DA80" s="176" t="s">
        <v>522</v>
      </c>
    </row>
    <row r="81" spans="1:105" ht="11.45" customHeight="1" x14ac:dyDescent="0.25">
      <c r="A81" s="128" t="s">
        <v>27</v>
      </c>
      <c r="B81" s="102">
        <v>10929</v>
      </c>
      <c r="C81" s="102">
        <v>10947</v>
      </c>
      <c r="D81" s="102">
        <v>10952</v>
      </c>
      <c r="E81" s="102">
        <v>10972</v>
      </c>
      <c r="F81" s="102">
        <v>10970</v>
      </c>
      <c r="G81" s="102">
        <v>10965</v>
      </c>
      <c r="H81" s="102">
        <v>10792</v>
      </c>
      <c r="I81" s="102">
        <v>10561</v>
      </c>
      <c r="J81" s="102">
        <v>10564</v>
      </c>
      <c r="K81" s="102">
        <v>10387</v>
      </c>
      <c r="L81" s="102">
        <v>10159</v>
      </c>
      <c r="M81" s="102">
        <v>10159</v>
      </c>
      <c r="N81" s="102">
        <v>10087</v>
      </c>
      <c r="O81" s="102">
        <v>10021</v>
      </c>
      <c r="P81" s="102">
        <v>10024</v>
      </c>
      <c r="Q81" s="102">
        <v>10195</v>
      </c>
      <c r="R81" s="102">
        <v>10463</v>
      </c>
      <c r="S81" s="102">
        <v>10806</v>
      </c>
      <c r="T81" s="102">
        <v>11082</v>
      </c>
      <c r="U81" s="102">
        <v>11545</v>
      </c>
      <c r="V81" s="102">
        <v>11967</v>
      </c>
      <c r="W81" s="102">
        <v>12177</v>
      </c>
      <c r="DA81" s="175" t="s">
        <v>523</v>
      </c>
    </row>
    <row r="82" spans="1:105" ht="11.45" customHeight="1" x14ac:dyDescent="0.25">
      <c r="A82" s="138" t="s">
        <v>116</v>
      </c>
      <c r="B82" s="86">
        <v>0</v>
      </c>
      <c r="C82" s="86">
        <v>0</v>
      </c>
      <c r="D82" s="86">
        <v>0</v>
      </c>
      <c r="E82" s="86">
        <v>0</v>
      </c>
      <c r="F82" s="86">
        <v>0</v>
      </c>
      <c r="G82" s="86">
        <v>0</v>
      </c>
      <c r="H82" s="86">
        <v>0</v>
      </c>
      <c r="I82" s="86">
        <v>0</v>
      </c>
      <c r="J82" s="86">
        <v>0</v>
      </c>
      <c r="K82" s="86">
        <v>0</v>
      </c>
      <c r="L82" s="86">
        <v>0</v>
      </c>
      <c r="M82" s="86">
        <v>0</v>
      </c>
      <c r="N82" s="86">
        <v>0</v>
      </c>
      <c r="O82" s="86">
        <v>0</v>
      </c>
      <c r="P82" s="86">
        <v>0</v>
      </c>
      <c r="Q82" s="86">
        <v>0</v>
      </c>
      <c r="R82" s="86">
        <v>0</v>
      </c>
      <c r="S82" s="86">
        <v>0</v>
      </c>
      <c r="T82" s="86">
        <v>0</v>
      </c>
      <c r="U82" s="86">
        <v>0</v>
      </c>
      <c r="V82" s="86">
        <v>0</v>
      </c>
      <c r="W82" s="86">
        <v>0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235023</v>
      </c>
      <c r="C84" s="54">
        <f t="shared" si="146"/>
        <v>241828</v>
      </c>
      <c r="D84" s="54">
        <f t="shared" ref="D84:V84" si="147">D85+D100</f>
        <v>249013</v>
      </c>
      <c r="E84" s="54">
        <f t="shared" si="147"/>
        <v>256749</v>
      </c>
      <c r="F84" s="54">
        <f t="shared" si="147"/>
        <v>258691</v>
      </c>
      <c r="G84" s="54">
        <f t="shared" si="147"/>
        <v>259262</v>
      </c>
      <c r="H84" s="54">
        <f t="shared" si="147"/>
        <v>266153</v>
      </c>
      <c r="I84" s="54">
        <f t="shared" si="147"/>
        <v>274144</v>
      </c>
      <c r="J84" s="54">
        <f t="shared" si="147"/>
        <v>280622</v>
      </c>
      <c r="K84" s="54">
        <f t="shared" si="147"/>
        <v>286389</v>
      </c>
      <c r="L84" s="54">
        <f t="shared" si="147"/>
        <v>298160</v>
      </c>
      <c r="M84" s="54">
        <f t="shared" si="147"/>
        <v>305338</v>
      </c>
      <c r="N84" s="54">
        <f t="shared" si="147"/>
        <v>308017</v>
      </c>
      <c r="O84" s="54">
        <f t="shared" si="147"/>
        <v>316194</v>
      </c>
      <c r="P84" s="54">
        <f t="shared" si="147"/>
        <v>328093</v>
      </c>
      <c r="Q84" s="54">
        <f t="shared" si="147"/>
        <v>339625</v>
      </c>
      <c r="R84" s="54">
        <f t="shared" si="147"/>
        <v>351394</v>
      </c>
      <c r="S84" s="54">
        <f t="shared" si="147"/>
        <v>364266</v>
      </c>
      <c r="T84" s="54">
        <f t="shared" si="147"/>
        <v>377235</v>
      </c>
      <c r="U84" s="54">
        <f t="shared" si="147"/>
        <v>389219</v>
      </c>
      <c r="V84" s="54">
        <f t="shared" si="147"/>
        <v>394415</v>
      </c>
      <c r="W84" s="54">
        <f t="shared" ref="W84" si="148">W85+W100</f>
        <v>403050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195845</v>
      </c>
      <c r="C85" s="28">
        <f t="shared" si="149"/>
        <v>202671</v>
      </c>
      <c r="D85" s="28">
        <f t="shared" ref="D85:V85" si="150">D86+D87+D94</f>
        <v>209729</v>
      </c>
      <c r="E85" s="28">
        <f t="shared" si="150"/>
        <v>216925</v>
      </c>
      <c r="F85" s="28">
        <f t="shared" si="150"/>
        <v>218922</v>
      </c>
      <c r="G85" s="28">
        <f t="shared" si="150"/>
        <v>219630</v>
      </c>
      <c r="H85" s="28">
        <f t="shared" si="150"/>
        <v>225610</v>
      </c>
      <c r="I85" s="28">
        <f t="shared" si="150"/>
        <v>232706</v>
      </c>
      <c r="J85" s="28">
        <f t="shared" si="150"/>
        <v>238667</v>
      </c>
      <c r="K85" s="28">
        <f t="shared" si="150"/>
        <v>245153</v>
      </c>
      <c r="L85" s="28">
        <f t="shared" si="150"/>
        <v>256841</v>
      </c>
      <c r="M85" s="28">
        <f t="shared" si="150"/>
        <v>264053</v>
      </c>
      <c r="N85" s="28">
        <f t="shared" si="150"/>
        <v>266647</v>
      </c>
      <c r="O85" s="28">
        <f t="shared" si="150"/>
        <v>274246</v>
      </c>
      <c r="P85" s="28">
        <f t="shared" si="150"/>
        <v>285676</v>
      </c>
      <c r="Q85" s="28">
        <f t="shared" si="150"/>
        <v>296341</v>
      </c>
      <c r="R85" s="28">
        <f t="shared" si="150"/>
        <v>307203</v>
      </c>
      <c r="S85" s="28">
        <f t="shared" si="150"/>
        <v>318475</v>
      </c>
      <c r="T85" s="28">
        <f t="shared" si="150"/>
        <v>329582</v>
      </c>
      <c r="U85" s="28">
        <f t="shared" si="150"/>
        <v>339721</v>
      </c>
      <c r="V85" s="28">
        <f t="shared" si="150"/>
        <v>343517</v>
      </c>
      <c r="W85" s="28">
        <f t="shared" ref="W85" si="151">W86+W87+W94</f>
        <v>351423</v>
      </c>
      <c r="DA85" s="173"/>
    </row>
    <row r="86" spans="1:105" ht="11.45" hidden="1" customHeight="1" x14ac:dyDescent="0.25">
      <c r="A86" s="136" t="s">
        <v>180</v>
      </c>
      <c r="B86" s="137">
        <v>12167</v>
      </c>
      <c r="C86" s="137">
        <v>12605</v>
      </c>
      <c r="D86" s="137">
        <v>13097</v>
      </c>
      <c r="E86" s="137">
        <v>13420</v>
      </c>
      <c r="F86" s="137">
        <v>12639</v>
      </c>
      <c r="G86" s="137">
        <v>11905</v>
      </c>
      <c r="H86" s="137">
        <v>12192</v>
      </c>
      <c r="I86" s="137">
        <v>12695</v>
      </c>
      <c r="J86" s="137">
        <v>14310</v>
      </c>
      <c r="K86" s="137">
        <v>14402</v>
      </c>
      <c r="L86" s="137">
        <v>14047</v>
      </c>
      <c r="M86" s="137">
        <v>14758</v>
      </c>
      <c r="N86" s="137">
        <v>15021</v>
      </c>
      <c r="O86" s="137">
        <v>16102</v>
      </c>
      <c r="P86" s="137">
        <v>17555</v>
      </c>
      <c r="Q86" s="137">
        <v>19206</v>
      </c>
      <c r="R86" s="137">
        <v>22286</v>
      </c>
      <c r="S86" s="137">
        <v>24606</v>
      </c>
      <c r="T86" s="137">
        <v>27329</v>
      </c>
      <c r="U86" s="137">
        <v>30316</v>
      </c>
      <c r="V86" s="137">
        <v>32152</v>
      </c>
      <c r="W86" s="137">
        <v>35921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182105</v>
      </c>
      <c r="C87" s="110">
        <f t="shared" si="152"/>
        <v>188495</v>
      </c>
      <c r="D87" s="110">
        <f t="shared" ref="D87:V87" si="153">SUM(D88:D93)</f>
        <v>195055</v>
      </c>
      <c r="E87" s="110">
        <f t="shared" si="153"/>
        <v>201924</v>
      </c>
      <c r="F87" s="110">
        <f t="shared" si="153"/>
        <v>204702</v>
      </c>
      <c r="G87" s="110">
        <f t="shared" si="153"/>
        <v>206148</v>
      </c>
      <c r="H87" s="110">
        <f t="shared" si="153"/>
        <v>211840</v>
      </c>
      <c r="I87" s="110">
        <f t="shared" si="153"/>
        <v>218429</v>
      </c>
      <c r="J87" s="110">
        <f t="shared" si="153"/>
        <v>222775</v>
      </c>
      <c r="K87" s="110">
        <f t="shared" si="153"/>
        <v>229016</v>
      </c>
      <c r="L87" s="110">
        <f t="shared" si="153"/>
        <v>240943</v>
      </c>
      <c r="M87" s="110">
        <f t="shared" si="153"/>
        <v>247539</v>
      </c>
      <c r="N87" s="110">
        <f t="shared" si="153"/>
        <v>249880</v>
      </c>
      <c r="O87" s="110">
        <f t="shared" si="153"/>
        <v>256432</v>
      </c>
      <c r="P87" s="110">
        <f t="shared" si="153"/>
        <v>266326</v>
      </c>
      <c r="Q87" s="110">
        <f t="shared" si="153"/>
        <v>275183</v>
      </c>
      <c r="R87" s="110">
        <f t="shared" si="153"/>
        <v>282921</v>
      </c>
      <c r="S87" s="110">
        <f t="shared" si="153"/>
        <v>291799</v>
      </c>
      <c r="T87" s="110">
        <f t="shared" si="153"/>
        <v>300141</v>
      </c>
      <c r="U87" s="110">
        <f t="shared" si="153"/>
        <v>307130</v>
      </c>
      <c r="V87" s="110">
        <f t="shared" si="153"/>
        <v>309143</v>
      </c>
      <c r="W87" s="110">
        <f t="shared" ref="W87" si="154">SUM(W88:W93)</f>
        <v>313177</v>
      </c>
      <c r="DA87" s="176"/>
    </row>
    <row r="88" spans="1:105" ht="11.45" hidden="1" customHeight="1" x14ac:dyDescent="0.25">
      <c r="A88" s="111" t="s">
        <v>110</v>
      </c>
      <c r="B88" s="84">
        <v>155927</v>
      </c>
      <c r="C88" s="84">
        <v>159509</v>
      </c>
      <c r="D88" s="84">
        <v>164132</v>
      </c>
      <c r="E88" s="84">
        <v>169534</v>
      </c>
      <c r="F88" s="84">
        <v>171445</v>
      </c>
      <c r="G88" s="84">
        <v>172297</v>
      </c>
      <c r="H88" s="84">
        <v>177080</v>
      </c>
      <c r="I88" s="84">
        <v>182663</v>
      </c>
      <c r="J88" s="84">
        <v>186088</v>
      </c>
      <c r="K88" s="84">
        <v>190756</v>
      </c>
      <c r="L88" s="84">
        <v>173252</v>
      </c>
      <c r="M88" s="84">
        <v>175812</v>
      </c>
      <c r="N88" s="84">
        <v>175215</v>
      </c>
      <c r="O88" s="84">
        <v>178079</v>
      </c>
      <c r="P88" s="84">
        <v>183303</v>
      </c>
      <c r="Q88" s="84">
        <v>188764</v>
      </c>
      <c r="R88" s="84">
        <v>192308</v>
      </c>
      <c r="S88" s="84">
        <v>197670</v>
      </c>
      <c r="T88" s="84">
        <v>202972</v>
      </c>
      <c r="U88" s="84">
        <v>206457</v>
      </c>
      <c r="V88" s="84">
        <v>207150</v>
      </c>
      <c r="W88" s="84">
        <v>211174</v>
      </c>
      <c r="DA88" s="171"/>
    </row>
    <row r="89" spans="1:105" ht="11.45" hidden="1" customHeight="1" x14ac:dyDescent="0.25">
      <c r="A89" s="111" t="s">
        <v>111</v>
      </c>
      <c r="B89" s="84">
        <v>26178</v>
      </c>
      <c r="C89" s="84">
        <v>28986</v>
      </c>
      <c r="D89" s="84">
        <v>30923</v>
      </c>
      <c r="E89" s="84">
        <v>32381</v>
      </c>
      <c r="F89" s="84">
        <v>33244</v>
      </c>
      <c r="G89" s="84">
        <v>33836</v>
      </c>
      <c r="H89" s="84">
        <v>34743</v>
      </c>
      <c r="I89" s="84">
        <v>35739</v>
      </c>
      <c r="J89" s="84">
        <v>36657</v>
      </c>
      <c r="K89" s="84">
        <v>38227</v>
      </c>
      <c r="L89" s="84">
        <v>67467</v>
      </c>
      <c r="M89" s="84">
        <v>71474</v>
      </c>
      <c r="N89" s="84">
        <v>74345</v>
      </c>
      <c r="O89" s="84">
        <v>77854</v>
      </c>
      <c r="P89" s="84">
        <v>82144</v>
      </c>
      <c r="Q89" s="84">
        <v>85178</v>
      </c>
      <c r="R89" s="84">
        <v>87418</v>
      </c>
      <c r="S89" s="84">
        <v>91687</v>
      </c>
      <c r="T89" s="84">
        <v>94771</v>
      </c>
      <c r="U89" s="84">
        <v>96973</v>
      </c>
      <c r="V89" s="84">
        <v>97398</v>
      </c>
      <c r="W89" s="84">
        <v>96769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2000</v>
      </c>
      <c r="S90" s="84">
        <v>1200</v>
      </c>
      <c r="T90" s="84">
        <v>950</v>
      </c>
      <c r="U90" s="84">
        <v>1400</v>
      </c>
      <c r="V90" s="84">
        <v>1300</v>
      </c>
      <c r="W90" s="84">
        <v>1200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188</v>
      </c>
      <c r="M92" s="84">
        <v>223</v>
      </c>
      <c r="N92" s="84">
        <v>282</v>
      </c>
      <c r="O92" s="84">
        <v>450</v>
      </c>
      <c r="P92" s="84">
        <v>792</v>
      </c>
      <c r="Q92" s="84">
        <v>1127</v>
      </c>
      <c r="R92" s="84">
        <v>1064</v>
      </c>
      <c r="S92" s="84">
        <v>1064</v>
      </c>
      <c r="T92" s="84">
        <v>1134</v>
      </c>
      <c r="U92" s="84">
        <v>1172</v>
      </c>
      <c r="V92" s="84">
        <v>1361</v>
      </c>
      <c r="W92" s="84">
        <v>1990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9</v>
      </c>
      <c r="F93" s="84">
        <v>13</v>
      </c>
      <c r="G93" s="84">
        <v>15</v>
      </c>
      <c r="H93" s="84">
        <v>17</v>
      </c>
      <c r="I93" s="84">
        <v>27</v>
      </c>
      <c r="J93" s="84">
        <v>30</v>
      </c>
      <c r="K93" s="84">
        <v>33</v>
      </c>
      <c r="L93" s="84">
        <v>36</v>
      </c>
      <c r="M93" s="84">
        <v>30</v>
      </c>
      <c r="N93" s="84">
        <v>38</v>
      </c>
      <c r="O93" s="84">
        <v>49</v>
      </c>
      <c r="P93" s="84">
        <v>87</v>
      </c>
      <c r="Q93" s="84">
        <v>114</v>
      </c>
      <c r="R93" s="84">
        <v>131</v>
      </c>
      <c r="S93" s="84">
        <v>178</v>
      </c>
      <c r="T93" s="84">
        <v>314</v>
      </c>
      <c r="U93" s="84">
        <v>1128</v>
      </c>
      <c r="V93" s="84">
        <v>1934</v>
      </c>
      <c r="W93" s="84">
        <v>2044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1573</v>
      </c>
      <c r="C94" s="110">
        <f t="shared" si="155"/>
        <v>1571</v>
      </c>
      <c r="D94" s="110">
        <f t="shared" ref="D94:V94" si="156">SUM(D95:D99)</f>
        <v>1577</v>
      </c>
      <c r="E94" s="110">
        <f t="shared" si="156"/>
        <v>1581</v>
      </c>
      <c r="F94" s="110">
        <f t="shared" si="156"/>
        <v>1581</v>
      </c>
      <c r="G94" s="110">
        <f t="shared" si="156"/>
        <v>1577</v>
      </c>
      <c r="H94" s="110">
        <f t="shared" si="156"/>
        <v>1578</v>
      </c>
      <c r="I94" s="110">
        <f t="shared" si="156"/>
        <v>1582</v>
      </c>
      <c r="J94" s="110">
        <f t="shared" si="156"/>
        <v>1582</v>
      </c>
      <c r="K94" s="110">
        <f t="shared" si="156"/>
        <v>1735</v>
      </c>
      <c r="L94" s="110">
        <f t="shared" si="156"/>
        <v>1851</v>
      </c>
      <c r="M94" s="110">
        <f t="shared" si="156"/>
        <v>1756</v>
      </c>
      <c r="N94" s="110">
        <f t="shared" si="156"/>
        <v>1746</v>
      </c>
      <c r="O94" s="110">
        <f t="shared" si="156"/>
        <v>1712</v>
      </c>
      <c r="P94" s="110">
        <f t="shared" si="156"/>
        <v>1795</v>
      </c>
      <c r="Q94" s="110">
        <f t="shared" si="156"/>
        <v>1952</v>
      </c>
      <c r="R94" s="110">
        <f t="shared" si="156"/>
        <v>1996</v>
      </c>
      <c r="S94" s="110">
        <f t="shared" si="156"/>
        <v>2070</v>
      </c>
      <c r="T94" s="110">
        <f t="shared" si="156"/>
        <v>2112</v>
      </c>
      <c r="U94" s="110">
        <f t="shared" si="156"/>
        <v>2275</v>
      </c>
      <c r="V94" s="110">
        <f t="shared" si="156"/>
        <v>2222</v>
      </c>
      <c r="W94" s="110">
        <f t="shared" ref="W94" si="157">SUM(W95:W99)</f>
        <v>2325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18</v>
      </c>
      <c r="M95" s="102">
        <v>15</v>
      </c>
      <c r="N95" s="102">
        <v>14</v>
      </c>
      <c r="O95" s="102">
        <v>13</v>
      </c>
      <c r="P95" s="102">
        <v>12</v>
      </c>
      <c r="Q95" s="102">
        <v>10</v>
      </c>
      <c r="R95" s="102">
        <v>10</v>
      </c>
      <c r="S95" s="102">
        <v>10</v>
      </c>
      <c r="T95" s="102">
        <v>11</v>
      </c>
      <c r="U95" s="102">
        <v>13</v>
      </c>
      <c r="V95" s="102">
        <v>11</v>
      </c>
      <c r="W95" s="102">
        <v>12</v>
      </c>
      <c r="DA95" s="175"/>
    </row>
    <row r="96" spans="1:105" ht="11.45" hidden="1" customHeight="1" x14ac:dyDescent="0.25">
      <c r="A96" s="111" t="s">
        <v>111</v>
      </c>
      <c r="B96" s="102">
        <v>1573</v>
      </c>
      <c r="C96" s="102">
        <v>1571</v>
      </c>
      <c r="D96" s="102">
        <v>1577</v>
      </c>
      <c r="E96" s="102">
        <v>1581</v>
      </c>
      <c r="F96" s="102">
        <v>1581</v>
      </c>
      <c r="G96" s="102">
        <v>1577</v>
      </c>
      <c r="H96" s="102">
        <v>1578</v>
      </c>
      <c r="I96" s="102">
        <v>1582</v>
      </c>
      <c r="J96" s="102">
        <v>1582</v>
      </c>
      <c r="K96" s="102">
        <v>1735</v>
      </c>
      <c r="L96" s="102">
        <v>1833</v>
      </c>
      <c r="M96" s="102">
        <v>1741</v>
      </c>
      <c r="N96" s="102">
        <v>1732</v>
      </c>
      <c r="O96" s="102">
        <v>1699</v>
      </c>
      <c r="P96" s="102">
        <v>1783</v>
      </c>
      <c r="Q96" s="102">
        <v>1942</v>
      </c>
      <c r="R96" s="102">
        <v>1986</v>
      </c>
      <c r="S96" s="102">
        <v>2060</v>
      </c>
      <c r="T96" s="102">
        <v>2093</v>
      </c>
      <c r="U96" s="102">
        <v>2252</v>
      </c>
      <c r="V96" s="102">
        <v>2200</v>
      </c>
      <c r="W96" s="102">
        <v>2301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0</v>
      </c>
      <c r="R99" s="102">
        <v>0</v>
      </c>
      <c r="S99" s="102">
        <v>0</v>
      </c>
      <c r="T99" s="102">
        <v>8</v>
      </c>
      <c r="U99" s="102">
        <v>10</v>
      </c>
      <c r="V99" s="102">
        <v>11</v>
      </c>
      <c r="W99" s="102">
        <v>12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39178</v>
      </c>
      <c r="C100" s="28">
        <f t="shared" si="158"/>
        <v>39157</v>
      </c>
      <c r="D100" s="28">
        <f t="shared" ref="D100:V100" si="159">D101+D107</f>
        <v>39284</v>
      </c>
      <c r="E100" s="28">
        <f t="shared" si="159"/>
        <v>39824</v>
      </c>
      <c r="F100" s="28">
        <f t="shared" si="159"/>
        <v>39769</v>
      </c>
      <c r="G100" s="28">
        <f t="shared" si="159"/>
        <v>39632</v>
      </c>
      <c r="H100" s="28">
        <f t="shared" si="159"/>
        <v>40543</v>
      </c>
      <c r="I100" s="28">
        <f t="shared" si="159"/>
        <v>41438</v>
      </c>
      <c r="J100" s="28">
        <f t="shared" si="159"/>
        <v>41955</v>
      </c>
      <c r="K100" s="28">
        <f t="shared" si="159"/>
        <v>41236</v>
      </c>
      <c r="L100" s="28">
        <f t="shared" si="159"/>
        <v>41319</v>
      </c>
      <c r="M100" s="28">
        <f t="shared" si="159"/>
        <v>41285</v>
      </c>
      <c r="N100" s="28">
        <f t="shared" si="159"/>
        <v>41370</v>
      </c>
      <c r="O100" s="28">
        <f t="shared" si="159"/>
        <v>41948</v>
      </c>
      <c r="P100" s="28">
        <f t="shared" si="159"/>
        <v>42417</v>
      </c>
      <c r="Q100" s="28">
        <f t="shared" si="159"/>
        <v>43284</v>
      </c>
      <c r="R100" s="28">
        <f t="shared" si="159"/>
        <v>44191</v>
      </c>
      <c r="S100" s="28">
        <f t="shared" si="159"/>
        <v>45791</v>
      </c>
      <c r="T100" s="28">
        <f t="shared" si="159"/>
        <v>47653</v>
      </c>
      <c r="U100" s="28">
        <f t="shared" si="159"/>
        <v>49498</v>
      </c>
      <c r="V100" s="28">
        <f t="shared" si="159"/>
        <v>50898</v>
      </c>
      <c r="W100" s="28">
        <f t="shared" ref="W100" si="160">W101+W107</f>
        <v>51627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28249</v>
      </c>
      <c r="C101" s="137">
        <f t="shared" si="161"/>
        <v>28210</v>
      </c>
      <c r="D101" s="137">
        <f t="shared" ref="D101:V101" si="162">SUM(D102:D106)</f>
        <v>28332</v>
      </c>
      <c r="E101" s="137">
        <f t="shared" si="162"/>
        <v>28852</v>
      </c>
      <c r="F101" s="137">
        <f t="shared" si="162"/>
        <v>28799</v>
      </c>
      <c r="G101" s="137">
        <f t="shared" si="162"/>
        <v>28667</v>
      </c>
      <c r="H101" s="137">
        <f t="shared" si="162"/>
        <v>29751</v>
      </c>
      <c r="I101" s="137">
        <f t="shared" si="162"/>
        <v>30877</v>
      </c>
      <c r="J101" s="137">
        <f t="shared" si="162"/>
        <v>31391</v>
      </c>
      <c r="K101" s="137">
        <f t="shared" si="162"/>
        <v>30849</v>
      </c>
      <c r="L101" s="137">
        <f t="shared" si="162"/>
        <v>31160</v>
      </c>
      <c r="M101" s="137">
        <f t="shared" si="162"/>
        <v>31126</v>
      </c>
      <c r="N101" s="137">
        <f t="shared" si="162"/>
        <v>31283</v>
      </c>
      <c r="O101" s="137">
        <f t="shared" si="162"/>
        <v>31927</v>
      </c>
      <c r="P101" s="137">
        <f t="shared" si="162"/>
        <v>32393</v>
      </c>
      <c r="Q101" s="137">
        <f t="shared" si="162"/>
        <v>33089</v>
      </c>
      <c r="R101" s="137">
        <f t="shared" si="162"/>
        <v>33728</v>
      </c>
      <c r="S101" s="137">
        <f t="shared" si="162"/>
        <v>34985</v>
      </c>
      <c r="T101" s="137">
        <f t="shared" si="162"/>
        <v>36571</v>
      </c>
      <c r="U101" s="137">
        <f t="shared" si="162"/>
        <v>37953</v>
      </c>
      <c r="V101" s="137">
        <f t="shared" si="162"/>
        <v>38931</v>
      </c>
      <c r="W101" s="137">
        <f t="shared" ref="W101" si="163">SUM(W102:W106)</f>
        <v>39450</v>
      </c>
      <c r="DA101" s="174"/>
    </row>
    <row r="102" spans="1:105" ht="11.45" hidden="1" customHeight="1" x14ac:dyDescent="0.25">
      <c r="A102" s="111" t="s">
        <v>110</v>
      </c>
      <c r="B102" s="84">
        <v>1661</v>
      </c>
      <c r="C102" s="84">
        <v>1702</v>
      </c>
      <c r="D102" s="84">
        <v>1664</v>
      </c>
      <c r="E102" s="84">
        <v>1649</v>
      </c>
      <c r="F102" s="84">
        <v>1602</v>
      </c>
      <c r="G102" s="84">
        <v>1553</v>
      </c>
      <c r="H102" s="84">
        <v>1569</v>
      </c>
      <c r="I102" s="84">
        <v>1585</v>
      </c>
      <c r="J102" s="84">
        <v>1568</v>
      </c>
      <c r="K102" s="84">
        <v>1500</v>
      </c>
      <c r="L102" s="84">
        <v>1475</v>
      </c>
      <c r="M102" s="84">
        <v>1389</v>
      </c>
      <c r="N102" s="84">
        <v>1278</v>
      </c>
      <c r="O102" s="84">
        <v>1275</v>
      </c>
      <c r="P102" s="84">
        <v>1258</v>
      </c>
      <c r="Q102" s="84">
        <v>1226</v>
      </c>
      <c r="R102" s="84">
        <v>1201</v>
      </c>
      <c r="S102" s="84">
        <v>1170</v>
      </c>
      <c r="T102" s="84">
        <v>1171</v>
      </c>
      <c r="U102" s="84">
        <v>1210</v>
      </c>
      <c r="V102" s="84">
        <v>1224</v>
      </c>
      <c r="W102" s="84">
        <v>1313</v>
      </c>
      <c r="DA102" s="171"/>
    </row>
    <row r="103" spans="1:105" ht="11.45" hidden="1" customHeight="1" x14ac:dyDescent="0.25">
      <c r="A103" s="111" t="s">
        <v>111</v>
      </c>
      <c r="B103" s="84">
        <v>26588</v>
      </c>
      <c r="C103" s="84">
        <v>26508</v>
      </c>
      <c r="D103" s="84">
        <v>26668</v>
      </c>
      <c r="E103" s="84">
        <v>27203</v>
      </c>
      <c r="F103" s="84">
        <v>27197</v>
      </c>
      <c r="G103" s="84">
        <v>27114</v>
      </c>
      <c r="H103" s="84">
        <v>28182</v>
      </c>
      <c r="I103" s="84">
        <v>29292</v>
      </c>
      <c r="J103" s="84">
        <v>29819</v>
      </c>
      <c r="K103" s="84">
        <v>29345</v>
      </c>
      <c r="L103" s="84">
        <v>29680</v>
      </c>
      <c r="M103" s="84">
        <v>29731</v>
      </c>
      <c r="N103" s="84">
        <v>29999</v>
      </c>
      <c r="O103" s="84">
        <v>30634</v>
      </c>
      <c r="P103" s="84">
        <v>31117</v>
      </c>
      <c r="Q103" s="84">
        <v>31843</v>
      </c>
      <c r="R103" s="84">
        <v>32505</v>
      </c>
      <c r="S103" s="84">
        <v>33791</v>
      </c>
      <c r="T103" s="84">
        <v>35376</v>
      </c>
      <c r="U103" s="84">
        <v>36614</v>
      </c>
      <c r="V103" s="84">
        <v>37573</v>
      </c>
      <c r="W103" s="84">
        <v>37997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2</v>
      </c>
      <c r="T104" s="84">
        <v>2</v>
      </c>
      <c r="U104" s="84">
        <v>4</v>
      </c>
      <c r="V104" s="84">
        <v>4</v>
      </c>
      <c r="W104" s="84">
        <v>4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4</v>
      </c>
      <c r="K106" s="84">
        <v>4</v>
      </c>
      <c r="L106" s="84">
        <v>5</v>
      </c>
      <c r="M106" s="84">
        <v>6</v>
      </c>
      <c r="N106" s="84">
        <v>6</v>
      </c>
      <c r="O106" s="84">
        <v>18</v>
      </c>
      <c r="P106" s="84">
        <v>18</v>
      </c>
      <c r="Q106" s="84">
        <v>20</v>
      </c>
      <c r="R106" s="84">
        <v>22</v>
      </c>
      <c r="S106" s="84">
        <v>22</v>
      </c>
      <c r="T106" s="84">
        <v>22</v>
      </c>
      <c r="U106" s="84">
        <v>125</v>
      </c>
      <c r="V106" s="84">
        <v>130</v>
      </c>
      <c r="W106" s="84">
        <v>136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10929</v>
      </c>
      <c r="C107" s="110">
        <f t="shared" si="164"/>
        <v>10947</v>
      </c>
      <c r="D107" s="110">
        <f t="shared" ref="D107:V107" si="165">SUM(D108:D109)</f>
        <v>10952</v>
      </c>
      <c r="E107" s="110">
        <f t="shared" si="165"/>
        <v>10972</v>
      </c>
      <c r="F107" s="110">
        <f t="shared" si="165"/>
        <v>10970</v>
      </c>
      <c r="G107" s="110">
        <f t="shared" si="165"/>
        <v>10965</v>
      </c>
      <c r="H107" s="110">
        <f t="shared" si="165"/>
        <v>10792</v>
      </c>
      <c r="I107" s="110">
        <f t="shared" si="165"/>
        <v>10561</v>
      </c>
      <c r="J107" s="110">
        <f t="shared" si="165"/>
        <v>10564</v>
      </c>
      <c r="K107" s="110">
        <f t="shared" si="165"/>
        <v>10387</v>
      </c>
      <c r="L107" s="110">
        <f t="shared" si="165"/>
        <v>10159</v>
      </c>
      <c r="M107" s="110">
        <f t="shared" si="165"/>
        <v>10159</v>
      </c>
      <c r="N107" s="110">
        <f t="shared" si="165"/>
        <v>10087</v>
      </c>
      <c r="O107" s="110">
        <f t="shared" si="165"/>
        <v>10021</v>
      </c>
      <c r="P107" s="110">
        <f t="shared" si="165"/>
        <v>10024</v>
      </c>
      <c r="Q107" s="110">
        <f t="shared" si="165"/>
        <v>10195</v>
      </c>
      <c r="R107" s="110">
        <f t="shared" si="165"/>
        <v>10463</v>
      </c>
      <c r="S107" s="110">
        <f t="shared" si="165"/>
        <v>10806</v>
      </c>
      <c r="T107" s="110">
        <f t="shared" si="165"/>
        <v>11082</v>
      </c>
      <c r="U107" s="110">
        <f t="shared" si="165"/>
        <v>11545</v>
      </c>
      <c r="V107" s="110">
        <f t="shared" si="165"/>
        <v>11967</v>
      </c>
      <c r="W107" s="110">
        <f t="shared" ref="W107" si="166">SUM(W108:W109)</f>
        <v>12177</v>
      </c>
      <c r="DA107" s="176"/>
    </row>
    <row r="108" spans="1:105" ht="11.45" hidden="1" customHeight="1" x14ac:dyDescent="0.25">
      <c r="A108" s="128" t="s">
        <v>27</v>
      </c>
      <c r="B108" s="102">
        <v>10929</v>
      </c>
      <c r="C108" s="102">
        <v>10947</v>
      </c>
      <c r="D108" s="102">
        <v>10952</v>
      </c>
      <c r="E108" s="102">
        <v>10972</v>
      </c>
      <c r="F108" s="102">
        <v>10970</v>
      </c>
      <c r="G108" s="102">
        <v>10965</v>
      </c>
      <c r="H108" s="102">
        <v>10792</v>
      </c>
      <c r="I108" s="102">
        <v>10561</v>
      </c>
      <c r="J108" s="102">
        <v>10564</v>
      </c>
      <c r="K108" s="102">
        <v>10387</v>
      </c>
      <c r="L108" s="102">
        <v>10159</v>
      </c>
      <c r="M108" s="102">
        <v>10159</v>
      </c>
      <c r="N108" s="102">
        <v>10087</v>
      </c>
      <c r="O108" s="102">
        <v>10021</v>
      </c>
      <c r="P108" s="102">
        <v>10024</v>
      </c>
      <c r="Q108" s="102">
        <v>10195</v>
      </c>
      <c r="R108" s="102">
        <v>10463</v>
      </c>
      <c r="S108" s="102">
        <v>10806</v>
      </c>
      <c r="T108" s="102">
        <v>11082</v>
      </c>
      <c r="U108" s="102">
        <v>11545</v>
      </c>
      <c r="V108" s="102">
        <v>11967</v>
      </c>
      <c r="W108" s="102">
        <v>12177</v>
      </c>
      <c r="DA108" s="175"/>
    </row>
    <row r="109" spans="1:105" ht="11.45" hidden="1" customHeight="1" x14ac:dyDescent="0.25">
      <c r="A109" s="138" t="s">
        <v>116</v>
      </c>
      <c r="B109" s="86">
        <v>0</v>
      </c>
      <c r="C109" s="86">
        <v>0</v>
      </c>
      <c r="D109" s="86">
        <v>0</v>
      </c>
      <c r="E109" s="86">
        <v>0</v>
      </c>
      <c r="F109" s="86">
        <v>0</v>
      </c>
      <c r="G109" s="86">
        <v>0</v>
      </c>
      <c r="H109" s="86">
        <v>0</v>
      </c>
      <c r="I109" s="86">
        <v>0</v>
      </c>
      <c r="J109" s="86">
        <v>0</v>
      </c>
      <c r="K109" s="86">
        <v>0</v>
      </c>
      <c r="L109" s="86">
        <v>0</v>
      </c>
      <c r="M109" s="86">
        <v>0</v>
      </c>
      <c r="N109" s="86">
        <v>0</v>
      </c>
      <c r="O109" s="86">
        <v>0</v>
      </c>
      <c r="P109" s="86">
        <v>0</v>
      </c>
      <c r="Q109" s="86">
        <v>0</v>
      </c>
      <c r="R109" s="86">
        <v>0</v>
      </c>
      <c r="S109" s="86">
        <v>0</v>
      </c>
      <c r="T109" s="86">
        <v>0</v>
      </c>
      <c r="U109" s="86">
        <v>0</v>
      </c>
      <c r="V109" s="86">
        <v>0</v>
      </c>
      <c r="W109" s="86">
        <v>0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14060</v>
      </c>
      <c r="C111" s="54">
        <f t="shared" si="167"/>
        <v>15734</v>
      </c>
      <c r="D111" s="54">
        <f t="shared" si="167"/>
        <v>16776</v>
      </c>
      <c r="E111" s="54">
        <f t="shared" si="167"/>
        <v>13450</v>
      </c>
      <c r="F111" s="54">
        <f t="shared" si="167"/>
        <v>9150</v>
      </c>
      <c r="G111" s="54">
        <f t="shared" si="167"/>
        <v>13043</v>
      </c>
      <c r="H111" s="54">
        <f t="shared" si="167"/>
        <v>19157</v>
      </c>
      <c r="I111" s="54">
        <f t="shared" si="167"/>
        <v>18843</v>
      </c>
      <c r="J111" s="54">
        <f t="shared" si="167"/>
        <v>17839</v>
      </c>
      <c r="K111" s="54">
        <f t="shared" si="167"/>
        <v>19433</v>
      </c>
      <c r="L111" s="54">
        <f t="shared" ref="L111" si="168">L112+L127</f>
        <v>43259</v>
      </c>
      <c r="M111" s="54">
        <f t="shared" ref="M111:V111" si="169">M112+M127</f>
        <v>20070</v>
      </c>
      <c r="N111" s="54">
        <f t="shared" si="169"/>
        <v>17275</v>
      </c>
      <c r="O111" s="54">
        <f t="shared" si="169"/>
        <v>18472</v>
      </c>
      <c r="P111" s="54">
        <f t="shared" si="169"/>
        <v>20967</v>
      </c>
      <c r="Q111" s="54">
        <f t="shared" si="169"/>
        <v>18693</v>
      </c>
      <c r="R111" s="54">
        <f t="shared" si="169"/>
        <v>21804</v>
      </c>
      <c r="S111" s="54">
        <f t="shared" si="169"/>
        <v>22861</v>
      </c>
      <c r="T111" s="54">
        <f t="shared" si="169"/>
        <v>23676</v>
      </c>
      <c r="U111" s="54">
        <f t="shared" si="169"/>
        <v>23395</v>
      </c>
      <c r="V111" s="54">
        <f t="shared" si="169"/>
        <v>17758</v>
      </c>
      <c r="W111" s="54">
        <f t="shared" ref="W111" si="170">W112+W127</f>
        <v>26933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13776</v>
      </c>
      <c r="C112" s="28">
        <f t="shared" si="171"/>
        <v>14003</v>
      </c>
      <c r="D112" s="28">
        <f t="shared" si="171"/>
        <v>14627</v>
      </c>
      <c r="E112" s="28">
        <f t="shared" si="171"/>
        <v>10630</v>
      </c>
      <c r="F112" s="28">
        <f t="shared" si="171"/>
        <v>6691</v>
      </c>
      <c r="G112" s="28">
        <f t="shared" si="171"/>
        <v>10453</v>
      </c>
      <c r="H112" s="28">
        <f t="shared" si="171"/>
        <v>15345</v>
      </c>
      <c r="I112" s="28">
        <f t="shared" si="171"/>
        <v>14902</v>
      </c>
      <c r="J112" s="28">
        <f t="shared" si="171"/>
        <v>14155</v>
      </c>
      <c r="K112" s="28">
        <f t="shared" si="171"/>
        <v>16923</v>
      </c>
      <c r="L112" s="28">
        <f t="shared" ref="L112" si="172">L113+L114+L121</f>
        <v>40151</v>
      </c>
      <c r="M112" s="28">
        <f t="shared" ref="M112:V112" si="173">M113+M114+M121</f>
        <v>17259</v>
      </c>
      <c r="N112" s="28">
        <f t="shared" si="173"/>
        <v>14234</v>
      </c>
      <c r="O112" s="28">
        <f t="shared" si="173"/>
        <v>14953</v>
      </c>
      <c r="P112" s="28">
        <f t="shared" si="173"/>
        <v>17590</v>
      </c>
      <c r="Q112" s="28">
        <f t="shared" si="173"/>
        <v>14975</v>
      </c>
      <c r="R112" s="28">
        <f t="shared" si="173"/>
        <v>18073</v>
      </c>
      <c r="S112" s="28">
        <f t="shared" si="173"/>
        <v>18310</v>
      </c>
      <c r="T112" s="28">
        <f t="shared" si="173"/>
        <v>18886</v>
      </c>
      <c r="U112" s="28">
        <f t="shared" si="173"/>
        <v>18624</v>
      </c>
      <c r="V112" s="28">
        <f t="shared" si="173"/>
        <v>13789</v>
      </c>
      <c r="W112" s="28">
        <f t="shared" ref="W112" si="174">W113+W114+W121</f>
        <v>23443</v>
      </c>
      <c r="DA112" s="173" t="s">
        <v>526</v>
      </c>
    </row>
    <row r="113" spans="1:105" ht="11.45" customHeight="1" x14ac:dyDescent="0.25">
      <c r="A113" s="136" t="s">
        <v>180</v>
      </c>
      <c r="B113" s="137">
        <v>721</v>
      </c>
      <c r="C113" s="137">
        <v>738</v>
      </c>
      <c r="D113" s="137">
        <v>786</v>
      </c>
      <c r="E113" s="137">
        <v>706</v>
      </c>
      <c r="F113" s="137">
        <v>473</v>
      </c>
      <c r="G113" s="137">
        <v>425</v>
      </c>
      <c r="H113" s="137">
        <v>576</v>
      </c>
      <c r="I113" s="137">
        <v>721</v>
      </c>
      <c r="J113" s="137">
        <v>1615</v>
      </c>
      <c r="K113" s="137">
        <v>988</v>
      </c>
      <c r="L113" s="137">
        <v>949</v>
      </c>
      <c r="M113" s="137">
        <v>1099</v>
      </c>
      <c r="N113" s="137">
        <v>1163</v>
      </c>
      <c r="O113" s="137">
        <v>1400</v>
      </c>
      <c r="P113" s="137">
        <v>1740</v>
      </c>
      <c r="Q113" s="137">
        <v>2174</v>
      </c>
      <c r="R113" s="137">
        <v>3428</v>
      </c>
      <c r="S113" s="137">
        <v>2930</v>
      </c>
      <c r="T113" s="137">
        <v>3092</v>
      </c>
      <c r="U113" s="137">
        <v>3351</v>
      </c>
      <c r="V113" s="137">
        <v>2373</v>
      </c>
      <c r="W113" s="137">
        <v>4251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13055</v>
      </c>
      <c r="C114" s="110">
        <f t="shared" si="175"/>
        <v>13265</v>
      </c>
      <c r="D114" s="110">
        <f t="shared" si="175"/>
        <v>13835</v>
      </c>
      <c r="E114" s="110">
        <f t="shared" si="175"/>
        <v>9920</v>
      </c>
      <c r="F114" s="110">
        <f t="shared" si="175"/>
        <v>6218</v>
      </c>
      <c r="G114" s="110">
        <f t="shared" si="175"/>
        <v>10024</v>
      </c>
      <c r="H114" s="110">
        <f t="shared" si="175"/>
        <v>14767</v>
      </c>
      <c r="I114" s="110">
        <f t="shared" si="175"/>
        <v>14173</v>
      </c>
      <c r="J114" s="110">
        <f t="shared" si="175"/>
        <v>12531</v>
      </c>
      <c r="K114" s="110">
        <f t="shared" si="175"/>
        <v>15782</v>
      </c>
      <c r="L114" s="110">
        <f t="shared" ref="L114" si="176">SUM(L115:L120)</f>
        <v>39086</v>
      </c>
      <c r="M114" s="110">
        <f t="shared" ref="M114:V114" si="177">SUM(M115:M120)</f>
        <v>15854</v>
      </c>
      <c r="N114" s="110">
        <f t="shared" si="177"/>
        <v>13026</v>
      </c>
      <c r="O114" s="110">
        <f t="shared" si="177"/>
        <v>13530</v>
      </c>
      <c r="P114" s="110">
        <f t="shared" si="177"/>
        <v>15766</v>
      </c>
      <c r="Q114" s="110">
        <f t="shared" si="177"/>
        <v>12608</v>
      </c>
      <c r="R114" s="110">
        <f t="shared" si="177"/>
        <v>14517</v>
      </c>
      <c r="S114" s="110">
        <f t="shared" si="177"/>
        <v>15306</v>
      </c>
      <c r="T114" s="110">
        <f t="shared" si="177"/>
        <v>15752</v>
      </c>
      <c r="U114" s="110">
        <f t="shared" si="177"/>
        <v>15110</v>
      </c>
      <c r="V114" s="110">
        <f t="shared" si="177"/>
        <v>11268</v>
      </c>
      <c r="W114" s="110">
        <f t="shared" ref="W114" si="178">SUM(W115:W120)</f>
        <v>19083</v>
      </c>
      <c r="DA114" s="176" t="s">
        <v>528</v>
      </c>
    </row>
    <row r="115" spans="1:105" ht="11.45" customHeight="1" x14ac:dyDescent="0.25">
      <c r="A115" s="111" t="s">
        <v>110</v>
      </c>
      <c r="B115" s="84">
        <v>6853</v>
      </c>
      <c r="C115" s="84">
        <v>7838</v>
      </c>
      <c r="D115" s="84">
        <v>8426</v>
      </c>
      <c r="E115" s="84">
        <v>7110</v>
      </c>
      <c r="F115" s="84">
        <v>4795</v>
      </c>
      <c r="G115" s="84">
        <v>8276</v>
      </c>
      <c r="H115" s="84">
        <v>13134</v>
      </c>
      <c r="I115" s="84">
        <v>12514</v>
      </c>
      <c r="J115" s="84">
        <v>11087</v>
      </c>
      <c r="K115" s="84">
        <v>12354</v>
      </c>
      <c r="L115" s="84">
        <v>9655</v>
      </c>
      <c r="M115" s="84">
        <v>9791</v>
      </c>
      <c r="N115" s="84">
        <v>7671</v>
      </c>
      <c r="O115" s="84">
        <v>8075</v>
      </c>
      <c r="P115" s="84">
        <v>9614</v>
      </c>
      <c r="Q115" s="84">
        <v>9207</v>
      </c>
      <c r="R115" s="84">
        <v>7565</v>
      </c>
      <c r="S115" s="84">
        <v>9047</v>
      </c>
      <c r="T115" s="84">
        <v>9680</v>
      </c>
      <c r="U115" s="84">
        <v>8679</v>
      </c>
      <c r="V115" s="84">
        <v>6491</v>
      </c>
      <c r="W115" s="84">
        <v>14442</v>
      </c>
      <c r="DA115" s="171" t="s">
        <v>529</v>
      </c>
    </row>
    <row r="116" spans="1:105" ht="11.45" customHeight="1" x14ac:dyDescent="0.25">
      <c r="A116" s="111" t="s">
        <v>111</v>
      </c>
      <c r="B116" s="84">
        <v>6202</v>
      </c>
      <c r="C116" s="84">
        <v>5427</v>
      </c>
      <c r="D116" s="84">
        <v>5409</v>
      </c>
      <c r="E116" s="84">
        <v>2801</v>
      </c>
      <c r="F116" s="84">
        <v>1419</v>
      </c>
      <c r="G116" s="84">
        <v>1746</v>
      </c>
      <c r="H116" s="84">
        <v>1631</v>
      </c>
      <c r="I116" s="84">
        <v>1649</v>
      </c>
      <c r="J116" s="84">
        <v>1440</v>
      </c>
      <c r="K116" s="84">
        <v>3425</v>
      </c>
      <c r="L116" s="84">
        <v>29240</v>
      </c>
      <c r="M116" s="84">
        <v>6028</v>
      </c>
      <c r="N116" s="84">
        <v>5287</v>
      </c>
      <c r="O116" s="84">
        <v>5267</v>
      </c>
      <c r="P116" s="84">
        <v>5769</v>
      </c>
      <c r="Q116" s="84">
        <v>3034</v>
      </c>
      <c r="R116" s="84">
        <v>4930</v>
      </c>
      <c r="S116" s="84">
        <v>6200</v>
      </c>
      <c r="T116" s="84">
        <v>5701</v>
      </c>
      <c r="U116" s="84">
        <v>5106</v>
      </c>
      <c r="V116" s="84">
        <v>3754</v>
      </c>
      <c r="W116" s="84">
        <v>3544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2000</v>
      </c>
      <c r="S117" s="84">
        <v>0</v>
      </c>
      <c r="T117" s="84">
        <v>0</v>
      </c>
      <c r="U117" s="84">
        <v>450</v>
      </c>
      <c r="V117" s="84">
        <v>0</v>
      </c>
      <c r="W117" s="84">
        <v>13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188</v>
      </c>
      <c r="M119" s="84">
        <v>35</v>
      </c>
      <c r="N119" s="84">
        <v>60</v>
      </c>
      <c r="O119" s="84">
        <v>170</v>
      </c>
      <c r="P119" s="84">
        <v>345</v>
      </c>
      <c r="Q119" s="84">
        <v>340</v>
      </c>
      <c r="R119" s="84">
        <v>1</v>
      </c>
      <c r="S119" s="84">
        <v>11</v>
      </c>
      <c r="T119" s="84">
        <v>86</v>
      </c>
      <c r="U119" s="84">
        <v>60</v>
      </c>
      <c r="V119" s="84">
        <v>215</v>
      </c>
      <c r="W119" s="84">
        <v>668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9</v>
      </c>
      <c r="F120" s="84">
        <v>4</v>
      </c>
      <c r="G120" s="84">
        <v>2</v>
      </c>
      <c r="H120" s="84">
        <v>2</v>
      </c>
      <c r="I120" s="84">
        <v>10</v>
      </c>
      <c r="J120" s="84">
        <v>4</v>
      </c>
      <c r="K120" s="84">
        <v>3</v>
      </c>
      <c r="L120" s="84">
        <v>3</v>
      </c>
      <c r="M120" s="84">
        <v>0</v>
      </c>
      <c r="N120" s="84">
        <v>8</v>
      </c>
      <c r="O120" s="84">
        <v>18</v>
      </c>
      <c r="P120" s="84">
        <v>38</v>
      </c>
      <c r="Q120" s="84">
        <v>27</v>
      </c>
      <c r="R120" s="84">
        <v>21</v>
      </c>
      <c r="S120" s="84">
        <v>48</v>
      </c>
      <c r="T120" s="84">
        <v>285</v>
      </c>
      <c r="U120" s="84">
        <v>815</v>
      </c>
      <c r="V120" s="84">
        <v>808</v>
      </c>
      <c r="W120" s="84">
        <v>416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0</v>
      </c>
      <c r="C121" s="110">
        <f t="shared" si="179"/>
        <v>0</v>
      </c>
      <c r="D121" s="110">
        <f t="shared" si="179"/>
        <v>6</v>
      </c>
      <c r="E121" s="110">
        <f t="shared" si="179"/>
        <v>4</v>
      </c>
      <c r="F121" s="110">
        <f t="shared" si="179"/>
        <v>0</v>
      </c>
      <c r="G121" s="110">
        <f t="shared" si="179"/>
        <v>4</v>
      </c>
      <c r="H121" s="110">
        <f t="shared" si="179"/>
        <v>2</v>
      </c>
      <c r="I121" s="110">
        <f t="shared" si="179"/>
        <v>8</v>
      </c>
      <c r="J121" s="110">
        <f t="shared" si="179"/>
        <v>9</v>
      </c>
      <c r="K121" s="110">
        <f t="shared" si="179"/>
        <v>153</v>
      </c>
      <c r="L121" s="110">
        <f t="shared" ref="L121" si="180">SUM(L122:L126)</f>
        <v>116</v>
      </c>
      <c r="M121" s="110">
        <f t="shared" ref="M121:V121" si="181">SUM(M122:M126)</f>
        <v>306</v>
      </c>
      <c r="N121" s="110">
        <f t="shared" si="181"/>
        <v>45</v>
      </c>
      <c r="O121" s="110">
        <f t="shared" si="181"/>
        <v>23</v>
      </c>
      <c r="P121" s="110">
        <f t="shared" si="181"/>
        <v>84</v>
      </c>
      <c r="Q121" s="110">
        <f t="shared" si="181"/>
        <v>193</v>
      </c>
      <c r="R121" s="110">
        <f t="shared" si="181"/>
        <v>128</v>
      </c>
      <c r="S121" s="110">
        <f t="shared" si="181"/>
        <v>74</v>
      </c>
      <c r="T121" s="110">
        <f t="shared" si="181"/>
        <v>42</v>
      </c>
      <c r="U121" s="110">
        <f t="shared" si="181"/>
        <v>163</v>
      </c>
      <c r="V121" s="110">
        <f t="shared" si="181"/>
        <v>148</v>
      </c>
      <c r="W121" s="110">
        <f t="shared" ref="W121" si="182">SUM(W122:W126)</f>
        <v>109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18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1</v>
      </c>
      <c r="U122" s="102">
        <v>2</v>
      </c>
      <c r="V122" s="102">
        <v>0</v>
      </c>
      <c r="W122" s="102">
        <v>1</v>
      </c>
      <c r="DA122" s="175" t="s">
        <v>536</v>
      </c>
    </row>
    <row r="123" spans="1:105" ht="11.45" customHeight="1" x14ac:dyDescent="0.25">
      <c r="A123" s="111" t="s">
        <v>111</v>
      </c>
      <c r="B123" s="102">
        <v>0</v>
      </c>
      <c r="C123" s="102">
        <v>0</v>
      </c>
      <c r="D123" s="102">
        <v>6</v>
      </c>
      <c r="E123" s="102">
        <v>4</v>
      </c>
      <c r="F123" s="102">
        <v>0</v>
      </c>
      <c r="G123" s="102">
        <v>4</v>
      </c>
      <c r="H123" s="102">
        <v>2</v>
      </c>
      <c r="I123" s="102">
        <v>8</v>
      </c>
      <c r="J123" s="102">
        <v>9</v>
      </c>
      <c r="K123" s="102">
        <v>153</v>
      </c>
      <c r="L123" s="102">
        <v>98</v>
      </c>
      <c r="M123" s="102">
        <v>306</v>
      </c>
      <c r="N123" s="102">
        <v>45</v>
      </c>
      <c r="O123" s="102">
        <v>23</v>
      </c>
      <c r="P123" s="102">
        <v>84</v>
      </c>
      <c r="Q123" s="102">
        <v>193</v>
      </c>
      <c r="R123" s="102">
        <v>128</v>
      </c>
      <c r="S123" s="102">
        <v>74</v>
      </c>
      <c r="T123" s="102">
        <v>33</v>
      </c>
      <c r="U123" s="102">
        <v>159</v>
      </c>
      <c r="V123" s="102">
        <v>147</v>
      </c>
      <c r="W123" s="102">
        <v>102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8</v>
      </c>
      <c r="U126" s="102">
        <v>2</v>
      </c>
      <c r="V126" s="102">
        <v>1</v>
      </c>
      <c r="W126" s="102">
        <v>6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284</v>
      </c>
      <c r="C127" s="28">
        <f t="shared" si="183"/>
        <v>1731</v>
      </c>
      <c r="D127" s="28">
        <f t="shared" si="183"/>
        <v>2149</v>
      </c>
      <c r="E127" s="28">
        <f t="shared" si="183"/>
        <v>2820</v>
      </c>
      <c r="F127" s="28">
        <f t="shared" si="183"/>
        <v>2459</v>
      </c>
      <c r="G127" s="28">
        <f t="shared" si="183"/>
        <v>2590</v>
      </c>
      <c r="H127" s="28">
        <f t="shared" si="183"/>
        <v>3812</v>
      </c>
      <c r="I127" s="28">
        <f t="shared" si="183"/>
        <v>3941</v>
      </c>
      <c r="J127" s="28">
        <f t="shared" si="183"/>
        <v>3684</v>
      </c>
      <c r="K127" s="28">
        <f t="shared" si="183"/>
        <v>2510</v>
      </c>
      <c r="L127" s="28">
        <f t="shared" ref="L127" si="184">L128+L134</f>
        <v>3108</v>
      </c>
      <c r="M127" s="28">
        <f t="shared" ref="M127:V127" si="185">M128+M134</f>
        <v>2811</v>
      </c>
      <c r="N127" s="28">
        <f t="shared" si="185"/>
        <v>3041</v>
      </c>
      <c r="O127" s="28">
        <f t="shared" si="185"/>
        <v>3519</v>
      </c>
      <c r="P127" s="28">
        <f t="shared" si="185"/>
        <v>3377</v>
      </c>
      <c r="Q127" s="28">
        <f t="shared" si="185"/>
        <v>3718</v>
      </c>
      <c r="R127" s="28">
        <f t="shared" si="185"/>
        <v>3731</v>
      </c>
      <c r="S127" s="28">
        <f t="shared" si="185"/>
        <v>4551</v>
      </c>
      <c r="T127" s="28">
        <f t="shared" si="185"/>
        <v>4790</v>
      </c>
      <c r="U127" s="28">
        <f t="shared" si="185"/>
        <v>4771</v>
      </c>
      <c r="V127" s="28">
        <f t="shared" si="185"/>
        <v>3969</v>
      </c>
      <c r="W127" s="28">
        <f t="shared" ref="W127" si="186">W128+W134</f>
        <v>3490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1199</v>
      </c>
      <c r="D128" s="137">
        <f t="shared" si="187"/>
        <v>1540</v>
      </c>
      <c r="E128" s="137">
        <f t="shared" si="187"/>
        <v>2109</v>
      </c>
      <c r="F128" s="137">
        <f t="shared" si="187"/>
        <v>1694</v>
      </c>
      <c r="G128" s="137">
        <f t="shared" si="187"/>
        <v>1758</v>
      </c>
      <c r="H128" s="137">
        <f t="shared" si="187"/>
        <v>3094</v>
      </c>
      <c r="I128" s="137">
        <f t="shared" si="187"/>
        <v>3238</v>
      </c>
      <c r="J128" s="137">
        <f t="shared" si="187"/>
        <v>2708</v>
      </c>
      <c r="K128" s="137">
        <f t="shared" si="187"/>
        <v>1714</v>
      </c>
      <c r="L128" s="137">
        <f t="shared" ref="L128" si="188">SUM(L129:L133)</f>
        <v>2606</v>
      </c>
      <c r="M128" s="137">
        <f t="shared" ref="M128:V128" si="189">SUM(M129:M133)</f>
        <v>2276</v>
      </c>
      <c r="N128" s="137">
        <f t="shared" si="189"/>
        <v>2468</v>
      </c>
      <c r="O128" s="137">
        <f t="shared" si="189"/>
        <v>2931</v>
      </c>
      <c r="P128" s="137">
        <f t="shared" si="189"/>
        <v>2732</v>
      </c>
      <c r="Q128" s="137">
        <f t="shared" si="189"/>
        <v>2935</v>
      </c>
      <c r="R128" s="137">
        <f t="shared" si="189"/>
        <v>2857</v>
      </c>
      <c r="S128" s="137">
        <f t="shared" si="189"/>
        <v>3462</v>
      </c>
      <c r="T128" s="137">
        <f t="shared" si="189"/>
        <v>3790</v>
      </c>
      <c r="U128" s="137">
        <f t="shared" si="189"/>
        <v>3595</v>
      </c>
      <c r="V128" s="137">
        <f t="shared" si="189"/>
        <v>2896</v>
      </c>
      <c r="W128" s="137">
        <f t="shared" ref="W128" si="190">SUM(W129:W133)</f>
        <v>2600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114</v>
      </c>
      <c r="D129" s="84">
        <v>45</v>
      </c>
      <c r="E129" s="84">
        <v>79</v>
      </c>
      <c r="F129" s="84">
        <v>56</v>
      </c>
      <c r="G129" s="84">
        <v>62</v>
      </c>
      <c r="H129" s="84">
        <v>133</v>
      </c>
      <c r="I129" s="84">
        <v>138</v>
      </c>
      <c r="J129" s="84">
        <v>109</v>
      </c>
      <c r="K129" s="84">
        <v>60</v>
      </c>
      <c r="L129" s="84">
        <v>104</v>
      </c>
      <c r="M129" s="84">
        <v>41</v>
      </c>
      <c r="N129" s="84">
        <v>17</v>
      </c>
      <c r="O129" s="84">
        <v>114</v>
      </c>
      <c r="P129" s="84">
        <v>98</v>
      </c>
      <c r="Q129" s="84">
        <v>79</v>
      </c>
      <c r="R129" s="84">
        <v>80</v>
      </c>
      <c r="S129" s="84">
        <v>68</v>
      </c>
      <c r="T129" s="84">
        <v>96</v>
      </c>
      <c r="U129" s="84">
        <v>130</v>
      </c>
      <c r="V129" s="84">
        <v>83</v>
      </c>
      <c r="W129" s="84">
        <v>159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1085</v>
      </c>
      <c r="D130" s="84">
        <v>1495</v>
      </c>
      <c r="E130" s="84">
        <v>2030</v>
      </c>
      <c r="F130" s="84">
        <v>1638</v>
      </c>
      <c r="G130" s="84">
        <v>1696</v>
      </c>
      <c r="H130" s="84">
        <v>2961</v>
      </c>
      <c r="I130" s="84">
        <v>3100</v>
      </c>
      <c r="J130" s="84">
        <v>2595</v>
      </c>
      <c r="K130" s="84">
        <v>1654</v>
      </c>
      <c r="L130" s="84">
        <v>2501</v>
      </c>
      <c r="M130" s="84">
        <v>2234</v>
      </c>
      <c r="N130" s="84">
        <v>2451</v>
      </c>
      <c r="O130" s="84">
        <v>2805</v>
      </c>
      <c r="P130" s="84">
        <v>2633</v>
      </c>
      <c r="Q130" s="84">
        <v>2854</v>
      </c>
      <c r="R130" s="84">
        <v>2773</v>
      </c>
      <c r="S130" s="84">
        <v>3387</v>
      </c>
      <c r="T130" s="84">
        <v>3687</v>
      </c>
      <c r="U130" s="84">
        <v>3360</v>
      </c>
      <c r="V130" s="84">
        <v>2794</v>
      </c>
      <c r="W130" s="84">
        <v>2401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2</v>
      </c>
      <c r="T131" s="84">
        <v>0</v>
      </c>
      <c r="U131" s="84">
        <v>2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4</v>
      </c>
      <c r="K133" s="84">
        <v>0</v>
      </c>
      <c r="L133" s="84">
        <v>1</v>
      </c>
      <c r="M133" s="84">
        <v>1</v>
      </c>
      <c r="N133" s="84">
        <v>0</v>
      </c>
      <c r="O133" s="84">
        <v>12</v>
      </c>
      <c r="P133" s="84">
        <v>1</v>
      </c>
      <c r="Q133" s="84">
        <v>2</v>
      </c>
      <c r="R133" s="84">
        <v>4</v>
      </c>
      <c r="S133" s="84">
        <v>5</v>
      </c>
      <c r="T133" s="84">
        <v>7</v>
      </c>
      <c r="U133" s="84">
        <v>103</v>
      </c>
      <c r="V133" s="84">
        <v>19</v>
      </c>
      <c r="W133" s="84">
        <v>40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284</v>
      </c>
      <c r="C134" s="110">
        <f t="shared" si="191"/>
        <v>532</v>
      </c>
      <c r="D134" s="110">
        <f t="shared" si="191"/>
        <v>609</v>
      </c>
      <c r="E134" s="110">
        <f t="shared" si="191"/>
        <v>711</v>
      </c>
      <c r="F134" s="110">
        <f t="shared" si="191"/>
        <v>765</v>
      </c>
      <c r="G134" s="110">
        <f t="shared" si="191"/>
        <v>832</v>
      </c>
      <c r="H134" s="110">
        <f t="shared" si="191"/>
        <v>718</v>
      </c>
      <c r="I134" s="110">
        <f t="shared" si="191"/>
        <v>703</v>
      </c>
      <c r="J134" s="110">
        <f t="shared" si="191"/>
        <v>976</v>
      </c>
      <c r="K134" s="110">
        <f t="shared" si="191"/>
        <v>796</v>
      </c>
      <c r="L134" s="110">
        <f t="shared" ref="L134" si="192">SUM(L135:L136)</f>
        <v>502</v>
      </c>
      <c r="M134" s="110">
        <f t="shared" ref="M134:V134" si="193">SUM(M135:M136)</f>
        <v>535</v>
      </c>
      <c r="N134" s="110">
        <f t="shared" si="193"/>
        <v>573</v>
      </c>
      <c r="O134" s="110">
        <f t="shared" si="193"/>
        <v>588</v>
      </c>
      <c r="P134" s="110">
        <f t="shared" si="193"/>
        <v>645</v>
      </c>
      <c r="Q134" s="110">
        <f t="shared" si="193"/>
        <v>783</v>
      </c>
      <c r="R134" s="110">
        <f t="shared" si="193"/>
        <v>874</v>
      </c>
      <c r="S134" s="110">
        <f t="shared" si="193"/>
        <v>1089</v>
      </c>
      <c r="T134" s="110">
        <f t="shared" si="193"/>
        <v>1000</v>
      </c>
      <c r="U134" s="110">
        <f t="shared" si="193"/>
        <v>1176</v>
      </c>
      <c r="V134" s="110">
        <f t="shared" si="193"/>
        <v>1073</v>
      </c>
      <c r="W134" s="110">
        <f t="shared" ref="W134" si="194">SUM(W135:W136)</f>
        <v>890</v>
      </c>
      <c r="DA134" s="176" t="s">
        <v>548</v>
      </c>
    </row>
    <row r="135" spans="1:105" ht="11.45" customHeight="1" x14ac:dyDescent="0.25">
      <c r="A135" s="128" t="s">
        <v>27</v>
      </c>
      <c r="B135" s="102">
        <v>284</v>
      </c>
      <c r="C135" s="102">
        <v>532</v>
      </c>
      <c r="D135" s="102">
        <v>609</v>
      </c>
      <c r="E135" s="102">
        <v>711</v>
      </c>
      <c r="F135" s="102">
        <v>765</v>
      </c>
      <c r="G135" s="102">
        <v>832</v>
      </c>
      <c r="H135" s="102">
        <v>718</v>
      </c>
      <c r="I135" s="102">
        <v>703</v>
      </c>
      <c r="J135" s="102">
        <v>976</v>
      </c>
      <c r="K135" s="102">
        <v>796</v>
      </c>
      <c r="L135" s="102">
        <v>502</v>
      </c>
      <c r="M135" s="102">
        <v>535</v>
      </c>
      <c r="N135" s="102">
        <v>573</v>
      </c>
      <c r="O135" s="102">
        <v>588</v>
      </c>
      <c r="P135" s="102">
        <v>645</v>
      </c>
      <c r="Q135" s="102">
        <v>783</v>
      </c>
      <c r="R135" s="102">
        <v>874</v>
      </c>
      <c r="S135" s="102">
        <v>1089</v>
      </c>
      <c r="T135" s="102">
        <v>1000</v>
      </c>
      <c r="U135" s="102">
        <v>1176</v>
      </c>
      <c r="V135" s="102">
        <v>1073</v>
      </c>
      <c r="W135" s="102">
        <v>890</v>
      </c>
      <c r="DA135" s="175" t="s">
        <v>549</v>
      </c>
    </row>
    <row r="136" spans="1:105" ht="11.45" customHeight="1" x14ac:dyDescent="0.25">
      <c r="A136" s="138" t="s">
        <v>116</v>
      </c>
      <c r="B136" s="86">
        <v>0</v>
      </c>
      <c r="C136" s="86">
        <v>0</v>
      </c>
      <c r="D136" s="86">
        <v>0</v>
      </c>
      <c r="E136" s="86">
        <v>0</v>
      </c>
      <c r="F136" s="86">
        <v>0</v>
      </c>
      <c r="G136" s="86">
        <v>0</v>
      </c>
      <c r="H136" s="86">
        <v>0</v>
      </c>
      <c r="I136" s="86">
        <v>0</v>
      </c>
      <c r="J136" s="86">
        <v>0</v>
      </c>
      <c r="K136" s="86">
        <v>0</v>
      </c>
      <c r="L136" s="86">
        <v>0</v>
      </c>
      <c r="M136" s="86">
        <v>0</v>
      </c>
      <c r="N136" s="86">
        <v>0</v>
      </c>
      <c r="O136" s="86">
        <v>0</v>
      </c>
      <c r="P136" s="86">
        <v>0</v>
      </c>
      <c r="Q136" s="86">
        <v>0</v>
      </c>
      <c r="R136" s="86">
        <v>0</v>
      </c>
      <c r="S136" s="86">
        <v>0</v>
      </c>
      <c r="T136" s="86">
        <v>0</v>
      </c>
      <c r="U136" s="86">
        <v>0</v>
      </c>
      <c r="V136" s="86">
        <v>0</v>
      </c>
      <c r="W136" s="86">
        <v>0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1.5719664560307023</v>
      </c>
      <c r="C141" s="32">
        <f t="shared" si="195"/>
        <v>1.5530957179848075</v>
      </c>
      <c r="D141" s="32">
        <f t="shared" si="195"/>
        <v>1.5276940342519736</v>
      </c>
      <c r="E141" s="32">
        <f t="shared" si="195"/>
        <v>1.5036800764527249</v>
      </c>
      <c r="F141" s="32">
        <f t="shared" si="195"/>
        <v>1.5757700717648004</v>
      </c>
      <c r="G141" s="32">
        <f t="shared" si="195"/>
        <v>1.4503405420657058</v>
      </c>
      <c r="H141" s="32">
        <f t="shared" si="195"/>
        <v>1.4310752521397372</v>
      </c>
      <c r="I141" s="32">
        <f t="shared" si="195"/>
        <v>1.4987104670612048</v>
      </c>
      <c r="J141" s="32">
        <f t="shared" si="195"/>
        <v>1.4046218413500779</v>
      </c>
      <c r="K141" s="32">
        <f t="shared" si="195"/>
        <v>1.3577633474109265</v>
      </c>
      <c r="L141" s="32">
        <f t="shared" ref="L141" si="196">IF(L4=0,0,L4/L31)</f>
        <v>1.3488809864202427</v>
      </c>
      <c r="M141" s="32">
        <f t="shared" ref="M141:V141" si="197">IF(M4=0,0,M4/M31)</f>
        <v>1.3248618099479317</v>
      </c>
      <c r="N141" s="32">
        <f t="shared" si="197"/>
        <v>1.3164310462713276</v>
      </c>
      <c r="O141" s="32">
        <f t="shared" si="197"/>
        <v>1.3002510236755926</v>
      </c>
      <c r="P141" s="32">
        <f t="shared" si="197"/>
        <v>1.2897322029696512</v>
      </c>
      <c r="Q141" s="32">
        <f t="shared" si="197"/>
        <v>1.2928840974609856</v>
      </c>
      <c r="R141" s="32">
        <f t="shared" si="197"/>
        <v>1.2915340130202564</v>
      </c>
      <c r="S141" s="32">
        <f t="shared" si="197"/>
        <v>1.3116650714954967</v>
      </c>
      <c r="T141" s="32">
        <f t="shared" si="197"/>
        <v>1.3041173694314647</v>
      </c>
      <c r="U141" s="32">
        <f t="shared" si="197"/>
        <v>1.331006583843501</v>
      </c>
      <c r="V141" s="32">
        <f t="shared" si="197"/>
        <v>1.2383364495211775</v>
      </c>
      <c r="W141" s="32">
        <f t="shared" ref="W141" si="198">IF(W4=0,0,W4/W31)</f>
        <v>1.2539074313187877</v>
      </c>
      <c r="DA141" s="173" t="s">
        <v>551</v>
      </c>
    </row>
    <row r="142" spans="1:105" ht="11.45" customHeight="1" x14ac:dyDescent="0.25">
      <c r="A142" s="136" t="s">
        <v>180</v>
      </c>
      <c r="B142" s="141">
        <v>1.1147751896698304</v>
      </c>
      <c r="C142" s="141">
        <v>1.114753808027622</v>
      </c>
      <c r="D142" s="141">
        <v>1.1145601049011908</v>
      </c>
      <c r="E142" s="141">
        <v>1.1150281861880151</v>
      </c>
      <c r="F142" s="141">
        <v>1.1151775087588955</v>
      </c>
      <c r="G142" s="141">
        <v>1.1141676858588732</v>
      </c>
      <c r="H142" s="141">
        <v>1.1144784772158933</v>
      </c>
      <c r="I142" s="141">
        <v>1.1162672910073779</v>
      </c>
      <c r="J142" s="141">
        <v>1.1168547555746868</v>
      </c>
      <c r="K142" s="141">
        <v>1.1173907238667704</v>
      </c>
      <c r="L142" s="141">
        <v>1.1154710561585361</v>
      </c>
      <c r="M142" s="141">
        <v>1.1144939010542534</v>
      </c>
      <c r="N142" s="141">
        <v>1.1076154703850822</v>
      </c>
      <c r="O142" s="141">
        <v>1.107045671114981</v>
      </c>
      <c r="P142" s="141">
        <v>1.1094493745884091</v>
      </c>
      <c r="Q142" s="141">
        <v>1.1113668635626464</v>
      </c>
      <c r="R142" s="141">
        <v>1.1131768206844803</v>
      </c>
      <c r="S142" s="141">
        <v>1.1118451297412908</v>
      </c>
      <c r="T142" s="141">
        <v>1.1107154484564208</v>
      </c>
      <c r="U142" s="141">
        <v>1.1117793189847152</v>
      </c>
      <c r="V142" s="141">
        <v>1.1105786593308216</v>
      </c>
      <c r="W142" s="141">
        <v>1.1108086899894827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1.2864581716043746</v>
      </c>
      <c r="C143" s="130">
        <f t="shared" si="199"/>
        <v>1.2654637048329624</v>
      </c>
      <c r="D143" s="130">
        <f t="shared" si="199"/>
        <v>1.245493798490974</v>
      </c>
      <c r="E143" s="130">
        <f t="shared" si="199"/>
        <v>1.226520829530372</v>
      </c>
      <c r="F143" s="130">
        <f t="shared" si="199"/>
        <v>1.2885883879243265</v>
      </c>
      <c r="G143" s="130">
        <f t="shared" si="199"/>
        <v>1.1918267966623468</v>
      </c>
      <c r="H143" s="130">
        <f t="shared" si="199"/>
        <v>1.1765219032773611</v>
      </c>
      <c r="I143" s="130">
        <f t="shared" si="199"/>
        <v>1.2376809503710058</v>
      </c>
      <c r="J143" s="130">
        <f t="shared" si="199"/>
        <v>1.1609828470944084</v>
      </c>
      <c r="K143" s="130">
        <f t="shared" si="199"/>
        <v>1.1359927601553186</v>
      </c>
      <c r="L143" s="130">
        <f t="shared" ref="L143" si="200">IF(L6=0,0,L6/L33)</f>
        <v>1.1246136643144993</v>
      </c>
      <c r="M143" s="130">
        <f t="shared" ref="M143:V143" si="201">IF(M6=0,0,M6/M33)</f>
        <v>1.1199384654548719</v>
      </c>
      <c r="N143" s="130">
        <f t="shared" si="201"/>
        <v>1.1178565328598644</v>
      </c>
      <c r="O143" s="130">
        <f t="shared" si="201"/>
        <v>1.1114391913215076</v>
      </c>
      <c r="P143" s="130">
        <f t="shared" si="201"/>
        <v>1.1080695894669497</v>
      </c>
      <c r="Q143" s="130">
        <f t="shared" si="201"/>
        <v>1.1028730263812052</v>
      </c>
      <c r="R143" s="130">
        <f t="shared" si="201"/>
        <v>1.1054400865193241</v>
      </c>
      <c r="S143" s="130">
        <f t="shared" si="201"/>
        <v>1.1222055100825363</v>
      </c>
      <c r="T143" s="130">
        <f t="shared" si="201"/>
        <v>1.1151793360245268</v>
      </c>
      <c r="U143" s="130">
        <f t="shared" si="201"/>
        <v>1.1297308673496389</v>
      </c>
      <c r="V143" s="130">
        <f t="shared" si="201"/>
        <v>1.0995704051395829</v>
      </c>
      <c r="W143" s="130">
        <f t="shared" ref="W143" si="202">IF(W6=0,0,W6/W33)</f>
        <v>1.1076525084482705</v>
      </c>
      <c r="DA143" s="176" t="s">
        <v>553</v>
      </c>
    </row>
    <row r="144" spans="1:105" ht="11.45" customHeight="1" x14ac:dyDescent="0.25">
      <c r="A144" s="111" t="s">
        <v>110</v>
      </c>
      <c r="B144" s="96">
        <v>1.2689442763557468</v>
      </c>
      <c r="C144" s="96">
        <v>1.2466669321849435</v>
      </c>
      <c r="D144" s="96">
        <v>1.2262698669501908</v>
      </c>
      <c r="E144" s="96">
        <v>1.2069187726246002</v>
      </c>
      <c r="F144" s="96">
        <v>1.2664075428607806</v>
      </c>
      <c r="G144" s="96">
        <v>1.1725384617615164</v>
      </c>
      <c r="H144" s="96">
        <v>1.1572811469518007</v>
      </c>
      <c r="I144" s="96">
        <v>1.2158893469755849</v>
      </c>
      <c r="J144" s="96">
        <v>1.1413866007695677</v>
      </c>
      <c r="K144" s="96">
        <v>1.1162385987308363</v>
      </c>
      <c r="L144" s="96">
        <v>1.089110043631804</v>
      </c>
      <c r="M144" s="96">
        <v>1.0815218252103194</v>
      </c>
      <c r="N144" s="96">
        <v>1.0773740100941911</v>
      </c>
      <c r="O144" s="96">
        <v>1.069984766827863</v>
      </c>
      <c r="P144" s="96">
        <v>1.066801955608359</v>
      </c>
      <c r="Q144" s="96">
        <v>1.0611384890703355</v>
      </c>
      <c r="R144" s="96">
        <v>1.0633528206900074</v>
      </c>
      <c r="S144" s="96">
        <v>1.080741018075648</v>
      </c>
      <c r="T144" s="96">
        <v>1.0716973765512006</v>
      </c>
      <c r="U144" s="96">
        <v>1.0858749440847524</v>
      </c>
      <c r="V144" s="96">
        <v>1.0564211825307654</v>
      </c>
      <c r="W144" s="96">
        <v>1.0641309529352785</v>
      </c>
      <c r="DA144" s="171" t="s">
        <v>554</v>
      </c>
    </row>
    <row r="145" spans="1:105" ht="11.45" customHeight="1" x14ac:dyDescent="0.25">
      <c r="A145" s="111" t="s">
        <v>111</v>
      </c>
      <c r="B145" s="96">
        <v>1.3932116782694719</v>
      </c>
      <c r="C145" s="96">
        <v>1.3687527192451026</v>
      </c>
      <c r="D145" s="96">
        <v>1.3463581744120612</v>
      </c>
      <c r="E145" s="96">
        <v>1.3251120321629044</v>
      </c>
      <c r="F145" s="96">
        <v>1.3904265230852002</v>
      </c>
      <c r="G145" s="96">
        <v>1.2873648658850101</v>
      </c>
      <c r="H145" s="96">
        <v>1.2706134059761662</v>
      </c>
      <c r="I145" s="96">
        <v>1.3349610926610294</v>
      </c>
      <c r="J145" s="96">
        <v>1.2531623107827063</v>
      </c>
      <c r="K145" s="96">
        <v>1.2255515710691194</v>
      </c>
      <c r="L145" s="96">
        <v>1.1957663232195495</v>
      </c>
      <c r="M145" s="96">
        <v>1.1874349924282297</v>
      </c>
      <c r="N145" s="96">
        <v>1.1828809827945763</v>
      </c>
      <c r="O145" s="96">
        <v>1.1747681127465808</v>
      </c>
      <c r="P145" s="96">
        <v>1.1712736096045866</v>
      </c>
      <c r="Q145" s="96">
        <v>1.1650555211768403</v>
      </c>
      <c r="R145" s="96">
        <v>1.1674867017492041</v>
      </c>
      <c r="S145" s="96">
        <v>1.1865777210422674</v>
      </c>
      <c r="T145" s="96">
        <v>1.1766484379202944</v>
      </c>
      <c r="U145" s="96">
        <v>1.1922144111669091</v>
      </c>
      <c r="V145" s="96">
        <v>1.1598762499642536</v>
      </c>
      <c r="W145" s="96">
        <v>1.1683410362945035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1.0993875279961829</v>
      </c>
      <c r="S146" s="96">
        <v>1.1160611567090735</v>
      </c>
      <c r="T146" s="96">
        <v>1.109073452695889</v>
      </c>
      <c r="U146" s="96">
        <v>1.1235453107795288</v>
      </c>
      <c r="V146" s="96">
        <v>1.0935499845771477</v>
      </c>
      <c r="W146" s="96">
        <v>1.1015878363665876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1.0674290955384393</v>
      </c>
      <c r="M148" s="96">
        <v>1.0629916220766211</v>
      </c>
      <c r="N148" s="96">
        <v>1.0610155519848388</v>
      </c>
      <c r="O148" s="96">
        <v>1.0549245206454456</v>
      </c>
      <c r="P148" s="96">
        <v>1.0517262569447043</v>
      </c>
      <c r="Q148" s="96">
        <v>1.0467939296837634</v>
      </c>
      <c r="R148" s="96">
        <v>1.049230459461387</v>
      </c>
      <c r="S148" s="96">
        <v>1.065143391589334</v>
      </c>
      <c r="T148" s="96">
        <v>1.058474485761653</v>
      </c>
      <c r="U148" s="96">
        <v>1.072286098063671</v>
      </c>
      <c r="V148" s="96">
        <v>1.0436592407530543</v>
      </c>
      <c r="W148" s="96">
        <v>1.0513303837407213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1.1792734394639639</v>
      </c>
      <c r="F149" s="96">
        <v>1.2389500640300508</v>
      </c>
      <c r="G149" s="96">
        <v>1.1459158718759619</v>
      </c>
      <c r="H149" s="96">
        <v>1.1312005455413479</v>
      </c>
      <c r="I149" s="96">
        <v>1.1900036560014253</v>
      </c>
      <c r="J149" s="96">
        <v>1.1162600767048658</v>
      </c>
      <c r="K149" s="96">
        <v>1.0922326447464146</v>
      </c>
      <c r="L149" s="96">
        <v>1.0812918884485117</v>
      </c>
      <c r="M149" s="96">
        <v>1.0767967851395195</v>
      </c>
      <c r="N149" s="96">
        <v>1.0747950516565361</v>
      </c>
      <c r="O149" s="96">
        <v>1.0686249155724628</v>
      </c>
      <c r="P149" s="96">
        <v>1.0653851157476451</v>
      </c>
      <c r="Q149" s="96">
        <v>1.0603887319309393</v>
      </c>
      <c r="R149" s="96">
        <v>1.0628569051290653</v>
      </c>
      <c r="S149" s="96">
        <v>1.0789764998668323</v>
      </c>
      <c r="T149" s="96">
        <v>1.0722209843890935</v>
      </c>
      <c r="U149" s="96">
        <v>1.0862119692807266</v>
      </c>
      <c r="V149" s="96">
        <v>1.0572133325271265</v>
      </c>
      <c r="W149" s="96">
        <v>1.0649841013045216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15.24306238250171</v>
      </c>
      <c r="C150" s="130">
        <f t="shared" si="203"/>
        <v>15.24027241175455</v>
      </c>
      <c r="D150" s="130">
        <f t="shared" si="203"/>
        <v>15.234694002129945</v>
      </c>
      <c r="E150" s="130">
        <f t="shared" si="203"/>
        <v>15.223543307743132</v>
      </c>
      <c r="F150" s="130">
        <f t="shared" si="203"/>
        <v>15.201266397501835</v>
      </c>
      <c r="G150" s="130">
        <f t="shared" si="203"/>
        <v>15.156810324039851</v>
      </c>
      <c r="H150" s="130">
        <f t="shared" si="203"/>
        <v>15.06828783199321</v>
      </c>
      <c r="I150" s="130">
        <f t="shared" si="203"/>
        <v>14.892790860128494</v>
      </c>
      <c r="J150" s="130">
        <f t="shared" si="203"/>
        <v>14.547905032410396</v>
      </c>
      <c r="K150" s="130">
        <f t="shared" si="203"/>
        <v>13.881908917790073</v>
      </c>
      <c r="L150" s="130">
        <f t="shared" ref="L150" si="204">IF(L13=0,0,L13/L40)</f>
        <v>12.639987865611648</v>
      </c>
      <c r="M150" s="130">
        <f t="shared" ref="M150:V150" si="205">IF(M13=0,0,M13/M40)</f>
        <v>10.479524803765267</v>
      </c>
      <c r="N150" s="130">
        <f t="shared" si="205"/>
        <v>8.8536433768121796</v>
      </c>
      <c r="O150" s="130">
        <f t="shared" si="205"/>
        <v>8.495064830374444</v>
      </c>
      <c r="P150" s="130">
        <f t="shared" si="205"/>
        <v>7.1863145617023738</v>
      </c>
      <c r="Q150" s="130">
        <f t="shared" si="205"/>
        <v>6.9478950289534085</v>
      </c>
      <c r="R150" s="130">
        <f t="shared" si="205"/>
        <v>6.9927439242897922</v>
      </c>
      <c r="S150" s="130">
        <f t="shared" si="205"/>
        <v>6.9514020004350225</v>
      </c>
      <c r="T150" s="130">
        <f t="shared" si="205"/>
        <v>6.9334472715618913</v>
      </c>
      <c r="U150" s="130">
        <f t="shared" si="205"/>
        <v>7.4102475683466071</v>
      </c>
      <c r="V150" s="130">
        <f t="shared" si="205"/>
        <v>5.9876299350664191</v>
      </c>
      <c r="W150" s="130">
        <f t="shared" ref="W150" si="206">IF(W13=0,0,W13/W40)</f>
        <v>6.9991349162978045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6.486153379446602</v>
      </c>
      <c r="M151" s="97">
        <v>6.4030586462986641</v>
      </c>
      <c r="N151" s="97">
        <v>6.340524745262007</v>
      </c>
      <c r="O151" s="97">
        <v>6.3267332627067097</v>
      </c>
      <c r="P151" s="97">
        <v>6.2763967139116286</v>
      </c>
      <c r="Q151" s="97">
        <v>6.2672267318828236</v>
      </c>
      <c r="R151" s="97">
        <v>6.2689516893957613</v>
      </c>
      <c r="S151" s="97">
        <v>6.267361615401347</v>
      </c>
      <c r="T151" s="97">
        <v>6.2666710489062263</v>
      </c>
      <c r="U151" s="97">
        <v>6.285009521859485</v>
      </c>
      <c r="V151" s="97">
        <v>6.2302934590410164</v>
      </c>
      <c r="W151" s="97">
        <v>6.2691974967806852</v>
      </c>
      <c r="DA151" s="175" t="s">
        <v>561</v>
      </c>
    </row>
    <row r="152" spans="1:105" ht="11.45" customHeight="1" x14ac:dyDescent="0.25">
      <c r="A152" s="111" t="s">
        <v>111</v>
      </c>
      <c r="B152" s="97">
        <v>15.24306238250171</v>
      </c>
      <c r="C152" s="97">
        <v>15.24027241175455</v>
      </c>
      <c r="D152" s="97">
        <v>15.234694002129945</v>
      </c>
      <c r="E152" s="97">
        <v>15.223543307743132</v>
      </c>
      <c r="F152" s="97">
        <v>15.201266397501835</v>
      </c>
      <c r="G152" s="97">
        <v>15.156810324039851</v>
      </c>
      <c r="H152" s="97">
        <v>15.06828783199321</v>
      </c>
      <c r="I152" s="97">
        <v>14.892790860128494</v>
      </c>
      <c r="J152" s="97">
        <v>14.547905032410396</v>
      </c>
      <c r="K152" s="97">
        <v>13.881908917790073</v>
      </c>
      <c r="L152" s="97">
        <v>12.692742015272149</v>
      </c>
      <c r="M152" s="97">
        <v>10.505087364427169</v>
      </c>
      <c r="N152" s="97">
        <v>8.8661432339726094</v>
      </c>
      <c r="O152" s="97">
        <v>8.5048545670690991</v>
      </c>
      <c r="P152" s="97">
        <v>7.189394196922346</v>
      </c>
      <c r="Q152" s="97">
        <v>6.9495870721047002</v>
      </c>
      <c r="R152" s="97">
        <v>6.994466632972677</v>
      </c>
      <c r="S152" s="97">
        <v>6.9529393502159351</v>
      </c>
      <c r="T152" s="97">
        <v>6.9350310817036922</v>
      </c>
      <c r="U152" s="97">
        <v>7.4131103299268437</v>
      </c>
      <c r="V152" s="97">
        <v>5.9871115388347951</v>
      </c>
      <c r="W152" s="97">
        <v>7.0007183460017002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6.9350310817036931</v>
      </c>
      <c r="U155" s="97">
        <v>7.4131103299268437</v>
      </c>
      <c r="V155" s="97">
        <v>5.9871115388347951</v>
      </c>
      <c r="W155" s="97">
        <v>7.0007183460016993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1.6308702403256787</v>
      </c>
      <c r="C156" s="32">
        <f t="shared" si="207"/>
        <v>1.5792382021183473</v>
      </c>
      <c r="D156" s="32">
        <f t="shared" si="207"/>
        <v>0.82070404693060928</v>
      </c>
      <c r="E156" s="32">
        <f t="shared" si="207"/>
        <v>1.3236871268372086</v>
      </c>
      <c r="F156" s="32">
        <f t="shared" si="207"/>
        <v>1.6702834676418929</v>
      </c>
      <c r="G156" s="32">
        <f t="shared" si="207"/>
        <v>1.1856737872623042</v>
      </c>
      <c r="H156" s="32">
        <f t="shared" si="207"/>
        <v>1.1038885630873259</v>
      </c>
      <c r="I156" s="32">
        <f t="shared" si="207"/>
        <v>1.1409082759061049</v>
      </c>
      <c r="J156" s="32">
        <f t="shared" si="207"/>
        <v>1.1324121443794244</v>
      </c>
      <c r="K156" s="32">
        <f t="shared" si="207"/>
        <v>1.1077272056468892</v>
      </c>
      <c r="L156" s="32">
        <f t="shared" ref="L156" si="208">IF(L19=0,0,L19/L46)</f>
        <v>0.99388841023043173</v>
      </c>
      <c r="M156" s="32">
        <f t="shared" ref="M156:V156" si="209">IF(M19=0,0,M19/M46)</f>
        <v>0.93170374809578649</v>
      </c>
      <c r="N156" s="32">
        <f t="shared" si="209"/>
        <v>0.88397533367744319</v>
      </c>
      <c r="O156" s="32">
        <f t="shared" si="209"/>
        <v>0.87441516422483889</v>
      </c>
      <c r="P156" s="32">
        <f t="shared" si="209"/>
        <v>0.81431220917839708</v>
      </c>
      <c r="Q156" s="32">
        <f t="shared" si="209"/>
        <v>0.76953956502252907</v>
      </c>
      <c r="R156" s="32">
        <f t="shared" si="209"/>
        <v>0.78768838930701224</v>
      </c>
      <c r="S156" s="32">
        <f t="shared" si="209"/>
        <v>0.75953007644045245</v>
      </c>
      <c r="T156" s="32">
        <f t="shared" si="209"/>
        <v>0.73539233821101391</v>
      </c>
      <c r="U156" s="32">
        <f t="shared" si="209"/>
        <v>0.72694160920539119</v>
      </c>
      <c r="V156" s="32">
        <f t="shared" si="209"/>
        <v>0.74516396927117812</v>
      </c>
      <c r="W156" s="32">
        <f t="shared" ref="W156" si="210">IF(W19=0,0,W19/W46)</f>
        <v>0.76319331922813538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0.11215319397139777</v>
      </c>
      <c r="C157" s="141">
        <f t="shared" si="211"/>
        <v>0.11194979312752336</v>
      </c>
      <c r="D157" s="141">
        <f t="shared" si="211"/>
        <v>0.11170281051144938</v>
      </c>
      <c r="E157" s="141">
        <f t="shared" si="211"/>
        <v>0.11153846693484282</v>
      </c>
      <c r="F157" s="141">
        <f t="shared" si="211"/>
        <v>0.11170485436781585</v>
      </c>
      <c r="G157" s="141">
        <f t="shared" si="211"/>
        <v>0.11182949698193556</v>
      </c>
      <c r="H157" s="141">
        <f t="shared" si="211"/>
        <v>0.1114615836501035</v>
      </c>
      <c r="I157" s="141">
        <f t="shared" si="211"/>
        <v>0.11027556951505163</v>
      </c>
      <c r="J157" s="141">
        <f t="shared" si="211"/>
        <v>0.10956568461327097</v>
      </c>
      <c r="K157" s="141">
        <f t="shared" si="211"/>
        <v>0.10870140817383714</v>
      </c>
      <c r="L157" s="141">
        <f t="shared" ref="L157" si="212">IF(L20=0,0,L20/L47)</f>
        <v>0.11009156330040971</v>
      </c>
      <c r="M157" s="141">
        <f t="shared" ref="M157:V157" si="213">IF(M20=0,0,M20/M47)</f>
        <v>0.10933062967702191</v>
      </c>
      <c r="N157" s="141">
        <f t="shared" si="213"/>
        <v>0.10949324974930584</v>
      </c>
      <c r="O157" s="141">
        <f t="shared" si="213"/>
        <v>0.10946627951665164</v>
      </c>
      <c r="P157" s="141">
        <f t="shared" si="213"/>
        <v>0.10609636172881005</v>
      </c>
      <c r="Q157" s="141">
        <f t="shared" si="213"/>
        <v>0.10584461889840661</v>
      </c>
      <c r="R157" s="141">
        <f t="shared" si="213"/>
        <v>0.10657603215200606</v>
      </c>
      <c r="S157" s="141">
        <f t="shared" si="213"/>
        <v>0.10645893915387182</v>
      </c>
      <c r="T157" s="141">
        <f t="shared" si="213"/>
        <v>0.1073322974561869</v>
      </c>
      <c r="U157" s="141">
        <f t="shared" si="213"/>
        <v>0.10707846613112612</v>
      </c>
      <c r="V157" s="141">
        <f t="shared" si="213"/>
        <v>0.10839159291177215</v>
      </c>
      <c r="W157" s="141">
        <f t="shared" ref="W157" si="214">IF(W20=0,0,W20/W47)</f>
        <v>0.10939205130706871</v>
      </c>
      <c r="DA157" s="174" t="s">
        <v>567</v>
      </c>
    </row>
    <row r="158" spans="1:105" ht="11.45" customHeight="1" x14ac:dyDescent="0.25">
      <c r="A158" s="111" t="s">
        <v>110</v>
      </c>
      <c r="B158" s="96">
        <v>9.6995200893121664E-2</v>
      </c>
      <c r="C158" s="96">
        <v>9.3858557570410561E-2</v>
      </c>
      <c r="D158" s="96">
        <v>9.3544121801590913E-2</v>
      </c>
      <c r="E158" s="96">
        <v>9.3588126536666844E-2</v>
      </c>
      <c r="F158" s="96">
        <v>9.3472320844615278E-2</v>
      </c>
      <c r="G158" s="96">
        <v>9.2962537291716038E-2</v>
      </c>
      <c r="H158" s="96">
        <v>9.2994410564351523E-2</v>
      </c>
      <c r="I158" s="96">
        <v>9.3331190337902048E-2</v>
      </c>
      <c r="J158" s="96">
        <v>9.434052011386114E-2</v>
      </c>
      <c r="K158" s="96">
        <v>9.3835944691146436E-2</v>
      </c>
      <c r="L158" s="96">
        <v>9.2498770697741303E-2</v>
      </c>
      <c r="M158" s="96">
        <v>9.2829312405222575E-2</v>
      </c>
      <c r="N158" s="96">
        <v>9.1950314562442473E-2</v>
      </c>
      <c r="O158" s="96">
        <v>9.1744898015546889E-2</v>
      </c>
      <c r="P158" s="96">
        <v>8.2049225114651417E-2</v>
      </c>
      <c r="Q158" s="96">
        <v>8.2116163013966459E-2</v>
      </c>
      <c r="R158" s="96">
        <v>8.2823867962237882E-2</v>
      </c>
      <c r="S158" s="96">
        <v>8.2865282876840599E-2</v>
      </c>
      <c r="T158" s="96">
        <v>8.368845465578216E-2</v>
      </c>
      <c r="U158" s="96">
        <v>8.3653776904272642E-2</v>
      </c>
      <c r="V158" s="96">
        <v>8.4512720384139817E-2</v>
      </c>
      <c r="W158" s="96">
        <v>8.5398712687445838E-2</v>
      </c>
      <c r="DA158" s="171" t="s">
        <v>568</v>
      </c>
    </row>
    <row r="159" spans="1:105" ht="11.45" customHeight="1" x14ac:dyDescent="0.25">
      <c r="A159" s="111" t="s">
        <v>111</v>
      </c>
      <c r="B159" s="96">
        <v>0.11266715375682217</v>
      </c>
      <c r="C159" s="96">
        <v>0.1126937648758379</v>
      </c>
      <c r="D159" s="96">
        <v>0.11243225980276841</v>
      </c>
      <c r="E159" s="96">
        <v>0.11223111845103165</v>
      </c>
      <c r="F159" s="96">
        <v>0.11239786396687447</v>
      </c>
      <c r="G159" s="96">
        <v>0.1125510414327217</v>
      </c>
      <c r="H159" s="96">
        <v>0.11213430523880177</v>
      </c>
      <c r="I159" s="96">
        <v>0.11083129390173706</v>
      </c>
      <c r="J159" s="96">
        <v>0.11000890323286325</v>
      </c>
      <c r="K159" s="96">
        <v>0.10911624286586909</v>
      </c>
      <c r="L159" s="96">
        <v>0.1106417200384131</v>
      </c>
      <c r="M159" s="96">
        <v>0.1097892620826816</v>
      </c>
      <c r="N159" s="96">
        <v>0.10996325574155756</v>
      </c>
      <c r="O159" s="96">
        <v>0.10993648318574611</v>
      </c>
      <c r="P159" s="96">
        <v>0.10671630818375412</v>
      </c>
      <c r="Q159" s="96">
        <v>0.10641686297756914</v>
      </c>
      <c r="R159" s="96">
        <v>0.10712061023973642</v>
      </c>
      <c r="S159" s="96">
        <v>0.10696110278464423</v>
      </c>
      <c r="T159" s="96">
        <v>0.10780887854133402</v>
      </c>
      <c r="U159" s="96">
        <v>0.10754996142736502</v>
      </c>
      <c r="V159" s="96">
        <v>0.1088728890972339</v>
      </c>
      <c r="W159" s="96">
        <v>0.10990407754378996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0.10093714780769333</v>
      </c>
      <c r="T160" s="96">
        <v>0.10177877256994605</v>
      </c>
      <c r="U160" s="96">
        <v>0.10157591529659193</v>
      </c>
      <c r="V160" s="96">
        <v>0.10279072209796211</v>
      </c>
      <c r="W160" s="96">
        <v>0.10378176888617353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0.10769212291733117</v>
      </c>
      <c r="K162" s="96">
        <v>0.10711316396983461</v>
      </c>
      <c r="L162" s="96">
        <v>0.10531581959577284</v>
      </c>
      <c r="M162" s="96">
        <v>0.10486585602945668</v>
      </c>
      <c r="N162" s="96">
        <v>0.10476918208356829</v>
      </c>
      <c r="O162" s="96">
        <v>0.10445831521559718</v>
      </c>
      <c r="P162" s="96">
        <v>0.1044481444291751</v>
      </c>
      <c r="Q162" s="96">
        <v>0.10418295962914283</v>
      </c>
      <c r="R162" s="96">
        <v>0.10456682380577995</v>
      </c>
      <c r="S162" s="96">
        <v>0.10458922939441727</v>
      </c>
      <c r="T162" s="96">
        <v>0.10503324684451033</v>
      </c>
      <c r="U162" s="96">
        <v>0.10505190479569122</v>
      </c>
      <c r="V162" s="96">
        <v>0.10551283700682988</v>
      </c>
      <c r="W162" s="96">
        <v>0.10598548814369224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2.9322916666666665</v>
      </c>
      <c r="C163" s="130">
        <f t="shared" si="215"/>
        <v>2.9322916666666665</v>
      </c>
      <c r="D163" s="130">
        <f t="shared" si="215"/>
        <v>2.9322916666666665</v>
      </c>
      <c r="E163" s="130">
        <f t="shared" si="215"/>
        <v>2.932291666666667</v>
      </c>
      <c r="F163" s="130">
        <f t="shared" si="215"/>
        <v>2.9322916666666665</v>
      </c>
      <c r="G163" s="130">
        <f t="shared" si="215"/>
        <v>2.9322916666666665</v>
      </c>
      <c r="H163" s="130">
        <f t="shared" si="215"/>
        <v>2.9322916666666665</v>
      </c>
      <c r="I163" s="130">
        <f t="shared" si="215"/>
        <v>2.932291666666667</v>
      </c>
      <c r="J163" s="130">
        <f t="shared" si="215"/>
        <v>2.9322916666666661</v>
      </c>
      <c r="K163" s="130">
        <f t="shared" si="215"/>
        <v>2.9322916666666665</v>
      </c>
      <c r="L163" s="130">
        <f t="shared" ref="L163" si="216">IF(L26=0,0,L26/L53)</f>
        <v>2.9322916666666665</v>
      </c>
      <c r="M163" s="130">
        <f t="shared" ref="M163:V163" si="217">IF(M26=0,0,M26/M53)</f>
        <v>2.9322916666666665</v>
      </c>
      <c r="N163" s="130">
        <f t="shared" si="217"/>
        <v>2.9322916666666665</v>
      </c>
      <c r="O163" s="130">
        <f t="shared" si="217"/>
        <v>2.9322916666666665</v>
      </c>
      <c r="P163" s="130">
        <f t="shared" si="217"/>
        <v>2.9322916666666665</v>
      </c>
      <c r="Q163" s="130">
        <f t="shared" si="217"/>
        <v>2.9322916666666665</v>
      </c>
      <c r="R163" s="130">
        <f t="shared" si="217"/>
        <v>2.9322916666666665</v>
      </c>
      <c r="S163" s="130">
        <f t="shared" si="217"/>
        <v>2.9322916666666665</v>
      </c>
      <c r="T163" s="130">
        <f t="shared" si="217"/>
        <v>2.932291666666667</v>
      </c>
      <c r="U163" s="130">
        <f t="shared" si="217"/>
        <v>2.9322916666666665</v>
      </c>
      <c r="V163" s="130">
        <f t="shared" si="217"/>
        <v>2.9322916666666665</v>
      </c>
      <c r="W163" s="130">
        <f t="shared" ref="W163" si="218">IF(W26=0,0,W26/W53)</f>
        <v>2.9322916666666665</v>
      </c>
      <c r="DA163" s="176" t="s">
        <v>573</v>
      </c>
    </row>
    <row r="164" spans="1:105" ht="11.45" customHeight="1" x14ac:dyDescent="0.25">
      <c r="A164" s="128" t="s">
        <v>27</v>
      </c>
      <c r="B164" s="97">
        <v>2.9322916666666665</v>
      </c>
      <c r="C164" s="97">
        <v>2.9322916666666665</v>
      </c>
      <c r="D164" s="97">
        <v>2.9322916666666665</v>
      </c>
      <c r="E164" s="97">
        <v>2.932291666666667</v>
      </c>
      <c r="F164" s="97">
        <v>2.9322916666666665</v>
      </c>
      <c r="G164" s="97">
        <v>2.9322916666666665</v>
      </c>
      <c r="H164" s="97">
        <v>2.9322916666666665</v>
      </c>
      <c r="I164" s="97">
        <v>2.932291666666667</v>
      </c>
      <c r="J164" s="97">
        <v>2.9322916666666661</v>
      </c>
      <c r="K164" s="97">
        <v>2.9322916666666665</v>
      </c>
      <c r="L164" s="97">
        <v>2.9322916666666665</v>
      </c>
      <c r="M164" s="97">
        <v>2.9322916666666665</v>
      </c>
      <c r="N164" s="97">
        <v>2.9322916666666665</v>
      </c>
      <c r="O164" s="97">
        <v>2.9322916666666665</v>
      </c>
      <c r="P164" s="97">
        <v>2.9322916666666665</v>
      </c>
      <c r="Q164" s="97">
        <v>2.9322916666666665</v>
      </c>
      <c r="R164" s="97">
        <v>2.9322916666666665</v>
      </c>
      <c r="S164" s="97">
        <v>2.9322916666666665</v>
      </c>
      <c r="T164" s="97">
        <v>2.932291666666667</v>
      </c>
      <c r="U164" s="97">
        <v>2.9322916666666665</v>
      </c>
      <c r="V164" s="97">
        <v>2.9322916666666665</v>
      </c>
      <c r="W164" s="97">
        <v>2.9322916666666665</v>
      </c>
      <c r="DA164" s="175" t="s">
        <v>574</v>
      </c>
    </row>
    <row r="165" spans="1:105" ht="11.45" customHeight="1" x14ac:dyDescent="0.25">
      <c r="A165" s="138" t="s">
        <v>116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8580.9208140209121</v>
      </c>
      <c r="C167" s="54">
        <f t="shared" si="219"/>
        <v>8360.3654326310461</v>
      </c>
      <c r="D167" s="54">
        <f t="shared" si="219"/>
        <v>7625.2464487143434</v>
      </c>
      <c r="E167" s="54">
        <f t="shared" si="219"/>
        <v>8126.9688225970458</v>
      </c>
      <c r="F167" s="54">
        <f t="shared" si="219"/>
        <v>8406.1343439103475</v>
      </c>
      <c r="G167" s="54">
        <f t="shared" si="219"/>
        <v>8357.0811463229566</v>
      </c>
      <c r="H167" s="54">
        <f t="shared" si="219"/>
        <v>8404.0054807035049</v>
      </c>
      <c r="I167" s="54">
        <f t="shared" si="219"/>
        <v>8190.6385502808898</v>
      </c>
      <c r="J167" s="54">
        <f t="shared" si="219"/>
        <v>8655.2878243032501</v>
      </c>
      <c r="K167" s="54">
        <f t="shared" si="219"/>
        <v>8794.4849034506788</v>
      </c>
      <c r="L167" s="54">
        <f t="shared" si="219"/>
        <v>8342.6635217410367</v>
      </c>
      <c r="M167" s="54">
        <f>IF(M30=0,0,M30*1000000/M57)</f>
        <v>8294.3013972827557</v>
      </c>
      <c r="N167" s="54">
        <f t="shared" ref="N167:V167" si="220">IF(N30=0,0,N30*1000000/N57)</f>
        <v>8259.8083512546254</v>
      </c>
      <c r="O167" s="54">
        <f t="shared" si="220"/>
        <v>8264.5486523249292</v>
      </c>
      <c r="P167" s="54">
        <f t="shared" si="220"/>
        <v>8414.6203025628456</v>
      </c>
      <c r="Q167" s="54">
        <f t="shared" si="220"/>
        <v>8453.9621655962492</v>
      </c>
      <c r="R167" s="54">
        <f t="shared" si="220"/>
        <v>8391.4627706059691</v>
      </c>
      <c r="S167" s="54">
        <f t="shared" si="220"/>
        <v>8099.7621105258713</v>
      </c>
      <c r="T167" s="54">
        <f t="shared" si="220"/>
        <v>7980.5123935447546</v>
      </c>
      <c r="U167" s="54">
        <f t="shared" si="220"/>
        <v>7830.8741520748035</v>
      </c>
      <c r="V167" s="54">
        <f t="shared" si="220"/>
        <v>7011.6205015635542</v>
      </c>
      <c r="W167" s="54">
        <f t="shared" ref="W167:W191" si="221">IF(W30=0,0,W30*1000000/W57)</f>
        <v>7142.9100465985384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7444.5625119353317</v>
      </c>
      <c r="C168" s="28">
        <f t="shared" si="219"/>
        <v>7316.5005759668738</v>
      </c>
      <c r="D168" s="28">
        <f t="shared" si="219"/>
        <v>7379.0511345405621</v>
      </c>
      <c r="E168" s="28">
        <f t="shared" si="219"/>
        <v>7434.8962175758597</v>
      </c>
      <c r="F168" s="28">
        <f t="shared" si="219"/>
        <v>7197.3796903043312</v>
      </c>
      <c r="G168" s="28">
        <f t="shared" si="219"/>
        <v>7913.7345504667783</v>
      </c>
      <c r="H168" s="28">
        <f t="shared" si="219"/>
        <v>7995.8817113491486</v>
      </c>
      <c r="I168" s="28">
        <f t="shared" si="219"/>
        <v>7563.7941998599281</v>
      </c>
      <c r="J168" s="28">
        <f t="shared" si="219"/>
        <v>8045.4672700457922</v>
      </c>
      <c r="K168" s="28">
        <f t="shared" si="219"/>
        <v>8177.4940131459007</v>
      </c>
      <c r="L168" s="28">
        <f t="shared" si="219"/>
        <v>7902.6912149727668</v>
      </c>
      <c r="M168" s="28">
        <f t="shared" ref="M168:M192" si="222">IF(M31=0,0,M31*1000000/M58)</f>
        <v>7847.7624389913562</v>
      </c>
      <c r="N168" s="28">
        <f t="shared" si="219"/>
        <v>7855.0930017196406</v>
      </c>
      <c r="O168" s="28">
        <f t="shared" si="219"/>
        <v>7860.2475166474815</v>
      </c>
      <c r="P168" s="28">
        <f t="shared" si="219"/>
        <v>8012.449646149551</v>
      </c>
      <c r="Q168" s="28">
        <f t="shared" si="219"/>
        <v>8073.0603395417429</v>
      </c>
      <c r="R168" s="28">
        <f t="shared" si="219"/>
        <v>8048.2955747309225</v>
      </c>
      <c r="S168" s="28">
        <f t="shared" si="219"/>
        <v>7720.8544362634484</v>
      </c>
      <c r="T168" s="28">
        <f t="shared" si="219"/>
        <v>7651.9918095054563</v>
      </c>
      <c r="U168" s="28">
        <f t="shared" si="219"/>
        <v>7467.9197975933203</v>
      </c>
      <c r="V168" s="28">
        <f t="shared" si="219"/>
        <v>6603.372760151261</v>
      </c>
      <c r="W168" s="28">
        <f t="shared" si="221"/>
        <v>6815.0116453764704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2351.6251192641535</v>
      </c>
      <c r="C169" s="137">
        <f t="shared" si="219"/>
        <v>2348.2464687925767</v>
      </c>
      <c r="D169" s="137">
        <f t="shared" si="219"/>
        <v>2347.0517642606501</v>
      </c>
      <c r="E169" s="137">
        <f t="shared" si="219"/>
        <v>2349.527595088447</v>
      </c>
      <c r="F169" s="137">
        <f t="shared" si="219"/>
        <v>2333.1677829492564</v>
      </c>
      <c r="G169" s="137">
        <f t="shared" si="219"/>
        <v>2324.1187024085607</v>
      </c>
      <c r="H169" s="137">
        <f t="shared" si="219"/>
        <v>2324.8526296644982</v>
      </c>
      <c r="I169" s="137">
        <f t="shared" si="219"/>
        <v>2324.5113190746097</v>
      </c>
      <c r="J169" s="137">
        <f t="shared" si="219"/>
        <v>2323.6709279008292</v>
      </c>
      <c r="K169" s="137">
        <f t="shared" si="219"/>
        <v>2303.5410238916093</v>
      </c>
      <c r="L169" s="137">
        <f t="shared" si="219"/>
        <v>2416.9411076479269</v>
      </c>
      <c r="M169" s="137">
        <f t="shared" si="222"/>
        <v>2432.9079806383565</v>
      </c>
      <c r="N169" s="137">
        <f t="shared" si="219"/>
        <v>2429.0151396740216</v>
      </c>
      <c r="O169" s="137">
        <f t="shared" si="219"/>
        <v>2421.544481376875</v>
      </c>
      <c r="P169" s="137">
        <f t="shared" si="219"/>
        <v>2418.1144972942184</v>
      </c>
      <c r="Q169" s="137">
        <f t="shared" si="219"/>
        <v>2292.3622713010882</v>
      </c>
      <c r="R169" s="137">
        <f t="shared" si="219"/>
        <v>2147.8511009157846</v>
      </c>
      <c r="S169" s="137">
        <f t="shared" si="219"/>
        <v>1858.453896976403</v>
      </c>
      <c r="T169" s="137">
        <f t="shared" si="219"/>
        <v>1612.8934304375157</v>
      </c>
      <c r="U169" s="137">
        <f t="shared" si="219"/>
        <v>1556.2469177398448</v>
      </c>
      <c r="V169" s="137">
        <f t="shared" si="219"/>
        <v>1329.6571926471224</v>
      </c>
      <c r="W169" s="137">
        <f t="shared" si="221"/>
        <v>1258.6464033054579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7683.4269201946663</v>
      </c>
      <c r="C170" s="110">
        <f t="shared" si="219"/>
        <v>7546.1073117389369</v>
      </c>
      <c r="D170" s="110">
        <f t="shared" si="219"/>
        <v>7615.0554760316472</v>
      </c>
      <c r="E170" s="110">
        <f t="shared" si="219"/>
        <v>7671.6844656908934</v>
      </c>
      <c r="F170" s="110">
        <f t="shared" si="219"/>
        <v>7392.6187947711669</v>
      </c>
      <c r="G170" s="110">
        <f t="shared" si="219"/>
        <v>8140.2496480506725</v>
      </c>
      <c r="H170" s="110">
        <f t="shared" si="219"/>
        <v>8225.1888185578719</v>
      </c>
      <c r="I170" s="110">
        <f t="shared" si="219"/>
        <v>7767.8403419804827</v>
      </c>
      <c r="J170" s="110">
        <f t="shared" si="219"/>
        <v>8312.7784175982015</v>
      </c>
      <c r="K170" s="110">
        <f t="shared" si="219"/>
        <v>8456.3177274290792</v>
      </c>
      <c r="L170" s="110">
        <f t="shared" si="219"/>
        <v>8119.0461752600822</v>
      </c>
      <c r="M170" s="110">
        <f t="shared" si="222"/>
        <v>8042.890875348563</v>
      </c>
      <c r="N170" s="110">
        <f t="shared" si="219"/>
        <v>8020.7960987083707</v>
      </c>
      <c r="O170" s="110">
        <f t="shared" si="219"/>
        <v>8039.180451474198</v>
      </c>
      <c r="P170" s="110">
        <f t="shared" si="219"/>
        <v>8178.3720867636148</v>
      </c>
      <c r="Q170" s="110">
        <f t="shared" si="219"/>
        <v>8251.3954192795209</v>
      </c>
      <c r="R170" s="110">
        <f t="shared" si="219"/>
        <v>8293.8471722108079</v>
      </c>
      <c r="S170" s="110">
        <f t="shared" si="219"/>
        <v>7995.8121857854212</v>
      </c>
      <c r="T170" s="110">
        <f t="shared" si="219"/>
        <v>7982.7481083890589</v>
      </c>
      <c r="U170" s="110">
        <f t="shared" si="219"/>
        <v>7841.5980203822473</v>
      </c>
      <c r="V170" s="110">
        <f t="shared" si="219"/>
        <v>6991.3265459379318</v>
      </c>
      <c r="W170" s="110">
        <f t="shared" si="221"/>
        <v>7313.1487944517003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7708.6875497031688</v>
      </c>
      <c r="C171" s="84">
        <f t="shared" si="219"/>
        <v>7544.4336813313903</v>
      </c>
      <c r="D171" s="84">
        <f t="shared" si="219"/>
        <v>7601.0568246738267</v>
      </c>
      <c r="E171" s="84">
        <f t="shared" si="219"/>
        <v>7621.3596686114997</v>
      </c>
      <c r="F171" s="84">
        <f t="shared" si="219"/>
        <v>7247.1192381410083</v>
      </c>
      <c r="G171" s="84">
        <f t="shared" si="219"/>
        <v>8102.4760234560681</v>
      </c>
      <c r="H171" s="84">
        <f t="shared" si="219"/>
        <v>8168.0674436745003</v>
      </c>
      <c r="I171" s="84">
        <f t="shared" si="219"/>
        <v>7587.030486130021</v>
      </c>
      <c r="J171" s="84">
        <f t="shared" si="219"/>
        <v>8204.9255511691117</v>
      </c>
      <c r="K171" s="84">
        <f t="shared" si="219"/>
        <v>8315.5839569400978</v>
      </c>
      <c r="L171" s="84">
        <f t="shared" si="219"/>
        <v>7511.3202604411827</v>
      </c>
      <c r="M171" s="84">
        <f t="shared" si="222"/>
        <v>7196.4919754525563</v>
      </c>
      <c r="N171" s="84">
        <f t="shared" si="219"/>
        <v>7025.5437668157274</v>
      </c>
      <c r="O171" s="84">
        <f t="shared" si="219"/>
        <v>6965.5186237266807</v>
      </c>
      <c r="P171" s="84">
        <f t="shared" si="219"/>
        <v>7136.3067113073557</v>
      </c>
      <c r="Q171" s="84">
        <f t="shared" si="219"/>
        <v>7123.9721891238469</v>
      </c>
      <c r="R171" s="84">
        <f t="shared" si="219"/>
        <v>7119.0449223479418</v>
      </c>
      <c r="S171" s="84">
        <f t="shared" si="219"/>
        <v>7060.4296809601028</v>
      </c>
      <c r="T171" s="84">
        <f t="shared" si="219"/>
        <v>6794.4714148173853</v>
      </c>
      <c r="U171" s="84">
        <f t="shared" si="219"/>
        <v>6680.1211202914083</v>
      </c>
      <c r="V171" s="84">
        <f t="shared" si="219"/>
        <v>5877.7261367368319</v>
      </c>
      <c r="W171" s="84">
        <f t="shared" si="221"/>
        <v>6058.8518952552758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7532.9641584339424</v>
      </c>
      <c r="C172" s="84">
        <f t="shared" si="219"/>
        <v>7555.3172445574464</v>
      </c>
      <c r="D172" s="84">
        <f t="shared" si="219"/>
        <v>7689.3570200170889</v>
      </c>
      <c r="E172" s="84">
        <f t="shared" si="219"/>
        <v>7934.7013784771652</v>
      </c>
      <c r="F172" s="84">
        <f t="shared" si="219"/>
        <v>8142.1800544527432</v>
      </c>
      <c r="G172" s="84">
        <f t="shared" si="219"/>
        <v>8331.8813420209317</v>
      </c>
      <c r="H172" s="84">
        <f t="shared" si="219"/>
        <v>8515.5307088712525</v>
      </c>
      <c r="I172" s="84">
        <f t="shared" si="219"/>
        <v>8690.2299044791325</v>
      </c>
      <c r="J172" s="84">
        <f t="shared" si="219"/>
        <v>8858.7615915651877</v>
      </c>
      <c r="K172" s="84">
        <f t="shared" si="219"/>
        <v>9157.0552844515587</v>
      </c>
      <c r="L172" s="84">
        <f t="shared" si="219"/>
        <v>9660.5658789711943</v>
      </c>
      <c r="M172" s="84">
        <f t="shared" si="222"/>
        <v>10110.53743192207</v>
      </c>
      <c r="N172" s="84">
        <f t="shared" si="219"/>
        <v>10350.932068154163</v>
      </c>
      <c r="O172" s="84">
        <f t="shared" si="219"/>
        <v>10483.818117411742</v>
      </c>
      <c r="P172" s="84">
        <f t="shared" si="219"/>
        <v>10487.574063633125</v>
      </c>
      <c r="Q172" s="84">
        <f t="shared" si="219"/>
        <v>10724.346962545269</v>
      </c>
      <c r="R172" s="84">
        <f t="shared" si="219"/>
        <v>10776.692316204713</v>
      </c>
      <c r="S172" s="84">
        <f t="shared" si="219"/>
        <v>9942.1665525002445</v>
      </c>
      <c r="T172" s="84">
        <f t="shared" si="219"/>
        <v>10452.308252759882</v>
      </c>
      <c r="U172" s="84">
        <f t="shared" si="219"/>
        <v>10207.229481874883</v>
      </c>
      <c r="V172" s="84">
        <f t="shared" si="219"/>
        <v>9229.3435635424885</v>
      </c>
      <c r="W172" s="84">
        <f t="shared" si="221"/>
        <v>9869.4522058535222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0</v>
      </c>
      <c r="I173" s="84">
        <f t="shared" si="219"/>
        <v>0</v>
      </c>
      <c r="J173" s="84">
        <f t="shared" si="219"/>
        <v>0</v>
      </c>
      <c r="K173" s="84">
        <f t="shared" si="219"/>
        <v>0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11329.461280861509</v>
      </c>
      <c r="S173" s="84">
        <f t="shared" si="219"/>
        <v>10575.304411936544</v>
      </c>
      <c r="T173" s="84">
        <f t="shared" si="219"/>
        <v>10873.877481132924</v>
      </c>
      <c r="U173" s="84">
        <f t="shared" si="219"/>
        <v>10351.920477693502</v>
      </c>
      <c r="V173" s="84">
        <f t="shared" si="219"/>
        <v>9008.564436345594</v>
      </c>
      <c r="W173" s="84">
        <f t="shared" si="221"/>
        <v>9727.805475770585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14525.739890513978</v>
      </c>
      <c r="M175" s="84">
        <f t="shared" si="222"/>
        <v>12306.591375789798</v>
      </c>
      <c r="N175" s="84">
        <f t="shared" si="219"/>
        <v>11762.405911389931</v>
      </c>
      <c r="O175" s="84">
        <f t="shared" si="219"/>
        <v>9708.1877685394502</v>
      </c>
      <c r="P175" s="84">
        <f t="shared" si="219"/>
        <v>9593.3814344904386</v>
      </c>
      <c r="Q175" s="84">
        <f t="shared" si="219"/>
        <v>9946.3803314641627</v>
      </c>
      <c r="R175" s="84">
        <f t="shared" si="219"/>
        <v>10649.693604009819</v>
      </c>
      <c r="S175" s="84">
        <f t="shared" si="219"/>
        <v>10760.644798537496</v>
      </c>
      <c r="T175" s="84">
        <f t="shared" si="219"/>
        <v>11279.294292435297</v>
      </c>
      <c r="U175" s="84">
        <f t="shared" si="219"/>
        <v>11623.474969132574</v>
      </c>
      <c r="V175" s="84">
        <f t="shared" si="219"/>
        <v>10819.023052412189</v>
      </c>
      <c r="W175" s="84">
        <f t="shared" si="221"/>
        <v>11909.661246452917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9339.8505907450108</v>
      </c>
      <c r="F176" s="84">
        <f t="shared" si="219"/>
        <v>9450.8472258070669</v>
      </c>
      <c r="G176" s="84">
        <f t="shared" si="219"/>
        <v>9755.7296212883721</v>
      </c>
      <c r="H176" s="84">
        <f t="shared" si="219"/>
        <v>9854.8811238123781</v>
      </c>
      <c r="I176" s="84">
        <f t="shared" si="219"/>
        <v>10063.77090026286</v>
      </c>
      <c r="J176" s="84">
        <f t="shared" si="219"/>
        <v>10180.078415879001</v>
      </c>
      <c r="K176" s="84">
        <f t="shared" si="219"/>
        <v>10235.606548578213</v>
      </c>
      <c r="L176" s="84">
        <f t="shared" si="219"/>
        <v>10440.210771333825</v>
      </c>
      <c r="M176" s="84">
        <f t="shared" si="222"/>
        <v>10486.497288120103</v>
      </c>
      <c r="N176" s="84">
        <f t="shared" si="219"/>
        <v>10495.657070975403</v>
      </c>
      <c r="O176" s="84">
        <f t="shared" si="219"/>
        <v>10503.476101867445</v>
      </c>
      <c r="P176" s="84">
        <f t="shared" si="219"/>
        <v>10545.440200444327</v>
      </c>
      <c r="Q176" s="84">
        <f t="shared" si="219"/>
        <v>10581.255671770388</v>
      </c>
      <c r="R176" s="84">
        <f t="shared" si="219"/>
        <v>10589.003265594332</v>
      </c>
      <c r="S176" s="84">
        <f t="shared" si="219"/>
        <v>10268.252278421933</v>
      </c>
      <c r="T176" s="84">
        <f t="shared" si="219"/>
        <v>10082.609027645944</v>
      </c>
      <c r="U176" s="84">
        <f t="shared" si="219"/>
        <v>10009.900699955098</v>
      </c>
      <c r="V176" s="84">
        <f t="shared" si="219"/>
        <v>9510.4780880878625</v>
      </c>
      <c r="W176" s="84">
        <f t="shared" si="221"/>
        <v>9984.049369744067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19184.782594938682</v>
      </c>
      <c r="C177" s="110">
        <f t="shared" si="219"/>
        <v>19630.390685182025</v>
      </c>
      <c r="D177" s="110">
        <f t="shared" si="219"/>
        <v>19979.094839684753</v>
      </c>
      <c r="E177" s="110">
        <f t="shared" si="219"/>
        <v>20358.625946482291</v>
      </c>
      <c r="F177" s="110">
        <f t="shared" si="219"/>
        <v>20804.55181838182</v>
      </c>
      <c r="G177" s="110">
        <f t="shared" si="219"/>
        <v>20500.127914074044</v>
      </c>
      <c r="H177" s="110">
        <f t="shared" si="219"/>
        <v>21028.054697916825</v>
      </c>
      <c r="I177" s="110">
        <f t="shared" si="219"/>
        <v>21434.275485775961</v>
      </c>
      <c r="J177" s="110">
        <f t="shared" si="219"/>
        <v>22159.667497673257</v>
      </c>
      <c r="K177" s="110">
        <f t="shared" si="219"/>
        <v>20132.294705343982</v>
      </c>
      <c r="L177" s="110">
        <f t="shared" si="219"/>
        <v>21370.610480821178</v>
      </c>
      <c r="M177" s="110">
        <f t="shared" si="222"/>
        <v>25849.199847275519</v>
      </c>
      <c r="N177" s="110">
        <f t="shared" si="219"/>
        <v>30821.430739545176</v>
      </c>
      <c r="O177" s="110">
        <f t="shared" si="219"/>
        <v>32211.804719008793</v>
      </c>
      <c r="P177" s="110">
        <f t="shared" si="219"/>
        <v>38106.652219505704</v>
      </c>
      <c r="Q177" s="110">
        <f t="shared" si="219"/>
        <v>39809.384546072899</v>
      </c>
      <c r="R177" s="110">
        <f t="shared" si="219"/>
        <v>39123.246492985971</v>
      </c>
      <c r="S177" s="110">
        <f t="shared" si="219"/>
        <v>38647.342995169085</v>
      </c>
      <c r="T177" s="110">
        <f t="shared" si="219"/>
        <v>38792.61363636364</v>
      </c>
      <c r="U177" s="110">
        <f t="shared" si="219"/>
        <v>35797.802197802201</v>
      </c>
      <c r="V177" s="110">
        <f t="shared" si="219"/>
        <v>28937.893789378937</v>
      </c>
      <c r="W177" s="110">
        <f t="shared" si="221"/>
        <v>25561.29032258064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18679.038076077235</v>
      </c>
      <c r="M178" s="102">
        <f t="shared" si="222"/>
        <v>18857.58249055027</v>
      </c>
      <c r="N178" s="102">
        <f t="shared" si="219"/>
        <v>19024.19551877095</v>
      </c>
      <c r="O178" s="102">
        <f t="shared" si="219"/>
        <v>19066.211830509252</v>
      </c>
      <c r="P178" s="102">
        <f t="shared" si="219"/>
        <v>19227.096268172423</v>
      </c>
      <c r="Q178" s="102">
        <f t="shared" si="219"/>
        <v>19269.166710796562</v>
      </c>
      <c r="R178" s="102">
        <f t="shared" si="219"/>
        <v>18542.184725117077</v>
      </c>
      <c r="S178" s="102">
        <f t="shared" si="219"/>
        <v>17939.31982143084</v>
      </c>
      <c r="T178" s="102">
        <f t="shared" si="219"/>
        <v>17649.927169106937</v>
      </c>
      <c r="U178" s="102">
        <f t="shared" si="219"/>
        <v>15897.604283040982</v>
      </c>
      <c r="V178" s="102">
        <f t="shared" si="219"/>
        <v>12460.883629520615</v>
      </c>
      <c r="W178" s="102">
        <f t="shared" si="221"/>
        <v>10720.043887881202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19184.782594938682</v>
      </c>
      <c r="C179" s="102">
        <f t="shared" si="219"/>
        <v>19630.390685182025</v>
      </c>
      <c r="D179" s="102">
        <f t="shared" si="219"/>
        <v>19979.094839684753</v>
      </c>
      <c r="E179" s="102">
        <f t="shared" si="219"/>
        <v>20358.625946482291</v>
      </c>
      <c r="F179" s="102">
        <f t="shared" si="219"/>
        <v>20804.55181838182</v>
      </c>
      <c r="G179" s="102">
        <f t="shared" si="219"/>
        <v>20500.127914074044</v>
      </c>
      <c r="H179" s="102">
        <f t="shared" si="219"/>
        <v>21028.054697916825</v>
      </c>
      <c r="I179" s="102">
        <f t="shared" si="219"/>
        <v>21434.275485775961</v>
      </c>
      <c r="J179" s="102">
        <f t="shared" si="219"/>
        <v>22159.667497673257</v>
      </c>
      <c r="K179" s="102">
        <f t="shared" si="219"/>
        <v>20132.294705343982</v>
      </c>
      <c r="L179" s="102">
        <f t="shared" si="219"/>
        <v>21397.041633731922</v>
      </c>
      <c r="M179" s="102">
        <f t="shared" si="222"/>
        <v>25909.437791187567</v>
      </c>
      <c r="N179" s="102">
        <f t="shared" si="219"/>
        <v>30916.789453800862</v>
      </c>
      <c r="O179" s="102">
        <f t="shared" si="219"/>
        <v>32312.389008326329</v>
      </c>
      <c r="P179" s="102">
        <f t="shared" si="219"/>
        <v>38233.715972403072</v>
      </c>
      <c r="Q179" s="102">
        <f t="shared" si="219"/>
        <v>39915.152918036219</v>
      </c>
      <c r="R179" s="102">
        <f t="shared" si="219"/>
        <v>39226.877216892659</v>
      </c>
      <c r="S179" s="102">
        <f t="shared" si="219"/>
        <v>38747.867379507617</v>
      </c>
      <c r="T179" s="102">
        <f t="shared" si="219"/>
        <v>38902.385406086098</v>
      </c>
      <c r="U179" s="102">
        <f t="shared" si="219"/>
        <v>35898.513684874364</v>
      </c>
      <c r="V179" s="102">
        <f t="shared" si="219"/>
        <v>28998.777495987186</v>
      </c>
      <c r="W179" s="102">
        <f t="shared" si="221"/>
        <v>25572.063600979021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0</v>
      </c>
      <c r="R182" s="102">
        <f t="shared" si="223"/>
        <v>0</v>
      </c>
      <c r="S182" s="102">
        <f t="shared" si="223"/>
        <v>0</v>
      </c>
      <c r="T182" s="102">
        <f t="shared" si="223"/>
        <v>39144.76827520306</v>
      </c>
      <c r="U182" s="102">
        <f t="shared" si="223"/>
        <v>38987.832598339242</v>
      </c>
      <c r="V182" s="102">
        <f t="shared" si="223"/>
        <v>33238.162627587917</v>
      </c>
      <c r="W182" s="102">
        <f t="shared" si="221"/>
        <v>38336.760624391361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14261.407098975485</v>
      </c>
      <c r="C183" s="28">
        <f t="shared" si="223"/>
        <v>13763.259790344466</v>
      </c>
      <c r="D183" s="28">
        <f t="shared" si="223"/>
        <v>8939.6313648723954</v>
      </c>
      <c r="E183" s="28">
        <f t="shared" si="223"/>
        <v>11896.752115189965</v>
      </c>
      <c r="F183" s="28">
        <f t="shared" si="223"/>
        <v>15060.13585958176</v>
      </c>
      <c r="G183" s="28">
        <f t="shared" si="223"/>
        <v>10813.990029243134</v>
      </c>
      <c r="H183" s="28">
        <f t="shared" si="223"/>
        <v>10675.095523473805</v>
      </c>
      <c r="I183" s="28">
        <f t="shared" si="223"/>
        <v>11710.848053853942</v>
      </c>
      <c r="J183" s="28">
        <f t="shared" si="223"/>
        <v>12124.339003494415</v>
      </c>
      <c r="K183" s="28">
        <f t="shared" si="223"/>
        <v>12462.570259229315</v>
      </c>
      <c r="L183" s="28">
        <f t="shared" si="223"/>
        <v>11077.553699205873</v>
      </c>
      <c r="M183" s="28">
        <f t="shared" si="222"/>
        <v>11150.301192698018</v>
      </c>
      <c r="N183" s="28">
        <f t="shared" si="223"/>
        <v>10868.368510970717</v>
      </c>
      <c r="O183" s="28">
        <f t="shared" si="223"/>
        <v>10907.772864563836</v>
      </c>
      <c r="P183" s="28">
        <f t="shared" si="223"/>
        <v>11123.21601752439</v>
      </c>
      <c r="Q183" s="28">
        <f t="shared" si="223"/>
        <v>11061.780944702125</v>
      </c>
      <c r="R183" s="28">
        <f t="shared" si="223"/>
        <v>10777.061468856791</v>
      </c>
      <c r="S183" s="28">
        <f t="shared" si="223"/>
        <v>10735.053359040328</v>
      </c>
      <c r="T183" s="28">
        <f t="shared" si="223"/>
        <v>10252.656248681691</v>
      </c>
      <c r="U183" s="28">
        <f t="shared" si="223"/>
        <v>10321.948867392672</v>
      </c>
      <c r="V183" s="28">
        <f t="shared" si="223"/>
        <v>9766.9358260699537</v>
      </c>
      <c r="W183" s="28">
        <f t="shared" si="221"/>
        <v>9374.9018309877683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9127.4419548947062</v>
      </c>
      <c r="C184" s="137">
        <f t="shared" si="223"/>
        <v>9165.1765385253675</v>
      </c>
      <c r="D184" s="137">
        <f t="shared" si="223"/>
        <v>9279.56036269797</v>
      </c>
      <c r="E184" s="137">
        <f t="shared" si="223"/>
        <v>9364.4347716277571</v>
      </c>
      <c r="F184" s="137">
        <f t="shared" si="223"/>
        <v>9305.0531469673278</v>
      </c>
      <c r="G184" s="137">
        <f t="shared" si="223"/>
        <v>9258.2164527640252</v>
      </c>
      <c r="H184" s="137">
        <f t="shared" si="223"/>
        <v>9429.3358944385473</v>
      </c>
      <c r="I184" s="137">
        <f t="shared" si="223"/>
        <v>9976.5662517426626</v>
      </c>
      <c r="J184" s="137">
        <f t="shared" si="223"/>
        <v>10332.64148095941</v>
      </c>
      <c r="K184" s="137">
        <f t="shared" si="223"/>
        <v>10764.666925075784</v>
      </c>
      <c r="L184" s="137">
        <f t="shared" si="223"/>
        <v>10089.102737403324</v>
      </c>
      <c r="M184" s="137">
        <f t="shared" si="222"/>
        <v>10481.135422699503</v>
      </c>
      <c r="N184" s="137">
        <f t="shared" si="223"/>
        <v>10429.383675382649</v>
      </c>
      <c r="O184" s="137">
        <f t="shared" si="223"/>
        <v>10447.792211814074</v>
      </c>
      <c r="P184" s="137">
        <f t="shared" si="223"/>
        <v>10915.376559116741</v>
      </c>
      <c r="Q184" s="137">
        <f t="shared" si="223"/>
        <v>11072.21955896313</v>
      </c>
      <c r="R184" s="137">
        <f t="shared" si="223"/>
        <v>10716.725601388322</v>
      </c>
      <c r="S184" s="137">
        <f t="shared" si="223"/>
        <v>10803.589690601315</v>
      </c>
      <c r="T184" s="137">
        <f t="shared" si="223"/>
        <v>10389.335184528147</v>
      </c>
      <c r="U184" s="137">
        <f t="shared" si="223"/>
        <v>10508.22958452947</v>
      </c>
      <c r="V184" s="137">
        <f t="shared" si="223"/>
        <v>9889.8181926678753</v>
      </c>
      <c r="W184" s="137">
        <f t="shared" si="221"/>
        <v>9427.1500433929032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5090.8294560032109</v>
      </c>
      <c r="C185" s="84">
        <f t="shared" si="223"/>
        <v>6000.2646295264849</v>
      </c>
      <c r="D185" s="84">
        <f t="shared" si="223"/>
        <v>6101.7902115189772</v>
      </c>
      <c r="E185" s="84">
        <f t="shared" si="223"/>
        <v>6087.4585175278107</v>
      </c>
      <c r="F185" s="84">
        <f t="shared" si="223"/>
        <v>6125.2617572473464</v>
      </c>
      <c r="G185" s="84">
        <f t="shared" si="223"/>
        <v>6295.060946060682</v>
      </c>
      <c r="H185" s="84">
        <f t="shared" si="223"/>
        <v>6284.2803679304989</v>
      </c>
      <c r="I185" s="84">
        <f t="shared" si="223"/>
        <v>6171.7135186763044</v>
      </c>
      <c r="J185" s="84">
        <f t="shared" si="223"/>
        <v>5848.553290371281</v>
      </c>
      <c r="K185" s="84">
        <f t="shared" si="223"/>
        <v>6007.4979275222686</v>
      </c>
      <c r="L185" s="84">
        <f t="shared" si="223"/>
        <v>6454.4609481558746</v>
      </c>
      <c r="M185" s="84">
        <f t="shared" si="222"/>
        <v>6340.3628789294844</v>
      </c>
      <c r="N185" s="84">
        <f t="shared" si="223"/>
        <v>6649.2656812210698</v>
      </c>
      <c r="O185" s="84">
        <f t="shared" si="223"/>
        <v>6724.0381911408504</v>
      </c>
      <c r="P185" s="84">
        <f t="shared" si="223"/>
        <v>7052.1024631466626</v>
      </c>
      <c r="Q185" s="84">
        <f t="shared" si="223"/>
        <v>7023.4062883562001</v>
      </c>
      <c r="R185" s="84">
        <f t="shared" si="223"/>
        <v>6728.4261463966204</v>
      </c>
      <c r="S185" s="84">
        <f t="shared" si="223"/>
        <v>6711.6290761518685</v>
      </c>
      <c r="T185" s="84">
        <f t="shared" si="223"/>
        <v>6387.9762175668056</v>
      </c>
      <c r="U185" s="84">
        <f t="shared" si="223"/>
        <v>6401.2275251685769</v>
      </c>
      <c r="V185" s="84">
        <f t="shared" si="223"/>
        <v>6082.4791062605436</v>
      </c>
      <c r="W185" s="84">
        <f t="shared" si="221"/>
        <v>5773.4367516815009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9379.6163704452847</v>
      </c>
      <c r="C186" s="84">
        <f t="shared" si="223"/>
        <v>9368.3861382354971</v>
      </c>
      <c r="D186" s="84">
        <f t="shared" si="223"/>
        <v>9477.8433059843774</v>
      </c>
      <c r="E186" s="84">
        <f t="shared" si="223"/>
        <v>9563.0795476822677</v>
      </c>
      <c r="F186" s="84">
        <f t="shared" si="223"/>
        <v>9492.3541656948128</v>
      </c>
      <c r="G186" s="84">
        <f t="shared" si="223"/>
        <v>9427.9361732741036</v>
      </c>
      <c r="H186" s="84">
        <f t="shared" si="223"/>
        <v>9604.433194881778</v>
      </c>
      <c r="I186" s="84">
        <f t="shared" si="223"/>
        <v>10182.448116480824</v>
      </c>
      <c r="J186" s="84">
        <f t="shared" si="223"/>
        <v>10568.784648355848</v>
      </c>
      <c r="K186" s="84">
        <f t="shared" si="223"/>
        <v>11008.222632394491</v>
      </c>
      <c r="L186" s="84">
        <f t="shared" si="223"/>
        <v>10269.980749902898</v>
      </c>
      <c r="M186" s="84">
        <f t="shared" si="222"/>
        <v>10674.926477721827</v>
      </c>
      <c r="N186" s="84">
        <f t="shared" si="223"/>
        <v>10590.73921873226</v>
      </c>
      <c r="O186" s="84">
        <f t="shared" si="223"/>
        <v>10603.641181864297</v>
      </c>
      <c r="P186" s="84">
        <f t="shared" si="223"/>
        <v>11072.680528735465</v>
      </c>
      <c r="Q186" s="84">
        <f t="shared" si="223"/>
        <v>11229.346182733974</v>
      </c>
      <c r="R186" s="84">
        <f t="shared" si="223"/>
        <v>10865.295498280962</v>
      </c>
      <c r="S186" s="84">
        <f t="shared" si="223"/>
        <v>10946.552717764695</v>
      </c>
      <c r="T186" s="84">
        <f t="shared" si="223"/>
        <v>10522.867221704355</v>
      </c>
      <c r="U186" s="84">
        <f t="shared" si="223"/>
        <v>10650.142965343513</v>
      </c>
      <c r="V186" s="84">
        <f t="shared" si="223"/>
        <v>10018.622067811411</v>
      </c>
      <c r="W186" s="84">
        <f t="shared" si="221"/>
        <v>9557.3547235324859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9887.821807361488</v>
      </c>
      <c r="T187" s="84">
        <f t="shared" si="223"/>
        <v>9489.1444706699676</v>
      </c>
      <c r="U187" s="84">
        <f t="shared" si="223"/>
        <v>9587.9141052997802</v>
      </c>
      <c r="V187" s="84">
        <f t="shared" si="223"/>
        <v>9034.5863274236945</v>
      </c>
      <c r="W187" s="84">
        <f t="shared" si="221"/>
        <v>8611.3752305697399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7706.935042922988</v>
      </c>
      <c r="K189" s="84">
        <f t="shared" si="223"/>
        <v>7917.4831907738844</v>
      </c>
      <c r="L189" s="84">
        <f t="shared" si="223"/>
        <v>8616.548367928006</v>
      </c>
      <c r="M189" s="84">
        <f t="shared" si="222"/>
        <v>8803.0031606698776</v>
      </c>
      <c r="N189" s="84">
        <f t="shared" si="223"/>
        <v>8843.6922742973675</v>
      </c>
      <c r="O189" s="84">
        <f t="shared" si="223"/>
        <v>8976.071536249774</v>
      </c>
      <c r="P189" s="84">
        <f t="shared" si="223"/>
        <v>8980.4426760361166</v>
      </c>
      <c r="Q189" s="84">
        <f t="shared" si="223"/>
        <v>9095.3190104186197</v>
      </c>
      <c r="R189" s="84">
        <f t="shared" si="223"/>
        <v>8929.5959172858438</v>
      </c>
      <c r="S189" s="84">
        <f t="shared" si="223"/>
        <v>8920.0353176296812</v>
      </c>
      <c r="T189" s="84">
        <f t="shared" si="223"/>
        <v>8733.0799387962925</v>
      </c>
      <c r="U189" s="84">
        <f t="shared" si="223"/>
        <v>8725.3274134755411</v>
      </c>
      <c r="V189" s="84">
        <f t="shared" si="223"/>
        <v>8536.4025654026209</v>
      </c>
      <c r="W189" s="84">
        <f t="shared" si="221"/>
        <v>8347.7487198979761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27531.549047473785</v>
      </c>
      <c r="C190" s="110">
        <f t="shared" si="223"/>
        <v>25612.344337144197</v>
      </c>
      <c r="D190" s="110">
        <f t="shared" si="223"/>
        <v>8060.2606228714631</v>
      </c>
      <c r="E190" s="110">
        <f t="shared" si="223"/>
        <v>18555.740448807977</v>
      </c>
      <c r="F190" s="110">
        <f t="shared" si="223"/>
        <v>30168.670685523688</v>
      </c>
      <c r="G190" s="110">
        <f t="shared" si="223"/>
        <v>14881.419223673282</v>
      </c>
      <c r="H190" s="110">
        <f t="shared" si="223"/>
        <v>14109.361157594256</v>
      </c>
      <c r="I190" s="110">
        <f t="shared" si="223"/>
        <v>16781.335621678008</v>
      </c>
      <c r="J190" s="110">
        <f t="shared" si="223"/>
        <v>17448.380742409252</v>
      </c>
      <c r="K190" s="110">
        <f t="shared" si="223"/>
        <v>17505.279410601437</v>
      </c>
      <c r="L190" s="110">
        <f t="shared" si="223"/>
        <v>14109.361157594254</v>
      </c>
      <c r="M190" s="110">
        <f t="shared" si="222"/>
        <v>13200.547649728605</v>
      </c>
      <c r="N190" s="110">
        <f t="shared" si="223"/>
        <v>12229.800315441969</v>
      </c>
      <c r="O190" s="110">
        <f t="shared" si="223"/>
        <v>12373.275538981723</v>
      </c>
      <c r="P190" s="110">
        <f t="shared" si="223"/>
        <v>11794.858433346319</v>
      </c>
      <c r="Q190" s="110">
        <f t="shared" si="223"/>
        <v>11027.901267675894</v>
      </c>
      <c r="R190" s="110">
        <f t="shared" si="223"/>
        <v>10971.557133386706</v>
      </c>
      <c r="S190" s="110">
        <f t="shared" si="223"/>
        <v>10513.163338712628</v>
      </c>
      <c r="T190" s="110">
        <f t="shared" si="223"/>
        <v>9801.6108270212735</v>
      </c>
      <c r="U190" s="110">
        <f t="shared" si="223"/>
        <v>9709.5701703382801</v>
      </c>
      <c r="V190" s="110">
        <f t="shared" si="223"/>
        <v>9367.1753669721274</v>
      </c>
      <c r="W190" s="110">
        <f t="shared" si="221"/>
        <v>9205.632554533584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27531.549047473785</v>
      </c>
      <c r="C191" s="102">
        <f t="shared" si="223"/>
        <v>25612.344337144197</v>
      </c>
      <c r="D191" s="102">
        <f t="shared" si="223"/>
        <v>8060.2606228714631</v>
      </c>
      <c r="E191" s="102">
        <f t="shared" si="223"/>
        <v>18555.740448807977</v>
      </c>
      <c r="F191" s="102">
        <f t="shared" si="223"/>
        <v>30168.670685523688</v>
      </c>
      <c r="G191" s="102">
        <f t="shared" si="223"/>
        <v>14881.419223673282</v>
      </c>
      <c r="H191" s="102">
        <f t="shared" si="223"/>
        <v>14109.361157594256</v>
      </c>
      <c r="I191" s="102">
        <f t="shared" si="223"/>
        <v>16781.335621678008</v>
      </c>
      <c r="J191" s="102">
        <f t="shared" si="223"/>
        <v>17448.380742409252</v>
      </c>
      <c r="K191" s="102">
        <f t="shared" si="223"/>
        <v>17505.279410601437</v>
      </c>
      <c r="L191" s="102">
        <f t="shared" si="223"/>
        <v>14109.361157594254</v>
      </c>
      <c r="M191" s="102">
        <f t="shared" si="222"/>
        <v>13200.547649728605</v>
      </c>
      <c r="N191" s="102">
        <f t="shared" si="223"/>
        <v>12229.800315441969</v>
      </c>
      <c r="O191" s="102">
        <f t="shared" si="223"/>
        <v>12373.275538981723</v>
      </c>
      <c r="P191" s="102">
        <f t="shared" si="223"/>
        <v>11794.858433346319</v>
      </c>
      <c r="Q191" s="102">
        <f t="shared" si="223"/>
        <v>11027.901267675894</v>
      </c>
      <c r="R191" s="102">
        <f t="shared" si="223"/>
        <v>10971.557133386706</v>
      </c>
      <c r="S191" s="102">
        <f t="shared" si="223"/>
        <v>10513.163338712628</v>
      </c>
      <c r="T191" s="102">
        <f t="shared" si="223"/>
        <v>9801.6108270212735</v>
      </c>
      <c r="U191" s="102">
        <f t="shared" si="223"/>
        <v>9709.5701703382801</v>
      </c>
      <c r="V191" s="102">
        <f t="shared" si="223"/>
        <v>9367.1753669721274</v>
      </c>
      <c r="W191" s="102">
        <f t="shared" si="221"/>
        <v>9205.632554533584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0</v>
      </c>
      <c r="C192" s="86">
        <f t="shared" si="223"/>
        <v>0</v>
      </c>
      <c r="D192" s="86">
        <f t="shared" si="223"/>
        <v>0</v>
      </c>
      <c r="E192" s="86">
        <f t="shared" si="223"/>
        <v>0</v>
      </c>
      <c r="F192" s="86">
        <f t="shared" si="223"/>
        <v>0</v>
      </c>
      <c r="G192" s="86">
        <f t="shared" si="223"/>
        <v>0</v>
      </c>
      <c r="H192" s="86">
        <f t="shared" si="223"/>
        <v>0</v>
      </c>
      <c r="I192" s="86">
        <f t="shared" si="223"/>
        <v>0</v>
      </c>
      <c r="J192" s="86">
        <f t="shared" si="223"/>
        <v>0</v>
      </c>
      <c r="K192" s="86">
        <f t="shared" si="223"/>
        <v>0</v>
      </c>
      <c r="L192" s="86">
        <f t="shared" si="223"/>
        <v>0</v>
      </c>
      <c r="M192" s="86">
        <f t="shared" si="222"/>
        <v>0</v>
      </c>
      <c r="N192" s="86">
        <f t="shared" si="223"/>
        <v>0</v>
      </c>
      <c r="O192" s="86">
        <f t="shared" si="223"/>
        <v>0</v>
      </c>
      <c r="P192" s="86">
        <f t="shared" si="223"/>
        <v>0</v>
      </c>
      <c r="Q192" s="86">
        <f t="shared" si="223"/>
        <v>0</v>
      </c>
      <c r="R192" s="86">
        <f t="shared" si="223"/>
        <v>0</v>
      </c>
      <c r="S192" s="86">
        <f t="shared" si="223"/>
        <v>0</v>
      </c>
      <c r="T192" s="86">
        <f t="shared" si="223"/>
        <v>0</v>
      </c>
      <c r="U192" s="86">
        <f t="shared" si="223"/>
        <v>0</v>
      </c>
      <c r="V192" s="86">
        <f t="shared" ref="V192:W192" si="224">IF(V55=0,0,V55*1000000/V82)</f>
        <v>0</v>
      </c>
      <c r="W192" s="86">
        <f t="shared" si="224"/>
        <v>0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11702.602548586005</v>
      </c>
      <c r="C195" s="28">
        <f t="shared" si="225"/>
        <v>11363.225715167529</v>
      </c>
      <c r="D195" s="28">
        <f t="shared" si="225"/>
        <v>11272.932396677874</v>
      </c>
      <c r="E195" s="28">
        <f t="shared" si="225"/>
        <v>11179.705312862543</v>
      </c>
      <c r="F195" s="28">
        <f t="shared" si="225"/>
        <v>11341.415511109373</v>
      </c>
      <c r="G195" s="28">
        <f t="shared" si="225"/>
        <v>11477.610057688094</v>
      </c>
      <c r="H195" s="28">
        <f t="shared" si="225"/>
        <v>11442.708436148496</v>
      </c>
      <c r="I195" s="28">
        <f t="shared" si="225"/>
        <v>11335.937538026903</v>
      </c>
      <c r="J195" s="28">
        <f t="shared" si="225"/>
        <v>11300.839051373505</v>
      </c>
      <c r="K195" s="28">
        <f t="shared" si="225"/>
        <v>11103.101644721788</v>
      </c>
      <c r="L195" s="28">
        <f t="shared" si="225"/>
        <v>10659.789921427053</v>
      </c>
      <c r="M195" s="28">
        <f>IF(M4=0,0,M4*1000000/M58)</f>
        <v>10397.200748963483</v>
      </c>
      <c r="N195" s="28">
        <f t="shared" ref="N195:V195" si="226">IF(N4=0,0,N4*1000000/N58)</f>
        <v>10340.688298812371</v>
      </c>
      <c r="O195" s="28">
        <f t="shared" si="226"/>
        <v>10220.294879864423</v>
      </c>
      <c r="P195" s="28">
        <f t="shared" si="226"/>
        <v>10333.914333311865</v>
      </c>
      <c r="Q195" s="28">
        <f t="shared" si="226"/>
        <v>10437.531330836504</v>
      </c>
      <c r="R195" s="28">
        <f t="shared" si="226"/>
        <v>10394.6474816054</v>
      </c>
      <c r="S195" s="28">
        <f t="shared" si="226"/>
        <v>10127.175086147818</v>
      </c>
      <c r="T195" s="28">
        <f t="shared" si="226"/>
        <v>9979.0954295233678</v>
      </c>
      <c r="U195" s="28">
        <f t="shared" si="226"/>
        <v>9939.8504182119359</v>
      </c>
      <c r="V195" s="28">
        <f t="shared" si="226"/>
        <v>8177.1971786705708</v>
      </c>
      <c r="W195" s="28">
        <f t="shared" ref="W195" si="227">IF(W4=0,0,W4*1000000/W58)</f>
        <v>8545.3937466616353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2621.5333383600337</v>
      </c>
      <c r="C196" s="137">
        <f t="shared" si="228"/>
        <v>2617.7166932739415</v>
      </c>
      <c r="D196" s="137">
        <f t="shared" si="228"/>
        <v>2615.9302605828752</v>
      </c>
      <c r="E196" s="137">
        <f t="shared" si="228"/>
        <v>2619.7894927501602</v>
      </c>
      <c r="F196" s="137">
        <f t="shared" si="228"/>
        <v>2601.8962357058672</v>
      </c>
      <c r="G196" s="137">
        <f t="shared" si="228"/>
        <v>2589.4579563238731</v>
      </c>
      <c r="H196" s="137">
        <f t="shared" si="228"/>
        <v>2590.9982184598553</v>
      </c>
      <c r="I196" s="137">
        <f t="shared" si="228"/>
        <v>2594.7759530594012</v>
      </c>
      <c r="J196" s="137">
        <f t="shared" si="228"/>
        <v>2595.2029262166861</v>
      </c>
      <c r="K196" s="137">
        <f t="shared" si="228"/>
        <v>2573.955372143047</v>
      </c>
      <c r="L196" s="137">
        <f t="shared" si="228"/>
        <v>2696.0278500210156</v>
      </c>
      <c r="M196" s="137">
        <f>IF(M5=0,0,M5*1000000/M59)</f>
        <v>2711.4611062476679</v>
      </c>
      <c r="N196" s="137">
        <f t="shared" ref="N196:V196" si="229">IF(N5=0,0,N5*1000000/N59)</f>
        <v>2690.4147465025271</v>
      </c>
      <c r="O196" s="137">
        <f t="shared" si="229"/>
        <v>2680.7603355206411</v>
      </c>
      <c r="P196" s="137">
        <f t="shared" si="229"/>
        <v>2682.7756167062357</v>
      </c>
      <c r="Q196" s="137">
        <f t="shared" si="229"/>
        <v>2547.6554676052342</v>
      </c>
      <c r="R196" s="137">
        <f t="shared" si="229"/>
        <v>2390.9380598210937</v>
      </c>
      <c r="S196" s="137">
        <f t="shared" si="229"/>
        <v>2066.3129142019361</v>
      </c>
      <c r="T196" s="137">
        <f t="shared" si="229"/>
        <v>1791.4656499008202</v>
      </c>
      <c r="U196" s="137">
        <f t="shared" si="229"/>
        <v>1730.2031383768667</v>
      </c>
      <c r="V196" s="137">
        <f t="shared" si="229"/>
        <v>1476.6889023796252</v>
      </c>
      <c r="W196" s="137">
        <f t="shared" ref="W196" si="230">IF(W5=0,0,W5*1000000/W59)</f>
        <v>1398.1153624157098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9884.4073474094621</v>
      </c>
      <c r="C197" s="110">
        <f t="shared" si="231"/>
        <v>9549.3249157802602</v>
      </c>
      <c r="D197" s="110">
        <f t="shared" si="231"/>
        <v>9484.5043705621483</v>
      </c>
      <c r="E197" s="110">
        <f t="shared" si="231"/>
        <v>9409.4807947544632</v>
      </c>
      <c r="F197" s="110">
        <f t="shared" si="231"/>
        <v>9526.0427352932547</v>
      </c>
      <c r="G197" s="110">
        <f t="shared" si="231"/>
        <v>9701.7676620680286</v>
      </c>
      <c r="H197" s="110">
        <f t="shared" si="231"/>
        <v>9677.1148036253762</v>
      </c>
      <c r="I197" s="110">
        <f t="shared" si="231"/>
        <v>9614.1080167926411</v>
      </c>
      <c r="J197" s="110">
        <f t="shared" si="231"/>
        <v>9650.9931545281088</v>
      </c>
      <c r="K197" s="110">
        <f t="shared" si="231"/>
        <v>9606.315715932511</v>
      </c>
      <c r="L197" s="110">
        <f t="shared" si="231"/>
        <v>9130.7902698978614</v>
      </c>
      <c r="M197" s="110">
        <f>IF(M6=0,0,M6*1000000/M60)</f>
        <v>9007.5428647588597</v>
      </c>
      <c r="N197" s="110">
        <f t="shared" ref="N197:V197" si="232">IF(N6=0,0,N6*1000000/N60)</f>
        <v>8966.0993176780667</v>
      </c>
      <c r="O197" s="110">
        <f t="shared" si="232"/>
        <v>8935.0602198741544</v>
      </c>
      <c r="P197" s="110">
        <f t="shared" si="232"/>
        <v>9062.205400688119</v>
      </c>
      <c r="Q197" s="110">
        <f t="shared" si="232"/>
        <v>9100.2414379288202</v>
      </c>
      <c r="R197" s="110">
        <f t="shared" si="232"/>
        <v>9168.3511356267682</v>
      </c>
      <c r="S197" s="110">
        <f t="shared" si="232"/>
        <v>8972.9444924734889</v>
      </c>
      <c r="T197" s="110">
        <f t="shared" si="232"/>
        <v>8902.1957351643578</v>
      </c>
      <c r="U197" s="110">
        <f t="shared" si="232"/>
        <v>8858.8953329736469</v>
      </c>
      <c r="V197" s="110">
        <f t="shared" si="232"/>
        <v>7687.4557625800935</v>
      </c>
      <c r="W197" s="110">
        <f t="shared" ref="W197:W209" si="233">IF(W6=0,0,W6*1000000/W60)</f>
        <v>8100.4276068298705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9781.8949444106438</v>
      </c>
      <c r="C198" s="84">
        <f t="shared" si="231"/>
        <v>9405.3959925781655</v>
      </c>
      <c r="D198" s="84">
        <f t="shared" si="231"/>
        <v>9320.9469410736128</v>
      </c>
      <c r="E198" s="84">
        <f t="shared" si="231"/>
        <v>9198.362056971222</v>
      </c>
      <c r="F198" s="84">
        <f t="shared" si="231"/>
        <v>9177.8064671932461</v>
      </c>
      <c r="G198" s="84">
        <f t="shared" si="231"/>
        <v>9500.4647730027482</v>
      </c>
      <c r="H198" s="84">
        <f t="shared" si="231"/>
        <v>9452.7504595952869</v>
      </c>
      <c r="I198" s="84">
        <f t="shared" si="231"/>
        <v>9224.9895432644844</v>
      </c>
      <c r="J198" s="84">
        <f t="shared" si="231"/>
        <v>9364.9920844162825</v>
      </c>
      <c r="K198" s="84">
        <f t="shared" si="231"/>
        <v>9282.1757837234381</v>
      </c>
      <c r="L198" s="84">
        <f t="shared" si="231"/>
        <v>8180.6543365815496</v>
      </c>
      <c r="M198" s="84">
        <f t="shared" ref="M198:M219" si="234">IF(M7=0,0,M7*1000000/M61)</f>
        <v>7783.1631364028653</v>
      </c>
      <c r="N198" s="84">
        <f t="shared" si="231"/>
        <v>7569.1382611465087</v>
      </c>
      <c r="O198" s="84">
        <f t="shared" si="231"/>
        <v>7452.9988204433303</v>
      </c>
      <c r="P198" s="84">
        <f t="shared" si="231"/>
        <v>7613.0259554437434</v>
      </c>
      <c r="Q198" s="84">
        <f t="shared" si="231"/>
        <v>7559.5210849459691</v>
      </c>
      <c r="R198" s="84">
        <f t="shared" si="231"/>
        <v>7570.0564987975586</v>
      </c>
      <c r="S198" s="84">
        <f t="shared" si="231"/>
        <v>7630.4959614523432</v>
      </c>
      <c r="T198" s="84">
        <f t="shared" si="231"/>
        <v>7281.6171903119157</v>
      </c>
      <c r="U198" s="84">
        <f t="shared" si="231"/>
        <v>7253.7761479758065</v>
      </c>
      <c r="V198" s="84">
        <f t="shared" si="231"/>
        <v>6209.3543959635117</v>
      </c>
      <c r="W198" s="84">
        <f t="shared" si="233"/>
        <v>6447.4118409917146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10495.013637515534</v>
      </c>
      <c r="C199" s="84">
        <f t="shared" si="231"/>
        <v>10341.36102324742</v>
      </c>
      <c r="D199" s="84">
        <f t="shared" si="231"/>
        <v>10352.628679872776</v>
      </c>
      <c r="E199" s="84">
        <f t="shared" si="231"/>
        <v>10514.368268239676</v>
      </c>
      <c r="F199" s="84">
        <f t="shared" si="231"/>
        <v>11321.103103446394</v>
      </c>
      <c r="G199" s="84">
        <f t="shared" si="231"/>
        <v>10726.171306440592</v>
      </c>
      <c r="H199" s="84">
        <f t="shared" si="231"/>
        <v>10819.94747769354</v>
      </c>
      <c r="I199" s="84">
        <f t="shared" si="231"/>
        <v>11601.118808759014</v>
      </c>
      <c r="J199" s="84">
        <f t="shared" si="231"/>
        <v>11101.466146758918</v>
      </c>
      <c r="K199" s="84">
        <f t="shared" si="231"/>
        <v>11222.443490226389</v>
      </c>
      <c r="L199" s="84">
        <f t="shared" si="231"/>
        <v>11551.77934131762</v>
      </c>
      <c r="M199" s="84">
        <f t="shared" si="234"/>
        <v>12005.605938919716</v>
      </c>
      <c r="N199" s="84">
        <f t="shared" si="231"/>
        <v>12243.920697618094</v>
      </c>
      <c r="O199" s="84">
        <f t="shared" si="231"/>
        <v>12316.055224170203</v>
      </c>
      <c r="P199" s="84">
        <f t="shared" si="231"/>
        <v>12283.818729507013</v>
      </c>
      <c r="Q199" s="84">
        <f t="shared" si="231"/>
        <v>12494.459639729444</v>
      </c>
      <c r="R199" s="84">
        <f t="shared" si="231"/>
        <v>12581.644968011831</v>
      </c>
      <c r="S199" s="84">
        <f t="shared" si="231"/>
        <v>11797.153330088395</v>
      </c>
      <c r="T199" s="84">
        <f t="shared" si="231"/>
        <v>12298.692178271316</v>
      </c>
      <c r="U199" s="84">
        <f t="shared" si="231"/>
        <v>12169.206086378977</v>
      </c>
      <c r="V199" s="84">
        <f t="shared" si="231"/>
        <v>10704.896402113382</v>
      </c>
      <c r="W199" s="84">
        <f t="shared" si="233"/>
        <v>11530.886017845978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0</v>
      </c>
      <c r="H200" s="84">
        <f t="shared" si="231"/>
        <v>0</v>
      </c>
      <c r="I200" s="84">
        <f t="shared" si="231"/>
        <v>0</v>
      </c>
      <c r="J200" s="84">
        <f t="shared" si="231"/>
        <v>0</v>
      </c>
      <c r="K200" s="84">
        <f t="shared" si="231"/>
        <v>0</v>
      </c>
      <c r="L200" s="84">
        <f t="shared" si="231"/>
        <v>0</v>
      </c>
      <c r="M200" s="84">
        <f t="shared" si="234"/>
        <v>0</v>
      </c>
      <c r="N200" s="84">
        <f t="shared" si="231"/>
        <v>0</v>
      </c>
      <c r="O200" s="84">
        <f t="shared" si="231"/>
        <v>0</v>
      </c>
      <c r="P200" s="84">
        <f t="shared" si="231"/>
        <v>0</v>
      </c>
      <c r="Q200" s="84">
        <f t="shared" si="231"/>
        <v>0</v>
      </c>
      <c r="R200" s="84">
        <f t="shared" si="231"/>
        <v>12455.468431094805</v>
      </c>
      <c r="S200" s="84">
        <f t="shared" si="231"/>
        <v>11802.686474536466</v>
      </c>
      <c r="T200" s="84">
        <f t="shared" si="231"/>
        <v>12059.928842192166</v>
      </c>
      <c r="U200" s="84">
        <f t="shared" si="231"/>
        <v>11630.851710275116</v>
      </c>
      <c r="V200" s="84">
        <f t="shared" si="231"/>
        <v>9851.3155004279652</v>
      </c>
      <c r="W200" s="84">
        <f t="shared" si="233"/>
        <v>10716.032186649163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0</v>
      </c>
      <c r="U201" s="84">
        <f t="shared" si="231"/>
        <v>0</v>
      </c>
      <c r="V201" s="84">
        <f t="shared" si="231"/>
        <v>0</v>
      </c>
      <c r="W201" s="84">
        <f t="shared" si="233"/>
        <v>0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15505.197393357965</v>
      </c>
      <c r="M202" s="84">
        <f t="shared" si="234"/>
        <v>13081.803528784954</v>
      </c>
      <c r="N202" s="84">
        <f t="shared" si="231"/>
        <v>12480.095600743118</v>
      </c>
      <c r="O202" s="84">
        <f t="shared" si="231"/>
        <v>10241.405328062458</v>
      </c>
      <c r="P202" s="84">
        <f t="shared" si="231"/>
        <v>10089.611147539446</v>
      </c>
      <c r="Q202" s="84">
        <f t="shared" si="231"/>
        <v>10411.810553302665</v>
      </c>
      <c r="R202" s="84">
        <f t="shared" si="231"/>
        <v>11173.982913258218</v>
      </c>
      <c r="S202" s="84">
        <f t="shared" si="231"/>
        <v>11461.629696402351</v>
      </c>
      <c r="T202" s="84">
        <f t="shared" si="231"/>
        <v>11938.8452259398</v>
      </c>
      <c r="U202" s="84">
        <f t="shared" si="231"/>
        <v>12463.690620591917</v>
      </c>
      <c r="V202" s="84">
        <f t="shared" si="231"/>
        <v>11291.373384570297</v>
      </c>
      <c r="W202" s="84">
        <f t="shared" si="233"/>
        <v>12520.988728455342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11014.237730227404</v>
      </c>
      <c r="F203" s="84">
        <f t="shared" si="231"/>
        <v>11709.127775551893</v>
      </c>
      <c r="G203" s="84">
        <f t="shared" si="231"/>
        <v>11179.245414764815</v>
      </c>
      <c r="H203" s="84">
        <f t="shared" si="231"/>
        <v>11147.846903501693</v>
      </c>
      <c r="I203" s="84">
        <f t="shared" si="231"/>
        <v>11975.924164473559</v>
      </c>
      <c r="J203" s="84">
        <f t="shared" si="231"/>
        <v>11363.615113370644</v>
      </c>
      <c r="K203" s="84">
        <f t="shared" si="231"/>
        <v>11179.663611137301</v>
      </c>
      <c r="L203" s="84">
        <f t="shared" si="231"/>
        <v>11288.915220736044</v>
      </c>
      <c r="M203" s="84">
        <f t="shared" si="234"/>
        <v>11291.826567222017</v>
      </c>
      <c r="N203" s="84">
        <f t="shared" si="231"/>
        <v>11280.680283768295</v>
      </c>
      <c r="O203" s="84">
        <f t="shared" si="231"/>
        <v>11224.276262575479</v>
      </c>
      <c r="P203" s="84">
        <f t="shared" si="231"/>
        <v>11234.955028560247</v>
      </c>
      <c r="Q203" s="84">
        <f t="shared" si="231"/>
        <v>11220.244284025659</v>
      </c>
      <c r="R203" s="84">
        <f t="shared" si="231"/>
        <v>11254.595239271157</v>
      </c>
      <c r="S203" s="84">
        <f t="shared" si="231"/>
        <v>11079.202903121322</v>
      </c>
      <c r="T203" s="84">
        <f t="shared" si="231"/>
        <v>10810.784976832894</v>
      </c>
      <c r="U203" s="84">
        <f t="shared" si="231"/>
        <v>10872.873951602754</v>
      </c>
      <c r="V203" s="84">
        <f t="shared" si="231"/>
        <v>10054.604233433583</v>
      </c>
      <c r="W203" s="84">
        <f t="shared" si="233"/>
        <v>10632.853845416861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292434.83788938337</v>
      </c>
      <c r="C204" s="110">
        <f t="shared" si="231"/>
        <v>299172.50159134308</v>
      </c>
      <c r="D204" s="110">
        <f t="shared" si="231"/>
        <v>304375.39632213063</v>
      </c>
      <c r="E204" s="110">
        <f t="shared" si="231"/>
        <v>309930.42378241621</v>
      </c>
      <c r="F204" s="110">
        <f t="shared" si="231"/>
        <v>316255.53447185323</v>
      </c>
      <c r="G204" s="110">
        <f t="shared" si="231"/>
        <v>310716.55041217507</v>
      </c>
      <c r="H204" s="110">
        <f t="shared" si="231"/>
        <v>316856.78073510772</v>
      </c>
      <c r="I204" s="110">
        <f t="shared" si="231"/>
        <v>319216.18204804044</v>
      </c>
      <c r="J204" s="110">
        <f t="shared" si="231"/>
        <v>322376.73830594186</v>
      </c>
      <c r="K204" s="110">
        <f t="shared" si="231"/>
        <v>279474.68140569248</v>
      </c>
      <c r="L204" s="110">
        <f t="shared" si="231"/>
        <v>270124.25715829281</v>
      </c>
      <c r="M204" s="110">
        <f t="shared" si="234"/>
        <v>270887.33095700917</v>
      </c>
      <c r="N204" s="110">
        <f t="shared" si="231"/>
        <v>272881.95613104949</v>
      </c>
      <c r="O204" s="110">
        <f t="shared" si="231"/>
        <v>273641.36939134117</v>
      </c>
      <c r="P204" s="110">
        <f t="shared" si="231"/>
        <v>273846.38974276191</v>
      </c>
      <c r="Q204" s="110">
        <f t="shared" si="231"/>
        <v>276591.42499335454</v>
      </c>
      <c r="R204" s="110">
        <f t="shared" si="231"/>
        <v>273578.84421231959</v>
      </c>
      <c r="S204" s="110">
        <f t="shared" si="231"/>
        <v>268653.21740811685</v>
      </c>
      <c r="T204" s="110">
        <f t="shared" si="231"/>
        <v>268966.54117380007</v>
      </c>
      <c r="U204" s="110">
        <f t="shared" si="231"/>
        <v>265270.57668841654</v>
      </c>
      <c r="V204" s="110">
        <f t="shared" si="231"/>
        <v>173269.39911105795</v>
      </c>
      <c r="W204" s="110">
        <f t="shared" si="233"/>
        <v>178906.91960239934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121155.10594196012</v>
      </c>
      <c r="M205" s="102">
        <f t="shared" si="234"/>
        <v>120746.20661440819</v>
      </c>
      <c r="N205" s="102">
        <f t="shared" si="231"/>
        <v>120623.38244546978</v>
      </c>
      <c r="O205" s="102">
        <f t="shared" si="231"/>
        <v>120626.83658189506</v>
      </c>
      <c r="P205" s="102">
        <f t="shared" si="231"/>
        <v>120676.88383561996</v>
      </c>
      <c r="Q205" s="102">
        <f t="shared" si="231"/>
        <v>120764.23671101085</v>
      </c>
      <c r="R205" s="102">
        <f t="shared" si="231"/>
        <v>116240.06025761098</v>
      </c>
      <c r="S205" s="102">
        <f t="shared" si="231"/>
        <v>112432.20445524417</v>
      </c>
      <c r="T205" s="102">
        <f t="shared" si="231"/>
        <v>110606.28760594586</v>
      </c>
      <c r="U205" s="102">
        <f t="shared" si="231"/>
        <v>99916.594293666698</v>
      </c>
      <c r="V205" s="102">
        <f t="shared" si="231"/>
        <v>77634.96177087356</v>
      </c>
      <c r="W205" s="102">
        <f t="shared" si="233"/>
        <v>67206.072307283917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292434.83788938337</v>
      </c>
      <c r="C206" s="102">
        <f t="shared" si="231"/>
        <v>299172.50159134308</v>
      </c>
      <c r="D206" s="102">
        <f t="shared" si="231"/>
        <v>304375.39632213063</v>
      </c>
      <c r="E206" s="102">
        <f t="shared" si="231"/>
        <v>309930.42378241621</v>
      </c>
      <c r="F206" s="102">
        <f t="shared" si="231"/>
        <v>316255.53447185323</v>
      </c>
      <c r="G206" s="102">
        <f t="shared" si="231"/>
        <v>310716.55041217507</v>
      </c>
      <c r="H206" s="102">
        <f t="shared" si="231"/>
        <v>316856.78073510772</v>
      </c>
      <c r="I206" s="102">
        <f t="shared" si="231"/>
        <v>319216.18204804044</v>
      </c>
      <c r="J206" s="102">
        <f t="shared" si="231"/>
        <v>322376.73830594186</v>
      </c>
      <c r="K206" s="102">
        <f t="shared" si="231"/>
        <v>279474.68140569248</v>
      </c>
      <c r="L206" s="102">
        <f t="shared" si="231"/>
        <v>271587.12934699655</v>
      </c>
      <c r="M206" s="102">
        <f t="shared" si="234"/>
        <v>272180.90755961632</v>
      </c>
      <c r="N206" s="102">
        <f t="shared" si="231"/>
        <v>274112.68363197218</v>
      </c>
      <c r="O206" s="102">
        <f t="shared" si="231"/>
        <v>274812.16923037753</v>
      </c>
      <c r="P206" s="102">
        <f t="shared" si="231"/>
        <v>274877.25573877181</v>
      </c>
      <c r="Q206" s="102">
        <f t="shared" si="231"/>
        <v>277393.8307002667</v>
      </c>
      <c r="R206" s="102">
        <f t="shared" si="231"/>
        <v>274371.0838092718</v>
      </c>
      <c r="S206" s="102">
        <f t="shared" si="231"/>
        <v>269411.57183992688</v>
      </c>
      <c r="T206" s="102">
        <f t="shared" si="231"/>
        <v>269789.25194362318</v>
      </c>
      <c r="U206" s="102">
        <f t="shared" si="231"/>
        <v>266119.64262636233</v>
      </c>
      <c r="V206" s="102">
        <f t="shared" si="231"/>
        <v>173618.91535832765</v>
      </c>
      <c r="W206" s="102">
        <f t="shared" si="233"/>
        <v>179022.81479649615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0</v>
      </c>
      <c r="V208" s="102">
        <f t="shared" si="231"/>
        <v>0</v>
      </c>
      <c r="W208" s="102">
        <f t="shared" si="233"/>
        <v>0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0</v>
      </c>
      <c r="Q209" s="102">
        <f t="shared" si="231"/>
        <v>0</v>
      </c>
      <c r="R209" s="102">
        <f t="shared" si="231"/>
        <v>0</v>
      </c>
      <c r="S209" s="102">
        <f t="shared" si="231"/>
        <v>0</v>
      </c>
      <c r="T209" s="102">
        <f t="shared" si="231"/>
        <v>271470.18467462185</v>
      </c>
      <c r="U209" s="102">
        <f t="shared" si="231"/>
        <v>289021.10457620717</v>
      </c>
      <c r="V209" s="102">
        <f t="shared" si="231"/>
        <v>199000.58699729908</v>
      </c>
      <c r="W209" s="102">
        <f t="shared" si="233"/>
        <v>268384.86342945212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23258.504422888491</v>
      </c>
      <c r="C210" s="28">
        <f t="shared" si="231"/>
        <v>21735.465646591336</v>
      </c>
      <c r="D210" s="28">
        <f t="shared" si="231"/>
        <v>7336.7916392185816</v>
      </c>
      <c r="E210" s="28">
        <f t="shared" si="231"/>
        <v>15747.577626050288</v>
      </c>
      <c r="F210" s="28">
        <f t="shared" ref="B210:V219" si="235">IF(F19=0,0,F19*1000000/F73)</f>
        <v>25154.695946700242</v>
      </c>
      <c r="G210" s="28">
        <f t="shared" si="235"/>
        <v>12821.864513389502</v>
      </c>
      <c r="H210" s="28">
        <f t="shared" si="235"/>
        <v>11784.115858227444</v>
      </c>
      <c r="I210" s="28">
        <f t="shared" si="235"/>
        <v>13361.003462520865</v>
      </c>
      <c r="J210" s="28">
        <f t="shared" si="235"/>
        <v>13729.748730130204</v>
      </c>
      <c r="K210" s="28">
        <f t="shared" si="235"/>
        <v>13805.128128434115</v>
      </c>
      <c r="L210" s="28">
        <f t="shared" si="235"/>
        <v>11009.852235345965</v>
      </c>
      <c r="M210" s="28">
        <f t="shared" si="234"/>
        <v>10388.777413633661</v>
      </c>
      <c r="N210" s="28">
        <f t="shared" si="235"/>
        <v>9607.3696810147558</v>
      </c>
      <c r="O210" s="28">
        <f t="shared" si="235"/>
        <v>9537.922000694829</v>
      </c>
      <c r="P210" s="28">
        <f t="shared" si="235"/>
        <v>9057.7706083988178</v>
      </c>
      <c r="Q210" s="28">
        <f t="shared" si="235"/>
        <v>8512.4780965605732</v>
      </c>
      <c r="R210" s="28">
        <f t="shared" si="235"/>
        <v>8488.966189866469</v>
      </c>
      <c r="S210" s="28">
        <f t="shared" si="235"/>
        <v>8153.5958983842356</v>
      </c>
      <c r="T210" s="28">
        <f t="shared" si="235"/>
        <v>7539.7248515917909</v>
      </c>
      <c r="U210" s="28">
        <f t="shared" si="235"/>
        <v>7503.4541197981944</v>
      </c>
      <c r="V210" s="28">
        <f t="shared" si="235"/>
        <v>7277.9686677711588</v>
      </c>
      <c r="W210" s="28">
        <f t="shared" ref="W210" si="236">IF(W19=0,0,W19*1000000/W73)</f>
        <v>7154.862445829478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1023.6717680299801</v>
      </c>
      <c r="C211" s="137">
        <f t="shared" si="235"/>
        <v>1026.0396174651455</v>
      </c>
      <c r="D211" s="137">
        <f t="shared" si="235"/>
        <v>1036.5529728240081</v>
      </c>
      <c r="E211" s="137">
        <f t="shared" si="235"/>
        <v>1044.494698138695</v>
      </c>
      <c r="F211" s="137">
        <f t="shared" si="235"/>
        <v>1039.4196066667721</v>
      </c>
      <c r="G211" s="137">
        <f t="shared" si="235"/>
        <v>1035.3416888624806</v>
      </c>
      <c r="H211" s="137">
        <f t="shared" si="235"/>
        <v>1051.008711562886</v>
      </c>
      <c r="I211" s="137">
        <f t="shared" si="235"/>
        <v>1100.1715252155661</v>
      </c>
      <c r="J211" s="137">
        <f t="shared" si="235"/>
        <v>1132.1029377247999</v>
      </c>
      <c r="K211" s="137">
        <f t="shared" si="235"/>
        <v>1170.1344532780672</v>
      </c>
      <c r="L211" s="137">
        <f t="shared" si="235"/>
        <v>1110.7250926591748</v>
      </c>
      <c r="M211" s="137">
        <f t="shared" si="234"/>
        <v>1145.909135493876</v>
      </c>
      <c r="N211" s="137">
        <f t="shared" si="235"/>
        <v>1141.9471115000058</v>
      </c>
      <c r="O211" s="137">
        <f t="shared" si="235"/>
        <v>1143.6809425903355</v>
      </c>
      <c r="P211" s="137">
        <f t="shared" si="235"/>
        <v>1158.0817398222239</v>
      </c>
      <c r="Q211" s="137">
        <f t="shared" si="235"/>
        <v>1171.9348595779363</v>
      </c>
      <c r="R211" s="137">
        <f t="shared" si="235"/>
        <v>1142.1460922577883</v>
      </c>
      <c r="S211" s="137">
        <f t="shared" si="235"/>
        <v>1150.1386975151222</v>
      </c>
      <c r="T211" s="137">
        <f t="shared" si="235"/>
        <v>1115.1112143978035</v>
      </c>
      <c r="U211" s="137">
        <f t="shared" si="235"/>
        <v>1125.2051056651364</v>
      </c>
      <c r="V211" s="137">
        <f t="shared" si="235"/>
        <v>1071.9731475110948</v>
      </c>
      <c r="W211" s="137">
        <f t="shared" ref="W211" si="237">IF(W20=0,0,W20*1000000/W74)</f>
        <v>1031.2552812262713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493.78602579765266</v>
      </c>
      <c r="C212" s="84">
        <f t="shared" si="235"/>
        <v>563.17618316810979</v>
      </c>
      <c r="D212" s="84">
        <f t="shared" si="235"/>
        <v>570.78660675408639</v>
      </c>
      <c r="E212" s="84">
        <f t="shared" si="235"/>
        <v>569.71383802510309</v>
      </c>
      <c r="F212" s="84">
        <f t="shared" si="235"/>
        <v>572.5424322306759</v>
      </c>
      <c r="G212" s="84">
        <f t="shared" si="235"/>
        <v>585.20483795179143</v>
      </c>
      <c r="H212" s="84">
        <f t="shared" si="235"/>
        <v>584.40294863682277</v>
      </c>
      <c r="I212" s="84">
        <f t="shared" si="235"/>
        <v>576.01336912258125</v>
      </c>
      <c r="J212" s="84">
        <f t="shared" si="235"/>
        <v>551.75555932726047</v>
      </c>
      <c r="K212" s="84">
        <f t="shared" si="235"/>
        <v>563.71924325915631</v>
      </c>
      <c r="L212" s="84">
        <f t="shared" si="235"/>
        <v>597.02970322099623</v>
      </c>
      <c r="M212" s="84">
        <f t="shared" si="234"/>
        <v>588.57152645062149</v>
      </c>
      <c r="N212" s="84">
        <f t="shared" si="235"/>
        <v>611.40207099753059</v>
      </c>
      <c r="O212" s="84">
        <f t="shared" si="235"/>
        <v>616.89619809885971</v>
      </c>
      <c r="P212" s="84">
        <f t="shared" si="235"/>
        <v>578.61954253030831</v>
      </c>
      <c r="Q212" s="84">
        <f t="shared" si="235"/>
        <v>576.73517568797479</v>
      </c>
      <c r="R212" s="84">
        <f t="shared" si="235"/>
        <v>557.27427874282273</v>
      </c>
      <c r="S212" s="84">
        <f t="shared" si="235"/>
        <v>556.16104195975288</v>
      </c>
      <c r="T212" s="84">
        <f t="shared" si="235"/>
        <v>534.59985802605445</v>
      </c>
      <c r="U212" s="84">
        <f t="shared" si="235"/>
        <v>535.4868593039414</v>
      </c>
      <c r="V212" s="84">
        <f t="shared" si="235"/>
        <v>514.04685594977002</v>
      </c>
      <c r="W212" s="84">
        <f t="shared" ref="W212" si="238">IF(W21=0,0,W21*1000000/W75)</f>
        <v>493.04406637598913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1056.7746797889652</v>
      </c>
      <c r="C213" s="84">
        <f t="shared" si="235"/>
        <v>1055.75870472837</v>
      </c>
      <c r="D213" s="84">
        <f t="shared" si="235"/>
        <v>1065.615340948365</v>
      </c>
      <c r="E213" s="84">
        <f t="shared" si="235"/>
        <v>1073.2751134725668</v>
      </c>
      <c r="F213" s="84">
        <f t="shared" si="235"/>
        <v>1066.9203322411597</v>
      </c>
      <c r="G213" s="84">
        <f t="shared" si="235"/>
        <v>1061.1240348632293</v>
      </c>
      <c r="H213" s="84">
        <f t="shared" si="235"/>
        <v>1076.9864435205536</v>
      </c>
      <c r="I213" s="84">
        <f t="shared" si="235"/>
        <v>1128.533899836875</v>
      </c>
      <c r="J213" s="84">
        <f t="shared" si="235"/>
        <v>1162.6604076699489</v>
      </c>
      <c r="K213" s="84">
        <f t="shared" si="235"/>
        <v>1201.1758942779138</v>
      </c>
      <c r="L213" s="84">
        <f t="shared" si="235"/>
        <v>1136.2883349306485</v>
      </c>
      <c r="M213" s="84">
        <f t="shared" si="234"/>
        <v>1171.9923007759585</v>
      </c>
      <c r="N213" s="84">
        <f t="shared" si="235"/>
        <v>1164.5921652015991</v>
      </c>
      <c r="O213" s="84">
        <f t="shared" si="235"/>
        <v>1165.7270204977094</v>
      </c>
      <c r="P213" s="84">
        <f t="shared" si="235"/>
        <v>1181.6355877247875</v>
      </c>
      <c r="Q213" s="84">
        <f t="shared" si="235"/>
        <v>1194.9917940556902</v>
      </c>
      <c r="R213" s="84">
        <f t="shared" si="235"/>
        <v>1163.8970842109177</v>
      </c>
      <c r="S213" s="84">
        <f t="shared" si="235"/>
        <v>1170.8553503823559</v>
      </c>
      <c r="T213" s="84">
        <f t="shared" si="235"/>
        <v>1134.4585142113094</v>
      </c>
      <c r="U213" s="84">
        <f t="shared" si="235"/>
        <v>1145.4224651186175</v>
      </c>
      <c r="V213" s="84">
        <f t="shared" si="235"/>
        <v>1090.7563292959319</v>
      </c>
      <c r="W213" s="84">
        <f t="shared" ref="W213" si="239">IF(W22=0,0,W22*1000000/W76)</f>
        <v>1050.3922546486215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998.04853126577996</v>
      </c>
      <c r="T214" s="84">
        <f t="shared" si="235"/>
        <v>965.79347696367972</v>
      </c>
      <c r="U214" s="84">
        <f t="shared" si="235"/>
        <v>973.90115103092955</v>
      </c>
      <c r="V214" s="84">
        <f t="shared" si="235"/>
        <v>928.67165245225715</v>
      </c>
      <c r="W214" s="84">
        <f t="shared" ref="W214" si="240">IF(W23=0,0,W23*1000000/W77)</f>
        <v>893.70375397110797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829.97619595834942</v>
      </c>
      <c r="K216" s="84">
        <f t="shared" si="235"/>
        <v>848.06667524177237</v>
      </c>
      <c r="L216" s="84">
        <f t="shared" si="235"/>
        <v>907.45885345495685</v>
      </c>
      <c r="M216" s="84">
        <f t="shared" si="234"/>
        <v>923.13446207365951</v>
      </c>
      <c r="N216" s="84">
        <f t="shared" si="235"/>
        <v>926.54640617690711</v>
      </c>
      <c r="O216" s="84">
        <f t="shared" si="235"/>
        <v>937.6253099313285</v>
      </c>
      <c r="P216" s="84">
        <f t="shared" si="235"/>
        <v>937.99057366454815</v>
      </c>
      <c r="Q216" s="84">
        <f t="shared" si="235"/>
        <v>947.57725327661842</v>
      </c>
      <c r="R216" s="84">
        <f t="shared" si="235"/>
        <v>933.73948293964065</v>
      </c>
      <c r="S216" s="84">
        <f t="shared" si="235"/>
        <v>932.93962004187449</v>
      </c>
      <c r="T216" s="84">
        <f t="shared" si="235"/>
        <v>917.26374092443211</v>
      </c>
      <c r="U216" s="84">
        <f t="shared" si="235"/>
        <v>916.61226475166734</v>
      </c>
      <c r="V216" s="84">
        <f t="shared" si="235"/>
        <v>900.70005250801125</v>
      </c>
      <c r="W216" s="84">
        <f t="shared" ref="W216" si="242">IF(W25=0,0,W25*1000000/W79)</f>
        <v>884.74022297926899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80730.531842331999</v>
      </c>
      <c r="C217" s="110">
        <f t="shared" si="235"/>
        <v>75102.863863605104</v>
      </c>
      <c r="D217" s="110">
        <f t="shared" si="235"/>
        <v>23635.035055607463</v>
      </c>
      <c r="E217" s="110">
        <f t="shared" si="235"/>
        <v>54410.843086869223</v>
      </c>
      <c r="F217" s="110">
        <f t="shared" si="235"/>
        <v>88463.341645572043</v>
      </c>
      <c r="G217" s="110">
        <f t="shared" si="235"/>
        <v>43636.661577750303</v>
      </c>
      <c r="H217" s="110">
        <f t="shared" si="235"/>
        <v>41372.762144403983</v>
      </c>
      <c r="I217" s="110">
        <f t="shared" si="235"/>
        <v>49207.770598982912</v>
      </c>
      <c r="J217" s="110">
        <f t="shared" si="235"/>
        <v>51163.741447793785</v>
      </c>
      <c r="K217" s="110">
        <f t="shared" si="235"/>
        <v>51330.584938378175</v>
      </c>
      <c r="L217" s="110">
        <f t="shared" si="235"/>
        <v>41372.762144403976</v>
      </c>
      <c r="M217" s="110">
        <f t="shared" si="234"/>
        <v>38707.855868735438</v>
      </c>
      <c r="N217" s="110">
        <f t="shared" si="235"/>
        <v>35861.341549967852</v>
      </c>
      <c r="O217" s="110">
        <f t="shared" si="235"/>
        <v>36282.052752326614</v>
      </c>
      <c r="P217" s="110">
        <f t="shared" si="235"/>
        <v>34585.965093614468</v>
      </c>
      <c r="Q217" s="110">
        <f t="shared" si="235"/>
        <v>32337.022988028792</v>
      </c>
      <c r="R217" s="110">
        <f t="shared" si="235"/>
        <v>32171.805552587066</v>
      </c>
      <c r="S217" s="110">
        <f t="shared" si="235"/>
        <v>30827.661248412547</v>
      </c>
      <c r="T217" s="110">
        <f t="shared" si="235"/>
        <v>28741.181747984254</v>
      </c>
      <c r="U217" s="110">
        <f t="shared" si="235"/>
        <v>28471.291697398185</v>
      </c>
      <c r="V217" s="110">
        <f t="shared" si="235"/>
        <v>27467.29026877764</v>
      </c>
      <c r="W217" s="110">
        <f t="shared" ref="W217" si="243">IF(W26=0,0,W26*1000000/W80)</f>
        <v>26993.599626054202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80730.531842331999</v>
      </c>
      <c r="C218" s="163">
        <f t="shared" si="235"/>
        <v>75102.863863605104</v>
      </c>
      <c r="D218" s="163">
        <f t="shared" si="235"/>
        <v>23635.035055607463</v>
      </c>
      <c r="E218" s="163">
        <f t="shared" si="235"/>
        <v>54410.843086869223</v>
      </c>
      <c r="F218" s="163">
        <f t="shared" si="235"/>
        <v>88463.341645572043</v>
      </c>
      <c r="G218" s="163">
        <f t="shared" si="235"/>
        <v>43636.661577750303</v>
      </c>
      <c r="H218" s="163">
        <f t="shared" si="235"/>
        <v>41372.762144403983</v>
      </c>
      <c r="I218" s="163">
        <f t="shared" si="235"/>
        <v>49207.770598982912</v>
      </c>
      <c r="J218" s="163">
        <f t="shared" si="235"/>
        <v>51163.741447793785</v>
      </c>
      <c r="K218" s="163">
        <f t="shared" si="235"/>
        <v>51330.584938378175</v>
      </c>
      <c r="L218" s="163">
        <f t="shared" si="235"/>
        <v>41372.762144403976</v>
      </c>
      <c r="M218" s="163">
        <f t="shared" si="234"/>
        <v>38707.855868735438</v>
      </c>
      <c r="N218" s="163">
        <f t="shared" si="235"/>
        <v>35861.341549967852</v>
      </c>
      <c r="O218" s="163">
        <f t="shared" si="235"/>
        <v>36282.052752326614</v>
      </c>
      <c r="P218" s="163">
        <f t="shared" si="235"/>
        <v>34585.965093614468</v>
      </c>
      <c r="Q218" s="163">
        <f t="shared" si="235"/>
        <v>32337.022988028792</v>
      </c>
      <c r="R218" s="163">
        <f t="shared" si="235"/>
        <v>32171.805552587066</v>
      </c>
      <c r="S218" s="163">
        <f t="shared" si="235"/>
        <v>30827.661248412547</v>
      </c>
      <c r="T218" s="163">
        <f t="shared" si="235"/>
        <v>28741.181747984254</v>
      </c>
      <c r="U218" s="163">
        <f t="shared" si="235"/>
        <v>28471.291697398185</v>
      </c>
      <c r="V218" s="163">
        <f t="shared" si="235"/>
        <v>27467.29026877764</v>
      </c>
      <c r="W218" s="163">
        <f t="shared" ref="W218" si="244">IF(W27=0,0,W27*1000000/W81)</f>
        <v>26993.599626054202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0</v>
      </c>
      <c r="C219" s="86">
        <f t="shared" si="235"/>
        <v>0</v>
      </c>
      <c r="D219" s="86">
        <f t="shared" si="235"/>
        <v>0</v>
      </c>
      <c r="E219" s="86">
        <f t="shared" si="235"/>
        <v>0</v>
      </c>
      <c r="F219" s="86">
        <f t="shared" si="235"/>
        <v>0</v>
      </c>
      <c r="G219" s="86">
        <f t="shared" si="235"/>
        <v>0</v>
      </c>
      <c r="H219" s="86">
        <f t="shared" si="235"/>
        <v>0</v>
      </c>
      <c r="I219" s="86">
        <f t="shared" si="235"/>
        <v>0</v>
      </c>
      <c r="J219" s="86">
        <f t="shared" si="235"/>
        <v>0</v>
      </c>
      <c r="K219" s="86">
        <f t="shared" si="235"/>
        <v>0</v>
      </c>
      <c r="L219" s="86">
        <f t="shared" si="235"/>
        <v>0</v>
      </c>
      <c r="M219" s="86">
        <f t="shared" si="234"/>
        <v>0</v>
      </c>
      <c r="N219" s="86">
        <f t="shared" si="235"/>
        <v>0</v>
      </c>
      <c r="O219" s="86">
        <f t="shared" si="235"/>
        <v>0</v>
      </c>
      <c r="P219" s="86">
        <f t="shared" si="235"/>
        <v>0</v>
      </c>
      <c r="Q219" s="86">
        <f t="shared" si="235"/>
        <v>0</v>
      </c>
      <c r="R219" s="86">
        <f t="shared" si="235"/>
        <v>0</v>
      </c>
      <c r="S219" s="86">
        <f t="shared" si="235"/>
        <v>0</v>
      </c>
      <c r="T219" s="86">
        <f t="shared" si="235"/>
        <v>0</v>
      </c>
      <c r="U219" s="86">
        <f t="shared" si="235"/>
        <v>0</v>
      </c>
      <c r="V219" s="86">
        <f t="shared" si="235"/>
        <v>0</v>
      </c>
      <c r="W219" s="86">
        <f t="shared" ref="W219" si="245">IF(W28=0,0,W28*1000000/W82)</f>
        <v>0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1.3916946230686783E-2</v>
      </c>
      <c r="C223" s="154">
        <f t="shared" si="250"/>
        <v>1.4327560425372352E-2</v>
      </c>
      <c r="D223" s="154">
        <f t="shared" si="250"/>
        <v>1.449114161312689E-2</v>
      </c>
      <c r="E223" s="154">
        <f t="shared" si="250"/>
        <v>1.4497027061349969E-2</v>
      </c>
      <c r="F223" s="154">
        <f t="shared" si="250"/>
        <v>1.3244818696216147E-2</v>
      </c>
      <c r="G223" s="154">
        <f t="shared" si="250"/>
        <v>1.2229118020606129E-2</v>
      </c>
      <c r="H223" s="154">
        <f t="shared" si="250"/>
        <v>1.2236434525266182E-2</v>
      </c>
      <c r="I223" s="154">
        <f t="shared" si="250"/>
        <v>1.2487271213030917E-2</v>
      </c>
      <c r="J223" s="154">
        <f t="shared" si="250"/>
        <v>1.3769174128568866E-2</v>
      </c>
      <c r="K223" s="154">
        <f t="shared" si="250"/>
        <v>1.3618908169295186E-2</v>
      </c>
      <c r="L223" s="154">
        <f t="shared" ref="L223" si="251">IF(L5=0,0,L5/L$4)</f>
        <v>1.3832317805193204E-2</v>
      </c>
      <c r="M223" s="154">
        <f t="shared" ref="M223:V223" si="252">IF(M5=0,0,M5/M$4)</f>
        <v>1.4575496241171942E-2</v>
      </c>
      <c r="N223" s="154">
        <f t="shared" si="252"/>
        <v>1.465655599895109E-2</v>
      </c>
      <c r="O223" s="154">
        <f t="shared" si="252"/>
        <v>1.5400473828607941E-2</v>
      </c>
      <c r="P223" s="154">
        <f t="shared" si="252"/>
        <v>1.5953154492612209E-2</v>
      </c>
      <c r="Q223" s="154">
        <f t="shared" si="252"/>
        <v>1.5819330012253132E-2</v>
      </c>
      <c r="R223" s="154">
        <f t="shared" si="252"/>
        <v>1.6686499259793073E-2</v>
      </c>
      <c r="S223" s="154">
        <f t="shared" si="252"/>
        <v>1.5764254767704541E-2</v>
      </c>
      <c r="T223" s="154">
        <f t="shared" si="252"/>
        <v>1.4885984598197212E-2</v>
      </c>
      <c r="U223" s="154">
        <f t="shared" si="252"/>
        <v>1.553340805689547E-2</v>
      </c>
      <c r="V223" s="154">
        <f t="shared" si="252"/>
        <v>1.6902241390105842E-2</v>
      </c>
      <c r="W223" s="154">
        <f t="shared" ref="W223" si="253">IF(W5=0,0,W5/W$4)</f>
        <v>1.6723576677683372E-2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0.78537588353308141</v>
      </c>
      <c r="C224" s="156">
        <f t="shared" si="254"/>
        <v>0.78159048071996906</v>
      </c>
      <c r="D224" s="156">
        <f t="shared" si="254"/>
        <v>0.78248557425567178</v>
      </c>
      <c r="E224" s="156">
        <f t="shared" si="254"/>
        <v>0.78345424626921967</v>
      </c>
      <c r="F224" s="156">
        <f t="shared" si="254"/>
        <v>0.78537657287444029</v>
      </c>
      <c r="G224" s="156">
        <f t="shared" si="254"/>
        <v>0.79339026665011547</v>
      </c>
      <c r="H224" s="156">
        <f t="shared" si="254"/>
        <v>0.79408443498949188</v>
      </c>
      <c r="I224" s="156">
        <f t="shared" si="254"/>
        <v>0.79607552032730722</v>
      </c>
      <c r="J224" s="156">
        <f t="shared" si="254"/>
        <v>0.79714145700134464</v>
      </c>
      <c r="K224" s="156">
        <f t="shared" si="254"/>
        <v>0.80824151306137737</v>
      </c>
      <c r="L224" s="156">
        <f t="shared" ref="L224" si="255">IF(L6=0,0,L6/L$4)</f>
        <v>0.80354403734391666</v>
      </c>
      <c r="M224" s="156">
        <f t="shared" ref="M224:V224" si="256">IF(M6=0,0,M6/M$4)</f>
        <v>0.81216156741003953</v>
      </c>
      <c r="N224" s="156">
        <f t="shared" si="256"/>
        <v>0.81254775240097932</v>
      </c>
      <c r="O224" s="156">
        <f t="shared" si="256"/>
        <v>0.8174589914945537</v>
      </c>
      <c r="P224" s="156">
        <f t="shared" si="256"/>
        <v>0.81753970620770977</v>
      </c>
      <c r="Q224" s="156">
        <f t="shared" si="256"/>
        <v>0.80962699733061627</v>
      </c>
      <c r="R224" s="156">
        <f t="shared" si="256"/>
        <v>0.81230888640372068</v>
      </c>
      <c r="S224" s="156">
        <f t="shared" si="256"/>
        <v>0.81181134388876919</v>
      </c>
      <c r="T224" s="156">
        <f t="shared" si="256"/>
        <v>0.81239605081779098</v>
      </c>
      <c r="U224" s="156">
        <f t="shared" si="256"/>
        <v>0.8057486149253662</v>
      </c>
      <c r="V224" s="156">
        <f t="shared" si="256"/>
        <v>0.84603697216511287</v>
      </c>
      <c r="W224" s="156">
        <f t="shared" ref="W224" si="257">IF(W6=0,0,W6/W$4)</f>
        <v>0.84476428465252795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0.66550201338701886</v>
      </c>
      <c r="C225" s="103">
        <f t="shared" si="258"/>
        <v>0.65143191808683909</v>
      </c>
      <c r="D225" s="103">
        <f t="shared" si="258"/>
        <v>0.64707989843600233</v>
      </c>
      <c r="E225" s="103">
        <f t="shared" si="258"/>
        <v>0.6430242426499847</v>
      </c>
      <c r="F225" s="103">
        <f t="shared" si="258"/>
        <v>0.63373406238701413</v>
      </c>
      <c r="G225" s="103">
        <f t="shared" si="258"/>
        <v>0.64935089011904401</v>
      </c>
      <c r="H225" s="103">
        <f t="shared" si="258"/>
        <v>0.64839630143512217</v>
      </c>
      <c r="I225" s="103">
        <f t="shared" si="258"/>
        <v>0.6387801959514825</v>
      </c>
      <c r="J225" s="103">
        <f t="shared" si="258"/>
        <v>0.64613418538052192</v>
      </c>
      <c r="K225" s="103">
        <f t="shared" si="258"/>
        <v>0.65049875239865085</v>
      </c>
      <c r="L225" s="103">
        <f t="shared" ref="L225" si="259">IF(L7=0,0,L7/L$4)</f>
        <v>0.5176703620050247</v>
      </c>
      <c r="M225" s="103">
        <f t="shared" ref="M225:V225" si="260">IF(M7=0,0,M7/M$4)</f>
        <v>0.49842189541392629</v>
      </c>
      <c r="N225" s="103">
        <f t="shared" si="260"/>
        <v>0.48098504368970774</v>
      </c>
      <c r="O225" s="103">
        <f t="shared" si="260"/>
        <v>0.47352185946905329</v>
      </c>
      <c r="P225" s="103">
        <f t="shared" si="260"/>
        <v>0.47270290363222367</v>
      </c>
      <c r="Q225" s="103">
        <f t="shared" si="260"/>
        <v>0.46134298381847716</v>
      </c>
      <c r="R225" s="103">
        <f t="shared" si="260"/>
        <v>0.45589124717283258</v>
      </c>
      <c r="S225" s="103">
        <f t="shared" si="260"/>
        <v>0.46765961130692896</v>
      </c>
      <c r="T225" s="103">
        <f t="shared" si="260"/>
        <v>0.4493754202921999</v>
      </c>
      <c r="U225" s="103">
        <f t="shared" si="260"/>
        <v>0.44349784999703057</v>
      </c>
      <c r="V225" s="103">
        <f t="shared" si="260"/>
        <v>0.45790847429620279</v>
      </c>
      <c r="W225" s="103">
        <f t="shared" ref="W225" si="261">IF(W7=0,0,W7/W$4)</f>
        <v>0.45338129475133371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0.11987387014606249</v>
      </c>
      <c r="C226" s="103">
        <f t="shared" si="262"/>
        <v>0.13015856263312994</v>
      </c>
      <c r="D226" s="103">
        <f t="shared" si="262"/>
        <v>0.13540567581966939</v>
      </c>
      <c r="E226" s="103">
        <f t="shared" si="262"/>
        <v>0.14038912869193365</v>
      </c>
      <c r="F226" s="103">
        <f t="shared" si="262"/>
        <v>0.15158120332313474</v>
      </c>
      <c r="G226" s="103">
        <f t="shared" si="262"/>
        <v>0.14397285524731721</v>
      </c>
      <c r="H226" s="103">
        <f t="shared" si="262"/>
        <v>0.14561472397433792</v>
      </c>
      <c r="I226" s="103">
        <f t="shared" si="262"/>
        <v>0.15717274771790221</v>
      </c>
      <c r="J226" s="103">
        <f t="shared" si="262"/>
        <v>0.15088087522024227</v>
      </c>
      <c r="K226" s="103">
        <f t="shared" si="262"/>
        <v>0.15760722263923774</v>
      </c>
      <c r="L226" s="103">
        <f t="shared" ref="L226" si="263">IF(L8=0,0,L8/L$4)</f>
        <v>0.28466055100516974</v>
      </c>
      <c r="M226" s="103">
        <f t="shared" ref="M226:V226" si="264">IF(M8=0,0,M8/M$4)</f>
        <v>0.31255369447237979</v>
      </c>
      <c r="N226" s="103">
        <f t="shared" si="264"/>
        <v>0.33013086108428041</v>
      </c>
      <c r="O226" s="103">
        <f t="shared" si="264"/>
        <v>0.34209665681572737</v>
      </c>
      <c r="P226" s="103">
        <f t="shared" si="264"/>
        <v>0.34179887796685715</v>
      </c>
      <c r="Q226" s="103">
        <f t="shared" si="264"/>
        <v>0.34407679389857926</v>
      </c>
      <c r="R226" s="103">
        <f t="shared" si="264"/>
        <v>0.34443166750562898</v>
      </c>
      <c r="S226" s="103">
        <f t="shared" si="264"/>
        <v>0.33536776930343359</v>
      </c>
      <c r="T226" s="103">
        <f t="shared" si="264"/>
        <v>0.35438859293740188</v>
      </c>
      <c r="U226" s="103">
        <f t="shared" si="264"/>
        <v>0.34947075210208922</v>
      </c>
      <c r="V226" s="103">
        <f t="shared" si="264"/>
        <v>0.37117592824423778</v>
      </c>
      <c r="W226" s="103">
        <f t="shared" ref="W226" si="265">IF(W8=0,0,W8/W$4)</f>
        <v>0.37156660291576082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0</v>
      </c>
      <c r="H227" s="103">
        <f t="shared" si="266"/>
        <v>0</v>
      </c>
      <c r="I227" s="103">
        <f t="shared" si="266"/>
        <v>0</v>
      </c>
      <c r="J227" s="103">
        <f t="shared" si="266"/>
        <v>0</v>
      </c>
      <c r="K227" s="103">
        <f t="shared" si="266"/>
        <v>0</v>
      </c>
      <c r="L227" s="103">
        <f t="shared" ref="L227" si="267">IF(L9=0,0,L9/L$4)</f>
        <v>0</v>
      </c>
      <c r="M227" s="103">
        <f t="shared" ref="M227:V227" si="268">IF(M9=0,0,M9/M$4)</f>
        <v>0</v>
      </c>
      <c r="N227" s="103">
        <f t="shared" si="268"/>
        <v>0</v>
      </c>
      <c r="O227" s="103">
        <f t="shared" si="268"/>
        <v>0</v>
      </c>
      <c r="P227" s="103">
        <f t="shared" si="268"/>
        <v>0</v>
      </c>
      <c r="Q227" s="103">
        <f t="shared" si="268"/>
        <v>0</v>
      </c>
      <c r="R227" s="103">
        <f t="shared" si="268"/>
        <v>7.8010820009832092E-3</v>
      </c>
      <c r="S227" s="103">
        <f t="shared" si="268"/>
        <v>4.3913540379838358E-3</v>
      </c>
      <c r="T227" s="103">
        <f t="shared" si="268"/>
        <v>3.4834829562784726E-3</v>
      </c>
      <c r="U227" s="103">
        <f t="shared" si="268"/>
        <v>4.8221122044297664E-3</v>
      </c>
      <c r="V227" s="103">
        <f t="shared" si="268"/>
        <v>4.559160443819924E-3</v>
      </c>
      <c r="W227" s="103">
        <f t="shared" ref="W227" si="269">IF(W9=0,0,W9/W$4)</f>
        <v>4.2820624324959207E-3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0</v>
      </c>
      <c r="U228" s="103">
        <f t="shared" si="272"/>
        <v>0</v>
      </c>
      <c r="V228" s="103">
        <f t="shared" si="272"/>
        <v>0</v>
      </c>
      <c r="W228" s="103">
        <f t="shared" ref="W228" si="273">IF(W10=0,0,W10/W$4)</f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1.0646874889524397E-3</v>
      </c>
      <c r="M229" s="103">
        <f t="shared" ref="M229:V229" si="276">IF(M11=0,0,M11/M$4)</f>
        <v>1.0625881049777821E-3</v>
      </c>
      <c r="N229" s="103">
        <f t="shared" si="276"/>
        <v>1.276382588724398E-3</v>
      </c>
      <c r="O229" s="103">
        <f t="shared" si="276"/>
        <v>1.6442518537894187E-3</v>
      </c>
      <c r="P229" s="103">
        <f t="shared" si="276"/>
        <v>2.7068301000869781E-3</v>
      </c>
      <c r="Q229" s="103">
        <f t="shared" si="276"/>
        <v>3.7936795125528052E-3</v>
      </c>
      <c r="R229" s="103">
        <f t="shared" si="276"/>
        <v>3.7231832565742654E-3</v>
      </c>
      <c r="S229" s="103">
        <f t="shared" si="276"/>
        <v>3.7811537434758852E-3</v>
      </c>
      <c r="T229" s="103">
        <f t="shared" si="276"/>
        <v>4.1164298236938115E-3</v>
      </c>
      <c r="U229" s="103">
        <f t="shared" si="276"/>
        <v>4.3258557086468183E-3</v>
      </c>
      <c r="V229" s="103">
        <f t="shared" si="276"/>
        <v>5.4708170241568122E-3</v>
      </c>
      <c r="W229" s="103">
        <f t="shared" ref="W229" si="277">IF(W11=0,0,W11/W$4)</f>
        <v>8.2971595340155836E-3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4.087492730130937E-5</v>
      </c>
      <c r="F230" s="103">
        <f t="shared" si="278"/>
        <v>6.1307164291412425E-5</v>
      </c>
      <c r="G230" s="103">
        <f t="shared" si="278"/>
        <v>6.6521283754255019E-5</v>
      </c>
      <c r="H230" s="103">
        <f t="shared" si="278"/>
        <v>7.3409580031795368E-5</v>
      </c>
      <c r="I230" s="103">
        <f t="shared" si="278"/>
        <v>1.2257665792243279E-4</v>
      </c>
      <c r="J230" s="103">
        <f t="shared" si="278"/>
        <v>1.2639640058057828E-4</v>
      </c>
      <c r="K230" s="103">
        <f t="shared" si="278"/>
        <v>1.3553802348874252E-4</v>
      </c>
      <c r="L230" s="103">
        <f t="shared" ref="L230" si="279">IF(L12=0,0,L12/L$4)</f>
        <v>1.4843684476969251E-4</v>
      </c>
      <c r="M230" s="103">
        <f t="shared" ref="M230:V230" si="280">IF(M12=0,0,M12/M$4)</f>
        <v>1.2338941875587772E-4</v>
      </c>
      <c r="N230" s="103">
        <f t="shared" si="280"/>
        <v>1.5546503826683331E-4</v>
      </c>
      <c r="O230" s="103">
        <f t="shared" si="280"/>
        <v>1.9622335598353465E-4</v>
      </c>
      <c r="P230" s="103">
        <f t="shared" si="280"/>
        <v>3.310945085420097E-4</v>
      </c>
      <c r="Q230" s="103">
        <f t="shared" si="280"/>
        <v>4.1354010100712969E-4</v>
      </c>
      <c r="R230" s="103">
        <f t="shared" si="280"/>
        <v>4.6170646770144451E-4</v>
      </c>
      <c r="S230" s="103">
        <f t="shared" si="280"/>
        <v>6.114554969468732E-4</v>
      </c>
      <c r="T230" s="103">
        <f t="shared" si="280"/>
        <v>1.0321248082167662E-3</v>
      </c>
      <c r="U230" s="103">
        <f t="shared" si="280"/>
        <v>3.6320449131699447E-3</v>
      </c>
      <c r="V230" s="103">
        <f t="shared" si="280"/>
        <v>6.9225921566954483E-3</v>
      </c>
      <c r="W230" s="103">
        <f t="shared" ref="W230" si="281">IF(W12=0,0,W12/W$4)</f>
        <v>7.2371650189220855E-3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0.20070717023623191</v>
      </c>
      <c r="C231" s="156">
        <f t="shared" si="282"/>
        <v>0.20408195885465857</v>
      </c>
      <c r="D231" s="156">
        <f t="shared" si="282"/>
        <v>0.20302328413120133</v>
      </c>
      <c r="E231" s="156">
        <f t="shared" si="282"/>
        <v>0.20204872666943033</v>
      </c>
      <c r="F231" s="156">
        <f t="shared" si="282"/>
        <v>0.20137860842934366</v>
      </c>
      <c r="G231" s="156">
        <f t="shared" si="282"/>
        <v>0.19438061532927831</v>
      </c>
      <c r="H231" s="156">
        <f t="shared" si="282"/>
        <v>0.19367913048524196</v>
      </c>
      <c r="I231" s="156">
        <f t="shared" si="282"/>
        <v>0.19143720845966194</v>
      </c>
      <c r="J231" s="156">
        <f t="shared" si="282"/>
        <v>0.18908936887008645</v>
      </c>
      <c r="K231" s="156">
        <f t="shared" si="282"/>
        <v>0.17813957876932748</v>
      </c>
      <c r="L231" s="156">
        <f t="shared" ref="L231" si="283">IF(L13=0,0,L13/L$4)</f>
        <v>0.18262364485089011</v>
      </c>
      <c r="M231" s="156">
        <f t="shared" ref="M231:V231" si="284">IF(M13=0,0,M13/M$4)</f>
        <v>0.17326293634878864</v>
      </c>
      <c r="N231" s="156">
        <f t="shared" si="284"/>
        <v>0.17279569160006952</v>
      </c>
      <c r="O231" s="156">
        <f t="shared" si="284"/>
        <v>0.16714053467683843</v>
      </c>
      <c r="P231" s="156">
        <f t="shared" si="284"/>
        <v>0.16650713929967809</v>
      </c>
      <c r="Q231" s="156">
        <f t="shared" si="284"/>
        <v>0.17455367265713062</v>
      </c>
      <c r="R231" s="156">
        <f t="shared" si="284"/>
        <v>0.17100461433648628</v>
      </c>
      <c r="S231" s="156">
        <f t="shared" si="284"/>
        <v>0.17242440134352613</v>
      </c>
      <c r="T231" s="156">
        <f t="shared" si="284"/>
        <v>0.17271796458401181</v>
      </c>
      <c r="U231" s="156">
        <f t="shared" si="284"/>
        <v>0.17871797701773834</v>
      </c>
      <c r="V231" s="156">
        <f t="shared" si="284"/>
        <v>0.1370607864447812</v>
      </c>
      <c r="W231" s="156">
        <f t="shared" ref="W231" si="285">IF(W13=0,0,W13/W$4)</f>
        <v>0.13851213866978862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7.9652833341899371E-4</v>
      </c>
      <c r="M232" s="103">
        <f t="shared" ref="M232:V232" si="288">IF(M14=0,0,M14/M$4)</f>
        <v>6.5971630729687628E-4</v>
      </c>
      <c r="N232" s="103">
        <f t="shared" si="288"/>
        <v>6.1245387816399801E-4</v>
      </c>
      <c r="O232" s="103">
        <f t="shared" si="288"/>
        <v>5.5947870717394795E-4</v>
      </c>
      <c r="P232" s="103">
        <f t="shared" si="288"/>
        <v>4.9053129512392649E-4</v>
      </c>
      <c r="Q232" s="103">
        <f t="shared" si="288"/>
        <v>3.9043505761310738E-4</v>
      </c>
      <c r="R232" s="103">
        <f t="shared" si="288"/>
        <v>3.6401611343859645E-4</v>
      </c>
      <c r="S232" s="103">
        <f t="shared" si="288"/>
        <v>3.4859974188867257E-4</v>
      </c>
      <c r="T232" s="103">
        <f t="shared" si="288"/>
        <v>3.6992854169476283E-4</v>
      </c>
      <c r="U232" s="103">
        <f t="shared" si="288"/>
        <v>3.8466150999670883E-4</v>
      </c>
      <c r="V232" s="103">
        <f t="shared" si="288"/>
        <v>3.0401661852450727E-4</v>
      </c>
      <c r="W232" s="103">
        <f t="shared" ref="W232" si="289">IF(W14=0,0,W14/W$4)</f>
        <v>2.6855144931457335E-4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0.20070717023623191</v>
      </c>
      <c r="C233" s="103">
        <f t="shared" si="290"/>
        <v>0.20408195885465857</v>
      </c>
      <c r="D233" s="103">
        <f t="shared" si="290"/>
        <v>0.20302328413120133</v>
      </c>
      <c r="E233" s="103">
        <f t="shared" si="290"/>
        <v>0.20204872666943033</v>
      </c>
      <c r="F233" s="103">
        <f t="shared" si="290"/>
        <v>0.20137860842934366</v>
      </c>
      <c r="G233" s="103">
        <f t="shared" si="290"/>
        <v>0.19438061532927831</v>
      </c>
      <c r="H233" s="103">
        <f t="shared" si="290"/>
        <v>0.19367913048524196</v>
      </c>
      <c r="I233" s="103">
        <f t="shared" si="290"/>
        <v>0.19143720845966194</v>
      </c>
      <c r="J233" s="103">
        <f t="shared" si="290"/>
        <v>0.18908936887008645</v>
      </c>
      <c r="K233" s="103">
        <f t="shared" si="290"/>
        <v>0.17813957876932748</v>
      </c>
      <c r="L233" s="103">
        <f t="shared" ref="L233" si="291">IF(L15=0,0,L15/L$4)</f>
        <v>0.18182711651747113</v>
      </c>
      <c r="M233" s="103">
        <f t="shared" ref="M233:V233" si="292">IF(M15=0,0,M15/M$4)</f>
        <v>0.17260322004149178</v>
      </c>
      <c r="N233" s="103">
        <f t="shared" si="292"/>
        <v>0.17218323772190552</v>
      </c>
      <c r="O233" s="103">
        <f t="shared" si="292"/>
        <v>0.16658105596966447</v>
      </c>
      <c r="P233" s="103">
        <f t="shared" si="292"/>
        <v>0.16601660800455417</v>
      </c>
      <c r="Q233" s="103">
        <f t="shared" si="292"/>
        <v>0.17416323759951752</v>
      </c>
      <c r="R233" s="103">
        <f t="shared" si="292"/>
        <v>0.1706405982230477</v>
      </c>
      <c r="S233" s="103">
        <f t="shared" si="292"/>
        <v>0.17207580160163746</v>
      </c>
      <c r="T233" s="103">
        <f t="shared" si="292"/>
        <v>0.17168771146088196</v>
      </c>
      <c r="U233" s="103">
        <f t="shared" si="292"/>
        <v>0.17747740705812134</v>
      </c>
      <c r="V233" s="103">
        <f t="shared" si="292"/>
        <v>0.13597748837672285</v>
      </c>
      <c r="W233" s="103">
        <f t="shared" ref="W233" si="293">IF(W15=0,0,W15/W$4)</f>
        <v>0.13717113734245517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0</v>
      </c>
      <c r="V235" s="103">
        <f t="shared" si="300"/>
        <v>0</v>
      </c>
      <c r="W235" s="103">
        <f t="shared" ref="W235" si="301">IF(W17=0,0,W17/W$4)</f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0</v>
      </c>
      <c r="Q236" s="103">
        <f t="shared" si="304"/>
        <v>0</v>
      </c>
      <c r="R236" s="103">
        <f t="shared" si="304"/>
        <v>0</v>
      </c>
      <c r="S236" s="103">
        <f t="shared" si="304"/>
        <v>0</v>
      </c>
      <c r="T236" s="103">
        <f t="shared" si="304"/>
        <v>6.6032458143507956E-4</v>
      </c>
      <c r="U236" s="103">
        <f t="shared" si="304"/>
        <v>8.559084496202841E-4</v>
      </c>
      <c r="V236" s="103">
        <f t="shared" si="304"/>
        <v>7.7928144953384368E-4</v>
      </c>
      <c r="W236" s="103">
        <f t="shared" ref="W236" si="305">IF(W18=0,0,W18/W$4)</f>
        <v>1.0724498780188584E-3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3.17350917021475E-2</v>
      </c>
      <c r="C238" s="154">
        <f t="shared" si="310"/>
        <v>3.400860801706216E-2</v>
      </c>
      <c r="D238" s="154">
        <f t="shared" si="310"/>
        <v>0.10189358596847481</v>
      </c>
      <c r="E238" s="154">
        <f t="shared" si="310"/>
        <v>4.8053334145697242E-2</v>
      </c>
      <c r="F238" s="154">
        <f t="shared" si="310"/>
        <v>2.9922961210833258E-2</v>
      </c>
      <c r="G238" s="154">
        <f t="shared" si="310"/>
        <v>5.8407521204044036E-2</v>
      </c>
      <c r="H238" s="154">
        <f t="shared" si="310"/>
        <v>6.5447791883937276E-2</v>
      </c>
      <c r="I238" s="154">
        <f t="shared" si="310"/>
        <v>6.1356084299544693E-2</v>
      </c>
      <c r="J238" s="154">
        <f t="shared" si="310"/>
        <v>6.1694259179973385E-2</v>
      </c>
      <c r="K238" s="154">
        <f t="shared" si="310"/>
        <v>6.3410311207195064E-2</v>
      </c>
      <c r="L238" s="154">
        <f t="shared" ref="L238" si="311">IF(L20=0,0,L20/L$19)</f>
        <v>7.6080391671284497E-2</v>
      </c>
      <c r="M238" s="154">
        <f t="shared" ref="M238:V238" si="312">IF(M20=0,0,M20/M$19)</f>
        <v>8.3160437338980167E-2</v>
      </c>
      <c r="N238" s="154">
        <f t="shared" si="312"/>
        <v>8.9880268662542395E-2</v>
      </c>
      <c r="O238" s="154">
        <f t="shared" si="312"/>
        <v>9.1263678757159322E-2</v>
      </c>
      <c r="P238" s="154">
        <f t="shared" si="312"/>
        <v>9.7640302871642284E-2</v>
      </c>
      <c r="Q238" s="154">
        <f t="shared" si="312"/>
        <v>0.10524554446616181</v>
      </c>
      <c r="R238" s="154">
        <f t="shared" si="312"/>
        <v>0.10268892659131194</v>
      </c>
      <c r="S238" s="154">
        <f t="shared" si="312"/>
        <v>0.10777121591940614</v>
      </c>
      <c r="T238" s="154">
        <f t="shared" si="312"/>
        <v>0.11350350558575367</v>
      </c>
      <c r="U238" s="154">
        <f t="shared" si="312"/>
        <v>0.1149817520241857</v>
      </c>
      <c r="V238" s="154">
        <f t="shared" si="312"/>
        <v>0.11265969391852473</v>
      </c>
      <c r="W238" s="154">
        <f t="shared" ref="W238" si="313">IF(W20=0,0,W20/W$19)</f>
        <v>0.11013744950758128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9.0008677492991985E-4</v>
      </c>
      <c r="C239" s="103">
        <f t="shared" si="314"/>
        <v>1.126225810418218E-3</v>
      </c>
      <c r="D239" s="103">
        <f t="shared" si="314"/>
        <v>3.2953777729475093E-3</v>
      </c>
      <c r="E239" s="103">
        <f t="shared" si="314"/>
        <v>1.4980240537999763E-3</v>
      </c>
      <c r="F239" s="103">
        <f t="shared" si="314"/>
        <v>9.1686722295751468E-4</v>
      </c>
      <c r="G239" s="103">
        <f t="shared" si="314"/>
        <v>1.7884721876314229E-3</v>
      </c>
      <c r="H239" s="103">
        <f t="shared" si="314"/>
        <v>1.9192098194994744E-3</v>
      </c>
      <c r="I239" s="103">
        <f t="shared" si="314"/>
        <v>1.6490125744384714E-3</v>
      </c>
      <c r="J239" s="103">
        <f t="shared" si="314"/>
        <v>1.5019188271110948E-3</v>
      </c>
      <c r="K239" s="103">
        <f t="shared" si="314"/>
        <v>1.4853785448776047E-3</v>
      </c>
      <c r="L239" s="103">
        <f t="shared" ref="L239" si="315">IF(L21=0,0,L21/L$19)</f>
        <v>1.9357829767552149E-3</v>
      </c>
      <c r="M239" s="103">
        <f t="shared" ref="M239:V239" si="316">IF(M21=0,0,M21/M$19)</f>
        <v>1.9060959725586515E-3</v>
      </c>
      <c r="N239" s="103">
        <f t="shared" si="316"/>
        <v>1.9659285793565068E-3</v>
      </c>
      <c r="O239" s="103">
        <f t="shared" si="316"/>
        <v>1.9658811236954454E-3</v>
      </c>
      <c r="P239" s="103">
        <f t="shared" si="316"/>
        <v>1.8945779204529237E-3</v>
      </c>
      <c r="Q239" s="103">
        <f t="shared" si="316"/>
        <v>1.9190377354649664E-3</v>
      </c>
      <c r="R239" s="103">
        <f t="shared" si="316"/>
        <v>1.7841171693628846E-3</v>
      </c>
      <c r="S239" s="103">
        <f t="shared" si="316"/>
        <v>1.7428383767757276E-3</v>
      </c>
      <c r="T239" s="103">
        <f t="shared" si="316"/>
        <v>1.7423684155152288E-3</v>
      </c>
      <c r="U239" s="103">
        <f t="shared" si="316"/>
        <v>1.7445575692568247E-3</v>
      </c>
      <c r="V239" s="103">
        <f t="shared" si="316"/>
        <v>1.6985300162138204E-3</v>
      </c>
      <c r="W239" s="103">
        <f t="shared" ref="W239" si="317">IF(W21=0,0,W21/W$19)</f>
        <v>1.7525575358682984E-3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3.083500492721758E-2</v>
      </c>
      <c r="C240" s="103">
        <f t="shared" si="318"/>
        <v>3.2882382206643947E-2</v>
      </c>
      <c r="D240" s="103">
        <f t="shared" si="318"/>
        <v>9.8598208195527295E-2</v>
      </c>
      <c r="E240" s="103">
        <f t="shared" si="318"/>
        <v>4.655531009189727E-2</v>
      </c>
      <c r="F240" s="103">
        <f t="shared" si="318"/>
        <v>2.9006093987875743E-2</v>
      </c>
      <c r="G240" s="103">
        <f t="shared" si="318"/>
        <v>5.6619049016412612E-2</v>
      </c>
      <c r="H240" s="103">
        <f t="shared" si="318"/>
        <v>6.3528582064437802E-2</v>
      </c>
      <c r="I240" s="103">
        <f t="shared" si="318"/>
        <v>5.9707071725106219E-2</v>
      </c>
      <c r="J240" s="103">
        <f t="shared" si="318"/>
        <v>6.0186576945545939E-2</v>
      </c>
      <c r="K240" s="103">
        <f t="shared" si="318"/>
        <v>6.1918973667378786E-2</v>
      </c>
      <c r="L240" s="103">
        <f t="shared" ref="L240" si="319">IF(L22=0,0,L22/L$19)</f>
        <v>7.4134634779731035E-2</v>
      </c>
      <c r="M240" s="103">
        <f t="shared" ref="M240:V240" si="320">IF(M22=0,0,M22/M$19)</f>
        <v>8.124142740501146E-2</v>
      </c>
      <c r="N240" s="103">
        <f t="shared" si="320"/>
        <v>8.7900352959890252E-2</v>
      </c>
      <c r="O240" s="103">
        <f t="shared" si="320"/>
        <v>8.9255614697734451E-2</v>
      </c>
      <c r="P240" s="103">
        <f t="shared" si="320"/>
        <v>9.5701779926575858E-2</v>
      </c>
      <c r="Q240" s="103">
        <f t="shared" si="320"/>
        <v>0.10327507143667737</v>
      </c>
      <c r="R240" s="103">
        <f t="shared" si="320"/>
        <v>0.1008500498845213</v>
      </c>
      <c r="S240" s="103">
        <f t="shared" si="320"/>
        <v>0.10596805857514945</v>
      </c>
      <c r="T240" s="103">
        <f t="shared" si="320"/>
        <v>0.11169959535730373</v>
      </c>
      <c r="U240" s="103">
        <f t="shared" si="320"/>
        <v>0.11291821159890969</v>
      </c>
      <c r="V240" s="103">
        <f t="shared" si="320"/>
        <v>0.1106350446006978</v>
      </c>
      <c r="W240" s="103">
        <f t="shared" ref="W240" si="321">IF(W22=0,0,W22/W$19)</f>
        <v>0.1080494701414864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5.3462879260097193E-6</v>
      </c>
      <c r="T241" s="103">
        <f t="shared" si="324"/>
        <v>5.3761146176177564E-6</v>
      </c>
      <c r="U241" s="103">
        <f t="shared" si="324"/>
        <v>1.0488804428528054E-5</v>
      </c>
      <c r="V241" s="103">
        <f t="shared" si="324"/>
        <v>1.0027929714635437E-5</v>
      </c>
      <c r="W241" s="103">
        <f t="shared" ref="W241" si="325">IF(W23=0,0,W23/W$19)</f>
        <v>9.6777722042078605E-6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5.7634073163416436E-6</v>
      </c>
      <c r="K243" s="103">
        <f t="shared" si="330"/>
        <v>5.9589949386711297E-6</v>
      </c>
      <c r="L243" s="103">
        <f t="shared" ref="L243" si="331">IF(L25=0,0,L25/L$19)</f>
        <v>9.9739147982412231E-6</v>
      </c>
      <c r="M243" s="103">
        <f t="shared" ref="M243:V243" si="332">IF(M25=0,0,M25/M$19)</f>
        <v>1.2913961410069135E-5</v>
      </c>
      <c r="N243" s="103">
        <f t="shared" si="332"/>
        <v>1.3987123295636513E-5</v>
      </c>
      <c r="O243" s="103">
        <f t="shared" si="332"/>
        <v>4.2182935729436207E-5</v>
      </c>
      <c r="P243" s="103">
        <f t="shared" si="332"/>
        <v>4.394502461350128E-5</v>
      </c>
      <c r="Q243" s="103">
        <f t="shared" si="332"/>
        <v>5.1435294019482112E-5</v>
      </c>
      <c r="R243" s="103">
        <f t="shared" si="332"/>
        <v>5.4759537427764416E-5</v>
      </c>
      <c r="S243" s="103">
        <f t="shared" si="332"/>
        <v>5.4972679554973486E-5</v>
      </c>
      <c r="T243" s="103">
        <f t="shared" si="332"/>
        <v>5.6165698317074462E-5</v>
      </c>
      <c r="U243" s="103">
        <f t="shared" si="332"/>
        <v>3.0849405159064645E-4</v>
      </c>
      <c r="V243" s="103">
        <f t="shared" si="332"/>
        <v>3.16091371898478E-4</v>
      </c>
      <c r="W243" s="103">
        <f t="shared" ref="W243" si="333">IF(W25=0,0,W25/W$19)</f>
        <v>3.2574405802237254E-4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0.96826490829785239</v>
      </c>
      <c r="C244" s="156">
        <f t="shared" si="334"/>
        <v>0.96599139198293793</v>
      </c>
      <c r="D244" s="156">
        <f t="shared" si="334"/>
        <v>0.89810641403152514</v>
      </c>
      <c r="E244" s="156">
        <f t="shared" si="334"/>
        <v>0.95194666585430276</v>
      </c>
      <c r="F244" s="156">
        <f t="shared" si="334"/>
        <v>0.97007703878916673</v>
      </c>
      <c r="G244" s="156">
        <f t="shared" si="334"/>
        <v>0.94159247879595598</v>
      </c>
      <c r="H244" s="156">
        <f t="shared" si="334"/>
        <v>0.93455220811606277</v>
      </c>
      <c r="I244" s="156">
        <f t="shared" si="334"/>
        <v>0.93864391570045524</v>
      </c>
      <c r="J244" s="156">
        <f t="shared" si="334"/>
        <v>0.93830574082002671</v>
      </c>
      <c r="K244" s="156">
        <f t="shared" si="334"/>
        <v>0.9365896887928048</v>
      </c>
      <c r="L244" s="156">
        <f t="shared" ref="L244" si="335">IF(L26=0,0,L26/L$19)</f>
        <v>0.92391960832871556</v>
      </c>
      <c r="M244" s="156">
        <f t="shared" ref="M244:V244" si="336">IF(M26=0,0,M26/M$19)</f>
        <v>0.91683956266101985</v>
      </c>
      <c r="N244" s="156">
        <f t="shared" si="336"/>
        <v>0.9101197313374576</v>
      </c>
      <c r="O244" s="156">
        <f t="shared" si="336"/>
        <v>0.90873632124284065</v>
      </c>
      <c r="P244" s="156">
        <f t="shared" si="336"/>
        <v>0.90235969712835773</v>
      </c>
      <c r="Q244" s="156">
        <f t="shared" si="336"/>
        <v>0.89475445553383814</v>
      </c>
      <c r="R244" s="156">
        <f t="shared" si="336"/>
        <v>0.89731107340868799</v>
      </c>
      <c r="S244" s="156">
        <f t="shared" si="336"/>
        <v>0.89222878408059381</v>
      </c>
      <c r="T244" s="156">
        <f t="shared" si="336"/>
        <v>0.88649649441424627</v>
      </c>
      <c r="U244" s="156">
        <f t="shared" si="336"/>
        <v>0.8850182479758143</v>
      </c>
      <c r="V244" s="156">
        <f t="shared" si="336"/>
        <v>0.88734030608147529</v>
      </c>
      <c r="W244" s="156">
        <f t="shared" ref="W244" si="337">IF(W26=0,0,W26/W$19)</f>
        <v>0.88986255049241869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0.96826490829785239</v>
      </c>
      <c r="C245" s="103">
        <f t="shared" si="338"/>
        <v>0.96599139198293793</v>
      </c>
      <c r="D245" s="103">
        <f t="shared" si="338"/>
        <v>0.89810641403152514</v>
      </c>
      <c r="E245" s="103">
        <f t="shared" si="338"/>
        <v>0.95194666585430276</v>
      </c>
      <c r="F245" s="103">
        <f t="shared" si="338"/>
        <v>0.97007703878916673</v>
      </c>
      <c r="G245" s="103">
        <f t="shared" si="338"/>
        <v>0.94159247879595598</v>
      </c>
      <c r="H245" s="103">
        <f t="shared" si="338"/>
        <v>0.93455220811606277</v>
      </c>
      <c r="I245" s="103">
        <f t="shared" si="338"/>
        <v>0.93864391570045524</v>
      </c>
      <c r="J245" s="103">
        <f t="shared" si="338"/>
        <v>0.93830574082002671</v>
      </c>
      <c r="K245" s="103">
        <f t="shared" si="338"/>
        <v>0.9365896887928048</v>
      </c>
      <c r="L245" s="103">
        <f t="shared" ref="L245" si="339">IF(L27=0,0,L27/L$19)</f>
        <v>0.92391960832871556</v>
      </c>
      <c r="M245" s="103">
        <f t="shared" ref="M245:V245" si="340">IF(M27=0,0,M27/M$19)</f>
        <v>0.91683956266101985</v>
      </c>
      <c r="N245" s="103">
        <f t="shared" si="340"/>
        <v>0.9101197313374576</v>
      </c>
      <c r="O245" s="103">
        <f t="shared" si="340"/>
        <v>0.90873632124284065</v>
      </c>
      <c r="P245" s="103">
        <f t="shared" si="340"/>
        <v>0.90235969712835773</v>
      </c>
      <c r="Q245" s="103">
        <f t="shared" si="340"/>
        <v>0.89475445553383814</v>
      </c>
      <c r="R245" s="103">
        <f t="shared" si="340"/>
        <v>0.89731107340868799</v>
      </c>
      <c r="S245" s="103">
        <f t="shared" si="340"/>
        <v>0.89222878408059381</v>
      </c>
      <c r="T245" s="103">
        <f t="shared" si="340"/>
        <v>0.88649649441424627</v>
      </c>
      <c r="U245" s="103">
        <f t="shared" si="340"/>
        <v>0.8850182479758143</v>
      </c>
      <c r="V245" s="103">
        <f t="shared" si="340"/>
        <v>0.88734030608147529</v>
      </c>
      <c r="W245" s="103">
        <f t="shared" ref="W245" si="341">IF(W27=0,0,W27/W$19)</f>
        <v>0.88986255049241869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</v>
      </c>
      <c r="C246" s="105">
        <f t="shared" si="342"/>
        <v>0</v>
      </c>
      <c r="D246" s="105">
        <f t="shared" si="342"/>
        <v>0</v>
      </c>
      <c r="E246" s="105">
        <f t="shared" si="342"/>
        <v>0</v>
      </c>
      <c r="F246" s="105">
        <f t="shared" si="342"/>
        <v>0</v>
      </c>
      <c r="G246" s="105">
        <f t="shared" si="342"/>
        <v>0</v>
      </c>
      <c r="H246" s="105">
        <f t="shared" si="342"/>
        <v>0</v>
      </c>
      <c r="I246" s="105">
        <f t="shared" si="342"/>
        <v>0</v>
      </c>
      <c r="J246" s="105">
        <f t="shared" si="342"/>
        <v>0</v>
      </c>
      <c r="K246" s="105">
        <f t="shared" si="342"/>
        <v>0</v>
      </c>
      <c r="L246" s="105">
        <f t="shared" ref="L246" si="343">IF(L28=0,0,L28/L$19)</f>
        <v>0</v>
      </c>
      <c r="M246" s="105">
        <f t="shared" ref="M246:V246" si="344">IF(M28=0,0,M28/M$19)</f>
        <v>0</v>
      </c>
      <c r="N246" s="105">
        <f t="shared" si="344"/>
        <v>0</v>
      </c>
      <c r="O246" s="105">
        <f t="shared" si="344"/>
        <v>0</v>
      </c>
      <c r="P246" s="105">
        <f t="shared" si="344"/>
        <v>0</v>
      </c>
      <c r="Q246" s="105">
        <f t="shared" si="344"/>
        <v>0</v>
      </c>
      <c r="R246" s="105">
        <f t="shared" si="344"/>
        <v>0</v>
      </c>
      <c r="S246" s="105">
        <f t="shared" si="344"/>
        <v>0</v>
      </c>
      <c r="T246" s="105">
        <f t="shared" si="344"/>
        <v>0</v>
      </c>
      <c r="U246" s="105">
        <f t="shared" si="344"/>
        <v>0</v>
      </c>
      <c r="V246" s="105">
        <f t="shared" si="344"/>
        <v>0</v>
      </c>
      <c r="W246" s="105">
        <f t="shared" ref="W246" si="345">IF(W28=0,0,W28/W$19)</f>
        <v>0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1.9624560043807558E-2</v>
      </c>
      <c r="C250" s="154">
        <f t="shared" si="350"/>
        <v>1.9961423397320221E-2</v>
      </c>
      <c r="D250" s="154">
        <f t="shared" si="350"/>
        <v>1.9862572233228352E-2</v>
      </c>
      <c r="E250" s="154">
        <f t="shared" si="350"/>
        <v>1.9550080464308759E-2</v>
      </c>
      <c r="F250" s="154">
        <f t="shared" si="350"/>
        <v>1.8715216854288813E-2</v>
      </c>
      <c r="G250" s="154">
        <f t="shared" si="350"/>
        <v>1.591895536381404E-2</v>
      </c>
      <c r="H250" s="154">
        <f t="shared" si="350"/>
        <v>1.5712513952967491E-2</v>
      </c>
      <c r="I250" s="154">
        <f t="shared" si="350"/>
        <v>1.6765522221037478E-2</v>
      </c>
      <c r="J250" s="154">
        <f t="shared" si="350"/>
        <v>1.7316918446023406E-2</v>
      </c>
      <c r="K250" s="154">
        <f t="shared" si="350"/>
        <v>1.6548601978755111E-2</v>
      </c>
      <c r="L250" s="154">
        <f t="shared" ref="L250" si="351">IF(L32=0,0,L32/L$31)</f>
        <v>1.6726700690739848E-2</v>
      </c>
      <c r="M250" s="154">
        <f t="shared" ref="M250:V250" si="352">IF(M32=0,0,M32/M$31)</f>
        <v>1.7326715123969352E-2</v>
      </c>
      <c r="N250" s="154">
        <f t="shared" si="352"/>
        <v>1.7419714570911026E-2</v>
      </c>
      <c r="O250" s="154">
        <f t="shared" si="352"/>
        <v>1.8088216577883936E-2</v>
      </c>
      <c r="P250" s="154">
        <f t="shared" si="352"/>
        <v>1.8545503345481711E-2</v>
      </c>
      <c r="Q250" s="154">
        <f t="shared" si="352"/>
        <v>1.8403068217965172E-2</v>
      </c>
      <c r="R250" s="154">
        <f t="shared" si="352"/>
        <v>1.9360070162984976E-2</v>
      </c>
      <c r="S250" s="154">
        <f t="shared" si="352"/>
        <v>1.8597394370712148E-2</v>
      </c>
      <c r="T250" s="154">
        <f t="shared" si="352"/>
        <v>1.7477987816390695E-2</v>
      </c>
      <c r="U250" s="154">
        <f t="shared" si="352"/>
        <v>1.8596377932390554E-2</v>
      </c>
      <c r="V250" s="154">
        <f t="shared" si="352"/>
        <v>1.884662686079824E-2</v>
      </c>
      <c r="W250" s="154">
        <f t="shared" ref="W250" si="353">IF(W32=0,0,W32/W$31)</f>
        <v>1.8877973555082007E-2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0.95967717531756025</v>
      </c>
      <c r="C251" s="156">
        <f t="shared" si="354"/>
        <v>0.95924112575326737</v>
      </c>
      <c r="D251" s="156">
        <f t="shared" si="354"/>
        <v>0.95977880028543749</v>
      </c>
      <c r="E251" s="156">
        <f t="shared" si="354"/>
        <v>0.96049289385357328</v>
      </c>
      <c r="F251" s="156">
        <f t="shared" si="354"/>
        <v>0.96040978655274634</v>
      </c>
      <c r="G251" s="156">
        <f t="shared" si="354"/>
        <v>0.96548095128035716</v>
      </c>
      <c r="H251" s="156">
        <f t="shared" si="354"/>
        <v>0.96589326544388732</v>
      </c>
      <c r="I251" s="156">
        <f t="shared" si="354"/>
        <v>0.96396952262058477</v>
      </c>
      <c r="J251" s="156">
        <f t="shared" si="354"/>
        <v>0.96442622210305817</v>
      </c>
      <c r="K251" s="156">
        <f t="shared" si="354"/>
        <v>0.96602790156923679</v>
      </c>
      <c r="L251" s="156">
        <f t="shared" ref="L251" si="355">IF(L33=0,0,L33/L$31)</f>
        <v>0.96378454941256797</v>
      </c>
      <c r="M251" s="156">
        <f t="shared" ref="M251:V251" si="356">IF(M33=0,0,M33/M$31)</f>
        <v>0.96076871842417466</v>
      </c>
      <c r="N251" s="156">
        <f t="shared" si="356"/>
        <v>0.9568876294904034</v>
      </c>
      <c r="O251" s="156">
        <f t="shared" si="356"/>
        <v>0.95632932400000625</v>
      </c>
      <c r="P251" s="156">
        <f t="shared" si="356"/>
        <v>0.95157136007104592</v>
      </c>
      <c r="Q251" s="156">
        <f t="shared" si="356"/>
        <v>0.94911548717307548</v>
      </c>
      <c r="R251" s="156">
        <f t="shared" si="356"/>
        <v>0.94905600824769198</v>
      </c>
      <c r="S251" s="156">
        <f t="shared" si="356"/>
        <v>0.9488677206231162</v>
      </c>
      <c r="T251" s="156">
        <f t="shared" si="356"/>
        <v>0.95003535889200397</v>
      </c>
      <c r="U251" s="156">
        <f t="shared" si="356"/>
        <v>0.94930283165975593</v>
      </c>
      <c r="V251" s="156">
        <f t="shared" si="356"/>
        <v>0.95280703752807672</v>
      </c>
      <c r="W251" s="156">
        <f t="shared" ref="W251" si="357">IF(W33=0,0,W33/W$31)</f>
        <v>0.95630733118858258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0.82442299552325105</v>
      </c>
      <c r="C252" s="103">
        <f t="shared" si="358"/>
        <v>0.8115528666234072</v>
      </c>
      <c r="D252" s="103">
        <f t="shared" si="358"/>
        <v>0.80613584918596626</v>
      </c>
      <c r="E252" s="103">
        <f t="shared" si="358"/>
        <v>0.80113323637035661</v>
      </c>
      <c r="F252" s="103">
        <f t="shared" si="358"/>
        <v>0.78854486819584946</v>
      </c>
      <c r="G252" s="103">
        <f t="shared" si="358"/>
        <v>0.80319746658992941</v>
      </c>
      <c r="H252" s="103">
        <f t="shared" si="358"/>
        <v>0.80179643728473049</v>
      </c>
      <c r="I252" s="103">
        <f t="shared" si="358"/>
        <v>0.78736323186415569</v>
      </c>
      <c r="J252" s="103">
        <f t="shared" si="358"/>
        <v>0.79515055513749611</v>
      </c>
      <c r="K252" s="103">
        <f t="shared" si="358"/>
        <v>0.79124961683608586</v>
      </c>
      <c r="L252" s="103">
        <f t="shared" ref="L252" si="359">IF(L34=0,0,L34/L$31)</f>
        <v>0.64114339283233013</v>
      </c>
      <c r="M252" s="103">
        <f t="shared" ref="M252:V252" si="360">IF(M34=0,0,M34/M$31)</f>
        <v>0.61056570388430143</v>
      </c>
      <c r="N252" s="103">
        <f t="shared" si="360"/>
        <v>0.58771015299500795</v>
      </c>
      <c r="O252" s="103">
        <f t="shared" si="360"/>
        <v>0.57542621315323705</v>
      </c>
      <c r="P252" s="103">
        <f t="shared" si="360"/>
        <v>0.5714839141854321</v>
      </c>
      <c r="Q252" s="103">
        <f t="shared" si="360"/>
        <v>0.56209723179174453</v>
      </c>
      <c r="R252" s="103">
        <f t="shared" si="360"/>
        <v>0.55371936812079703</v>
      </c>
      <c r="S252" s="103">
        <f t="shared" si="360"/>
        <v>0.56758535786186148</v>
      </c>
      <c r="T252" s="103">
        <f t="shared" si="360"/>
        <v>0.54683187980224046</v>
      </c>
      <c r="U252" s="103">
        <f t="shared" si="360"/>
        <v>0.54361559909095047</v>
      </c>
      <c r="V252" s="103">
        <f t="shared" si="360"/>
        <v>0.53676011390381739</v>
      </c>
      <c r="W252" s="103">
        <f t="shared" ref="W252" si="361">IF(W34=0,0,W34/W$31)</f>
        <v>0.53423704398551375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0.1352541797943092</v>
      </c>
      <c r="C253" s="103">
        <f t="shared" si="362"/>
        <v>0.14768825912986022</v>
      </c>
      <c r="D253" s="103">
        <f t="shared" si="362"/>
        <v>0.15364295109947118</v>
      </c>
      <c r="E253" s="103">
        <f t="shared" si="362"/>
        <v>0.15930753826153948</v>
      </c>
      <c r="F253" s="103">
        <f t="shared" si="362"/>
        <v>0.17178694427426036</v>
      </c>
      <c r="G253" s="103">
        <f t="shared" si="362"/>
        <v>0.1621992913241371</v>
      </c>
      <c r="H253" s="103">
        <f t="shared" si="362"/>
        <v>0.16400395812504334</v>
      </c>
      <c r="I253" s="103">
        <f t="shared" si="362"/>
        <v>0.17645191566747942</v>
      </c>
      <c r="J253" s="103">
        <f t="shared" si="362"/>
        <v>0.16911661877542372</v>
      </c>
      <c r="K253" s="103">
        <f t="shared" si="362"/>
        <v>0.17460979630592932</v>
      </c>
      <c r="L253" s="103">
        <f t="shared" ref="L253" si="363">IF(L35=0,0,L35/L$31)</f>
        <v>0.32111056933009441</v>
      </c>
      <c r="M253" s="103">
        <f t="shared" ref="M253:V253" si="364">IF(M35=0,0,M35/M$31)</f>
        <v>0.34872684063133513</v>
      </c>
      <c r="N253" s="103">
        <f t="shared" si="364"/>
        <v>0.36740341689904987</v>
      </c>
      <c r="O253" s="103">
        <f t="shared" si="364"/>
        <v>0.37863772721979005</v>
      </c>
      <c r="P253" s="103">
        <f t="shared" si="364"/>
        <v>0.37636724351842121</v>
      </c>
      <c r="Q253" s="103">
        <f t="shared" si="364"/>
        <v>0.38182851121763106</v>
      </c>
      <c r="R253" s="103">
        <f t="shared" si="364"/>
        <v>0.38102807773168451</v>
      </c>
      <c r="S253" s="103">
        <f t="shared" si="364"/>
        <v>0.3707217667244605</v>
      </c>
      <c r="T253" s="103">
        <f t="shared" si="364"/>
        <v>0.39278029416748311</v>
      </c>
      <c r="U253" s="103">
        <f t="shared" si="364"/>
        <v>0.39015454565202401</v>
      </c>
      <c r="V253" s="103">
        <f t="shared" si="364"/>
        <v>0.39628424251627065</v>
      </c>
      <c r="W253" s="103">
        <f t="shared" ref="W253" si="365">IF(W35=0,0,W35/W$31)</f>
        <v>0.39877921784175674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0</v>
      </c>
      <c r="H254" s="103">
        <f t="shared" si="366"/>
        <v>0</v>
      </c>
      <c r="I254" s="103">
        <f t="shared" si="366"/>
        <v>0</v>
      </c>
      <c r="J254" s="103">
        <f t="shared" si="366"/>
        <v>0</v>
      </c>
      <c r="K254" s="103">
        <f t="shared" si="366"/>
        <v>0</v>
      </c>
      <c r="L254" s="103">
        <f t="shared" ref="L254" si="367">IF(L36=0,0,L36/L$31)</f>
        <v>0</v>
      </c>
      <c r="M254" s="103">
        <f t="shared" ref="M254:V254" si="368">IF(M36=0,0,M36/M$31)</f>
        <v>0</v>
      </c>
      <c r="N254" s="103">
        <f t="shared" si="368"/>
        <v>0</v>
      </c>
      <c r="O254" s="103">
        <f t="shared" si="368"/>
        <v>0</v>
      </c>
      <c r="P254" s="103">
        <f t="shared" si="368"/>
        <v>0</v>
      </c>
      <c r="Q254" s="103">
        <f t="shared" si="368"/>
        <v>0</v>
      </c>
      <c r="R254" s="103">
        <f t="shared" si="368"/>
        <v>9.1645234151363948E-3</v>
      </c>
      <c r="S254" s="103">
        <f t="shared" si="368"/>
        <v>5.1609946942142125E-3</v>
      </c>
      <c r="T254" s="103">
        <f t="shared" si="368"/>
        <v>4.096095365332752E-3</v>
      </c>
      <c r="U254" s="103">
        <f t="shared" si="368"/>
        <v>5.7125093492447149E-3</v>
      </c>
      <c r="V254" s="103">
        <f t="shared" si="368"/>
        <v>5.16279515012792E-3</v>
      </c>
      <c r="W254" s="103">
        <f t="shared" ref="W254" si="369">IF(W36=0,0,W36/W$31)</f>
        <v>4.874155040770471E-3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0</v>
      </c>
      <c r="U255" s="103">
        <f t="shared" si="372"/>
        <v>0</v>
      </c>
      <c r="V255" s="103">
        <f t="shared" si="372"/>
        <v>0</v>
      </c>
      <c r="W255" s="103">
        <f t="shared" ref="W255" si="373">IF(W37=0,0,W37/W$31)</f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1.3454164930767911E-3</v>
      </c>
      <c r="M256" s="103">
        <f t="shared" ref="M256:V256" si="376">IF(M38=0,0,M38/M$31)</f>
        <v>1.3243588855759891E-3</v>
      </c>
      <c r="N256" s="103">
        <f t="shared" si="376"/>
        <v>1.5836428255680977E-3</v>
      </c>
      <c r="O256" s="103">
        <f t="shared" si="376"/>
        <v>2.0266285542041469E-3</v>
      </c>
      <c r="P256" s="103">
        <f t="shared" si="376"/>
        <v>3.3193865086067614E-3</v>
      </c>
      <c r="Q256" s="103">
        <f t="shared" si="376"/>
        <v>4.6855333925415509E-3</v>
      </c>
      <c r="R256" s="103">
        <f t="shared" si="376"/>
        <v>4.5829948694414077E-3</v>
      </c>
      <c r="S256" s="103">
        <f t="shared" si="376"/>
        <v>4.6562813367985846E-3</v>
      </c>
      <c r="T256" s="103">
        <f t="shared" si="376"/>
        <v>5.0717402311893185E-3</v>
      </c>
      <c r="U256" s="103">
        <f t="shared" si="376"/>
        <v>5.3695953340840768E-3</v>
      </c>
      <c r="V256" s="103">
        <f t="shared" si="376"/>
        <v>6.491306611520112E-3</v>
      </c>
      <c r="W256" s="103">
        <f t="shared" ref="W256" si="377">IF(W38=0,0,W38/W$31)</f>
        <v>9.8959091827269668E-3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5.2119221677179665E-5</v>
      </c>
      <c r="F257" s="103">
        <f t="shared" si="378"/>
        <v>7.7974082636499378E-5</v>
      </c>
      <c r="G257" s="103">
        <f t="shared" si="378"/>
        <v>8.4193366290589302E-5</v>
      </c>
      <c r="H257" s="103">
        <f t="shared" si="378"/>
        <v>9.2870034113357657E-5</v>
      </c>
      <c r="I257" s="103">
        <f t="shared" si="378"/>
        <v>1.5437508894973573E-4</v>
      </c>
      <c r="J257" s="103">
        <f t="shared" si="378"/>
        <v>1.5904819013826872E-4</v>
      </c>
      <c r="K257" s="103">
        <f t="shared" si="378"/>
        <v>1.6848842722171339E-4</v>
      </c>
      <c r="L257" s="103">
        <f t="shared" ref="L257" si="379">IF(L39=0,0,L39/L$31)</f>
        <v>1.8517075706666177E-4</v>
      </c>
      <c r="M257" s="103">
        <f t="shared" ref="M257:V257" si="380">IF(M39=0,0,M39/M$31)</f>
        <v>1.5181502296197352E-4</v>
      </c>
      <c r="N257" s="103">
        <f t="shared" si="380"/>
        <v>1.9041677077763532E-4</v>
      </c>
      <c r="O257" s="103">
        <f t="shared" si="380"/>
        <v>2.3875507277497149E-4</v>
      </c>
      <c r="P257" s="103">
        <f t="shared" si="380"/>
        <v>4.0081585858590881E-4</v>
      </c>
      <c r="Q257" s="103">
        <f t="shared" si="380"/>
        <v>5.0421077115835381E-4</v>
      </c>
      <c r="R257" s="103">
        <f t="shared" si="380"/>
        <v>5.610441106326E-4</v>
      </c>
      <c r="S257" s="103">
        <f t="shared" si="380"/>
        <v>7.4332000578151709E-4</v>
      </c>
      <c r="T257" s="103">
        <f t="shared" si="380"/>
        <v>1.2553493257581648E-3</v>
      </c>
      <c r="U257" s="103">
        <f t="shared" si="380"/>
        <v>4.4505822334527196E-3</v>
      </c>
      <c r="V257" s="103">
        <f t="shared" si="380"/>
        <v>8.1085793463406153E-3</v>
      </c>
      <c r="W257" s="103">
        <f t="shared" ref="W257" si="381">IF(W39=0,0,W39/W$31)</f>
        <v>8.5210051378146797E-3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2.0698264638632231E-2</v>
      </c>
      <c r="C258" s="156">
        <f t="shared" si="382"/>
        <v>2.0797450849412456E-2</v>
      </c>
      <c r="D258" s="156">
        <f t="shared" si="382"/>
        <v>2.0358627481334175E-2</v>
      </c>
      <c r="E258" s="156">
        <f t="shared" si="382"/>
        <v>1.9957025682117959E-2</v>
      </c>
      <c r="F258" s="156">
        <f t="shared" si="382"/>
        <v>2.0874996592964896E-2</v>
      </c>
      <c r="G258" s="156">
        <f t="shared" si="382"/>
        <v>1.8600093355828799E-2</v>
      </c>
      <c r="H258" s="156">
        <f t="shared" si="382"/>
        <v>1.8394220603145269E-2</v>
      </c>
      <c r="I258" s="156">
        <f t="shared" si="382"/>
        <v>1.9264955158377735E-2</v>
      </c>
      <c r="J258" s="156">
        <f t="shared" si="382"/>
        <v>1.825685945091839E-2</v>
      </c>
      <c r="K258" s="156">
        <f t="shared" si="382"/>
        <v>1.7423496452008067E-2</v>
      </c>
      <c r="L258" s="156">
        <f t="shared" ref="L258" si="383">IF(L40=0,0,L40/L$31)</f>
        <v>1.9488749896692126E-2</v>
      </c>
      <c r="M258" s="156">
        <f t="shared" ref="M258:V258" si="384">IF(M40=0,0,M40/M$31)</f>
        <v>2.190456645185599E-2</v>
      </c>
      <c r="N258" s="156">
        <f t="shared" si="384"/>
        <v>2.569265593868552E-2</v>
      </c>
      <c r="O258" s="156">
        <f t="shared" si="384"/>
        <v>2.5582459422109651E-2</v>
      </c>
      <c r="P258" s="156">
        <f t="shared" si="384"/>
        <v>2.9883136583472369E-2</v>
      </c>
      <c r="Q258" s="156">
        <f t="shared" si="384"/>
        <v>3.2481444608959423E-2</v>
      </c>
      <c r="R258" s="156">
        <f t="shared" si="384"/>
        <v>3.1583921589322973E-2</v>
      </c>
      <c r="S258" s="156">
        <f t="shared" si="384"/>
        <v>3.2534885006171563E-2</v>
      </c>
      <c r="T258" s="156">
        <f t="shared" si="384"/>
        <v>3.2486653291605369E-2</v>
      </c>
      <c r="U258" s="156">
        <f t="shared" si="384"/>
        <v>3.2100790407853602E-2</v>
      </c>
      <c r="V258" s="156">
        <f t="shared" si="384"/>
        <v>2.8346335611124897E-2</v>
      </c>
      <c r="W258" s="156">
        <f t="shared" ref="W258" si="385">IF(W40=0,0,W40/W$31)</f>
        <v>2.4814695256335367E-2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1.6564855334727743E-4</v>
      </c>
      <c r="M259" s="103">
        <f t="shared" ref="M259:V259" si="388">IF(M41=0,0,M41/M$31)</f>
        <v>1.3650241067880063E-4</v>
      </c>
      <c r="N259" s="103">
        <f t="shared" si="388"/>
        <v>1.2715876556224174E-4</v>
      </c>
      <c r="O259" s="103">
        <f t="shared" si="388"/>
        <v>1.1498236633677821E-4</v>
      </c>
      <c r="P259" s="103">
        <f t="shared" si="388"/>
        <v>1.0079891962269698E-4</v>
      </c>
      <c r="Q259" s="103">
        <f t="shared" si="388"/>
        <v>8.0543962852226366E-5</v>
      </c>
      <c r="R259" s="103">
        <f t="shared" si="388"/>
        <v>7.4994865981923412E-5</v>
      </c>
      <c r="S259" s="103">
        <f t="shared" si="388"/>
        <v>7.29567134348983E-5</v>
      </c>
      <c r="T259" s="103">
        <f t="shared" si="388"/>
        <v>7.6983494571139892E-5</v>
      </c>
      <c r="U259" s="103">
        <f t="shared" si="388"/>
        <v>8.1461611247539615E-5</v>
      </c>
      <c r="V259" s="103">
        <f t="shared" si="388"/>
        <v>6.0426505180547399E-5</v>
      </c>
      <c r="W259" s="103">
        <f t="shared" ref="W259" si="389">IF(W41=0,0,W41/W$31)</f>
        <v>5.3713199840951572E-5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2.0698264638632231E-2</v>
      </c>
      <c r="C260" s="103">
        <f t="shared" si="390"/>
        <v>2.0797450849412456E-2</v>
      </c>
      <c r="D260" s="103">
        <f t="shared" si="390"/>
        <v>2.0358627481334175E-2</v>
      </c>
      <c r="E260" s="103">
        <f t="shared" si="390"/>
        <v>1.9957025682117959E-2</v>
      </c>
      <c r="F260" s="103">
        <f t="shared" si="390"/>
        <v>2.0874996592964896E-2</v>
      </c>
      <c r="G260" s="103">
        <f t="shared" si="390"/>
        <v>1.8600093355828799E-2</v>
      </c>
      <c r="H260" s="103">
        <f t="shared" si="390"/>
        <v>1.8394220603145269E-2</v>
      </c>
      <c r="I260" s="103">
        <f t="shared" si="390"/>
        <v>1.9264955158377735E-2</v>
      </c>
      <c r="J260" s="103">
        <f t="shared" si="390"/>
        <v>1.825685945091839E-2</v>
      </c>
      <c r="K260" s="103">
        <f t="shared" si="390"/>
        <v>1.7423496452008067E-2</v>
      </c>
      <c r="L260" s="103">
        <f t="shared" ref="L260" si="391">IF(L42=0,0,L42/L$31)</f>
        <v>1.9323101343344848E-2</v>
      </c>
      <c r="M260" s="103">
        <f t="shared" ref="M260:V260" si="392">IF(M42=0,0,M42/M$31)</f>
        <v>2.176806404117719E-2</v>
      </c>
      <c r="N260" s="103">
        <f t="shared" si="392"/>
        <v>2.5565497173123279E-2</v>
      </c>
      <c r="O260" s="103">
        <f t="shared" si="392"/>
        <v>2.5467477055772871E-2</v>
      </c>
      <c r="P260" s="103">
        <f t="shared" si="392"/>
        <v>2.9782337663849672E-2</v>
      </c>
      <c r="Q260" s="103">
        <f t="shared" si="392"/>
        <v>3.2400900646107199E-2</v>
      </c>
      <c r="R260" s="103">
        <f t="shared" si="392"/>
        <v>3.1508926723341046E-2</v>
      </c>
      <c r="S260" s="103">
        <f t="shared" si="392"/>
        <v>3.2461928292736662E-2</v>
      </c>
      <c r="T260" s="103">
        <f t="shared" si="392"/>
        <v>3.2285497209202006E-2</v>
      </c>
      <c r="U260" s="103">
        <f t="shared" si="392"/>
        <v>3.1865652440675837E-2</v>
      </c>
      <c r="V260" s="103">
        <f t="shared" si="392"/>
        <v>2.8124727438101019E-2</v>
      </c>
      <c r="W260" s="103">
        <f t="shared" ref="W260" si="393">IF(W42=0,0,W42/W$31)</f>
        <v>2.4568894215604091E-2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0</v>
      </c>
      <c r="V262" s="103">
        <f t="shared" si="400"/>
        <v>0</v>
      </c>
      <c r="W262" s="103">
        <f t="shared" ref="W262" si="401">IF(W44=0,0,W44/W$31)</f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0</v>
      </c>
      <c r="Q263" s="103">
        <f t="shared" si="404"/>
        <v>0</v>
      </c>
      <c r="R263" s="103">
        <f t="shared" si="404"/>
        <v>0</v>
      </c>
      <c r="S263" s="103">
        <f t="shared" si="404"/>
        <v>0</v>
      </c>
      <c r="T263" s="103">
        <f t="shared" si="404"/>
        <v>1.2417258783222309E-4</v>
      </c>
      <c r="U263" s="103">
        <f t="shared" si="404"/>
        <v>1.5367635593022721E-4</v>
      </c>
      <c r="V263" s="103">
        <f t="shared" si="404"/>
        <v>1.6118166784333309E-4</v>
      </c>
      <c r="W263" s="103">
        <f t="shared" ref="W263" si="405">IF(W45=0,0,W45/W$31)</f>
        <v>1.920878408903279E-4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0.46147429955706776</v>
      </c>
      <c r="C265" s="154">
        <f t="shared" si="410"/>
        <v>0.47974803240800795</v>
      </c>
      <c r="D265" s="154">
        <f t="shared" si="410"/>
        <v>0.74863361071857559</v>
      </c>
      <c r="E265" s="154">
        <f t="shared" si="410"/>
        <v>0.57027482588068756</v>
      </c>
      <c r="F265" s="154">
        <f t="shared" si="410"/>
        <v>0.44742753299488208</v>
      </c>
      <c r="G265" s="154">
        <f t="shared" si="410"/>
        <v>0.61926655077227921</v>
      </c>
      <c r="H265" s="154">
        <f t="shared" si="410"/>
        <v>0.64817909968687926</v>
      </c>
      <c r="I265" s="154">
        <f t="shared" si="410"/>
        <v>0.63478850902682094</v>
      </c>
      <c r="J265" s="154">
        <f t="shared" si="410"/>
        <v>0.63763876966120436</v>
      </c>
      <c r="K265" s="154">
        <f t="shared" si="410"/>
        <v>0.64618598804547855</v>
      </c>
      <c r="L265" s="154">
        <f t="shared" ref="L265" si="411">IF(L47=0,0,L47/L$46)</f>
        <v>0.68684118256680349</v>
      </c>
      <c r="M265" s="154">
        <f t="shared" ref="M265:V265" si="412">IF(M47=0,0,M47/M$46)</f>
        <v>0.70868421220020494</v>
      </c>
      <c r="N265" s="154">
        <f t="shared" si="412"/>
        <v>0.72563323002925906</v>
      </c>
      <c r="O265" s="154">
        <f t="shared" si="412"/>
        <v>0.72901303488683156</v>
      </c>
      <c r="P265" s="154">
        <f t="shared" si="412"/>
        <v>0.74941015356857676</v>
      </c>
      <c r="Q265" s="154">
        <f t="shared" si="412"/>
        <v>0.76518401551227688</v>
      </c>
      <c r="R265" s="154">
        <f t="shared" si="412"/>
        <v>0.75895934154322908</v>
      </c>
      <c r="S265" s="154">
        <f t="shared" si="412"/>
        <v>0.76889249992465325</v>
      </c>
      <c r="T265" s="154">
        <f t="shared" si="412"/>
        <v>0.77767466406769692</v>
      </c>
      <c r="U265" s="154">
        <f t="shared" si="412"/>
        <v>0.78059597663044855</v>
      </c>
      <c r="V265" s="154">
        <f t="shared" si="412"/>
        <v>0.77450605201029654</v>
      </c>
      <c r="W265" s="154">
        <f t="shared" ref="W265" si="413">IF(W47=0,0,W47/W$46)</f>
        <v>0.76839372382790827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1.5133993449443127E-2</v>
      </c>
      <c r="C266" s="103">
        <f t="shared" si="414"/>
        <v>1.8949564856565113E-2</v>
      </c>
      <c r="D266" s="103">
        <f t="shared" si="414"/>
        <v>2.8911809981599538E-2</v>
      </c>
      <c r="E266" s="103">
        <f t="shared" si="414"/>
        <v>2.1187678705488707E-2</v>
      </c>
      <c r="F266" s="103">
        <f t="shared" si="414"/>
        <v>1.6383760996738876E-2</v>
      </c>
      <c r="G266" s="103">
        <f t="shared" si="414"/>
        <v>2.2810743487648017E-2</v>
      </c>
      <c r="H266" s="103">
        <f t="shared" si="414"/>
        <v>2.2781947399347274E-2</v>
      </c>
      <c r="I266" s="103">
        <f t="shared" si="414"/>
        <v>2.0158020983538808E-2</v>
      </c>
      <c r="J266" s="103">
        <f t="shared" si="414"/>
        <v>1.8028214362608899E-2</v>
      </c>
      <c r="K266" s="103">
        <f t="shared" si="414"/>
        <v>1.7534796822910412E-2</v>
      </c>
      <c r="L266" s="103">
        <f t="shared" ref="L266" si="415">IF(L48=0,0,L48/L$46)</f>
        <v>2.0799760373089518E-2</v>
      </c>
      <c r="M266" s="103">
        <f t="shared" ref="M266:V266" si="416">IF(M48=0,0,M48/M$46)</f>
        <v>1.9130991233791212E-2</v>
      </c>
      <c r="N266" s="103">
        <f t="shared" si="416"/>
        <v>1.8899689252749065E-2</v>
      </c>
      <c r="O266" s="103">
        <f t="shared" si="416"/>
        <v>1.8736696021302093E-2</v>
      </c>
      <c r="P266" s="103">
        <f t="shared" si="416"/>
        <v>1.880307741735323E-2</v>
      </c>
      <c r="Q266" s="103">
        <f t="shared" si="416"/>
        <v>1.7983980376194111E-2</v>
      </c>
      <c r="R266" s="103">
        <f t="shared" si="416"/>
        <v>1.6967673860766464E-2</v>
      </c>
      <c r="S266" s="103">
        <f t="shared" si="416"/>
        <v>1.5974580905048524E-2</v>
      </c>
      <c r="T266" s="103">
        <f t="shared" si="416"/>
        <v>1.5310646951015661E-2</v>
      </c>
      <c r="U266" s="103">
        <f t="shared" si="416"/>
        <v>1.5160002736017872E-2</v>
      </c>
      <c r="V266" s="103">
        <f t="shared" si="416"/>
        <v>1.4976246925375922E-2</v>
      </c>
      <c r="W266" s="103">
        <f t="shared" ref="W266" si="417">IF(W48=0,0,W48/W$46)</f>
        <v>1.5662299358456672E-2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0.44634030610762465</v>
      </c>
      <c r="C267" s="103">
        <f t="shared" si="418"/>
        <v>0.46079846755144288</v>
      </c>
      <c r="D267" s="103">
        <f t="shared" si="418"/>
        <v>0.71972180073697611</v>
      </c>
      <c r="E267" s="103">
        <f t="shared" si="418"/>
        <v>0.54908714717519891</v>
      </c>
      <c r="F267" s="103">
        <f t="shared" si="418"/>
        <v>0.43104377199814325</v>
      </c>
      <c r="G267" s="103">
        <f t="shared" si="418"/>
        <v>0.5964558072846311</v>
      </c>
      <c r="H267" s="103">
        <f t="shared" si="418"/>
        <v>0.62539715228753201</v>
      </c>
      <c r="I267" s="103">
        <f t="shared" si="418"/>
        <v>0.61463048804328213</v>
      </c>
      <c r="J267" s="103">
        <f t="shared" si="418"/>
        <v>0.61954995149340319</v>
      </c>
      <c r="K267" s="103">
        <f t="shared" si="418"/>
        <v>0.62858956536289567</v>
      </c>
      <c r="L267" s="103">
        <f t="shared" ref="L267" si="419">IF(L49=0,0,L49/L$46)</f>
        <v>0.66594729617959159</v>
      </c>
      <c r="M267" s="103">
        <f t="shared" ref="M267:V267" si="420">IF(M49=0,0,M49/M$46)</f>
        <v>0.68943848403769248</v>
      </c>
      <c r="N267" s="103">
        <f t="shared" si="420"/>
        <v>0.70661552637822456</v>
      </c>
      <c r="O267" s="103">
        <f t="shared" si="420"/>
        <v>0.70992322768814542</v>
      </c>
      <c r="P267" s="103">
        <f t="shared" si="420"/>
        <v>0.73026446623439834</v>
      </c>
      <c r="Q267" s="103">
        <f t="shared" si="420"/>
        <v>0.7468201122204019</v>
      </c>
      <c r="R267" s="103">
        <f t="shared" si="420"/>
        <v>0.74157917115377592</v>
      </c>
      <c r="S267" s="103">
        <f t="shared" si="420"/>
        <v>0.75247847614174457</v>
      </c>
      <c r="T267" s="103">
        <f t="shared" si="420"/>
        <v>0.76193192729982806</v>
      </c>
      <c r="U267" s="103">
        <f t="shared" si="420"/>
        <v>0.76322618212878857</v>
      </c>
      <c r="V267" s="103">
        <f t="shared" si="420"/>
        <v>0.75722477522867848</v>
      </c>
      <c r="W267" s="103">
        <f t="shared" ref="W267" si="421">IF(W49=0,0,W49/W$46)</f>
        <v>0.75031459797536681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4.0229653455745159E-5</v>
      </c>
      <c r="T268" s="103">
        <f t="shared" si="424"/>
        <v>3.8844578287906821E-5</v>
      </c>
      <c r="U268" s="103">
        <f t="shared" si="424"/>
        <v>7.5064530284086375E-5</v>
      </c>
      <c r="V268" s="103">
        <f t="shared" si="424"/>
        <v>7.2695781848956191E-5</v>
      </c>
      <c r="W268" s="103">
        <f t="shared" ref="W268" si="425">IF(W50=0,0,W50/W$46)</f>
        <v>7.1168676064522121E-5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6.0603805192331012E-5</v>
      </c>
      <c r="K270" s="103">
        <f t="shared" si="430"/>
        <v>6.1625859672459054E-5</v>
      </c>
      <c r="L270" s="103">
        <f t="shared" ref="L270" si="431">IF(L52=0,0,L52/L$46)</f>
        <v>9.4126014122532001E-5</v>
      </c>
      <c r="M270" s="103">
        <f t="shared" ref="M270:V270" si="432">IF(M52=0,0,M52/M$46)</f>
        <v>1.1473692872107E-4</v>
      </c>
      <c r="N270" s="103">
        <f t="shared" si="432"/>
        <v>1.1801439828541912E-4</v>
      </c>
      <c r="O270" s="103">
        <f t="shared" si="432"/>
        <v>3.5311117738411741E-4</v>
      </c>
      <c r="P270" s="103">
        <f t="shared" si="432"/>
        <v>3.42609916825134E-4</v>
      </c>
      <c r="Q270" s="103">
        <f t="shared" si="432"/>
        <v>3.799229156807917E-4</v>
      </c>
      <c r="R270" s="103">
        <f t="shared" si="432"/>
        <v>4.1249652868665022E-4</v>
      </c>
      <c r="S270" s="103">
        <f t="shared" si="432"/>
        <v>3.9921322440448354E-4</v>
      </c>
      <c r="T270" s="103">
        <f t="shared" si="432"/>
        <v>3.9324523856520754E-4</v>
      </c>
      <c r="U270" s="103">
        <f t="shared" si="432"/>
        <v>2.1347272353579787E-3</v>
      </c>
      <c r="V270" s="103">
        <f t="shared" si="432"/>
        <v>2.2323340743931981E-3</v>
      </c>
      <c r="W270" s="103">
        <f t="shared" ref="W270" si="433">IF(W52=0,0,W52/W$46)</f>
        <v>2.3456578180201799E-3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0.53852570044293224</v>
      </c>
      <c r="C271" s="156">
        <f t="shared" si="434"/>
        <v>0.52025196759199199</v>
      </c>
      <c r="D271" s="156">
        <f t="shared" si="434"/>
        <v>0.25136638928142441</v>
      </c>
      <c r="E271" s="156">
        <f t="shared" si="434"/>
        <v>0.42972517411931249</v>
      </c>
      <c r="F271" s="156">
        <f t="shared" si="434"/>
        <v>0.55257246700511775</v>
      </c>
      <c r="G271" s="156">
        <f t="shared" si="434"/>
        <v>0.38073344922772079</v>
      </c>
      <c r="H271" s="156">
        <f t="shared" si="434"/>
        <v>0.35182090031312074</v>
      </c>
      <c r="I271" s="156">
        <f t="shared" si="434"/>
        <v>0.36521149097317912</v>
      </c>
      <c r="J271" s="156">
        <f t="shared" si="434"/>
        <v>0.36236123033879564</v>
      </c>
      <c r="K271" s="156">
        <f t="shared" si="434"/>
        <v>0.35381401195452133</v>
      </c>
      <c r="L271" s="156">
        <f t="shared" ref="L271" si="435">IF(L53=0,0,L53/L$46)</f>
        <v>0.31315881743319657</v>
      </c>
      <c r="M271" s="156">
        <f t="shared" ref="M271:V271" si="436">IF(M53=0,0,M53/M$46)</f>
        <v>0.291315787799795</v>
      </c>
      <c r="N271" s="156">
        <f t="shared" si="436"/>
        <v>0.274366769970741</v>
      </c>
      <c r="O271" s="156">
        <f t="shared" si="436"/>
        <v>0.27098696511316844</v>
      </c>
      <c r="P271" s="156">
        <f t="shared" si="436"/>
        <v>0.25058984643142329</v>
      </c>
      <c r="Q271" s="156">
        <f t="shared" si="436"/>
        <v>0.23481598448772309</v>
      </c>
      <c r="R271" s="156">
        <f t="shared" si="436"/>
        <v>0.24104065845677097</v>
      </c>
      <c r="S271" s="156">
        <f t="shared" si="436"/>
        <v>0.23110750007534675</v>
      </c>
      <c r="T271" s="156">
        <f t="shared" si="436"/>
        <v>0.22232533593230308</v>
      </c>
      <c r="U271" s="156">
        <f t="shared" si="436"/>
        <v>0.2194040233695515</v>
      </c>
      <c r="V271" s="156">
        <f t="shared" si="436"/>
        <v>0.22549394798970346</v>
      </c>
      <c r="W271" s="156">
        <f t="shared" ref="W271" si="437">IF(W53=0,0,W53/W$46)</f>
        <v>0.23160627617209179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0.53852570044293224</v>
      </c>
      <c r="C272" s="104">
        <f t="shared" si="438"/>
        <v>0.52025196759199199</v>
      </c>
      <c r="D272" s="104">
        <f t="shared" si="438"/>
        <v>0.25136638928142441</v>
      </c>
      <c r="E272" s="104">
        <f t="shared" si="438"/>
        <v>0.42972517411931249</v>
      </c>
      <c r="F272" s="104">
        <f t="shared" si="438"/>
        <v>0.55257246700511775</v>
      </c>
      <c r="G272" s="104">
        <f t="shared" si="438"/>
        <v>0.38073344922772079</v>
      </c>
      <c r="H272" s="104">
        <f t="shared" si="438"/>
        <v>0.35182090031312074</v>
      </c>
      <c r="I272" s="104">
        <f t="shared" si="438"/>
        <v>0.36521149097317912</v>
      </c>
      <c r="J272" s="104">
        <f t="shared" si="438"/>
        <v>0.36236123033879564</v>
      </c>
      <c r="K272" s="104">
        <f t="shared" si="438"/>
        <v>0.35381401195452133</v>
      </c>
      <c r="L272" s="104">
        <f t="shared" ref="L272" si="439">IF(L54=0,0,L54/L$46)</f>
        <v>0.31315881743319657</v>
      </c>
      <c r="M272" s="104">
        <f t="shared" ref="M272:V272" si="440">IF(M54=0,0,M54/M$46)</f>
        <v>0.291315787799795</v>
      </c>
      <c r="N272" s="104">
        <f t="shared" si="440"/>
        <v>0.274366769970741</v>
      </c>
      <c r="O272" s="104">
        <f t="shared" si="440"/>
        <v>0.27098696511316844</v>
      </c>
      <c r="P272" s="104">
        <f t="shared" si="440"/>
        <v>0.25058984643142329</v>
      </c>
      <c r="Q272" s="104">
        <f t="shared" si="440"/>
        <v>0.23481598448772309</v>
      </c>
      <c r="R272" s="104">
        <f t="shared" si="440"/>
        <v>0.24104065845677097</v>
      </c>
      <c r="S272" s="104">
        <f t="shared" si="440"/>
        <v>0.23110750007534675</v>
      </c>
      <c r="T272" s="104">
        <f t="shared" si="440"/>
        <v>0.22232533593230308</v>
      </c>
      <c r="U272" s="104">
        <f t="shared" si="440"/>
        <v>0.2194040233695515</v>
      </c>
      <c r="V272" s="104">
        <f t="shared" si="440"/>
        <v>0.22549394798970346</v>
      </c>
      <c r="W272" s="104">
        <f t="shared" ref="W272" si="441">IF(W54=0,0,W54/W$46)</f>
        <v>0.23160627617209179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</v>
      </c>
      <c r="C273" s="105">
        <f t="shared" si="442"/>
        <v>0</v>
      </c>
      <c r="D273" s="105">
        <f t="shared" si="442"/>
        <v>0</v>
      </c>
      <c r="E273" s="105">
        <f t="shared" si="442"/>
        <v>0</v>
      </c>
      <c r="F273" s="105">
        <f t="shared" si="442"/>
        <v>0</v>
      </c>
      <c r="G273" s="105">
        <f t="shared" si="442"/>
        <v>0</v>
      </c>
      <c r="H273" s="105">
        <f t="shared" si="442"/>
        <v>0</v>
      </c>
      <c r="I273" s="105">
        <f t="shared" si="442"/>
        <v>0</v>
      </c>
      <c r="J273" s="105">
        <f t="shared" si="442"/>
        <v>0</v>
      </c>
      <c r="K273" s="105">
        <f t="shared" si="442"/>
        <v>0</v>
      </c>
      <c r="L273" s="105">
        <f t="shared" ref="L273" si="443">IF(L55=0,0,L55/L$46)</f>
        <v>0</v>
      </c>
      <c r="M273" s="105">
        <f t="shared" ref="M273:V273" si="444">IF(M55=0,0,M55/M$46)</f>
        <v>0</v>
      </c>
      <c r="N273" s="105">
        <f t="shared" si="444"/>
        <v>0</v>
      </c>
      <c r="O273" s="105">
        <f t="shared" si="444"/>
        <v>0</v>
      </c>
      <c r="P273" s="105">
        <f t="shared" si="444"/>
        <v>0</v>
      </c>
      <c r="Q273" s="105">
        <f t="shared" si="444"/>
        <v>0</v>
      </c>
      <c r="R273" s="105">
        <f t="shared" si="444"/>
        <v>0</v>
      </c>
      <c r="S273" s="105">
        <f t="shared" si="444"/>
        <v>0</v>
      </c>
      <c r="T273" s="105">
        <f t="shared" si="444"/>
        <v>0</v>
      </c>
      <c r="U273" s="105">
        <f t="shared" si="444"/>
        <v>0</v>
      </c>
      <c r="V273" s="105">
        <f t="shared" si="444"/>
        <v>0</v>
      </c>
      <c r="W273" s="105">
        <f t="shared" ref="W273" si="445">IF(W55=0,0,W55/W$46)</f>
        <v>0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153.17901977644021</v>
      </c>
      <c r="C4" s="145">
        <f t="shared" si="0"/>
        <v>142.78443680137573</v>
      </c>
      <c r="D4" s="145">
        <f t="shared" si="0"/>
        <v>97.843250214961301</v>
      </c>
      <c r="E4" s="145">
        <f t="shared" si="0"/>
        <v>123.36497793387635</v>
      </c>
      <c r="F4" s="145">
        <f t="shared" si="0"/>
        <v>148.66883118606233</v>
      </c>
      <c r="G4" s="145">
        <f t="shared" si="0"/>
        <v>156.11160815300678</v>
      </c>
      <c r="H4" s="145">
        <f t="shared" si="0"/>
        <v>160.21995972938424</v>
      </c>
      <c r="I4" s="145">
        <f t="shared" si="0"/>
        <v>164.32944060836149</v>
      </c>
      <c r="J4" s="145">
        <f t="shared" si="0"/>
        <v>180.7629133582117</v>
      </c>
      <c r="K4" s="145">
        <f t="shared" si="0"/>
        <v>159.19557269484454</v>
      </c>
      <c r="L4" s="145">
        <f t="shared" ref="L4" si="1">L5+L9+L10+L15</f>
        <v>167.98592260147279</v>
      </c>
      <c r="M4" s="145">
        <f t="shared" ref="M4:V4" si="2">M5+M9+M10+M15</f>
        <v>165.88666564017058</v>
      </c>
      <c r="N4" s="145">
        <f t="shared" si="2"/>
        <v>165.96456969180738</v>
      </c>
      <c r="O4" s="145">
        <f t="shared" si="2"/>
        <v>171.43910414945637</v>
      </c>
      <c r="P4" s="145">
        <f t="shared" si="2"/>
        <v>176.77331506898921</v>
      </c>
      <c r="Q4" s="145">
        <f t="shared" si="2"/>
        <v>186.61993960182525</v>
      </c>
      <c r="R4" s="145">
        <f t="shared" si="2"/>
        <v>187.64039156804199</v>
      </c>
      <c r="S4" s="145">
        <f t="shared" si="2"/>
        <v>193.6074974235338</v>
      </c>
      <c r="T4" s="145">
        <f t="shared" si="2"/>
        <v>216.58022887749573</v>
      </c>
      <c r="U4" s="145">
        <f t="shared" si="2"/>
        <v>226.60294817970262</v>
      </c>
      <c r="V4" s="145">
        <f t="shared" si="2"/>
        <v>187.1257069789379</v>
      </c>
      <c r="W4" s="145">
        <f t="shared" ref="W4" si="3">W5+W9+W10+W15</f>
        <v>193.11672871867734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153.17901977644021</v>
      </c>
      <c r="C5" s="97">
        <f t="shared" si="4"/>
        <v>142.78443680137573</v>
      </c>
      <c r="D5" s="97">
        <f t="shared" si="4"/>
        <v>97.843250214961301</v>
      </c>
      <c r="E5" s="97">
        <f t="shared" si="4"/>
        <v>123.36388650042991</v>
      </c>
      <c r="F5" s="97">
        <f t="shared" si="4"/>
        <v>148.66723989681856</v>
      </c>
      <c r="G5" s="97">
        <f t="shared" si="4"/>
        <v>156.10971625107479</v>
      </c>
      <c r="H5" s="97">
        <f t="shared" si="4"/>
        <v>160.21779879621667</v>
      </c>
      <c r="I5" s="97">
        <f t="shared" si="4"/>
        <v>164.32596732588132</v>
      </c>
      <c r="J5" s="97">
        <f t="shared" si="4"/>
        <v>180.75855546001719</v>
      </c>
      <c r="K5" s="97">
        <f t="shared" si="4"/>
        <v>159.1907996560619</v>
      </c>
      <c r="L5" s="97">
        <f t="shared" ref="L5" si="5">SUM(L6:L8)</f>
        <v>167.40705073086843</v>
      </c>
      <c r="M5" s="97">
        <f t="shared" ref="M5:V5" si="6">SUM(M6:M8)</f>
        <v>164.32596732588132</v>
      </c>
      <c r="N5" s="97">
        <f t="shared" si="6"/>
        <v>163.29896818572655</v>
      </c>
      <c r="O5" s="97">
        <f t="shared" si="6"/>
        <v>166.38005159071366</v>
      </c>
      <c r="P5" s="97">
        <f t="shared" si="6"/>
        <v>169.46113499570077</v>
      </c>
      <c r="Q5" s="97">
        <f t="shared" si="6"/>
        <v>179.73155631986239</v>
      </c>
      <c r="R5" s="97">
        <f t="shared" si="6"/>
        <v>180.83026655202059</v>
      </c>
      <c r="S5" s="97">
        <f t="shared" si="6"/>
        <v>186.00954428202925</v>
      </c>
      <c r="T5" s="97">
        <f t="shared" si="6"/>
        <v>206.18211521926048</v>
      </c>
      <c r="U5" s="97">
        <f t="shared" si="6"/>
        <v>215.37523645743767</v>
      </c>
      <c r="V5" s="97">
        <f t="shared" si="6"/>
        <v>172.41969045571796</v>
      </c>
      <c r="W5" s="97">
        <f t="shared" ref="W5" si="7">SUM(W6:W8)</f>
        <v>181.58675838349092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1.098710232158211</v>
      </c>
      <c r="S6" s="97">
        <v>0.68890799656061907</v>
      </c>
      <c r="T6" s="97">
        <v>0.77566638005159072</v>
      </c>
      <c r="U6" s="97">
        <v>0.79217540842648315</v>
      </c>
      <c r="V6" s="97">
        <v>0.71857265692175398</v>
      </c>
      <c r="W6" s="97">
        <v>0.82510748065348227</v>
      </c>
      <c r="DA6" s="175" t="s">
        <v>629</v>
      </c>
    </row>
    <row r="7" spans="1:105" ht="11.45" customHeight="1" x14ac:dyDescent="0.25">
      <c r="A7" s="128" t="s">
        <v>53</v>
      </c>
      <c r="B7" s="97">
        <v>75.124161650902835</v>
      </c>
      <c r="C7" s="97">
        <v>70.891831470335333</v>
      </c>
      <c r="D7" s="97">
        <v>79.35657781599312</v>
      </c>
      <c r="E7" s="97">
        <v>74.066122098022348</v>
      </c>
      <c r="F7" s="97">
        <v>61.369045571797074</v>
      </c>
      <c r="G7" s="97">
        <v>66.757437661220976</v>
      </c>
      <c r="H7" s="97">
        <v>66.757437661220976</v>
      </c>
      <c r="I7" s="97">
        <v>69.838521066208074</v>
      </c>
      <c r="J7" s="97">
        <v>86.271109200343929</v>
      </c>
      <c r="K7" s="97">
        <v>73.946689595872741</v>
      </c>
      <c r="L7" s="97">
        <v>73.946689595872741</v>
      </c>
      <c r="M7" s="97">
        <v>73.946689595872741</v>
      </c>
      <c r="N7" s="97">
        <v>72.919690455717969</v>
      </c>
      <c r="O7" s="97">
        <v>73.946689595872741</v>
      </c>
      <c r="P7" s="97">
        <v>73.946689595872741</v>
      </c>
      <c r="Q7" s="97">
        <v>78.054858125537393</v>
      </c>
      <c r="R7" s="97">
        <v>78.054858125537393</v>
      </c>
      <c r="S7" s="97">
        <v>78.992519346517625</v>
      </c>
      <c r="T7" s="97">
        <v>79.60051590713671</v>
      </c>
      <c r="U7" s="97">
        <v>84.245829750644873</v>
      </c>
      <c r="V7" s="97">
        <v>70.933361994840922</v>
      </c>
      <c r="W7" s="97">
        <v>76.670421324161651</v>
      </c>
      <c r="DA7" s="175" t="s">
        <v>630</v>
      </c>
    </row>
    <row r="8" spans="1:105" ht="11.45" customHeight="1" x14ac:dyDescent="0.25">
      <c r="A8" s="128" t="s">
        <v>54</v>
      </c>
      <c r="B8" s="97">
        <v>78.054858125537393</v>
      </c>
      <c r="C8" s="97">
        <v>71.8926053310404</v>
      </c>
      <c r="D8" s="97">
        <v>18.486672398968189</v>
      </c>
      <c r="E8" s="97">
        <v>49.297764402407559</v>
      </c>
      <c r="F8" s="97">
        <v>87.298194325021498</v>
      </c>
      <c r="G8" s="97">
        <v>89.35227858985381</v>
      </c>
      <c r="H8" s="97">
        <v>93.460361134995694</v>
      </c>
      <c r="I8" s="97">
        <v>94.487446259673249</v>
      </c>
      <c r="J8" s="97">
        <v>94.487446259673249</v>
      </c>
      <c r="K8" s="97">
        <v>85.244110060189158</v>
      </c>
      <c r="L8" s="97">
        <v>93.460361134995694</v>
      </c>
      <c r="M8" s="97">
        <v>90.379277730008596</v>
      </c>
      <c r="N8" s="97">
        <v>90.379277730008596</v>
      </c>
      <c r="O8" s="97">
        <v>92.433361994840922</v>
      </c>
      <c r="P8" s="97">
        <v>95.514445399828034</v>
      </c>
      <c r="Q8" s="97">
        <v>101.676698194325</v>
      </c>
      <c r="R8" s="97">
        <v>101.676698194325</v>
      </c>
      <c r="S8" s="97">
        <v>106.328116938951</v>
      </c>
      <c r="T8" s="97">
        <v>125.8059329320722</v>
      </c>
      <c r="U8" s="97">
        <v>130.33723129836631</v>
      </c>
      <c r="V8" s="97">
        <v>100.7677558039553</v>
      </c>
      <c r="W8" s="97">
        <v>104.09122957867579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0</v>
      </c>
      <c r="J10" s="97">
        <f t="shared" si="8"/>
        <v>0</v>
      </c>
      <c r="K10" s="97">
        <f t="shared" si="8"/>
        <v>0</v>
      </c>
      <c r="L10" s="97">
        <f t="shared" si="8"/>
        <v>0.53645743766122089</v>
      </c>
      <c r="M10" s="97">
        <f t="shared" si="8"/>
        <v>1.5182287188306103</v>
      </c>
      <c r="N10" s="97">
        <f t="shared" si="8"/>
        <v>2.6123817712811692</v>
      </c>
      <c r="O10" s="97">
        <f t="shared" si="8"/>
        <v>4.9828890799656058</v>
      </c>
      <c r="P10" s="97">
        <f t="shared" si="8"/>
        <v>7.1717970765262251</v>
      </c>
      <c r="Q10" s="97">
        <f t="shared" si="8"/>
        <v>6.6730008598452271</v>
      </c>
      <c r="R10" s="97">
        <f t="shared" si="8"/>
        <v>6.5873602751504734</v>
      </c>
      <c r="S10" s="97">
        <f t="shared" si="8"/>
        <v>7.3684436801375739</v>
      </c>
      <c r="T10" s="97">
        <f t="shared" si="8"/>
        <v>10.02141014617369</v>
      </c>
      <c r="U10" s="97">
        <f t="shared" si="8"/>
        <v>10.673258813413581</v>
      </c>
      <c r="V10" s="97">
        <f t="shared" si="8"/>
        <v>14.012897678417881</v>
      </c>
      <c r="W10" s="97">
        <f t="shared" si="8"/>
        <v>10.62906276870163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0</v>
      </c>
      <c r="P12" s="97">
        <v>0</v>
      </c>
      <c r="Q12" s="97">
        <v>0</v>
      </c>
      <c r="R12" s="97">
        <v>0</v>
      </c>
      <c r="S12" s="97">
        <v>0</v>
      </c>
      <c r="T12" s="97">
        <v>0</v>
      </c>
      <c r="U12" s="97">
        <v>0</v>
      </c>
      <c r="V12" s="97">
        <v>0</v>
      </c>
      <c r="W12" s="97">
        <v>0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0.53645743766122089</v>
      </c>
      <c r="M13" s="97">
        <v>1.5182287188306103</v>
      </c>
      <c r="N13" s="97">
        <v>2.6123817712811692</v>
      </c>
      <c r="O13" s="97">
        <v>4.9828890799656058</v>
      </c>
      <c r="P13" s="97">
        <v>7.1717970765262251</v>
      </c>
      <c r="Q13" s="97">
        <v>6.6730008598452271</v>
      </c>
      <c r="R13" s="97">
        <v>6.5873602751504734</v>
      </c>
      <c r="S13" s="97">
        <v>7.3684436801375739</v>
      </c>
      <c r="T13" s="97">
        <v>10.02141014617369</v>
      </c>
      <c r="U13" s="97">
        <v>10.673258813413581</v>
      </c>
      <c r="V13" s="97">
        <v>14.012897678417881</v>
      </c>
      <c r="W13" s="97">
        <v>10.62906276870163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1.0914334464367376E-3</v>
      </c>
      <c r="F15" s="98">
        <v>1.5912892437753123E-3</v>
      </c>
      <c r="G15" s="98">
        <v>1.891901931997926E-3</v>
      </c>
      <c r="H15" s="98">
        <v>2.1609331675754642E-3</v>
      </c>
      <c r="I15" s="98">
        <v>3.4732824801791697E-3</v>
      </c>
      <c r="J15" s="98">
        <v>4.3578981945272119E-3</v>
      </c>
      <c r="K15" s="98">
        <v>4.7730387826566282E-3</v>
      </c>
      <c r="L15" s="98">
        <v>4.2414432943119119E-2</v>
      </c>
      <c r="M15" s="98">
        <v>4.2469595458647473E-2</v>
      </c>
      <c r="N15" s="98">
        <v>5.3219734799662466E-2</v>
      </c>
      <c r="O15" s="98">
        <v>7.6163478777090746E-2</v>
      </c>
      <c r="P15" s="98">
        <v>0.14038299676221414</v>
      </c>
      <c r="Q15" s="98">
        <v>0.21538242211763933</v>
      </c>
      <c r="R15" s="98">
        <v>0.22276474087093509</v>
      </c>
      <c r="S15" s="98">
        <v>0.22950946136696529</v>
      </c>
      <c r="T15" s="98">
        <v>0.37670351206157232</v>
      </c>
      <c r="U15" s="98">
        <v>0.55445290885136189</v>
      </c>
      <c r="V15" s="98">
        <v>0.69311884480204422</v>
      </c>
      <c r="W15" s="98">
        <v>0.90090756648479053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153.17901977644024</v>
      </c>
      <c r="C17" s="79">
        <f t="shared" si="9"/>
        <v>142.78443680137573</v>
      </c>
      <c r="D17" s="79">
        <f t="shared" si="9"/>
        <v>97.843250214961301</v>
      </c>
      <c r="E17" s="79">
        <f t="shared" si="9"/>
        <v>123.36497793387635</v>
      </c>
      <c r="F17" s="79">
        <f t="shared" si="9"/>
        <v>148.66883118606236</v>
      </c>
      <c r="G17" s="79">
        <f t="shared" si="9"/>
        <v>156.11160815300678</v>
      </c>
      <c r="H17" s="79">
        <f t="shared" si="9"/>
        <v>160.21995972938424</v>
      </c>
      <c r="I17" s="79">
        <f t="shared" si="9"/>
        <v>164.32944060836149</v>
      </c>
      <c r="J17" s="79">
        <f t="shared" si="9"/>
        <v>180.7629133582117</v>
      </c>
      <c r="K17" s="79">
        <f t="shared" si="9"/>
        <v>159.19557269484454</v>
      </c>
      <c r="L17" s="79">
        <f t="shared" ref="L17" si="10">L18+L42</f>
        <v>167.98592260147277</v>
      </c>
      <c r="M17" s="79">
        <f t="shared" ref="M17:V17" si="11">M18+M42</f>
        <v>165.88666564017058</v>
      </c>
      <c r="N17" s="79">
        <f t="shared" si="11"/>
        <v>165.96456969180738</v>
      </c>
      <c r="O17" s="79">
        <f t="shared" si="11"/>
        <v>171.43910414945637</v>
      </c>
      <c r="P17" s="79">
        <f t="shared" si="11"/>
        <v>176.77331506898921</v>
      </c>
      <c r="Q17" s="79">
        <f t="shared" si="11"/>
        <v>186.61993960182525</v>
      </c>
      <c r="R17" s="79">
        <f t="shared" si="11"/>
        <v>187.64039156804202</v>
      </c>
      <c r="S17" s="79">
        <f t="shared" si="11"/>
        <v>193.60749742353374</v>
      </c>
      <c r="T17" s="79">
        <f t="shared" si="11"/>
        <v>216.58022887749576</v>
      </c>
      <c r="U17" s="79">
        <f t="shared" si="11"/>
        <v>226.60294817970257</v>
      </c>
      <c r="V17" s="79">
        <f t="shared" si="11"/>
        <v>187.12570697893787</v>
      </c>
      <c r="W17" s="79">
        <f t="shared" ref="W17" si="12">W18+W42</f>
        <v>193.11672871867736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94.232532122750555</v>
      </c>
      <c r="C18" s="32">
        <f t="shared" si="13"/>
        <v>89.906563537945345</v>
      </c>
      <c r="D18" s="32">
        <f t="shared" si="13"/>
        <v>86.730664309500412</v>
      </c>
      <c r="E18" s="32">
        <f t="shared" si="13"/>
        <v>90.201642974327626</v>
      </c>
      <c r="F18" s="32">
        <f t="shared" si="13"/>
        <v>85.014036119277833</v>
      </c>
      <c r="G18" s="32">
        <f t="shared" si="13"/>
        <v>101.00011608643651</v>
      </c>
      <c r="H18" s="32">
        <f t="shared" si="13"/>
        <v>104.10776260982196</v>
      </c>
      <c r="I18" s="32">
        <f t="shared" si="13"/>
        <v>105.68747953101575</v>
      </c>
      <c r="J18" s="32">
        <f t="shared" si="13"/>
        <v>122.16807637191991</v>
      </c>
      <c r="K18" s="32">
        <f t="shared" si="13"/>
        <v>106.80718275858813</v>
      </c>
      <c r="L18" s="32">
        <f t="shared" ref="L18" si="14">L19+L21+L33</f>
        <v>123.72262252618998</v>
      </c>
      <c r="M18" s="32">
        <f t="shared" ref="M18:V18" si="15">M19+M21+M33</f>
        <v>125.3666247056957</v>
      </c>
      <c r="N18" s="32">
        <f t="shared" si="15"/>
        <v>128.32540622428701</v>
      </c>
      <c r="O18" s="32">
        <f t="shared" si="15"/>
        <v>132.9041171954984</v>
      </c>
      <c r="P18" s="32">
        <f t="shared" si="15"/>
        <v>138.81818027565748</v>
      </c>
      <c r="Q18" s="32">
        <f t="shared" si="15"/>
        <v>148.80514973265645</v>
      </c>
      <c r="R18" s="32">
        <f t="shared" si="15"/>
        <v>150.16001399555469</v>
      </c>
      <c r="S18" s="32">
        <f t="shared" si="15"/>
        <v>153.45801849171099</v>
      </c>
      <c r="T18" s="32">
        <f t="shared" si="15"/>
        <v>170.85679448474676</v>
      </c>
      <c r="U18" s="32">
        <f t="shared" si="15"/>
        <v>177.47217695681593</v>
      </c>
      <c r="V18" s="32">
        <f t="shared" si="15"/>
        <v>143.12676175897562</v>
      </c>
      <c r="W18" s="32">
        <f t="shared" ref="W18" si="16">W19+W21+W33</f>
        <v>149.59833325248709</v>
      </c>
      <c r="DA18" s="173" t="s">
        <v>390</v>
      </c>
    </row>
    <row r="19" spans="1:105" ht="11.45" customHeight="1" x14ac:dyDescent="0.25">
      <c r="A19" s="107" t="s">
        <v>181</v>
      </c>
      <c r="B19" s="129">
        <v>1.1439133564782196</v>
      </c>
      <c r="C19" s="129">
        <v>1.1787299590373743</v>
      </c>
      <c r="D19" s="129">
        <v>1.2192597355942141</v>
      </c>
      <c r="E19" s="129">
        <v>1.2459048300306104</v>
      </c>
      <c r="F19" s="129">
        <v>1.1609316143922908</v>
      </c>
      <c r="G19" s="129">
        <v>1.08425180301159</v>
      </c>
      <c r="H19" s="129">
        <v>1.104404315438833</v>
      </c>
      <c r="I19" s="129">
        <v>1.1421935313281029</v>
      </c>
      <c r="J19" s="129">
        <v>1.2673867912341241</v>
      </c>
      <c r="K19" s="129">
        <v>1.2465271184513764</v>
      </c>
      <c r="L19" s="129">
        <v>1.2532990573466958</v>
      </c>
      <c r="M19" s="129">
        <v>1.3047467446315002</v>
      </c>
      <c r="N19" s="129">
        <v>1.2992705470963699</v>
      </c>
      <c r="O19" s="129">
        <v>1.3675805526407416</v>
      </c>
      <c r="P19" s="129">
        <v>1.4625326264819076</v>
      </c>
      <c r="Q19" s="129">
        <v>1.4859353595079445</v>
      </c>
      <c r="R19" s="129">
        <v>1.5813731840812477</v>
      </c>
      <c r="S19" s="129">
        <v>1.4951603949263614</v>
      </c>
      <c r="T19" s="129">
        <v>1.484585578063671</v>
      </c>
      <c r="U19" s="129">
        <v>1.5742815819209557</v>
      </c>
      <c r="V19" s="129">
        <v>1.3451913445408019</v>
      </c>
      <c r="W19" s="129">
        <v>1.3175515977445973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0</v>
      </c>
      <c r="V20" s="97">
        <v>0</v>
      </c>
      <c r="W20" s="97">
        <v>0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81.754401679378162</v>
      </c>
      <c r="C21" s="130">
        <f t="shared" si="17"/>
        <v>77.757088095373803</v>
      </c>
      <c r="D21" s="130">
        <f t="shared" si="17"/>
        <v>81.111284738557558</v>
      </c>
      <c r="E21" s="130">
        <f t="shared" si="17"/>
        <v>80.083828581313199</v>
      </c>
      <c r="F21" s="130">
        <f t="shared" si="17"/>
        <v>71.240915170294556</v>
      </c>
      <c r="G21" s="130">
        <f t="shared" si="17"/>
        <v>82.324508145156074</v>
      </c>
      <c r="H21" s="130">
        <f t="shared" si="17"/>
        <v>84.057848072161192</v>
      </c>
      <c r="I21" s="130">
        <f t="shared" si="17"/>
        <v>86.604646478308254</v>
      </c>
      <c r="J21" s="130">
        <f t="shared" si="17"/>
        <v>103.06995374838615</v>
      </c>
      <c r="K21" s="130">
        <f t="shared" si="17"/>
        <v>90.196253734087378</v>
      </c>
      <c r="L21" s="130">
        <f t="shared" ref="L21" si="18">L22+L24+L26+L27+L29+L32</f>
        <v>105.51275813790721</v>
      </c>
      <c r="M21" s="130">
        <f t="shared" ref="M21:V21" si="19">M22+M24+M26+M27+M29+M32</f>
        <v>106.81690146964308</v>
      </c>
      <c r="N21" s="130">
        <f t="shared" si="19"/>
        <v>107.17043859641332</v>
      </c>
      <c r="O21" s="130">
        <f t="shared" si="19"/>
        <v>110.92636357359596</v>
      </c>
      <c r="P21" s="130">
        <f t="shared" si="19"/>
        <v>112.28537111406634</v>
      </c>
      <c r="Q21" s="130">
        <f t="shared" si="19"/>
        <v>118.95101443311442</v>
      </c>
      <c r="R21" s="130">
        <f t="shared" si="19"/>
        <v>120.56830679702561</v>
      </c>
      <c r="S21" s="130">
        <f t="shared" si="19"/>
        <v>121.74891570115034</v>
      </c>
      <c r="T21" s="130">
        <f t="shared" si="19"/>
        <v>133.54479394289928</v>
      </c>
      <c r="U21" s="130">
        <f t="shared" si="19"/>
        <v>139.3360680962295</v>
      </c>
      <c r="V21" s="130">
        <f t="shared" si="19"/>
        <v>115.97262336922935</v>
      </c>
      <c r="W21" s="130">
        <f t="shared" ref="W21" si="20">W22+W24+W26+W27+W29+W32</f>
        <v>124.45602593592204</v>
      </c>
      <c r="DA21" s="176" t="s">
        <v>392</v>
      </c>
    </row>
    <row r="22" spans="1:105" ht="11.45" customHeight="1" x14ac:dyDescent="0.25">
      <c r="A22" s="111" t="s">
        <v>110</v>
      </c>
      <c r="B22" s="96">
        <v>73.325035130297749</v>
      </c>
      <c r="C22" s="96">
        <v>68.944448555179477</v>
      </c>
      <c r="D22" s="96">
        <v>77.357886640141885</v>
      </c>
      <c r="E22" s="96">
        <v>72.078278982700283</v>
      </c>
      <c r="F22" s="96">
        <v>59.515376287120084</v>
      </c>
      <c r="G22" s="96">
        <v>64.990973584248977</v>
      </c>
      <c r="H22" s="96">
        <v>64.974442562491944</v>
      </c>
      <c r="I22" s="96">
        <v>68.012008815044396</v>
      </c>
      <c r="J22" s="96">
        <v>84.34492483497705</v>
      </c>
      <c r="K22" s="96">
        <v>72.088826059960198</v>
      </c>
      <c r="L22" s="96">
        <v>71.888541443481159</v>
      </c>
      <c r="M22" s="96">
        <v>71.8900843330741</v>
      </c>
      <c r="N22" s="96">
        <v>70.880611123689093</v>
      </c>
      <c r="O22" s="96">
        <v>71.798907589717842</v>
      </c>
      <c r="P22" s="96">
        <v>71.60019356582356</v>
      </c>
      <c r="Q22" s="96">
        <v>75.609214482087722</v>
      </c>
      <c r="R22" s="96">
        <v>75.559460316156404</v>
      </c>
      <c r="S22" s="96">
        <v>76.599181339496866</v>
      </c>
      <c r="T22" s="96">
        <v>77.167681553824025</v>
      </c>
      <c r="U22" s="96">
        <v>81.653239927560421</v>
      </c>
      <c r="V22" s="96">
        <v>68.62306894197917</v>
      </c>
      <c r="W22" s="96">
        <v>74.162422849611147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DA23" s="171" t="s">
        <v>641</v>
      </c>
    </row>
    <row r="24" spans="1:105" ht="11.45" customHeight="1" x14ac:dyDescent="0.25">
      <c r="A24" s="111" t="s">
        <v>111</v>
      </c>
      <c r="B24" s="96">
        <v>8.4293665490804166</v>
      </c>
      <c r="C24" s="96">
        <v>8.8126395401943203</v>
      </c>
      <c r="D24" s="96">
        <v>3.753398098415671</v>
      </c>
      <c r="E24" s="96">
        <v>8.004458165166481</v>
      </c>
      <c r="F24" s="96">
        <v>11.72394759393069</v>
      </c>
      <c r="G24" s="96">
        <v>17.331642658975099</v>
      </c>
      <c r="H24" s="96">
        <v>19.081244576501682</v>
      </c>
      <c r="I24" s="96">
        <v>18.589164380783686</v>
      </c>
      <c r="J24" s="96">
        <v>18.721138459353071</v>
      </c>
      <c r="K24" s="96">
        <v>18.103134849734367</v>
      </c>
      <c r="L24" s="96">
        <v>33.499035338950037</v>
      </c>
      <c r="M24" s="96">
        <v>34.799481199970735</v>
      </c>
      <c r="N24" s="96">
        <v>36.139657668886812</v>
      </c>
      <c r="O24" s="96">
        <v>38.912208968396932</v>
      </c>
      <c r="P24" s="96">
        <v>40.304074812394553</v>
      </c>
      <c r="Q24" s="96">
        <v>42.786938575473023</v>
      </c>
      <c r="R24" s="96">
        <v>43.349447318964181</v>
      </c>
      <c r="S24" s="96">
        <v>43.890618997219001</v>
      </c>
      <c r="T24" s="96">
        <v>54.928208337256073</v>
      </c>
      <c r="U24" s="96">
        <v>56.042465028495286</v>
      </c>
      <c r="V24" s="96">
        <v>45.650196171883529</v>
      </c>
      <c r="W24" s="96">
        <v>48.111768688693999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0.19118526493707755</v>
      </c>
      <c r="M25" s="96">
        <v>0.57491844773410428</v>
      </c>
      <c r="N25" s="96">
        <v>1.0152586094372493</v>
      </c>
      <c r="O25" s="96">
        <v>1.9903785970686911</v>
      </c>
      <c r="P25" s="96">
        <v>2.8149111209146263</v>
      </c>
      <c r="Q25" s="96">
        <v>2.6351460169864427</v>
      </c>
      <c r="R25" s="96">
        <v>2.637610590768539</v>
      </c>
      <c r="S25" s="96">
        <v>2.8444620699730101</v>
      </c>
      <c r="T25" s="96">
        <v>4.0526310230850831</v>
      </c>
      <c r="U25" s="96">
        <v>4.2419236562942793</v>
      </c>
      <c r="V25" s="96">
        <v>5.5731650635230503</v>
      </c>
      <c r="W25" s="96">
        <v>4.4576508553246619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1.098710232158211</v>
      </c>
      <c r="S26" s="96">
        <v>0.68716515832723724</v>
      </c>
      <c r="T26" s="96">
        <v>0.7739938131194829</v>
      </c>
      <c r="U26" s="96">
        <v>0.78900170359816557</v>
      </c>
      <c r="V26" s="96">
        <v>0.71558210966253866</v>
      </c>
      <c r="W26" s="96">
        <v>0.82225702091348452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0.12041665650474279</v>
      </c>
      <c r="M29" s="96">
        <v>0.12336367847181712</v>
      </c>
      <c r="N29" s="96">
        <v>0.14524093917257497</v>
      </c>
      <c r="O29" s="96">
        <v>0.20897793102497611</v>
      </c>
      <c r="P29" s="96">
        <v>0.36971119075560466</v>
      </c>
      <c r="Q29" s="96">
        <v>0.5393275928370439</v>
      </c>
      <c r="R29" s="96">
        <v>0.54257897948211031</v>
      </c>
      <c r="S29" s="96">
        <v>0.54907259629687244</v>
      </c>
      <c r="T29" s="96">
        <v>0.63564919010861698</v>
      </c>
      <c r="U29" s="96">
        <v>0.69147113319379838</v>
      </c>
      <c r="V29" s="96">
        <v>0.69642269282036628</v>
      </c>
      <c r="W29" s="96">
        <v>1.0317220946641217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0</v>
      </c>
      <c r="T30" s="96">
        <v>0</v>
      </c>
      <c r="U30" s="96">
        <v>0</v>
      </c>
      <c r="V30" s="96">
        <v>0</v>
      </c>
      <c r="W30" s="96">
        <v>0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3.6995142120323649E-2</v>
      </c>
      <c r="M31" s="96">
        <v>3.7693114864786624E-2</v>
      </c>
      <c r="N31" s="96">
        <v>4.7482930401977291E-2</v>
      </c>
      <c r="O31" s="96">
        <v>6.739461503590069E-2</v>
      </c>
      <c r="P31" s="96">
        <v>0.1264831795279433</v>
      </c>
      <c r="Q31" s="96">
        <v>0.19699307209146499</v>
      </c>
      <c r="R31" s="96">
        <v>0.20148999896731928</v>
      </c>
      <c r="S31" s="96">
        <v>0.20331584969528452</v>
      </c>
      <c r="T31" s="96">
        <v>0.22488148311650025</v>
      </c>
      <c r="U31" s="96">
        <v>0.23287033510977745</v>
      </c>
      <c r="V31" s="96">
        <v>0.2517574621650096</v>
      </c>
      <c r="W31" s="96">
        <v>0.38066732072350001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1.0914334464367376E-3</v>
      </c>
      <c r="F32" s="96">
        <v>1.5912892437753123E-3</v>
      </c>
      <c r="G32" s="96">
        <v>1.891901931997926E-3</v>
      </c>
      <c r="H32" s="96">
        <v>2.1609331675754642E-3</v>
      </c>
      <c r="I32" s="96">
        <v>3.4732824801791697E-3</v>
      </c>
      <c r="J32" s="96">
        <v>3.8904540560318452E-3</v>
      </c>
      <c r="K32" s="96">
        <v>4.2928243928180461E-3</v>
      </c>
      <c r="L32" s="96">
        <v>4.7646989712765084E-3</v>
      </c>
      <c r="M32" s="96">
        <v>3.9722581264396107E-3</v>
      </c>
      <c r="N32" s="96">
        <v>4.9288646648306036E-3</v>
      </c>
      <c r="O32" s="96">
        <v>6.2690844562001439E-3</v>
      </c>
      <c r="P32" s="96">
        <v>1.1391545092611357E-2</v>
      </c>
      <c r="Q32" s="96">
        <v>1.5533782716630664E-2</v>
      </c>
      <c r="R32" s="96">
        <v>1.8109950264698148E-2</v>
      </c>
      <c r="S32" s="96">
        <v>2.2877609810386001E-2</v>
      </c>
      <c r="T32" s="96">
        <v>3.9261048591065141E-2</v>
      </c>
      <c r="U32" s="96">
        <v>0.15989030338184565</v>
      </c>
      <c r="V32" s="96">
        <v>0.28735345288376629</v>
      </c>
      <c r="W32" s="96">
        <v>0.32785528203929148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11.334217086894167</v>
      </c>
      <c r="C33" s="130">
        <f t="shared" si="21"/>
        <v>10.970745483534166</v>
      </c>
      <c r="D33" s="130">
        <f t="shared" si="21"/>
        <v>4.4001198353486481</v>
      </c>
      <c r="E33" s="130">
        <f t="shared" si="21"/>
        <v>8.8719095629838165</v>
      </c>
      <c r="F33" s="130">
        <f t="shared" si="21"/>
        <v>12.612189334590981</v>
      </c>
      <c r="G33" s="130">
        <f t="shared" si="21"/>
        <v>17.591356138268839</v>
      </c>
      <c r="H33" s="130">
        <f t="shared" si="21"/>
        <v>18.945510222221937</v>
      </c>
      <c r="I33" s="130">
        <f t="shared" si="21"/>
        <v>17.940639521379392</v>
      </c>
      <c r="J33" s="130">
        <f t="shared" si="21"/>
        <v>17.830735832299631</v>
      </c>
      <c r="K33" s="130">
        <f t="shared" si="21"/>
        <v>15.36440190604937</v>
      </c>
      <c r="L33" s="130">
        <f t="shared" ref="L33" si="22">L34+L36+L38+L39+L41</f>
        <v>16.956565330936066</v>
      </c>
      <c r="M33" s="130">
        <f t="shared" ref="M33:V33" si="23">M34+M36+M38+M39+M41</f>
        <v>17.24497649142112</v>
      </c>
      <c r="N33" s="130">
        <f t="shared" si="23"/>
        <v>19.855697080777329</v>
      </c>
      <c r="O33" s="130">
        <f t="shared" si="23"/>
        <v>20.610173069261691</v>
      </c>
      <c r="P33" s="130">
        <f t="shared" si="23"/>
        <v>25.070276535109251</v>
      </c>
      <c r="Q33" s="130">
        <f t="shared" si="23"/>
        <v>28.368199940034074</v>
      </c>
      <c r="R33" s="130">
        <f t="shared" si="23"/>
        <v>28.010334014447832</v>
      </c>
      <c r="S33" s="130">
        <f t="shared" si="23"/>
        <v>30.213942395634291</v>
      </c>
      <c r="T33" s="130">
        <f t="shared" si="23"/>
        <v>35.827414963783816</v>
      </c>
      <c r="U33" s="130">
        <f t="shared" si="23"/>
        <v>36.56182727866549</v>
      </c>
      <c r="V33" s="130">
        <f t="shared" si="23"/>
        <v>25.808947045205461</v>
      </c>
      <c r="W33" s="130">
        <f t="shared" ref="W33" si="24">W34+W36+W38+W39+W41</f>
        <v>23.824755718820445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4.4940735961579145E-2</v>
      </c>
      <c r="M34" s="97">
        <v>3.7808586650709304E-2</v>
      </c>
      <c r="N34" s="97">
        <v>3.5599795577497609E-2</v>
      </c>
      <c r="O34" s="97">
        <v>3.3129961707890114E-2</v>
      </c>
      <c r="P34" s="97">
        <v>3.0839555840670815E-2</v>
      </c>
      <c r="Q34" s="97">
        <v>2.5755862737166658E-2</v>
      </c>
      <c r="R34" s="97">
        <v>2.4784152412762096E-2</v>
      </c>
      <c r="S34" s="97">
        <v>2.3978341453656217E-2</v>
      </c>
      <c r="T34" s="97">
        <v>2.5529540855658679E-2</v>
      </c>
      <c r="U34" s="97">
        <v>2.6438916094899387E-2</v>
      </c>
      <c r="V34" s="97">
        <v>1.7405538249257321E-2</v>
      </c>
      <c r="W34" s="97">
        <v>1.6094098538603E-2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11.334217086894167</v>
      </c>
      <c r="C36" s="97">
        <v>10.970745483534166</v>
      </c>
      <c r="D36" s="97">
        <v>4.4001198353486481</v>
      </c>
      <c r="E36" s="97">
        <v>8.8719095629838165</v>
      </c>
      <c r="F36" s="97">
        <v>12.612189334590981</v>
      </c>
      <c r="G36" s="97">
        <v>17.591356138268839</v>
      </c>
      <c r="H36" s="97">
        <v>18.945510222221937</v>
      </c>
      <c r="I36" s="97">
        <v>17.940639521379392</v>
      </c>
      <c r="J36" s="97">
        <v>17.830735832299631</v>
      </c>
      <c r="K36" s="97">
        <v>15.36440190604937</v>
      </c>
      <c r="L36" s="97">
        <v>16.911624594974487</v>
      </c>
      <c r="M36" s="97">
        <v>17.207167904770412</v>
      </c>
      <c r="N36" s="97">
        <v>19.820097285199832</v>
      </c>
      <c r="O36" s="97">
        <v>20.577043107553802</v>
      </c>
      <c r="P36" s="97">
        <v>25.039436979268579</v>
      </c>
      <c r="Q36" s="97">
        <v>28.342444077296907</v>
      </c>
      <c r="R36" s="97">
        <v>27.985549862035068</v>
      </c>
      <c r="S36" s="97">
        <v>30.189964054180635</v>
      </c>
      <c r="T36" s="97">
        <v>35.692688242270741</v>
      </c>
      <c r="U36" s="97">
        <v>36.399031723916963</v>
      </c>
      <c r="V36" s="97">
        <v>25.663374093693974</v>
      </c>
      <c r="W36" s="97">
        <v>23.644360939920933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9.6517807035094591E-2</v>
      </c>
      <c r="M37" s="97">
        <v>0.28427775129357452</v>
      </c>
      <c r="N37" s="97">
        <v>0.55679897670991974</v>
      </c>
      <c r="O37" s="97">
        <v>1.0525258595701408</v>
      </c>
      <c r="P37" s="97">
        <v>1.7488005851137529</v>
      </c>
      <c r="Q37" s="97">
        <v>1.7455438764380973</v>
      </c>
      <c r="R37" s="97">
        <v>1.7027894764483589</v>
      </c>
      <c r="S37" s="97">
        <v>1.9565503883963582</v>
      </c>
      <c r="T37" s="97">
        <v>2.6334246108992332</v>
      </c>
      <c r="U37" s="97">
        <v>2.7550878366499814</v>
      </c>
      <c r="V37" s="97">
        <v>3.1330910249009891</v>
      </c>
      <c r="W37" s="97">
        <v>2.1906969675012506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0</v>
      </c>
      <c r="S41" s="97">
        <v>0</v>
      </c>
      <c r="T41" s="97">
        <v>0.10919718065742039</v>
      </c>
      <c r="U41" s="97">
        <v>0.13635663865363262</v>
      </c>
      <c r="V41" s="97">
        <v>0.12816741326222966</v>
      </c>
      <c r="W41" s="97">
        <v>0.16430068036090828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58.94648765368968</v>
      </c>
      <c r="C42" s="32">
        <f t="shared" si="25"/>
        <v>52.877873263430395</v>
      </c>
      <c r="D42" s="32">
        <f t="shared" si="25"/>
        <v>11.112585905460886</v>
      </c>
      <c r="E42" s="32">
        <f t="shared" si="25"/>
        <v>33.16333495954872</v>
      </c>
      <c r="F42" s="32">
        <f t="shared" si="25"/>
        <v>63.654795066784537</v>
      </c>
      <c r="G42" s="32">
        <f t="shared" si="25"/>
        <v>55.111492066570278</v>
      </c>
      <c r="H42" s="32">
        <f t="shared" si="25"/>
        <v>56.112197119562268</v>
      </c>
      <c r="I42" s="32">
        <f t="shared" si="25"/>
        <v>58.641961077345726</v>
      </c>
      <c r="J42" s="32">
        <f t="shared" si="25"/>
        <v>58.594836986291789</v>
      </c>
      <c r="K42" s="32">
        <f t="shared" si="25"/>
        <v>52.388389936256416</v>
      </c>
      <c r="L42" s="32">
        <f t="shared" ref="L42" si="26">L43+L52</f>
        <v>44.263300075282793</v>
      </c>
      <c r="M42" s="32">
        <f t="shared" ref="M42:V42" si="27">M43+M52</f>
        <v>40.520040934474892</v>
      </c>
      <c r="N42" s="32">
        <f t="shared" si="27"/>
        <v>37.639163467520376</v>
      </c>
      <c r="O42" s="32">
        <f t="shared" si="27"/>
        <v>38.534986953957976</v>
      </c>
      <c r="P42" s="32">
        <f t="shared" si="27"/>
        <v>37.955134793331723</v>
      </c>
      <c r="Q42" s="32">
        <f t="shared" si="27"/>
        <v>37.814789869168806</v>
      </c>
      <c r="R42" s="32">
        <f t="shared" si="27"/>
        <v>37.480377572487328</v>
      </c>
      <c r="S42" s="32">
        <f t="shared" si="27"/>
        <v>40.14947893182277</v>
      </c>
      <c r="T42" s="32">
        <f t="shared" si="27"/>
        <v>45.723434392748999</v>
      </c>
      <c r="U42" s="32">
        <f t="shared" si="27"/>
        <v>49.130771222886629</v>
      </c>
      <c r="V42" s="32">
        <f t="shared" si="27"/>
        <v>43.998945219962252</v>
      </c>
      <c r="W42" s="32">
        <f t="shared" ref="W42" si="28">W43+W52</f>
        <v>43.518395466190263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16.196854573774907</v>
      </c>
      <c r="C43" s="141">
        <f t="shared" si="29"/>
        <v>15.233442377792095</v>
      </c>
      <c r="D43" s="141">
        <f t="shared" si="29"/>
        <v>6.4637831396212544</v>
      </c>
      <c r="E43" s="141">
        <f t="shared" si="29"/>
        <v>12.034416912788798</v>
      </c>
      <c r="F43" s="141">
        <f t="shared" si="29"/>
        <v>15.993234046598166</v>
      </c>
      <c r="G43" s="141">
        <f t="shared" si="29"/>
        <v>21.802213656984833</v>
      </c>
      <c r="H43" s="141">
        <f t="shared" si="29"/>
        <v>23.535637135176806</v>
      </c>
      <c r="I43" s="141">
        <f t="shared" si="29"/>
        <v>23.473675908319748</v>
      </c>
      <c r="J43" s="141">
        <f t="shared" si="29"/>
        <v>23.364165887234321</v>
      </c>
      <c r="K43" s="141">
        <f t="shared" si="29"/>
        <v>21.177564897014786</v>
      </c>
      <c r="L43" s="141">
        <f t="shared" ref="L43" si="30">L44+L46+L48+L49+L51</f>
        <v>19.680118509831978</v>
      </c>
      <c r="M43" s="141">
        <f t="shared" ref="M43:V43" si="31">M44+M46+M48+M49+M51</f>
        <v>18.880136191151852</v>
      </c>
      <c r="N43" s="141">
        <f t="shared" si="31"/>
        <v>18.14136734193568</v>
      </c>
      <c r="O43" s="141">
        <f t="shared" si="31"/>
        <v>18.5360872049759</v>
      </c>
      <c r="P43" s="141">
        <f t="shared" si="31"/>
        <v>19.082798968920212</v>
      </c>
      <c r="Q43" s="141">
        <f t="shared" si="31"/>
        <v>19.653495659745147</v>
      </c>
      <c r="R43" s="141">
        <f t="shared" si="31"/>
        <v>18.990861896933012</v>
      </c>
      <c r="S43" s="141">
        <f t="shared" si="31"/>
        <v>20.655401111917872</v>
      </c>
      <c r="T43" s="141">
        <f t="shared" si="31"/>
        <v>23.87021780407245</v>
      </c>
      <c r="U43" s="141">
        <f t="shared" si="31"/>
        <v>25.583717115941411</v>
      </c>
      <c r="V43" s="141">
        <f t="shared" si="31"/>
        <v>22.485771960537679</v>
      </c>
      <c r="W43" s="141">
        <f t="shared" ref="W43" si="32">W44+W46+W48+W49+W51</f>
        <v>21.758595001588034</v>
      </c>
      <c r="DA43" s="174" t="s">
        <v>399</v>
      </c>
    </row>
    <row r="44" spans="1:105" ht="11.45" customHeight="1" x14ac:dyDescent="0.25">
      <c r="A44" s="111" t="s">
        <v>110</v>
      </c>
      <c r="B44" s="96">
        <v>0.65521316412686481</v>
      </c>
      <c r="C44" s="96">
        <v>0.76865295611848017</v>
      </c>
      <c r="D44" s="96">
        <v>0.77943144025701649</v>
      </c>
      <c r="E44" s="96">
        <v>0.74193828529145633</v>
      </c>
      <c r="F44" s="96">
        <v>0.69273767028470001</v>
      </c>
      <c r="G44" s="96">
        <v>0.6822122739604024</v>
      </c>
      <c r="H44" s="96">
        <v>0.67859078329020561</v>
      </c>
      <c r="I44" s="96">
        <v>0.68431871983556825</v>
      </c>
      <c r="J44" s="96">
        <v>0.65879757413274198</v>
      </c>
      <c r="K44" s="96">
        <v>0.61133641746115341</v>
      </c>
      <c r="L44" s="96">
        <v>0.67648684469888476</v>
      </c>
      <c r="M44" s="96">
        <v>0.62837936790940119</v>
      </c>
      <c r="N44" s="96">
        <v>0.6064509805844055</v>
      </c>
      <c r="O44" s="96">
        <v>0.60548817581718517</v>
      </c>
      <c r="P44" s="96">
        <v>0.60989583649894952</v>
      </c>
      <c r="Q44" s="96">
        <v>0.59161790045896689</v>
      </c>
      <c r="R44" s="96">
        <v>0.54815149237218996</v>
      </c>
      <c r="S44" s="96">
        <v>0.52844252403915248</v>
      </c>
      <c r="T44" s="96">
        <v>0.51195152740123051</v>
      </c>
      <c r="U44" s="96">
        <v>0.53326852698457106</v>
      </c>
      <c r="V44" s="96">
        <v>0.50303093941631372</v>
      </c>
      <c r="W44" s="96">
        <v>0.52329800432669082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0</v>
      </c>
      <c r="Q45" s="96">
        <v>0</v>
      </c>
      <c r="R45" s="96">
        <v>0</v>
      </c>
      <c r="S45" s="96">
        <v>0</v>
      </c>
      <c r="T45" s="96">
        <v>0</v>
      </c>
      <c r="U45" s="96">
        <v>0</v>
      </c>
      <c r="V45" s="96">
        <v>0</v>
      </c>
      <c r="W45" s="96">
        <v>0</v>
      </c>
      <c r="DA45" s="171" t="s">
        <v>660</v>
      </c>
    </row>
    <row r="46" spans="1:105" ht="11.45" customHeight="1" x14ac:dyDescent="0.25">
      <c r="A46" s="111" t="s">
        <v>111</v>
      </c>
      <c r="B46" s="96">
        <v>15.54164140964804</v>
      </c>
      <c r="C46" s="96">
        <v>14.464789421673615</v>
      </c>
      <c r="D46" s="96">
        <v>5.684351699364238</v>
      </c>
      <c r="E46" s="96">
        <v>11.292478627497342</v>
      </c>
      <c r="F46" s="96">
        <v>15.300496376313466</v>
      </c>
      <c r="G46" s="96">
        <v>21.12000138302443</v>
      </c>
      <c r="H46" s="96">
        <v>22.857046351886602</v>
      </c>
      <c r="I46" s="96">
        <v>22.789357188484182</v>
      </c>
      <c r="J46" s="96">
        <v>22.704900868963083</v>
      </c>
      <c r="K46" s="96">
        <v>20.565748265163794</v>
      </c>
      <c r="L46" s="96">
        <v>19.002977073281574</v>
      </c>
      <c r="M46" s="96">
        <v>18.25095260077503</v>
      </c>
      <c r="N46" s="96">
        <v>17.53410842161842</v>
      </c>
      <c r="O46" s="96">
        <v>17.928099249873725</v>
      </c>
      <c r="P46" s="96">
        <v>18.470394860279601</v>
      </c>
      <c r="Q46" s="96">
        <v>19.059022191976634</v>
      </c>
      <c r="R46" s="96">
        <v>18.439545612921904</v>
      </c>
      <c r="S46" s="96">
        <v>20.121899747784042</v>
      </c>
      <c r="T46" s="96">
        <v>23.353229910042526</v>
      </c>
      <c r="U46" s="96">
        <v>25.021939252422417</v>
      </c>
      <c r="V46" s="96">
        <v>21.953909957371113</v>
      </c>
      <c r="W46" s="96">
        <v>21.204362254160255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0</v>
      </c>
      <c r="L47" s="96">
        <v>0.10845354708242237</v>
      </c>
      <c r="M47" s="96">
        <v>0.30152200484285141</v>
      </c>
      <c r="N47" s="96">
        <v>0.49257950080639529</v>
      </c>
      <c r="O47" s="96">
        <v>0.91703108045222803</v>
      </c>
      <c r="P47" s="96">
        <v>1.290006535118289</v>
      </c>
      <c r="Q47" s="96">
        <v>1.1737999513158253</v>
      </c>
      <c r="R47" s="96">
        <v>1.1219598819735197</v>
      </c>
      <c r="S47" s="96">
        <v>1.3040595442957359</v>
      </c>
      <c r="T47" s="96">
        <v>1.7230131272729698</v>
      </c>
      <c r="U47" s="96">
        <v>1.8939416028049558</v>
      </c>
      <c r="V47" s="96">
        <v>2.6802242759585329</v>
      </c>
      <c r="W47" s="96">
        <v>1.9646262466564341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1.7428382333818321E-3</v>
      </c>
      <c r="T48" s="96">
        <v>1.6725669321078225E-3</v>
      </c>
      <c r="U48" s="96">
        <v>3.1737048283175927E-3</v>
      </c>
      <c r="V48" s="96">
        <v>2.9905472592153749E-3</v>
      </c>
      <c r="W48" s="96">
        <v>2.8504597399977632E-3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4.6744413849536694E-4</v>
      </c>
      <c r="K51" s="96">
        <v>4.8021438983858185E-4</v>
      </c>
      <c r="L51" s="96">
        <v>6.5459185151896097E-4</v>
      </c>
      <c r="M51" s="96">
        <v>8.0422246742123903E-4</v>
      </c>
      <c r="N51" s="96">
        <v>8.079397328545722E-4</v>
      </c>
      <c r="O51" s="96">
        <v>2.4997792849899185E-3</v>
      </c>
      <c r="P51" s="96">
        <v>2.5082721416594717E-3</v>
      </c>
      <c r="Q51" s="96">
        <v>2.8555673095436631E-3</v>
      </c>
      <c r="R51" s="96">
        <v>3.1647916389176637E-3</v>
      </c>
      <c r="S51" s="96">
        <v>3.3160018612947745E-3</v>
      </c>
      <c r="T51" s="96">
        <v>3.3637996965865126E-3</v>
      </c>
      <c r="U51" s="96">
        <v>2.5335631706106188E-2</v>
      </c>
      <c r="V51" s="96">
        <v>2.5840516491038672E-2</v>
      </c>
      <c r="W51" s="96">
        <v>2.8084283361090732E-2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42.749633079914773</v>
      </c>
      <c r="C52" s="130">
        <f t="shared" si="33"/>
        <v>37.6444308856383</v>
      </c>
      <c r="D52" s="130">
        <f t="shared" si="33"/>
        <v>4.6488027658396316</v>
      </c>
      <c r="E52" s="130">
        <f t="shared" si="33"/>
        <v>21.128918046759921</v>
      </c>
      <c r="F52" s="130">
        <f t="shared" si="33"/>
        <v>47.661561020186369</v>
      </c>
      <c r="G52" s="130">
        <f t="shared" si="33"/>
        <v>33.309278409585446</v>
      </c>
      <c r="H52" s="130">
        <f t="shared" si="33"/>
        <v>32.576559984385462</v>
      </c>
      <c r="I52" s="130">
        <f t="shared" si="33"/>
        <v>35.168285169025978</v>
      </c>
      <c r="J52" s="130">
        <f t="shared" si="33"/>
        <v>35.230671099057467</v>
      </c>
      <c r="K52" s="130">
        <f t="shared" si="33"/>
        <v>31.210825039241634</v>
      </c>
      <c r="L52" s="130">
        <f t="shared" ref="L52" si="34">L53+L55</f>
        <v>24.583181565450815</v>
      </c>
      <c r="M52" s="130">
        <f t="shared" ref="M52:V52" si="35">M53+M55</f>
        <v>21.63990474332304</v>
      </c>
      <c r="N52" s="130">
        <f t="shared" si="35"/>
        <v>19.497796125584699</v>
      </c>
      <c r="O52" s="130">
        <f t="shared" si="35"/>
        <v>19.998899748982076</v>
      </c>
      <c r="P52" s="130">
        <f t="shared" si="35"/>
        <v>18.872335824411511</v>
      </c>
      <c r="Q52" s="130">
        <f t="shared" si="35"/>
        <v>18.161294209423655</v>
      </c>
      <c r="R52" s="130">
        <f t="shared" si="35"/>
        <v>18.489515675554319</v>
      </c>
      <c r="S52" s="130">
        <f t="shared" si="35"/>
        <v>19.494077819904902</v>
      </c>
      <c r="T52" s="130">
        <f t="shared" si="35"/>
        <v>21.853216588676549</v>
      </c>
      <c r="U52" s="130">
        <f t="shared" si="35"/>
        <v>23.547054106945218</v>
      </c>
      <c r="V52" s="130">
        <f t="shared" si="35"/>
        <v>21.513173259424569</v>
      </c>
      <c r="W52" s="130">
        <f t="shared" ref="W52" si="36">W53+W55</f>
        <v>21.759800464602229</v>
      </c>
      <c r="DA52" s="176" t="s">
        <v>400</v>
      </c>
    </row>
    <row r="53" spans="1:105" ht="11.45" customHeight="1" x14ac:dyDescent="0.25">
      <c r="A53" s="128" t="s">
        <v>27</v>
      </c>
      <c r="B53" s="97">
        <v>42.749633079914773</v>
      </c>
      <c r="C53" s="97">
        <v>37.6444308856383</v>
      </c>
      <c r="D53" s="97">
        <v>4.6488027658396316</v>
      </c>
      <c r="E53" s="97">
        <v>21.128918046759921</v>
      </c>
      <c r="F53" s="97">
        <v>47.661561020186369</v>
      </c>
      <c r="G53" s="97">
        <v>33.309278409585446</v>
      </c>
      <c r="H53" s="97">
        <v>32.576559984385462</v>
      </c>
      <c r="I53" s="97">
        <v>35.168285169025978</v>
      </c>
      <c r="J53" s="97">
        <v>35.230671099057467</v>
      </c>
      <c r="K53" s="97">
        <v>31.210825039241634</v>
      </c>
      <c r="L53" s="97">
        <v>24.583181565450815</v>
      </c>
      <c r="M53" s="97">
        <v>21.63990474332304</v>
      </c>
      <c r="N53" s="97">
        <v>19.497796125584699</v>
      </c>
      <c r="O53" s="97">
        <v>19.998899748982076</v>
      </c>
      <c r="P53" s="97">
        <v>18.872335824411511</v>
      </c>
      <c r="Q53" s="97">
        <v>18.161294209423655</v>
      </c>
      <c r="R53" s="97">
        <v>18.489515675554319</v>
      </c>
      <c r="S53" s="97">
        <v>19.494077819904902</v>
      </c>
      <c r="T53" s="97">
        <v>21.853216588676549</v>
      </c>
      <c r="U53" s="97">
        <v>23.547054106945218</v>
      </c>
      <c r="V53" s="97">
        <v>21.513173259424569</v>
      </c>
      <c r="W53" s="97">
        <v>21.759800464602229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</v>
      </c>
      <c r="L54" s="97">
        <v>0.14030081860662635</v>
      </c>
      <c r="M54" s="97">
        <v>0.35751051496008013</v>
      </c>
      <c r="N54" s="97">
        <v>0.54774468432760504</v>
      </c>
      <c r="O54" s="97">
        <v>1.0229535428745464</v>
      </c>
      <c r="P54" s="97">
        <v>1.3180788353795565</v>
      </c>
      <c r="Q54" s="97">
        <v>1.1185110151048621</v>
      </c>
      <c r="R54" s="97">
        <v>1.1250003259600558</v>
      </c>
      <c r="S54" s="97">
        <v>1.263371677472469</v>
      </c>
      <c r="T54" s="97">
        <v>1.6123413849164026</v>
      </c>
      <c r="U54" s="97">
        <v>1.7823057176643644</v>
      </c>
      <c r="V54" s="97">
        <v>2.6264173140353071</v>
      </c>
      <c r="W54" s="97">
        <v>2.0160886992192824</v>
      </c>
      <c r="DA54" s="175" t="s">
        <v>668</v>
      </c>
    </row>
    <row r="55" spans="1:105" ht="11.45" customHeight="1" x14ac:dyDescent="0.25">
      <c r="A55" s="128" t="s">
        <v>116</v>
      </c>
      <c r="B55" s="97">
        <v>0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97">
        <v>0</v>
      </c>
      <c r="N55" s="97">
        <v>0</v>
      </c>
      <c r="O55" s="97">
        <v>0</v>
      </c>
      <c r="P55" s="97">
        <v>0</v>
      </c>
      <c r="Q55" s="97">
        <v>0</v>
      </c>
      <c r="R55" s="97">
        <v>0</v>
      </c>
      <c r="S55" s="97">
        <v>0</v>
      </c>
      <c r="T55" s="97">
        <v>0</v>
      </c>
      <c r="U55" s="97">
        <v>0</v>
      </c>
      <c r="V55" s="97">
        <v>0</v>
      </c>
      <c r="W55" s="97">
        <v>0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7.5954765314887025</v>
      </c>
      <c r="C60" s="79">
        <f>IF(C17=0,0,C17/TrRoad_act!C30*100)</f>
        <v>7.0623466017749976</v>
      </c>
      <c r="D60" s="79">
        <f>IF(D17=0,0,D17/TrRoad_act!D30*100)</f>
        <v>5.15293857718809</v>
      </c>
      <c r="E60" s="79">
        <f>IF(E17=0,0,E17/TrRoad_act!E30*100)</f>
        <v>5.9122737011527242</v>
      </c>
      <c r="F60" s="79">
        <f>IF(F17=0,0,F17/TrRoad_act!F30*100)</f>
        <v>6.8366332200496052</v>
      </c>
      <c r="G60" s="79">
        <f>IF(G17=0,0,G17/TrRoad_act!G30*100)</f>
        <v>7.2051281817002728</v>
      </c>
      <c r="H60" s="79">
        <f>IF(H17=0,0,H17/TrRoad_act!H30*100)</f>
        <v>7.163065550817187</v>
      </c>
      <c r="I60" s="79">
        <f>IF(I17=0,0,I17/TrRoad_act!I30*100)</f>
        <v>7.3184459639381414</v>
      </c>
      <c r="J60" s="79">
        <f>IF(J17=0,0,J17/TrRoad_act!J30*100)</f>
        <v>7.4422816582005211</v>
      </c>
      <c r="K60" s="79">
        <f>IF(K17=0,0,K17/TrRoad_act!K30*100)</f>
        <v>6.3206864216357559</v>
      </c>
      <c r="L60" s="79">
        <f>IF(L17=0,0,L17/TrRoad_act!L30*100)</f>
        <v>6.7533425855352212</v>
      </c>
      <c r="M60" s="79">
        <f>IF(M17=0,0,M17/TrRoad_act!M30*100)</f>
        <v>6.5501434094187587</v>
      </c>
      <c r="N60" s="79">
        <f>IF(N17=0,0,N17/TrRoad_act!N30*100)</f>
        <v>6.5233506967776078</v>
      </c>
      <c r="O60" s="79">
        <f>IF(O17=0,0,O17/TrRoad_act!O30*100)</f>
        <v>6.5605027724915956</v>
      </c>
      <c r="P60" s="79">
        <f>IF(P17=0,0,P17/TrRoad_act!P30*100)</f>
        <v>6.4030253014540266</v>
      </c>
      <c r="Q60" s="79">
        <f>IF(Q17=0,0,Q17/TrRoad_act!Q30*100)</f>
        <v>6.4997715595279297</v>
      </c>
      <c r="R60" s="79">
        <f>IF(R17=0,0,R17/TrRoad_act!R30*100)</f>
        <v>6.3634746259536925</v>
      </c>
      <c r="S60" s="79">
        <f>IF(S17=0,0,S17/TrRoad_act!S30*100)</f>
        <v>6.5619251263083918</v>
      </c>
      <c r="T60" s="79">
        <f>IF(T17=0,0,T17/TrRoad_act!T30*100)</f>
        <v>7.1940930704658177</v>
      </c>
      <c r="U60" s="79">
        <f>IF(U17=0,0,U17/TrRoad_act!U30*100)</f>
        <v>7.4346628506043375</v>
      </c>
      <c r="V60" s="79">
        <f>IF(V17=0,0,V17/TrRoad_act!V30*100)</f>
        <v>6.7664617120432089</v>
      </c>
      <c r="W60" s="79">
        <f>IF(W17=0,0,W17/TrRoad_act!W30*100)</f>
        <v>6.7078877997239621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6.4632237626672069</v>
      </c>
      <c r="C61" s="32">
        <f>IF(C18=0,0,C18/TrRoad_act!C31*100)</f>
        <v>6.0631229716889594</v>
      </c>
      <c r="D61" s="32">
        <f>IF(D18=0,0,D18/TrRoad_act!D31*100)</f>
        <v>5.6042005301543787</v>
      </c>
      <c r="E61" s="32">
        <f>IF(E18=0,0,E18/TrRoad_act!E31*100)</f>
        <v>5.5928082695495043</v>
      </c>
      <c r="F61" s="32">
        <f>IF(F18=0,0,F18/TrRoad_act!F31*100)</f>
        <v>5.3954393385581287</v>
      </c>
      <c r="G61" s="32">
        <f>IF(G18=0,0,G18/TrRoad_act!G31*100)</f>
        <v>5.8109713294373329</v>
      </c>
      <c r="H61" s="32">
        <f>IF(H18=0,0,H18/TrRoad_act!H31*100)</f>
        <v>5.7710974380696678</v>
      </c>
      <c r="I61" s="32">
        <f>IF(I18=0,0,I18/TrRoad_act!I31*100)</f>
        <v>6.0044917980101165</v>
      </c>
      <c r="J61" s="32">
        <f>IF(J18=0,0,J18/TrRoad_act!J31*100)</f>
        <v>6.3622992036811699</v>
      </c>
      <c r="K61" s="32">
        <f>IF(K18=0,0,K18/TrRoad_act!K31*100)</f>
        <v>5.3277398804074751</v>
      </c>
      <c r="L61" s="32">
        <f>IF(L18=0,0,L18/TrRoad_act!L31*100)</f>
        <v>6.0955058446691206</v>
      </c>
      <c r="M61" s="32">
        <f>IF(M18=0,0,M18/TrRoad_act!M31*100)</f>
        <v>6.0498551885136465</v>
      </c>
      <c r="N61" s="32">
        <f>IF(N18=0,0,N18/TrRoad_act!N31*100)</f>
        <v>6.126671776495308</v>
      </c>
      <c r="O61" s="32">
        <f>IF(O18=0,0,O18/TrRoad_act!O31*100)</f>
        <v>6.1654092699072853</v>
      </c>
      <c r="P61" s="32">
        <f>IF(P18=0,0,P18/TrRoad_act!P31*100)</f>
        <v>6.064671441026829</v>
      </c>
      <c r="Q61" s="32">
        <f>IF(Q18=0,0,Q18/TrRoad_act!Q31*100)</f>
        <v>6.2199661418527441</v>
      </c>
      <c r="R61" s="32">
        <f>IF(R18=0,0,R18/TrRoad_act!R31*100)</f>
        <v>6.073302737722166</v>
      </c>
      <c r="S61" s="32">
        <f>IF(S18=0,0,S18/TrRoad_act!S31*100)</f>
        <v>6.2409237311284578</v>
      </c>
      <c r="T61" s="32">
        <f>IF(T18=0,0,T18/TrRoad_act!T31*100)</f>
        <v>6.7747655864042962</v>
      </c>
      <c r="U61" s="32">
        <f>IF(U18=0,0,U18/TrRoad_act!U31*100)</f>
        <v>6.9953304957223157</v>
      </c>
      <c r="V61" s="32">
        <f>IF(V18=0,0,V18/TrRoad_act!V31*100)</f>
        <v>6.3096721986834208</v>
      </c>
      <c r="W61" s="32">
        <f>IF(W18=0,0,W18/TrRoad_act!W31*100)</f>
        <v>6.2464025753258792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3.9979884241474113</v>
      </c>
      <c r="C62" s="141">
        <f>IF(C19=0,0,C19/TrRoad_act!C32*100)</f>
        <v>3.9822433335973075</v>
      </c>
      <c r="D62" s="141">
        <f>IF(D19=0,0,D19/TrRoad_act!D32*100)</f>
        <v>3.9664477386703449</v>
      </c>
      <c r="E62" s="141">
        <f>IF(E19=0,0,E19/TrRoad_act!E32*100)</f>
        <v>3.9514073512751922</v>
      </c>
      <c r="F62" s="141">
        <f>IF(F19=0,0,F19/TrRoad_act!F32*100)</f>
        <v>3.9368417094228225</v>
      </c>
      <c r="G62" s="141">
        <f>IF(G19=0,0,G19/TrRoad_act!G32*100)</f>
        <v>3.9187038877140945</v>
      </c>
      <c r="H62" s="141">
        <f>IF(H19=0,0,H19/TrRoad_act!H32*100)</f>
        <v>3.8963477642443878</v>
      </c>
      <c r="I62" s="141">
        <f>IF(I19=0,0,I19/TrRoad_act!I32*100)</f>
        <v>3.8705735613089063</v>
      </c>
      <c r="J62" s="141">
        <f>IF(J19=0,0,J19/TrRoad_act!J32*100)</f>
        <v>3.8114911733849564</v>
      </c>
      <c r="K62" s="141">
        <f>IF(K19=0,0,K19/TrRoad_act!K32*100)</f>
        <v>3.7573614347084812</v>
      </c>
      <c r="L62" s="141">
        <f>IF(L19=0,0,L19/TrRoad_act!L32*100)</f>
        <v>3.6915186110546894</v>
      </c>
      <c r="M62" s="141">
        <f>IF(M19=0,0,M19/TrRoad_act!M32*100)</f>
        <v>3.6339005103417725</v>
      </c>
      <c r="N62" s="141">
        <f>IF(N19=0,0,N19/TrRoad_act!N32*100)</f>
        <v>3.5609881282024838</v>
      </c>
      <c r="O62" s="141">
        <f>IF(O19=0,0,O19/TrRoad_act!O32*100)</f>
        <v>3.5073624094126536</v>
      </c>
      <c r="P62" s="141">
        <f>IF(P19=0,0,P19/TrRoad_act!P32*100)</f>
        <v>3.4453065405934216</v>
      </c>
      <c r="Q62" s="141">
        <f>IF(Q19=0,0,Q19/TrRoad_act!Q32*100)</f>
        <v>3.3750463449565546</v>
      </c>
      <c r="R62" s="141">
        <f>IF(R19=0,0,R19/TrRoad_act!R32*100)</f>
        <v>3.3036807524417742</v>
      </c>
      <c r="S62" s="141">
        <f>IF(S19=0,0,S19/TrRoad_act!S32*100)</f>
        <v>3.269602621813982</v>
      </c>
      <c r="T62" s="141">
        <f>IF(T19=0,0,T19/TrRoad_act!T32*100)</f>
        <v>3.368029010950333</v>
      </c>
      <c r="U62" s="141">
        <f>IF(U19=0,0,U19/TrRoad_act!U32*100)</f>
        <v>3.3368140987755202</v>
      </c>
      <c r="V62" s="141">
        <f>IF(V19=0,0,V19/TrRoad_act!V32*100)</f>
        <v>3.1465626545803329</v>
      </c>
      <c r="W62" s="141">
        <f>IF(W19=0,0,W19/TrRoad_act!W32*100)</f>
        <v>2.9141739685106023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5.8429787836145799</v>
      </c>
      <c r="C63" s="130">
        <f>IF(C21=0,0,C21/TrRoad_act!C33*100)</f>
        <v>5.4665984876774862</v>
      </c>
      <c r="D63" s="130">
        <f>IF(D21=0,0,D21/TrRoad_act!D33*100)</f>
        <v>5.4607352502437312</v>
      </c>
      <c r="E63" s="130">
        <f>IF(E21=0,0,E21/TrRoad_act!E33*100)</f>
        <v>5.1697096770273872</v>
      </c>
      <c r="F63" s="130">
        <f>IF(F21=0,0,F21/TrRoad_act!F33*100)</f>
        <v>4.7077033863355666</v>
      </c>
      <c r="G63" s="130">
        <f>IF(G21=0,0,G21/TrRoad_act!G33*100)</f>
        <v>4.9058277414722324</v>
      </c>
      <c r="H63" s="130">
        <f>IF(H21=0,0,H21/TrRoad_act!H33*100)</f>
        <v>4.8241902145979694</v>
      </c>
      <c r="I63" s="130">
        <f>IF(I21=0,0,I21/TrRoad_act!I33*100)</f>
        <v>5.1042343409436928</v>
      </c>
      <c r="J63" s="130">
        <f>IF(J21=0,0,J21/TrRoad_act!J33*100)</f>
        <v>5.5656952722181563</v>
      </c>
      <c r="K63" s="130">
        <f>IF(K21=0,0,K21/TrRoad_act!K33*100)</f>
        <v>4.6573768743206987</v>
      </c>
      <c r="L63" s="130">
        <f>IF(L21=0,0,L21/TrRoad_act!L33*100)</f>
        <v>5.3936858891546047</v>
      </c>
      <c r="M63" s="130">
        <f>IF(M21=0,0,M21/TrRoad_act!M33*100)</f>
        <v>5.3651783991126916</v>
      </c>
      <c r="N63" s="130">
        <f>IF(N21=0,0,N21/TrRoad_act!N33*100)</f>
        <v>5.3471951557593149</v>
      </c>
      <c r="O63" s="130">
        <f>IF(O21=0,0,O21/TrRoad_act!O33*100)</f>
        <v>5.3808486834178622</v>
      </c>
      <c r="P63" s="130">
        <f>IF(P21=0,0,P21/TrRoad_act!P33*100)</f>
        <v>5.1551670965693743</v>
      </c>
      <c r="Q63" s="130">
        <f>IF(Q21=0,0,Q21/TrRoad_act!Q33*100)</f>
        <v>5.2386471748500085</v>
      </c>
      <c r="R63" s="130">
        <f>IF(R21=0,0,R21/TrRoad_act!R33*100)</f>
        <v>5.1382111706665174</v>
      </c>
      <c r="S63" s="130">
        <f>IF(S21=0,0,S21/TrRoad_act!S33*100)</f>
        <v>5.2181759452226082</v>
      </c>
      <c r="T63" s="130">
        <f>IF(T21=0,0,T21/TrRoad_act!T33*100)</f>
        <v>5.573772154798692</v>
      </c>
      <c r="U63" s="130">
        <f>IF(U21=0,0,U21/TrRoad_act!U33*100)</f>
        <v>5.785444554089227</v>
      </c>
      <c r="V63" s="130">
        <f>IF(V21=0,0,V21/TrRoad_act!V33*100)</f>
        <v>5.3658246573733743</v>
      </c>
      <c r="W63" s="130">
        <f>IF(W21=0,0,W21/TrRoad_act!W33*100)</f>
        <v>5.4340253474823079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6.1002904504739242</v>
      </c>
      <c r="C64" s="96">
        <f>IF(C22=0,0,C22/TrRoad_act!C34*100)</f>
        <v>5.7291140078271701</v>
      </c>
      <c r="D64" s="96">
        <f>IF(D22=0,0,D22/TrRoad_act!D34*100)</f>
        <v>6.20065196777675</v>
      </c>
      <c r="E64" s="96">
        <f>IF(E22=0,0,E22/TrRoad_act!E34*100)</f>
        <v>5.5784705166222341</v>
      </c>
      <c r="F64" s="96">
        <f>IF(F22=0,0,F22/TrRoad_act!F34*100)</f>
        <v>4.7900379360968275</v>
      </c>
      <c r="G64" s="96">
        <f>IF(G22=0,0,G22/TrRoad_act!G34*100)</f>
        <v>4.6554061143791854</v>
      </c>
      <c r="H64" s="96">
        <f>IF(H22=0,0,H22/TrRoad_act!H34*100)</f>
        <v>4.4921446653388264</v>
      </c>
      <c r="I64" s="96">
        <f>IF(I22=0,0,I22/TrRoad_act!I34*100)</f>
        <v>4.9075325318528291</v>
      </c>
      <c r="J64" s="96">
        <f>IF(J22=0,0,J22/TrRoad_act!J34*100)</f>
        <v>5.5241561031312596</v>
      </c>
      <c r="K64" s="96">
        <f>IF(K22=0,0,K22/TrRoad_act!K34*100)</f>
        <v>4.5446139109473931</v>
      </c>
      <c r="L64" s="96">
        <f>IF(L22=0,0,L22/TrRoad_act!L34*100)</f>
        <v>5.5241458456891941</v>
      </c>
      <c r="M64" s="96">
        <f>IF(M22=0,0,M22/TrRoad_act!M34*100)</f>
        <v>5.6819791168217018</v>
      </c>
      <c r="N64" s="96">
        <f>IF(N22=0,0,N22/TrRoad_act!N34*100)</f>
        <v>5.7580605397980626</v>
      </c>
      <c r="O64" s="96">
        <f>IF(O22=0,0,O22/TrRoad_act!O34*100)</f>
        <v>5.7883085121012812</v>
      </c>
      <c r="P64" s="96">
        <f>IF(P22=0,0,P22/TrRoad_act!P34*100)</f>
        <v>5.4735755419330827</v>
      </c>
      <c r="Q64" s="96">
        <f>IF(Q22=0,0,Q22/TrRoad_act!Q34*100)</f>
        <v>5.622550166550722</v>
      </c>
      <c r="R64" s="96">
        <f>IF(R22=0,0,R22/TrRoad_act!R34*100)</f>
        <v>5.5191190570648008</v>
      </c>
      <c r="S64" s="96">
        <f>IF(S22=0,0,S22/TrRoad_act!S34*100)</f>
        <v>5.4884818686909069</v>
      </c>
      <c r="T64" s="96">
        <f>IF(T22=0,0,T22/TrRoad_act!T34*100)</f>
        <v>5.5955611401907523</v>
      </c>
      <c r="U64" s="96">
        <f>IF(U22=0,0,U22/TrRoad_act!U34*100)</f>
        <v>5.9205148194586723</v>
      </c>
      <c r="V64" s="96">
        <f>IF(V22=0,0,V22/TrRoad_act!V34*100)</f>
        <v>5.6360631681007227</v>
      </c>
      <c r="W64" s="96">
        <f>IF(W22=0,0,W22/TrRoad_act!W34*100)</f>
        <v>5.7963303160825657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4.2745713931896177</v>
      </c>
      <c r="C65" s="96">
        <f>IF(C24=0,0,C24/TrRoad_act!C35*100)</f>
        <v>4.0240652479615013</v>
      </c>
      <c r="D65" s="96">
        <f>IF(D24=0,0,D24/TrRoad_act!D35*100)</f>
        <v>1.5785305207263629</v>
      </c>
      <c r="E65" s="96">
        <f>IF(E24=0,0,E24/TrRoad_act!E35*100)</f>
        <v>3.1153804893822219</v>
      </c>
      <c r="F65" s="96">
        <f>IF(F24=0,0,F24/TrRoad_act!F35*100)</f>
        <v>4.3313162300114953</v>
      </c>
      <c r="G65" s="96">
        <f>IF(G24=0,0,G24/TrRoad_act!G35*100)</f>
        <v>6.147770315376631</v>
      </c>
      <c r="H65" s="96">
        <f>IF(H24=0,0,H24/TrRoad_act!H35*100)</f>
        <v>6.4495239885814044</v>
      </c>
      <c r="I65" s="96">
        <f>IF(I24=0,0,I24/TrRoad_act!I35*100)</f>
        <v>5.9853038849931561</v>
      </c>
      <c r="J65" s="96">
        <f>IF(J24=0,0,J24/TrRoad_act!J35*100)</f>
        <v>5.7650399571925668</v>
      </c>
      <c r="K65" s="96">
        <f>IF(K24=0,0,K24/TrRoad_act!K35*100)</f>
        <v>5.1716334254637442</v>
      </c>
      <c r="L65" s="96">
        <f>IF(L24=0,0,L24/TrRoad_act!L35*100)</f>
        <v>5.139706686705142</v>
      </c>
      <c r="M65" s="96">
        <f>IF(M24=0,0,M24/TrRoad_act!M35*100)</f>
        <v>4.8156003816770845</v>
      </c>
      <c r="N65" s="96">
        <f>IF(N24=0,0,N24/TrRoad_act!N35*100)</f>
        <v>4.696267325158737</v>
      </c>
      <c r="O65" s="96">
        <f>IF(O24=0,0,O24/TrRoad_act!O35*100)</f>
        <v>4.7674426452335856</v>
      </c>
      <c r="P65" s="96">
        <f>IF(P24=0,0,P24/TrRoad_act!P35*100)</f>
        <v>4.6784077292956781</v>
      </c>
      <c r="Q65" s="96">
        <f>IF(Q24=0,0,Q24/TrRoad_act!Q35*100)</f>
        <v>4.6839572098824753</v>
      </c>
      <c r="R65" s="96">
        <f>IF(R24=0,0,R24/TrRoad_act!R35*100)</f>
        <v>4.601476570524218</v>
      </c>
      <c r="S65" s="96">
        <f>IF(S24=0,0,S24/TrRoad_act!S35*100)</f>
        <v>4.8148516289628684</v>
      </c>
      <c r="T65" s="96">
        <f>IF(T24=0,0,T24/TrRoad_act!T35*100)</f>
        <v>5.5450792944532017</v>
      </c>
      <c r="U65" s="96">
        <f>IF(U24=0,0,U24/TrRoad_act!U35*100)</f>
        <v>5.661852085256692</v>
      </c>
      <c r="V65" s="96">
        <f>IF(V24=0,0,V24/TrRoad_act!V35*100)</f>
        <v>5.0783402596115943</v>
      </c>
      <c r="W65" s="96">
        <f>IF(W24=0,0,W24/TrRoad_act!W35*100)</f>
        <v>5.0375807575437772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0</v>
      </c>
      <c r="I66" s="96">
        <f>IF(I26=0,0,I26/TrRoad_act!I36*100)</f>
        <v>0</v>
      </c>
      <c r="J66" s="96">
        <f>IF(J26=0,0,J26/TrRoad_act!J36*100)</f>
        <v>0</v>
      </c>
      <c r="K66" s="96">
        <f>IF(K26=0,0,K26/TrRoad_act!K36*100)</f>
        <v>0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4.8489076617183304</v>
      </c>
      <c r="S66" s="96">
        <f>IF(S26=0,0,S26/TrRoad_act!S36*100)</f>
        <v>5.4148571959121821</v>
      </c>
      <c r="T66" s="96">
        <f>IF(T26=0,0,T26/TrRoad_act!T36*100)</f>
        <v>7.4925465273365477</v>
      </c>
      <c r="U66" s="96">
        <f>IF(U26=0,0,U26/TrRoad_act!U36*100)</f>
        <v>5.4441361546551406</v>
      </c>
      <c r="V66" s="96">
        <f>IF(V26=0,0,V26/TrRoad_act!V36*100)</f>
        <v>6.110271848005846</v>
      </c>
      <c r="W66" s="96">
        <f>IF(W26=0,0,W26/TrRoad_act!W36*100)</f>
        <v>7.0438721847518382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4.4095112205792955</v>
      </c>
      <c r="M68" s="96">
        <f>IF(M29=0,0,M29/TrRoad_act!M38*100)</f>
        <v>4.4951549539529099</v>
      </c>
      <c r="N68" s="96">
        <f>IF(N29=0,0,N29/TrRoad_act!N38*100)</f>
        <v>4.3786857490896534</v>
      </c>
      <c r="O68" s="96">
        <f>IF(O29=0,0,O29/TrRoad_act!O38*100)</f>
        <v>4.7835436782820979</v>
      </c>
      <c r="P68" s="96">
        <f>IF(P29=0,0,P29/TrRoad_act!P38*100)</f>
        <v>4.8659282675509434</v>
      </c>
      <c r="Q68" s="96">
        <f>IF(Q29=0,0,Q29/TrRoad_act!Q38*100)</f>
        <v>4.8113135682678303</v>
      </c>
      <c r="R68" s="96">
        <f>IF(R29=0,0,R29/TrRoad_act!R38*100)</f>
        <v>4.7883316539472833</v>
      </c>
      <c r="S68" s="96">
        <f>IF(S29=0,0,S29/TrRoad_act!S38*100)</f>
        <v>4.7956761223219937</v>
      </c>
      <c r="T68" s="96">
        <f>IF(T29=0,0,T29/TrRoad_act!T38*100)</f>
        <v>4.9696123724447583</v>
      </c>
      <c r="U68" s="96">
        <f>IF(U29=0,0,U29/TrRoad_act!U38*100)</f>
        <v>5.0758696175841438</v>
      </c>
      <c r="V68" s="96">
        <f>IF(V29=0,0,V29/TrRoad_act!V38*100)</f>
        <v>4.7296253782987501</v>
      </c>
      <c r="W68" s="96">
        <f>IF(W29=0,0,W29/TrRoad_act!W38*100)</f>
        <v>4.3532162936706609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1.2984188746828971</v>
      </c>
      <c r="F69" s="96">
        <f>IF(F32=0,0,F32/TrRoad_act!F39*100)</f>
        <v>1.2951946209810854</v>
      </c>
      <c r="G69" s="96">
        <f>IF(G32=0,0,G32/TrRoad_act!G39*100)</f>
        <v>1.2928484117815444</v>
      </c>
      <c r="H69" s="96">
        <f>IF(H32=0,0,H32/TrRoad_act!H39*100)</f>
        <v>1.2898553939183288</v>
      </c>
      <c r="I69" s="96">
        <f>IF(I32=0,0,I32/TrRoad_act!I39*100)</f>
        <v>1.2782494070401358</v>
      </c>
      <c r="J69" s="96">
        <f>IF(J32=0,0,J32/TrRoad_act!J39*100)</f>
        <v>1.2738782214629019</v>
      </c>
      <c r="K69" s="96">
        <f>IF(K32=0,0,K32/TrRoad_act!K39*100)</f>
        <v>1.2709123493929395</v>
      </c>
      <c r="L69" s="96">
        <f>IF(L32=0,0,L32/TrRoad_act!L39*100)</f>
        <v>1.2677210460686519</v>
      </c>
      <c r="M69" s="96">
        <f>IF(M32=0,0,M32/TrRoad_act!M39*100)</f>
        <v>1.262658069483851</v>
      </c>
      <c r="N69" s="96">
        <f>IF(N32=0,0,N32/TrRoad_act!N39*100)</f>
        <v>1.2358155757837568</v>
      </c>
      <c r="O69" s="96">
        <f>IF(O32=0,0,O32/TrRoad_act!O39*100)</f>
        <v>1.2180776903312844</v>
      </c>
      <c r="P69" s="96">
        <f>IF(P32=0,0,P32/TrRoad_act!P39*100)</f>
        <v>1.2416484985572824</v>
      </c>
      <c r="Q69" s="96">
        <f>IF(Q32=0,0,Q32/TrRoad_act!Q39*100)</f>
        <v>1.2877606980407708</v>
      </c>
      <c r="R69" s="96">
        <f>IF(R32=0,0,R32/TrRoad_act!R39*100)</f>
        <v>1.3055420957281978</v>
      </c>
      <c r="S69" s="96">
        <f>IF(S32=0,0,S32/TrRoad_act!S39*100)</f>
        <v>1.251682314830209</v>
      </c>
      <c r="T69" s="96">
        <f>IF(T32=0,0,T32/TrRoad_act!T39*100)</f>
        <v>1.2401074588225076</v>
      </c>
      <c r="U69" s="96">
        <f>IF(U32=0,0,U32/TrRoad_act!U39*100)</f>
        <v>1.416065224871631</v>
      </c>
      <c r="V69" s="96">
        <f>IF(V32=0,0,V32/TrRoad_act!V39*100)</f>
        <v>1.5622754240941623</v>
      </c>
      <c r="W69" s="96">
        <f>IF(W32=0,0,W32/TrRoad_act!W39*100)</f>
        <v>1.6065512101174024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37.558299589640129</v>
      </c>
      <c r="C70" s="130">
        <f>IF(C33=0,0,C33/TrRoad_act!C40*100)</f>
        <v>35.573861644486513</v>
      </c>
      <c r="D70" s="130">
        <f>IF(D33=0,0,D33/TrRoad_act!D40*100)</f>
        <v>13.965516513383136</v>
      </c>
      <c r="E70" s="130">
        <f>IF(E33=0,0,E33/TrRoad_act!E40*100)</f>
        <v>27.563652949890731</v>
      </c>
      <c r="F70" s="130">
        <f>IF(F33=0,0,F33/TrRoad_act!F40*100)</f>
        <v>38.344249986169778</v>
      </c>
      <c r="G70" s="130">
        <f>IF(G33=0,0,G33/TrRoad_act!G40*100)</f>
        <v>54.414050679668357</v>
      </c>
      <c r="H70" s="130">
        <f>IF(H33=0,0,H33/TrRoad_act!H40*100)</f>
        <v>57.095280230481961</v>
      </c>
      <c r="I70" s="130">
        <f>IF(I33=0,0,I33/TrRoad_act!I40*100)</f>
        <v>52.908156888882985</v>
      </c>
      <c r="J70" s="130">
        <f>IF(J33=0,0,J33/TrRoad_act!J40*100)</f>
        <v>50.862715989469052</v>
      </c>
      <c r="K70" s="130">
        <f>IF(K33=0,0,K33/TrRoad_act!K40*100)</f>
        <v>43.986853897440028</v>
      </c>
      <c r="L70" s="130">
        <f>IF(L33=0,0,L33/TrRoad_act!L40*100)</f>
        <v>42.866156005096606</v>
      </c>
      <c r="M70" s="130">
        <f>IF(M33=0,0,M33/TrRoad_act!M40*100)</f>
        <v>37.991898026314544</v>
      </c>
      <c r="N70" s="130">
        <f>IF(N33=0,0,N33/TrRoad_act!N40*100)</f>
        <v>36.896749209455976</v>
      </c>
      <c r="O70" s="130">
        <f>IF(O33=0,0,O33/TrRoad_act!O40*100)</f>
        <v>37.373418219636072</v>
      </c>
      <c r="P70" s="130">
        <f>IF(P33=0,0,P33/TrRoad_act!P40*100)</f>
        <v>36.6516790671092</v>
      </c>
      <c r="Q70" s="130">
        <f>IF(Q33=0,0,Q33/TrRoad_act!Q40*100)</f>
        <v>36.506189380352225</v>
      </c>
      <c r="R70" s="130">
        <f>IF(R33=0,0,R33/TrRoad_act!R40*100)</f>
        <v>35.869296983541851</v>
      </c>
      <c r="S70" s="130">
        <f>IF(S33=0,0,S33/TrRoad_act!S40*100)</f>
        <v>37.767427994542864</v>
      </c>
      <c r="T70" s="130">
        <f>IF(T33=0,0,T33/TrRoad_act!T40*100)</f>
        <v>43.729299357724663</v>
      </c>
      <c r="U70" s="130">
        <f>IF(U33=0,0,U33/TrRoad_act!U40*100)</f>
        <v>44.894188701701246</v>
      </c>
      <c r="V70" s="130">
        <f>IF(V33=0,0,V33/TrRoad_act!V40*100)</f>
        <v>40.138331330024045</v>
      </c>
      <c r="W70" s="130">
        <f>IF(W33=0,0,W33/TrRoad_act!W40*100)</f>
        <v>40.088769508363534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13.366360426336227</v>
      </c>
      <c r="M71" s="97">
        <f>IF(M34=0,0,M34/TrRoad_act!M41*100)</f>
        <v>13.366360426336223</v>
      </c>
      <c r="N71" s="97">
        <f>IF(N34=0,0,N34/TrRoad_act!N41*100)</f>
        <v>13.366360426336223</v>
      </c>
      <c r="O71" s="97">
        <f>IF(O34=0,0,O34/TrRoad_act!O41*100)</f>
        <v>13.366360426336227</v>
      </c>
      <c r="P71" s="97">
        <f>IF(P34=0,0,P34/TrRoad_act!P41*100)</f>
        <v>13.366360426336223</v>
      </c>
      <c r="Q71" s="97">
        <f>IF(Q34=0,0,Q34/TrRoad_act!Q41*100)</f>
        <v>13.366360426336227</v>
      </c>
      <c r="R71" s="97">
        <f>IF(R34=0,0,R34/TrRoad_act!R41*100)</f>
        <v>13.366360426336227</v>
      </c>
      <c r="S71" s="97">
        <f>IF(S34=0,0,S34/TrRoad_act!S41*100)</f>
        <v>13.366360426336223</v>
      </c>
      <c r="T71" s="97">
        <f>IF(T34=0,0,T34/TrRoad_act!T41*100)</f>
        <v>13.149444347717715</v>
      </c>
      <c r="U71" s="97">
        <f>IF(U34=0,0,U34/TrRoad_act!U41*100)</f>
        <v>12.792888414641634</v>
      </c>
      <c r="V71" s="97">
        <f>IF(V34=0,0,V34/TrRoad_act!V41*100)</f>
        <v>12.698310216739156</v>
      </c>
      <c r="W71" s="97">
        <f>IF(W34=0,0,W34/TrRoad_act!W41*100)</f>
        <v>12.510908464965226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37.558299589640129</v>
      </c>
      <c r="C72" s="97">
        <f>IF(C36=0,0,C36/TrRoad_act!C42*100)</f>
        <v>35.573861644486513</v>
      </c>
      <c r="D72" s="97">
        <f>IF(D36=0,0,D36/TrRoad_act!D42*100)</f>
        <v>13.965516513383136</v>
      </c>
      <c r="E72" s="97">
        <f>IF(E36=0,0,E36/TrRoad_act!E42*100)</f>
        <v>27.563652949890731</v>
      </c>
      <c r="F72" s="97">
        <f>IF(F36=0,0,F36/TrRoad_act!F42*100)</f>
        <v>38.344249986169778</v>
      </c>
      <c r="G72" s="97">
        <f>IF(G36=0,0,G36/TrRoad_act!G42*100)</f>
        <v>54.414050679668357</v>
      </c>
      <c r="H72" s="97">
        <f>IF(H36=0,0,H36/TrRoad_act!H42*100)</f>
        <v>57.095280230481961</v>
      </c>
      <c r="I72" s="97">
        <f>IF(I36=0,0,I36/TrRoad_act!I42*100)</f>
        <v>52.908156888882985</v>
      </c>
      <c r="J72" s="97">
        <f>IF(J36=0,0,J36/TrRoad_act!J42*100)</f>
        <v>50.862715989469052</v>
      </c>
      <c r="K72" s="97">
        <f>IF(K36=0,0,K36/TrRoad_act!K42*100)</f>
        <v>43.986853897440028</v>
      </c>
      <c r="L72" s="97">
        <f>IF(L36=0,0,L36/TrRoad_act!L42*100)</f>
        <v>43.119044937097428</v>
      </c>
      <c r="M72" s="97">
        <f>IF(M36=0,0,M36/TrRoad_act!M42*100)</f>
        <v>38.146318981724271</v>
      </c>
      <c r="N72" s="97">
        <f>IF(N36=0,0,N36/TrRoad_act!N42*100)</f>
        <v>37.013785665684438</v>
      </c>
      <c r="O72" s="97">
        <f>IF(O36=0,0,O36/TrRoad_act!O42*100)</f>
        <v>37.481806981813506</v>
      </c>
      <c r="P72" s="97">
        <f>IF(P36=0,0,P36/TrRoad_act!P42*100)</f>
        <v>36.730488695438311</v>
      </c>
      <c r="Q72" s="97">
        <f>IF(Q36=0,0,Q36/TrRoad_act!Q42*100)</f>
        <v>36.563711655551792</v>
      </c>
      <c r="R72" s="97">
        <f>IF(R36=0,0,R36/TrRoad_act!R42*100)</f>
        <v>35.922856558138761</v>
      </c>
      <c r="S72" s="97">
        <f>IF(S36=0,0,S36/TrRoad_act!S42*100)</f>
        <v>37.822268288625999</v>
      </c>
      <c r="T72" s="97">
        <f>IF(T36=0,0,T36/TrRoad_act!T42*100)</f>
        <v>43.836290692980434</v>
      </c>
      <c r="U72" s="97">
        <f>IF(U36=0,0,U36/TrRoad_act!U42*100)</f>
        <v>45.024093423754486</v>
      </c>
      <c r="V72" s="97">
        <f>IF(V36=0,0,V36/TrRoad_act!V42*100)</f>
        <v>40.226420042025502</v>
      </c>
      <c r="W72" s="97">
        <f>IF(W36=0,0,W36/TrRoad_act!W42*100)</f>
        <v>40.183261702169936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0</v>
      </c>
      <c r="R75" s="97">
        <f>IF(R41=0,0,R41/TrRoad_act!R45*100)</f>
        <v>0</v>
      </c>
      <c r="S75" s="97">
        <f>IF(S41=0,0,S41/TrRoad_act!S45*100)</f>
        <v>0</v>
      </c>
      <c r="T75" s="97">
        <f>IF(T41=0,0,T41/TrRoad_act!T45*100)</f>
        <v>34.869659940800204</v>
      </c>
      <c r="U75" s="97">
        <f>IF(U41=0,0,U41/TrRoad_act!U45*100)</f>
        <v>34.9741520792928</v>
      </c>
      <c r="V75" s="97">
        <f>IF(V41=0,0,V41/TrRoad_act!V45*100)</f>
        <v>35.054834872756061</v>
      </c>
      <c r="W75" s="97">
        <f>IF(W41=0,0,W41/TrRoad_act!W45*100)</f>
        <v>35.714346075181453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10.550020256716691</v>
      </c>
      <c r="C76" s="32">
        <f>IF(C42=0,0,C42/TrRoad_act!C46*100)</f>
        <v>9.8116774103125017</v>
      </c>
      <c r="D76" s="32">
        <f>IF(D42=0,0,D42/TrRoad_act!D46*100)</f>
        <v>3.1643157897337453</v>
      </c>
      <c r="E76" s="32">
        <f>IF(E42=0,0,E42/TrRoad_act!E46*100)</f>
        <v>6.9997883015641165</v>
      </c>
      <c r="F76" s="32">
        <f>IF(F42=0,0,F42/TrRoad_act!F46*100)</f>
        <v>10.628147276287216</v>
      </c>
      <c r="G76" s="32">
        <f>IF(G42=0,0,G42/TrRoad_act!G46*100)</f>
        <v>12.859089381669861</v>
      </c>
      <c r="H76" s="32">
        <f>IF(H42=0,0,H42/TrRoad_act!H46*100)</f>
        <v>12.964913480608484</v>
      </c>
      <c r="I76" s="32">
        <f>IF(I42=0,0,I42/TrRoad_act!I46*100)</f>
        <v>12.084295959833623</v>
      </c>
      <c r="J76" s="32">
        <f>IF(J42=0,0,J42/TrRoad_act!J46*100)</f>
        <v>11.519073620759411</v>
      </c>
      <c r="K76" s="32">
        <f>IF(K42=0,0,K42/TrRoad_act!K46*100)</f>
        <v>10.194147208420661</v>
      </c>
      <c r="L76" s="32">
        <f>IF(L42=0,0,L42/TrRoad_act!L46*100)</f>
        <v>9.6705265962495908</v>
      </c>
      <c r="M76" s="32">
        <f>IF(M42=0,0,M42/TrRoad_act!M46*100)</f>
        <v>8.8021950456732938</v>
      </c>
      <c r="N76" s="32">
        <f>IF(N42=0,0,N42/TrRoad_act!N46*100)</f>
        <v>8.3712456494665126</v>
      </c>
      <c r="O76" s="32">
        <f>IF(O42=0,0,O42/TrRoad_act!O46*100)</f>
        <v>8.4218571558352107</v>
      </c>
      <c r="P76" s="32">
        <f>IF(P42=0,0,P42/TrRoad_act!P46*100)</f>
        <v>8.0445215129849554</v>
      </c>
      <c r="Q76" s="32">
        <f>IF(Q42=0,0,Q42/TrRoad_act!Q46*100)</f>
        <v>7.8978566922689151</v>
      </c>
      <c r="R76" s="32">
        <f>IF(R42=0,0,R42/TrRoad_act!R46*100)</f>
        <v>7.8699100393616783</v>
      </c>
      <c r="S76" s="32">
        <f>IF(S42=0,0,S42/TrRoad_act!S46*100)</f>
        <v>8.1676210156490399</v>
      </c>
      <c r="T76" s="32">
        <f>IF(T42=0,0,T42/TrRoad_act!T46*100)</f>
        <v>9.3586283376277333</v>
      </c>
      <c r="U76" s="32">
        <f>IF(U42=0,0,U42/TrRoad_act!U46*100)</f>
        <v>9.6162163736488289</v>
      </c>
      <c r="V76" s="32">
        <f>IF(V42=0,0,V42/TrRoad_act!V46*100)</f>
        <v>8.8508139924062394</v>
      </c>
      <c r="W76" s="32">
        <f>IF(W42=0,0,W42/TrRoad_act!W46*100)</f>
        <v>8.991440120929882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6.281719277809918</v>
      </c>
      <c r="C77" s="141">
        <f>IF(C43=0,0,C43/TrRoad_act!C47*100)</f>
        <v>5.8918832600333557</v>
      </c>
      <c r="D77" s="141">
        <f>IF(D43=0,0,D43/TrRoad_act!D47*100)</f>
        <v>2.4585675383111503</v>
      </c>
      <c r="E77" s="141">
        <f>IF(E43=0,0,E43/TrRoad_act!E47*100)</f>
        <v>4.4541779168605684</v>
      </c>
      <c r="F77" s="141">
        <f>IF(F43=0,0,F43/TrRoad_act!F47*100)</f>
        <v>5.9681540823302495</v>
      </c>
      <c r="G77" s="141">
        <f>IF(G43=0,0,G43/TrRoad_act!G47*100)</f>
        <v>8.2146868928711783</v>
      </c>
      <c r="H77" s="141">
        <f>IF(H43=0,0,H43/TrRoad_act!H47*100)</f>
        <v>8.389639217130501</v>
      </c>
      <c r="I77" s="141">
        <f>IF(I43=0,0,I43/TrRoad_act!I47*100)</f>
        <v>7.6201744780141025</v>
      </c>
      <c r="J77" s="141">
        <f>IF(J43=0,0,J43/TrRoad_act!J47*100)</f>
        <v>7.2033376025035079</v>
      </c>
      <c r="K77" s="141">
        <f>IF(K43=0,0,K43/TrRoad_act!K47*100)</f>
        <v>6.3772630929897476</v>
      </c>
      <c r="L77" s="141">
        <f>IF(L43=0,0,L43/TrRoad_act!L47*100)</f>
        <v>6.2600487583002806</v>
      </c>
      <c r="M77" s="141">
        <f>IF(M43=0,0,M43/TrRoad_act!M47*100)</f>
        <v>5.7872664392333286</v>
      </c>
      <c r="N77" s="141">
        <f>IF(N43=0,0,N43/TrRoad_act!N47*100)</f>
        <v>5.560360866822653</v>
      </c>
      <c r="O77" s="141">
        <f>IF(O43=0,0,O43/TrRoad_act!O47*100)</f>
        <v>5.5569363847110038</v>
      </c>
      <c r="P77" s="141">
        <f>IF(P43=0,0,P43/TrRoad_act!P47*100)</f>
        <v>5.3969970607127067</v>
      </c>
      <c r="Q77" s="141">
        <f>IF(Q43=0,0,Q43/TrRoad_act!Q47*100)</f>
        <v>5.3644039757918049</v>
      </c>
      <c r="R77" s="141">
        <f>IF(R43=0,0,R43/TrRoad_act!R47*100)</f>
        <v>5.2540230710584712</v>
      </c>
      <c r="S77" s="141">
        <f>IF(S43=0,0,S43/TrRoad_act!S47*100)</f>
        <v>5.4649182920940236</v>
      </c>
      <c r="T77" s="141">
        <f>IF(T43=0,0,T43/TrRoad_act!T47*100)</f>
        <v>6.2824897399089101</v>
      </c>
      <c r="U77" s="141">
        <f>IF(U43=0,0,U43/TrRoad_act!U47*100)</f>
        <v>6.4148717952590832</v>
      </c>
      <c r="V77" s="141">
        <f>IF(V43=0,0,V43/TrRoad_act!V47*100)</f>
        <v>5.8401490975905235</v>
      </c>
      <c r="W77" s="141">
        <f>IF(W43=0,0,W43/TrRoad_act!W47*100)</f>
        <v>5.8506406146397634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7.7486212571605844</v>
      </c>
      <c r="C78" s="96">
        <f>IF(C44=0,0,C44/TrRoad_act!C48*100)</f>
        <v>7.5266260892642354</v>
      </c>
      <c r="D78" s="96">
        <f>IF(D44=0,0,D44/TrRoad_act!D48*100)</f>
        <v>7.676571976825536</v>
      </c>
      <c r="E78" s="96">
        <f>IF(E44=0,0,E44/TrRoad_act!E48*100)</f>
        <v>7.391134605053602</v>
      </c>
      <c r="F78" s="96">
        <f>IF(F44=0,0,F44/TrRoad_act!F48*100)</f>
        <v>7.0596251297906072</v>
      </c>
      <c r="G78" s="96">
        <f>IF(G44=0,0,G44/TrRoad_act!G48*100)</f>
        <v>6.9782758633741686</v>
      </c>
      <c r="H78" s="96">
        <f>IF(H44=0,0,H44/TrRoad_act!H48*100)</f>
        <v>6.8822344092803887</v>
      </c>
      <c r="I78" s="96">
        <f>IF(I44=0,0,I44/TrRoad_act!I48*100)</f>
        <v>6.9955746501869465</v>
      </c>
      <c r="J78" s="96">
        <f>IF(J44=0,0,J44/TrRoad_act!J48*100)</f>
        <v>7.1838537370768645</v>
      </c>
      <c r="K78" s="96">
        <f>IF(K44=0,0,K44/TrRoad_act!K48*100)</f>
        <v>6.7841490177402681</v>
      </c>
      <c r="L78" s="96">
        <f>IF(L44=0,0,L44/TrRoad_act!L48*100)</f>
        <v>7.1057080154685055</v>
      </c>
      <c r="M78" s="96">
        <f>IF(M44=0,0,M44/TrRoad_act!M48*100)</f>
        <v>7.1351902371698497</v>
      </c>
      <c r="N78" s="96">
        <f>IF(N44=0,0,N44/TrRoad_act!N48*100)</f>
        <v>7.1365968283166046</v>
      </c>
      <c r="O78" s="96">
        <f>IF(O44=0,0,O44/TrRoad_act!O48*100)</f>
        <v>7.0626113864303539</v>
      </c>
      <c r="P78" s="96">
        <f>IF(P44=0,0,P44/TrRoad_act!P48*100)</f>
        <v>6.8747421499557415</v>
      </c>
      <c r="Q78" s="96">
        <f>IF(Q44=0,0,Q44/TrRoad_act!Q48*100)</f>
        <v>6.8707325509322086</v>
      </c>
      <c r="R78" s="96">
        <f>IF(R44=0,0,R44/TrRoad_act!R48*100)</f>
        <v>6.7833480902390146</v>
      </c>
      <c r="S78" s="96">
        <f>IF(S44=0,0,S44/TrRoad_act!S48*100)</f>
        <v>6.7295178537414246</v>
      </c>
      <c r="T78" s="96">
        <f>IF(T44=0,0,T44/TrRoad_act!T48*100)</f>
        <v>6.8439788282120784</v>
      </c>
      <c r="U78" s="96">
        <f>IF(U44=0,0,U44/TrRoad_act!U48*100)</f>
        <v>6.8848949543428919</v>
      </c>
      <c r="V78" s="96">
        <f>IF(V44=0,0,V44/TrRoad_act!V48*100)</f>
        <v>6.7566691564333761</v>
      </c>
      <c r="W78" s="96">
        <f>IF(W44=0,0,W44/TrRoad_act!W48*100)</f>
        <v>6.9031917976107779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6.2319812536102495</v>
      </c>
      <c r="C79" s="96">
        <f>IF(C46=0,0,C46/TrRoad_act!C49*100)</f>
        <v>5.8246572003831965</v>
      </c>
      <c r="D79" s="96">
        <f>IF(D46=0,0,D46/TrRoad_act!D49*100)</f>
        <v>2.2489560569651741</v>
      </c>
      <c r="E79" s="96">
        <f>IF(E46=0,0,E46/TrRoad_act!E49*100)</f>
        <v>4.3408492858745742</v>
      </c>
      <c r="F79" s="96">
        <f>IF(F46=0,0,F46/TrRoad_act!F49*100)</f>
        <v>5.9266678066010918</v>
      </c>
      <c r="G79" s="96">
        <f>IF(G46=0,0,G46/TrRoad_act!G49*100)</f>
        <v>8.2619719632732114</v>
      </c>
      <c r="H79" s="96">
        <f>IF(H46=0,0,H46/TrRoad_act!H49*100)</f>
        <v>8.4445509111098431</v>
      </c>
      <c r="I79" s="96">
        <f>IF(I46=0,0,I46/TrRoad_act!I49*100)</f>
        <v>7.6406594631890767</v>
      </c>
      <c r="J79" s="96">
        <f>IF(J46=0,0,J46/TrRoad_act!J49*100)</f>
        <v>7.2044608611004923</v>
      </c>
      <c r="K79" s="96">
        <f>IF(K46=0,0,K46/TrRoad_act!K49*100)</f>
        <v>6.366389381445126</v>
      </c>
      <c r="L79" s="96">
        <f>IF(L46=0,0,L46/TrRoad_act!L49*100)</f>
        <v>6.2343060455784807</v>
      </c>
      <c r="M79" s="96">
        <f>IF(M46=0,0,M46/TrRoad_act!M49*100)</f>
        <v>5.7505730901607972</v>
      </c>
      <c r="N79" s="96">
        <f>IF(N46=0,0,N46/TrRoad_act!N49*100)</f>
        <v>5.5188759881739653</v>
      </c>
      <c r="O79" s="96">
        <f>IF(O46=0,0,O46/TrRoad_act!O49*100)</f>
        <v>5.5191921801239783</v>
      </c>
      <c r="P79" s="96">
        <f>IF(P46=0,0,P46/TrRoad_act!P49*100)</f>
        <v>5.3607516790376897</v>
      </c>
      <c r="Q79" s="96">
        <f>IF(Q46=0,0,Q46/TrRoad_act!Q49*100)</f>
        <v>5.3300608638315765</v>
      </c>
      <c r="R79" s="96">
        <f>IF(R46=0,0,R46/TrRoad_act!R49*100)</f>
        <v>5.2210578163331522</v>
      </c>
      <c r="S79" s="96">
        <f>IF(S46=0,0,S46/TrRoad_act!S49*100)</f>
        <v>5.4398955830026381</v>
      </c>
      <c r="T79" s="96">
        <f>IF(T46=0,0,T46/TrRoad_act!T49*100)</f>
        <v>6.2734167508917329</v>
      </c>
      <c r="U79" s="96">
        <f>IF(U46=0,0,U46/TrRoad_act!U49*100)</f>
        <v>6.4167977417554365</v>
      </c>
      <c r="V79" s="96">
        <f>IF(V46=0,0,V46/TrRoad_act!V49*100)</f>
        <v>5.8321409597168685</v>
      </c>
      <c r="W79" s="96">
        <f>IF(W46=0,0,W46/TrRoad_act!W49*100)</f>
        <v>5.838996312363653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8.8130544185388136</v>
      </c>
      <c r="T80" s="96">
        <f>IF(T48=0,0,T48/TrRoad_act!T50*100)</f>
        <v>8.8130544185388136</v>
      </c>
      <c r="U80" s="96">
        <f>IF(U48=0,0,U48/TrRoad_act!U50*100)</f>
        <v>8.2752744587149234</v>
      </c>
      <c r="V80" s="96">
        <f>IF(V48=0,0,V48/TrRoad_act!V50*100)</f>
        <v>8.2752744587149252</v>
      </c>
      <c r="W80" s="96">
        <f>IF(W48=0,0,W48/TrRoad_act!W50*100)</f>
        <v>8.2752744587149216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1.5163101021741605</v>
      </c>
      <c r="K82" s="96">
        <f>IF(K51=0,0,K51/TrRoad_act!K52*100)</f>
        <v>1.5163101021741605</v>
      </c>
      <c r="L82" s="96">
        <f>IF(L51=0,0,L51/TrRoad_act!L52*100)</f>
        <v>1.5193829908863346</v>
      </c>
      <c r="M82" s="96">
        <f>IF(M51=0,0,M51/TrRoad_act!M52*100)</f>
        <v>1.5226289875981378</v>
      </c>
      <c r="N82" s="96">
        <f>IF(N51=0,0,N51/TrRoad_act!N52*100)</f>
        <v>1.5226289875981376</v>
      </c>
      <c r="O82" s="96">
        <f>IF(O51=0,0,O51/TrRoad_act!O52*100)</f>
        <v>1.5471871673819946</v>
      </c>
      <c r="P82" s="96">
        <f>IF(P51=0,0,P51/TrRoad_act!P52*100)</f>
        <v>1.5516880107286892</v>
      </c>
      <c r="Q82" s="96">
        <f>IF(Q51=0,0,Q51/TrRoad_act!Q52*100)</f>
        <v>1.5698005239138022</v>
      </c>
      <c r="R82" s="96">
        <f>IF(R51=0,0,R51/TrRoad_act!R52*100)</f>
        <v>1.6109818040800319</v>
      </c>
      <c r="S82" s="96">
        <f>IF(S51=0,0,S51/TrRoad_act!S52*100)</f>
        <v>1.6897618895485875</v>
      </c>
      <c r="T82" s="96">
        <f>IF(T51=0,0,T51/TrRoad_act!T52*100)</f>
        <v>1.7508140001012351</v>
      </c>
      <c r="U82" s="96">
        <f>IF(U51=0,0,U51/TrRoad_act!U52*100)</f>
        <v>2.3229506933552924</v>
      </c>
      <c r="V82" s="96">
        <f>IF(V51=0,0,V51/TrRoad_act!V52*100)</f>
        <v>2.3285359641171679</v>
      </c>
      <c r="W82" s="96">
        <f>IF(W51=0,0,W51/TrRoad_act!W52*100)</f>
        <v>2.473745802209002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14.207619518775457</v>
      </c>
      <c r="C83" s="130">
        <f>IF(C52=0,0,C52/TrRoad_act!C53*100)</f>
        <v>13.426298109864829</v>
      </c>
      <c r="D83" s="130">
        <f>IF(D52=0,0,D52/TrRoad_act!D53*100)</f>
        <v>5.2662151853975496</v>
      </c>
      <c r="E83" s="130">
        <f>IF(E52=0,0,E52/TrRoad_act!E53*100)</f>
        <v>10.377988151903402</v>
      </c>
      <c r="F83" s="130">
        <f>IF(F52=0,0,F52/TrRoad_act!F53*100)</f>
        <v>14.401424779318864</v>
      </c>
      <c r="G83" s="130">
        <f>IF(G52=0,0,G52/TrRoad_act!G53*100)</f>
        <v>20.413253890909782</v>
      </c>
      <c r="H83" s="130">
        <f>IF(H52=0,0,H52/TrRoad_act!H53*100)</f>
        <v>21.394194260352741</v>
      </c>
      <c r="I83" s="130">
        <f>IF(I52=0,0,I52/TrRoad_act!I53*100)</f>
        <v>19.843561726657281</v>
      </c>
      <c r="J83" s="130">
        <f>IF(J52=0,0,J52/TrRoad_act!J53*100)</f>
        <v>19.113375589240757</v>
      </c>
      <c r="K83" s="130">
        <f>IF(K52=0,0,K52/TrRoad_act!K53*100)</f>
        <v>17.165089426791166</v>
      </c>
      <c r="L83" s="130">
        <f>IF(L52=0,0,L52/TrRoad_act!L53*100)</f>
        <v>17.150618169384604</v>
      </c>
      <c r="M83" s="130">
        <f>IF(M52=0,0,M52/TrRoad_act!M53*100)</f>
        <v>16.136614921890768</v>
      </c>
      <c r="N83" s="130">
        <f>IF(N52=0,0,N52/TrRoad_act!N53*100)</f>
        <v>15.805350750049469</v>
      </c>
      <c r="O83" s="130">
        <f>IF(O52=0,0,O52/TrRoad_act!O53*100)</f>
        <v>16.129108259944086</v>
      </c>
      <c r="P83" s="130">
        <f>IF(P52=0,0,P52/TrRoad_act!P53*100)</f>
        <v>15.962167557342433</v>
      </c>
      <c r="Q83" s="130">
        <f>IF(Q52=0,0,Q52/TrRoad_act!Q53*100)</f>
        <v>16.153502179664571</v>
      </c>
      <c r="R83" s="130">
        <f>IF(R52=0,0,R52/TrRoad_act!R53*100)</f>
        <v>16.106494952985191</v>
      </c>
      <c r="S83" s="130">
        <f>IF(S52=0,0,S52/TrRoad_act!S53*100)</f>
        <v>17.15948780054299</v>
      </c>
      <c r="T83" s="130">
        <f>IF(T52=0,0,T52/TrRoad_act!T53*100)</f>
        <v>20.118693269386505</v>
      </c>
      <c r="U83" s="130">
        <f>IF(U52=0,0,U52/TrRoad_act!U53*100)</f>
        <v>21.0059651089746</v>
      </c>
      <c r="V83" s="130">
        <f>IF(V52=0,0,V52/TrRoad_act!V53*100)</f>
        <v>19.191571260606576</v>
      </c>
      <c r="W83" s="130">
        <f>IF(W52=0,0,W52/TrRoad_act!W53*100)</f>
        <v>19.411583600296993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14.207619518775457</v>
      </c>
      <c r="C84" s="97">
        <f>IF(C53=0,0,C53/TrRoad_act!C54*100)</f>
        <v>13.426298109864829</v>
      </c>
      <c r="D84" s="97">
        <f>IF(D53=0,0,D53/TrRoad_act!D54*100)</f>
        <v>5.2662151853975496</v>
      </c>
      <c r="E84" s="97">
        <f>IF(E53=0,0,E53/TrRoad_act!E54*100)</f>
        <v>10.377988151903402</v>
      </c>
      <c r="F84" s="97">
        <f>IF(F53=0,0,F53/TrRoad_act!F54*100)</f>
        <v>14.401424779318864</v>
      </c>
      <c r="G84" s="97">
        <f>IF(G53=0,0,G53/TrRoad_act!G54*100)</f>
        <v>20.413253890909782</v>
      </c>
      <c r="H84" s="97">
        <f>IF(H53=0,0,H53/TrRoad_act!H54*100)</f>
        <v>21.394194260352741</v>
      </c>
      <c r="I84" s="97">
        <f>IF(I53=0,0,I53/TrRoad_act!I54*100)</f>
        <v>19.843561726657281</v>
      </c>
      <c r="J84" s="97">
        <f>IF(J53=0,0,J53/TrRoad_act!J54*100)</f>
        <v>19.113375589240757</v>
      </c>
      <c r="K84" s="97">
        <f>IF(K53=0,0,K53/TrRoad_act!K54*100)</f>
        <v>17.165089426791166</v>
      </c>
      <c r="L84" s="97">
        <f>IF(L53=0,0,L53/TrRoad_act!L54*100)</f>
        <v>17.150618169384604</v>
      </c>
      <c r="M84" s="97">
        <f>IF(M53=0,0,M53/TrRoad_act!M54*100)</f>
        <v>16.136614921890768</v>
      </c>
      <c r="N84" s="97">
        <f>IF(N53=0,0,N53/TrRoad_act!N54*100)</f>
        <v>15.805350750049469</v>
      </c>
      <c r="O84" s="97">
        <f>IF(O53=0,0,O53/TrRoad_act!O54*100)</f>
        <v>16.129108259944086</v>
      </c>
      <c r="P84" s="97">
        <f>IF(P53=0,0,P53/TrRoad_act!P54*100)</f>
        <v>15.962167557342433</v>
      </c>
      <c r="Q84" s="97">
        <f>IF(Q53=0,0,Q53/TrRoad_act!Q54*100)</f>
        <v>16.153502179664571</v>
      </c>
      <c r="R84" s="97">
        <f>IF(R53=0,0,R53/TrRoad_act!R54*100)</f>
        <v>16.106494952985191</v>
      </c>
      <c r="S84" s="97">
        <f>IF(S53=0,0,S53/TrRoad_act!S54*100)</f>
        <v>17.15948780054299</v>
      </c>
      <c r="T84" s="97">
        <f>IF(T53=0,0,T53/TrRoad_act!T54*100)</f>
        <v>20.118693269386505</v>
      </c>
      <c r="U84" s="97">
        <f>IF(U53=0,0,U53/TrRoad_act!U54*100)</f>
        <v>21.0059651089746</v>
      </c>
      <c r="V84" s="97">
        <f>IF(V53=0,0,V53/TrRoad_act!V54*100)</f>
        <v>19.191571260606576</v>
      </c>
      <c r="W84" s="97">
        <f>IF(W53=0,0,W53/TrRoad_act!W54*100)</f>
        <v>19.411583600296993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0</v>
      </c>
      <c r="C85" s="98">
        <f>IF(C55=0,0,C55/TrRoad_act!C55*100)</f>
        <v>0</v>
      </c>
      <c r="D85" s="98">
        <f>IF(D55=0,0,D55/TrRoad_act!D55*100)</f>
        <v>0</v>
      </c>
      <c r="E85" s="98">
        <f>IF(E55=0,0,E55/TrRoad_act!E55*100)</f>
        <v>0</v>
      </c>
      <c r="F85" s="98">
        <f>IF(F55=0,0,F55/TrRoad_act!F55*100)</f>
        <v>0</v>
      </c>
      <c r="G85" s="98">
        <f>IF(G55=0,0,G55/TrRoad_act!G55*100)</f>
        <v>0</v>
      </c>
      <c r="H85" s="98">
        <f>IF(H55=0,0,H55/TrRoad_act!H55*100)</f>
        <v>0</v>
      </c>
      <c r="I85" s="98">
        <f>IF(I55=0,0,I55/TrRoad_act!I55*100)</f>
        <v>0</v>
      </c>
      <c r="J85" s="98">
        <f>IF(J55=0,0,J55/TrRoad_act!J55*100)</f>
        <v>0</v>
      </c>
      <c r="K85" s="98">
        <f>IF(K55=0,0,K55/TrRoad_act!K55*100)</f>
        <v>0</v>
      </c>
      <c r="L85" s="98">
        <f>IF(L55=0,0,L55/TrRoad_act!L55*100)</f>
        <v>0</v>
      </c>
      <c r="M85" s="98">
        <f>IF(M55=0,0,M55/TrRoad_act!M55*100)</f>
        <v>0</v>
      </c>
      <c r="N85" s="98">
        <f>IF(N55=0,0,N55/TrRoad_act!N55*100)</f>
        <v>0</v>
      </c>
      <c r="O85" s="98">
        <f>IF(O55=0,0,O55/TrRoad_act!O55*100)</f>
        <v>0</v>
      </c>
      <c r="P85" s="98">
        <f>IF(P55=0,0,P55/TrRoad_act!P55*100)</f>
        <v>0</v>
      </c>
      <c r="Q85" s="98">
        <f>IF(Q55=0,0,Q55/TrRoad_act!Q55*100)</f>
        <v>0</v>
      </c>
      <c r="R85" s="98">
        <f>IF(R55=0,0,R55/TrRoad_act!R55*100)</f>
        <v>0</v>
      </c>
      <c r="S85" s="98">
        <f>IF(S55=0,0,S55/TrRoad_act!S55*100)</f>
        <v>0</v>
      </c>
      <c r="T85" s="98">
        <f>IF(T55=0,0,T55/TrRoad_act!T55*100)</f>
        <v>0</v>
      </c>
      <c r="U85" s="98">
        <f>IF(U55=0,0,U55/TrRoad_act!U55*100)</f>
        <v>0</v>
      </c>
      <c r="V85" s="98">
        <f>IF(V55=0,0,V55/TrRoad_act!V55*100)</f>
        <v>0</v>
      </c>
      <c r="W85" s="98">
        <f>IF(W55=0,0,W55/TrRoad_act!W55*100)</f>
        <v>0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41.115532318591491</v>
      </c>
      <c r="C88" s="29">
        <f>IF(TrRoad_act!C4=0,0,C18/TrRoad_act!C4*1000)</f>
        <v>39.038952341946185</v>
      </c>
      <c r="D88" s="29">
        <f>IF(TrRoad_act!D4=0,0,D18/TrRoad_act!D4*1000)</f>
        <v>36.684050631240716</v>
      </c>
      <c r="E88" s="29">
        <f>IF(TrRoad_act!E4=0,0,E18/TrRoad_act!E4*1000)</f>
        <v>37.194136951945843</v>
      </c>
      <c r="F88" s="29">
        <f>IF(TrRoad_act!F4=0,0,F18/TrRoad_act!F4*1000)</f>
        <v>34.240016581324255</v>
      </c>
      <c r="G88" s="29">
        <f>IF(TrRoad_act!G4=0,0,G18/TrRoad_act!G4*1000)</f>
        <v>40.066254516755237</v>
      </c>
      <c r="H88" s="29">
        <f>IF(TrRoad_act!H4=0,0,H18/TrRoad_act!H4*1000)</f>
        <v>40.3270018780686</v>
      </c>
      <c r="I88" s="29">
        <f>IF(TrRoad_act!I4=0,0,I18/TrRoad_act!I4*1000)</f>
        <v>40.06438821892143</v>
      </c>
      <c r="J88" s="29">
        <f>IF(TrRoad_act!J4=0,0,J18/TrRoad_act!J4*1000)</f>
        <v>45.295459720076188</v>
      </c>
      <c r="K88" s="29">
        <f>IF(TrRoad_act!K4=0,0,K18/TrRoad_act!K4*1000)</f>
        <v>39.239090453920149</v>
      </c>
      <c r="L88" s="29">
        <f>IF(TrRoad_act!L4=0,0,L18/TrRoad_act!L4*1000)</f>
        <v>45.189352552487314</v>
      </c>
      <c r="M88" s="29">
        <f>IF(TrRoad_act!M4=0,0,M18/TrRoad_act!M4*1000)</f>
        <v>45.664046945027515</v>
      </c>
      <c r="N88" s="29">
        <f>IF(TrRoad_act!N4=0,0,N18/TrRoad_act!N4*1000)</f>
        <v>46.540012816079916</v>
      </c>
      <c r="O88" s="29">
        <f>IF(TrRoad_act!O4=0,0,O18/TrRoad_act!O4*1000)</f>
        <v>47.417069147761197</v>
      </c>
      <c r="P88" s="29">
        <f>IF(TrRoad_act!P4=0,0,P18/TrRoad_act!P4*1000)</f>
        <v>47.022718569503979</v>
      </c>
      <c r="Q88" s="29">
        <f>IF(TrRoad_act!Q4=0,0,Q18/TrRoad_act!Q4*1000)</f>
        <v>48.109232328464309</v>
      </c>
      <c r="R88" s="29">
        <f>IF(TrRoad_act!R4=0,0,R18/TrRoad_act!R4*1000)</f>
        <v>47.023947309910383</v>
      </c>
      <c r="S88" s="29">
        <f>IF(TrRoad_act!S4=0,0,S18/TrRoad_act!S4*1000)</f>
        <v>47.580162548758423</v>
      </c>
      <c r="T88" s="29">
        <f>IF(TrRoad_act!T4=0,0,T18/TrRoad_act!T4*1000)</f>
        <v>51.949048032063118</v>
      </c>
      <c r="U88" s="29">
        <f>IF(TrRoad_act!U4=0,0,U18/TrRoad_act!U4*1000)</f>
        <v>52.556693412606158</v>
      </c>
      <c r="V88" s="29">
        <f>IF(TrRoad_act!V4=0,0,V18/TrRoad_act!V4*1000)</f>
        <v>50.95281012783849</v>
      </c>
      <c r="W88" s="29">
        <f>IF(TrRoad_act!W4=0,0,W18/TrRoad_act!W4*1000)</f>
        <v>49.81550008644794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35.863629377430968</v>
      </c>
      <c r="C89" s="152">
        <f>IF(TrRoad_act!C5=0,0,C19/TrRoad_act!C5*1000)</f>
        <v>35.723074502371489</v>
      </c>
      <c r="D89" s="152">
        <f>IF(TrRoad_act!D5=0,0,D19/TrRoad_act!D5*1000)</f>
        <v>35.587562494191218</v>
      </c>
      <c r="E89" s="152">
        <f>IF(TrRoad_act!E5=0,0,E19/TrRoad_act!E5*1000)</f>
        <v>35.437735119360553</v>
      </c>
      <c r="F89" s="152">
        <f>IF(TrRoad_act!F5=0,0,F19/TrRoad_act!F5*1000)</f>
        <v>35.302377231443785</v>
      </c>
      <c r="G89" s="152">
        <f>IF(TrRoad_act!G5=0,0,G19/TrRoad_act!G5*1000)</f>
        <v>35.171580880065662</v>
      </c>
      <c r="H89" s="152">
        <f>IF(TrRoad_act!H5=0,0,H19/TrRoad_act!H5*1000)</f>
        <v>34.961175508547747</v>
      </c>
      <c r="I89" s="152">
        <f>IF(TrRoad_act!I5=0,0,I19/TrRoad_act!I5*1000)</f>
        <v>34.674254029390212</v>
      </c>
      <c r="J89" s="152">
        <f>IF(TrRoad_act!J5=0,0,J19/TrRoad_act!J5*1000)</f>
        <v>34.127008497391607</v>
      </c>
      <c r="K89" s="152">
        <f>IF(TrRoad_act!K5=0,0,K19/TrRoad_act!K5*1000)</f>
        <v>33.626209296833942</v>
      </c>
      <c r="L89" s="152">
        <f>IF(TrRoad_act!L5=0,0,L19/TrRoad_act!L5*1000)</f>
        <v>33.093809029591107</v>
      </c>
      <c r="M89" s="152">
        <f>IF(TrRoad_act!M5=0,0,M19/TrRoad_act!M5*1000)</f>
        <v>32.605835769081295</v>
      </c>
      <c r="N89" s="152">
        <f>IF(TrRoad_act!N5=0,0,N19/TrRoad_act!N5*1000)</f>
        <v>32.150039642949757</v>
      </c>
      <c r="O89" s="152">
        <f>IF(TrRoad_act!O5=0,0,O19/TrRoad_act!O5*1000)</f>
        <v>31.682183499079585</v>
      </c>
      <c r="P89" s="152">
        <f>IF(TrRoad_act!P5=0,0,P19/TrRoad_act!P5*1000)</f>
        <v>31.054202377387291</v>
      </c>
      <c r="Q89" s="152">
        <f>IF(TrRoad_act!Q5=0,0,Q19/TrRoad_act!Q5*1000)</f>
        <v>30.368426984923396</v>
      </c>
      <c r="R89" s="152">
        <f>IF(TrRoad_act!R5=0,0,R19/TrRoad_act!R5*1000)</f>
        <v>29.677951346582812</v>
      </c>
      <c r="S89" s="152">
        <f>IF(TrRoad_act!S5=0,0,S19/TrRoad_act!S5*1000)</f>
        <v>29.406996841140707</v>
      </c>
      <c r="T89" s="152">
        <f>IF(TrRoad_act!T5=0,0,T19/TrRoad_act!T5*1000)</f>
        <v>30.323059030383863</v>
      </c>
      <c r="U89" s="152">
        <f>IF(TrRoad_act!U5=0,0,U19/TrRoad_act!U5*1000)</f>
        <v>30.013277291600662</v>
      </c>
      <c r="V89" s="152">
        <f>IF(TrRoad_act!V5=0,0,V19/TrRoad_act!V5*1000)</f>
        <v>28.332641079887956</v>
      </c>
      <c r="W89" s="152">
        <f>IF(TrRoad_act!W5=0,0,W19/TrRoad_act!W5*1000)</f>
        <v>26.234706252956972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45.419112044098981</v>
      </c>
      <c r="C90" s="116">
        <f>IF(TrRoad_act!C6=0,0,C21/TrRoad_act!C6*1000)</f>
        <v>43.198382275207663</v>
      </c>
      <c r="D90" s="116">
        <f>IF(TrRoad_act!D6=0,0,D21/TrRoad_act!D6*1000)</f>
        <v>43.8439376965176</v>
      </c>
      <c r="E90" s="116">
        <f>IF(TrRoad_act!E6=0,0,E21/TrRoad_act!E6*1000)</f>
        <v>42.149383463849048</v>
      </c>
      <c r="F90" s="116">
        <f>IF(TrRoad_act!F6=0,0,F21/TrRoad_act!F6*1000)</f>
        <v>36.533802651433106</v>
      </c>
      <c r="G90" s="116">
        <f>IF(TrRoad_act!G6=0,0,G21/TrRoad_act!G6*1000)</f>
        <v>41.162254072578037</v>
      </c>
      <c r="H90" s="116">
        <f>IF(TrRoad_act!H6=0,0,H21/TrRoad_act!H6*1000)</f>
        <v>41.003828327883518</v>
      </c>
      <c r="I90" s="116">
        <f>IF(TrRoad_act!I6=0,0,I21/TrRoad_act!I6*1000)</f>
        <v>41.240307846813458</v>
      </c>
      <c r="J90" s="116">
        <f>IF(TrRoad_act!J6=0,0,J21/TrRoad_act!J6*1000)</f>
        <v>47.939513371342407</v>
      </c>
      <c r="K90" s="116">
        <f>IF(TrRoad_act!K6=0,0,K21/TrRoad_act!K6*1000)</f>
        <v>40.998297151857898</v>
      </c>
      <c r="L90" s="116">
        <f>IF(TrRoad_act!L6=0,0,L21/TrRoad_act!L6*1000)</f>
        <v>47.960344608139629</v>
      </c>
      <c r="M90" s="116">
        <f>IF(TrRoad_act!M6=0,0,M21/TrRoad_act!M6*1000)</f>
        <v>47.906010594372979</v>
      </c>
      <c r="N90" s="116">
        <f>IF(TrRoad_act!N6=0,0,N21/TrRoad_act!N6*1000)</f>
        <v>47.834359764211754</v>
      </c>
      <c r="O90" s="116">
        <f>IF(TrRoad_act!O6=0,0,O21/TrRoad_act!O6*1000)</f>
        <v>48.413343036968151</v>
      </c>
      <c r="P90" s="116">
        <f>IF(TrRoad_act!P6=0,0,P21/TrRoad_act!P6*1000)</f>
        <v>46.52385685495917</v>
      </c>
      <c r="Q90" s="116">
        <f>IF(TrRoad_act!Q6=0,0,Q21/TrRoad_act!Q6*1000)</f>
        <v>47.500002715990661</v>
      </c>
      <c r="R90" s="116">
        <f>IF(TrRoad_act!R6=0,0,R21/TrRoad_act!R6*1000)</f>
        <v>46.481136638034315</v>
      </c>
      <c r="S90" s="116">
        <f>IF(TrRoad_act!S6=0,0,S21/TrRoad_act!S6*1000)</f>
        <v>46.499289999376501</v>
      </c>
      <c r="T90" s="116">
        <f>IF(TrRoad_act!T6=0,0,T21/TrRoad_act!T6*1000)</f>
        <v>49.980949025369178</v>
      </c>
      <c r="U90" s="116">
        <f>IF(TrRoad_act!U6=0,0,U21/TrRoad_act!U6*1000)</f>
        <v>51.210821278716971</v>
      </c>
      <c r="V90" s="116">
        <f>IF(TrRoad_act!V6=0,0,V21/TrRoad_act!V6*1000)</f>
        <v>48.799282267807307</v>
      </c>
      <c r="W90" s="116">
        <f>IF(TrRoad_act!W6=0,0,W21/TrRoad_act!W6*1000)</f>
        <v>49.058935957224776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48.073745743928278</v>
      </c>
      <c r="C91" s="87">
        <f>IF(TrRoad_act!C7=0,0,C22/TrRoad_act!C7*1000)</f>
        <v>45.955450168122795</v>
      </c>
      <c r="D91" s="87">
        <f>IF(TrRoad_act!D7=0,0,D22/TrRoad_act!D7*1000)</f>
        <v>50.565149930644189</v>
      </c>
      <c r="E91" s="87">
        <f>IF(TrRoad_act!E7=0,0,E22/TrRoad_act!E7*1000)</f>
        <v>46.220761853684088</v>
      </c>
      <c r="F91" s="87">
        <f>IF(TrRoad_act!F7=0,0,F22/TrRoad_act!F7*1000)</f>
        <v>37.823826643327315</v>
      </c>
      <c r="G91" s="87">
        <f>IF(TrRoad_act!G7=0,0,G22/TrRoad_act!G7*1000)</f>
        <v>39.703653792177711</v>
      </c>
      <c r="H91" s="87">
        <f>IF(TrRoad_act!H7=0,0,H22/TrRoad_act!H7*1000)</f>
        <v>38.816364348203784</v>
      </c>
      <c r="I91" s="87">
        <f>IF(TrRoad_act!I7=0,0,I22/TrRoad_act!I7*1000)</f>
        <v>40.361670608101576</v>
      </c>
      <c r="J91" s="87">
        <f>IF(TrRoad_act!J7=0,0,J22/TrRoad_act!J7*1000)</f>
        <v>48.398641611936362</v>
      </c>
      <c r="K91" s="87">
        <f>IF(TrRoad_act!K7=0,0,K22/TrRoad_act!K7*1000)</f>
        <v>40.713642371036279</v>
      </c>
      <c r="L91" s="87">
        <f>IF(TrRoad_act!L7=0,0,L22/TrRoad_act!L7*1000)</f>
        <v>50.721650011307268</v>
      </c>
      <c r="M91" s="87">
        <f>IF(TrRoad_act!M7=0,0,M22/TrRoad_act!M7*1000)</f>
        <v>52.536888154954703</v>
      </c>
      <c r="N91" s="87">
        <f>IF(TrRoad_act!N7=0,0,N22/TrRoad_act!N7*1000)</f>
        <v>53.445326189877697</v>
      </c>
      <c r="O91" s="87">
        <f>IF(TrRoad_act!O7=0,0,O22/TrRoad_act!O7*1000)</f>
        <v>54.097111394039992</v>
      </c>
      <c r="P91" s="87">
        <f>IF(TrRoad_act!P7=0,0,P22/TrRoad_act!P7*1000)</f>
        <v>51.308263105045569</v>
      </c>
      <c r="Q91" s="87">
        <f>IF(TrRoad_act!Q7=0,0,Q22/TrRoad_act!Q7*1000)</f>
        <v>52.986016664767718</v>
      </c>
      <c r="R91" s="87">
        <f>IF(TrRoad_act!R7=0,0,R22/TrRoad_act!R7*1000)</f>
        <v>51.902989766683987</v>
      </c>
      <c r="S91" s="87">
        <f>IF(TrRoad_act!S7=0,0,S22/TrRoad_act!S7*1000)</f>
        <v>50.784431948956822</v>
      </c>
      <c r="T91" s="87">
        <f>IF(TrRoad_act!T7=0,0,T22/TrRoad_act!T7*1000)</f>
        <v>52.212138077613581</v>
      </c>
      <c r="U91" s="87">
        <f>IF(TrRoad_act!U7=0,0,U22/TrRoad_act!U7*1000)</f>
        <v>54.522989518363694</v>
      </c>
      <c r="V91" s="87">
        <f>IF(TrRoad_act!V7=0,0,V22/TrRoad_act!V7*1000)</f>
        <v>53.350531599517481</v>
      </c>
      <c r="W91" s="87">
        <f>IF(TrRoad_act!W7=0,0,W22/TrRoad_act!W7*1000)</f>
        <v>54.470084721190361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30.681420920180077</v>
      </c>
      <c r="C92" s="87">
        <f>IF(TrRoad_act!C8=0,0,C24/TrRoad_act!C8*1000)</f>
        <v>29.399505048514985</v>
      </c>
      <c r="D92" s="87">
        <f>IF(TrRoad_act!D8=0,0,D24/TrRoad_act!D8*1000)</f>
        <v>11.724447110188109</v>
      </c>
      <c r="E92" s="87">
        <f>IF(TrRoad_act!E8=0,0,E24/TrRoad_act!E8*1000)</f>
        <v>23.510317722322423</v>
      </c>
      <c r="F92" s="87">
        <f>IF(TrRoad_act!F8=0,0,F24/TrRoad_act!F8*1000)</f>
        <v>31.150989700633666</v>
      </c>
      <c r="G92" s="87">
        <f>IF(TrRoad_act!G8=0,0,G24/TrRoad_act!G8*1000)</f>
        <v>47.754684614220018</v>
      </c>
      <c r="H92" s="87">
        <f>IF(TrRoad_act!H8=0,0,H24/TrRoad_act!H8*1000)</f>
        <v>50.759136951073394</v>
      </c>
      <c r="I92" s="87">
        <f>IF(TrRoad_act!I8=0,0,I24/TrRoad_act!I8*1000)</f>
        <v>44.835043642076641</v>
      </c>
      <c r="J92" s="87">
        <f>IF(TrRoad_act!J8=0,0,J24/TrRoad_act!J8*1000)</f>
        <v>46.003936661579054</v>
      </c>
      <c r="K92" s="87">
        <f>IF(TrRoad_act!K8=0,0,K24/TrRoad_act!K8*1000)</f>
        <v>42.198415371066197</v>
      </c>
      <c r="L92" s="87">
        <f>IF(TrRoad_act!L8=0,0,L24/TrRoad_act!L8*1000)</f>
        <v>42.982534186668701</v>
      </c>
      <c r="M92" s="87">
        <f>IF(TrRoad_act!M8=0,0,M24/TrRoad_act!M8*1000)</f>
        <v>40.55464435850493</v>
      </c>
      <c r="N92" s="87">
        <f>IF(TrRoad_act!N8=0,0,N24/TrRoad_act!N8*1000)</f>
        <v>39.701942912834106</v>
      </c>
      <c r="O92" s="87">
        <f>IF(TrRoad_act!O8=0,0,O24/TrRoad_act!O8*1000)</f>
        <v>40.581988849590189</v>
      </c>
      <c r="P92" s="87">
        <f>IF(TrRoad_act!P8=0,0,P24/TrRoad_act!P8*1000)</f>
        <v>39.942910784740327</v>
      </c>
      <c r="Q92" s="87">
        <f>IF(TrRoad_act!Q8=0,0,Q24/TrRoad_act!Q8*1000)</f>
        <v>40.203725270973678</v>
      </c>
      <c r="R92" s="87">
        <f>IF(TrRoad_act!R8=0,0,R24/TrRoad_act!R8*1000)</f>
        <v>39.413524484946912</v>
      </c>
      <c r="S92" s="87">
        <f>IF(TrRoad_act!S8=0,0,S24/TrRoad_act!S8*1000)</f>
        <v>40.577633842084907</v>
      </c>
      <c r="T92" s="87">
        <f>IF(TrRoad_act!T8=0,0,T24/TrRoad_act!T8*1000)</f>
        <v>47.126049852698848</v>
      </c>
      <c r="U92" s="87">
        <f>IF(TrRoad_act!U8=0,0,U24/TrRoad_act!U8*1000)</f>
        <v>47.490216795106633</v>
      </c>
      <c r="V92" s="87">
        <f>IF(TrRoad_act!V8=0,0,V24/TrRoad_act!V8*1000)</f>
        <v>43.783466208296822</v>
      </c>
      <c r="W92" s="87">
        <f>IF(TrRoad_act!W8=0,0,W24/TrRoad_act!W8*1000)</f>
        <v>43.117382690938499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0</v>
      </c>
      <c r="I93" s="87">
        <f>IF(TrRoad_act!I9=0,0,I26/TrRoad_act!I9*1000)</f>
        <v>0</v>
      </c>
      <c r="J93" s="87">
        <f>IF(TrRoad_act!J9=0,0,J26/TrRoad_act!J9*1000)</f>
        <v>0</v>
      </c>
      <c r="K93" s="87">
        <f>IF(TrRoad_act!K9=0,0,K26/TrRoad_act!K9*1000)</f>
        <v>0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44.10553638493856</v>
      </c>
      <c r="S93" s="87">
        <f>IF(TrRoad_act!S9=0,0,S26/TrRoad_act!S9*1000)</f>
        <v>48.517567011103189</v>
      </c>
      <c r="T93" s="87">
        <f>IF(TrRoad_act!T9=0,0,T26/TrRoad_act!T9*1000)</f>
        <v>67.556810679436794</v>
      </c>
      <c r="U93" s="87">
        <f>IF(TrRoad_act!U9=0,0,U26/TrRoad_act!U9*1000)</f>
        <v>48.454976425275952</v>
      </c>
      <c r="V93" s="87">
        <f>IF(TrRoad_act!V9=0,0,V26/TrRoad_act!V9*1000)</f>
        <v>55.875560643609326</v>
      </c>
      <c r="W93" s="87">
        <f>IF(TrRoad_act!W9=0,0,W26/TrRoad_act!W9*1000)</f>
        <v>63.942900894629801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41.309640509237028</v>
      </c>
      <c r="M95" s="87">
        <f>IF(TrRoad_act!M11=0,0,M29/TrRoad_act!M11*1000)</f>
        <v>42.287774057629363</v>
      </c>
      <c r="N95" s="87">
        <f>IF(TrRoad_act!N11=0,0,N29/TrRoad_act!N11*1000)</f>
        <v>41.26881779346644</v>
      </c>
      <c r="O95" s="87">
        <f>IF(TrRoad_act!O11=0,0,O29/TrRoad_act!O11*1000)</f>
        <v>45.344890413158005</v>
      </c>
      <c r="P95" s="87">
        <f>IF(TrRoad_act!P11=0,0,P29/TrRoad_act!P11*1000)</f>
        <v>46.266109982711733</v>
      </c>
      <c r="Q95" s="87">
        <f>IF(TrRoad_act!Q11=0,0,Q29/TrRoad_act!Q11*1000)</f>
        <v>45.962375514742703</v>
      </c>
      <c r="R95" s="87">
        <f>IF(TrRoad_act!R11=0,0,R29/TrRoad_act!R11*1000)</f>
        <v>45.636605483273236</v>
      </c>
      <c r="S95" s="87">
        <f>IF(TrRoad_act!S11=0,0,S29/TrRoad_act!S11*1000)</f>
        <v>45.023760746111513</v>
      </c>
      <c r="T95" s="87">
        <f>IF(TrRoad_act!T11=0,0,T29/TrRoad_act!T11*1000)</f>
        <v>46.950705371691079</v>
      </c>
      <c r="U95" s="87">
        <f>IF(TrRoad_act!U11=0,0,U29/TrRoad_act!U11*1000)</f>
        <v>47.336896624418841</v>
      </c>
      <c r="V95" s="87">
        <f>IF(TrRoad_act!V11=0,0,V29/TrRoad_act!V11*1000)</f>
        <v>45.317716680073474</v>
      </c>
      <c r="W95" s="87">
        <f>IF(TrRoad_act!W11=0,0,W29/TrRoad_act!W11*1000)</f>
        <v>41.406739127823485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11.010329167365038</v>
      </c>
      <c r="F96" s="87">
        <f>IF(TrRoad_act!F12=0,0,F32/TrRoad_act!F12*1000)</f>
        <v>10.453969522936886</v>
      </c>
      <c r="G96" s="87">
        <f>IF(TrRoad_act!G12=0,0,G32/TrRoad_act!G12*1000)</f>
        <v>11.282227984721438</v>
      </c>
      <c r="H96" s="87">
        <f>IF(TrRoad_act!H12=0,0,H32/TrRoad_act!H12*1000)</f>
        <v>11.402535111942111</v>
      </c>
      <c r="I96" s="87">
        <f>IF(TrRoad_act!I12=0,0,I32/TrRoad_act!I12*1000)</f>
        <v>10.741558654829921</v>
      </c>
      <c r="J96" s="87">
        <f>IF(TrRoad_act!J12=0,0,J32/TrRoad_act!J12*1000)</f>
        <v>11.412019905104154</v>
      </c>
      <c r="K96" s="87">
        <f>IF(TrRoad_act!K12=0,0,K32/TrRoad_act!K12*1000)</f>
        <v>11.635912509170694</v>
      </c>
      <c r="L96" s="87">
        <f>IF(TrRoad_act!L12=0,0,L32/TrRoad_act!L12*1000)</f>
        <v>11.724133507443931</v>
      </c>
      <c r="M96" s="87">
        <f>IF(TrRoad_act!M12=0,0,M32/TrRoad_act!M12*1000)</f>
        <v>11.726057199550887</v>
      </c>
      <c r="N96" s="87">
        <f>IF(TrRoad_act!N12=0,0,N32/TrRoad_act!N12*1000)</f>
        <v>11.498150962632797</v>
      </c>
      <c r="O96" s="87">
        <f>IF(TrRoad_act!O12=0,0,O32/TrRoad_act!O12*1000)</f>
        <v>11.398552219594841</v>
      </c>
      <c r="P96" s="87">
        <f>IF(TrRoad_act!P12=0,0,P32/TrRoad_act!P12*1000)</f>
        <v>11.654456967759897</v>
      </c>
      <c r="Q96" s="87">
        <f>IF(TrRoad_act!Q12=0,0,Q32/TrRoad_act!Q12*1000)</f>
        <v>12.144232197712942</v>
      </c>
      <c r="R96" s="87">
        <f>IF(TrRoad_act!R12=0,0,R32/TrRoad_act!R12*1000)</f>
        <v>12.283328916884278</v>
      </c>
      <c r="S96" s="87">
        <f>IF(TrRoad_act!S12=0,0,S32/TrRoad_act!S12*1000)</f>
        <v>11.60064482391129</v>
      </c>
      <c r="T96" s="87">
        <f>IF(TrRoad_act!T12=0,0,T32/TrRoad_act!T12*1000)</f>
        <v>11.565782398197221</v>
      </c>
      <c r="U96" s="87">
        <f>IF(TrRoad_act!U12=0,0,U32/TrRoad_act!U12*1000)</f>
        <v>13.036730075892352</v>
      </c>
      <c r="V96" s="87">
        <f>IF(TrRoad_act!V12=0,0,V32/TrRoad_act!V12*1000)</f>
        <v>14.777295896938348</v>
      </c>
      <c r="W96" s="87">
        <f>IF(TrRoad_act!W12=0,0,W32/TrRoad_act!W12*1000)</f>
        <v>15.08521308580573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24.63960236281341</v>
      </c>
      <c r="C97" s="116">
        <f>IF(TrRoad_act!C13=0,0,C33/TrRoad_act!C13*1000)</f>
        <v>23.342011667093971</v>
      </c>
      <c r="D97" s="116">
        <f>IF(TrRoad_act!D13=0,0,D33/TrRoad_act!D13*1000)</f>
        <v>9.1669163236430169</v>
      </c>
      <c r="E97" s="116">
        <f>IF(TrRoad_act!E13=0,0,E33/TrRoad_act!E13*1000)</f>
        <v>18.10593788364044</v>
      </c>
      <c r="F97" s="116">
        <f>IF(TrRoad_act!F13=0,0,F33/TrRoad_act!F13*1000)</f>
        <v>25.224378669181963</v>
      </c>
      <c r="G97" s="116">
        <f>IF(TrRoad_act!G13=0,0,G33/TrRoad_act!G13*1000)</f>
        <v>35.90072681279355</v>
      </c>
      <c r="H97" s="116">
        <f>IF(TrRoad_act!H13=0,0,H33/TrRoad_act!H13*1000)</f>
        <v>37.891020444443875</v>
      </c>
      <c r="I97" s="116">
        <f>IF(TrRoad_act!I13=0,0,I33/TrRoad_act!I13*1000)</f>
        <v>35.526018854216623</v>
      </c>
      <c r="J97" s="116">
        <f>IF(TrRoad_act!J13=0,0,J33/TrRoad_act!J13*1000)</f>
        <v>34.962227122156136</v>
      </c>
      <c r="K97" s="116">
        <f>IF(TrRoad_act!K13=0,0,K33/TrRoad_act!K13*1000)</f>
        <v>31.686459087099752</v>
      </c>
      <c r="L97" s="116">
        <f>IF(TrRoad_act!L13=0,0,L33/TrRoad_act!L13*1000)</f>
        <v>33.913130661872131</v>
      </c>
      <c r="M97" s="116">
        <f>IF(TrRoad_act!M13=0,0,M33/TrRoad_act!M13*1000)</f>
        <v>36.253454939735576</v>
      </c>
      <c r="N97" s="116">
        <f>IF(TrRoad_act!N13=0,0,N33/TrRoad_act!N13*1000)</f>
        <v>41.674085615520831</v>
      </c>
      <c r="O97" s="116">
        <f>IF(TrRoad_act!O13=0,0,O33/TrRoad_act!O13*1000)</f>
        <v>43.994270751184757</v>
      </c>
      <c r="P97" s="116">
        <f>IF(TrRoad_act!P13=0,0,P33/TrRoad_act!P13*1000)</f>
        <v>51.002052237505652</v>
      </c>
      <c r="Q97" s="116">
        <f>IF(TrRoad_act!Q13=0,0,Q33/TrRoad_act!Q13*1000)</f>
        <v>52.542805019682795</v>
      </c>
      <c r="R97" s="116">
        <f>IF(TrRoad_act!R13=0,0,R33/TrRoad_act!R13*1000)</f>
        <v>51.295024345089054</v>
      </c>
      <c r="S97" s="116">
        <f>IF(TrRoad_act!S13=0,0,S33/TrRoad_act!S13*1000)</f>
        <v>54.330663069377017</v>
      </c>
      <c r="T97" s="116">
        <f>IF(TrRoad_act!T13=0,0,T33/TrRoad_act!T13*1000)</f>
        <v>63.070068387314357</v>
      </c>
      <c r="U97" s="116">
        <f>IF(TrRoad_act!U13=0,0,U33/TrRoad_act!U13*1000)</f>
        <v>60.583925553944951</v>
      </c>
      <c r="V97" s="116">
        <f>IF(TrRoad_act!V13=0,0,V33/TrRoad_act!V13*1000)</f>
        <v>67.035424308631391</v>
      </c>
      <c r="W97" s="116">
        <f>IF(TrRoad_act!W13=0,0,W33/TrRoad_act!W13*1000)</f>
        <v>57.27674918083806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20.607530603102461</v>
      </c>
      <c r="M98" s="101">
        <f>IF(TrRoad_act!M14=0,0,M34/TrRoad_act!M14*1000)</f>
        <v>20.874961740453134</v>
      </c>
      <c r="N98" s="101">
        <f>IF(TrRoad_act!N14=0,0,N34/TrRoad_act!N14*1000)</f>
        <v>21.080842616889573</v>
      </c>
      <c r="O98" s="101">
        <f>IF(TrRoad_act!O14=0,0,O34/TrRoad_act!O14*1000)</f>
        <v>21.12679620164327</v>
      </c>
      <c r="P98" s="101">
        <f>IF(TrRoad_act!P14=0,0,P34/TrRoad_act!P14*1000)</f>
        <v>21.296232592674862</v>
      </c>
      <c r="Q98" s="101">
        <f>IF(TrRoad_act!Q14=0,0,Q34/TrRoad_act!Q14*1000)</f>
        <v>21.327392478619736</v>
      </c>
      <c r="R98" s="101">
        <f>IF(TrRoad_act!R14=0,0,R34/TrRoad_act!R14*1000)</f>
        <v>21.321524057915582</v>
      </c>
      <c r="S98" s="101">
        <f>IF(TrRoad_act!S14=0,0,S34/TrRoad_act!S14*1000)</f>
        <v>21.32693347945629</v>
      </c>
      <c r="T98" s="101">
        <f>IF(TrRoad_act!T14=0,0,T34/TrRoad_act!T14*1000)</f>
        <v>20.9831412006424</v>
      </c>
      <c r="U98" s="101">
        <f>IF(TrRoad_act!U14=0,0,U34/TrRoad_act!U14*1000)</f>
        <v>20.354604667101167</v>
      </c>
      <c r="V98" s="101">
        <f>IF(TrRoad_act!V14=0,0,V34/TrRoad_act!V14*1000)</f>
        <v>20.381560355414965</v>
      </c>
      <c r="W98" s="101">
        <f>IF(TrRoad_act!W14=0,0,W34/TrRoad_act!W14*1000)</f>
        <v>19.956156224763603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24.63960236281341</v>
      </c>
      <c r="C99" s="101">
        <f>IF(TrRoad_act!C15=0,0,C36/TrRoad_act!C15*1000)</f>
        <v>23.342011667093971</v>
      </c>
      <c r="D99" s="101">
        <f>IF(TrRoad_act!D15=0,0,D36/TrRoad_act!D15*1000)</f>
        <v>9.1669163236430169</v>
      </c>
      <c r="E99" s="101">
        <f>IF(TrRoad_act!E15=0,0,E36/TrRoad_act!E15*1000)</f>
        <v>18.10593788364044</v>
      </c>
      <c r="F99" s="101">
        <f>IF(TrRoad_act!F15=0,0,F36/TrRoad_act!F15*1000)</f>
        <v>25.224378669181963</v>
      </c>
      <c r="G99" s="101">
        <f>IF(TrRoad_act!G15=0,0,G36/TrRoad_act!G15*1000)</f>
        <v>35.90072681279355</v>
      </c>
      <c r="H99" s="101">
        <f>IF(TrRoad_act!H15=0,0,H36/TrRoad_act!H15*1000)</f>
        <v>37.891020444443875</v>
      </c>
      <c r="I99" s="101">
        <f>IF(TrRoad_act!I15=0,0,I36/TrRoad_act!I15*1000)</f>
        <v>35.526018854216623</v>
      </c>
      <c r="J99" s="101">
        <f>IF(TrRoad_act!J15=0,0,J36/TrRoad_act!J15*1000)</f>
        <v>34.962227122156136</v>
      </c>
      <c r="K99" s="101">
        <f>IF(TrRoad_act!K15=0,0,K36/TrRoad_act!K15*1000)</f>
        <v>31.686459087099752</v>
      </c>
      <c r="L99" s="101">
        <f>IF(TrRoad_act!L15=0,0,L36/TrRoad_act!L15*1000)</f>
        <v>33.971418378484159</v>
      </c>
      <c r="M99" s="101">
        <f>IF(TrRoad_act!M15=0,0,M36/TrRoad_act!M15*1000)</f>
        <v>36.312233928579367</v>
      </c>
      <c r="N99" s="101">
        <f>IF(TrRoad_act!N15=0,0,N36/TrRoad_act!N15*1000)</f>
        <v>41.747335553815375</v>
      </c>
      <c r="O99" s="101">
        <f>IF(TrRoad_act!O15=0,0,O36/TrRoad_act!O15*1000)</f>
        <v>44.071073392534572</v>
      </c>
      <c r="P99" s="101">
        <f>IF(TrRoad_act!P15=0,0,P36/TrRoad_act!P15*1000)</f>
        <v>51.089824384872358</v>
      </c>
      <c r="Q99" s="101">
        <f>IF(TrRoad_act!Q15=0,0,Q36/TrRoad_act!Q15*1000)</f>
        <v>52.612782998743519</v>
      </c>
      <c r="R99" s="101">
        <f>IF(TrRoad_act!R15=0,0,R36/TrRoad_act!R15*1000)</f>
        <v>51.358964797679505</v>
      </c>
      <c r="S99" s="101">
        <f>IF(TrRoad_act!S15=0,0,S36/TrRoad_act!S15*1000)</f>
        <v>54.39752367098005</v>
      </c>
      <c r="T99" s="101">
        <f>IF(TrRoad_act!T15=0,0,T36/TrRoad_act!T15*1000)</f>
        <v>63.20994120506726</v>
      </c>
      <c r="U99" s="101">
        <f>IF(TrRoad_act!U15=0,0,U36/TrRoad_act!U15*1000)</f>
        <v>60.73576598744458</v>
      </c>
      <c r="V99" s="101">
        <f>IF(TrRoad_act!V15=0,0,V36/TrRoad_act!V15*1000)</f>
        <v>67.188359163013558</v>
      </c>
      <c r="W99" s="101">
        <f>IF(TrRoad_act!W15=0,0,W36/TrRoad_act!W15*1000)</f>
        <v>57.398769263613765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0</v>
      </c>
      <c r="R102" s="101">
        <f>IF(TrRoad_act!R18=0,0,R41/TrRoad_act!R18*1000)</f>
        <v>0</v>
      </c>
      <c r="S102" s="101">
        <f>IF(TrRoad_act!S18=0,0,S41/TrRoad_act!S18*1000)</f>
        <v>0</v>
      </c>
      <c r="T102" s="101">
        <f>IF(TrRoad_act!T18=0,0,T41/TrRoad_act!T18*1000)</f>
        <v>50.280466705902576</v>
      </c>
      <c r="U102" s="101">
        <f>IF(TrRoad_act!U18=0,0,U41/TrRoad_act!U18*1000)</f>
        <v>47.178782619896531</v>
      </c>
      <c r="V102" s="101">
        <f>IF(TrRoad_act!V18=0,0,V41/TrRoad_act!V18*1000)</f>
        <v>58.550495753046199</v>
      </c>
      <c r="W102" s="101">
        <f>IF(TrRoad_act!W18=0,0,W41/TrRoad_act!W18*1000)</f>
        <v>51.015259163481247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64.689513585151275</v>
      </c>
      <c r="C103" s="29">
        <f>IF(TrRoad_act!C19=0,0,C42/TrRoad_act!C19*1000)</f>
        <v>62.129179734579523</v>
      </c>
      <c r="D103" s="29">
        <f>IF(TrRoad_act!D19=0,0,D42/TrRoad_act!D19*1000)</f>
        <v>38.556112907790855</v>
      </c>
      <c r="E103" s="29">
        <f>IF(TrRoad_act!E19=0,0,E42/TrRoad_act!E19*1000)</f>
        <v>52.880987958908911</v>
      </c>
      <c r="F103" s="29">
        <f>IF(TrRoad_act!F19=0,0,F42/TrRoad_act!F19*1000)</f>
        <v>63.630799694689195</v>
      </c>
      <c r="G103" s="29">
        <f>IF(TrRoad_act!G19=0,0,G42/TrRoad_act!G19*1000)</f>
        <v>108.45385568792261</v>
      </c>
      <c r="H103" s="29">
        <f>IF(TrRoad_act!H19=0,0,H42/TrRoad_act!H19*1000)</f>
        <v>117.44766558998096</v>
      </c>
      <c r="I103" s="29">
        <f>IF(TrRoad_act!I19=0,0,I42/TrRoad_act!I19*1000)</f>
        <v>105.91820758102855</v>
      </c>
      <c r="J103" s="29">
        <f>IF(TrRoad_act!J19=0,0,J42/TrRoad_act!J19*1000)</f>
        <v>101.72156557957088</v>
      </c>
      <c r="K103" s="29">
        <f>IF(TrRoad_act!K19=0,0,K42/TrRoad_act!K19*1000)</f>
        <v>92.02759629314599</v>
      </c>
      <c r="L103" s="29">
        <f>IF(TrRoad_act!L19=0,0,L42/TrRoad_act!L19*1000)</f>
        <v>97.29992317756772</v>
      </c>
      <c r="M103" s="29">
        <f>IF(TrRoad_act!M19=0,0,M42/TrRoad_act!M19*1000)</f>
        <v>94.474183061549283</v>
      </c>
      <c r="N103" s="29">
        <f>IF(TrRoad_act!N19=0,0,N42/TrRoad_act!N19*1000)</f>
        <v>94.699991397284009</v>
      </c>
      <c r="O103" s="29">
        <f>IF(TrRoad_act!O19=0,0,O42/TrRoad_act!O19*1000)</f>
        <v>96.314170892737337</v>
      </c>
      <c r="P103" s="29">
        <f>IF(TrRoad_act!P19=0,0,P42/TrRoad_act!P19*1000)</f>
        <v>98.789155096931438</v>
      </c>
      <c r="Q103" s="29">
        <f>IF(TrRoad_act!Q19=0,0,Q42/TrRoad_act!Q19*1000)</f>
        <v>102.63093739745138</v>
      </c>
      <c r="R103" s="29">
        <f>IF(TrRoad_act!R19=0,0,R42/TrRoad_act!R19*1000)</f>
        <v>99.911464307420104</v>
      </c>
      <c r="S103" s="29">
        <f>IF(TrRoad_act!S19=0,0,S42/TrRoad_act!S19*1000)</f>
        <v>107.53518878313157</v>
      </c>
      <c r="T103" s="29">
        <f>IF(TrRoad_act!T19=0,0,T42/TrRoad_act!T19*1000)</f>
        <v>127.26034595892627</v>
      </c>
      <c r="U103" s="29">
        <f>IF(TrRoad_act!U19=0,0,U42/TrRoad_act!U19*1000)</f>
        <v>132.28320200518127</v>
      </c>
      <c r="V103" s="29">
        <f>IF(TrRoad_act!V19=0,0,V42/TrRoad_act!V19*1000)</f>
        <v>118.77673045655909</v>
      </c>
      <c r="W103" s="29">
        <f>IF(TrRoad_act!W19=0,0,W42/TrRoad_act!W19*1000)</f>
        <v>117.81340185240985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560.10168372127976</v>
      </c>
      <c r="C104" s="152">
        <f>IF(TrRoad_act!C20=0,0,C43/TrRoad_act!C20*1000)</f>
        <v>526.29693145764372</v>
      </c>
      <c r="D104" s="152">
        <f>IF(TrRoad_act!D20=0,0,D43/TrRoad_act!D20*1000)</f>
        <v>220.09898650304331</v>
      </c>
      <c r="E104" s="152">
        <f>IF(TrRoad_act!E20=0,0,E43/TrRoad_act!E20*1000)</f>
        <v>399.3400697772326</v>
      </c>
      <c r="F104" s="152">
        <f>IF(TrRoad_act!F20=0,0,F43/TrRoad_act!F20*1000)</f>
        <v>534.27884724495732</v>
      </c>
      <c r="G104" s="152">
        <f>IF(TrRoad_act!G20=0,0,G43/TrRoad_act!G20*1000)</f>
        <v>734.57246205785418</v>
      </c>
      <c r="H104" s="152">
        <f>IF(TrRoad_act!H20=0,0,H43/TrRoad_act!H20*1000)</f>
        <v>752.69334441424917</v>
      </c>
      <c r="I104" s="152">
        <f>IF(TrRoad_act!I20=0,0,I43/TrRoad_act!I20*1000)</f>
        <v>691.01202664603022</v>
      </c>
      <c r="J104" s="152">
        <f>IF(TrRoad_act!J20=0,0,J43/TrRoad_act!J20*1000)</f>
        <v>657.44467603418002</v>
      </c>
      <c r="K104" s="152">
        <f>IF(TrRoad_act!K20=0,0,K43/TrRoad_act!K20*1000)</f>
        <v>586.67713695034388</v>
      </c>
      <c r="L104" s="152">
        <f>IF(TrRoad_act!L20=0,0,L43/TrRoad_act!L20*1000)</f>
        <v>568.6220243070145</v>
      </c>
      <c r="M104" s="152">
        <f>IF(TrRoad_act!M20=0,0,M43/TrRoad_act!M20*1000)</f>
        <v>529.33623965486436</v>
      </c>
      <c r="N104" s="152">
        <f>IF(TrRoad_act!N20=0,0,N43/TrRoad_act!N20*1000)</f>
        <v>507.8268185074034</v>
      </c>
      <c r="O104" s="152">
        <f>IF(TrRoad_act!O20=0,0,O43/TrRoad_act!O20*1000)</f>
        <v>507.6391021278568</v>
      </c>
      <c r="P104" s="152">
        <f>IF(TrRoad_act!P20=0,0,P43/TrRoad_act!P20*1000)</f>
        <v>508.68823141247952</v>
      </c>
      <c r="Q104" s="152">
        <f>IF(TrRoad_act!Q20=0,0,Q43/TrRoad_act!Q20*1000)</f>
        <v>506.81877185846815</v>
      </c>
      <c r="R104" s="152">
        <f>IF(TrRoad_act!R20=0,0,R43/TrRoad_act!R20*1000)</f>
        <v>492.98355033191916</v>
      </c>
      <c r="S104" s="152">
        <f>IF(TrRoad_act!S20=0,0,S43/TrRoad_act!S20*1000)</f>
        <v>513.33578331033652</v>
      </c>
      <c r="T104" s="152">
        <f>IF(TrRoad_act!T20=0,0,T43/TrRoad_act!T20*1000)</f>
        <v>585.33078009193139</v>
      </c>
      <c r="U104" s="152">
        <f>IF(TrRoad_act!U20=0,0,U43/TrRoad_act!U20*1000)</f>
        <v>599.08140516353319</v>
      </c>
      <c r="V104" s="152">
        <f>IF(TrRoad_act!V20=0,0,V43/TrRoad_act!V20*1000)</f>
        <v>538.80092917762056</v>
      </c>
      <c r="W104" s="152">
        <f>IF(TrRoad_act!W20=0,0,W43/TrRoad_act!W20*1000)</f>
        <v>534.83233422661908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798.86645790844193</v>
      </c>
      <c r="C105" s="87">
        <f>IF(TrRoad_act!C21=0,0,C44/TrRoad_act!C21*1000)</f>
        <v>801.91154478566648</v>
      </c>
      <c r="D105" s="87">
        <f>IF(TrRoad_act!D21=0,0,D44/TrRoad_act!D21*1000)</f>
        <v>820.63648992372919</v>
      </c>
      <c r="E105" s="87">
        <f>IF(TrRoad_act!E21=0,0,E44/TrRoad_act!E21*1000)</f>
        <v>789.75131553230017</v>
      </c>
      <c r="F105" s="87">
        <f>IF(TrRoad_act!F21=0,0,F44/TrRoad_act!F21*1000)</f>
        <v>755.26370437792502</v>
      </c>
      <c r="G105" s="87">
        <f>IF(TrRoad_act!G21=0,0,G44/TrRoad_act!G21*1000)</f>
        <v>750.65462568823477</v>
      </c>
      <c r="H105" s="87">
        <f>IF(TrRoad_act!H21=0,0,H44/TrRoad_act!H21*1000)</f>
        <v>740.06968456646405</v>
      </c>
      <c r="I105" s="87">
        <f>IF(TrRoad_act!I21=0,0,I44/TrRoad_act!I21*1000)</f>
        <v>749.54306538465141</v>
      </c>
      <c r="J105" s="87">
        <f>IF(TrRoad_act!J21=0,0,J44/TrRoad_act!J21*1000)</f>
        <v>761.48125200142545</v>
      </c>
      <c r="K105" s="87">
        <f>IF(TrRoad_act!K21=0,0,K44/TrRoad_act!K21*1000)</f>
        <v>722.97977497533122</v>
      </c>
      <c r="L105" s="87">
        <f>IF(TrRoad_act!L21=0,0,L44/TrRoad_act!L21*1000)</f>
        <v>768.19485944173925</v>
      </c>
      <c r="M105" s="87">
        <f>IF(TrRoad_act!M21=0,0,M44/TrRoad_act!M21*1000)</f>
        <v>768.63547216885604</v>
      </c>
      <c r="N105" s="87">
        <f>IF(TrRoad_act!N21=0,0,N44/TrRoad_act!N21*1000)</f>
        <v>776.13620598004798</v>
      </c>
      <c r="O105" s="87">
        <f>IF(TrRoad_act!O21=0,0,O44/TrRoad_act!O21*1000)</f>
        <v>769.80971576572449</v>
      </c>
      <c r="P105" s="87">
        <f>IF(TrRoad_act!P21=0,0,P44/TrRoad_act!P21*1000)</f>
        <v>837.8802042736329</v>
      </c>
      <c r="Q105" s="87">
        <f>IF(TrRoad_act!Q21=0,0,Q44/TrRoad_act!Q21*1000)</f>
        <v>836.70891317262624</v>
      </c>
      <c r="R105" s="87">
        <f>IF(TrRoad_act!R21=0,0,R44/TrRoad_act!R21*1000)</f>
        <v>819.00885060472729</v>
      </c>
      <c r="S105" s="87">
        <f>IF(TrRoad_act!S21=0,0,S44/TrRoad_act!S21*1000)</f>
        <v>812.10340689275642</v>
      </c>
      <c r="T105" s="87">
        <f>IF(TrRoad_act!T21=0,0,T44/TrRoad_act!T21*1000)</f>
        <v>817.7924728520743</v>
      </c>
      <c r="U105" s="87">
        <f>IF(TrRoad_act!U21=0,0,U44/TrRoad_act!U21*1000)</f>
        <v>823.02260688378362</v>
      </c>
      <c r="V105" s="87">
        <f>IF(TrRoad_act!V21=0,0,V44/TrRoad_act!V21*1000)</f>
        <v>799.48546511364862</v>
      </c>
      <c r="W105" s="87">
        <f>IF(TrRoad_act!W21=0,0,W44/TrRoad_act!W21*1000)</f>
        <v>808.34846104484575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553.13203944613667</v>
      </c>
      <c r="C106" s="87">
        <f>IF(TrRoad_act!C22=0,0,C46/TrRoad_act!C22*1000)</f>
        <v>516.85709558116218</v>
      </c>
      <c r="D106" s="87">
        <f>IF(TrRoad_act!D22=0,0,D46/TrRoad_act!D22*1000)</f>
        <v>200.02764872914153</v>
      </c>
      <c r="E106" s="87">
        <f>IF(TrRoad_act!E22=0,0,E46/TrRoad_act!E22*1000)</f>
        <v>386.77769105264338</v>
      </c>
      <c r="F106" s="87">
        <f>IF(TrRoad_act!F22=0,0,F46/TrRoad_act!F22*1000)</f>
        <v>527.29363329785167</v>
      </c>
      <c r="G106" s="87">
        <f>IF(TrRoad_act!G22=0,0,G46/TrRoad_act!G22*1000)</f>
        <v>734.06446160801386</v>
      </c>
      <c r="H106" s="87">
        <f>IF(TrRoad_act!H22=0,0,H46/TrRoad_act!H22*1000)</f>
        <v>753.07470743465035</v>
      </c>
      <c r="I106" s="87">
        <f>IF(TrRoad_act!I22=0,0,I46/TrRoad_act!I22*1000)</f>
        <v>689.39549419708851</v>
      </c>
      <c r="J106" s="87">
        <f>IF(TrRoad_act!J22=0,0,J46/TrRoad_act!J22*1000)</f>
        <v>654.89798092526439</v>
      </c>
      <c r="K106" s="87">
        <f>IF(TrRoad_act!K22=0,0,K46/TrRoad_act!K22*1000)</f>
        <v>583.45020083499367</v>
      </c>
      <c r="L106" s="87">
        <f>IF(TrRoad_act!L22=0,0,L46/TrRoad_act!L22*1000)</f>
        <v>563.46792542758965</v>
      </c>
      <c r="M106" s="87">
        <f>IF(TrRoad_act!M22=0,0,M46/TrRoad_act!M22*1000)</f>
        <v>523.78283459361239</v>
      </c>
      <c r="N106" s="87">
        <f>IF(TrRoad_act!N22=0,0,N46/TrRoad_act!N22*1000)</f>
        <v>501.88364749264679</v>
      </c>
      <c r="O106" s="87">
        <f>IF(TrRoad_act!O22=0,0,O46/TrRoad_act!O22*1000)</f>
        <v>502.03463128785728</v>
      </c>
      <c r="P106" s="87">
        <f>IF(TrRoad_act!P22=0,0,P46/TrRoad_act!P22*1000)</f>
        <v>502.33668782910348</v>
      </c>
      <c r="Q106" s="87">
        <f>IF(TrRoad_act!Q22=0,0,Q46/TrRoad_act!Q22*1000)</f>
        <v>500.86618931391189</v>
      </c>
      <c r="R106" s="87">
        <f>IF(TrRoad_act!R22=0,0,R46/TrRoad_act!R22*1000)</f>
        <v>487.39993215576357</v>
      </c>
      <c r="S106" s="87">
        <f>IF(TrRoad_act!S22=0,0,S46/TrRoad_act!S22*1000)</f>
        <v>508.58634039659614</v>
      </c>
      <c r="T106" s="87">
        <f>IF(TrRoad_act!T22=0,0,T46/TrRoad_act!T22*1000)</f>
        <v>581.90167969203958</v>
      </c>
      <c r="U106" s="87">
        <f>IF(TrRoad_act!U22=0,0,U46/TrRoad_act!U22*1000)</f>
        <v>596.6341276736847</v>
      </c>
      <c r="V106" s="87">
        <f>IF(TrRoad_act!V22=0,0,V46/TrRoad_act!V22*1000)</f>
        <v>535.68349366647271</v>
      </c>
      <c r="W106" s="87">
        <f>IF(TrRoad_act!W22=0,0,W46/TrRoad_act!W22*1000)</f>
        <v>531.28113559182327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873.12298890489274</v>
      </c>
      <c r="T107" s="87">
        <f>IF(TrRoad_act!T23=0,0,T48/TrRoad_act!T23*1000)</f>
        <v>865.9029968633356</v>
      </c>
      <c r="U107" s="87">
        <f>IF(TrRoad_act!U23=0,0,U48/TrRoad_act!U23*1000)</f>
        <v>814.68864292799276</v>
      </c>
      <c r="V107" s="87">
        <f>IF(TrRoad_act!V23=0,0,V48/TrRoad_act!V23*1000)</f>
        <v>805.06044610022116</v>
      </c>
      <c r="W107" s="87">
        <f>IF(TrRoad_act!W23=0,0,W48/TrRoad_act!W23*1000)</f>
        <v>797.37265490156869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140.80046535419694</v>
      </c>
      <c r="K109" s="87">
        <f>IF(TrRoad_act!K25=0,0,K51/TrRoad_act!K25*1000)</f>
        <v>141.56150803286758</v>
      </c>
      <c r="L109" s="87">
        <f>IF(TrRoad_act!L25=0,0,L51/TrRoad_act!L25*1000)</f>
        <v>144.26920824602496</v>
      </c>
      <c r="M109" s="87">
        <f>IF(TrRoad_act!M25=0,0,M51/TrRoad_act!M25*1000)</f>
        <v>145.19778364946865</v>
      </c>
      <c r="N109" s="87">
        <f>IF(TrRoad_act!N25=0,0,N51/TrRoad_act!N25*1000)</f>
        <v>145.33176238634991</v>
      </c>
      <c r="O109" s="87">
        <f>IF(TrRoad_act!O25=0,0,O51/TrRoad_act!O25*1000)</f>
        <v>148.1152710714002</v>
      </c>
      <c r="P109" s="87">
        <f>IF(TrRoad_act!P25=0,0,P51/TrRoad_act!P25*1000)</f>
        <v>148.56061055070901</v>
      </c>
      <c r="Q109" s="87">
        <f>IF(TrRoad_act!Q25=0,0,Q51/TrRoad_act!Q25*1000)</f>
        <v>150.677282494352</v>
      </c>
      <c r="R109" s="87">
        <f>IF(TrRoad_act!R25=0,0,R51/TrRoad_act!R25*1000)</f>
        <v>154.06242108608302</v>
      </c>
      <c r="S109" s="87">
        <f>IF(TrRoad_act!S25=0,0,S51/TrRoad_act!S25*1000)</f>
        <v>161.5617496497955</v>
      </c>
      <c r="T109" s="87">
        <f>IF(TrRoad_act!T25=0,0,T51/TrRoad_act!T25*1000)</f>
        <v>166.69140988215992</v>
      </c>
      <c r="U109" s="87">
        <f>IF(TrRoad_act!U25=0,0,U51/TrRoad_act!U25*1000)</f>
        <v>221.1240907885537</v>
      </c>
      <c r="V109" s="87">
        <f>IF(TrRoad_act!V25=0,0,V51/TrRoad_act!V25*1000)</f>
        <v>220.68745663301996</v>
      </c>
      <c r="W109" s="87">
        <f>IF(TrRoad_act!W25=0,0,W51/TrRoad_act!W25*1000)</f>
        <v>233.40419953108716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48.452272603994466</v>
      </c>
      <c r="C110" s="116">
        <f>IF(TrRoad_act!C26=0,0,C52/TrRoad_act!C26*1000)</f>
        <v>45.787730676626069</v>
      </c>
      <c r="D110" s="116">
        <f>IF(TrRoad_act!D26=0,0,D52/TrRoad_act!D26*1000)</f>
        <v>17.959383935991646</v>
      </c>
      <c r="E110" s="116">
        <f>IF(TrRoad_act!E26=0,0,E52/TrRoad_act!E26*1000)</f>
        <v>35.392073271144817</v>
      </c>
      <c r="F110" s="116">
        <f>IF(TrRoad_act!F26=0,0,F52/TrRoad_act!F26*1000)</f>
        <v>49.113207062686001</v>
      </c>
      <c r="G110" s="116">
        <f>IF(TrRoad_act!G26=0,0,G52/TrRoad_act!G26*1000)</f>
        <v>69.615359627969426</v>
      </c>
      <c r="H110" s="116">
        <f>IF(TrRoad_act!H26=0,0,H52/TrRoad_act!H26*1000)</f>
        <v>72.960662486460507</v>
      </c>
      <c r="I110" s="116">
        <f>IF(TrRoad_act!I26=0,0,I52/TrRoad_act!I26*1000)</f>
        <v>67.672537327143829</v>
      </c>
      <c r="J110" s="116">
        <f>IF(TrRoad_act!J26=0,0,J52/TrRoad_act!J26*1000)</f>
        <v>65.18238211606085</v>
      </c>
      <c r="K110" s="116">
        <f>IF(TrRoad_act!K26=0,0,K52/TrRoad_act!K26*1000)</f>
        <v>58.538138009660827</v>
      </c>
      <c r="L110" s="116">
        <f>IF(TrRoad_act!L26=0,0,L52/TrRoad_act!L26*1000)</f>
        <v>58.488786652253012</v>
      </c>
      <c r="M110" s="116">
        <f>IF(TrRoad_act!M26=0,0,M52/TrRoad_act!M26*1000)</f>
        <v>55.030729396146135</v>
      </c>
      <c r="N110" s="116">
        <f>IF(TrRoad_act!N26=0,0,N52/TrRoad_act!N26*1000)</f>
        <v>53.901018543685574</v>
      </c>
      <c r="O110" s="116">
        <f>IF(TrRoad_act!O26=0,0,O52/TrRoad_act!O26*1000)</f>
        <v>55.005129412242709</v>
      </c>
      <c r="P110" s="116">
        <f>IF(TrRoad_act!P26=0,0,P52/TrRoad_act!P26*1000)</f>
        <v>54.435811207988415</v>
      </c>
      <c r="Q110" s="116">
        <f>IF(TrRoad_act!Q26=0,0,Q52/TrRoad_act!Q26*1000)</f>
        <v>55.088320044326778</v>
      </c>
      <c r="R110" s="116">
        <f>IF(TrRoad_act!R26=0,0,R52/TrRoad_act!R26*1000)</f>
        <v>54.928011207338479</v>
      </c>
      <c r="S110" s="116">
        <f>IF(TrRoad_act!S26=0,0,S52/TrRoad_act!S26*1000)</f>
        <v>58.519034772722108</v>
      </c>
      <c r="T110" s="116">
        <f>IF(TrRoad_act!T26=0,0,T52/TrRoad_act!T26*1000)</f>
        <v>68.610818964870475</v>
      </c>
      <c r="U110" s="116">
        <f>IF(TrRoad_act!U26=0,0,U52/TrRoad_act!U26*1000)</f>
        <v>71.636683852986209</v>
      </c>
      <c r="V110" s="116">
        <f>IF(TrRoad_act!V26=0,0,V52/TrRoad_act!V26*1000)</f>
        <v>65.44905296689987</v>
      </c>
      <c r="W110" s="116">
        <f>IF(TrRoad_act!W26=0,0,W52/TrRoad_act!W26*1000)</f>
        <v>66.199361478810346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48.452272603994466</v>
      </c>
      <c r="C111" s="101">
        <f>IF(TrRoad_act!C27=0,0,C53/TrRoad_act!C27*1000)</f>
        <v>45.787730676626069</v>
      </c>
      <c r="D111" s="101">
        <f>IF(TrRoad_act!D27=0,0,D53/TrRoad_act!D27*1000)</f>
        <v>17.959383935991646</v>
      </c>
      <c r="E111" s="101">
        <f>IF(TrRoad_act!E27=0,0,E53/TrRoad_act!E27*1000)</f>
        <v>35.392073271144817</v>
      </c>
      <c r="F111" s="101">
        <f>IF(TrRoad_act!F27=0,0,F53/TrRoad_act!F27*1000)</f>
        <v>49.113207062686001</v>
      </c>
      <c r="G111" s="101">
        <f>IF(TrRoad_act!G27=0,0,G53/TrRoad_act!G27*1000)</f>
        <v>69.615359627969426</v>
      </c>
      <c r="H111" s="101">
        <f>IF(TrRoad_act!H27=0,0,H53/TrRoad_act!H27*1000)</f>
        <v>72.960662486460507</v>
      </c>
      <c r="I111" s="101">
        <f>IF(TrRoad_act!I27=0,0,I53/TrRoad_act!I27*1000)</f>
        <v>67.672537327143829</v>
      </c>
      <c r="J111" s="101">
        <f>IF(TrRoad_act!J27=0,0,J53/TrRoad_act!J27*1000)</f>
        <v>65.18238211606085</v>
      </c>
      <c r="K111" s="101">
        <f>IF(TrRoad_act!K27=0,0,K53/TrRoad_act!K27*1000)</f>
        <v>58.538138009660827</v>
      </c>
      <c r="L111" s="101">
        <f>IF(TrRoad_act!L27=0,0,L53/TrRoad_act!L27*1000)</f>
        <v>58.488786652253012</v>
      </c>
      <c r="M111" s="101">
        <f>IF(TrRoad_act!M27=0,0,M53/TrRoad_act!M27*1000)</f>
        <v>55.030729396146135</v>
      </c>
      <c r="N111" s="101">
        <f>IF(TrRoad_act!N27=0,0,N53/TrRoad_act!N27*1000)</f>
        <v>53.901018543685574</v>
      </c>
      <c r="O111" s="101">
        <f>IF(TrRoad_act!O27=0,0,O53/TrRoad_act!O27*1000)</f>
        <v>55.005129412242709</v>
      </c>
      <c r="P111" s="101">
        <f>IF(TrRoad_act!P27=0,0,P53/TrRoad_act!P27*1000)</f>
        <v>54.435811207988415</v>
      </c>
      <c r="Q111" s="101">
        <f>IF(TrRoad_act!Q27=0,0,Q53/TrRoad_act!Q27*1000)</f>
        <v>55.088320044326778</v>
      </c>
      <c r="R111" s="101">
        <f>IF(TrRoad_act!R27=0,0,R53/TrRoad_act!R27*1000)</f>
        <v>54.928011207338479</v>
      </c>
      <c r="S111" s="101">
        <f>IF(TrRoad_act!S27=0,0,S53/TrRoad_act!S27*1000)</f>
        <v>58.519034772722108</v>
      </c>
      <c r="T111" s="101">
        <f>IF(TrRoad_act!T27=0,0,T53/TrRoad_act!T27*1000)</f>
        <v>68.610818964870475</v>
      </c>
      <c r="U111" s="101">
        <f>IF(TrRoad_act!U27=0,0,U53/TrRoad_act!U27*1000)</f>
        <v>71.636683852986209</v>
      </c>
      <c r="V111" s="101">
        <f>IF(TrRoad_act!V27=0,0,V53/TrRoad_act!V27*1000)</f>
        <v>65.44905296689987</v>
      </c>
      <c r="W111" s="101">
        <f>IF(TrRoad_act!W27=0,0,W53/TrRoad_act!W27*1000)</f>
        <v>66.199361478810346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0</v>
      </c>
      <c r="C112" s="88">
        <f>IF(TrRoad_act!C28=0,0,C55/TrRoad_act!C28*1000)</f>
        <v>0</v>
      </c>
      <c r="D112" s="88">
        <f>IF(TrRoad_act!D28=0,0,D55/TrRoad_act!D28*1000)</f>
        <v>0</v>
      </c>
      <c r="E112" s="88">
        <f>IF(TrRoad_act!E28=0,0,E55/TrRoad_act!E28*1000)</f>
        <v>0</v>
      </c>
      <c r="F112" s="88">
        <f>IF(TrRoad_act!F28=0,0,F55/TrRoad_act!F28*1000)</f>
        <v>0</v>
      </c>
      <c r="G112" s="88">
        <f>IF(TrRoad_act!G28=0,0,G55/TrRoad_act!G28*1000)</f>
        <v>0</v>
      </c>
      <c r="H112" s="88">
        <f>IF(TrRoad_act!H28=0,0,H55/TrRoad_act!H28*1000)</f>
        <v>0</v>
      </c>
      <c r="I112" s="88">
        <f>IF(TrRoad_act!I28=0,0,I55/TrRoad_act!I28*1000)</f>
        <v>0</v>
      </c>
      <c r="J112" s="88">
        <f>IF(TrRoad_act!J28=0,0,J55/TrRoad_act!J28*1000)</f>
        <v>0</v>
      </c>
      <c r="K112" s="88">
        <f>IF(TrRoad_act!K28=0,0,K55/TrRoad_act!K28*1000)</f>
        <v>0</v>
      </c>
      <c r="L112" s="88">
        <f>IF(TrRoad_act!L28=0,0,L55/TrRoad_act!L28*1000)</f>
        <v>0</v>
      </c>
      <c r="M112" s="88">
        <f>IF(TrRoad_act!M28=0,0,M55/TrRoad_act!M28*1000)</f>
        <v>0</v>
      </c>
      <c r="N112" s="88">
        <f>IF(TrRoad_act!N28=0,0,N55/TrRoad_act!N28*1000)</f>
        <v>0</v>
      </c>
      <c r="O112" s="88">
        <f>IF(TrRoad_act!O28=0,0,O55/TrRoad_act!O28*1000)</f>
        <v>0</v>
      </c>
      <c r="P112" s="88">
        <f>IF(TrRoad_act!P28=0,0,P55/TrRoad_act!P28*1000)</f>
        <v>0</v>
      </c>
      <c r="Q112" s="88">
        <f>IF(TrRoad_act!Q28=0,0,Q55/TrRoad_act!Q28*1000)</f>
        <v>0</v>
      </c>
      <c r="R112" s="88">
        <f>IF(TrRoad_act!R28=0,0,R55/TrRoad_act!R28*1000)</f>
        <v>0</v>
      </c>
      <c r="S112" s="88">
        <f>IF(TrRoad_act!S28=0,0,S55/TrRoad_act!S28*1000)</f>
        <v>0</v>
      </c>
      <c r="T112" s="88">
        <f>IF(TrRoad_act!T28=0,0,T55/TrRoad_act!T28*1000)</f>
        <v>0</v>
      </c>
      <c r="U112" s="88">
        <f>IF(TrRoad_act!U28=0,0,U55/TrRoad_act!U28*1000)</f>
        <v>0</v>
      </c>
      <c r="V112" s="88">
        <f>IF(TrRoad_act!V28=0,0,V55/TrRoad_act!V28*1000)</f>
        <v>0</v>
      </c>
      <c r="W112" s="88">
        <f>IF(TrRoad_act!W28=0,0,W55/TrRoad_act!W28*1000)</f>
        <v>0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94.017700047523604</v>
      </c>
      <c r="C116" s="152">
        <f>IF(C19=0,0,1000000*C19/TrRoad_act!C59)</f>
        <v>93.512888459926558</v>
      </c>
      <c r="D116" s="152">
        <f>IF(D19=0,0,1000000*D19/TrRoad_act!D59)</f>
        <v>93.094581628939011</v>
      </c>
      <c r="E116" s="152">
        <f>IF(E19=0,0,1000000*E19/TrRoad_act!E59)</f>
        <v>92.839406112564106</v>
      </c>
      <c r="F116" s="152">
        <f>IF(F19=0,0,1000000*F19/TrRoad_act!F59)</f>
        <v>91.853122429962085</v>
      </c>
      <c r="G116" s="152">
        <f>IF(G19=0,0,1000000*G19/TrRoad_act!G59)</f>
        <v>91.075329946374623</v>
      </c>
      <c r="H116" s="152">
        <f>IF(H19=0,0,1000000*H19/TrRoad_act!H59)</f>
        <v>90.58434345790954</v>
      </c>
      <c r="I116" s="152">
        <f>IF(I19=0,0,1000000*I19/TrRoad_act!I59)</f>
        <v>89.971920545734761</v>
      </c>
      <c r="J116" s="152">
        <f>IF(J19=0,0,1000000*J19/TrRoad_act!J59)</f>
        <v>88.566512315452428</v>
      </c>
      <c r="K116" s="152">
        <f>IF(K19=0,0,1000000*K19/TrRoad_act!K59)</f>
        <v>86.552362064392199</v>
      </c>
      <c r="L116" s="152">
        <f>IF(L19=0,0,1000000*L19/TrRoad_act!L59)</f>
        <v>89.221830807054587</v>
      </c>
      <c r="M116" s="152">
        <f>IF(M19=0,0,1000000*M19/TrRoad_act!M59)</f>
        <v>88.409455524562958</v>
      </c>
      <c r="N116" s="152">
        <f>IF(N19=0,0,1000000*N19/TrRoad_act!N59)</f>
        <v>86.496940756032885</v>
      </c>
      <c r="O116" s="152">
        <f>IF(O19=0,0,1000000*O19/TrRoad_act!O59)</f>
        <v>84.932340867019107</v>
      </c>
      <c r="P116" s="152">
        <f>IF(P19=0,0,1000000*P19/TrRoad_act!P59)</f>
        <v>83.311456934315444</v>
      </c>
      <c r="Q116" s="152">
        <f>IF(Q19=0,0,1000000*Q19/TrRoad_act!Q59)</f>
        <v>77.36828905071043</v>
      </c>
      <c r="R116" s="152">
        <f>IF(R19=0,0,1000000*R19/TrRoad_act!R59)</f>
        <v>70.958143412063521</v>
      </c>
      <c r="S116" s="152">
        <f>IF(S19=0,0,1000000*S19/TrRoad_act!S59)</f>
        <v>60.764057340744593</v>
      </c>
      <c r="T116" s="152">
        <f>IF(T19=0,0,1000000*T19/TrRoad_act!T59)</f>
        <v>54.322718652847563</v>
      </c>
      <c r="U116" s="152">
        <f>IF(U19=0,0,1000000*U19/TrRoad_act!U59)</f>
        <v>51.929066562902619</v>
      </c>
      <c r="V116" s="152">
        <f>IF(V19=0,0,1000000*V19/TrRoad_act!V59)</f>
        <v>41.838496657775622</v>
      </c>
      <c r="W116" s="152">
        <f>IF(W19=0,0,1000000*W19/TrRoad_act!W59)</f>
        <v>36.679145840722626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448.94100480150553</v>
      </c>
      <c r="C117" s="116">
        <f>IF(C21=0,0,1000000*C21/TrRoad_act!C60)</f>
        <v>412.51538818204097</v>
      </c>
      <c r="D117" s="116">
        <f>IF(D21=0,0,1000000*D21/TrRoad_act!D60)</f>
        <v>415.83801870527577</v>
      </c>
      <c r="E117" s="116">
        <f>IF(E21=0,0,1000000*E21/TrRoad_act!E60)</f>
        <v>396.60381421382891</v>
      </c>
      <c r="F117" s="116">
        <f>IF(F21=0,0,1000000*F21/TrRoad_act!F60)</f>
        <v>348.02256534032182</v>
      </c>
      <c r="G117" s="116">
        <f>IF(G21=0,0,1000000*G21/TrRoad_act!G60)</f>
        <v>399.34662545916558</v>
      </c>
      <c r="H117" s="116">
        <f>IF(H21=0,0,1000000*H21/TrRoad_act!H60)</f>
        <v>396.79875411707513</v>
      </c>
      <c r="I117" s="116">
        <f>IF(I21=0,0,1000000*I21/TrRoad_act!I60)</f>
        <v>396.48877428504574</v>
      </c>
      <c r="J117" s="116">
        <f>IF(J21=0,0,1000000*J21/TrRoad_act!J60)</f>
        <v>462.66391537823438</v>
      </c>
      <c r="K117" s="116">
        <f>IF(K21=0,0,1000000*K21/TrRoad_act!K60)</f>
        <v>393.84258625636363</v>
      </c>
      <c r="L117" s="116">
        <f>IF(L21=0,0,1000000*L21/TrRoad_act!L60)</f>
        <v>437.91584788894971</v>
      </c>
      <c r="M117" s="116">
        <f>IF(M21=0,0,1000000*M21/TrRoad_act!M60)</f>
        <v>431.51544390840672</v>
      </c>
      <c r="N117" s="116">
        <f>IF(N21=0,0,1000000*N21/TrRoad_act!N60)</f>
        <v>428.88762044346612</v>
      </c>
      <c r="O117" s="116">
        <f>IF(O21=0,0,1000000*O21/TrRoad_act!O60)</f>
        <v>432.5761354807355</v>
      </c>
      <c r="P117" s="116">
        <f>IF(P21=0,0,1000000*P21/TrRoad_act!P60)</f>
        <v>421.608746851852</v>
      </c>
      <c r="Q117" s="116">
        <f>IF(Q21=0,0,1000000*Q21/TrRoad_act!Q60)</f>
        <v>432.26149301778969</v>
      </c>
      <c r="R117" s="116">
        <f>IF(R21=0,0,1000000*R21/TrRoad_act!R60)</f>
        <v>426.15538188054478</v>
      </c>
      <c r="S117" s="116">
        <f>IF(S21=0,0,1000000*S21/TrRoad_act!S60)</f>
        <v>417.23554810383291</v>
      </c>
      <c r="T117" s="116">
        <f>IF(T21=0,0,1000000*T21/TrRoad_act!T60)</f>
        <v>444.94019125310859</v>
      </c>
      <c r="U117" s="116">
        <f>IF(U21=0,0,1000000*U21/TrRoad_act!U60)</f>
        <v>453.67130562377332</v>
      </c>
      <c r="V117" s="116">
        <f>IF(V21=0,0,1000000*V21/TrRoad_act!V60)</f>
        <v>375.14232367942782</v>
      </c>
      <c r="W117" s="116">
        <f>IF(W21=0,0,1000000*W21/TrRoad_act!W60)</f>
        <v>397.39835918960216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470.25233045141476</v>
      </c>
      <c r="C118" s="87">
        <f>IF(C22=0,0,1000000*C22/TrRoad_act!C61)</f>
        <v>432.22920684838772</v>
      </c>
      <c r="D118" s="87">
        <f>IF(D22=0,0,1000000*D22/TrRoad_act!D61)</f>
        <v>471.31507957096659</v>
      </c>
      <c r="E118" s="87">
        <f>IF(E22=0,0,1000000*E22/TrRoad_act!E61)</f>
        <v>425.15530207923064</v>
      </c>
      <c r="F118" s="87">
        <f>IF(F22=0,0,1000000*F22/TrRoad_act!F61)</f>
        <v>347.13976078112563</v>
      </c>
      <c r="G118" s="87">
        <f>IF(G22=0,0,1000000*G22/TrRoad_act!G61)</f>
        <v>377.20316421208133</v>
      </c>
      <c r="H118" s="87">
        <f>IF(H22=0,0,1000000*H22/TrRoad_act!H61)</f>
        <v>366.92140593230147</v>
      </c>
      <c r="I118" s="87">
        <f>IF(I22=0,0,1000000*I22/TrRoad_act!I61)</f>
        <v>372.33598930842265</v>
      </c>
      <c r="J118" s="87">
        <f>IF(J22=0,0,1000000*J22/TrRoad_act!J61)</f>
        <v>453.25289559228452</v>
      </c>
      <c r="K118" s="87">
        <f>IF(K22=0,0,1000000*K22/TrRoad_act!K61)</f>
        <v>377.91118528360943</v>
      </c>
      <c r="L118" s="87">
        <f>IF(L22=0,0,1000000*L22/TrRoad_act!L61)</f>
        <v>414.93628612357236</v>
      </c>
      <c r="M118" s="87">
        <f>IF(M22=0,0,1000000*M22/TrRoad_act!M61)</f>
        <v>408.90317118896371</v>
      </c>
      <c r="N118" s="87">
        <f>IF(N22=0,0,1000000*N22/TrRoad_act!N61)</f>
        <v>404.53506334325886</v>
      </c>
      <c r="O118" s="87">
        <f>IF(O22=0,0,1000000*O22/TrRoad_act!O61)</f>
        <v>403.18570740917141</v>
      </c>
      <c r="P118" s="87">
        <f>IF(P22=0,0,1000000*P22/TrRoad_act!P61)</f>
        <v>390.61113874744854</v>
      </c>
      <c r="Q118" s="87">
        <f>IF(Q22=0,0,1000000*Q22/TrRoad_act!Q61)</f>
        <v>400.54891018460995</v>
      </c>
      <c r="R118" s="87">
        <f>IF(R22=0,0,1000000*R22/TrRoad_act!R61)</f>
        <v>392.90856499030929</v>
      </c>
      <c r="S118" s="87">
        <f>IF(S22=0,0,1000000*S22/TrRoad_act!S61)</f>
        <v>387.51040289116639</v>
      </c>
      <c r="T118" s="87">
        <f>IF(T22=0,0,1000000*T22/TrRoad_act!T61)</f>
        <v>380.18880216889039</v>
      </c>
      <c r="U118" s="87">
        <f>IF(U22=0,0,1000000*U22/TrRoad_act!U61)</f>
        <v>395.49756088464147</v>
      </c>
      <c r="V118" s="87">
        <f>IF(V22=0,0,1000000*V22/TrRoad_act!V61)</f>
        <v>331.27235791445412</v>
      </c>
      <c r="W118" s="87">
        <f>IF(W22=0,0,1000000*W22/TrRoad_act!W61)</f>
        <v>351.1910692112246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322.00193097564431</v>
      </c>
      <c r="C119" s="87">
        <f>IF(C24=0,0,1000000*C24/TrRoad_act!C62)</f>
        <v>304.03089561147863</v>
      </c>
      <c r="D119" s="87">
        <f>IF(D24=0,0,1000000*D24/TrRoad_act!D62)</f>
        <v>121.3788474085849</v>
      </c>
      <c r="E119" s="87">
        <f>IF(E24=0,0,1000000*E24/TrRoad_act!E62)</f>
        <v>247.19613863581981</v>
      </c>
      <c r="F119" s="87">
        <f>IF(F24=0,0,1000000*F24/TrRoad_act!F62)</f>
        <v>352.66356617527043</v>
      </c>
      <c r="G119" s="87">
        <f>IF(G24=0,0,1000000*G24/TrRoad_act!G62)</f>
        <v>512.2249278571669</v>
      </c>
      <c r="H119" s="87">
        <f>IF(H24=0,0,1000000*H24/TrRoad_act!H62)</f>
        <v>549.21119582366759</v>
      </c>
      <c r="I119" s="87">
        <f>IF(I24=0,0,1000000*I24/TrRoad_act!I62)</f>
        <v>520.1366680876265</v>
      </c>
      <c r="J119" s="87">
        <f>IF(J24=0,0,1000000*J24/TrRoad_act!J62)</f>
        <v>510.71114546616121</v>
      </c>
      <c r="K119" s="87">
        <f>IF(K24=0,0,1000000*K24/TrRoad_act!K62)</f>
        <v>473.56933187889098</v>
      </c>
      <c r="L119" s="87">
        <f>IF(L24=0,0,1000000*L24/TrRoad_act!L62)</f>
        <v>496.52475045503786</v>
      </c>
      <c r="M119" s="87">
        <f>IF(M24=0,0,1000000*M24/TrRoad_act!M62)</f>
        <v>486.88307916124376</v>
      </c>
      <c r="N119" s="87">
        <f>IF(N24=0,0,1000000*N24/TrRoad_act!N62)</f>
        <v>486.10744056610145</v>
      </c>
      <c r="O119" s="87">
        <f>IF(O24=0,0,1000000*O24/TrRoad_act!O62)</f>
        <v>499.81001577821218</v>
      </c>
      <c r="P119" s="87">
        <f>IF(P24=0,0,1000000*P24/TrRoad_act!P62)</f>
        <v>490.65147560862084</v>
      </c>
      <c r="Q119" s="87">
        <f>IF(Q24=0,0,1000000*Q24/TrRoad_act!Q62)</f>
        <v>502.32382276495133</v>
      </c>
      <c r="R119" s="87">
        <f>IF(R24=0,0,1000000*R24/TrRoad_act!R62)</f>
        <v>495.88697200764352</v>
      </c>
      <c r="S119" s="87">
        <f>IF(S24=0,0,1000000*S24/TrRoad_act!S62)</f>
        <v>478.70056820725949</v>
      </c>
      <c r="T119" s="87">
        <f>IF(T24=0,0,1000000*T24/TrRoad_act!T62)</f>
        <v>579.58878071621143</v>
      </c>
      <c r="U119" s="87">
        <f>IF(U24=0,0,1000000*U24/TrRoad_act!U62)</f>
        <v>577.91823526646886</v>
      </c>
      <c r="V119" s="87">
        <f>IF(V24=0,0,1000000*V24/TrRoad_act!V62)</f>
        <v>468.69746988524952</v>
      </c>
      <c r="W119" s="87">
        <f>IF(W24=0,0,1000000*W24/TrRoad_act!W62)</f>
        <v>497.18162519705692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0</v>
      </c>
      <c r="I120" s="87">
        <f>IF(I26=0,0,1000000*I26/TrRoad_act!I63)</f>
        <v>0</v>
      </c>
      <c r="J120" s="87">
        <f>IF(J26=0,0,1000000*J26/TrRoad_act!J63)</f>
        <v>0</v>
      </c>
      <c r="K120" s="87">
        <f>IF(K26=0,0,1000000*K26/TrRoad_act!K63)</f>
        <v>0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549.35511607910553</v>
      </c>
      <c r="S120" s="87">
        <f>IF(S26=0,0,1000000*S26/TrRoad_act!S63)</f>
        <v>572.63763193936438</v>
      </c>
      <c r="T120" s="87">
        <f>IF(T26=0,0,1000000*T26/TrRoad_act!T63)</f>
        <v>814.73032959945579</v>
      </c>
      <c r="U120" s="87">
        <f>IF(U26=0,0,1000000*U26/TrRoad_act!U63)</f>
        <v>563.57264542726114</v>
      </c>
      <c r="V120" s="87">
        <f>IF(V26=0,0,1000000*V26/TrRoad_act!V63)</f>
        <v>550.44777666349125</v>
      </c>
      <c r="W120" s="87">
        <f>IF(W26=0,0,1000000*W26/TrRoad_act!W63)</f>
        <v>685.21418409457044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640.51413034437655</v>
      </c>
      <c r="M122" s="87">
        <f>IF(M29=0,0,1000000*M29/TrRoad_act!M65)</f>
        <v>553.20035189155658</v>
      </c>
      <c r="N122" s="87">
        <f>IF(N29=0,0,1000000*N29/TrRoad_act!N65)</f>
        <v>515.03879139210983</v>
      </c>
      <c r="O122" s="87">
        <f>IF(O29=0,0,1000000*O29/TrRoad_act!O65)</f>
        <v>464.39540227772466</v>
      </c>
      <c r="P122" s="87">
        <f>IF(P29=0,0,1000000*P29/TrRoad_act!P65)</f>
        <v>466.80705903485438</v>
      </c>
      <c r="Q122" s="87">
        <f>IF(Q29=0,0,1000000*Q29/TrRoad_act!Q65)</f>
        <v>478.55154643925812</v>
      </c>
      <c r="R122" s="87">
        <f>IF(R29=0,0,1000000*R29/TrRoad_act!R65)</f>
        <v>509.94264988920145</v>
      </c>
      <c r="S122" s="87">
        <f>IF(S29=0,0,1000000*S29/TrRoad_act!S65)</f>
        <v>516.0456732113463</v>
      </c>
      <c r="T122" s="87">
        <f>IF(T29=0,0,1000000*T29/TrRoad_act!T65)</f>
        <v>560.53720468132008</v>
      </c>
      <c r="U122" s="87">
        <f>IF(U29=0,0,1000000*U29/TrRoad_act!U65)</f>
        <v>589.99243446569824</v>
      </c>
      <c r="V122" s="87">
        <f>IF(V29=0,0,1000000*V29/TrRoad_act!V65)</f>
        <v>511.69925997087893</v>
      </c>
      <c r="W122" s="87">
        <f>IF(W29=0,0,1000000*W29/TrRoad_act!W65)</f>
        <v>518.45331390156866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121.27038293741528</v>
      </c>
      <c r="F123" s="87">
        <f>IF(F32=0,0,1000000*F32/TrRoad_act!F66)</f>
        <v>122.40686490579326</v>
      </c>
      <c r="G123" s="87">
        <f>IF(G32=0,0,1000000*G32/TrRoad_act!G66)</f>
        <v>126.12679546652839</v>
      </c>
      <c r="H123" s="87">
        <f>IF(H32=0,0,1000000*H32/TrRoad_act!H66)</f>
        <v>127.11371573973319</v>
      </c>
      <c r="I123" s="87">
        <f>IF(I32=0,0,1000000*I32/TrRoad_act!I66)</f>
        <v>128.64009185848778</v>
      </c>
      <c r="J123" s="87">
        <f>IF(J32=0,0,1000000*J32/TrRoad_act!J66)</f>
        <v>129.68180186772818</v>
      </c>
      <c r="K123" s="87">
        <f>IF(K32=0,0,1000000*K32/TrRoad_act!K66)</f>
        <v>130.08558766115291</v>
      </c>
      <c r="L123" s="87">
        <f>IF(L32=0,0,1000000*L32/TrRoad_act!L66)</f>
        <v>132.35274920212521</v>
      </c>
      <c r="M123" s="87">
        <f>IF(M32=0,0,1000000*M32/TrRoad_act!M66)</f>
        <v>132.40860421465371</v>
      </c>
      <c r="N123" s="87">
        <f>IF(N32=0,0,1000000*N32/TrRoad_act!N66)</f>
        <v>129.70696486396326</v>
      </c>
      <c r="O123" s="87">
        <f>IF(O32=0,0,1000000*O32/TrRoad_act!O66)</f>
        <v>127.94049910612539</v>
      </c>
      <c r="P123" s="87">
        <f>IF(P32=0,0,1000000*P32/TrRoad_act!P66)</f>
        <v>130.93729991507308</v>
      </c>
      <c r="Q123" s="87">
        <f>IF(Q32=0,0,1000000*Q32/TrRoad_act!Q66)</f>
        <v>136.26125190026897</v>
      </c>
      <c r="R123" s="87">
        <f>IF(R32=0,0,1000000*R32/TrRoad_act!R66)</f>
        <v>138.24389515036756</v>
      </c>
      <c r="S123" s="87">
        <f>IF(S32=0,0,1000000*S32/TrRoad_act!S66)</f>
        <v>128.52589781115731</v>
      </c>
      <c r="T123" s="87">
        <f>IF(T32=0,0,1000000*T32/TrRoad_act!T66)</f>
        <v>125.03518659574885</v>
      </c>
      <c r="U123" s="87">
        <f>IF(U32=0,0,1000000*U32/TrRoad_act!U66)</f>
        <v>141.74672285624615</v>
      </c>
      <c r="V123" s="87">
        <f>IF(V32=0,0,1000000*V32/TrRoad_act!V66)</f>
        <v>148.57986188405701</v>
      </c>
      <c r="W123" s="87">
        <f>IF(W32=0,0,1000000*W32/TrRoad_act!W66)</f>
        <v>160.39886596834219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7205.4781226282057</v>
      </c>
      <c r="C124" s="116">
        <f>IF(C33=0,0,1000000*C33/TrRoad_act!C67)</f>
        <v>6983.2880226188199</v>
      </c>
      <c r="D124" s="116">
        <f>IF(D33=0,0,1000000*D33/TrRoad_act!D67)</f>
        <v>2790.1837890606521</v>
      </c>
      <c r="E124" s="116">
        <f>IF(E33=0,0,1000000*E33/TrRoad_act!E67)</f>
        <v>5611.5810012547863</v>
      </c>
      <c r="F124" s="116">
        <f>IF(F33=0,0,1000000*F33/TrRoad_act!F67)</f>
        <v>7977.3493577425561</v>
      </c>
      <c r="G124" s="116">
        <f>IF(G33=0,0,1000000*G33/TrRoad_act!G67)</f>
        <v>11154.949992561091</v>
      </c>
      <c r="H124" s="116">
        <f>IF(H33=0,0,1000000*H33/TrRoad_act!H67)</f>
        <v>12006.026756794638</v>
      </c>
      <c r="I124" s="116">
        <f>IF(I33=0,0,1000000*I33/TrRoad_act!I67)</f>
        <v>11340.480102009729</v>
      </c>
      <c r="J124" s="116">
        <f>IF(J33=0,0,1000000*J33/TrRoad_act!J67)</f>
        <v>11271.008743552233</v>
      </c>
      <c r="K124" s="116">
        <f>IF(K33=0,0,1000000*K33/TrRoad_act!K67)</f>
        <v>8855.5630582417107</v>
      </c>
      <c r="L124" s="116">
        <f>IF(L33=0,0,1000000*L33/TrRoad_act!L67)</f>
        <v>9160.7592279503333</v>
      </c>
      <c r="M124" s="116">
        <f>IF(M33=0,0,1000000*M33/TrRoad_act!M67)</f>
        <v>9820.6016465951707</v>
      </c>
      <c r="N124" s="116">
        <f>IF(N33=0,0,1000000*N33/TrRoad_act!N67)</f>
        <v>11372.106002736156</v>
      </c>
      <c r="O124" s="116">
        <f>IF(O33=0,0,1000000*O33/TrRoad_act!O67)</f>
        <v>12038.652493727624</v>
      </c>
      <c r="P124" s="116">
        <f>IF(P33=0,0,1000000*P33/TrRoad_act!P67)</f>
        <v>13966.727874712675</v>
      </c>
      <c r="Q124" s="116">
        <f>IF(Q33=0,0,1000000*Q33/TrRoad_act!Q67)</f>
        <v>14532.889313542046</v>
      </c>
      <c r="R124" s="116">
        <f>IF(R33=0,0,1000000*R33/TrRoad_act!R67)</f>
        <v>14033.233474172261</v>
      </c>
      <c r="S124" s="116">
        <f>IF(S33=0,0,1000000*S33/TrRoad_act!S67)</f>
        <v>14596.107437504488</v>
      </c>
      <c r="T124" s="116">
        <f>IF(T33=0,0,1000000*T33/TrRoad_act!T67)</f>
        <v>16963.738145730975</v>
      </c>
      <c r="U124" s="116">
        <f>IF(U33=0,0,1000000*U33/TrRoad_act!U67)</f>
        <v>16071.132869743073</v>
      </c>
      <c r="V124" s="116">
        <f>IF(V33=0,0,1000000*V33/TrRoad_act!V67)</f>
        <v>11615.187689111368</v>
      </c>
      <c r="W124" s="116">
        <f>IF(W33=0,0,1000000*W33/TrRoad_act!W67)</f>
        <v>10247.206760782987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2496.7075534210635</v>
      </c>
      <c r="M125" s="101">
        <f>IF(M34=0,0,1000000*M34/TrRoad_act!M68)</f>
        <v>2520.5724433806199</v>
      </c>
      <c r="N125" s="101">
        <f>IF(N34=0,0,1000000*N34/TrRoad_act!N68)</f>
        <v>2542.8425412498291</v>
      </c>
      <c r="O125" s="101">
        <f>IF(O34=0,0,1000000*O34/TrRoad_act!O68)</f>
        <v>2548.4585929146242</v>
      </c>
      <c r="P125" s="101">
        <f>IF(P34=0,0,1000000*P34/TrRoad_act!P68)</f>
        <v>2569.9629867225681</v>
      </c>
      <c r="Q125" s="101">
        <f>IF(Q34=0,0,1000000*Q34/TrRoad_act!Q68)</f>
        <v>2575.5862737166658</v>
      </c>
      <c r="R125" s="101">
        <f>IF(R34=0,0,1000000*R34/TrRoad_act!R68)</f>
        <v>2478.4152412762096</v>
      </c>
      <c r="S125" s="101">
        <f>IF(S34=0,0,1000000*S34/TrRoad_act!S68)</f>
        <v>2397.8341453656217</v>
      </c>
      <c r="T125" s="101">
        <f>IF(T34=0,0,1000000*T34/TrRoad_act!T68)</f>
        <v>2320.8673505144257</v>
      </c>
      <c r="U125" s="101">
        <f>IF(U34=0,0,1000000*U34/TrRoad_act!U68)</f>
        <v>2033.7627765307222</v>
      </c>
      <c r="V125" s="101">
        <f>IF(V34=0,0,1000000*V34/TrRoad_act!V68)</f>
        <v>1582.3216590233931</v>
      </c>
      <c r="W125" s="101">
        <f>IF(W34=0,0,1000000*W34/TrRoad_act!W68)</f>
        <v>1341.1748782169168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7205.4781226282057</v>
      </c>
      <c r="C126" s="101">
        <f>IF(C36=0,0,1000000*C36/TrRoad_act!C69)</f>
        <v>6983.2880226188199</v>
      </c>
      <c r="D126" s="101">
        <f>IF(D36=0,0,1000000*D36/TrRoad_act!D69)</f>
        <v>2790.1837890606521</v>
      </c>
      <c r="E126" s="101">
        <f>IF(E36=0,0,1000000*E36/TrRoad_act!E69)</f>
        <v>5611.5810012547863</v>
      </c>
      <c r="F126" s="101">
        <f>IF(F36=0,0,1000000*F36/TrRoad_act!F69)</f>
        <v>7977.3493577425561</v>
      </c>
      <c r="G126" s="101">
        <f>IF(G36=0,0,1000000*G36/TrRoad_act!G69)</f>
        <v>11154.949992561091</v>
      </c>
      <c r="H126" s="101">
        <f>IF(H36=0,0,1000000*H36/TrRoad_act!H69)</f>
        <v>12006.026756794638</v>
      </c>
      <c r="I126" s="101">
        <f>IF(I36=0,0,1000000*I36/TrRoad_act!I69)</f>
        <v>11340.480102009729</v>
      </c>
      <c r="J126" s="101">
        <f>IF(J36=0,0,1000000*J36/TrRoad_act!J69)</f>
        <v>11271.008743552233</v>
      </c>
      <c r="K126" s="101">
        <f>IF(K36=0,0,1000000*K36/TrRoad_act!K69)</f>
        <v>8855.5630582417107</v>
      </c>
      <c r="L126" s="101">
        <f>IF(L36=0,0,1000000*L36/TrRoad_act!L69)</f>
        <v>9226.1999972583126</v>
      </c>
      <c r="M126" s="101">
        <f>IF(M36=0,0,1000000*M36/TrRoad_act!M69)</f>
        <v>9883.4967861978239</v>
      </c>
      <c r="N126" s="101">
        <f>IF(N36=0,0,1000000*N36/TrRoad_act!N69)</f>
        <v>11443.474183140781</v>
      </c>
      <c r="O126" s="101">
        <f>IF(O36=0,0,1000000*O36/TrRoad_act!O69)</f>
        <v>12111.267279313597</v>
      </c>
      <c r="P126" s="101">
        <f>IF(P36=0,0,1000000*P36/TrRoad_act!P69)</f>
        <v>14043.430723089501</v>
      </c>
      <c r="Q126" s="101">
        <f>IF(Q36=0,0,1000000*Q36/TrRoad_act!Q69)</f>
        <v>14594.461419823328</v>
      </c>
      <c r="R126" s="101">
        <f>IF(R36=0,0,1000000*R36/TrRoad_act!R69)</f>
        <v>14091.414834861565</v>
      </c>
      <c r="S126" s="101">
        <f>IF(S36=0,0,1000000*S36/TrRoad_act!S69)</f>
        <v>14655.322356398367</v>
      </c>
      <c r="T126" s="101">
        <f>IF(T36=0,0,1000000*T36/TrRoad_act!T69)</f>
        <v>17053.3627531155</v>
      </c>
      <c r="U126" s="101">
        <f>IF(U36=0,0,1000000*U36/TrRoad_act!U69)</f>
        <v>16162.980339217123</v>
      </c>
      <c r="V126" s="101">
        <f>IF(V36=0,0,1000000*V36/TrRoad_act!V69)</f>
        <v>11665.17004258817</v>
      </c>
      <c r="W126" s="101">
        <f>IF(W36=0,0,1000000*W36/TrRoad_act!W69)</f>
        <v>10275.689239426742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0</v>
      </c>
      <c r="R129" s="101">
        <f>IF(R41=0,0,1000000*R41/TrRoad_act!R72)</f>
        <v>0</v>
      </c>
      <c r="S129" s="101">
        <f>IF(S41=0,0,1000000*S41/TrRoad_act!S72)</f>
        <v>0</v>
      </c>
      <c r="T129" s="101">
        <f>IF(T41=0,0,1000000*T41/TrRoad_act!T72)</f>
        <v>13649.647582177548</v>
      </c>
      <c r="U129" s="101">
        <f>IF(U41=0,0,1000000*U41/TrRoad_act!U72)</f>
        <v>13635.663865363264</v>
      </c>
      <c r="V129" s="101">
        <f>IF(V41=0,0,1000000*V41/TrRoad_act!V72)</f>
        <v>11651.583023839061</v>
      </c>
      <c r="W129" s="101">
        <f>IF(W41=0,0,1000000*W41/TrRoad_act!W72)</f>
        <v>13691.723363409023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573.36028085153123</v>
      </c>
      <c r="C131" s="152">
        <f>IF(C43=0,0,1000000*C43/TrRoad_act!C74)</f>
        <v>540.0015022258807</v>
      </c>
      <c r="D131" s="152">
        <f>IF(D43=0,0,1000000*D43/TrRoad_act!D74)</f>
        <v>228.14425877528075</v>
      </c>
      <c r="E131" s="152">
        <f>IF(E43=0,0,1000000*E43/TrRoad_act!E74)</f>
        <v>417.10858563665596</v>
      </c>
      <c r="F131" s="152">
        <f>IF(F43=0,0,1000000*F43/TrRoad_act!F74)</f>
        <v>555.33990925372984</v>
      </c>
      <c r="G131" s="152">
        <f>IF(G43=0,0,1000000*G43/TrRoad_act!G74)</f>
        <v>760.53349345884931</v>
      </c>
      <c r="H131" s="152">
        <f>IF(H43=0,0,1000000*H43/TrRoad_act!H74)</f>
        <v>791.08726211477961</v>
      </c>
      <c r="I131" s="152">
        <f>IF(I43=0,0,1000000*I43/TrRoad_act!I74)</f>
        <v>760.23175529746243</v>
      </c>
      <c r="J131" s="152">
        <f>IF(J43=0,0,1000000*J43/TrRoad_act!J74)</f>
        <v>744.29504912982452</v>
      </c>
      <c r="K131" s="152">
        <f>IF(K43=0,0,1000000*K43/TrRoad_act!K74)</f>
        <v>686.49113089613229</v>
      </c>
      <c r="L131" s="152">
        <f>IF(L43=0,0,1000000*L43/TrRoad_act!L74)</f>
        <v>631.58275063645624</v>
      </c>
      <c r="M131" s="152">
        <f>IF(M43=0,0,1000000*M43/TrRoad_act!M74)</f>
        <v>606.57123276848472</v>
      </c>
      <c r="N131" s="152">
        <f>IF(N43=0,0,1000000*N43/TrRoad_act!N74)</f>
        <v>579.91136853676687</v>
      </c>
      <c r="O131" s="152">
        <f>IF(O43=0,0,1000000*O43/TrRoad_act!O74)</f>
        <v>580.5771668172988</v>
      </c>
      <c r="P131" s="152">
        <f>IF(P43=0,0,1000000*P43/TrRoad_act!P74)</f>
        <v>589.1025520612543</v>
      </c>
      <c r="Q131" s="152">
        <f>IF(Q43=0,0,1000000*Q43/TrRoad_act!Q74)</f>
        <v>593.95858622941603</v>
      </c>
      <c r="R131" s="152">
        <f>IF(R43=0,0,1000000*R43/TrRoad_act!R74)</f>
        <v>563.05923555897209</v>
      </c>
      <c r="S131" s="152">
        <f>IF(S43=0,0,1000000*S43/TrRoad_act!S74)</f>
        <v>590.40734920445539</v>
      </c>
      <c r="T131" s="152">
        <f>IF(T43=0,0,1000000*T43/TrRoad_act!T74)</f>
        <v>652.70891701272728</v>
      </c>
      <c r="U131" s="152">
        <f>IF(U43=0,0,1000000*U43/TrRoad_act!U74)</f>
        <v>674.08945579905185</v>
      </c>
      <c r="V131" s="152">
        <f>IF(V43=0,0,1000000*V43/TrRoad_act!V74)</f>
        <v>577.58012793243631</v>
      </c>
      <c r="W131" s="152">
        <f>IF(W43=0,0,1000000*W43/TrRoad_act!W74)</f>
        <v>551.54866924177531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394.46909339365737</v>
      </c>
      <c r="C132" s="87">
        <f>IF(C44=0,0,1000000*C44/TrRoad_act!C75)</f>
        <v>451.61748303083442</v>
      </c>
      <c r="D132" s="87">
        <f>IF(D44=0,0,1000000*D44/TrRoad_act!D75)</f>
        <v>468.40831746214928</v>
      </c>
      <c r="E132" s="87">
        <f>IF(E44=0,0,1000000*E44/TrRoad_act!E75)</f>
        <v>449.932253057281</v>
      </c>
      <c r="F132" s="87">
        <f>IF(F44=0,0,1000000*F44/TrRoad_act!F75)</f>
        <v>432.42051828008738</v>
      </c>
      <c r="G132" s="87">
        <f>IF(G44=0,0,1000000*G44/TrRoad_act!G75)</f>
        <v>439.28671858364606</v>
      </c>
      <c r="H132" s="87">
        <f>IF(H44=0,0,1000000*H44/TrRoad_act!H75)</f>
        <v>432.49890585736495</v>
      </c>
      <c r="I132" s="87">
        <f>IF(I44=0,0,1000000*I44/TrRoad_act!I75)</f>
        <v>431.74682639468028</v>
      </c>
      <c r="J132" s="87">
        <f>IF(J44=0,0,1000000*J44/TrRoad_act!J75)</f>
        <v>420.15151411526915</v>
      </c>
      <c r="K132" s="87">
        <f>IF(K44=0,0,1000000*K44/TrRoad_act!K75)</f>
        <v>407.55761164076898</v>
      </c>
      <c r="L132" s="87">
        <f>IF(L44=0,0,1000000*L44/TrRoad_act!L75)</f>
        <v>458.63514894839642</v>
      </c>
      <c r="M132" s="87">
        <f>IF(M44=0,0,1000000*M44/TrRoad_act!M75)</f>
        <v>452.3969531385178</v>
      </c>
      <c r="N132" s="87">
        <f>IF(N44=0,0,1000000*N44/TrRoad_act!N75)</f>
        <v>474.53128371236733</v>
      </c>
      <c r="O132" s="87">
        <f>IF(O44=0,0,1000000*O44/TrRoad_act!O75)</f>
        <v>474.89268691543936</v>
      </c>
      <c r="P132" s="87">
        <f>IF(P44=0,0,1000000*P44/TrRoad_act!P75)</f>
        <v>484.8138604920108</v>
      </c>
      <c r="Q132" s="87">
        <f>IF(Q44=0,0,1000000*Q44/TrRoad_act!Q75)</f>
        <v>482.55946203830899</v>
      </c>
      <c r="R132" s="87">
        <f>IF(R44=0,0,1000000*R44/TrRoad_act!R75)</f>
        <v>456.4125665047377</v>
      </c>
      <c r="S132" s="87">
        <f>IF(S44=0,0,1000000*S44/TrRoad_act!S75)</f>
        <v>451.66027695654054</v>
      </c>
      <c r="T132" s="87">
        <f>IF(T44=0,0,1000000*T44/TrRoad_act!T75)</f>
        <v>437.19173988149493</v>
      </c>
      <c r="U132" s="87">
        <f>IF(U44=0,0,1000000*U44/TrRoad_act!U75)</f>
        <v>440.71779089633969</v>
      </c>
      <c r="V132" s="87">
        <f>IF(V44=0,0,1000000*V44/TrRoad_act!V75)</f>
        <v>410.97298971921055</v>
      </c>
      <c r="W132" s="87">
        <f>IF(W44=0,0,1000000*W44/TrRoad_act!W75)</f>
        <v>398.55141228232355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584.53593386670832</v>
      </c>
      <c r="C133" s="87">
        <f>IF(C46=0,0,1000000*C46/TrRoad_act!C76)</f>
        <v>545.67637776043512</v>
      </c>
      <c r="D133" s="87">
        <f>IF(D46=0,0,1000000*D46/TrRoad_act!D76)</f>
        <v>213.15253109960395</v>
      </c>
      <c r="E133" s="87">
        <f>IF(E46=0,0,1000000*E46/TrRoad_act!E76)</f>
        <v>415.11887025318316</v>
      </c>
      <c r="F133" s="87">
        <f>IF(F46=0,0,1000000*F46/TrRoad_act!F76)</f>
        <v>562.58029842679218</v>
      </c>
      <c r="G133" s="87">
        <f>IF(G46=0,0,1000000*G46/TrRoad_act!G76)</f>
        <v>778.9334433511998</v>
      </c>
      <c r="H133" s="87">
        <f>IF(H46=0,0,1000000*H46/TrRoad_act!H76)</f>
        <v>811.05125086532541</v>
      </c>
      <c r="I133" s="87">
        <f>IF(I46=0,0,1000000*I46/TrRoad_act!I76)</f>
        <v>778.00618559620989</v>
      </c>
      <c r="J133" s="87">
        <f>IF(J46=0,0,1000000*J46/TrRoad_act!J76)</f>
        <v>761.42395348479431</v>
      </c>
      <c r="K133" s="87">
        <f>IF(K46=0,0,1000000*K46/TrRoad_act!K76)</f>
        <v>700.82631675460198</v>
      </c>
      <c r="L133" s="87">
        <f>IF(L46=0,0,1000000*L46/TrRoad_act!L76)</f>
        <v>640.2620307709426</v>
      </c>
      <c r="M133" s="87">
        <f>IF(M46=0,0,1000000*M46/TrRoad_act!M76)</f>
        <v>613.86944942232117</v>
      </c>
      <c r="N133" s="87">
        <f>IF(N46=0,0,1000000*N46/TrRoad_act!N76)</f>
        <v>584.48976371273773</v>
      </c>
      <c r="O133" s="87">
        <f>IF(O46=0,0,1000000*O46/TrRoad_act!O76)</f>
        <v>585.23533491785997</v>
      </c>
      <c r="P133" s="87">
        <f>IF(P46=0,0,1000000*P46/TrRoad_act!P76)</f>
        <v>593.57890735866567</v>
      </c>
      <c r="Q133" s="87">
        <f>IF(Q46=0,0,1000000*Q46/TrRoad_act!Q76)</f>
        <v>598.53098615006854</v>
      </c>
      <c r="R133" s="87">
        <f>IF(R46=0,0,1000000*R46/TrRoad_act!R76)</f>
        <v>567.28335988069239</v>
      </c>
      <c r="S133" s="87">
        <f>IF(S46=0,0,1000000*S46/TrRoad_act!S76)</f>
        <v>595.48103778473683</v>
      </c>
      <c r="T133" s="87">
        <f>IF(T46=0,0,1000000*T46/TrRoad_act!T76)</f>
        <v>660.14331496049647</v>
      </c>
      <c r="U133" s="87">
        <f>IF(U46=0,0,1000000*U46/TrRoad_act!U76)</f>
        <v>683.39813329388812</v>
      </c>
      <c r="V133" s="87">
        <f>IF(V46=0,0,1000000*V46/TrRoad_act!V76)</f>
        <v>584.30016121606241</v>
      </c>
      <c r="W133" s="87">
        <f>IF(W46=0,0,1000000*W46/TrRoad_act!W76)</f>
        <v>558.05358986657518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871.4191166909161</v>
      </c>
      <c r="T134" s="87">
        <f>IF(T48=0,0,1000000*T48/TrRoad_act!T77)</f>
        <v>836.28346605391118</v>
      </c>
      <c r="U134" s="87">
        <f>IF(U48=0,0,1000000*U48/TrRoad_act!U77)</f>
        <v>793.42620707939818</v>
      </c>
      <c r="V134" s="87">
        <f>IF(V48=0,0,1000000*V48/TrRoad_act!V77)</f>
        <v>747.63681480384378</v>
      </c>
      <c r="W134" s="87">
        <f>IF(W48=0,0,1000000*W48/TrRoad_act!W77)</f>
        <v>712.61493499944083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116.86103462384173</v>
      </c>
      <c r="K136" s="87">
        <f>IF(K51=0,0,1000000*K51/TrRoad_act!K79)</f>
        <v>120.05359745964546</v>
      </c>
      <c r="L136" s="87">
        <f>IF(L51=0,0,1000000*L51/TrRoad_act!L79)</f>
        <v>130.91837030379219</v>
      </c>
      <c r="M136" s="87">
        <f>IF(M51=0,0,1000000*M51/TrRoad_act!M79)</f>
        <v>134.03707790353982</v>
      </c>
      <c r="N136" s="87">
        <f>IF(N51=0,0,1000000*N51/TrRoad_act!N79)</f>
        <v>134.65662214242869</v>
      </c>
      <c r="O136" s="87">
        <f>IF(O51=0,0,1000000*O51/TrRoad_act!O79)</f>
        <v>138.87662694388436</v>
      </c>
      <c r="P136" s="87">
        <f>IF(P51=0,0,1000000*P51/TrRoad_act!P79)</f>
        <v>139.34845231441511</v>
      </c>
      <c r="Q136" s="87">
        <f>IF(Q51=0,0,1000000*Q51/TrRoad_act!Q79)</f>
        <v>142.77836547718317</v>
      </c>
      <c r="R136" s="87">
        <f>IF(R51=0,0,1000000*R51/TrRoad_act!R79)</f>
        <v>143.85416540534834</v>
      </c>
      <c r="S136" s="87">
        <f>IF(S51=0,0,1000000*S51/TrRoad_act!S79)</f>
        <v>150.72735733158066</v>
      </c>
      <c r="T136" s="87">
        <f>IF(T51=0,0,1000000*T51/TrRoad_act!T79)</f>
        <v>152.89998620847786</v>
      </c>
      <c r="U136" s="87">
        <f>IF(U51=0,0,1000000*U51/TrRoad_act!U79)</f>
        <v>202.6850536488495</v>
      </c>
      <c r="V136" s="87">
        <f>IF(V51=0,0,1000000*V51/TrRoad_act!V79)</f>
        <v>198.77320377722057</v>
      </c>
      <c r="W136" s="87">
        <f>IF(W51=0,0,1000000*W51/TrRoad_act!W79)</f>
        <v>206.50208353743187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3911.5777362901244</v>
      </c>
      <c r="C137" s="116">
        <f>IF(C52=0,0,1000000*C52/TrRoad_act!C80)</f>
        <v>3438.7897036300628</v>
      </c>
      <c r="D137" s="116">
        <f>IF(D52=0,0,1000000*D52/TrRoad_act!D80)</f>
        <v>424.47066890427607</v>
      </c>
      <c r="E137" s="116">
        <f>IF(E52=0,0,1000000*E52/TrRoad_act!E80)</f>
        <v>1925.7125452752389</v>
      </c>
      <c r="F137" s="116">
        <f>IF(F52=0,0,1000000*F52/TrRoad_act!F80)</f>
        <v>4344.7184156961139</v>
      </c>
      <c r="G137" s="116">
        <f>IF(G52=0,0,1000000*G52/TrRoad_act!G80)</f>
        <v>3037.7818886990831</v>
      </c>
      <c r="H137" s="116">
        <f>IF(H52=0,0,1000000*H52/TrRoad_act!H80)</f>
        <v>3018.584134950469</v>
      </c>
      <c r="I137" s="116">
        <f>IF(I52=0,0,1000000*I52/TrRoad_act!I80)</f>
        <v>3330.0146926452021</v>
      </c>
      <c r="J137" s="116">
        <f>IF(J52=0,0,1000000*J52/TrRoad_act!J80)</f>
        <v>3334.974545537435</v>
      </c>
      <c r="K137" s="116">
        <f>IF(K52=0,0,1000000*K52/TrRoad_act!K80)</f>
        <v>3004.7968652393988</v>
      </c>
      <c r="L137" s="116">
        <f>IF(L52=0,0,1000000*L52/TrRoad_act!L80)</f>
        <v>2419.8426582784541</v>
      </c>
      <c r="M137" s="116">
        <f>IF(M52=0,0,1000000*M52/TrRoad_act!M80)</f>
        <v>2130.121541817407</v>
      </c>
      <c r="N137" s="116">
        <f>IF(N52=0,0,1000000*N52/TrRoad_act!N80)</f>
        <v>1932.9628358862594</v>
      </c>
      <c r="O137" s="116">
        <f>IF(O52=0,0,1000000*O52/TrRoad_act!O80)</f>
        <v>1995.6990069835422</v>
      </c>
      <c r="P137" s="116">
        <f>IF(P52=0,0,1000000*P52/TrRoad_act!P80)</f>
        <v>1882.7150662820741</v>
      </c>
      <c r="Q137" s="116">
        <f>IF(Q52=0,0,1000000*Q52/TrRoad_act!Q80)</f>
        <v>1781.3922716452823</v>
      </c>
      <c r="R137" s="116">
        <f>IF(R52=0,0,1000000*R52/TrRoad_act!R80)</f>
        <v>1767.1332959528165</v>
      </c>
      <c r="S137" s="116">
        <f>IF(S52=0,0,1000000*S52/TrRoad_act!S80)</f>
        <v>1804.0049805575516</v>
      </c>
      <c r="T137" s="116">
        <f>IF(T52=0,0,1000000*T52/TrRoad_act!T80)</f>
        <v>1971.9560177473877</v>
      </c>
      <c r="U137" s="116">
        <f>IF(U52=0,0,1000000*U52/TrRoad_act!U80)</f>
        <v>2039.588922212665</v>
      </c>
      <c r="V137" s="116">
        <f>IF(V52=0,0,1000000*V52/TrRoad_act!V80)</f>
        <v>1797.7081356584413</v>
      </c>
      <c r="W137" s="116">
        <f>IF(W52=0,0,1000000*W52/TrRoad_act!W80)</f>
        <v>1786.9590592594423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3911.5777362901244</v>
      </c>
      <c r="C138" s="101">
        <f>IF(C53=0,0,1000000*C53/TrRoad_act!C81)</f>
        <v>3438.7897036300628</v>
      </c>
      <c r="D138" s="101">
        <f>IF(D53=0,0,1000000*D53/TrRoad_act!D81)</f>
        <v>424.47066890427607</v>
      </c>
      <c r="E138" s="101">
        <f>IF(E53=0,0,1000000*E53/TrRoad_act!E81)</f>
        <v>1925.7125452752389</v>
      </c>
      <c r="F138" s="101">
        <f>IF(F53=0,0,1000000*F53/TrRoad_act!F81)</f>
        <v>4344.7184156961139</v>
      </c>
      <c r="G138" s="101">
        <f>IF(G53=0,0,1000000*G53/TrRoad_act!G81)</f>
        <v>3037.7818886990831</v>
      </c>
      <c r="H138" s="101">
        <f>IF(H53=0,0,1000000*H53/TrRoad_act!H81)</f>
        <v>3018.584134950469</v>
      </c>
      <c r="I138" s="101">
        <f>IF(I53=0,0,1000000*I53/TrRoad_act!I81)</f>
        <v>3330.0146926452021</v>
      </c>
      <c r="J138" s="101">
        <f>IF(J53=0,0,1000000*J53/TrRoad_act!J81)</f>
        <v>3334.974545537435</v>
      </c>
      <c r="K138" s="101">
        <f>IF(K53=0,0,1000000*K53/TrRoad_act!K81)</f>
        <v>3004.7968652393988</v>
      </c>
      <c r="L138" s="101">
        <f>IF(L53=0,0,1000000*L53/TrRoad_act!L81)</f>
        <v>2419.8426582784541</v>
      </c>
      <c r="M138" s="101">
        <f>IF(M53=0,0,1000000*M53/TrRoad_act!M81)</f>
        <v>2130.121541817407</v>
      </c>
      <c r="N138" s="101">
        <f>IF(N53=0,0,1000000*N53/TrRoad_act!N81)</f>
        <v>1932.9628358862594</v>
      </c>
      <c r="O138" s="101">
        <f>IF(O53=0,0,1000000*O53/TrRoad_act!O81)</f>
        <v>1995.6990069835422</v>
      </c>
      <c r="P138" s="101">
        <f>IF(P53=0,0,1000000*P53/TrRoad_act!P81)</f>
        <v>1882.7150662820741</v>
      </c>
      <c r="Q138" s="101">
        <f>IF(Q53=0,0,1000000*Q53/TrRoad_act!Q81)</f>
        <v>1781.3922716452823</v>
      </c>
      <c r="R138" s="101">
        <f>IF(R53=0,0,1000000*R53/TrRoad_act!R81)</f>
        <v>1767.1332959528165</v>
      </c>
      <c r="S138" s="101">
        <f>IF(S53=0,0,1000000*S53/TrRoad_act!S81)</f>
        <v>1804.0049805575516</v>
      </c>
      <c r="T138" s="101">
        <f>IF(T53=0,0,1000000*T53/TrRoad_act!T81)</f>
        <v>1971.9560177473877</v>
      </c>
      <c r="U138" s="101">
        <f>IF(U53=0,0,1000000*U53/TrRoad_act!U81)</f>
        <v>2039.588922212665</v>
      </c>
      <c r="V138" s="101">
        <f>IF(V53=0,0,1000000*V53/TrRoad_act!V81)</f>
        <v>1797.7081356584413</v>
      </c>
      <c r="W138" s="101">
        <f>IF(W53=0,0,1000000*W53/TrRoad_act!W81)</f>
        <v>1786.9590592594423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0</v>
      </c>
      <c r="C139" s="88">
        <f>IF(C55=0,0,1000000*C55/TrRoad_act!C82)</f>
        <v>0</v>
      </c>
      <c r="D139" s="88">
        <f>IF(D55=0,0,1000000*D55/TrRoad_act!D82)</f>
        <v>0</v>
      </c>
      <c r="E139" s="88">
        <f>IF(E55=0,0,1000000*E55/TrRoad_act!E82)</f>
        <v>0</v>
      </c>
      <c r="F139" s="88">
        <f>IF(F55=0,0,1000000*F55/TrRoad_act!F82)</f>
        <v>0</v>
      </c>
      <c r="G139" s="88">
        <f>IF(G55=0,0,1000000*G55/TrRoad_act!G82)</f>
        <v>0</v>
      </c>
      <c r="H139" s="88">
        <f>IF(H55=0,0,1000000*H55/TrRoad_act!H82)</f>
        <v>0</v>
      </c>
      <c r="I139" s="88">
        <f>IF(I55=0,0,1000000*I55/TrRoad_act!I82)</f>
        <v>0</v>
      </c>
      <c r="J139" s="88">
        <f>IF(J55=0,0,1000000*J55/TrRoad_act!J82)</f>
        <v>0</v>
      </c>
      <c r="K139" s="88">
        <f>IF(K55=0,0,1000000*K55/TrRoad_act!K82)</f>
        <v>0</v>
      </c>
      <c r="L139" s="88">
        <f>IF(L55=0,0,1000000*L55/TrRoad_act!L82)</f>
        <v>0</v>
      </c>
      <c r="M139" s="88">
        <f>IF(M55=0,0,1000000*M55/TrRoad_act!M82)</f>
        <v>0</v>
      </c>
      <c r="N139" s="88">
        <f>IF(N55=0,0,1000000*N55/TrRoad_act!N82)</f>
        <v>0</v>
      </c>
      <c r="O139" s="88">
        <f>IF(O55=0,0,1000000*O55/TrRoad_act!O82)</f>
        <v>0</v>
      </c>
      <c r="P139" s="88">
        <f>IF(P55=0,0,1000000*P55/TrRoad_act!P82)</f>
        <v>0</v>
      </c>
      <c r="Q139" s="88">
        <f>IF(Q55=0,0,1000000*Q55/TrRoad_act!Q82)</f>
        <v>0</v>
      </c>
      <c r="R139" s="88">
        <f>IF(R55=0,0,1000000*R55/TrRoad_act!R82)</f>
        <v>0</v>
      </c>
      <c r="S139" s="88">
        <f>IF(S55=0,0,1000000*S55/TrRoad_act!S82)</f>
        <v>0</v>
      </c>
      <c r="T139" s="88">
        <f>IF(T55=0,0,1000000*T55/TrRoad_act!T82)</f>
        <v>0</v>
      </c>
      <c r="U139" s="88">
        <f>IF(U55=0,0,1000000*U55/TrRoad_act!U82)</f>
        <v>0</v>
      </c>
      <c r="V139" s="88">
        <f>IF(V55=0,0,1000000*V55/TrRoad_act!V82)</f>
        <v>0</v>
      </c>
      <c r="W139" s="88">
        <f>IF(W55=0,0,1000000*W55/TrRoad_act!W82)</f>
        <v>0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0.61517910390260921</v>
      </c>
      <c r="C142" s="46">
        <f t="shared" si="41"/>
        <v>0.62966640869279311</v>
      </c>
      <c r="D142" s="46">
        <f t="shared" si="41"/>
        <v>0.88642460383269595</v>
      </c>
      <c r="E142" s="46">
        <f t="shared" si="41"/>
        <v>0.73117706893017664</v>
      </c>
      <c r="F142" s="46">
        <f t="shared" si="41"/>
        <v>0.57183496662377653</v>
      </c>
      <c r="G142" s="46">
        <f t="shared" si="41"/>
        <v>0.64697377268348377</v>
      </c>
      <c r="H142" s="46">
        <f t="shared" si="41"/>
        <v>0.64978023203640001</v>
      </c>
      <c r="I142" s="46">
        <f t="shared" si="41"/>
        <v>0.64314391346889377</v>
      </c>
      <c r="J142" s="46">
        <f t="shared" si="41"/>
        <v>0.67584702028907662</v>
      </c>
      <c r="K142" s="46">
        <f t="shared" si="41"/>
        <v>0.67091804722058712</v>
      </c>
      <c r="L142" s="46">
        <f t="shared" ref="L142" si="42">IF(L18=0,0,L18/L$17)</f>
        <v>0.73650589650721887</v>
      </c>
      <c r="M142" s="46">
        <f t="shared" ref="M142:V142" si="43">IF(M18=0,0,M18/M$17)</f>
        <v>0.75573660017756916</v>
      </c>
      <c r="N142" s="46">
        <f t="shared" si="43"/>
        <v>0.77320964626717925</v>
      </c>
      <c r="O142" s="46">
        <f t="shared" si="43"/>
        <v>0.77522638638869623</v>
      </c>
      <c r="P142" s="46">
        <f t="shared" si="43"/>
        <v>0.78528922887190866</v>
      </c>
      <c r="Q142" s="46">
        <f t="shared" si="43"/>
        <v>0.79737004550611823</v>
      </c>
      <c r="R142" s="46">
        <f t="shared" si="43"/>
        <v>0.80025421360892746</v>
      </c>
      <c r="S142" s="46">
        <f t="shared" si="43"/>
        <v>0.79262435873548753</v>
      </c>
      <c r="T142" s="46">
        <f t="shared" si="43"/>
        <v>0.78888454117106166</v>
      </c>
      <c r="U142" s="46">
        <f t="shared" si="43"/>
        <v>0.78318564865305929</v>
      </c>
      <c r="V142" s="46">
        <f t="shared" si="43"/>
        <v>0.76486958456801124</v>
      </c>
      <c r="W142" s="46">
        <f t="shared" ref="W142" si="44">IF(W18=0,0,W18/W$17)</f>
        <v>0.77465237861611846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7.4678200588287067E-3</v>
      </c>
      <c r="C143" s="154">
        <f t="shared" si="45"/>
        <v>8.2553111910724526E-3</v>
      </c>
      <c r="D143" s="154">
        <f t="shared" si="45"/>
        <v>1.2461357660497831E-2</v>
      </c>
      <c r="E143" s="154">
        <f t="shared" si="45"/>
        <v>1.0099339787491517E-2</v>
      </c>
      <c r="F143" s="154">
        <f t="shared" si="45"/>
        <v>7.8088433542560032E-3</v>
      </c>
      <c r="G143" s="154">
        <f t="shared" si="45"/>
        <v>6.945363101691338E-3</v>
      </c>
      <c r="H143" s="154">
        <f t="shared" si="45"/>
        <v>6.8930507616167249E-3</v>
      </c>
      <c r="I143" s="154">
        <f t="shared" si="45"/>
        <v>6.9506323827282909E-3</v>
      </c>
      <c r="J143" s="154">
        <f t="shared" si="45"/>
        <v>7.0113208936978515E-3</v>
      </c>
      <c r="K143" s="154">
        <f t="shared" si="45"/>
        <v>7.8301619658782406E-3</v>
      </c>
      <c r="L143" s="154">
        <f t="shared" ref="L143" si="46">IF(L19=0,0,L19/L$17)</f>
        <v>7.4607386020077602E-3</v>
      </c>
      <c r="M143" s="154">
        <f t="shared" ref="M143:V143" si="47">IF(M19=0,0,M19/M$17)</f>
        <v>7.8652900737764125E-3</v>
      </c>
      <c r="N143" s="154">
        <f t="shared" si="47"/>
        <v>7.8286019088838494E-3</v>
      </c>
      <c r="O143" s="154">
        <f t="shared" si="47"/>
        <v>7.9770631060257918E-3</v>
      </c>
      <c r="P143" s="154">
        <f t="shared" si="47"/>
        <v>8.2734921043434977E-3</v>
      </c>
      <c r="Q143" s="154">
        <f t="shared" si="47"/>
        <v>7.9623611639697001E-3</v>
      </c>
      <c r="R143" s="154">
        <f t="shared" si="47"/>
        <v>8.4276800472770884E-3</v>
      </c>
      <c r="S143" s="154">
        <f t="shared" si="47"/>
        <v>7.7226368545819492E-3</v>
      </c>
      <c r="T143" s="154">
        <f t="shared" si="47"/>
        <v>6.8546680634611248E-3</v>
      </c>
      <c r="U143" s="154">
        <f t="shared" si="47"/>
        <v>6.9473128861170233E-3</v>
      </c>
      <c r="V143" s="154">
        <f t="shared" si="47"/>
        <v>7.1887041404322463E-3</v>
      </c>
      <c r="W143" s="154">
        <f t="shared" ref="W143" si="48">IF(W19=0,0,W19/W$17)</f>
        <v>6.8225658465038497E-3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0.53371801046054501</v>
      </c>
      <c r="C144" s="156">
        <f t="shared" si="49"/>
        <v>0.54457677487316047</v>
      </c>
      <c r="D144" s="156">
        <f t="shared" si="49"/>
        <v>0.82899213344156419</v>
      </c>
      <c r="E144" s="156">
        <f t="shared" si="49"/>
        <v>0.64916177931988239</v>
      </c>
      <c r="F144" s="156">
        <f t="shared" si="49"/>
        <v>0.47919200414735863</v>
      </c>
      <c r="G144" s="156">
        <f t="shared" si="49"/>
        <v>0.52734392476739378</v>
      </c>
      <c r="H144" s="156">
        <f t="shared" si="49"/>
        <v>0.52464030208306833</v>
      </c>
      <c r="I144" s="156">
        <f t="shared" si="49"/>
        <v>0.52701844634589223</v>
      </c>
      <c r="J144" s="156">
        <f t="shared" si="49"/>
        <v>0.57019413901642502</v>
      </c>
      <c r="K144" s="156">
        <f t="shared" si="49"/>
        <v>0.56657513903970735</v>
      </c>
      <c r="L144" s="156">
        <f t="shared" ref="L144" si="50">IF(L21=0,0,L21/L$17)</f>
        <v>0.62810476320818898</v>
      </c>
      <c r="M144" s="156">
        <f t="shared" ref="M144:V144" si="51">IF(M21=0,0,M21/M$17)</f>
        <v>0.64391493467800853</v>
      </c>
      <c r="N144" s="156">
        <f t="shared" si="51"/>
        <v>0.64574287629839611</v>
      </c>
      <c r="O144" s="156">
        <f t="shared" si="51"/>
        <v>0.64703070004899876</v>
      </c>
      <c r="P144" s="156">
        <f t="shared" si="51"/>
        <v>0.63519412457838897</v>
      </c>
      <c r="Q144" s="156">
        <f t="shared" si="51"/>
        <v>0.63739713284073429</v>
      </c>
      <c r="R144" s="156">
        <f t="shared" si="51"/>
        <v>0.64254985714685653</v>
      </c>
      <c r="S144" s="156">
        <f t="shared" si="51"/>
        <v>0.62884401338453166</v>
      </c>
      <c r="T144" s="156">
        <f t="shared" si="51"/>
        <v>0.61660657870315672</v>
      </c>
      <c r="U144" s="156">
        <f t="shared" si="51"/>
        <v>0.61489080003377561</v>
      </c>
      <c r="V144" s="156">
        <f t="shared" si="51"/>
        <v>0.61975783681224927</v>
      </c>
      <c r="W144" s="156">
        <f t="shared" ref="W144" si="52">IF(W21=0,0,W21/W$17)</f>
        <v>0.64446009810586247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0.47868849949107412</v>
      </c>
      <c r="C145" s="103">
        <f t="shared" si="53"/>
        <v>0.4828568862241378</v>
      </c>
      <c r="D145" s="103">
        <f t="shared" si="53"/>
        <v>0.79063079435921091</v>
      </c>
      <c r="E145" s="103">
        <f t="shared" si="53"/>
        <v>0.5842685678696774</v>
      </c>
      <c r="F145" s="103">
        <f t="shared" si="53"/>
        <v>0.40032181468242839</v>
      </c>
      <c r="G145" s="103">
        <f t="shared" si="53"/>
        <v>0.41631096081305224</v>
      </c>
      <c r="H145" s="103">
        <f t="shared" si="53"/>
        <v>0.40553276053892101</v>
      </c>
      <c r="I145" s="103">
        <f t="shared" si="53"/>
        <v>0.41387598328855857</v>
      </c>
      <c r="J145" s="103">
        <f t="shared" si="53"/>
        <v>0.46660525252673696</v>
      </c>
      <c r="K145" s="103">
        <f t="shared" si="53"/>
        <v>0.45283185229117084</v>
      </c>
      <c r="L145" s="103">
        <f t="shared" ref="L145" si="54">IF(L22=0,0,L22/L$17)</f>
        <v>0.42794384392571061</v>
      </c>
      <c r="M145" s="103">
        <f t="shared" ref="M145:V145" si="55">IF(M22=0,0,M22/M$17)</f>
        <v>0.43336867406216301</v>
      </c>
      <c r="N145" s="103">
        <f t="shared" si="55"/>
        <v>0.42708278794270882</v>
      </c>
      <c r="O145" s="103">
        <f t="shared" si="55"/>
        <v>0.41880122942736175</v>
      </c>
      <c r="P145" s="103">
        <f t="shared" si="55"/>
        <v>0.40503960418392448</v>
      </c>
      <c r="Q145" s="103">
        <f t="shared" si="55"/>
        <v>0.40515078208367516</v>
      </c>
      <c r="R145" s="103">
        <f t="shared" si="55"/>
        <v>0.40268227797188905</v>
      </c>
      <c r="S145" s="103">
        <f t="shared" si="55"/>
        <v>0.39564160664671627</v>
      </c>
      <c r="T145" s="103">
        <f t="shared" si="55"/>
        <v>0.35630067413712252</v>
      </c>
      <c r="U145" s="103">
        <f t="shared" si="55"/>
        <v>0.36033617648613769</v>
      </c>
      <c r="V145" s="103">
        <f t="shared" si="55"/>
        <v>0.3667217618031664</v>
      </c>
      <c r="W145" s="103">
        <f t="shared" ref="W145" si="56">IF(W22=0,0,W22/W$17)</f>
        <v>0.38402899293953552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5.5029510969470889E-2</v>
      </c>
      <c r="C146" s="103">
        <f t="shared" si="57"/>
        <v>6.1719888649022635E-2</v>
      </c>
      <c r="D146" s="103">
        <f t="shared" si="57"/>
        <v>3.8361339082353334E-2</v>
      </c>
      <c r="E146" s="103">
        <f t="shared" si="57"/>
        <v>6.4884364259821553E-2</v>
      </c>
      <c r="F146" s="103">
        <f t="shared" si="57"/>
        <v>7.8859485881461647E-2</v>
      </c>
      <c r="G146" s="103">
        <f t="shared" si="57"/>
        <v>0.1110208450481668</v>
      </c>
      <c r="H146" s="103">
        <f t="shared" si="57"/>
        <v>0.11909405425348009</v>
      </c>
      <c r="I146" s="103">
        <f t="shared" si="57"/>
        <v>0.1131213269634767</v>
      </c>
      <c r="J146" s="103">
        <f t="shared" si="57"/>
        <v>0.10356736407680059</v>
      </c>
      <c r="K146" s="103">
        <f t="shared" si="57"/>
        <v>0.1137163210212857</v>
      </c>
      <c r="L146" s="103">
        <f t="shared" ref="L146" si="58">IF(L24=0,0,L24/L$17)</f>
        <v>0.19941572972410693</v>
      </c>
      <c r="M146" s="103">
        <f t="shared" ref="M146:V146" si="59">IF(M24=0,0,M24/M$17)</f>
        <v>0.20977865258594844</v>
      </c>
      <c r="N146" s="103">
        <f t="shared" si="59"/>
        <v>0.21775525786014072</v>
      </c>
      <c r="O146" s="103">
        <f t="shared" si="59"/>
        <v>0.2269739401722155</v>
      </c>
      <c r="P146" s="103">
        <f t="shared" si="59"/>
        <v>0.22799863654005192</v>
      </c>
      <c r="Q146" s="103">
        <f t="shared" si="59"/>
        <v>0.22927313483630846</v>
      </c>
      <c r="R146" s="103">
        <f t="shared" si="59"/>
        <v>0.23102407193200103</v>
      </c>
      <c r="S146" s="103">
        <f t="shared" si="59"/>
        <v>0.22669896352827876</v>
      </c>
      <c r="T146" s="103">
        <f t="shared" si="59"/>
        <v>0.25361598619569797</v>
      </c>
      <c r="U146" s="103">
        <f t="shared" si="59"/>
        <v>0.24731569239801779</v>
      </c>
      <c r="V146" s="103">
        <f t="shared" si="59"/>
        <v>0.24395470247720552</v>
      </c>
      <c r="W146" s="103">
        <f t="shared" ref="W146" si="60">IF(W24=0,0,W24/W$17)</f>
        <v>0.24913309689903032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0</v>
      </c>
      <c r="H147" s="103">
        <f t="shared" si="61"/>
        <v>0</v>
      </c>
      <c r="I147" s="103">
        <f t="shared" si="61"/>
        <v>0</v>
      </c>
      <c r="J147" s="103">
        <f t="shared" si="61"/>
        <v>0</v>
      </c>
      <c r="K147" s="103">
        <f t="shared" si="61"/>
        <v>0</v>
      </c>
      <c r="L147" s="103">
        <f t="shared" ref="L147" si="62">IF(L26=0,0,L26/L$17)</f>
        <v>0</v>
      </c>
      <c r="M147" s="103">
        <f t="shared" ref="M147:V147" si="63">IF(M26=0,0,M26/M$17)</f>
        <v>0</v>
      </c>
      <c r="N147" s="103">
        <f t="shared" si="63"/>
        <v>0</v>
      </c>
      <c r="O147" s="103">
        <f t="shared" si="63"/>
        <v>0</v>
      </c>
      <c r="P147" s="103">
        <f t="shared" si="63"/>
        <v>0</v>
      </c>
      <c r="Q147" s="103">
        <f t="shared" si="63"/>
        <v>0</v>
      </c>
      <c r="R147" s="103">
        <f t="shared" si="63"/>
        <v>5.8554036419168178E-3</v>
      </c>
      <c r="S147" s="103">
        <f t="shared" si="63"/>
        <v>3.5492693592542126E-3</v>
      </c>
      <c r="T147" s="103">
        <f t="shared" si="63"/>
        <v>3.5737048443017249E-3</v>
      </c>
      <c r="U147" s="103">
        <f t="shared" si="63"/>
        <v>3.4818686602985627E-3</v>
      </c>
      <c r="V147" s="103">
        <f t="shared" si="63"/>
        <v>3.8240716426155268E-3</v>
      </c>
      <c r="W147" s="103">
        <f t="shared" ref="W147" si="64">IF(W26=0,0,W26/W$17)</f>
        <v>4.2578238890495432E-3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0</v>
      </c>
      <c r="U148" s="103">
        <f t="shared" si="67"/>
        <v>0</v>
      </c>
      <c r="V148" s="103">
        <f t="shared" si="67"/>
        <v>0</v>
      </c>
      <c r="W148" s="103">
        <f t="shared" ref="W148" si="68">IF(W27=0,0,W27/W$17)</f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7.1682587826372469E-4</v>
      </c>
      <c r="M149" s="103">
        <f t="shared" ref="M149:V149" si="71">IF(M29=0,0,M29/M$17)</f>
        <v>7.4366241551571566E-4</v>
      </c>
      <c r="N149" s="103">
        <f t="shared" si="71"/>
        <v>8.751322010612521E-4</v>
      </c>
      <c r="O149" s="103">
        <f t="shared" si="71"/>
        <v>1.2189630368273174E-3</v>
      </c>
      <c r="P149" s="103">
        <f t="shared" si="71"/>
        <v>2.0914423119310611E-3</v>
      </c>
      <c r="Q149" s="103">
        <f t="shared" si="71"/>
        <v>2.8899783913110266E-3</v>
      </c>
      <c r="R149" s="103">
        <f t="shared" si="71"/>
        <v>2.8915894650825258E-3</v>
      </c>
      <c r="S149" s="103">
        <f t="shared" si="71"/>
        <v>2.8360089542179608E-3</v>
      </c>
      <c r="T149" s="103">
        <f t="shared" si="71"/>
        <v>2.9349363670132566E-3</v>
      </c>
      <c r="U149" s="103">
        <f t="shared" si="71"/>
        <v>3.051465741061066E-3</v>
      </c>
      <c r="V149" s="103">
        <f t="shared" si="71"/>
        <v>3.7216836962906058E-3</v>
      </c>
      <c r="W149" s="103">
        <f t="shared" ref="W149" si="72">IF(W29=0,0,W29/W$17)</f>
        <v>5.3424791394798424E-3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8.8471903834955983E-6</v>
      </c>
      <c r="F150" s="103">
        <f t="shared" si="73"/>
        <v>1.0703583468573707E-5</v>
      </c>
      <c r="G150" s="103">
        <f t="shared" si="73"/>
        <v>1.211890617476473E-5</v>
      </c>
      <c r="H150" s="103">
        <f t="shared" si="73"/>
        <v>1.3487290667313471E-5</v>
      </c>
      <c r="I150" s="103">
        <f t="shared" si="73"/>
        <v>2.1136093857076274E-5</v>
      </c>
      <c r="J150" s="103">
        <f t="shared" si="73"/>
        <v>2.1522412887439277E-5</v>
      </c>
      <c r="K150" s="103">
        <f t="shared" si="73"/>
        <v>2.6965727250762087E-5</v>
      </c>
      <c r="L150" s="103">
        <f t="shared" ref="L150" si="74">IF(L32=0,0,L32/L$17)</f>
        <v>2.836368010776836E-5</v>
      </c>
      <c r="M150" s="103">
        <f t="shared" ref="M150:V150" si="75">IF(M32=0,0,M32/M$17)</f>
        <v>2.3945614381423203E-5</v>
      </c>
      <c r="N150" s="103">
        <f t="shared" si="75"/>
        <v>2.9698294485283207E-5</v>
      </c>
      <c r="O150" s="103">
        <f t="shared" si="75"/>
        <v>3.6567412594123869E-5</v>
      </c>
      <c r="P150" s="103">
        <f t="shared" si="75"/>
        <v>6.4441542481485882E-5</v>
      </c>
      <c r="Q150" s="103">
        <f t="shared" si="75"/>
        <v>8.3237529439639444E-5</v>
      </c>
      <c r="R150" s="103">
        <f t="shared" si="75"/>
        <v>9.6514135966994775E-5</v>
      </c>
      <c r="S150" s="103">
        <f t="shared" si="75"/>
        <v>1.1816489606463525E-4</v>
      </c>
      <c r="T150" s="103">
        <f t="shared" si="75"/>
        <v>1.8127715902116053E-4</v>
      </c>
      <c r="U150" s="103">
        <f t="shared" si="75"/>
        <v>7.0559674826052175E-4</v>
      </c>
      <c r="V150" s="103">
        <f t="shared" si="75"/>
        <v>1.5356171929712984E-3</v>
      </c>
      <c r="W150" s="103">
        <f t="shared" ref="W150" si="76">IF(W32=0,0,W32/W$17)</f>
        <v>1.6977052387672452E-3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7.3993273383235414E-2</v>
      </c>
      <c r="C151" s="156">
        <f t="shared" si="77"/>
        <v>7.68343226285602E-2</v>
      </c>
      <c r="D151" s="156">
        <f t="shared" si="77"/>
        <v>4.4971112730633943E-2</v>
      </c>
      <c r="E151" s="156">
        <f t="shared" si="77"/>
        <v>7.1915949822802722E-2</v>
      </c>
      <c r="F151" s="156">
        <f t="shared" si="77"/>
        <v>8.4834119122161822E-2</v>
      </c>
      <c r="G151" s="156">
        <f t="shared" si="77"/>
        <v>0.11268448481439861</v>
      </c>
      <c r="H151" s="156">
        <f t="shared" si="77"/>
        <v>0.11824687919171498</v>
      </c>
      <c r="I151" s="156">
        <f t="shared" si="77"/>
        <v>0.10917483474027312</v>
      </c>
      <c r="J151" s="156">
        <f t="shared" si="77"/>
        <v>9.8641560378953774E-2</v>
      </c>
      <c r="K151" s="156">
        <f t="shared" si="77"/>
        <v>9.6512746215001596E-2</v>
      </c>
      <c r="L151" s="156">
        <f t="shared" ref="L151" si="78">IF(L33=0,0,L33/L$17)</f>
        <v>0.1009403946970221</v>
      </c>
      <c r="M151" s="156">
        <f t="shared" ref="M151:V151" si="79">IF(M33=0,0,M33/M$17)</f>
        <v>0.10395637542578427</v>
      </c>
      <c r="N151" s="156">
        <f t="shared" si="79"/>
        <v>0.11963816805989934</v>
      </c>
      <c r="O151" s="156">
        <f t="shared" si="79"/>
        <v>0.12021862323367166</v>
      </c>
      <c r="P151" s="156">
        <f t="shared" si="79"/>
        <v>0.14182161218917624</v>
      </c>
      <c r="Q151" s="156">
        <f t="shared" si="79"/>
        <v>0.15201055150141424</v>
      </c>
      <c r="R151" s="156">
        <f t="shared" si="79"/>
        <v>0.14927667641479392</v>
      </c>
      <c r="S151" s="156">
        <f t="shared" si="79"/>
        <v>0.1560577084963739</v>
      </c>
      <c r="T151" s="156">
        <f t="shared" si="79"/>
        <v>0.16542329440444387</v>
      </c>
      <c r="U151" s="156">
        <f t="shared" si="79"/>
        <v>0.16134753573316674</v>
      </c>
      <c r="V151" s="156">
        <f t="shared" si="79"/>
        <v>0.13792304361532973</v>
      </c>
      <c r="W151" s="156">
        <f t="shared" ref="W151" si="80">IF(W33=0,0,W33/W$17)</f>
        <v>0.12336971466375209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2.6752679787458061E-4</v>
      </c>
      <c r="M152" s="103">
        <f t="shared" ref="M152:V152" si="83">IF(M34=0,0,M34/M$17)</f>
        <v>2.2791817838283018E-4</v>
      </c>
      <c r="N152" s="103">
        <f t="shared" si="83"/>
        <v>2.1450238230729402E-4</v>
      </c>
      <c r="O152" s="103">
        <f t="shared" si="83"/>
        <v>1.9324623674542906E-4</v>
      </c>
      <c r="P152" s="103">
        <f t="shared" si="83"/>
        <v>1.7445820840456084E-4</v>
      </c>
      <c r="Q152" s="103">
        <f t="shared" si="83"/>
        <v>1.380123838434398E-4</v>
      </c>
      <c r="R152" s="103">
        <f t="shared" si="83"/>
        <v>1.3208324820498409E-4</v>
      </c>
      <c r="S152" s="103">
        <f t="shared" si="83"/>
        <v>1.2385027322160693E-4</v>
      </c>
      <c r="T152" s="103">
        <f t="shared" si="83"/>
        <v>1.1787567585450724E-4</v>
      </c>
      <c r="U152" s="103">
        <f t="shared" si="83"/>
        <v>1.1667507553314168E-4</v>
      </c>
      <c r="V152" s="103">
        <f t="shared" si="83"/>
        <v>9.3015217044531561E-5</v>
      </c>
      <c r="W152" s="103">
        <f t="shared" ref="W152" si="84">IF(W34=0,0,W34/W$17)</f>
        <v>8.3338707347554886E-5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7.3993273383235414E-2</v>
      </c>
      <c r="C153" s="103">
        <f t="shared" si="85"/>
        <v>7.68343226285602E-2</v>
      </c>
      <c r="D153" s="103">
        <f t="shared" si="85"/>
        <v>4.4971112730633943E-2</v>
      </c>
      <c r="E153" s="103">
        <f t="shared" si="85"/>
        <v>7.1915949822802722E-2</v>
      </c>
      <c r="F153" s="103">
        <f t="shared" si="85"/>
        <v>8.4834119122161822E-2</v>
      </c>
      <c r="G153" s="103">
        <f t="shared" si="85"/>
        <v>0.11268448481439861</v>
      </c>
      <c r="H153" s="103">
        <f t="shared" si="85"/>
        <v>0.11824687919171498</v>
      </c>
      <c r="I153" s="103">
        <f t="shared" si="85"/>
        <v>0.10917483474027312</v>
      </c>
      <c r="J153" s="103">
        <f t="shared" si="85"/>
        <v>9.8641560378953774E-2</v>
      </c>
      <c r="K153" s="103">
        <f t="shared" si="85"/>
        <v>9.6512746215001596E-2</v>
      </c>
      <c r="L153" s="103">
        <f t="shared" ref="L153" si="86">IF(L36=0,0,L36/L$17)</f>
        <v>0.10067286789914752</v>
      </c>
      <c r="M153" s="103">
        <f t="shared" ref="M153:V153" si="87">IF(M36=0,0,M36/M$17)</f>
        <v>0.10372845724740144</v>
      </c>
      <c r="N153" s="103">
        <f t="shared" si="87"/>
        <v>0.11942366567759205</v>
      </c>
      <c r="O153" s="103">
        <f t="shared" si="87"/>
        <v>0.12002537699692624</v>
      </c>
      <c r="P153" s="103">
        <f t="shared" si="87"/>
        <v>0.14164715398077168</v>
      </c>
      <c r="Q153" s="103">
        <f t="shared" si="87"/>
        <v>0.15187253911757082</v>
      </c>
      <c r="R153" s="103">
        <f t="shared" si="87"/>
        <v>0.1491445931665889</v>
      </c>
      <c r="S153" s="103">
        <f t="shared" si="87"/>
        <v>0.15593385822315231</v>
      </c>
      <c r="T153" s="103">
        <f t="shared" si="87"/>
        <v>0.16480123059829063</v>
      </c>
      <c r="U153" s="103">
        <f t="shared" si="87"/>
        <v>0.16062911809537225</v>
      </c>
      <c r="V153" s="103">
        <f t="shared" si="87"/>
        <v>0.13714510158982349</v>
      </c>
      <c r="W153" s="103">
        <f t="shared" ref="W153" si="88">IF(W36=0,0,W36/W$17)</f>
        <v>0.1224355916589952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0</v>
      </c>
      <c r="V155" s="103">
        <f t="shared" si="95"/>
        <v>0</v>
      </c>
      <c r="W155" s="103">
        <f t="shared" ref="W155" si="96">IF(W39=0,0,W39/W$17)</f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0</v>
      </c>
      <c r="Q156" s="103">
        <f t="shared" si="99"/>
        <v>0</v>
      </c>
      <c r="R156" s="103">
        <f t="shared" si="99"/>
        <v>0</v>
      </c>
      <c r="S156" s="103">
        <f t="shared" si="99"/>
        <v>0</v>
      </c>
      <c r="T156" s="103">
        <f t="shared" si="99"/>
        <v>5.0418813029875207E-4</v>
      </c>
      <c r="U156" s="103">
        <f t="shared" si="99"/>
        <v>6.01742562261361E-4</v>
      </c>
      <c r="V156" s="103">
        <f t="shared" si="99"/>
        <v>6.8492680846173461E-4</v>
      </c>
      <c r="W156" s="103">
        <f t="shared" ref="W156" si="100">IF(W41=0,0,W41/W$17)</f>
        <v>8.5078429740933093E-4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0.38482089609739079</v>
      </c>
      <c r="C157" s="46">
        <f t="shared" si="101"/>
        <v>0.37033359130720689</v>
      </c>
      <c r="D157" s="46">
        <f t="shared" si="101"/>
        <v>0.11357539616730404</v>
      </c>
      <c r="E157" s="46">
        <f t="shared" si="101"/>
        <v>0.26882293106982336</v>
      </c>
      <c r="F157" s="46">
        <f t="shared" si="101"/>
        <v>0.42816503337622358</v>
      </c>
      <c r="G157" s="46">
        <f t="shared" si="101"/>
        <v>0.35302622731651623</v>
      </c>
      <c r="H157" s="46">
        <f t="shared" si="101"/>
        <v>0.35021976796359988</v>
      </c>
      <c r="I157" s="46">
        <f t="shared" si="101"/>
        <v>0.35685608653110618</v>
      </c>
      <c r="J157" s="46">
        <f t="shared" si="101"/>
        <v>0.32415297971092333</v>
      </c>
      <c r="K157" s="46">
        <f t="shared" si="101"/>
        <v>0.32908195277941282</v>
      </c>
      <c r="L157" s="46">
        <f t="shared" ref="L157" si="102">IF(L42=0,0,L42/L$17)</f>
        <v>0.26349410349278118</v>
      </c>
      <c r="M157" s="46">
        <f t="shared" ref="M157:V157" si="103">IF(M42=0,0,M42/M$17)</f>
        <v>0.24426339982243087</v>
      </c>
      <c r="N157" s="46">
        <f t="shared" si="103"/>
        <v>0.22679035373282075</v>
      </c>
      <c r="O157" s="46">
        <f t="shared" si="103"/>
        <v>0.2247736136113038</v>
      </c>
      <c r="P157" s="46">
        <f t="shared" si="103"/>
        <v>0.21471077112809134</v>
      </c>
      <c r="Q157" s="46">
        <f t="shared" si="103"/>
        <v>0.20262995449388171</v>
      </c>
      <c r="R157" s="46">
        <f t="shared" si="103"/>
        <v>0.19974578639107252</v>
      </c>
      <c r="S157" s="46">
        <f t="shared" si="103"/>
        <v>0.20737564126451255</v>
      </c>
      <c r="T157" s="46">
        <f t="shared" si="103"/>
        <v>0.21111545882893834</v>
      </c>
      <c r="U157" s="46">
        <f t="shared" si="103"/>
        <v>0.21681435134694071</v>
      </c>
      <c r="V157" s="46">
        <f t="shared" si="103"/>
        <v>0.2351304154319887</v>
      </c>
      <c r="W157" s="46">
        <f t="shared" ref="W157" si="104">IF(W42=0,0,W42/W$17)</f>
        <v>0.22534762138388151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0.10573807429642575</v>
      </c>
      <c r="C158" s="154">
        <f t="shared" si="105"/>
        <v>0.10668839489126535</v>
      </c>
      <c r="D158" s="154">
        <f t="shared" si="105"/>
        <v>6.6062637181617992E-2</v>
      </c>
      <c r="E158" s="154">
        <f t="shared" si="105"/>
        <v>9.7551323838757933E-2</v>
      </c>
      <c r="F158" s="154">
        <f t="shared" si="105"/>
        <v>0.10757624122693396</v>
      </c>
      <c r="G158" s="154">
        <f t="shared" si="105"/>
        <v>0.13965786346660547</v>
      </c>
      <c r="H158" s="154">
        <f t="shared" si="105"/>
        <v>0.14689578735963435</v>
      </c>
      <c r="I158" s="154">
        <f t="shared" si="105"/>
        <v>0.1428452249421541</v>
      </c>
      <c r="J158" s="154">
        <f t="shared" si="105"/>
        <v>0.1292530943055468</v>
      </c>
      <c r="K158" s="154">
        <f t="shared" si="105"/>
        <v>0.13302860461835325</v>
      </c>
      <c r="L158" s="154">
        <f t="shared" ref="L158" si="106">IF(L43=0,0,L43/L$17)</f>
        <v>0.11715337931334158</v>
      </c>
      <c r="M158" s="154">
        <f t="shared" ref="M158:V158" si="107">IF(M43=0,0,M43/M$17)</f>
        <v>0.1138134648634465</v>
      </c>
      <c r="N158" s="154">
        <f t="shared" si="107"/>
        <v>0.10930867579522428</v>
      </c>
      <c r="O158" s="154">
        <f t="shared" si="107"/>
        <v>0.10812053234258968</v>
      </c>
      <c r="P158" s="154">
        <f t="shared" si="107"/>
        <v>0.10795067661356456</v>
      </c>
      <c r="Q158" s="154">
        <f t="shared" si="107"/>
        <v>0.10531294620327336</v>
      </c>
      <c r="R158" s="154">
        <f t="shared" si="107"/>
        <v>0.10120881617349727</v>
      </c>
      <c r="S158" s="154">
        <f t="shared" si="107"/>
        <v>0.10668698984694963</v>
      </c>
      <c r="T158" s="154">
        <f t="shared" si="107"/>
        <v>0.11021420527528465</v>
      </c>
      <c r="U158" s="154">
        <f t="shared" si="107"/>
        <v>0.11290107794913946</v>
      </c>
      <c r="V158" s="154">
        <f t="shared" si="107"/>
        <v>0.12016399202205066</v>
      </c>
      <c r="W158" s="154">
        <f t="shared" ref="W158" si="108">IF(W43=0,0,W43/W$17)</f>
        <v>0.11267068961842684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4.2774341099918707E-3</v>
      </c>
      <c r="C159" s="103">
        <f t="shared" si="109"/>
        <v>5.3833104877370934E-3</v>
      </c>
      <c r="D159" s="103">
        <f t="shared" si="109"/>
        <v>7.9661237596319427E-3</v>
      </c>
      <c r="E159" s="103">
        <f t="shared" si="109"/>
        <v>6.0141727232272957E-3</v>
      </c>
      <c r="F159" s="103">
        <f t="shared" si="109"/>
        <v>4.6596025862187841E-3</v>
      </c>
      <c r="G159" s="103">
        <f t="shared" si="109"/>
        <v>4.3700291223171461E-3</v>
      </c>
      <c r="H159" s="103">
        <f t="shared" si="109"/>
        <v>4.2353698280561515E-3</v>
      </c>
      <c r="I159" s="103">
        <f t="shared" si="109"/>
        <v>4.1643099209865402E-3</v>
      </c>
      <c r="J159" s="103">
        <f t="shared" si="109"/>
        <v>3.6445394793301724E-3</v>
      </c>
      <c r="K159" s="103">
        <f t="shared" si="109"/>
        <v>3.8401596672100868E-3</v>
      </c>
      <c r="L159" s="103">
        <f t="shared" ref="L159" si="110">IF(L44=0,0,L44/L$17)</f>
        <v>4.0270448512746623E-3</v>
      </c>
      <c r="M159" s="103">
        <f t="shared" ref="M159:V159" si="111">IF(M44=0,0,M44/M$17)</f>
        <v>3.7880040899274962E-3</v>
      </c>
      <c r="N159" s="103">
        <f t="shared" si="111"/>
        <v>3.654099074944561E-3</v>
      </c>
      <c r="O159" s="103">
        <f t="shared" si="111"/>
        <v>3.5317973622245222E-3</v>
      </c>
      <c r="P159" s="103">
        <f t="shared" si="111"/>
        <v>3.4501578264848733E-3</v>
      </c>
      <c r="Q159" s="103">
        <f t="shared" si="111"/>
        <v>3.1701751791435072E-3</v>
      </c>
      <c r="R159" s="103">
        <f t="shared" si="111"/>
        <v>2.9212872974282815E-3</v>
      </c>
      <c r="S159" s="103">
        <f t="shared" si="111"/>
        <v>2.7294527901630646E-3</v>
      </c>
      <c r="T159" s="103">
        <f t="shared" si="111"/>
        <v>2.3637962248659623E-3</v>
      </c>
      <c r="U159" s="103">
        <f t="shared" si="111"/>
        <v>2.353316809283849E-3</v>
      </c>
      <c r="V159" s="103">
        <f t="shared" si="111"/>
        <v>2.68819793676415E-3</v>
      </c>
      <c r="W159" s="103">
        <f t="shared" ref="W159" si="112">IF(W44=0,0,W44/W$17)</f>
        <v>2.7097497342604884E-3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0.10146064018643386</v>
      </c>
      <c r="C160" s="103">
        <f t="shared" si="113"/>
        <v>0.10130508440352826</v>
      </c>
      <c r="D160" s="103">
        <f t="shared" si="113"/>
        <v>5.8096513421986046E-2</v>
      </c>
      <c r="E160" s="103">
        <f t="shared" si="113"/>
        <v>9.1537151115530638E-2</v>
      </c>
      <c r="F160" s="103">
        <f t="shared" si="113"/>
        <v>0.10291663864071517</v>
      </c>
      <c r="G160" s="103">
        <f t="shared" si="113"/>
        <v>0.13528783434428832</v>
      </c>
      <c r="H160" s="103">
        <f t="shared" si="113"/>
        <v>0.14266041753157821</v>
      </c>
      <c r="I160" s="103">
        <f t="shared" si="113"/>
        <v>0.13868091502116756</v>
      </c>
      <c r="J160" s="103">
        <f t="shared" si="113"/>
        <v>0.1256059688746527</v>
      </c>
      <c r="K160" s="103">
        <f t="shared" si="113"/>
        <v>0.12918542844520828</v>
      </c>
      <c r="L160" s="103">
        <f t="shared" ref="L160" si="114">IF(L46=0,0,L46/L$17)</f>
        <v>0.11312243775547756</v>
      </c>
      <c r="M160" s="103">
        <f t="shared" ref="M160:V160" si="115">IF(M46=0,0,M46/M$17)</f>
        <v>0.11002061274993424</v>
      </c>
      <c r="N160" s="103">
        <f t="shared" si="115"/>
        <v>0.10564970857441972</v>
      </c>
      <c r="O160" s="103">
        <f t="shared" si="115"/>
        <v>0.10457415383041463</v>
      </c>
      <c r="P160" s="103">
        <f t="shared" si="115"/>
        <v>0.10448632958583806</v>
      </c>
      <c r="Q160" s="103">
        <f t="shared" si="115"/>
        <v>0.10212746951178536</v>
      </c>
      <c r="R160" s="103">
        <f t="shared" si="115"/>
        <v>9.8270662616025128E-2</v>
      </c>
      <c r="S160" s="103">
        <f t="shared" si="115"/>
        <v>0.10393140769629176</v>
      </c>
      <c r="T160" s="103">
        <f t="shared" si="115"/>
        <v>0.10782715500430932</v>
      </c>
      <c r="U160" s="103">
        <f t="shared" si="115"/>
        <v>0.11042194928805299</v>
      </c>
      <c r="V160" s="103">
        <f t="shared" si="115"/>
        <v>0.11732172084641561</v>
      </c>
      <c r="W160" s="103">
        <f t="shared" ref="W160" si="116">IF(W46=0,0,W46/W$17)</f>
        <v>0.10980075312403252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9.0019149907672091E-6</v>
      </c>
      <c r="T161" s="103">
        <f t="shared" si="119"/>
        <v>7.7226205770328022E-6</v>
      </c>
      <c r="U161" s="103">
        <f t="shared" si="119"/>
        <v>1.4005576069560908E-5</v>
      </c>
      <c r="V161" s="103">
        <f t="shared" si="119"/>
        <v>1.5981488099611986E-5</v>
      </c>
      <c r="W161" s="103">
        <f t="shared" ref="W161" si="120">IF(W48=0,0,W48/W$17)</f>
        <v>1.4760294247476447E-5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2.5859515639087364E-6</v>
      </c>
      <c r="K163" s="103">
        <f t="shared" si="125"/>
        <v>3.0165059348672033E-6</v>
      </c>
      <c r="L163" s="103">
        <f t="shared" ref="L163" si="126">IF(L51=0,0,L51/L$17)</f>
        <v>3.8967065893485892E-6</v>
      </c>
      <c r="M163" s="103">
        <f t="shared" ref="M163:V163" si="127">IF(M51=0,0,M51/M$17)</f>
        <v>4.8480235847629886E-6</v>
      </c>
      <c r="N163" s="103">
        <f t="shared" si="127"/>
        <v>4.8681458600163807E-6</v>
      </c>
      <c r="O163" s="103">
        <f t="shared" si="127"/>
        <v>1.4581149950542631E-5</v>
      </c>
      <c r="P163" s="103">
        <f t="shared" si="127"/>
        <v>1.418920124160465E-5</v>
      </c>
      <c r="Q163" s="103">
        <f t="shared" si="127"/>
        <v>1.530151234448119E-5</v>
      </c>
      <c r="R163" s="103">
        <f t="shared" si="127"/>
        <v>1.6866260043856546E-5</v>
      </c>
      <c r="S163" s="103">
        <f t="shared" si="127"/>
        <v>1.7127445504038117E-5</v>
      </c>
      <c r="T163" s="103">
        <f t="shared" si="127"/>
        <v>1.5531425532333231E-5</v>
      </c>
      <c r="U163" s="103">
        <f t="shared" si="127"/>
        <v>1.1180627573306907E-4</v>
      </c>
      <c r="V163" s="103">
        <f t="shared" si="127"/>
        <v>1.3809175077129931E-4</v>
      </c>
      <c r="W163" s="103">
        <f t="shared" ref="W163" si="128">IF(W51=0,0,W51/W$17)</f>
        <v>1.4542646588635254E-4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0.27908282180096505</v>
      </c>
      <c r="C164" s="156">
        <f t="shared" si="129"/>
        <v>0.26364519641594159</v>
      </c>
      <c r="D164" s="156">
        <f t="shared" si="129"/>
        <v>4.7512758985686056E-2</v>
      </c>
      <c r="E164" s="156">
        <f t="shared" si="129"/>
        <v>0.17127160723106541</v>
      </c>
      <c r="F164" s="156">
        <f t="shared" si="129"/>
        <v>0.32058879214928959</v>
      </c>
      <c r="G164" s="156">
        <f t="shared" si="129"/>
        <v>0.21336836384991076</v>
      </c>
      <c r="H164" s="156">
        <f t="shared" si="129"/>
        <v>0.20332398060396553</v>
      </c>
      <c r="I164" s="156">
        <f t="shared" si="129"/>
        <v>0.21401086158895211</v>
      </c>
      <c r="J164" s="156">
        <f t="shared" si="129"/>
        <v>0.19489988540537653</v>
      </c>
      <c r="K164" s="156">
        <f t="shared" si="129"/>
        <v>0.19605334816105963</v>
      </c>
      <c r="L164" s="156">
        <f t="shared" ref="L164" si="130">IF(L52=0,0,L52/L$17)</f>
        <v>0.14634072417943961</v>
      </c>
      <c r="M164" s="156">
        <f t="shared" ref="M164:V164" si="131">IF(M52=0,0,M52/M$17)</f>
        <v>0.13044993495898438</v>
      </c>
      <c r="N164" s="156">
        <f t="shared" si="131"/>
        <v>0.11748167793759647</v>
      </c>
      <c r="O164" s="156">
        <f t="shared" si="131"/>
        <v>0.11665308126871411</v>
      </c>
      <c r="P164" s="156">
        <f t="shared" si="131"/>
        <v>0.1067600945145268</v>
      </c>
      <c r="Q164" s="156">
        <f t="shared" si="131"/>
        <v>9.7317008290608339E-2</v>
      </c>
      <c r="R164" s="156">
        <f t="shared" si="131"/>
        <v>9.8536970217575279E-2</v>
      </c>
      <c r="S164" s="156">
        <f t="shared" si="131"/>
        <v>0.10068865141756293</v>
      </c>
      <c r="T164" s="156">
        <f t="shared" si="131"/>
        <v>0.10090125355365369</v>
      </c>
      <c r="U164" s="156">
        <f t="shared" si="131"/>
        <v>0.10391327339780124</v>
      </c>
      <c r="V164" s="156">
        <f t="shared" si="131"/>
        <v>0.11496642340993804</v>
      </c>
      <c r="W164" s="156">
        <f t="shared" ref="W164" si="132">IF(W52=0,0,W52/W$17)</f>
        <v>0.11267693176545467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0.27908282180096505</v>
      </c>
      <c r="C165" s="104">
        <f t="shared" si="133"/>
        <v>0.26364519641594159</v>
      </c>
      <c r="D165" s="104">
        <f t="shared" si="133"/>
        <v>4.7512758985686056E-2</v>
      </c>
      <c r="E165" s="104">
        <f t="shared" si="133"/>
        <v>0.17127160723106541</v>
      </c>
      <c r="F165" s="104">
        <f t="shared" si="133"/>
        <v>0.32058879214928959</v>
      </c>
      <c r="G165" s="104">
        <f t="shared" si="133"/>
        <v>0.21336836384991076</v>
      </c>
      <c r="H165" s="104">
        <f t="shared" si="133"/>
        <v>0.20332398060396553</v>
      </c>
      <c r="I165" s="104">
        <f t="shared" si="133"/>
        <v>0.21401086158895211</v>
      </c>
      <c r="J165" s="104">
        <f t="shared" si="133"/>
        <v>0.19489988540537653</v>
      </c>
      <c r="K165" s="104">
        <f t="shared" si="133"/>
        <v>0.19605334816105963</v>
      </c>
      <c r="L165" s="104">
        <f t="shared" ref="L165" si="134">IF(L53=0,0,L53/L$17)</f>
        <v>0.14634072417943961</v>
      </c>
      <c r="M165" s="104">
        <f t="shared" ref="M165:V165" si="135">IF(M53=0,0,M53/M$17)</f>
        <v>0.13044993495898438</v>
      </c>
      <c r="N165" s="104">
        <f t="shared" si="135"/>
        <v>0.11748167793759647</v>
      </c>
      <c r="O165" s="104">
        <f t="shared" si="135"/>
        <v>0.11665308126871411</v>
      </c>
      <c r="P165" s="104">
        <f t="shared" si="135"/>
        <v>0.1067600945145268</v>
      </c>
      <c r="Q165" s="104">
        <f t="shared" si="135"/>
        <v>9.7317008290608339E-2</v>
      </c>
      <c r="R165" s="104">
        <f t="shared" si="135"/>
        <v>9.8536970217575279E-2</v>
      </c>
      <c r="S165" s="104">
        <f t="shared" si="135"/>
        <v>0.10068865141756293</v>
      </c>
      <c r="T165" s="104">
        <f t="shared" si="135"/>
        <v>0.10090125355365369</v>
      </c>
      <c r="U165" s="104">
        <f t="shared" si="135"/>
        <v>0.10391327339780124</v>
      </c>
      <c r="V165" s="104">
        <f t="shared" si="135"/>
        <v>0.11496642340993804</v>
      </c>
      <c r="W165" s="104">
        <f t="shared" ref="W165" si="136">IF(W53=0,0,W53/W$17)</f>
        <v>0.11267693176545467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0</v>
      </c>
      <c r="C166" s="105">
        <f t="shared" si="137"/>
        <v>0</v>
      </c>
      <c r="D166" s="105">
        <f t="shared" si="137"/>
        <v>0</v>
      </c>
      <c r="E166" s="105">
        <f t="shared" si="137"/>
        <v>0</v>
      </c>
      <c r="F166" s="105">
        <f t="shared" si="137"/>
        <v>0</v>
      </c>
      <c r="G166" s="105">
        <f t="shared" si="137"/>
        <v>0</v>
      </c>
      <c r="H166" s="105">
        <f t="shared" si="137"/>
        <v>0</v>
      </c>
      <c r="I166" s="105">
        <f t="shared" si="137"/>
        <v>0</v>
      </c>
      <c r="J166" s="105">
        <f t="shared" si="137"/>
        <v>0</v>
      </c>
      <c r="K166" s="105">
        <f t="shared" si="137"/>
        <v>0</v>
      </c>
      <c r="L166" s="105">
        <f t="shared" ref="L166" si="138">IF(L55=0,0,L55/L$17)</f>
        <v>0</v>
      </c>
      <c r="M166" s="105">
        <f t="shared" ref="M166:V166" si="139">IF(M55=0,0,M55/M$17)</f>
        <v>0</v>
      </c>
      <c r="N166" s="105">
        <f t="shared" si="139"/>
        <v>0</v>
      </c>
      <c r="O166" s="105">
        <f t="shared" si="139"/>
        <v>0</v>
      </c>
      <c r="P166" s="105">
        <f t="shared" si="139"/>
        <v>0</v>
      </c>
      <c r="Q166" s="105">
        <f t="shared" si="139"/>
        <v>0</v>
      </c>
      <c r="R166" s="105">
        <f t="shared" si="139"/>
        <v>0</v>
      </c>
      <c r="S166" s="105">
        <f t="shared" si="139"/>
        <v>0</v>
      </c>
      <c r="T166" s="105">
        <f t="shared" si="139"/>
        <v>0</v>
      </c>
      <c r="U166" s="105">
        <f t="shared" si="139"/>
        <v>0</v>
      </c>
      <c r="V166" s="105">
        <f t="shared" si="139"/>
        <v>0</v>
      </c>
      <c r="W166" s="105">
        <f t="shared" ref="W166" si="140">IF(W55=0,0,W55/W$17)</f>
        <v>0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460.12803839999998</v>
      </c>
      <c r="C4" s="146">
        <f t="shared" si="0"/>
        <v>428.73024491999996</v>
      </c>
      <c r="D4" s="146">
        <f t="shared" si="0"/>
        <v>287.60273316000001</v>
      </c>
      <c r="E4" s="146">
        <f t="shared" si="0"/>
        <v>367.84163879999994</v>
      </c>
      <c r="F4" s="146">
        <f t="shared" si="0"/>
        <v>448.89492384000005</v>
      </c>
      <c r="G4" s="146">
        <f t="shared" si="0"/>
        <v>470.9017166399999</v>
      </c>
      <c r="H4" s="146">
        <f t="shared" si="0"/>
        <v>483.64670916</v>
      </c>
      <c r="I4" s="146">
        <f t="shared" si="0"/>
        <v>495.77277419999996</v>
      </c>
      <c r="J4" s="146">
        <f t="shared" si="0"/>
        <v>543.45114648000003</v>
      </c>
      <c r="K4" s="146">
        <f t="shared" si="0"/>
        <v>479.01572963999996</v>
      </c>
      <c r="L4" s="146">
        <f t="shared" ref="L4" si="1">L5+L9+L10+L15</f>
        <v>504.50598143999997</v>
      </c>
      <c r="M4" s="146">
        <f t="shared" ref="M4:V4" si="2">M5+M9+M10+M15</f>
        <v>494.94717035999997</v>
      </c>
      <c r="N4" s="146">
        <f t="shared" si="2"/>
        <v>491.96738124000001</v>
      </c>
      <c r="O4" s="146">
        <f t="shared" si="2"/>
        <v>501.31979999999999</v>
      </c>
      <c r="P4" s="146">
        <f t="shared" si="2"/>
        <v>510.87861108000004</v>
      </c>
      <c r="Q4" s="146">
        <f t="shared" si="2"/>
        <v>541.9161554399999</v>
      </c>
      <c r="R4" s="146">
        <f t="shared" si="2"/>
        <v>544.81880591999993</v>
      </c>
      <c r="S4" s="146">
        <f t="shared" si="2"/>
        <v>560.88738971999999</v>
      </c>
      <c r="T4" s="146">
        <f t="shared" si="2"/>
        <v>623.30900975999987</v>
      </c>
      <c r="U4" s="146">
        <f t="shared" si="2"/>
        <v>650.88876672000004</v>
      </c>
      <c r="V4" s="146">
        <f t="shared" si="2"/>
        <v>520.33192956000005</v>
      </c>
      <c r="W4" s="146">
        <f t="shared" ref="W4" si="3">W5+W9+W10+W15</f>
        <v>547.56999287999986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460.12803839999998</v>
      </c>
      <c r="C5" s="101">
        <f t="shared" si="4"/>
        <v>428.73024491999996</v>
      </c>
      <c r="D5" s="101">
        <f t="shared" si="4"/>
        <v>287.60273316000001</v>
      </c>
      <c r="E5" s="101">
        <f t="shared" si="4"/>
        <v>367.84163879999994</v>
      </c>
      <c r="F5" s="101">
        <f t="shared" si="4"/>
        <v>448.89492384000005</v>
      </c>
      <c r="G5" s="101">
        <f t="shared" si="4"/>
        <v>470.9017166399999</v>
      </c>
      <c r="H5" s="101">
        <f t="shared" si="4"/>
        <v>483.64670916</v>
      </c>
      <c r="I5" s="101">
        <f t="shared" si="4"/>
        <v>495.77277419999996</v>
      </c>
      <c r="J5" s="101">
        <f t="shared" si="4"/>
        <v>543.45114648000003</v>
      </c>
      <c r="K5" s="101">
        <f t="shared" si="4"/>
        <v>479.01572963999996</v>
      </c>
      <c r="L5" s="101">
        <f t="shared" ref="L5" si="5">SUM(L6:L8)</f>
        <v>504.50598143999997</v>
      </c>
      <c r="M5" s="101">
        <f t="shared" ref="M5:V5" si="6">SUM(M6:M8)</f>
        <v>494.94717035999997</v>
      </c>
      <c r="N5" s="101">
        <f t="shared" si="6"/>
        <v>491.96738124000001</v>
      </c>
      <c r="O5" s="101">
        <f t="shared" si="6"/>
        <v>501.31979999999999</v>
      </c>
      <c r="P5" s="101">
        <f t="shared" si="6"/>
        <v>510.87861108000004</v>
      </c>
      <c r="Q5" s="101">
        <f t="shared" si="6"/>
        <v>541.9161554399999</v>
      </c>
      <c r="R5" s="101">
        <f t="shared" si="6"/>
        <v>544.81880591999993</v>
      </c>
      <c r="S5" s="101">
        <f t="shared" si="6"/>
        <v>560.88738971999999</v>
      </c>
      <c r="T5" s="101">
        <f t="shared" si="6"/>
        <v>623.30900975999987</v>
      </c>
      <c r="U5" s="101">
        <f t="shared" si="6"/>
        <v>650.88876672000004</v>
      </c>
      <c r="V5" s="101">
        <f t="shared" si="6"/>
        <v>520.33192956000005</v>
      </c>
      <c r="W5" s="101">
        <f t="shared" ref="W5" si="7">SUM(W6:W8)</f>
        <v>547.56999287999986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2.9026504799999988</v>
      </c>
      <c r="S6" s="101">
        <v>1.8200059200000003</v>
      </c>
      <c r="T6" s="101">
        <v>2.0492103600000005</v>
      </c>
      <c r="U6" s="101">
        <v>2.0928250799999999</v>
      </c>
      <c r="V6" s="101">
        <v>1.89837612</v>
      </c>
      <c r="W6" s="101">
        <v>2.17982736</v>
      </c>
      <c r="DA6" s="175" t="s">
        <v>740</v>
      </c>
    </row>
    <row r="7" spans="1:105" ht="11.45" customHeight="1" x14ac:dyDescent="0.25">
      <c r="A7" s="128" t="s">
        <v>53</v>
      </c>
      <c r="B7" s="101">
        <v>217.96917912000001</v>
      </c>
      <c r="C7" s="101">
        <v>205.68927456</v>
      </c>
      <c r="D7" s="101">
        <v>230.24933316000002</v>
      </c>
      <c r="E7" s="101">
        <v>214.89932771999997</v>
      </c>
      <c r="F7" s="101">
        <v>178.05936456000001</v>
      </c>
      <c r="G7" s="101">
        <v>193.69352771999999</v>
      </c>
      <c r="H7" s="101">
        <v>193.69352771999999</v>
      </c>
      <c r="I7" s="101">
        <v>202.63314455999998</v>
      </c>
      <c r="J7" s="101">
        <v>250.31151684</v>
      </c>
      <c r="K7" s="101">
        <v>214.55279999999999</v>
      </c>
      <c r="L7" s="101">
        <v>214.55279999999999</v>
      </c>
      <c r="M7" s="101">
        <v>214.55279999999999</v>
      </c>
      <c r="N7" s="101">
        <v>211.57301088</v>
      </c>
      <c r="O7" s="101">
        <v>214.55279999999999</v>
      </c>
      <c r="P7" s="101">
        <v>214.55279999999999</v>
      </c>
      <c r="Q7" s="101">
        <v>226.47245543999998</v>
      </c>
      <c r="R7" s="101">
        <v>226.47245543999998</v>
      </c>
      <c r="S7" s="101">
        <v>229.19303484</v>
      </c>
      <c r="T7" s="101">
        <v>230.95710792</v>
      </c>
      <c r="U7" s="101">
        <v>244.43526491999998</v>
      </c>
      <c r="V7" s="101">
        <v>205.80977339999998</v>
      </c>
      <c r="W7" s="101">
        <v>222.45557796</v>
      </c>
      <c r="DA7" s="175" t="s">
        <v>741</v>
      </c>
    </row>
    <row r="8" spans="1:105" ht="11.45" customHeight="1" x14ac:dyDescent="0.25">
      <c r="A8" s="128" t="s">
        <v>54</v>
      </c>
      <c r="B8" s="101">
        <v>242.15885927999997</v>
      </c>
      <c r="C8" s="101">
        <v>223.04097035999996</v>
      </c>
      <c r="D8" s="101">
        <v>57.353400000000015</v>
      </c>
      <c r="E8" s="101">
        <v>152.94231108</v>
      </c>
      <c r="F8" s="101">
        <v>270.83555928000004</v>
      </c>
      <c r="G8" s="101">
        <v>277.20818891999994</v>
      </c>
      <c r="H8" s="101">
        <v>289.95318143999998</v>
      </c>
      <c r="I8" s="101">
        <v>293.13962964000001</v>
      </c>
      <c r="J8" s="101">
        <v>293.13962964000001</v>
      </c>
      <c r="K8" s="101">
        <v>264.46292963999997</v>
      </c>
      <c r="L8" s="101">
        <v>289.95318143999998</v>
      </c>
      <c r="M8" s="101">
        <v>280.39437035999998</v>
      </c>
      <c r="N8" s="101">
        <v>280.39437035999998</v>
      </c>
      <c r="O8" s="101">
        <v>286.767</v>
      </c>
      <c r="P8" s="101">
        <v>296.32581108000005</v>
      </c>
      <c r="Q8" s="101">
        <v>315.44369999999992</v>
      </c>
      <c r="R8" s="101">
        <v>315.44369999999992</v>
      </c>
      <c r="S8" s="101">
        <v>329.87434896000002</v>
      </c>
      <c r="T8" s="101">
        <v>390.30269147999991</v>
      </c>
      <c r="U8" s="101">
        <v>404.36067672000007</v>
      </c>
      <c r="V8" s="101">
        <v>312.62378004000004</v>
      </c>
      <c r="W8" s="101">
        <v>322.9345875599999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460.12803839999998</v>
      </c>
      <c r="C17" s="79">
        <f t="shared" si="12"/>
        <v>428.73024492000002</v>
      </c>
      <c r="D17" s="79">
        <f t="shared" si="12"/>
        <v>287.60273316000001</v>
      </c>
      <c r="E17" s="79">
        <f t="shared" si="12"/>
        <v>367.84163880000006</v>
      </c>
      <c r="F17" s="79">
        <f t="shared" si="12"/>
        <v>448.89492384000005</v>
      </c>
      <c r="G17" s="79">
        <f t="shared" si="12"/>
        <v>470.9017166399999</v>
      </c>
      <c r="H17" s="79">
        <f t="shared" si="12"/>
        <v>483.64670915999994</v>
      </c>
      <c r="I17" s="79">
        <f t="shared" si="12"/>
        <v>495.77277419999996</v>
      </c>
      <c r="J17" s="79">
        <f t="shared" si="12"/>
        <v>543.45114648000003</v>
      </c>
      <c r="K17" s="79">
        <f t="shared" si="12"/>
        <v>479.01572964000002</v>
      </c>
      <c r="L17" s="79">
        <f t="shared" ref="L17" si="13">SUM(L18,L33)</f>
        <v>504.50598144000003</v>
      </c>
      <c r="M17" s="79">
        <f t="shared" ref="M17:V17" si="14">SUM(M18,M33)</f>
        <v>494.94717036000003</v>
      </c>
      <c r="N17" s="79">
        <f t="shared" si="14"/>
        <v>491.96738123999995</v>
      </c>
      <c r="O17" s="79">
        <f t="shared" si="14"/>
        <v>501.31979999999999</v>
      </c>
      <c r="P17" s="79">
        <f t="shared" si="14"/>
        <v>510.87861108000016</v>
      </c>
      <c r="Q17" s="79">
        <f t="shared" si="14"/>
        <v>541.9161554399999</v>
      </c>
      <c r="R17" s="79">
        <f t="shared" si="14"/>
        <v>544.81880591999993</v>
      </c>
      <c r="S17" s="79">
        <f t="shared" si="14"/>
        <v>560.88738971999999</v>
      </c>
      <c r="T17" s="79">
        <f t="shared" si="14"/>
        <v>623.30900975999987</v>
      </c>
      <c r="U17" s="79">
        <f t="shared" si="14"/>
        <v>650.88876672000004</v>
      </c>
      <c r="V17" s="79">
        <f t="shared" si="14"/>
        <v>520.33192955999994</v>
      </c>
      <c r="W17" s="79">
        <f t="shared" ref="W17" si="15">SUM(W18,W33)</f>
        <v>547.56999287999986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277.38302274005241</v>
      </c>
      <c r="C18" s="32">
        <f t="shared" si="16"/>
        <v>264.83541022095665</v>
      </c>
      <c r="D18" s="32">
        <f t="shared" si="16"/>
        <v>253.28347726087841</v>
      </c>
      <c r="E18" s="32">
        <f t="shared" si="16"/>
        <v>265.104189617016</v>
      </c>
      <c r="F18" s="32">
        <f t="shared" si="16"/>
        <v>251.55030791040195</v>
      </c>
      <c r="G18" s="32">
        <f t="shared" si="16"/>
        <v>300.0598893013551</v>
      </c>
      <c r="H18" s="32">
        <f t="shared" si="16"/>
        <v>309.69954785375512</v>
      </c>
      <c r="I18" s="32">
        <f t="shared" si="16"/>
        <v>313.97837675435227</v>
      </c>
      <c r="J18" s="32">
        <f t="shared" si="16"/>
        <v>361.79926901507838</v>
      </c>
      <c r="K18" s="32">
        <f t="shared" si="16"/>
        <v>316.60935170518439</v>
      </c>
      <c r="L18" s="32">
        <f t="shared" ref="L18" si="17">SUM(L19,L20,L27)</f>
        <v>368.09240930099003</v>
      </c>
      <c r="M18" s="32">
        <f t="shared" ref="M18:V18" si="18">SUM(M19,M20,M27)</f>
        <v>371.41040664166889</v>
      </c>
      <c r="N18" s="32">
        <f t="shared" si="18"/>
        <v>378.54683702990695</v>
      </c>
      <c r="O18" s="32">
        <f t="shared" si="18"/>
        <v>387.91621492459211</v>
      </c>
      <c r="P18" s="32">
        <f t="shared" si="18"/>
        <v>401.3476107073551</v>
      </c>
      <c r="Q18" s="32">
        <f t="shared" si="18"/>
        <v>431.83830355484736</v>
      </c>
      <c r="R18" s="32">
        <f t="shared" si="18"/>
        <v>435.62996804111725</v>
      </c>
      <c r="S18" s="32">
        <f t="shared" si="18"/>
        <v>444.40942784067084</v>
      </c>
      <c r="T18" s="32">
        <f t="shared" si="18"/>
        <v>491.91752511085986</v>
      </c>
      <c r="U18" s="32">
        <f t="shared" si="18"/>
        <v>510.05702965971875</v>
      </c>
      <c r="V18" s="32">
        <f t="shared" si="18"/>
        <v>400.47483707478352</v>
      </c>
      <c r="W18" s="32">
        <f t="shared" ref="W18" si="19">SUM(W19,W20,W27)</f>
        <v>425.10115682365529</v>
      </c>
      <c r="DA18" s="173" t="s">
        <v>402</v>
      </c>
    </row>
    <row r="19" spans="1:105" ht="11.45" customHeight="1" x14ac:dyDescent="0.25">
      <c r="A19" s="136" t="s">
        <v>180</v>
      </c>
      <c r="B19" s="141">
        <v>3.3190101535457859</v>
      </c>
      <c r="C19" s="141">
        <v>3.4200288686008915</v>
      </c>
      <c r="D19" s="141">
        <v>3.537624086063198</v>
      </c>
      <c r="E19" s="141">
        <v>3.6149335592639069</v>
      </c>
      <c r="F19" s="141">
        <v>3.3683878188143868</v>
      </c>
      <c r="G19" s="141">
        <v>3.1459049960523049</v>
      </c>
      <c r="H19" s="141">
        <v>3.2043765516003591</v>
      </c>
      <c r="I19" s="141">
        <v>3.3140201627363992</v>
      </c>
      <c r="J19" s="141">
        <v>3.6772624471545488</v>
      </c>
      <c r="K19" s="141">
        <v>3.6167390994958306</v>
      </c>
      <c r="L19" s="141">
        <v>3.6363875578563083</v>
      </c>
      <c r="M19" s="141">
        <v>3.7856605736032534</v>
      </c>
      <c r="N19" s="141">
        <v>3.7697716471220759</v>
      </c>
      <c r="O19" s="141">
        <v>3.9679698766528064</v>
      </c>
      <c r="P19" s="141">
        <v>4.2434687991842344</v>
      </c>
      <c r="Q19" s="141">
        <v>4.3113707150891889</v>
      </c>
      <c r="R19" s="141">
        <v>4.5882790202481782</v>
      </c>
      <c r="S19" s="141">
        <v>4.3381367162440396</v>
      </c>
      <c r="T19" s="141">
        <v>4.3074543884782255</v>
      </c>
      <c r="U19" s="141">
        <v>4.5677030741403541</v>
      </c>
      <c r="V19" s="141">
        <v>3.9030086550771368</v>
      </c>
      <c r="W19" s="141">
        <v>3.8228132453998964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238.90052441284496</v>
      </c>
      <c r="C20" s="130">
        <f t="shared" si="20"/>
        <v>227.37953431422426</v>
      </c>
      <c r="D20" s="130">
        <f t="shared" si="20"/>
        <v>236.09483867537665</v>
      </c>
      <c r="E20" s="130">
        <f t="shared" si="20"/>
        <v>233.96487703765132</v>
      </c>
      <c r="F20" s="130">
        <f t="shared" si="20"/>
        <v>209.053626790793</v>
      </c>
      <c r="G20" s="130">
        <f t="shared" si="20"/>
        <v>242.33823030444213</v>
      </c>
      <c r="H20" s="130">
        <f t="shared" si="20"/>
        <v>247.71826421314128</v>
      </c>
      <c r="I20" s="130">
        <f t="shared" si="20"/>
        <v>255.00497925646539</v>
      </c>
      <c r="J20" s="130">
        <f t="shared" si="20"/>
        <v>302.80359650396383</v>
      </c>
      <c r="K20" s="130">
        <f t="shared" si="20"/>
        <v>265.32580328160515</v>
      </c>
      <c r="L20" s="130">
        <f t="shared" ref="L20" si="21">SUM(L21:L26)</f>
        <v>312.15812491400942</v>
      </c>
      <c r="M20" s="130">
        <f t="shared" ref="M20:V20" si="22">SUM(M21:M26)</f>
        <v>315.01315369110591</v>
      </c>
      <c r="N20" s="130">
        <f t="shared" si="22"/>
        <v>314.91095544819973</v>
      </c>
      <c r="O20" s="130">
        <f t="shared" si="22"/>
        <v>323.27889066996124</v>
      </c>
      <c r="P20" s="130">
        <f t="shared" si="22"/>
        <v>324.75735419167182</v>
      </c>
      <c r="Q20" s="130">
        <f t="shared" si="22"/>
        <v>344.93748022513716</v>
      </c>
      <c r="R20" s="130">
        <f t="shared" si="22"/>
        <v>349.4296490462296</v>
      </c>
      <c r="S20" s="130">
        <f t="shared" si="22"/>
        <v>352.40984576316202</v>
      </c>
      <c r="T20" s="130">
        <f t="shared" si="22"/>
        <v>384.97231697067184</v>
      </c>
      <c r="U20" s="130">
        <f t="shared" si="22"/>
        <v>401.03501130701926</v>
      </c>
      <c r="V20" s="130">
        <f t="shared" si="22"/>
        <v>326.62295331703473</v>
      </c>
      <c r="W20" s="130">
        <f t="shared" ref="W20" si="23">SUM(W21:W26)</f>
        <v>354.6733968805072</v>
      </c>
      <c r="DA20" s="176" t="s">
        <v>404</v>
      </c>
    </row>
    <row r="21" spans="1:105" ht="11.45" customHeight="1" x14ac:dyDescent="0.25">
      <c r="A21" s="111" t="s">
        <v>110</v>
      </c>
      <c r="B21" s="96">
        <v>212.74909915888674</v>
      </c>
      <c r="C21" s="96">
        <v>200.03903572710203</v>
      </c>
      <c r="D21" s="96">
        <v>224.45022585096763</v>
      </c>
      <c r="E21" s="96">
        <v>209.13169554222532</v>
      </c>
      <c r="F21" s="96">
        <v>172.68103136516766</v>
      </c>
      <c r="G21" s="96">
        <v>188.5682162843558</v>
      </c>
      <c r="H21" s="96">
        <v>188.52025231160442</v>
      </c>
      <c r="I21" s="96">
        <v>197.33360620523172</v>
      </c>
      <c r="J21" s="96">
        <v>244.72278459026379</v>
      </c>
      <c r="K21" s="96">
        <v>209.16229738485407</v>
      </c>
      <c r="L21" s="96">
        <v>208.5811811036879</v>
      </c>
      <c r="M21" s="96">
        <v>208.58565772440025</v>
      </c>
      <c r="N21" s="96">
        <v>205.65671925829443</v>
      </c>
      <c r="O21" s="96">
        <v>208.32111274356507</v>
      </c>
      <c r="P21" s="96">
        <v>207.74455346202333</v>
      </c>
      <c r="Q21" s="96">
        <v>219.3765368211682</v>
      </c>
      <c r="R21" s="96">
        <v>219.23217747701676</v>
      </c>
      <c r="S21" s="96">
        <v>222.2488785355184</v>
      </c>
      <c r="T21" s="96">
        <v>223.89835484677846</v>
      </c>
      <c r="U21" s="96">
        <v>236.91298895559603</v>
      </c>
      <c r="V21" s="96">
        <v>199.10656807707093</v>
      </c>
      <c r="W21" s="96">
        <v>215.17873976681912</v>
      </c>
      <c r="DA21" s="171" t="s">
        <v>750</v>
      </c>
    </row>
    <row r="22" spans="1:105" ht="11.45" customHeight="1" x14ac:dyDescent="0.25">
      <c r="A22" s="111" t="s">
        <v>111</v>
      </c>
      <c r="B22" s="96">
        <v>26.151425253958209</v>
      </c>
      <c r="C22" s="96">
        <v>27.340498587122216</v>
      </c>
      <c r="D22" s="96">
        <v>11.644612824409029</v>
      </c>
      <c r="E22" s="96">
        <v>24.833181495426</v>
      </c>
      <c r="F22" s="96">
        <v>36.372595425625349</v>
      </c>
      <c r="G22" s="96">
        <v>53.770014020086329</v>
      </c>
      <c r="H22" s="96">
        <v>59.198011901536859</v>
      </c>
      <c r="I22" s="96">
        <v>57.67137305123368</v>
      </c>
      <c r="J22" s="96">
        <v>58.080811913700018</v>
      </c>
      <c r="K22" s="96">
        <v>56.163505896751076</v>
      </c>
      <c r="L22" s="96">
        <v>103.33490025719921</v>
      </c>
      <c r="M22" s="96">
        <v>106.17892690431864</v>
      </c>
      <c r="N22" s="96">
        <v>108.97059598073864</v>
      </c>
      <c r="O22" s="96">
        <v>114.54698067441971</v>
      </c>
      <c r="P22" s="96">
        <v>116.30708623272476</v>
      </c>
      <c r="Q22" s="96">
        <v>124.56767608714888</v>
      </c>
      <c r="R22" s="96">
        <v>126.30516764808466</v>
      </c>
      <c r="S22" s="96">
        <v>127.34236891883818</v>
      </c>
      <c r="T22" s="96">
        <v>157.8373475203376</v>
      </c>
      <c r="U22" s="96">
        <v>160.70697340329423</v>
      </c>
      <c r="V22" s="96">
        <v>124.3357347587624</v>
      </c>
      <c r="W22" s="96">
        <v>135.43335586366032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2.9026504799999988</v>
      </c>
      <c r="S23" s="96">
        <v>1.8154015665621053</v>
      </c>
      <c r="T23" s="96">
        <v>2.0447916542610192</v>
      </c>
      <c r="U23" s="96">
        <v>2.0844405618862485</v>
      </c>
      <c r="V23" s="96">
        <v>1.8904754805198589</v>
      </c>
      <c r="W23" s="96">
        <v>2.1722968136463243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0.24204355312230744</v>
      </c>
      <c r="M25" s="96">
        <v>0.24856906238697127</v>
      </c>
      <c r="N25" s="96">
        <v>0.28364020916667171</v>
      </c>
      <c r="O25" s="96">
        <v>0.41079725197646128</v>
      </c>
      <c r="P25" s="96">
        <v>0.70571449692372501</v>
      </c>
      <c r="Q25" s="96">
        <v>0.99326731682010971</v>
      </c>
      <c r="R25" s="96">
        <v>0.98965344112819376</v>
      </c>
      <c r="S25" s="96">
        <v>1.0031967422433692</v>
      </c>
      <c r="T25" s="96">
        <v>1.1918229492947738</v>
      </c>
      <c r="U25" s="96">
        <v>1.330608386242798</v>
      </c>
      <c r="V25" s="96">
        <v>1.2901750006815382</v>
      </c>
      <c r="W25" s="96">
        <v>1.8890044363814742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35.163488173661698</v>
      </c>
      <c r="C27" s="130">
        <f t="shared" si="24"/>
        <v>34.035847038131493</v>
      </c>
      <c r="D27" s="130">
        <f t="shared" si="24"/>
        <v>13.651014499438551</v>
      </c>
      <c r="E27" s="130">
        <f t="shared" si="24"/>
        <v>27.524379020100781</v>
      </c>
      <c r="F27" s="130">
        <f t="shared" si="24"/>
        <v>39.12829330079456</v>
      </c>
      <c r="G27" s="130">
        <f t="shared" si="24"/>
        <v>54.575754000860641</v>
      </c>
      <c r="H27" s="130">
        <f t="shared" si="24"/>
        <v>58.77690708901352</v>
      </c>
      <c r="I27" s="130">
        <f t="shared" si="24"/>
        <v>55.659377335150438</v>
      </c>
      <c r="J27" s="130">
        <f t="shared" si="24"/>
        <v>55.31841006396003</v>
      </c>
      <c r="K27" s="130">
        <f t="shared" si="24"/>
        <v>47.666809324083403</v>
      </c>
      <c r="L27" s="130">
        <f t="shared" ref="L27" si="25">SUM(L28:L32)</f>
        <v>52.297896829124277</v>
      </c>
      <c r="M27" s="130">
        <f t="shared" ref="M27:V27" si="26">SUM(M28:M32)</f>
        <v>52.611592376959727</v>
      </c>
      <c r="N27" s="130">
        <f t="shared" si="26"/>
        <v>59.86610993458514</v>
      </c>
      <c r="O27" s="130">
        <f t="shared" si="26"/>
        <v>60.669354377978038</v>
      </c>
      <c r="P27" s="130">
        <f t="shared" si="26"/>
        <v>72.346787716499009</v>
      </c>
      <c r="Q27" s="130">
        <f t="shared" si="26"/>
        <v>82.589452614620967</v>
      </c>
      <c r="R27" s="130">
        <f t="shared" si="26"/>
        <v>81.612039974639444</v>
      </c>
      <c r="S27" s="130">
        <f t="shared" si="26"/>
        <v>87.661445361264782</v>
      </c>
      <c r="T27" s="130">
        <f t="shared" si="26"/>
        <v>102.63775375170979</v>
      </c>
      <c r="U27" s="130">
        <f t="shared" si="26"/>
        <v>104.45431527855911</v>
      </c>
      <c r="V27" s="130">
        <f t="shared" si="26"/>
        <v>69.94887510267165</v>
      </c>
      <c r="W27" s="130">
        <f t="shared" ref="W27" si="27">SUM(W28:W32)</f>
        <v>66.604946697748176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0.13039340621349013</v>
      </c>
      <c r="M28" s="97">
        <v>0.10969981447830848</v>
      </c>
      <c r="N28" s="97">
        <v>0.10329111231783983</v>
      </c>
      <c r="O28" s="97">
        <v>9.612500690926587E-2</v>
      </c>
      <c r="P28" s="97">
        <v>8.9479503308848365E-2</v>
      </c>
      <c r="Q28" s="97">
        <v>7.4729409752822773E-2</v>
      </c>
      <c r="R28" s="97">
        <v>7.1910038499974377E-2</v>
      </c>
      <c r="S28" s="97">
        <v>6.9572016358730324E-2</v>
      </c>
      <c r="T28" s="97">
        <v>7.4072747586548929E-2</v>
      </c>
      <c r="U28" s="97">
        <v>7.6711256556944454E-2</v>
      </c>
      <c r="V28" s="97">
        <v>5.0501340726599453E-2</v>
      </c>
      <c r="W28" s="97">
        <v>4.6696260830666171E-2</v>
      </c>
      <c r="DA28" s="175" t="s">
        <v>756</v>
      </c>
    </row>
    <row r="29" spans="1:105" ht="11.45" customHeight="1" x14ac:dyDescent="0.25">
      <c r="A29" s="111" t="s">
        <v>111</v>
      </c>
      <c r="B29" s="97">
        <v>35.163488173661698</v>
      </c>
      <c r="C29" s="97">
        <v>34.035847038131493</v>
      </c>
      <c r="D29" s="97">
        <v>13.651014499438551</v>
      </c>
      <c r="E29" s="97">
        <v>27.524379020100781</v>
      </c>
      <c r="F29" s="97">
        <v>39.12829330079456</v>
      </c>
      <c r="G29" s="97">
        <v>54.575754000860641</v>
      </c>
      <c r="H29" s="97">
        <v>58.77690708901352</v>
      </c>
      <c r="I29" s="97">
        <v>55.659377335150438</v>
      </c>
      <c r="J29" s="97">
        <v>55.31841006396003</v>
      </c>
      <c r="K29" s="97">
        <v>47.666809324083403</v>
      </c>
      <c r="L29" s="97">
        <v>52.167503422910784</v>
      </c>
      <c r="M29" s="97">
        <v>52.501892562481416</v>
      </c>
      <c r="N29" s="97">
        <v>59.762818822267299</v>
      </c>
      <c r="O29" s="97">
        <v>60.57322937106877</v>
      </c>
      <c r="P29" s="97">
        <v>72.257308213190157</v>
      </c>
      <c r="Q29" s="97">
        <v>82.514723204868147</v>
      </c>
      <c r="R29" s="97">
        <v>81.540129936139465</v>
      </c>
      <c r="S29" s="97">
        <v>87.591873344906048</v>
      </c>
      <c r="T29" s="97">
        <v>102.56368100412324</v>
      </c>
      <c r="U29" s="97">
        <v>104.37760402200216</v>
      </c>
      <c r="V29" s="97">
        <v>69.898373761945052</v>
      </c>
      <c r="W29" s="97">
        <v>66.558250436917504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182.74501565994757</v>
      </c>
      <c r="C33" s="32">
        <f t="shared" si="28"/>
        <v>163.89483469904334</v>
      </c>
      <c r="D33" s="32">
        <f t="shared" si="28"/>
        <v>34.319255899121607</v>
      </c>
      <c r="E33" s="32">
        <f t="shared" si="28"/>
        <v>102.73744918298402</v>
      </c>
      <c r="F33" s="32">
        <f t="shared" si="28"/>
        <v>197.34461592959812</v>
      </c>
      <c r="G33" s="32">
        <f t="shared" si="28"/>
        <v>170.84182733864483</v>
      </c>
      <c r="H33" s="32">
        <f t="shared" si="28"/>
        <v>173.94716130624482</v>
      </c>
      <c r="I33" s="32">
        <f t="shared" si="28"/>
        <v>181.79439744564769</v>
      </c>
      <c r="J33" s="32">
        <f t="shared" si="28"/>
        <v>181.6518774649216</v>
      </c>
      <c r="K33" s="32">
        <f t="shared" si="28"/>
        <v>162.40637793481559</v>
      </c>
      <c r="L33" s="32">
        <f t="shared" ref="L33" si="29">L34+L40</f>
        <v>136.41357213901</v>
      </c>
      <c r="M33" s="32">
        <f t="shared" ref="M33:V33" si="30">M34+M40</f>
        <v>123.53676371833113</v>
      </c>
      <c r="N33" s="32">
        <f t="shared" si="30"/>
        <v>113.420544210093</v>
      </c>
      <c r="O33" s="32">
        <f t="shared" si="30"/>
        <v>113.4035850754079</v>
      </c>
      <c r="P33" s="32">
        <f t="shared" si="30"/>
        <v>109.53100037264502</v>
      </c>
      <c r="Q33" s="32">
        <f t="shared" si="30"/>
        <v>110.07785188515254</v>
      </c>
      <c r="R33" s="32">
        <f t="shared" si="30"/>
        <v>109.18883787888271</v>
      </c>
      <c r="S33" s="32">
        <f t="shared" si="30"/>
        <v>116.47796187932914</v>
      </c>
      <c r="T33" s="32">
        <f t="shared" si="30"/>
        <v>131.39148464914004</v>
      </c>
      <c r="U33" s="32">
        <f t="shared" si="30"/>
        <v>140.83173706028128</v>
      </c>
      <c r="V33" s="32">
        <f t="shared" si="30"/>
        <v>119.85709248521647</v>
      </c>
      <c r="W33" s="32">
        <f t="shared" ref="W33" si="31">W34+W40</f>
        <v>122.46883605634461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50.117750299718068</v>
      </c>
      <c r="C34" s="141">
        <f t="shared" si="32"/>
        <v>47.106044604138411</v>
      </c>
      <c r="D34" s="141">
        <f t="shared" si="32"/>
        <v>19.896722800888735</v>
      </c>
      <c r="E34" s="141">
        <f t="shared" si="32"/>
        <v>37.186696611056739</v>
      </c>
      <c r="F34" s="141">
        <f t="shared" si="32"/>
        <v>49.478492983224733</v>
      </c>
      <c r="G34" s="141">
        <f t="shared" si="32"/>
        <v>67.502495786312863</v>
      </c>
      <c r="H34" s="141">
        <f t="shared" si="32"/>
        <v>72.881029171359657</v>
      </c>
      <c r="I34" s="141">
        <f t="shared" si="32"/>
        <v>72.687648373500309</v>
      </c>
      <c r="J34" s="141">
        <f t="shared" si="32"/>
        <v>72.351581110589038</v>
      </c>
      <c r="K34" s="141">
        <f t="shared" si="32"/>
        <v>65.577327569561604</v>
      </c>
      <c r="L34" s="141">
        <f t="shared" ref="L34" si="33">SUM(L35:L39)</f>
        <v>60.581519383842547</v>
      </c>
      <c r="M34" s="141">
        <f t="shared" ref="M34:V34" si="34">SUM(M35:M39)</f>
        <v>57.5098637552464</v>
      </c>
      <c r="N34" s="141">
        <f t="shared" si="34"/>
        <v>54.629548357769906</v>
      </c>
      <c r="O34" s="141">
        <f t="shared" si="34"/>
        <v>54.532252817791225</v>
      </c>
      <c r="P34" s="141">
        <f t="shared" si="34"/>
        <v>55.070343469840871</v>
      </c>
      <c r="Q34" s="141">
        <f t="shared" si="34"/>
        <v>57.204000898773849</v>
      </c>
      <c r="R34" s="141">
        <f t="shared" si="34"/>
        <v>55.316839005412881</v>
      </c>
      <c r="S34" s="141">
        <f t="shared" si="34"/>
        <v>59.918676405771294</v>
      </c>
      <c r="T34" s="141">
        <f t="shared" si="34"/>
        <v>68.595812888540735</v>
      </c>
      <c r="U34" s="141">
        <f t="shared" si="34"/>
        <v>73.308372480106627</v>
      </c>
      <c r="V34" s="141">
        <f t="shared" si="34"/>
        <v>61.26246576922906</v>
      </c>
      <c r="W34" s="141">
        <f t="shared" ref="W34" si="35">SUM(W35:W39)</f>
        <v>61.215573493639369</v>
      </c>
      <c r="DA34" s="174" t="s">
        <v>411</v>
      </c>
    </row>
    <row r="35" spans="1:105" ht="11.45" customHeight="1" x14ac:dyDescent="0.25">
      <c r="A35" s="111" t="s">
        <v>110</v>
      </c>
      <c r="B35" s="96">
        <v>1.9010698075674859</v>
      </c>
      <c r="C35" s="96">
        <v>2.230209964297059</v>
      </c>
      <c r="D35" s="96">
        <v>2.261483222969177</v>
      </c>
      <c r="E35" s="96">
        <v>2.1526986185107808</v>
      </c>
      <c r="F35" s="96">
        <v>2.0099453760179515</v>
      </c>
      <c r="G35" s="96">
        <v>1.9794064395918671</v>
      </c>
      <c r="H35" s="96">
        <v>1.968898856795247</v>
      </c>
      <c r="I35" s="96">
        <v>1.9855181920318372</v>
      </c>
      <c r="J35" s="96">
        <v>1.9114698025816221</v>
      </c>
      <c r="K35" s="96">
        <v>1.7737635156500655</v>
      </c>
      <c r="L35" s="96">
        <v>1.9627943791200066</v>
      </c>
      <c r="M35" s="96">
        <v>1.8232128251312152</v>
      </c>
      <c r="N35" s="96">
        <v>1.7595886530989768</v>
      </c>
      <c r="O35" s="96">
        <v>1.7567951208963939</v>
      </c>
      <c r="P35" s="96">
        <v>1.7695837385598847</v>
      </c>
      <c r="Q35" s="96">
        <v>1.7165511771696307</v>
      </c>
      <c r="R35" s="96">
        <v>1.5904354631068724</v>
      </c>
      <c r="S35" s="96">
        <v>1.5332508296354568</v>
      </c>
      <c r="T35" s="96">
        <v>1.4854029878619661</v>
      </c>
      <c r="U35" s="96">
        <v>1.5472532474638485</v>
      </c>
      <c r="V35" s="96">
        <v>1.4595203264437182</v>
      </c>
      <c r="W35" s="96">
        <v>1.5183242505688876</v>
      </c>
      <c r="DA35" s="171" t="s">
        <v>761</v>
      </c>
    </row>
    <row r="36" spans="1:105" ht="11.45" customHeight="1" x14ac:dyDescent="0.25">
      <c r="A36" s="111" t="s">
        <v>111</v>
      </c>
      <c r="B36" s="96">
        <v>48.21668049215058</v>
      </c>
      <c r="C36" s="96">
        <v>44.875834639841351</v>
      </c>
      <c r="D36" s="96">
        <v>17.63523957791956</v>
      </c>
      <c r="E36" s="96">
        <v>35.033997992545956</v>
      </c>
      <c r="F36" s="96">
        <v>47.46854760720678</v>
      </c>
      <c r="G36" s="96">
        <v>65.523089346720994</v>
      </c>
      <c r="H36" s="96">
        <v>70.912130314564408</v>
      </c>
      <c r="I36" s="96">
        <v>70.702130181468476</v>
      </c>
      <c r="J36" s="96">
        <v>70.440111308007417</v>
      </c>
      <c r="K36" s="96">
        <v>63.803564053911543</v>
      </c>
      <c r="L36" s="96">
        <v>58.618725004722542</v>
      </c>
      <c r="M36" s="96">
        <v>55.686650930115185</v>
      </c>
      <c r="N36" s="96">
        <v>52.869959704670926</v>
      </c>
      <c r="O36" s="96">
        <v>52.775457696894833</v>
      </c>
      <c r="P36" s="96">
        <v>53.300759731280984</v>
      </c>
      <c r="Q36" s="96">
        <v>55.487449721604222</v>
      </c>
      <c r="R36" s="96">
        <v>53.726403542306009</v>
      </c>
      <c r="S36" s="96">
        <v>58.380821222697939</v>
      </c>
      <c r="T36" s="96">
        <v>67.10599119493979</v>
      </c>
      <c r="U36" s="96">
        <v>71.752734714529026</v>
      </c>
      <c r="V36" s="96">
        <v>59.795044803305203</v>
      </c>
      <c r="W36" s="96">
        <v>59.689718696716803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4.6043534378950486E-3</v>
      </c>
      <c r="T37" s="96">
        <v>4.4187057389812393E-3</v>
      </c>
      <c r="U37" s="96">
        <v>8.3845181137512607E-3</v>
      </c>
      <c r="V37" s="96">
        <v>7.9006394801411309E-3</v>
      </c>
      <c r="W37" s="96">
        <v>7.5305463536756842E-3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132.6272653602295</v>
      </c>
      <c r="C40" s="130">
        <f t="shared" si="36"/>
        <v>116.78879009490493</v>
      </c>
      <c r="D40" s="130">
        <f t="shared" si="36"/>
        <v>14.422533098232872</v>
      </c>
      <c r="E40" s="130">
        <f t="shared" si="36"/>
        <v>65.550752571927276</v>
      </c>
      <c r="F40" s="130">
        <f t="shared" si="36"/>
        <v>147.86612294637339</v>
      </c>
      <c r="G40" s="130">
        <f t="shared" si="36"/>
        <v>103.33933155233197</v>
      </c>
      <c r="H40" s="130">
        <f t="shared" si="36"/>
        <v>101.06613213488517</v>
      </c>
      <c r="I40" s="130">
        <f t="shared" si="36"/>
        <v>109.10674907214739</v>
      </c>
      <c r="J40" s="130">
        <f t="shared" si="36"/>
        <v>109.30029635433257</v>
      </c>
      <c r="K40" s="130">
        <f t="shared" si="36"/>
        <v>96.829050365253991</v>
      </c>
      <c r="L40" s="130">
        <f t="shared" ref="L40" si="37">SUM(L41:L42)</f>
        <v>75.832052755167453</v>
      </c>
      <c r="M40" s="130">
        <f t="shared" ref="M40:V40" si="38">SUM(M41:M42)</f>
        <v>66.02689996308473</v>
      </c>
      <c r="N40" s="130">
        <f t="shared" si="38"/>
        <v>58.7909958523231</v>
      </c>
      <c r="O40" s="130">
        <f t="shared" si="38"/>
        <v>58.871332257616679</v>
      </c>
      <c r="P40" s="130">
        <f t="shared" si="38"/>
        <v>54.460656902804146</v>
      </c>
      <c r="Q40" s="130">
        <f t="shared" si="38"/>
        <v>52.873850986378685</v>
      </c>
      <c r="R40" s="130">
        <f t="shared" si="38"/>
        <v>53.871998873469821</v>
      </c>
      <c r="S40" s="130">
        <f t="shared" si="38"/>
        <v>56.55928547355785</v>
      </c>
      <c r="T40" s="130">
        <f t="shared" si="38"/>
        <v>62.795671760599312</v>
      </c>
      <c r="U40" s="130">
        <f t="shared" si="38"/>
        <v>67.523364580174643</v>
      </c>
      <c r="V40" s="130">
        <f t="shared" si="38"/>
        <v>58.594626715987417</v>
      </c>
      <c r="W40" s="130">
        <f t="shared" ref="W40" si="39">SUM(W41:W42)</f>
        <v>61.253262562705245</v>
      </c>
      <c r="DA40" s="176" t="s">
        <v>412</v>
      </c>
    </row>
    <row r="41" spans="1:105" ht="11.45" customHeight="1" x14ac:dyDescent="0.25">
      <c r="A41" s="128" t="s">
        <v>27</v>
      </c>
      <c r="B41" s="97">
        <v>132.6272653602295</v>
      </c>
      <c r="C41" s="97">
        <v>116.78879009490493</v>
      </c>
      <c r="D41" s="97">
        <v>14.422533098232872</v>
      </c>
      <c r="E41" s="97">
        <v>65.550752571927276</v>
      </c>
      <c r="F41" s="97">
        <v>147.86612294637339</v>
      </c>
      <c r="G41" s="97">
        <v>103.33933155233197</v>
      </c>
      <c r="H41" s="97">
        <v>101.06613213488517</v>
      </c>
      <c r="I41" s="97">
        <v>109.10674907214739</v>
      </c>
      <c r="J41" s="97">
        <v>109.30029635433257</v>
      </c>
      <c r="K41" s="97">
        <v>96.829050365253991</v>
      </c>
      <c r="L41" s="97">
        <v>75.832052755167453</v>
      </c>
      <c r="M41" s="97">
        <v>66.02689996308473</v>
      </c>
      <c r="N41" s="97">
        <v>58.7909958523231</v>
      </c>
      <c r="O41" s="97">
        <v>58.871332257616679</v>
      </c>
      <c r="P41" s="97">
        <v>54.460656902804146</v>
      </c>
      <c r="Q41" s="97">
        <v>52.873850986378685</v>
      </c>
      <c r="R41" s="97">
        <v>53.871998873469821</v>
      </c>
      <c r="S41" s="97">
        <v>56.55928547355785</v>
      </c>
      <c r="T41" s="97">
        <v>62.795671760599312</v>
      </c>
      <c r="U41" s="97">
        <v>67.523364580174643</v>
      </c>
      <c r="V41" s="97">
        <v>58.594626715987417</v>
      </c>
      <c r="W41" s="97">
        <v>61.253262562705245</v>
      </c>
      <c r="DA41" s="175" t="s">
        <v>766</v>
      </c>
    </row>
    <row r="42" spans="1:105" ht="11.45" customHeight="1" x14ac:dyDescent="0.25">
      <c r="A42" s="138" t="s">
        <v>116</v>
      </c>
      <c r="B42" s="98">
        <v>0</v>
      </c>
      <c r="C42" s="98">
        <v>0</v>
      </c>
      <c r="D42" s="98">
        <v>0</v>
      </c>
      <c r="E42" s="98">
        <v>0</v>
      </c>
      <c r="F42" s="98">
        <v>0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0</v>
      </c>
      <c r="W42" s="98">
        <v>0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3.0038580940884847</v>
      </c>
      <c r="C47" s="145">
        <f>IF(C4=0,0,C4/TrRoad_ene!C4)</f>
        <v>3.0026398851605731</v>
      </c>
      <c r="D47" s="145">
        <f>IF(D4=0,0,D4/TrRoad_ene!D4)</f>
        <v>2.939423338126419</v>
      </c>
      <c r="E47" s="145">
        <f>IF(E4=0,0,E4/TrRoad_ene!E4)</f>
        <v>2.9817347269916681</v>
      </c>
      <c r="F47" s="145">
        <f>IF(F4=0,0,F4/TrRoad_ene!F4)</f>
        <v>3.0194286203689735</v>
      </c>
      <c r="G47" s="145">
        <f>IF(G4=0,0,G4/TrRoad_ene!G4)</f>
        <v>3.0164426733626604</v>
      </c>
      <c r="H47" s="145">
        <f>IF(H4=0,0,H4/TrRoad_ene!H4)</f>
        <v>3.0186420591847116</v>
      </c>
      <c r="I47" s="145">
        <f>IF(I4=0,0,I4/TrRoad_ene!I4)</f>
        <v>3.0169443306361123</v>
      </c>
      <c r="J47" s="145">
        <f>IF(J4=0,0,J4/TrRoad_ene!J4)</f>
        <v>3.00643055803743</v>
      </c>
      <c r="K47" s="145">
        <f>IF(K4=0,0,K4/TrRoad_ene!K4)</f>
        <v>3.0089764528703666</v>
      </c>
      <c r="L47" s="145">
        <f>IF(L4=0,0,L4/TrRoad_ene!L4)</f>
        <v>3.0032634498599156</v>
      </c>
      <c r="M47" s="145">
        <f>IF(M4=0,0,M4/TrRoad_ene!M4)</f>
        <v>2.9836465061851554</v>
      </c>
      <c r="N47" s="145">
        <f>IF(N4=0,0,N4/TrRoad_ene!N4)</f>
        <v>2.9642916084654258</v>
      </c>
      <c r="O47" s="145">
        <f>IF(O4=0,0,O4/TrRoad_ene!O4)</f>
        <v>2.9241858354728789</v>
      </c>
      <c r="P47" s="145">
        <f>IF(P4=0,0,P4/TrRoad_ene!P4)</f>
        <v>2.8900211034715269</v>
      </c>
      <c r="Q47" s="145">
        <f>IF(Q4=0,0,Q4/TrRoad_ene!Q4)</f>
        <v>2.9038491631507295</v>
      </c>
      <c r="R47" s="145">
        <f>IF(R4=0,0,R4/TrRoad_ene!R4)</f>
        <v>2.9035262683431262</v>
      </c>
      <c r="S47" s="145">
        <f>IF(S4=0,0,S4/TrRoad_ene!S4)</f>
        <v>2.8970334164952734</v>
      </c>
      <c r="T47" s="145">
        <f>IF(T4=0,0,T4/TrRoad_ene!T4)</f>
        <v>2.8779589577059785</v>
      </c>
      <c r="U47" s="145">
        <f>IF(U4=0,0,U4/TrRoad_ene!U4)</f>
        <v>2.8723755447516357</v>
      </c>
      <c r="V47" s="145">
        <f>IF(V4=0,0,V4/TrRoad_ene!V4)</f>
        <v>2.7806544486085305</v>
      </c>
      <c r="W47" s="145">
        <f>IF(W4=0,0,W4/TrRoad_ene!W4)</f>
        <v>2.8354353168319877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2.9014524000000002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2.9014524000000002</v>
      </c>
      <c r="P48" s="97">
        <f>IF(P7=0,0,(P7+P12)/(TrRoad_ene!P7+TrRoad_ene!P12))</f>
        <v>2.9014524000000002</v>
      </c>
      <c r="Q48" s="97">
        <f>IF(Q7=0,0,(Q7+Q12)/(TrRoad_ene!Q7+TrRoad_ene!Q12))</f>
        <v>2.9014524000000002</v>
      </c>
      <c r="R48" s="97">
        <f>IF(R7=0,0,(R7+R12)/(TrRoad_ene!R7+TrRoad_ene!R12))</f>
        <v>2.9014524000000002</v>
      </c>
      <c r="S48" s="97">
        <f>IF(S7=0,0,(S7+S12)/(TrRoad_ene!S7+TrRoad_ene!S12))</f>
        <v>2.9014524000000002</v>
      </c>
      <c r="T48" s="97">
        <f>IF(T7=0,0,(T7+T12)/(TrRoad_ene!T7+TrRoad_ene!T12))</f>
        <v>2.9014524000000002</v>
      </c>
      <c r="U48" s="97">
        <f>IF(U7=0,0,(U7+U12)/(TrRoad_ene!U7+TrRoad_ene!U12))</f>
        <v>2.9014524000000002</v>
      </c>
      <c r="V48" s="97">
        <f>IF(V7=0,0,(V7+V12)/(TrRoad_ene!V7+TrRoad_ene!V12))</f>
        <v>2.9014524000000002</v>
      </c>
      <c r="W48" s="97">
        <f>IF(W7=0,0,(W7+W12)/(TrRoad_ene!W7+TrRoad_ene!W12))</f>
        <v>2.9014524000000002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3.1024188000000006</v>
      </c>
      <c r="F49" s="97">
        <f>IF(F8=0,0,(F8+F13+F14)/(TrRoad_ene!F8+TrRoad_ene!F13+TrRoad_ene!F14))</f>
        <v>3.1024188000000006</v>
      </c>
      <c r="G49" s="97">
        <f>IF(G8=0,0,(G8+G13+G14)/(TrRoad_ene!G8+TrRoad_ene!G13+TrRoad_ene!G14))</f>
        <v>3.1024187999999997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3.1024188000000006</v>
      </c>
      <c r="J49" s="97">
        <f>IF(J8=0,0,(J8+J13+J14)/(TrRoad_ene!J8+TrRoad_ene!J13+TrRoad_ene!J14))</f>
        <v>3.1024188000000006</v>
      </c>
      <c r="K49" s="97">
        <f>IF(K8=0,0,(K8+K13+K14)/(TrRoad_ene!K8+TrRoad_ene!K13+TrRoad_ene!K14))</f>
        <v>3.1024188000000001</v>
      </c>
      <c r="L49" s="97">
        <f>IF(L8=0,0,(L8+L13+L14)/(TrRoad_ene!L8+TrRoad_ene!L13+TrRoad_ene!L14))</f>
        <v>3.0847127152061455</v>
      </c>
      <c r="M49" s="97">
        <f>IF(M8=0,0,(M8+M13+M14)/(TrRoad_ene!M8+TrRoad_ene!M13+TrRoad_ene!M14))</f>
        <v>3.0511640761014549</v>
      </c>
      <c r="N49" s="97">
        <f>IF(N8=0,0,(N8+N13+N14)/(TrRoad_ene!N8+TrRoad_ene!N13+TrRoad_ene!N14))</f>
        <v>3.0152636469092267</v>
      </c>
      <c r="O49" s="97">
        <f>IF(O8=0,0,(O8+O13+O14)/(TrRoad_ene!O8+TrRoad_ene!O13+TrRoad_ene!O14))</f>
        <v>2.9437285548977847</v>
      </c>
      <c r="P49" s="97">
        <f>IF(P8=0,0,(P8+P13+P14)/(TrRoad_ene!P8+TrRoad_ene!P13+TrRoad_ene!P14))</f>
        <v>2.8857401335747142</v>
      </c>
      <c r="Q49" s="97">
        <f>IF(Q8=0,0,(Q8+Q13+Q14)/(TrRoad_ene!Q8+TrRoad_ene!Q13+TrRoad_ene!Q14))</f>
        <v>2.9113481878919805</v>
      </c>
      <c r="R49" s="97">
        <f>IF(R8=0,0,(R8+R13+R14)/(TrRoad_ene!R8+TrRoad_ene!R13+TrRoad_ene!R14))</f>
        <v>2.9136511641944196</v>
      </c>
      <c r="S49" s="97">
        <f>IF(S8=0,0,(S8+S13+S14)/(TrRoad_ene!S8+TrRoad_ene!S13+TrRoad_ene!S14))</f>
        <v>2.9013573248284983</v>
      </c>
      <c r="T49" s="97">
        <f>IF(T8=0,0,(T8+T13+T14)/(TrRoad_ene!T8+TrRoad_ene!T13+TrRoad_ene!T14))</f>
        <v>2.873520770079105</v>
      </c>
      <c r="U49" s="97">
        <f>IF(U8=0,0,(U8+U13+U14)/(TrRoad_ene!U8+TrRoad_ene!U13+TrRoad_ene!U14))</f>
        <v>2.8675928748241417</v>
      </c>
      <c r="V49" s="97">
        <f>IF(V8=0,0,(V8+V13+V14)/(TrRoad_ene!V8+TrRoad_ene!V13+TrRoad_ene!V14))</f>
        <v>2.7236626605197847</v>
      </c>
      <c r="W49" s="97">
        <f>IF(W8=0,0,(W8+W13+W14)/(TrRoad_ene!W8+TrRoad_ene!W13+TrRoad_ene!W14))</f>
        <v>2.8149735408809948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0</v>
      </c>
      <c r="I50" s="97">
        <f>IF(I6=0,0,I6/TrRoad_ene!I6)</f>
        <v>0</v>
      </c>
      <c r="J50" s="97">
        <f>IF(J6=0,0,J6/TrRoad_ene!J6)</f>
        <v>0</v>
      </c>
      <c r="K50" s="97">
        <f>IF(K6=0,0,K6/TrRoad_ene!K6)</f>
        <v>0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228.15733657571462</v>
      </c>
      <c r="C54" s="62">
        <f>IF(TrRoad_act!C30=0,0,C17/TrRoad_act!C30*1000
)</f>
        <v>212.05683589317849</v>
      </c>
      <c r="D54" s="62">
        <f>IF(TrRoad_act!D30=0,0,D17/TrRoad_act!D30*1000
)</f>
        <v>151.46667913718616</v>
      </c>
      <c r="E54" s="62">
        <f>IF(TrRoad_act!E30=0,0,E17/TrRoad_act!E30*1000
)</f>
        <v>176.2883181020664</v>
      </c>
      <c r="F54" s="62">
        <f>IF(TrRoad_act!F30=0,0,F17/TrRoad_act!F30*1000
)</f>
        <v>206.42726011583068</v>
      </c>
      <c r="G54" s="62">
        <f>IF(TrRoad_act!G30=0,0,G17/TrRoad_act!G30*1000
)</f>
        <v>217.33856114328614</v>
      </c>
      <c r="H54" s="62">
        <f>IF(TrRoad_act!H30=0,0,H17/TrRoad_act!H30*1000
)</f>
        <v>216.22730944393862</v>
      </c>
      <c r="I54" s="62">
        <f>IF(TrRoad_act!I30=0,0,I17/TrRoad_act!I30*1000
)</f>
        <v>220.79344059969915</v>
      </c>
      <c r="J54" s="62">
        <f>IF(TrRoad_act!J30=0,0,J17/TrRoad_act!J30*1000
)</f>
        <v>223.74702998735523</v>
      </c>
      <c r="K54" s="62">
        <f>IF(TrRoad_act!K30=0,0,K17/TrRoad_act!K30*1000
)</f>
        <v>190.18796608679449</v>
      </c>
      <c r="L54" s="62">
        <f>IF(TrRoad_act!L30=0,0,L17/TrRoad_act!L30*1000
)</f>
        <v>202.820669515204</v>
      </c>
      <c r="M54" s="62">
        <f>IF(TrRoad_act!M30=0,0,M17/TrRoad_act!M30*1000
)</f>
        <v>195.43312498524003</v>
      </c>
      <c r="N54" s="62">
        <f>IF(TrRoad_act!N30=0,0,N17/TrRoad_act!N30*1000
)</f>
        <v>193.37113729534951</v>
      </c>
      <c r="O54" s="62">
        <f>IF(TrRoad_act!O30=0,0,O17/TrRoad_act!O30*1000
)</f>
        <v>191.84129280900476</v>
      </c>
      <c r="P54" s="62">
        <f>IF(TrRoad_act!P30=0,0,P17/TrRoad_act!P30*1000
)</f>
        <v>185.04878247264278</v>
      </c>
      <c r="Q54" s="62">
        <f>IF(TrRoad_act!Q30=0,0,Q17/TrRoad_act!Q30*1000
)</f>
        <v>188.7435620380609</v>
      </c>
      <c r="R54" s="62">
        <f>IF(TrRoad_act!R30=0,0,R17/TrRoad_act!R30*1000
)</f>
        <v>184.76515734391492</v>
      </c>
      <c r="S54" s="62">
        <f>IF(TrRoad_act!S30=0,0,S17/TrRoad_act!S30*1000
)</f>
        <v>190.10116367455385</v>
      </c>
      <c r="T54" s="62">
        <f>IF(TrRoad_act!T30=0,0,T17/TrRoad_act!T30*1000
)</f>
        <v>207.04304594717607</v>
      </c>
      <c r="U54" s="62">
        <f>IF(TrRoad_act!U30=0,0,U17/TrRoad_act!U30*1000
)</f>
        <v>213.55143755549389</v>
      </c>
      <c r="V54" s="62">
        <f>IF(TrRoad_act!V30=0,0,V17/TrRoad_act!V30*1000
)</f>
        <v>188.15191860932245</v>
      </c>
      <c r="W54" s="62">
        <f>IF(TrRoad_act!W30=0,0,W17/TrRoad_act!W30*1000
)</f>
        <v>190.19781968683733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190.25155151286995</v>
      </c>
      <c r="C55" s="29">
        <f>IF(TrRoad_act!C31=0,0,C18/TrRoad_act!C31*1000
)</f>
        <v>178.59982589031424</v>
      </c>
      <c r="D55" s="29">
        <f>IF(TrRoad_act!D31=0,0,D18/TrRoad_act!D31*1000
)</f>
        <v>163.66199992189772</v>
      </c>
      <c r="E55" s="29">
        <f>IF(TrRoad_act!E31=0,0,E18/TrRoad_act!E31*1000
)</f>
        <v>164.37360286267213</v>
      </c>
      <c r="F55" s="29">
        <f>IF(TrRoad_act!F31=0,0,F18/TrRoad_act!F31*1000
)</f>
        <v>159.64709933568577</v>
      </c>
      <c r="G55" s="29">
        <f>IF(TrRoad_act!G31=0,0,G18/TrRoad_act!G31*1000
)</f>
        <v>172.63736730283529</v>
      </c>
      <c r="H55" s="29">
        <f>IF(TrRoad_act!H31=0,0,H18/TrRoad_act!H31*1000
)</f>
        <v>171.67848221737873</v>
      </c>
      <c r="I55" s="29">
        <f>IF(TrRoad_act!I31=0,0,I18/TrRoad_act!I31*1000
)</f>
        <v>178.38258574619252</v>
      </c>
      <c r="J55" s="29">
        <f>IF(TrRoad_act!J31=0,0,J18/TrRoad_act!J31*1000
)</f>
        <v>188.41871538841258</v>
      </c>
      <c r="K55" s="29">
        <f>IF(TrRoad_act!K31=0,0,K18/TrRoad_act!K31*1000
)</f>
        <v>157.93060223321305</v>
      </c>
      <c r="L55" s="29">
        <f>IF(TrRoad_act!L31=0,0,L18/TrRoad_act!L31*1000
)</f>
        <v>181.3499735505176</v>
      </c>
      <c r="M55" s="29">
        <f>IF(TrRoad_act!M31=0,0,M18/TrRoad_act!M31*1000
)</f>
        <v>179.23264512895341</v>
      </c>
      <c r="N55" s="29">
        <f>IF(TrRoad_act!N31=0,0,N18/TrRoad_act!N31*1000
)</f>
        <v>180.73055763089877</v>
      </c>
      <c r="O55" s="29">
        <f>IF(TrRoad_act!O31=0,0,O18/TrRoad_act!O31*1000
)</f>
        <v>179.95396063805578</v>
      </c>
      <c r="P55" s="29">
        <f>IF(TrRoad_act!P31=0,0,P18/TrRoad_act!P31*1000
)</f>
        <v>175.34024633861824</v>
      </c>
      <c r="Q55" s="29">
        <f>IF(TrRoad_act!Q31=0,0,Q18/TrRoad_act!Q31*1000
)</f>
        <v>180.50582467690032</v>
      </c>
      <c r="R55" s="29">
        <f>IF(TrRoad_act!R31=0,0,R18/TrRoad_act!R31*1000
)</f>
        <v>176.19288964745704</v>
      </c>
      <c r="S55" s="29">
        <f>IF(TrRoad_act!S31=0,0,S18/TrRoad_act!S31*1000
)</f>
        <v>180.73512038068404</v>
      </c>
      <c r="T55" s="29">
        <f>IF(TrRoad_act!T31=0,0,T18/TrRoad_act!T31*1000
)</f>
        <v>195.05375425779422</v>
      </c>
      <c r="U55" s="29">
        <f>IF(TrRoad_act!U31=0,0,U18/TrRoad_act!U31*1000
)</f>
        <v>201.04658405155942</v>
      </c>
      <c r="V55" s="29">
        <f>IF(TrRoad_act!V31=0,0,V18/TrRoad_act!V31*1000
)</f>
        <v>176.54734269879282</v>
      </c>
      <c r="W55" s="29">
        <f>IF(TrRoad_act!W31=0,0,W18/TrRoad_act!W31*1000
)</f>
        <v>177.49883324406258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115.99973108414724</v>
      </c>
      <c r="C56" s="152">
        <f>IF(TrRoad_act!C32=0,0,C19/TrRoad_act!C32*1000
)</f>
        <v>115.54289477649908</v>
      </c>
      <c r="D56" s="152">
        <f>IF(TrRoad_act!D32=0,0,D19/TrRoad_act!D32*1000
)</f>
        <v>115.08459310839646</v>
      </c>
      <c r="E56" s="152">
        <f>IF(TrRoad_act!E32=0,0,E19/TrRoad_act!E32*1000
)</f>
        <v>114.6482034273505</v>
      </c>
      <c r="F56" s="152">
        <f>IF(TrRoad_act!F32=0,0,F19/TrRoad_act!F32*1000
)</f>
        <v>114.22558826224953</v>
      </c>
      <c r="G56" s="152">
        <f>IF(TrRoad_act!G32=0,0,G19/TrRoad_act!G32*1000
)</f>
        <v>113.6993279989739</v>
      </c>
      <c r="H56" s="152">
        <f>IF(TrRoad_act!H32=0,0,H19/TrRoad_act!H32*1000
)</f>
        <v>113.05067571801514</v>
      </c>
      <c r="I56" s="152">
        <f>IF(TrRoad_act!I32=0,0,I19/TrRoad_act!I32*1000
)</f>
        <v>112.30284948836275</v>
      </c>
      <c r="J56" s="152">
        <f>IF(TrRoad_act!J32=0,0,J19/TrRoad_act!J32*1000
)</f>
        <v>110.58860212596598</v>
      </c>
      <c r="K56" s="152">
        <f>IF(TrRoad_act!K32=0,0,K19/TrRoad_act!K32*1000
)</f>
        <v>109.01805352402364</v>
      </c>
      <c r="L56" s="152">
        <f>IF(TrRoad_act!L32=0,0,L19/TrRoad_act!L32*1000
)</f>
        <v>107.10765533689296</v>
      </c>
      <c r="M56" s="152">
        <f>IF(TrRoad_act!M32=0,0,M19/TrRoad_act!M32*1000
)</f>
        <v>105.43589357092361</v>
      </c>
      <c r="N56" s="152">
        <f>IF(TrRoad_act!N32=0,0,N19/TrRoad_act!N32*1000
)</f>
        <v>103.32037550944605</v>
      </c>
      <c r="O56" s="152">
        <f>IF(TrRoad_act!O32=0,0,O19/TrRoad_act!O32*1000
)</f>
        <v>101.76445080460128</v>
      </c>
      <c r="P56" s="152">
        <f>IF(TrRoad_act!P32=0,0,P19/TrRoad_act!P32*1000
)</f>
        <v>99.963929309404818</v>
      </c>
      <c r="Q56" s="152">
        <f>IF(TrRoad_act!Q32=0,0,Q19/TrRoad_act!Q32*1000
)</f>
        <v>97.925363176854248</v>
      </c>
      <c r="R56" s="152">
        <f>IF(TrRoad_act!R32=0,0,R19/TrRoad_act!R32*1000
)</f>
        <v>95.854724480059929</v>
      </c>
      <c r="S56" s="152">
        <f>IF(TrRoad_act!S32=0,0,S19/TrRoad_act!S32*1000
)</f>
        <v>94.865963741084713</v>
      </c>
      <c r="T56" s="152">
        <f>IF(TrRoad_act!T32=0,0,T19/TrRoad_act!T32*1000
)</f>
        <v>97.721758570914702</v>
      </c>
      <c r="U56" s="152">
        <f>IF(TrRoad_act!U32=0,0,U19/TrRoad_act!U32*1000
)</f>
        <v>96.816072752460727</v>
      </c>
      <c r="V56" s="152">
        <f>IF(TrRoad_act!V32=0,0,V19/TrRoad_act!V32*1000
)</f>
        <v>91.29601765882478</v>
      </c>
      <c r="W56" s="152">
        <f>IF(TrRoad_act!W32=0,0,W19/TrRoad_act!W32*1000
)</f>
        <v>84.553370549526107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170.74196212859709</v>
      </c>
      <c r="C57" s="116">
        <f>IF(TrRoad_act!C33=0,0,C20/TrRoad_act!C33*1000
)</f>
        <v>159.85585994248439</v>
      </c>
      <c r="D57" s="116">
        <f>IF(TrRoad_act!D33=0,0,D20/TrRoad_act!D33*1000
)</f>
        <v>158.94846347346407</v>
      </c>
      <c r="E57" s="116">
        <f>IF(TrRoad_act!E33=0,0,E20/TrRoad_act!E33*1000
)</f>
        <v>151.03305003431134</v>
      </c>
      <c r="F57" s="116">
        <f>IF(TrRoad_act!F33=0,0,F20/TrRoad_act!F33*1000
)</f>
        <v>138.14567996722141</v>
      </c>
      <c r="G57" s="116">
        <f>IF(TrRoad_act!G33=0,0,G20/TrRoad_act!G33*1000
)</f>
        <v>144.41259836628268</v>
      </c>
      <c r="H57" s="116">
        <f>IF(TrRoad_act!H33=0,0,H20/TrRoad_act!H33*1000
)</f>
        <v>142.16876277493134</v>
      </c>
      <c r="I57" s="116">
        <f>IF(TrRoad_act!I33=0,0,I20/TrRoad_act!I33*1000
)</f>
        <v>150.29276432165747</v>
      </c>
      <c r="J57" s="116">
        <f>IF(TrRoad_act!J33=0,0,J20/TrRoad_act!J33*1000
)</f>
        <v>163.5115263160923</v>
      </c>
      <c r="K57" s="116">
        <f>IF(TrRoad_act!K33=0,0,K20/TrRoad_act!K33*1000
)</f>
        <v>137.00372345922622</v>
      </c>
      <c r="L57" s="116">
        <f>IF(TrRoad_act!L33=0,0,L20/TrRoad_act!L33*1000
)</f>
        <v>159.57149668413055</v>
      </c>
      <c r="M57" s="116">
        <f>IF(TrRoad_act!M33=0,0,M20/TrRoad_act!M33*1000
)</f>
        <v>158.22418965225344</v>
      </c>
      <c r="N57" s="116">
        <f>IF(TrRoad_act!N33=0,0,N20/TrRoad_act!N33*1000
)</f>
        <v>157.12265038024265</v>
      </c>
      <c r="O57" s="116">
        <f>IF(TrRoad_act!O33=0,0,O20/TrRoad_act!O33*1000
)</f>
        <v>156.81707550830669</v>
      </c>
      <c r="P57" s="116">
        <f>IF(TrRoad_act!P33=0,0,P20/TrRoad_act!P33*1000
)</f>
        <v>149.10031556979047</v>
      </c>
      <c r="Q57" s="116">
        <f>IF(TrRoad_act!Q33=0,0,Q20/TrRoad_act!Q33*1000
)</f>
        <v>151.91175669185787</v>
      </c>
      <c r="R57" s="116">
        <f>IF(TrRoad_act!R33=0,0,R20/TrRoad_act!R33*1000
)</f>
        <v>148.91503196723261</v>
      </c>
      <c r="S57" s="116">
        <f>IF(TrRoad_act!S33=0,0,S20/TrRoad_act!S33*1000
)</f>
        <v>151.04336407684053</v>
      </c>
      <c r="T57" s="116">
        <f>IF(TrRoad_act!T33=0,0,T20/TrRoad_act!T33*1000
)</f>
        <v>160.67627328227709</v>
      </c>
      <c r="U57" s="116">
        <f>IF(TrRoad_act!U33=0,0,U20/TrRoad_act!U33*1000
)</f>
        <v>166.51580985929164</v>
      </c>
      <c r="V57" s="116">
        <f>IF(TrRoad_act!V33=0,0,V20/TrRoad_act!V33*1000
)</f>
        <v>151.1220015255488</v>
      </c>
      <c r="W57" s="116">
        <f>IF(TrRoad_act!W33=0,0,W20/TrRoad_act!W33*1000
)</f>
        <v>154.85824926778784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176.99702368224652</v>
      </c>
      <c r="C58" s="87">
        <f>IF(TrRoad_act!C34=0,0,C21/TrRoad_act!C34*1000
)</f>
        <v>166.22751587883761</v>
      </c>
      <c r="D58" s="87">
        <f>IF(TrRoad_act!D34=0,0,D21/TrRoad_act!D34*1000
)</f>
        <v>179.90896533470573</v>
      </c>
      <c r="E58" s="87">
        <f>IF(TrRoad_act!E34=0,0,E21/TrRoad_act!E34*1000
)</f>
        <v>161.85666668782824</v>
      </c>
      <c r="F58" s="87">
        <f>IF(TrRoad_act!F34=0,0,F21/TrRoad_act!F34*1000
)</f>
        <v>138.98067065779185</v>
      </c>
      <c r="G58" s="87">
        <f>IF(TrRoad_act!G34=0,0,G21/TrRoad_act!G34*1000
)</f>
        <v>135.07439243540162</v>
      </c>
      <c r="H58" s="87">
        <f>IF(TrRoad_act!H34=0,0,H21/TrRoad_act!H34*1000
)</f>
        <v>130.33743920394537</v>
      </c>
      <c r="I58" s="87">
        <f>IF(TrRoad_act!I34=0,0,I21/TrRoad_act!I34*1000
)</f>
        <v>142.38972042622467</v>
      </c>
      <c r="J58" s="87">
        <f>IF(TrRoad_act!J34=0,0,J21/TrRoad_act!J34*1000
)</f>
        <v>160.28075983404841</v>
      </c>
      <c r="K58" s="87">
        <f>IF(TrRoad_act!K34=0,0,K21/TrRoad_act!K34*1000
)</f>
        <v>131.85980938991702</v>
      </c>
      <c r="L58" s="87">
        <f>IF(TrRoad_act!L34=0,0,L21/TrRoad_act!L34*1000
)</f>
        <v>160.28046221924944</v>
      </c>
      <c r="M58" s="87">
        <f>IF(TrRoad_act!M34=0,0,M21/TrRoad_act!M34*1000
)</f>
        <v>164.85991945252206</v>
      </c>
      <c r="N58" s="87">
        <f>IF(TrRoad_act!N34=0,0,N21/TrRoad_act!N34*1000
)</f>
        <v>167.06738572542383</v>
      </c>
      <c r="O58" s="87">
        <f>IF(TrRoad_act!O34=0,0,O21/TrRoad_act!O34*1000
)</f>
        <v>167.94501624376693</v>
      </c>
      <c r="P58" s="87">
        <f>IF(TrRoad_act!P34=0,0,P21/TrRoad_act!P34*1000
)</f>
        <v>158.81318892723044</v>
      </c>
      <c r="Q58" s="87">
        <f>IF(TrRoad_act!Q34=0,0,Q21/TrRoad_act!Q34*1000
)</f>
        <v>163.13561674858994</v>
      </c>
      <c r="R58" s="87">
        <f>IF(TrRoad_act!R34=0,0,R21/TrRoad_act!R34*1000
)</f>
        <v>160.13461234006405</v>
      </c>
      <c r="S58" s="87">
        <f>IF(TrRoad_act!S34=0,0,S21/TrRoad_act!S34*1000
)</f>
        <v>159.24568890269717</v>
      </c>
      <c r="T58" s="87">
        <f>IF(TrRoad_act!T34=0,0,T21/TrRoad_act!T34*1000
)</f>
        <v>162.35254299553196</v>
      </c>
      <c r="U58" s="87">
        <f>IF(TrRoad_act!U34=0,0,U21/TrRoad_act!U34*1000
)</f>
        <v>171.78091932153933</v>
      </c>
      <c r="V58" s="87">
        <f>IF(TrRoad_act!V34=0,0,V21/TrRoad_act!V34*1000
)</f>
        <v>163.52769005637447</v>
      </c>
      <c r="W58" s="87">
        <f>IF(TrRoad_act!W34=0,0,W21/TrRoad_act!W34*1000
)</f>
        <v>168.1777650679052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132.61510652173661</v>
      </c>
      <c r="C59" s="87">
        <f>IF(TrRoad_act!C35=0,0,C22/TrRoad_act!C35*1000
)</f>
        <v>124.84335677702423</v>
      </c>
      <c r="D59" s="87">
        <f>IF(TrRoad_act!D35=0,0,D22/TrRoad_act!D35*1000
)</f>
        <v>48.972627638752584</v>
      </c>
      <c r="E59" s="87">
        <f>IF(TrRoad_act!E35=0,0,E22/TrRoad_act!E35*1000
)</f>
        <v>96.652149994126063</v>
      </c>
      <c r="F59" s="87">
        <f>IF(TrRoad_act!F35=0,0,F22/TrRoad_act!F35*1000
)</f>
        <v>134.3755690073279</v>
      </c>
      <c r="G59" s="87">
        <f>IF(TrRoad_act!G35=0,0,G22/TrRoad_act!G35*1000
)</f>
        <v>190.72958204506386</v>
      </c>
      <c r="H59" s="87">
        <f>IF(TrRoad_act!H35=0,0,H22/TrRoad_act!H35*1000
)</f>
        <v>200.09124473225933</v>
      </c>
      <c r="I59" s="87">
        <f>IF(TrRoad_act!I35=0,0,I22/TrRoad_act!I35*1000
)</f>
        <v>185.6891929651581</v>
      </c>
      <c r="J59" s="87">
        <f>IF(TrRoad_act!J35=0,0,J22/TrRoad_act!J35*1000
)</f>
        <v>178.85568345945418</v>
      </c>
      <c r="K59" s="87">
        <f>IF(TrRoad_act!K35=0,0,K22/TrRoad_act!K35*1000
)</f>
        <v>160.44572765867122</v>
      </c>
      <c r="L59" s="87">
        <f>IF(TrRoad_act!L35=0,0,L22/TrRoad_act!L35*1000
)</f>
        <v>158.54518568909404</v>
      </c>
      <c r="M59" s="87">
        <f>IF(TrRoad_act!M35=0,0,M22/TrRoad_act!M35*1000
)</f>
        <v>146.93186889433576</v>
      </c>
      <c r="N59" s="87">
        <f>IF(TrRoad_act!N35=0,0,N22/TrRoad_act!N35*1000
)</f>
        <v>141.60484141718771</v>
      </c>
      <c r="O59" s="87">
        <f>IF(TrRoad_act!O35=0,0,O22/TrRoad_act!O35*1000
)</f>
        <v>140.34057048611535</v>
      </c>
      <c r="P59" s="87">
        <f>IF(TrRoad_act!P35=0,0,P22/TrRoad_act!P35*1000
)</f>
        <v>135.00668945654687</v>
      </c>
      <c r="Q59" s="87">
        <f>IF(TrRoad_act!Q35=0,0,Q22/TrRoad_act!Q35*1000
)</f>
        <v>136.36630335154922</v>
      </c>
      <c r="R59" s="87">
        <f>IF(TrRoad_act!R35=0,0,R22/TrRoad_act!R35*1000
)</f>
        <v>134.07097566721234</v>
      </c>
      <c r="S59" s="87">
        <f>IF(TrRoad_act!S35=0,0,S22/TrRoad_act!S35*1000
)</f>
        <v>139.69605041653847</v>
      </c>
      <c r="T59" s="87">
        <f>IF(TrRoad_act!T35=0,0,T22/TrRoad_act!T35*1000
)</f>
        <v>159.33900524346868</v>
      </c>
      <c r="U59" s="87">
        <f>IF(TrRoad_act!U35=0,0,U22/TrRoad_act!U35*1000
)</f>
        <v>162.35886697990298</v>
      </c>
      <c r="V59" s="87">
        <f>IF(TrRoad_act!V35=0,0,V22/TrRoad_act!V35*1000
)</f>
        <v>138.31685742518448</v>
      </c>
      <c r="W59" s="87">
        <f>IF(TrRoad_act!W35=0,0,W22/TrRoad_act!W35*1000
)</f>
        <v>141.80656542536971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0</v>
      </c>
      <c r="I60" s="87">
        <f>IF(TrRoad_act!I36=0,0,I23/TrRoad_act!I36*1000
)</f>
        <v>0</v>
      </c>
      <c r="J60" s="87">
        <f>IF(TrRoad_act!J36=0,0,J23/TrRoad_act!J36*1000
)</f>
        <v>0</v>
      </c>
      <c r="K60" s="87">
        <f>IF(TrRoad_act!K36=0,0,K23/TrRoad_act!K36*1000
)</f>
        <v>0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128.10187563389934</v>
      </c>
      <c r="S60" s="87">
        <f>IF(TrRoad_act!S36=0,0,S23/TrRoad_act!S36*1000
)</f>
        <v>143.05353112050275</v>
      </c>
      <c r="T60" s="87">
        <f>IF(TrRoad_act!T36=0,0,T23/TrRoad_act!T36*1000
)</f>
        <v>197.94339888211832</v>
      </c>
      <c r="U60" s="87">
        <f>IF(TrRoad_act!U36=0,0,U23/TrRoad_act!U36*1000
)</f>
        <v>143.82704338207699</v>
      </c>
      <c r="V60" s="87">
        <f>IF(TrRoad_act!V36=0,0,V23/TrRoad_act!V36*1000
)</f>
        <v>161.42548775308686</v>
      </c>
      <c r="W60" s="87">
        <f>IF(TrRoad_act!W36=0,0,W23/TrRoad_act!W36*1000
)</f>
        <v>186.09000243828089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88.633399592826137</v>
      </c>
      <c r="M62" s="87">
        <f>IF(TrRoad_act!M38=0,0,M25/TrRoad_act!M38*1000
)</f>
        <v>90.574184073433571</v>
      </c>
      <c r="N62" s="87">
        <f>IF(TrRoad_act!N38=0,0,N25/TrRoad_act!N38*1000
)</f>
        <v>85.511106498093227</v>
      </c>
      <c r="O62" s="87">
        <f>IF(TrRoad_act!O38=0,0,O25/TrRoad_act!O38*1000
)</f>
        <v>94.032254416032245</v>
      </c>
      <c r="P62" s="87">
        <f>IF(TrRoad_act!P38=0,0,P25/TrRoad_act!P38*1000
)</f>
        <v>92.882125433731929</v>
      </c>
      <c r="Q62" s="87">
        <f>IF(TrRoad_act!Q38=0,0,Q25/TrRoad_act!Q38*1000
)</f>
        <v>88.60886373706289</v>
      </c>
      <c r="R62" s="87">
        <f>IF(TrRoad_act!R38=0,0,R25/TrRoad_act!R38*1000
)</f>
        <v>87.338232364164583</v>
      </c>
      <c r="S62" s="87">
        <f>IF(TrRoad_act!S38=0,0,S25/TrRoad_act!S38*1000
)</f>
        <v>87.620593255149885</v>
      </c>
      <c r="T62" s="87">
        <f>IF(TrRoad_act!T38=0,0,T25/TrRoad_act!T38*1000
)</f>
        <v>93.178724471698473</v>
      </c>
      <c r="U62" s="87">
        <f>IF(TrRoad_act!U38=0,0,U25/TrRoad_act!U38*1000
)</f>
        <v>97.675728695091408</v>
      </c>
      <c r="V62" s="87">
        <f>IF(TrRoad_act!V38=0,0,V25/TrRoad_act!V38*1000
)</f>
        <v>87.619839051453184</v>
      </c>
      <c r="W62" s="87">
        <f>IF(TrRoad_act!W38=0,0,W25/TrRoad_act!W38*1000
)</f>
        <v>79.704068894144243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1165.2157474293183</v>
      </c>
      <c r="C64" s="116">
        <f>IF(TrRoad_act!C40=0,0,C27/TrRoad_act!C40*1000
)</f>
        <v>1103.6501715445388</v>
      </c>
      <c r="D64" s="116">
        <f>IF(TrRoad_act!D40=0,0,D27/TrRoad_act!D40*1000
)</f>
        <v>433.26880982830295</v>
      </c>
      <c r="E64" s="116">
        <f>IF(TrRoad_act!E40=0,0,E27/TrRoad_act!E40*1000
)</f>
        <v>855.13995108416475</v>
      </c>
      <c r="F64" s="116">
        <f>IF(TrRoad_act!F40=0,0,F27/TrRoad_act!F40*1000
)</f>
        <v>1189.599220289929</v>
      </c>
      <c r="G64" s="116">
        <f>IF(TrRoad_act!G40=0,0,G27/TrRoad_act!G40*1000
)</f>
        <v>1688.1517381275585</v>
      </c>
      <c r="H64" s="116">
        <f>IF(TrRoad_act!H40=0,0,H27/TrRoad_act!H40*1000
)</f>
        <v>1771.3347077831556</v>
      </c>
      <c r="I64" s="116">
        <f>IF(TrRoad_act!I40=0,0,I27/TrRoad_act!I40*1000
)</f>
        <v>1641.432606054201</v>
      </c>
      <c r="J64" s="116">
        <f>IF(TrRoad_act!J40=0,0,J27/TrRoad_act!J40*1000
)</f>
        <v>1577.9744630478942</v>
      </c>
      <c r="K64" s="116">
        <f>IF(TrRoad_act!K40=0,0,K27/TrRoad_act!K40*1000
)</f>
        <v>1364.6564248427123</v>
      </c>
      <c r="L64" s="116">
        <f>IF(TrRoad_act!L40=0,0,L27/TrRoad_act!L40*1000
)</f>
        <v>1322.0895626342815</v>
      </c>
      <c r="M64" s="116">
        <f>IF(TrRoad_act!M40=0,0,M27/TrRoad_act!M40*1000
)</f>
        <v>1159.070442097636</v>
      </c>
      <c r="N64" s="116">
        <f>IF(TrRoad_act!N40=0,0,N27/TrRoad_act!N40*1000
)</f>
        <v>1112.458976089312</v>
      </c>
      <c r="O64" s="116">
        <f>IF(TrRoad_act!O40=0,0,O27/TrRoad_act!O40*1000
)</f>
        <v>1100.1465861852205</v>
      </c>
      <c r="P64" s="116">
        <f>IF(TrRoad_act!P40=0,0,P27/TrRoad_act!P40*1000
)</f>
        <v>1057.6792965199115</v>
      </c>
      <c r="Q64" s="116">
        <f>IF(TrRoad_act!Q40=0,0,Q27/TrRoad_act!Q40*1000
)</f>
        <v>1062.8190030887656</v>
      </c>
      <c r="R64" s="116">
        <f>IF(TrRoad_act!R40=0,0,R27/TrRoad_act!R40*1000
)</f>
        <v>1045.1023175136309</v>
      </c>
      <c r="S64" s="116">
        <f>IF(TrRoad_act!S40=0,0,S27/TrRoad_act!S40*1000
)</f>
        <v>1095.7680670158099</v>
      </c>
      <c r="T64" s="116">
        <f>IF(TrRoad_act!T40=0,0,T27/TrRoad_act!T40*1000
)</f>
        <v>1252.7493439730231</v>
      </c>
      <c r="U64" s="116">
        <f>IF(TrRoad_act!U40=0,0,U27/TrRoad_act!U40*1000
)</f>
        <v>1282.5922799430148</v>
      </c>
      <c r="V64" s="116">
        <f>IF(TrRoad_act!V40=0,0,V27/TrRoad_act!V40*1000
)</f>
        <v>1087.8518678487037</v>
      </c>
      <c r="W64" s="116">
        <f>IF(TrRoad_act!W40=0,0,W27/TrRoad_act!W40*1000
)</f>
        <v>1120.7293740156181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387.81858538258274</v>
      </c>
      <c r="M65" s="101">
        <f>IF(TrRoad_act!M41=0,0,M28/TrRoad_act!M41*1000
)</f>
        <v>387.81858538258268</v>
      </c>
      <c r="N65" s="101">
        <f>IF(TrRoad_act!N41=0,0,N28/TrRoad_act!N41*1000
)</f>
        <v>387.81858538258257</v>
      </c>
      <c r="O65" s="101">
        <f>IF(TrRoad_act!O41=0,0,O28/TrRoad_act!O41*1000
)</f>
        <v>387.81858538258263</v>
      </c>
      <c r="P65" s="101">
        <f>IF(TrRoad_act!P41=0,0,P28/TrRoad_act!P41*1000
)</f>
        <v>387.81858538258263</v>
      </c>
      <c r="Q65" s="101">
        <f>IF(TrRoad_act!Q41=0,0,Q28/TrRoad_act!Q41*1000
)</f>
        <v>387.81858538258274</v>
      </c>
      <c r="R65" s="101">
        <f>IF(TrRoad_act!R41=0,0,R28/TrRoad_act!R41*1000
)</f>
        <v>387.81858538258268</v>
      </c>
      <c r="S65" s="101">
        <f>IF(TrRoad_act!S41=0,0,S28/TrRoad_act!S41*1000
)</f>
        <v>387.81858538258263</v>
      </c>
      <c r="T65" s="101">
        <f>IF(TrRoad_act!T41=0,0,T28/TrRoad_act!T41*1000
)</f>
        <v>381.52486861351997</v>
      </c>
      <c r="U65" s="101">
        <f>IF(TrRoad_act!U41=0,0,U28/TrRoad_act!U41*1000
)</f>
        <v>371.17956793594163</v>
      </c>
      <c r="V65" s="101">
        <f>IF(TrRoad_act!V41=0,0,V28/TrRoad_act!V41*1000
)</f>
        <v>368.43542654302342</v>
      </c>
      <c r="W65" s="101">
        <f>IF(TrRoad_act!W41=0,0,W28/TrRoad_act!W41*1000
)</f>
        <v>362.99805391853675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1165.2157474293183</v>
      </c>
      <c r="C66" s="101">
        <f>IF(TrRoad_act!C42=0,0,C29/TrRoad_act!C42*1000
)</f>
        <v>1103.6501715445388</v>
      </c>
      <c r="D66" s="101">
        <f>IF(TrRoad_act!D42=0,0,D29/TrRoad_act!D42*1000
)</f>
        <v>433.26880982830295</v>
      </c>
      <c r="E66" s="101">
        <f>IF(TrRoad_act!E42=0,0,E29/TrRoad_act!E42*1000
)</f>
        <v>855.13995108416475</v>
      </c>
      <c r="F66" s="101">
        <f>IF(TrRoad_act!F42=0,0,F29/TrRoad_act!F42*1000
)</f>
        <v>1189.599220289929</v>
      </c>
      <c r="G66" s="101">
        <f>IF(TrRoad_act!G42=0,0,G29/TrRoad_act!G42*1000
)</f>
        <v>1688.1517381275585</v>
      </c>
      <c r="H66" s="101">
        <f>IF(TrRoad_act!H42=0,0,H29/TrRoad_act!H42*1000
)</f>
        <v>1771.3347077831556</v>
      </c>
      <c r="I66" s="101">
        <f>IF(TrRoad_act!I42=0,0,I29/TrRoad_act!I42*1000
)</f>
        <v>1641.432606054201</v>
      </c>
      <c r="J66" s="101">
        <f>IF(TrRoad_act!J42=0,0,J29/TrRoad_act!J42*1000
)</f>
        <v>1577.9744630478942</v>
      </c>
      <c r="K66" s="101">
        <f>IF(TrRoad_act!K42=0,0,K29/TrRoad_act!K42*1000
)</f>
        <v>1364.6564248427123</v>
      </c>
      <c r="L66" s="101">
        <f>IF(TrRoad_act!L42=0,0,L29/TrRoad_act!L42*1000
)</f>
        <v>1330.0986618500963</v>
      </c>
      <c r="M66" s="101">
        <f>IF(TrRoad_act!M42=0,0,M29/TrRoad_act!M42*1000
)</f>
        <v>1163.9067811254411</v>
      </c>
      <c r="N66" s="101">
        <f>IF(TrRoad_act!N42=0,0,N29/TrRoad_act!N42*1000
)</f>
        <v>1116.0632235222809</v>
      </c>
      <c r="O66" s="101">
        <f>IF(TrRoad_act!O42=0,0,O29/TrRoad_act!O42*1000
)</f>
        <v>1103.3626550153158</v>
      </c>
      <c r="P66" s="101">
        <f>IF(TrRoad_act!P42=0,0,P29/TrRoad_act!P42*1000
)</f>
        <v>1059.9464535423867</v>
      </c>
      <c r="Q66" s="101">
        <f>IF(TrRoad_act!Q42=0,0,Q29/TrRoad_act!Q42*1000
)</f>
        <v>1064.4969567099561</v>
      </c>
      <c r="R66" s="101">
        <f>IF(TrRoad_act!R42=0,0,R29/TrRoad_act!R42*1000
)</f>
        <v>1046.6667283181014</v>
      </c>
      <c r="S66" s="101">
        <f>IF(TrRoad_act!S42=0,0,S29/TrRoad_act!S42*1000
)</f>
        <v>1097.3591514083366</v>
      </c>
      <c r="T66" s="101">
        <f>IF(TrRoad_act!T42=0,0,T29/TrRoad_act!T42*1000
)</f>
        <v>1259.6449178950465</v>
      </c>
      <c r="U66" s="101">
        <f>IF(TrRoad_act!U42=0,0,U29/TrRoad_act!U42*1000
)</f>
        <v>1291.1076949737483</v>
      </c>
      <c r="V66" s="101">
        <f>IF(TrRoad_act!V42=0,0,V29/TrRoad_act!V42*1000
)</f>
        <v>1095.6319823484957</v>
      </c>
      <c r="W66" s="101">
        <f>IF(TrRoad_act!W42=0,0,W29/TrRoad_act!W42*1000
)</f>
        <v>1131.1481847790496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327.07014340756524</v>
      </c>
      <c r="C70" s="29">
        <f>IF(TrRoad_act!C46=0,0,C33/TrRoad_act!C46*1000
)</f>
        <v>304.11269365396987</v>
      </c>
      <c r="D70" s="29">
        <f>IF(TrRoad_act!D46=0,0,D33/TrRoad_act!D46*1000
)</f>
        <v>97.724295908603395</v>
      </c>
      <c r="E70" s="29">
        <f>IF(TrRoad_act!E46=0,0,E33/TrRoad_act!E46*1000
)</f>
        <v>216.84803286544235</v>
      </c>
      <c r="F70" s="29">
        <f>IF(TrRoad_act!F46=0,0,F33/TrRoad_act!F46*1000
)</f>
        <v>329.49719500024679</v>
      </c>
      <c r="G70" s="29">
        <f>IF(TrRoad_act!G46=0,0,G33/TrRoad_act!G46*1000
)</f>
        <v>398.62290885207744</v>
      </c>
      <c r="H70" s="29">
        <f>IF(TrRoad_act!H46=0,0,H33/TrRoad_act!H46*1000
)</f>
        <v>401.91081659618055</v>
      </c>
      <c r="I70" s="29">
        <f>IF(TrRoad_act!I46=0,0,I33/TrRoad_act!I46*1000
)</f>
        <v>374.62207303662416</v>
      </c>
      <c r="J70" s="29">
        <f>IF(TrRoad_act!J46=0,0,J33/TrRoad_act!J46*1000
)</f>
        <v>357.10677893977737</v>
      </c>
      <c r="K70" s="29">
        <f>IF(TrRoad_act!K46=0,0,K33/TrRoad_act!K46*1000
)</f>
        <v>316.02317350625901</v>
      </c>
      <c r="L70" s="29">
        <f>IF(TrRoad_act!L46=0,0,L33/TrRoad_act!L46*1000
)</f>
        <v>298.03269869531533</v>
      </c>
      <c r="M70" s="29">
        <f>IF(TrRoad_act!M46=0,0,M33/TrRoad_act!M46*1000
)</f>
        <v>268.3597213829168</v>
      </c>
      <c r="N70" s="29">
        <f>IF(TrRoad_act!N46=0,0,N33/TrRoad_act!N46*1000
)</f>
        <v>252.25620067198994</v>
      </c>
      <c r="O70" s="29">
        <f>IF(TrRoad_act!O46=0,0,O33/TrRoad_act!O46*1000
)</f>
        <v>247.84458746692135</v>
      </c>
      <c r="P70" s="29">
        <f>IF(TrRoad_act!P46=0,0,P33/TrRoad_act!P46*1000
)</f>
        <v>232.14895524262749</v>
      </c>
      <c r="Q70" s="29">
        <f>IF(TrRoad_act!Q46=0,0,Q33/TrRoad_act!Q46*1000
)</f>
        <v>229.90451677494613</v>
      </c>
      <c r="R70" s="29">
        <f>IF(TrRoad_act!R46=0,0,R33/TrRoad_act!R46*1000
)</f>
        <v>229.2683230704784</v>
      </c>
      <c r="S70" s="29">
        <f>IF(TrRoad_act!S46=0,0,S33/TrRoad_act!S46*1000
)</f>
        <v>236.95148096966489</v>
      </c>
      <c r="T70" s="29">
        <f>IF(TrRoad_act!T46=0,0,T33/TrRoad_act!T46*1000
)</f>
        <v>268.93082024377048</v>
      </c>
      <c r="U70" s="29">
        <f>IF(TrRoad_act!U46=0,0,U33/TrRoad_act!U46*1000
)</f>
        <v>275.64567421600407</v>
      </c>
      <c r="V70" s="29">
        <f>IF(TrRoad_act!V46=0,0,V33/TrRoad_act!V46*1000
)</f>
        <v>241.10415055495116</v>
      </c>
      <c r="W70" s="29">
        <f>IF(TrRoad_act!W46=0,0,W33/TrRoad_act!W46*1000
)</f>
        <v>253.03580113290448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194.37455388897044</v>
      </c>
      <c r="C71" s="152">
        <f>IF(TrRoad_act!C47=0,0,C34/TrRoad_act!C47*1000
)</f>
        <v>182.19343255869805</v>
      </c>
      <c r="D71" s="152">
        <f>IF(TrRoad_act!D47=0,0,D34/TrRoad_act!D47*1000
)</f>
        <v>75.67926667772872</v>
      </c>
      <c r="E71" s="152">
        <f>IF(TrRoad_act!E47=0,0,E34/TrRoad_act!E47*1000
)</f>
        <v>137.63538694587149</v>
      </c>
      <c r="F71" s="152">
        <f>IF(TrRoad_act!F47=0,0,F34/TrRoad_act!F47*1000
)</f>
        <v>184.63762177493544</v>
      </c>
      <c r="G71" s="152">
        <f>IF(TrRoad_act!G47=0,0,G34/TrRoad_act!G47*1000
)</f>
        <v>254.33741550104745</v>
      </c>
      <c r="H71" s="152">
        <f>IF(TrRoad_act!H47=0,0,H34/TrRoad_act!H47*1000
)</f>
        <v>259.79561845257757</v>
      </c>
      <c r="I71" s="152">
        <f>IF(TrRoad_act!I47=0,0,I34/TrRoad_act!I47*1000
)</f>
        <v>235.96328294125198</v>
      </c>
      <c r="J71" s="152">
        <f>IF(TrRoad_act!J47=0,0,J34/TrRoad_act!J47*1000
)</f>
        <v>223.06504213756082</v>
      </c>
      <c r="K71" s="152">
        <f>IF(TrRoad_act!K47=0,0,K34/TrRoad_act!K47*1000
)</f>
        <v>197.47495657785225</v>
      </c>
      <c r="L71" s="152">
        <f>IF(TrRoad_act!L47=0,0,L34/TrRoad_act!L47*1000
)</f>
        <v>192.70375074484537</v>
      </c>
      <c r="M71" s="152">
        <f>IF(TrRoad_act!M47=0,0,M34/TrRoad_act!M47*1000
)</f>
        <v>176.28310572865286</v>
      </c>
      <c r="N71" s="152">
        <f>IF(TrRoad_act!N47=0,0,N34/TrRoad_act!N47*1000
)</f>
        <v>167.44052261075507</v>
      </c>
      <c r="O71" s="152">
        <f>IF(TrRoad_act!O47=0,0,O34/TrRoad_act!O47*1000
)</f>
        <v>163.48232314212248</v>
      </c>
      <c r="P71" s="152">
        <f>IF(TrRoad_act!P47=0,0,P34/TrRoad_act!P47*1000
)</f>
        <v>155.74994125507371</v>
      </c>
      <c r="Q71" s="152">
        <f>IF(TrRoad_act!Q47=0,0,Q34/TrRoad_act!Q47*1000
)</f>
        <v>156.13780630440766</v>
      </c>
      <c r="R71" s="152">
        <f>IF(TrRoad_act!R47=0,0,R34/TrRoad_act!R47*1000
)</f>
        <v>153.03989357081446</v>
      </c>
      <c r="S71" s="152">
        <f>IF(TrRoad_act!S47=0,0,S34/TrRoad_act!S47*1000
)</f>
        <v>158.53028898045838</v>
      </c>
      <c r="T71" s="152">
        <f>IF(TrRoad_act!T47=0,0,T34/TrRoad_act!T47*1000
)</f>
        <v>180.53982339425687</v>
      </c>
      <c r="U71" s="152">
        <f>IF(TrRoad_act!U47=0,0,U34/TrRoad_act!U47*1000
)</f>
        <v>183.81371590680939</v>
      </c>
      <c r="V71" s="152">
        <f>IF(TrRoad_act!V47=0,0,V34/TrRoad_act!V47*1000
)</f>
        <v>159.11481038153255</v>
      </c>
      <c r="W71" s="152">
        <f>IF(TrRoad_act!W47=0,0,W34/TrRoad_act!W47*1000
)</f>
        <v>164.60176794697108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224.82255743279595</v>
      </c>
      <c r="C72" s="87">
        <f>IF(TrRoad_act!C48=0,0,C35/TrRoad_act!C48*1000
)</f>
        <v>218.38147330598329</v>
      </c>
      <c r="D72" s="87">
        <f>IF(TrRoad_act!D48=0,0,D35/TrRoad_act!D48*1000
)</f>
        <v>222.73208185933194</v>
      </c>
      <c r="E72" s="87">
        <f>IF(TrRoad_act!E48=0,0,E35/TrRoad_act!E48*1000
)</f>
        <v>214.45025238555826</v>
      </c>
      <c r="F72" s="87">
        <f>IF(TrRoad_act!F48=0,0,F35/TrRoad_act!F48*1000
)</f>
        <v>204.83166275931271</v>
      </c>
      <c r="G72" s="87">
        <f>IF(TrRoad_act!G48=0,0,G35/TrRoad_act!G48*1000
)</f>
        <v>202.47135251649053</v>
      </c>
      <c r="H72" s="87">
        <f>IF(TrRoad_act!H48=0,0,H35/TrRoad_act!H48*1000
)</f>
        <v>199.68475544169164</v>
      </c>
      <c r="I72" s="87">
        <f>IF(TrRoad_act!I48=0,0,I35/TrRoad_act!I48*1000
)</f>
        <v>202.97326858164078</v>
      </c>
      <c r="J72" s="87">
        <f>IF(TrRoad_act!J48=0,0,J35/TrRoad_act!J48*1000
)</f>
        <v>208.43609666690634</v>
      </c>
      <c r="K72" s="87">
        <f>IF(TrRoad_act!K48=0,0,K35/TrRoad_act!K48*1000
)</f>
        <v>196.83885449480147</v>
      </c>
      <c r="L72" s="87">
        <f>IF(TrRoad_act!L48=0,0,L35/TrRoad_act!L48*1000
)</f>
        <v>206.1687357518033</v>
      </c>
      <c r="M72" s="87">
        <f>IF(TrRoad_act!M48=0,0,M35/TrRoad_act!M48*1000
)</f>
        <v>207.02414838093031</v>
      </c>
      <c r="N72" s="87">
        <f>IF(TrRoad_act!N48=0,0,N35/TrRoad_act!N48*1000
)</f>
        <v>207.06495995351602</v>
      </c>
      <c r="O72" s="87">
        <f>IF(TrRoad_act!O48=0,0,O35/TrRoad_act!O48*1000
)</f>
        <v>204.91830757425677</v>
      </c>
      <c r="P72" s="87">
        <f>IF(TrRoad_act!P48=0,0,P35/TrRoad_act!P48*1000
)</f>
        <v>199.46737110370248</v>
      </c>
      <c r="Q72" s="87">
        <f>IF(TrRoad_act!Q48=0,0,Q35/TrRoad_act!Q48*1000
)</f>
        <v>199.35103449660377</v>
      </c>
      <c r="R72" s="87">
        <f>IF(TrRoad_act!R48=0,0,R35/TrRoad_act!R48*1000
)</f>
        <v>196.81561596459406</v>
      </c>
      <c r="S72" s="87">
        <f>IF(TrRoad_act!S48=0,0,S35/TrRoad_act!S48*1000
)</f>
        <v>195.25375727580908</v>
      </c>
      <c r="T72" s="87">
        <f>IF(TrRoad_act!T48=0,0,T35/TrRoad_act!T48*1000
)</f>
        <v>198.57478796665123</v>
      </c>
      <c r="U72" s="87">
        <f>IF(TrRoad_act!U48=0,0,U35/TrRoad_act!U48*1000
)</f>
        <v>199.76194989026075</v>
      </c>
      <c r="V72" s="87">
        <f>IF(TrRoad_act!V48=0,0,V35/TrRoad_act!V48*1000
)</f>
        <v>196.04153939939596</v>
      </c>
      <c r="W72" s="87">
        <f>IF(TrRoad_act!W48=0,0,W35/TrRoad_act!W48*1000
)</f>
        <v>200.29282408838108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193.34215802448006</v>
      </c>
      <c r="C73" s="87">
        <f>IF(TrRoad_act!C49=0,0,C36/TrRoad_act!C49*1000
)</f>
        <v>180.70526002024198</v>
      </c>
      <c r="D73" s="87">
        <f>IF(TrRoad_act!D49=0,0,D36/TrRoad_act!D49*1000
)</f>
        <v>69.772035515026275</v>
      </c>
      <c r="E73" s="87">
        <f>IF(TrRoad_act!E49=0,0,E36/TrRoad_act!E49*1000
)</f>
        <v>134.67132432463853</v>
      </c>
      <c r="F73" s="87">
        <f>IF(TrRoad_act!F49=0,0,F36/TrRoad_act!F49*1000
)</f>
        <v>183.87005624553996</v>
      </c>
      <c r="G73" s="87">
        <f>IF(TrRoad_act!G49=0,0,G36/TrRoad_act!G49*1000
)</f>
        <v>256.32097143931719</v>
      </c>
      <c r="H73" s="87">
        <f>IF(TrRoad_act!H49=0,0,H36/TrRoad_act!H49*1000
)</f>
        <v>261.98533504184303</v>
      </c>
      <c r="I73" s="87">
        <f>IF(TrRoad_act!I49=0,0,I36/TrRoad_act!I49*1000
)</f>
        <v>237.04525562995704</v>
      </c>
      <c r="J73" s="87">
        <f>IF(TrRoad_act!J49=0,0,J36/TrRoad_act!J49*1000
)</f>
        <v>223.51254819342361</v>
      </c>
      <c r="K73" s="87">
        <f>IF(TrRoad_act!K49=0,0,K36/TrRoad_act!K49*1000
)</f>
        <v>197.5120610511573</v>
      </c>
      <c r="L73" s="87">
        <f>IF(TrRoad_act!L49=0,0,L36/TrRoad_act!L49*1000
)</f>
        <v>192.31043129282483</v>
      </c>
      <c r="M73" s="87">
        <f>IF(TrRoad_act!M49=0,0,M36/TrRoad_act!M49*1000
)</f>
        <v>175.45942029694356</v>
      </c>
      <c r="N73" s="87">
        <f>IF(TrRoad_act!N49=0,0,N36/TrRoad_act!N49*1000
)</f>
        <v>166.40866138941189</v>
      </c>
      <c r="O73" s="87">
        <f>IF(TrRoad_act!O49=0,0,O36/TrRoad_act!O49*1000
)</f>
        <v>162.47003620599509</v>
      </c>
      <c r="P73" s="87">
        <f>IF(TrRoad_act!P49=0,0,P36/TrRoad_act!P49*1000
)</f>
        <v>154.69736266327101</v>
      </c>
      <c r="Q73" s="87">
        <f>IF(TrRoad_act!Q49=0,0,Q36/TrRoad_act!Q49*1000
)</f>
        <v>155.17663037270026</v>
      </c>
      <c r="R73" s="87">
        <f>IF(TrRoad_act!R49=0,0,R36/TrRoad_act!R49*1000
)</f>
        <v>152.12341184885463</v>
      </c>
      <c r="S73" s="87">
        <f>IF(TrRoad_act!S49=0,0,S36/TrRoad_act!S49*1000
)</f>
        <v>157.83080896046897</v>
      </c>
      <c r="T73" s="87">
        <f>IF(TrRoad_act!T49=0,0,T36/TrRoad_act!T49*1000
)</f>
        <v>180.26793333049574</v>
      </c>
      <c r="U73" s="87">
        <f>IF(TrRoad_act!U49=0,0,U36/TrRoad_act!U49*1000
)</f>
        <v>184.0076348344553</v>
      </c>
      <c r="V73" s="87">
        <f>IF(TrRoad_act!V49=0,0,V36/TrRoad_act!V49*1000
)</f>
        <v>158.84784562868856</v>
      </c>
      <c r="W73" s="87">
        <f>IF(TrRoad_act!W49=0,0,W36/TrRoad_act!W49*1000
)</f>
        <v>164.36620124605381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232.82951127148678</v>
      </c>
      <c r="T74" s="87">
        <f>IF(TrRoad_act!T50=0,0,T37/TrRoad_act!T50*1000
)</f>
        <v>232.82951127148678</v>
      </c>
      <c r="U74" s="87">
        <f>IF(TrRoad_act!U50=0,0,U37/TrRoad_act!U50*1000
)</f>
        <v>218.62205954464758</v>
      </c>
      <c r="V74" s="87">
        <f>IF(TrRoad_act!V50=0,0,V37/TrRoad_act!V50*1000
)</f>
        <v>218.62205954464767</v>
      </c>
      <c r="W74" s="87">
        <f>IF(TrRoad_act!W50=0,0,W37/TrRoad_act!W50*1000
)</f>
        <v>218.62205954464758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440.77985898295941</v>
      </c>
      <c r="C77" s="116">
        <f>IF(TrRoad_act!C53=0,0,C40/TrRoad_act!C53*1000
)</f>
        <v>416.53999670449116</v>
      </c>
      <c r="D77" s="116">
        <f>IF(TrRoad_act!D53=0,0,D40/TrRoad_act!D53*1000
)</f>
        <v>163.38004996022846</v>
      </c>
      <c r="E77" s="116">
        <f>IF(TrRoad_act!E53=0,0,E40/TrRoad_act!E53*1000
)</f>
        <v>321.96865548642376</v>
      </c>
      <c r="F77" s="116">
        <f>IF(TrRoad_act!F53=0,0,F40/TrRoad_act!F53*1000
)</f>
        <v>446.79250982144697</v>
      </c>
      <c r="G77" s="116">
        <f>IF(TrRoad_act!G53=0,0,G40/TrRoad_act!G53*1000
)</f>
        <v>633.30462640331655</v>
      </c>
      <c r="H77" s="116">
        <f>IF(TrRoad_act!H53=0,0,H40/TrRoad_act!H53*1000
)</f>
        <v>663.73750484170444</v>
      </c>
      <c r="I77" s="116">
        <f>IF(TrRoad_act!I53=0,0,I40/TrRoad_act!I53*1000
)</f>
        <v>615.63038959742028</v>
      </c>
      <c r="J77" s="116">
        <f>IF(TrRoad_act!J53=0,0,J40/TrRoad_act!J53*1000
)</f>
        <v>592.97695759521616</v>
      </c>
      <c r="K77" s="116">
        <f>IF(TrRoad_act!K53=0,0,K40/TrRoad_act!K53*1000
)</f>
        <v>532.53296141358146</v>
      </c>
      <c r="L77" s="116">
        <f>IF(TrRoad_act!L53=0,0,L40/TrRoad_act!L53*1000
)</f>
        <v>529.04729940746245</v>
      </c>
      <c r="M77" s="116">
        <f>IF(TrRoad_act!M53=0,0,M40/TrRoad_act!M53*1000
)</f>
        <v>492.35459759555795</v>
      </c>
      <c r="N77" s="116">
        <f>IF(TrRoad_act!N53=0,0,N40/TrRoad_act!N53*1000
)</f>
        <v>476.57299543273626</v>
      </c>
      <c r="O77" s="116">
        <f>IF(TrRoad_act!O53=0,0,O40/TrRoad_act!O53*1000
)</f>
        <v>474.79716549835126</v>
      </c>
      <c r="P77" s="116">
        <f>IF(TrRoad_act!P53=0,0,P40/TrRoad_act!P53*1000
)</f>
        <v>460.62667539067331</v>
      </c>
      <c r="Q77" s="116">
        <f>IF(TrRoad_act!Q53=0,0,Q40/TrRoad_act!Q53*1000
)</f>
        <v>470.28469298875621</v>
      </c>
      <c r="R77" s="116">
        <f>IF(TrRoad_act!R53=0,0,R40/TrRoad_act!R53*1000
)</f>
        <v>469.28707770856846</v>
      </c>
      <c r="S77" s="116">
        <f>IF(TrRoad_act!S53=0,0,S40/TrRoad_act!S53*1000
)</f>
        <v>497.85805620410667</v>
      </c>
      <c r="T77" s="116">
        <f>IF(TrRoad_act!T53=0,0,T40/TrRoad_act!T53*1000
)</f>
        <v>578.11482976432819</v>
      </c>
      <c r="U77" s="116">
        <f>IF(TrRoad_act!U53=0,0,U40/TrRoad_act!U53*1000
)</f>
        <v>602.36555875300087</v>
      </c>
      <c r="V77" s="116">
        <f>IF(TrRoad_act!V53=0,0,V40/TrRoad_act!V53*1000
)</f>
        <v>522.71366039218742</v>
      </c>
      <c r="W77" s="116">
        <f>IF(TrRoad_act!W53=0,0,W40/TrRoad_act!W53*1000
)</f>
        <v>546.43094221435479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440.77985898295941</v>
      </c>
      <c r="C78" s="101">
        <f>IF(TrRoad_act!C54=0,0,C41/TrRoad_act!C54*1000
)</f>
        <v>416.53999670449116</v>
      </c>
      <c r="D78" s="101">
        <f>IF(TrRoad_act!D54=0,0,D41/TrRoad_act!D54*1000
)</f>
        <v>163.38004996022846</v>
      </c>
      <c r="E78" s="101">
        <f>IF(TrRoad_act!E54=0,0,E41/TrRoad_act!E54*1000
)</f>
        <v>321.96865548642376</v>
      </c>
      <c r="F78" s="101">
        <f>IF(TrRoad_act!F54=0,0,F41/TrRoad_act!F54*1000
)</f>
        <v>446.79250982144697</v>
      </c>
      <c r="G78" s="101">
        <f>IF(TrRoad_act!G54=0,0,G41/TrRoad_act!G54*1000
)</f>
        <v>633.30462640331655</v>
      </c>
      <c r="H78" s="101">
        <f>IF(TrRoad_act!H54=0,0,H41/TrRoad_act!H54*1000
)</f>
        <v>663.73750484170444</v>
      </c>
      <c r="I78" s="101">
        <f>IF(TrRoad_act!I54=0,0,I41/TrRoad_act!I54*1000
)</f>
        <v>615.63038959742028</v>
      </c>
      <c r="J78" s="101">
        <f>IF(TrRoad_act!J54=0,0,J41/TrRoad_act!J54*1000
)</f>
        <v>592.97695759521616</v>
      </c>
      <c r="K78" s="101">
        <f>IF(TrRoad_act!K54=0,0,K41/TrRoad_act!K54*1000
)</f>
        <v>532.53296141358146</v>
      </c>
      <c r="L78" s="101">
        <f>IF(TrRoad_act!L54=0,0,L41/TrRoad_act!L54*1000
)</f>
        <v>529.04729940746245</v>
      </c>
      <c r="M78" s="101">
        <f>IF(TrRoad_act!M54=0,0,M41/TrRoad_act!M54*1000
)</f>
        <v>492.35459759555795</v>
      </c>
      <c r="N78" s="101">
        <f>IF(TrRoad_act!N54=0,0,N41/TrRoad_act!N54*1000
)</f>
        <v>476.57299543273626</v>
      </c>
      <c r="O78" s="101">
        <f>IF(TrRoad_act!O54=0,0,O41/TrRoad_act!O54*1000
)</f>
        <v>474.79716549835126</v>
      </c>
      <c r="P78" s="101">
        <f>IF(TrRoad_act!P54=0,0,P41/TrRoad_act!P54*1000
)</f>
        <v>460.62667539067331</v>
      </c>
      <c r="Q78" s="101">
        <f>IF(TrRoad_act!Q54=0,0,Q41/TrRoad_act!Q54*1000
)</f>
        <v>470.28469298875621</v>
      </c>
      <c r="R78" s="101">
        <f>IF(TrRoad_act!R54=0,0,R41/TrRoad_act!R54*1000
)</f>
        <v>469.28707770856846</v>
      </c>
      <c r="S78" s="101">
        <f>IF(TrRoad_act!S54=0,0,S41/TrRoad_act!S54*1000
)</f>
        <v>497.85805620410667</v>
      </c>
      <c r="T78" s="101">
        <f>IF(TrRoad_act!T54=0,0,T41/TrRoad_act!T54*1000
)</f>
        <v>578.11482976432819</v>
      </c>
      <c r="U78" s="101">
        <f>IF(TrRoad_act!U54=0,0,U41/TrRoad_act!U54*1000
)</f>
        <v>602.36555875300087</v>
      </c>
      <c r="V78" s="101">
        <f>IF(TrRoad_act!V54=0,0,V41/TrRoad_act!V54*1000
)</f>
        <v>522.71366039218742</v>
      </c>
      <c r="W78" s="101">
        <f>IF(TrRoad_act!W54=0,0,W41/TrRoad_act!W54*1000
)</f>
        <v>546.43094221435479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0</v>
      </c>
      <c r="C79" s="88">
        <f>IF(TrRoad_act!C55=0,0,C42/TrRoad_act!C55*1000
)</f>
        <v>0</v>
      </c>
      <c r="D79" s="88">
        <f>IF(TrRoad_act!D55=0,0,D42/TrRoad_act!D55*1000
)</f>
        <v>0</v>
      </c>
      <c r="E79" s="88">
        <f>IF(TrRoad_act!E55=0,0,E42/TrRoad_act!E55*1000
)</f>
        <v>0</v>
      </c>
      <c r="F79" s="88">
        <f>IF(TrRoad_act!F55=0,0,F42/TrRoad_act!F55*1000
)</f>
        <v>0</v>
      </c>
      <c r="G79" s="88">
        <f>IF(TrRoad_act!G55=0,0,G42/TrRoad_act!G55*1000
)</f>
        <v>0</v>
      </c>
      <c r="H79" s="88">
        <f>IF(TrRoad_act!H55=0,0,H42/TrRoad_act!H55*1000
)</f>
        <v>0</v>
      </c>
      <c r="I79" s="88">
        <f>IF(TrRoad_act!I55=0,0,I42/TrRoad_act!I55*1000
)</f>
        <v>0</v>
      </c>
      <c r="J79" s="88">
        <f>IF(TrRoad_act!J55=0,0,J42/TrRoad_act!J55*1000
)</f>
        <v>0</v>
      </c>
      <c r="K79" s="88">
        <f>IF(TrRoad_act!K55=0,0,K42/TrRoad_act!K55*1000
)</f>
        <v>0</v>
      </c>
      <c r="L79" s="88">
        <f>IF(TrRoad_act!L55=0,0,L42/TrRoad_act!L55*1000
)</f>
        <v>0</v>
      </c>
      <c r="M79" s="88">
        <f>IF(TrRoad_act!M55=0,0,M42/TrRoad_act!M55*1000
)</f>
        <v>0</v>
      </c>
      <c r="N79" s="88">
        <f>IF(TrRoad_act!N55=0,0,N42/TrRoad_act!N55*1000
)</f>
        <v>0</v>
      </c>
      <c r="O79" s="88">
        <f>IF(TrRoad_act!O55=0,0,O42/TrRoad_act!O55*1000
)</f>
        <v>0</v>
      </c>
      <c r="P79" s="88">
        <f>IF(TrRoad_act!P55=0,0,P42/TrRoad_act!P55*1000
)</f>
        <v>0</v>
      </c>
      <c r="Q79" s="88">
        <f>IF(TrRoad_act!Q55=0,0,Q42/TrRoad_act!Q55*1000
)</f>
        <v>0</v>
      </c>
      <c r="R79" s="88">
        <f>IF(TrRoad_act!R55=0,0,R42/TrRoad_act!R55*1000
)</f>
        <v>0</v>
      </c>
      <c r="S79" s="88">
        <f>IF(TrRoad_act!S55=0,0,S42/TrRoad_act!S55*1000
)</f>
        <v>0</v>
      </c>
      <c r="T79" s="88">
        <f>IF(TrRoad_act!T55=0,0,T42/TrRoad_act!T55*1000
)</f>
        <v>0</v>
      </c>
      <c r="U79" s="88">
        <f>IF(TrRoad_act!U55=0,0,U42/TrRoad_act!U55*1000
)</f>
        <v>0</v>
      </c>
      <c r="V79" s="88">
        <f>IF(TrRoad_act!V55=0,0,V42/TrRoad_act!V55*1000
)</f>
        <v>0</v>
      </c>
      <c r="W79" s="88">
        <f>IF(TrRoad_act!W55=0,0,W42/TrRoad_act!W55*1000
)</f>
        <v>0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121.02774253419192</v>
      </c>
      <c r="C82" s="29">
        <f>IF(TrRoad_act!C4=0,0,C18/TrRoad_act!C4*1000)</f>
        <v>114.99601977014872</v>
      </c>
      <c r="D82" s="29">
        <f>IF(TrRoad_act!D4=0,0,D18/TrRoad_act!D4*1000)</f>
        <v>107.13009035348747</v>
      </c>
      <c r="E82" s="29">
        <f>IF(TrRoad_act!E4=0,0,E18/TrRoad_act!E4*1000)</f>
        <v>109.31421213642713</v>
      </c>
      <c r="F82" s="29">
        <f>IF(TrRoad_act!F4=0,0,F18/TrRoad_act!F4*1000)</f>
        <v>101.31370191393933</v>
      </c>
      <c r="G82" s="29">
        <f>IF(TrRoad_act!G4=0,0,G18/TrRoad_act!G4*1000)</f>
        <v>119.03229779190312</v>
      </c>
      <c r="H82" s="29">
        <f>IF(TrRoad_act!H4=0,0,H18/TrRoad_act!H4*1000)</f>
        <v>119.96467827997574</v>
      </c>
      <c r="I82" s="29">
        <f>IF(TrRoad_act!I4=0,0,I18/TrRoad_act!I4*1000)</f>
        <v>119.02404745059252</v>
      </c>
      <c r="J82" s="29">
        <f>IF(TrRoad_act!J4=0,0,J18/TrRoad_act!J4*1000)</f>
        <v>134.1419518347447</v>
      </c>
      <c r="K82" s="29">
        <f>IF(TrRoad_act!K4=0,0,K18/TrRoad_act!K4*1000)</f>
        <v>116.31673703253638</v>
      </c>
      <c r="L82" s="29">
        <f>IF(TrRoad_act!L4=0,0,L18/TrRoad_act!L4*1000)</f>
        <v>134.44475485698499</v>
      </c>
      <c r="M82" s="29">
        <f>IF(TrRoad_act!M4=0,0,M18/TrRoad_act!M4*1000)</f>
        <v>135.2840302159494</v>
      </c>
      <c r="N82" s="29">
        <f>IF(TrRoad_act!N4=0,0,N18/TrRoad_act!N4*1000)</f>
        <v>137.28828269646314</v>
      </c>
      <c r="O82" s="29">
        <f>IF(TrRoad_act!O4=0,0,O18/TrRoad_act!O4*1000)</f>
        <v>138.39939931703032</v>
      </c>
      <c r="P82" s="29">
        <f>IF(TrRoad_act!P4=0,0,P18/TrRoad_act!P4*1000)</f>
        <v>135.95089425145122</v>
      </c>
      <c r="Q82" s="29">
        <f>IF(TrRoad_act!Q4=0,0,Q18/TrRoad_act!Q4*1000)</f>
        <v>139.61485413223386</v>
      </c>
      <c r="R82" s="29">
        <f>IF(TrRoad_act!R4=0,0,R18/TrRoad_act!R4*1000)</f>
        <v>136.42140886048318</v>
      </c>
      <c r="S82" s="29">
        <f>IF(TrRoad_act!S4=0,0,S18/TrRoad_act!S4*1000)</f>
        <v>137.79060242461031</v>
      </c>
      <c r="T82" s="29">
        <f>IF(TrRoad_act!T4=0,0,T18/TrRoad_act!T4*1000)</f>
        <v>149.56763772177095</v>
      </c>
      <c r="U82" s="29">
        <f>IF(TrRoad_act!U4=0,0,U18/TrRoad_act!U4*1000)</f>
        <v>151.04852710119903</v>
      </c>
      <c r="V82" s="29">
        <f>IF(TrRoad_act!V4=0,0,V18/TrRoad_act!V4*1000)</f>
        <v>142.56815485569987</v>
      </c>
      <c r="W82" s="29">
        <f>IF(TrRoad_act!W4=0,0,W18/TrRoad_act!W4*1000)</f>
        <v>141.55656853981597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104.05661352985761</v>
      </c>
      <c r="C83" s="152">
        <f>IF(TrRoad_act!C5=0,0,C19/TrRoad_act!C5*1000)</f>
        <v>103.64880025028458</v>
      </c>
      <c r="D83" s="152">
        <f>IF(TrRoad_act!D5=0,0,D19/TrRoad_act!D5*1000)</f>
        <v>103.25561860892111</v>
      </c>
      <c r="E83" s="152">
        <f>IF(TrRoad_act!E5=0,0,E19/TrRoad_act!E5*1000)</f>
        <v>102.82090161263297</v>
      </c>
      <c r="F83" s="152">
        <f>IF(TrRoad_act!F5=0,0,F19/TrRoad_act!F5*1000)</f>
        <v>102.42816714387793</v>
      </c>
      <c r="G83" s="152">
        <f>IF(TrRoad_act!G5=0,0,G19/TrRoad_act!G5*1000)</f>
        <v>102.0486677562606</v>
      </c>
      <c r="H83" s="152">
        <f>IF(TrRoad_act!H5=0,0,H19/TrRoad_act!H5*1000)</f>
        <v>101.43818658609707</v>
      </c>
      <c r="I83" s="152">
        <f>IF(TrRoad_act!I5=0,0,I19/TrRoad_act!I5*1000)</f>
        <v>100.60569757178389</v>
      </c>
      <c r="J83" s="152">
        <f>IF(TrRoad_act!J5=0,0,J19/TrRoad_act!J5*1000)</f>
        <v>99.017890709577287</v>
      </c>
      <c r="K83" s="152">
        <f>IF(TrRoad_act!K5=0,0,K19/TrRoad_act!K5*1000)</f>
        <v>97.564845667201169</v>
      </c>
      <c r="L83" s="152">
        <f>IF(TrRoad_act!L5=0,0,L19/TrRoad_act!L5*1000)</f>
        <v>96.020111634048789</v>
      </c>
      <c r="M83" s="152">
        <f>IF(TrRoad_act!M5=0,0,M19/TrRoad_act!M5*1000)</f>
        <v>94.604280446206772</v>
      </c>
      <c r="N83" s="152">
        <f>IF(TrRoad_act!N5=0,0,N19/TrRoad_act!N5*1000)</f>
        <v>93.281809682131723</v>
      </c>
      <c r="O83" s="152">
        <f>IF(TrRoad_act!O5=0,0,O19/TrRoad_act!O5*1000)</f>
        <v>91.924347350644865</v>
      </c>
      <c r="P83" s="152">
        <f>IF(TrRoad_act!P5=0,0,P19/TrRoad_act!P5*1000)</f>
        <v>90.102290017956051</v>
      </c>
      <c r="Q83" s="152">
        <f>IF(TrRoad_act!Q5=0,0,Q19/TrRoad_act!Q5*1000)</f>
        <v>88.112545359630758</v>
      </c>
      <c r="R83" s="152">
        <f>IF(TrRoad_act!R5=0,0,R19/TrRoad_act!R5*1000)</f>
        <v>86.109163161625943</v>
      </c>
      <c r="S83" s="152">
        <f>IF(TrRoad_act!S5=0,0,S19/TrRoad_act!S5*1000)</f>
        <v>85.32300156152013</v>
      </c>
      <c r="T83" s="152">
        <f>IF(TrRoad_act!T5=0,0,T19/TrRoad_act!T5*1000)</f>
        <v>87.980912399048933</v>
      </c>
      <c r="U83" s="152">
        <f>IF(TrRoad_act!U5=0,0,U19/TrRoad_act!U5*1000)</f>
        <v>87.082095429580264</v>
      </c>
      <c r="V83" s="152">
        <f>IF(TrRoad_act!V5=0,0,V19/TrRoad_act!V5*1000)</f>
        <v>82.205809459579498</v>
      </c>
      <c r="W83" s="152">
        <f>IF(TrRoad_act!W5=0,0,W19/TrRoad_act!W5*1000)</f>
        <v>76.118751420937016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132.72251356269166</v>
      </c>
      <c r="C84" s="116">
        <f>IF(TrRoad_act!C6=0,0,C20/TrRoad_act!C6*1000)</f>
        <v>126.32196350790234</v>
      </c>
      <c r="D84" s="116">
        <f>IF(TrRoad_act!D6=0,0,D20/TrRoad_act!D6*1000)</f>
        <v>127.61883171641981</v>
      </c>
      <c r="E84" s="116">
        <f>IF(TrRoad_act!E6=0,0,E20/TrRoad_act!E6*1000)</f>
        <v>123.13940896718489</v>
      </c>
      <c r="F84" s="116">
        <f>IF(TrRoad_act!F6=0,0,F20/TrRoad_act!F6*1000)</f>
        <v>107.20698809784257</v>
      </c>
      <c r="G84" s="116">
        <f>IF(TrRoad_act!G6=0,0,G20/TrRoad_act!G6*1000)</f>
        <v>121.16911515222107</v>
      </c>
      <c r="H84" s="116">
        <f>IF(TrRoad_act!H6=0,0,H20/TrRoad_act!H6*1000)</f>
        <v>120.838177664947</v>
      </c>
      <c r="I84" s="116">
        <f>IF(TrRoad_act!I6=0,0,I20/TrRoad_act!I6*1000)</f>
        <v>121.43094250307875</v>
      </c>
      <c r="J84" s="116">
        <f>IF(TrRoad_act!J6=0,0,J20/TrRoad_act!J6*1000)</f>
        <v>140.83888209486693</v>
      </c>
      <c r="K84" s="116">
        <f>IF(TrRoad_act!K6=0,0,K20/TrRoad_act!K6*1000)</f>
        <v>120.60263785527508</v>
      </c>
      <c r="L84" s="116">
        <f>IF(TrRoad_act!L6=0,0,L20/TrRoad_act!L6*1000)</f>
        <v>141.89005677909518</v>
      </c>
      <c r="M84" s="116">
        <f>IF(TrRoad_act!M6=0,0,M20/TrRoad_act!M6*1000)</f>
        <v>141.27936001197122</v>
      </c>
      <c r="N84" s="116">
        <f>IF(TrRoad_act!N6=0,0,N20/TrRoad_act!N6*1000)</f>
        <v>140.55708023485667</v>
      </c>
      <c r="O84" s="116">
        <f>IF(TrRoad_act!O6=0,0,O20/TrRoad_act!O6*1000)</f>
        <v>141.0937069097323</v>
      </c>
      <c r="P84" s="116">
        <f>IF(TrRoad_act!P6=0,0,P20/TrRoad_act!P6*1000)</f>
        <v>134.55862067428185</v>
      </c>
      <c r="Q84" s="116">
        <f>IF(TrRoad_act!Q6=0,0,Q20/TrRoad_act!Q6*1000)</f>
        <v>137.74183705473089</v>
      </c>
      <c r="R84" s="116">
        <f>IF(TrRoad_act!R6=0,0,R20/TrRoad_act!R6*1000)</f>
        <v>134.71108365186777</v>
      </c>
      <c r="S84" s="116">
        <f>IF(TrRoad_act!S6=0,0,S20/TrRoad_act!S6*1000)</f>
        <v>134.59510109314252</v>
      </c>
      <c r="T84" s="116">
        <f>IF(TrRoad_act!T6=0,0,T20/TrRoad_act!T6*1000)</f>
        <v>144.08110703975888</v>
      </c>
      <c r="U84" s="116">
        <f>IF(TrRoad_act!U6=0,0,U20/TrRoad_act!U6*1000)</f>
        <v>147.39422872452758</v>
      </c>
      <c r="V84" s="116">
        <f>IF(TrRoad_act!V6=0,0,V20/TrRoad_act!V6*1000)</f>
        <v>137.437312626075</v>
      </c>
      <c r="W84" s="116">
        <f>IF(TrRoad_act!W6=0,0,W20/TrRoad_act!W6*1000)</f>
        <v>139.80760941419385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139.48368496571049</v>
      </c>
      <c r="C85" s="87">
        <f>IF(TrRoad_act!C7=0,0,C21/TrRoad_act!C7*1000)</f>
        <v>133.3375511833803</v>
      </c>
      <c r="D85" s="87">
        <f>IF(TrRoad_act!D7=0,0,D21/TrRoad_act!D7*1000)</f>
        <v>146.71237562262743</v>
      </c>
      <c r="E85" s="87">
        <f>IF(TrRoad_act!E7=0,0,E21/TrRoad_act!E7*1000)</f>
        <v>134.10734041020018</v>
      </c>
      <c r="F85" s="87">
        <f>IF(TrRoad_act!F7=0,0,F21/TrRoad_act!F7*1000)</f>
        <v>109.74403259146598</v>
      </c>
      <c r="G85" s="87">
        <f>IF(TrRoad_act!G7=0,0,G21/TrRoad_act!G7*1000)</f>
        <v>115.19826158408313</v>
      </c>
      <c r="H85" s="87">
        <f>IF(TrRoad_act!H7=0,0,H21/TrRoad_act!H7*1000)</f>
        <v>112.62383349737031</v>
      </c>
      <c r="I85" s="87">
        <f>IF(TrRoad_act!I7=0,0,I21/TrRoad_act!I7*1000)</f>
        <v>117.10746605388577</v>
      </c>
      <c r="J85" s="87">
        <f>IF(TrRoad_act!J7=0,0,J21/TrRoad_act!J7*1000)</f>
        <v>140.42635486169263</v>
      </c>
      <c r="K85" s="87">
        <f>IF(TrRoad_act!K7=0,0,K21/TrRoad_act!K7*1000)</f>
        <v>118.1286953701849</v>
      </c>
      <c r="L85" s="87">
        <f>IF(TrRoad_act!L7=0,0,L21/TrRoad_act!L7*1000)</f>
        <v>147.16645315726751</v>
      </c>
      <c r="M85" s="87">
        <f>IF(TrRoad_act!M7=0,0,M21/TrRoad_act!M7*1000)</f>
        <v>152.4332802257249</v>
      </c>
      <c r="N85" s="87">
        <f>IF(TrRoad_act!N7=0,0,N21/TrRoad_act!N7*1000)</f>
        <v>155.06906994240353</v>
      </c>
      <c r="O85" s="87">
        <f>IF(TrRoad_act!O7=0,0,O21/TrRoad_act!O7*1000)</f>
        <v>156.9601936873047</v>
      </c>
      <c r="P85" s="87">
        <f>IF(TrRoad_act!P7=0,0,P21/TrRoad_act!P7*1000)</f>
        <v>148.86848312596592</v>
      </c>
      <c r="Q85" s="87">
        <f>IF(TrRoad_act!Q7=0,0,Q21/TrRoad_act!Q7*1000)</f>
        <v>153.73640521843029</v>
      </c>
      <c r="R85" s="87">
        <f>IF(TrRoad_act!R7=0,0,R21/TrRoad_act!R7*1000)</f>
        <v>150.5940542257207</v>
      </c>
      <c r="S85" s="87">
        <f>IF(TrRoad_act!S7=0,0,S21/TrRoad_act!S7*1000)</f>
        <v>147.34861196093746</v>
      </c>
      <c r="T85" s="87">
        <f>IF(TrRoad_act!T7=0,0,T21/TrRoad_act!T7*1000)</f>
        <v>151.49103333442332</v>
      </c>
      <c r="U85" s="87">
        <f>IF(TrRoad_act!U7=0,0,U21/TrRoad_act!U7*1000)</f>
        <v>158.1958587932312</v>
      </c>
      <c r="V85" s="87">
        <f>IF(TrRoad_act!V7=0,0,V21/TrRoad_act!V7*1000)</f>
        <v>154.79402795069586</v>
      </c>
      <c r="W85" s="87">
        <f>IF(TrRoad_act!W7=0,0,W21/TrRoad_act!W7*1000)</f>
        <v>158.04235804250112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95.186617073479979</v>
      </c>
      <c r="C86" s="87">
        <f>IF(TrRoad_act!C8=0,0,C22/TrRoad_act!C8*1000)</f>
        <v>91.209577173207805</v>
      </c>
      <c r="D86" s="87">
        <f>IF(TrRoad_act!D8=0,0,D22/TrRoad_act!D8*1000)</f>
        <v>36.374145134253261</v>
      </c>
      <c r="E86" s="87">
        <f>IF(TrRoad_act!E8=0,0,E22/TrRoad_act!E8*1000)</f>
        <v>72.938851695706276</v>
      </c>
      <c r="F86" s="87">
        <f>IF(TrRoad_act!F8=0,0,F22/TrRoad_act!F8*1000)</f>
        <v>96.64341608585228</v>
      </c>
      <c r="G86" s="87">
        <f>IF(TrRoad_act!G8=0,0,G22/TrRoad_act!G8*1000)</f>
        <v>148.15503133522691</v>
      </c>
      <c r="H86" s="87">
        <f>IF(TrRoad_act!H8=0,0,H22/TrRoad_act!H8*1000)</f>
        <v>157.4761007487848</v>
      </c>
      <c r="I86" s="87">
        <f>IF(TrRoad_act!I8=0,0,I22/TrRoad_act!I8*1000)</f>
        <v>139.09708229399905</v>
      </c>
      <c r="J86" s="87">
        <f>IF(TrRoad_act!J8=0,0,J22/TrRoad_act!J8*1000)</f>
        <v>142.72347797289211</v>
      </c>
      <c r="K86" s="87">
        <f>IF(TrRoad_act!K8=0,0,K22/TrRoad_act!K8*1000)</f>
        <v>130.91715717740473</v>
      </c>
      <c r="L86" s="87">
        <f>IF(TrRoad_act!L8=0,0,L22/TrRoad_act!L8*1000)</f>
        <v>132.58876973739982</v>
      </c>
      <c r="M86" s="87">
        <f>IF(TrRoad_act!M8=0,0,M22/TrRoad_act!M8*1000)</f>
        <v>123.73887398574077</v>
      </c>
      <c r="N86" s="87">
        <f>IF(TrRoad_act!N8=0,0,N22/TrRoad_act!N8*1000)</f>
        <v>119.71182517673407</v>
      </c>
      <c r="O86" s="87">
        <f>IF(TrRoad_act!O8=0,0,O22/TrRoad_act!O8*1000)</f>
        <v>119.46235939108215</v>
      </c>
      <c r="P86" s="87">
        <f>IF(TrRoad_act!P8=0,0,P22/TrRoad_act!P8*1000)</f>
        <v>115.26486070331947</v>
      </c>
      <c r="Q86" s="87">
        <f>IF(TrRoad_act!Q8=0,0,Q22/TrRoad_act!Q8*1000)</f>
        <v>117.04704271415625</v>
      </c>
      <c r="R86" s="87">
        <f>IF(TrRoad_act!R8=0,0,R22/TrRoad_act!R8*1000)</f>
        <v>114.83726150057086</v>
      </c>
      <c r="S86" s="87">
        <f>IF(TrRoad_act!S8=0,0,S22/TrRoad_act!S8*1000)</f>
        <v>117.73021517194178</v>
      </c>
      <c r="T86" s="87">
        <f>IF(TrRoad_act!T8=0,0,T22/TrRoad_act!T8*1000)</f>
        <v>135.41768306351352</v>
      </c>
      <c r="U86" s="87">
        <f>IF(TrRoad_act!U8=0,0,U22/TrRoad_act!U8*1000)</f>
        <v>136.18260730550159</v>
      </c>
      <c r="V86" s="87">
        <f>IF(TrRoad_act!V8=0,0,V22/TrRoad_act!V8*1000)</f>
        <v>119.25139205966784</v>
      </c>
      <c r="W86" s="87">
        <f>IF(TrRoad_act!W8=0,0,W22/TrRoad_act!W8*1000)</f>
        <v>121.37429142703206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0</v>
      </c>
      <c r="I87" s="87">
        <f>IF(TrRoad_act!I9=0,0,I23/TrRoad_act!I9*1000)</f>
        <v>0</v>
      </c>
      <c r="J87" s="87">
        <f>IF(TrRoad_act!J9=0,0,J23/TrRoad_act!J9*1000)</f>
        <v>0</v>
      </c>
      <c r="K87" s="87">
        <f>IF(TrRoad_act!K9=0,0,K23/TrRoad_act!K9*1000)</f>
        <v>0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116.52112869370674</v>
      </c>
      <c r="S87" s="87">
        <f>IF(TrRoad_act!S9=0,0,S23/TrRoad_act!S9*1000)</f>
        <v>128.17714357367683</v>
      </c>
      <c r="T87" s="87">
        <f>IF(TrRoad_act!T9=0,0,T23/TrRoad_act!T9*1000)</f>
        <v>178.47636547513227</v>
      </c>
      <c r="U87" s="87">
        <f>IF(TrRoad_act!U9=0,0,U23/TrRoad_act!U9*1000)</f>
        <v>128.01178733262492</v>
      </c>
      <c r="V87" s="87">
        <f>IF(TrRoad_act!V9=0,0,V23/TrRoad_act!V9*1000)</f>
        <v>147.6160120979807</v>
      </c>
      <c r="W87" s="87">
        <f>IF(TrRoad_act!W9=0,0,W23/TrRoad_act!W9*1000)</f>
        <v>168.92888274081636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83.034460989764497</v>
      </c>
      <c r="M89" s="87">
        <f>IF(TrRoad_act!M11=0,0,M25/TrRoad_act!M11*1000)</f>
        <v>85.206865409241118</v>
      </c>
      <c r="N89" s="87">
        <f>IF(TrRoad_act!N11=0,0,N25/TrRoad_act!N11*1000)</f>
        <v>80.593641005664651</v>
      </c>
      <c r="O89" s="87">
        <f>IF(TrRoad_act!O11=0,0,O25/TrRoad_act!O11*1000)</f>
        <v>89.136476189310201</v>
      </c>
      <c r="P89" s="87">
        <f>IF(TrRoad_act!P11=0,0,P25/TrRoad_act!P11*1000)</f>
        <v>88.313974116760406</v>
      </c>
      <c r="Q89" s="87">
        <f>IF(TrRoad_act!Q11=0,0,Q25/TrRoad_act!Q11*1000)</f>
        <v>84.647857829889816</v>
      </c>
      <c r="R89" s="87">
        <f>IF(TrRoad_act!R11=0,0,R25/TrRoad_act!R11*1000)</f>
        <v>83.240275362382135</v>
      </c>
      <c r="S89" s="87">
        <f>IF(TrRoad_act!S11=0,0,S25/TrRoad_act!S11*1000)</f>
        <v>82.261781791096169</v>
      </c>
      <c r="T89" s="87">
        <f>IF(TrRoad_act!T11=0,0,T25/TrRoad_act!T11*1000)</f>
        <v>88.031148341425805</v>
      </c>
      <c r="U89" s="87">
        <f>IF(TrRoad_act!U11=0,0,U25/TrRoad_act!U11*1000)</f>
        <v>91.091107934229271</v>
      </c>
      <c r="V89" s="87">
        <f>IF(TrRoad_act!V11=0,0,V25/TrRoad_act!V11*1000)</f>
        <v>83.954451443587018</v>
      </c>
      <c r="W89" s="87">
        <f>IF(TrRoad_act!W11=0,0,W25/TrRoad_act!W11*1000)</f>
        <v>75.812580066934345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76.442365594916737</v>
      </c>
      <c r="C91" s="116">
        <f>IF(TrRoad_act!C13=0,0,C27/TrRoad_act!C13*1000)</f>
        <v>72.416695825811686</v>
      </c>
      <c r="D91" s="116">
        <f>IF(TrRoad_act!D13=0,0,D27/TrRoad_act!D13*1000)</f>
        <v>28.439613540496978</v>
      </c>
      <c r="E91" s="116">
        <f>IF(TrRoad_act!E13=0,0,E27/TrRoad_act!E13*1000)</f>
        <v>56.172202081838336</v>
      </c>
      <c r="F91" s="116">
        <f>IF(TrRoad_act!F13=0,0,F27/TrRoad_act!F13*1000)</f>
        <v>78.25658660158912</v>
      </c>
      <c r="G91" s="116">
        <f>IF(TrRoad_act!G13=0,0,G27/TrRoad_act!G13*1000)</f>
        <v>111.37908979767477</v>
      </c>
      <c r="H91" s="116">
        <f>IF(TrRoad_act!H13=0,0,H27/TrRoad_act!H13*1000)</f>
        <v>117.55381417802704</v>
      </c>
      <c r="I91" s="116">
        <f>IF(TrRoad_act!I13=0,0,I27/TrRoad_act!I13*1000)</f>
        <v>110.21658878247612</v>
      </c>
      <c r="J91" s="116">
        <f>IF(TrRoad_act!J13=0,0,J27/TrRoad_act!J13*1000)</f>
        <v>108.46747071364712</v>
      </c>
      <c r="K91" s="116">
        <f>IF(TrRoad_act!K13=0,0,K27/TrRoad_act!K13*1000)</f>
        <v>98.30466637724912</v>
      </c>
      <c r="L91" s="116">
        <f>IF(TrRoad_act!L13=0,0,L27/TrRoad_act!L13*1000)</f>
        <v>104.59579365824855</v>
      </c>
      <c r="M91" s="116">
        <f>IF(TrRoad_act!M13=0,0,M27/TrRoad_act!M13*1000)</f>
        <v>110.60333973170088</v>
      </c>
      <c r="N91" s="116">
        <f>IF(TrRoad_act!N13=0,0,N27/TrRoad_act!N13*1000)</f>
        <v>125.64985156312689</v>
      </c>
      <c r="O91" s="116">
        <f>IF(TrRoad_act!O13=0,0,O27/TrRoad_act!O13*1000)</f>
        <v>129.50420133953565</v>
      </c>
      <c r="P91" s="116">
        <f>IF(TrRoad_act!P13=0,0,P27/TrRoad_act!P13*1000)</f>
        <v>147.17965480617045</v>
      </c>
      <c r="Q91" s="116">
        <f>IF(TrRoad_act!Q13=0,0,Q27/TrRoad_act!Q13*1000)</f>
        <v>152.96992810912727</v>
      </c>
      <c r="R91" s="116">
        <f>IF(TrRoad_act!R13=0,0,R27/TrRoad_act!R13*1000)</f>
        <v>149.45525373571795</v>
      </c>
      <c r="S91" s="116">
        <f>IF(TrRoad_act!S13=0,0,S27/TrRoad_act!S13*1000)</f>
        <v>157.63267135855992</v>
      </c>
      <c r="T91" s="116">
        <f>IF(TrRoad_act!T13=0,0,T27/TrRoad_act!T13*1000)</f>
        <v>180.682032314759</v>
      </c>
      <c r="U91" s="116">
        <f>IF(TrRoad_act!U13=0,0,U27/TrRoad_act!U13*1000)</f>
        <v>173.08359378189976</v>
      </c>
      <c r="V91" s="116">
        <f>IF(TrRoad_act!V13=0,0,V27/TrRoad_act!V13*1000)</f>
        <v>181.6832168397255</v>
      </c>
      <c r="W91" s="116">
        <f>IF(TrRoad_act!W13=0,0,W27/TrRoad_act!W13*1000)</f>
        <v>160.12398495219014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59.791769126445075</v>
      </c>
      <c r="M92" s="101">
        <f>IF(TrRoad_act!M14=0,0,M28/TrRoad_act!M14*1000)</f>
        <v>60.567707841745928</v>
      </c>
      <c r="N92" s="101">
        <f>IF(TrRoad_act!N14=0,0,N28/TrRoad_act!N14*1000)</f>
        <v>61.165061404796539</v>
      </c>
      <c r="O92" s="101">
        <f>IF(TrRoad_act!O14=0,0,O28/TrRoad_act!O14*1000)</f>
        <v>61.29839354356875</v>
      </c>
      <c r="P92" s="101">
        <f>IF(TrRoad_act!P14=0,0,P28/TrRoad_act!P14*1000)</f>
        <v>61.790005166974709</v>
      </c>
      <c r="Q92" s="101">
        <f>IF(TrRoad_act!Q14=0,0,Q28/TrRoad_act!Q14*1000)</f>
        <v>61.880414092833178</v>
      </c>
      <c r="R92" s="101">
        <f>IF(TrRoad_act!R14=0,0,R28/TrRoad_act!R14*1000)</f>
        <v>61.863387149496916</v>
      </c>
      <c r="S92" s="101">
        <f>IF(TrRoad_act!S14=0,0,S28/TrRoad_act!S14*1000)</f>
        <v>61.87908232860881</v>
      </c>
      <c r="T92" s="101">
        <f>IF(TrRoad_act!T14=0,0,T28/TrRoad_act!T14*1000)</f>
        <v>60.881585396142768</v>
      </c>
      <c r="U92" s="101">
        <f>IF(TrRoad_act!U14=0,0,U28/TrRoad_act!U14*1000)</f>
        <v>59.057916562411883</v>
      </c>
      <c r="V92" s="101">
        <f>IF(TrRoad_act!V14=0,0,V28/TrRoad_act!V14*1000)</f>
        <v>59.1361272089636</v>
      </c>
      <c r="W92" s="101">
        <f>IF(TrRoad_act!W14=0,0,W28/TrRoad_act!W14*1000)</f>
        <v>57.901837373115299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76.442365594916737</v>
      </c>
      <c r="C93" s="101">
        <f>IF(TrRoad_act!C15=0,0,C29/TrRoad_act!C15*1000)</f>
        <v>72.416695825811686</v>
      </c>
      <c r="D93" s="101">
        <f>IF(TrRoad_act!D15=0,0,D29/TrRoad_act!D15*1000)</f>
        <v>28.439613540496978</v>
      </c>
      <c r="E93" s="101">
        <f>IF(TrRoad_act!E15=0,0,E29/TrRoad_act!E15*1000)</f>
        <v>56.172202081838336</v>
      </c>
      <c r="F93" s="101">
        <f>IF(TrRoad_act!F15=0,0,F29/TrRoad_act!F15*1000)</f>
        <v>78.25658660158912</v>
      </c>
      <c r="G93" s="101">
        <f>IF(TrRoad_act!G15=0,0,G29/TrRoad_act!G15*1000)</f>
        <v>111.37908979767477</v>
      </c>
      <c r="H93" s="101">
        <f>IF(TrRoad_act!H15=0,0,H29/TrRoad_act!H15*1000)</f>
        <v>117.55381417802704</v>
      </c>
      <c r="I93" s="101">
        <f>IF(TrRoad_act!I15=0,0,I29/TrRoad_act!I15*1000)</f>
        <v>110.21658878247612</v>
      </c>
      <c r="J93" s="101">
        <f>IF(TrRoad_act!J15=0,0,J29/TrRoad_act!J15*1000)</f>
        <v>108.46747071364712</v>
      </c>
      <c r="K93" s="101">
        <f>IF(TrRoad_act!K15=0,0,K29/TrRoad_act!K15*1000)</f>
        <v>98.30466637724912</v>
      </c>
      <c r="L93" s="101">
        <f>IF(TrRoad_act!L15=0,0,L29/TrRoad_act!L15*1000)</f>
        <v>104.79206622569781</v>
      </c>
      <c r="M93" s="101">
        <f>IF(TrRoad_act!M15=0,0,M29/TrRoad_act!M15*1000)</f>
        <v>110.79458368587376</v>
      </c>
      <c r="N93" s="101">
        <f>IF(TrRoad_act!N15=0,0,N29/TrRoad_act!N15*1000)</f>
        <v>125.87922325074055</v>
      </c>
      <c r="O93" s="101">
        <f>IF(TrRoad_act!O15=0,0,O29/TrRoad_act!O15*1000)</f>
        <v>129.73327719059998</v>
      </c>
      <c r="P93" s="101">
        <f>IF(TrRoad_act!P15=0,0,P29/TrRoad_act!P15*1000)</f>
        <v>147.43195664471025</v>
      </c>
      <c r="Q93" s="101">
        <f>IF(TrRoad_act!Q15=0,0,Q29/TrRoad_act!Q15*1000)</f>
        <v>153.17413044334594</v>
      </c>
      <c r="R93" s="101">
        <f>IF(TrRoad_act!R15=0,0,R29/TrRoad_act!R15*1000)</f>
        <v>149.64210757457914</v>
      </c>
      <c r="S93" s="101">
        <f>IF(TrRoad_act!S15=0,0,S29/TrRoad_act!S15*1000)</f>
        <v>157.8266537553296</v>
      </c>
      <c r="T93" s="101">
        <f>IF(TrRoad_act!T15=0,0,T29/TrRoad_act!T15*1000)</f>
        <v>181.63507892823984</v>
      </c>
      <c r="U93" s="101">
        <f>IF(TrRoad_act!U15=0,0,U29/TrRoad_act!U15*1000)</f>
        <v>174.16544979258251</v>
      </c>
      <c r="V93" s="101">
        <f>IF(TrRoad_act!V15=0,0,V29/TrRoad_act!V15*1000)</f>
        <v>182.99842507389238</v>
      </c>
      <c r="W93" s="101">
        <f>IF(TrRoad_act!W15=0,0,W29/TrRoad_act!W15*1000)</f>
        <v>161.57601675620603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200.54945839360622</v>
      </c>
      <c r="C97" s="29">
        <f>IF(TrRoad_act!C19=0,0,C33/TrRoad_act!C19*1000)</f>
        <v>192.56923575306203</v>
      </c>
      <c r="D97" s="29">
        <f>IF(TrRoad_act!D19=0,0,D33/TrRoad_act!D19*1000)</f>
        <v>119.07373464781513</v>
      </c>
      <c r="E97" s="29">
        <f>IF(TrRoad_act!E19=0,0,E33/TrRoad_act!E19*1000)</f>
        <v>163.82121459742126</v>
      </c>
      <c r="F97" s="29">
        <f>IF(TrRoad_act!F19=0,0,F33/TrRoad_act!F19*1000)</f>
        <v>197.27022471546766</v>
      </c>
      <c r="G97" s="29">
        <f>IF(TrRoad_act!G19=0,0,G33/TrRoad_act!G19*1000)</f>
        <v>336.19947841850274</v>
      </c>
      <c r="H97" s="29">
        <f>IF(TrRoad_act!H19=0,0,H33/TrRoad_act!H19*1000)</f>
        <v>364.08640331604414</v>
      </c>
      <c r="I97" s="29">
        <f>IF(TrRoad_act!I19=0,0,I33/TrRoad_act!I19*1000)</f>
        <v>328.35424279756478</v>
      </c>
      <c r="J97" s="29">
        <f>IF(TrRoad_act!J19=0,0,J33/TrRoad_act!J19*1000)</f>
        <v>315.35053797526712</v>
      </c>
      <c r="K97" s="29">
        <f>IF(TrRoad_act!K19=0,0,K33/TrRoad_act!K19*1000)</f>
        <v>285.2897102240151</v>
      </c>
      <c r="L97" s="29">
        <f>IF(TrRoad_act!L19=0,0,L33/TrRoad_act!L19*1000)</f>
        <v>299.86535271723</v>
      </c>
      <c r="M97" s="29">
        <f>IF(TrRoad_act!M19=0,0,M33/TrRoad_act!M19*1000)</f>
        <v>288.0311707786833</v>
      </c>
      <c r="N97" s="29">
        <f>IF(TrRoad_act!N19=0,0,N33/TrRoad_act!N19*1000)</f>
        <v>285.36565564852805</v>
      </c>
      <c r="O97" s="29">
        <f>IF(TrRoad_act!O19=0,0,O33/TrRoad_act!O19*1000)</f>
        <v>283.44040406324996</v>
      </c>
      <c r="P97" s="29">
        <f>IF(TrRoad_act!P19=0,0,P33/TrRoad_act!P19*1000)</f>
        <v>285.0859321842355</v>
      </c>
      <c r="Q97" s="29">
        <f>IF(TrRoad_act!Q19=0,0,Q33/TrRoad_act!Q19*1000)</f>
        <v>298.75594085694013</v>
      </c>
      <c r="R97" s="29">
        <f>IF(TrRoad_act!R19=0,0,R33/TrRoad_act!R19*1000)</f>
        <v>291.06474867832276</v>
      </c>
      <c r="S97" s="29">
        <f>IF(TrRoad_act!S19=0,0,S33/TrRoad_act!S19*1000)</f>
        <v>311.97116259061272</v>
      </c>
      <c r="T97" s="29">
        <f>IF(TrRoad_act!T19=0,0,T33/TrRoad_act!T19*1000)</f>
        <v>365.69706572956341</v>
      </c>
      <c r="U97" s="29">
        <f>IF(TrRoad_act!U19=0,0,U33/TrRoad_act!U19*1000)</f>
        <v>379.18544037850319</v>
      </c>
      <c r="V97" s="29">
        <f>IF(TrRoad_act!V19=0,0,V33/TrRoad_act!V19*1000)</f>
        <v>323.55851932933319</v>
      </c>
      <c r="W97" s="29">
        <f>IF(TrRoad_act!W19=0,0,W33/TrRoad_act!W19*1000)</f>
        <v>331.5487632790277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1733.1165257633361</v>
      </c>
      <c r="C98" s="152">
        <f>IF(TrRoad_act!C20=0,0,C34/TrRoad_act!C20*1000)</f>
        <v>1627.4566255889308</v>
      </c>
      <c r="D98" s="152">
        <f>IF(TrRoad_act!D20=0,0,D34/TrRoad_act!D20*1000)</f>
        <v>677.50548380312853</v>
      </c>
      <c r="E98" s="152">
        <f>IF(TrRoad_act!E20=0,0,E34/TrRoad_act!E20*1000)</f>
        <v>1233.9723749858751</v>
      </c>
      <c r="F98" s="152">
        <f>IF(TrRoad_act!F20=0,0,F34/TrRoad_act!F20*1000)</f>
        <v>1652.9059799583144</v>
      </c>
      <c r="G98" s="152">
        <f>IF(TrRoad_act!G20=0,0,G34/TrRoad_act!G20*1000)</f>
        <v>2274.3321070480356</v>
      </c>
      <c r="H98" s="152">
        <f>IF(TrRoad_act!H20=0,0,H34/TrRoad_act!H20*1000)</f>
        <v>2330.8086063815435</v>
      </c>
      <c r="I98" s="152">
        <f>IF(TrRoad_act!I20=0,0,I34/TrRoad_act!I20*1000)</f>
        <v>2139.760274908806</v>
      </c>
      <c r="J98" s="152">
        <f>IF(TrRoad_act!J20=0,0,J34/TrRoad_act!J20*1000)</f>
        <v>2035.9024171199528</v>
      </c>
      <c r="K98" s="152">
        <f>IF(TrRoad_act!K20=0,0,K34/TrRoad_act!K20*1000)</f>
        <v>1816.6733982143724</v>
      </c>
      <c r="L98" s="152">
        <f>IF(TrRoad_act!L20=0,0,L34/TrRoad_act!L20*1000)</f>
        <v>1750.3952616151851</v>
      </c>
      <c r="M98" s="152">
        <f>IF(TrRoad_act!M20=0,0,M34/TrRoad_act!M20*1000)</f>
        <v>1612.3853511995494</v>
      </c>
      <c r="N98" s="152">
        <f>IF(TrRoad_act!N20=0,0,N34/TrRoad_act!N20*1000)</f>
        <v>1529.2314639863596</v>
      </c>
      <c r="O98" s="152">
        <f>IF(TrRoad_act!O20=0,0,O34/TrRoad_act!O20*1000)</f>
        <v>1493.4491595400768</v>
      </c>
      <c r="P98" s="152">
        <f>IF(TrRoad_act!P20=0,0,P34/TrRoad_act!P20*1000)</f>
        <v>1468.004545275377</v>
      </c>
      <c r="Q98" s="152">
        <f>IF(TrRoad_act!Q20=0,0,Q34/TrRoad_act!Q20*1000)</f>
        <v>1475.1605507151405</v>
      </c>
      <c r="R98" s="152">
        <f>IF(TrRoad_act!R20=0,0,R34/TrRoad_act!R20*1000)</f>
        <v>1435.969143160992</v>
      </c>
      <c r="S98" s="152">
        <f>IF(TrRoad_act!S20=0,0,S34/TrRoad_act!S20*1000)</f>
        <v>1489.1214419422736</v>
      </c>
      <c r="T98" s="152">
        <f>IF(TrRoad_act!T20=0,0,T34/TrRoad_act!T20*1000)</f>
        <v>1682.0642776975244</v>
      </c>
      <c r="U98" s="152">
        <f>IF(TrRoad_act!U20=0,0,U34/TrRoad_act!U20*1000)</f>
        <v>1716.6263446631262</v>
      </c>
      <c r="V98" s="152">
        <f>IF(TrRoad_act!V20=0,0,V34/TrRoad_act!V20*1000)</f>
        <v>1467.9626538106857</v>
      </c>
      <c r="W98" s="152">
        <f>IF(TrRoad_act!W20=0,0,W34/TrRoad_act!W20*1000)</f>
        <v>1504.6958712285782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2317.8730015779474</v>
      </c>
      <c r="C99" s="87">
        <f>IF(TrRoad_act!C21=0,0,C35/TrRoad_act!C21*1000)</f>
        <v>2326.7081762060793</v>
      </c>
      <c r="D99" s="87">
        <f>IF(TrRoad_act!D21=0,0,D35/TrRoad_act!D21*1000)</f>
        <v>2381.0377132167796</v>
      </c>
      <c r="E99" s="87">
        <f>IF(TrRoad_act!E21=0,0,E35/TrRoad_act!E21*1000)</f>
        <v>2291.42584985435</v>
      </c>
      <c r="F99" s="87">
        <f>IF(TrRoad_act!F21=0,0,F35/TrRoad_act!F21*1000)</f>
        <v>2191.361687700221</v>
      </c>
      <c r="G99" s="87">
        <f>IF(TrRoad_act!G21=0,0,G35/TrRoad_act!G21*1000)</f>
        <v>2177.9886652742307</v>
      </c>
      <c r="H99" s="87">
        <f>IF(TrRoad_act!H21=0,0,H35/TrRoad_act!H21*1000)</f>
        <v>2147.2769624526104</v>
      </c>
      <c r="I99" s="87">
        <f>IF(TrRoad_act!I21=0,0,I35/TrRoad_act!I21*1000)</f>
        <v>2174.763525963654</v>
      </c>
      <c r="J99" s="87">
        <f>IF(TrRoad_act!J21=0,0,J35/TrRoad_act!J21*1000)</f>
        <v>2209.4016061745406</v>
      </c>
      <c r="K99" s="87">
        <f>IF(TrRoad_act!K21=0,0,K35/TrRoad_act!K21*1000)</f>
        <v>2097.6914032536351</v>
      </c>
      <c r="L99" s="87">
        <f>IF(TrRoad_act!L21=0,0,L35/TrRoad_act!L21*1000)</f>
        <v>2228.8808185948969</v>
      </c>
      <c r="M99" s="87">
        <f>IF(TrRoad_act!M21=0,0,M35/TrRoad_act!M21*1000)</f>
        <v>2230.159235449461</v>
      </c>
      <c r="N99" s="87">
        <f>IF(TrRoad_act!N21=0,0,N35/TrRoad_act!N21*1000)</f>
        <v>2251.9222575677049</v>
      </c>
      <c r="O99" s="87">
        <f>IF(TrRoad_act!O21=0,0,O35/TrRoad_act!O21*1000)</f>
        <v>2233.5662473517796</v>
      </c>
      <c r="P99" s="87">
        <f>IF(TrRoad_act!P21=0,0,P35/TrRoad_act!P21*1000)</f>
        <v>2431.0695296022222</v>
      </c>
      <c r="Q99" s="87">
        <f>IF(TrRoad_act!Q21=0,0,Q35/TrRoad_act!Q21*1000)</f>
        <v>2427.6710842261082</v>
      </c>
      <c r="R99" s="87">
        <f>IF(TrRoad_act!R21=0,0,R35/TrRoad_act!R21*1000)</f>
        <v>2376.3151952083276</v>
      </c>
      <c r="S99" s="87">
        <f>IF(TrRoad_act!S21=0,0,S35/TrRoad_act!S21*1000)</f>
        <v>2356.2793789771649</v>
      </c>
      <c r="T99" s="87">
        <f>IF(TrRoad_act!T21=0,0,T35/TrRoad_act!T21*1000)</f>
        <v>2372.7859330585861</v>
      </c>
      <c r="U99" s="87">
        <f>IF(TrRoad_act!U21=0,0,U35/TrRoad_act!U21*1000)</f>
        <v>2387.9609179972108</v>
      </c>
      <c r="V99" s="87">
        <f>IF(TrRoad_act!V21=0,0,V35/TrRoad_act!V21*1000)</f>
        <v>2319.669021519112</v>
      </c>
      <c r="W99" s="87">
        <f>IF(TrRoad_act!W21=0,0,W35/TrRoad_act!W21*1000)</f>
        <v>2345.3845823348743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1716.0472380600359</v>
      </c>
      <c r="C100" s="87">
        <f>IF(TrRoad_act!C22=0,0,C36/TrRoad_act!C22*1000)</f>
        <v>1603.5071702443945</v>
      </c>
      <c r="D100" s="87">
        <f>IF(TrRoad_act!D22=0,0,D36/TrRoad_act!D22*1000)</f>
        <v>620.56953793708476</v>
      </c>
      <c r="E100" s="87">
        <f>IF(TrRoad_act!E22=0,0,E36/TrRoad_act!E22*1000)</f>
        <v>1199.9463801423126</v>
      </c>
      <c r="F100" s="87">
        <f>IF(TrRoad_act!F22=0,0,F36/TrRoad_act!F22*1000)</f>
        <v>1635.8856810635612</v>
      </c>
      <c r="G100" s="87">
        <f>IF(TrRoad_act!G22=0,0,G36/TrRoad_act!G22*1000)</f>
        <v>2277.3753861045807</v>
      </c>
      <c r="H100" s="87">
        <f>IF(TrRoad_act!H22=0,0,H36/TrRoad_act!H22*1000)</f>
        <v>2336.3531301497587</v>
      </c>
      <c r="I100" s="87">
        <f>IF(TrRoad_act!I22=0,0,I36/TrRoad_act!I22*1000)</f>
        <v>2138.7935418323382</v>
      </c>
      <c r="J100" s="87">
        <f>IF(TrRoad_act!J22=0,0,J36/TrRoad_act!J22*1000)</f>
        <v>2031.7678081045817</v>
      </c>
      <c r="K100" s="87">
        <f>IF(TrRoad_act!K22=0,0,K36/TrRoad_act!K22*1000)</f>
        <v>1810.10687193426</v>
      </c>
      <c r="L100" s="87">
        <f>IF(TrRoad_act!L22=0,0,L36/TrRoad_act!L22*1000)</f>
        <v>1738.1366741773138</v>
      </c>
      <c r="M100" s="87">
        <f>IF(TrRoad_act!M22=0,0,M36/TrRoad_act!M22*1000)</f>
        <v>1598.1473685906205</v>
      </c>
      <c r="N100" s="87">
        <f>IF(TrRoad_act!N22=0,0,N36/TrRoad_act!N22*1000)</f>
        <v>1513.3115172627827</v>
      </c>
      <c r="O100" s="87">
        <f>IF(TrRoad_act!O22=0,0,O36/TrRoad_act!O22*1000)</f>
        <v>1477.8536796696462</v>
      </c>
      <c r="P100" s="87">
        <f>IF(TrRoad_act!P22=0,0,P36/TrRoad_act!P22*1000)</f>
        <v>1449.6131406354368</v>
      </c>
      <c r="Q100" s="87">
        <f>IF(TrRoad_act!Q22=0,0,Q36/TrRoad_act!Q22*1000)</f>
        <v>1458.1958726354192</v>
      </c>
      <c r="R100" s="87">
        <f>IF(TrRoad_act!R22=0,0,R36/TrRoad_act!R22*1000)</f>
        <v>1420.1133797539217</v>
      </c>
      <c r="S100" s="87">
        <f>IF(TrRoad_act!S22=0,0,S36/TrRoad_act!S22*1000)</f>
        <v>1475.590704017384</v>
      </c>
      <c r="T100" s="87">
        <f>IF(TrRoad_act!T22=0,0,T36/TrRoad_act!T22*1000)</f>
        <v>1672.1065627389942</v>
      </c>
      <c r="U100" s="87">
        <f>IF(TrRoad_act!U22=0,0,U36/TrRoad_act!U22*1000)</f>
        <v>1710.9037733939756</v>
      </c>
      <c r="V100" s="87">
        <f>IF(TrRoad_act!V22=0,0,V36/TrRoad_act!V22*1000)</f>
        <v>1459.0211295561583</v>
      </c>
      <c r="W100" s="87">
        <f>IF(TrRoad_act!W22=0,0,W36/TrRoad_act!W22*1000)</f>
        <v>1495.5423394601903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2306.6781291965608</v>
      </c>
      <c r="T101" s="87">
        <f>IF(TrRoad_act!T23=0,0,T37/TrRoad_act!T23*1000)</f>
        <v>2287.6038430457384</v>
      </c>
      <c r="U101" s="87">
        <f>IF(TrRoad_act!U23=0,0,U37/TrRoad_act!U23*1000)</f>
        <v>2152.3021368430909</v>
      </c>
      <c r="V101" s="87">
        <f>IF(TrRoad_act!V23=0,0,V37/TrRoad_act!V23*1000)</f>
        <v>2126.8656847871489</v>
      </c>
      <c r="W101" s="87">
        <f>IF(TrRoad_act!W23=0,0,W37/TrRoad_act!W23*1000)</f>
        <v>2106.5555337029318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150.31924142935736</v>
      </c>
      <c r="C104" s="116">
        <f>IF(TrRoad_act!C26=0,0,C40/TrRoad_act!C26*1000)</f>
        <v>142.05271646050144</v>
      </c>
      <c r="D104" s="116">
        <f>IF(TrRoad_act!D26=0,0,D40/TrRoad_act!D26*1000)</f>
        <v>55.717530359438477</v>
      </c>
      <c r="E104" s="116">
        <f>IF(TrRoad_act!E26=0,0,E40/TrRoad_act!E26*1000)</f>
        <v>109.80103348737721</v>
      </c>
      <c r="F104" s="116">
        <f>IF(TrRoad_act!F26=0,0,F40/TrRoad_act!F26*1000)</f>
        <v>152.36973691956985</v>
      </c>
      <c r="G104" s="116">
        <f>IF(TrRoad_act!G26=0,0,G40/TrRoad_act!G26*1000)</f>
        <v>215.97600047857333</v>
      </c>
      <c r="H104" s="116">
        <f>IF(TrRoad_act!H26=0,0,H40/TrRoad_act!H26*1000)</f>
        <v>226.35453095844983</v>
      </c>
      <c r="I104" s="116">
        <f>IF(TrRoad_act!I26=0,0,I40/TrRoad_act!I26*1000)</f>
        <v>209.94855204743283</v>
      </c>
      <c r="J104" s="116">
        <f>IF(TrRoad_act!J26=0,0,J40/TrRoad_act!J26*1000)</f>
        <v>202.22304770565103</v>
      </c>
      <c r="K104" s="116">
        <f>IF(TrRoad_act!K26=0,0,K40/TrRoad_act!K26*1000)</f>
        <v>181.60981987816635</v>
      </c>
      <c r="L104" s="116">
        <f>IF(TrRoad_act!L26=0,0,L40/TrRoad_act!L26*1000)</f>
        <v>180.42110388318437</v>
      </c>
      <c r="M104" s="116">
        <f>IF(TrRoad_act!M26=0,0,M40/TrRoad_act!M26*1000)</f>
        <v>167.90778461518138</v>
      </c>
      <c r="N104" s="116">
        <f>IF(TrRoad_act!N26=0,0,N40/TrRoad_act!N26*1000)</f>
        <v>162.52578174615519</v>
      </c>
      <c r="O104" s="116">
        <f>IF(TrRoad_act!O26=0,0,O40/TrRoad_act!O26*1000)</f>
        <v>161.92017011666687</v>
      </c>
      <c r="P104" s="116">
        <f>IF(TrRoad_act!P26=0,0,P40/TrRoad_act!P26*1000)</f>
        <v>157.08760510658843</v>
      </c>
      <c r="Q104" s="116">
        <f>IF(TrRoad_act!Q26=0,0,Q40/TrRoad_act!Q26*1000)</f>
        <v>160.38128073506428</v>
      </c>
      <c r="R104" s="116">
        <f>IF(TrRoad_act!R26=0,0,R40/TrRoad_act!R26*1000)</f>
        <v>160.04106380114592</v>
      </c>
      <c r="S104" s="116">
        <f>IF(TrRoad_act!S26=0,0,S40/TrRoad_act!S26*1000)</f>
        <v>169.78463017973087</v>
      </c>
      <c r="T104" s="116">
        <f>IF(TrRoad_act!T26=0,0,T40/TrRoad_act!T26*1000)</f>
        <v>197.1546133476927</v>
      </c>
      <c r="U104" s="116">
        <f>IF(TrRoad_act!U26=0,0,U40/TrRoad_act!U26*1000)</f>
        <v>205.4248441928529</v>
      </c>
      <c r="V104" s="116">
        <f>IF(TrRoad_act!V26=0,0,V40/TrRoad_act!V26*1000)</f>
        <v>178.26114173232685</v>
      </c>
      <c r="W104" s="116">
        <f>IF(TrRoad_act!W26=0,0,W40/TrRoad_act!W26*1000)</f>
        <v>186.34945098606769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150.31924142935736</v>
      </c>
      <c r="C105" s="101">
        <f>IF(TrRoad_act!C27=0,0,C41/TrRoad_act!C27*1000)</f>
        <v>142.05271646050144</v>
      </c>
      <c r="D105" s="101">
        <f>IF(TrRoad_act!D27=0,0,D41/TrRoad_act!D27*1000)</f>
        <v>55.717530359438477</v>
      </c>
      <c r="E105" s="101">
        <f>IF(TrRoad_act!E27=0,0,E41/TrRoad_act!E27*1000)</f>
        <v>109.80103348737721</v>
      </c>
      <c r="F105" s="101">
        <f>IF(TrRoad_act!F27=0,0,F41/TrRoad_act!F27*1000)</f>
        <v>152.36973691956985</v>
      </c>
      <c r="G105" s="101">
        <f>IF(TrRoad_act!G27=0,0,G41/TrRoad_act!G27*1000)</f>
        <v>215.97600047857333</v>
      </c>
      <c r="H105" s="101">
        <f>IF(TrRoad_act!H27=0,0,H41/TrRoad_act!H27*1000)</f>
        <v>226.35453095844983</v>
      </c>
      <c r="I105" s="101">
        <f>IF(TrRoad_act!I27=0,0,I41/TrRoad_act!I27*1000)</f>
        <v>209.94855204743283</v>
      </c>
      <c r="J105" s="101">
        <f>IF(TrRoad_act!J27=0,0,J41/TrRoad_act!J27*1000)</f>
        <v>202.22304770565103</v>
      </c>
      <c r="K105" s="101">
        <f>IF(TrRoad_act!K27=0,0,K41/TrRoad_act!K27*1000)</f>
        <v>181.60981987816635</v>
      </c>
      <c r="L105" s="101">
        <f>IF(TrRoad_act!L27=0,0,L41/TrRoad_act!L27*1000)</f>
        <v>180.42110388318437</v>
      </c>
      <c r="M105" s="101">
        <f>IF(TrRoad_act!M27=0,0,M41/TrRoad_act!M27*1000)</f>
        <v>167.90778461518138</v>
      </c>
      <c r="N105" s="101">
        <f>IF(TrRoad_act!N27=0,0,N41/TrRoad_act!N27*1000)</f>
        <v>162.52578174615519</v>
      </c>
      <c r="O105" s="101">
        <f>IF(TrRoad_act!O27=0,0,O41/TrRoad_act!O27*1000)</f>
        <v>161.92017011666687</v>
      </c>
      <c r="P105" s="101">
        <f>IF(TrRoad_act!P27=0,0,P41/TrRoad_act!P27*1000)</f>
        <v>157.08760510658843</v>
      </c>
      <c r="Q105" s="101">
        <f>IF(TrRoad_act!Q27=0,0,Q41/TrRoad_act!Q27*1000)</f>
        <v>160.38128073506428</v>
      </c>
      <c r="R105" s="101">
        <f>IF(TrRoad_act!R27=0,0,R41/TrRoad_act!R27*1000)</f>
        <v>160.04106380114592</v>
      </c>
      <c r="S105" s="101">
        <f>IF(TrRoad_act!S27=0,0,S41/TrRoad_act!S27*1000)</f>
        <v>169.78463017973087</v>
      </c>
      <c r="T105" s="101">
        <f>IF(TrRoad_act!T27=0,0,T41/TrRoad_act!T27*1000)</f>
        <v>197.1546133476927</v>
      </c>
      <c r="U105" s="101">
        <f>IF(TrRoad_act!U27=0,0,U41/TrRoad_act!U27*1000)</f>
        <v>205.4248441928529</v>
      </c>
      <c r="V105" s="101">
        <f>IF(TrRoad_act!V27=0,0,V41/TrRoad_act!V27*1000)</f>
        <v>178.26114173232685</v>
      </c>
      <c r="W105" s="101">
        <f>IF(TrRoad_act!W27=0,0,W41/TrRoad_act!W27*1000)</f>
        <v>186.34945098606769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0</v>
      </c>
      <c r="C106" s="88">
        <f>IF(TrRoad_act!C28=0,0,C42/TrRoad_act!C28*1000)</f>
        <v>0</v>
      </c>
      <c r="D106" s="88">
        <f>IF(TrRoad_act!D28=0,0,D42/TrRoad_act!D28*1000)</f>
        <v>0</v>
      </c>
      <c r="E106" s="88">
        <f>IF(TrRoad_act!E28=0,0,E42/TrRoad_act!E28*1000)</f>
        <v>0</v>
      </c>
      <c r="F106" s="88">
        <f>IF(TrRoad_act!F28=0,0,F42/TrRoad_act!F28*1000)</f>
        <v>0</v>
      </c>
      <c r="G106" s="88">
        <f>IF(TrRoad_act!G28=0,0,G42/TrRoad_act!G28*1000)</f>
        <v>0</v>
      </c>
      <c r="H106" s="88">
        <f>IF(TrRoad_act!H28=0,0,H42/TrRoad_act!H28*1000)</f>
        <v>0</v>
      </c>
      <c r="I106" s="88">
        <f>IF(TrRoad_act!I28=0,0,I42/TrRoad_act!I28*1000)</f>
        <v>0</v>
      </c>
      <c r="J106" s="88">
        <f>IF(TrRoad_act!J28=0,0,J42/TrRoad_act!J28*1000)</f>
        <v>0</v>
      </c>
      <c r="K106" s="88">
        <f>IF(TrRoad_act!K28=0,0,K42/TrRoad_act!K28*1000)</f>
        <v>0</v>
      </c>
      <c r="L106" s="88">
        <f>IF(TrRoad_act!L28=0,0,L42/TrRoad_act!L28*1000)</f>
        <v>0</v>
      </c>
      <c r="M106" s="88">
        <f>IF(TrRoad_act!M28=0,0,M42/TrRoad_act!M28*1000)</f>
        <v>0</v>
      </c>
      <c r="N106" s="88">
        <f>IF(TrRoad_act!N28=0,0,N42/TrRoad_act!N28*1000)</f>
        <v>0</v>
      </c>
      <c r="O106" s="88">
        <f>IF(TrRoad_act!O28=0,0,O42/TrRoad_act!O28*1000)</f>
        <v>0</v>
      </c>
      <c r="P106" s="88">
        <f>IF(TrRoad_act!P28=0,0,P42/TrRoad_act!P28*1000)</f>
        <v>0</v>
      </c>
      <c r="Q106" s="88">
        <f>IF(TrRoad_act!Q28=0,0,Q42/TrRoad_act!Q28*1000)</f>
        <v>0</v>
      </c>
      <c r="R106" s="88">
        <f>IF(TrRoad_act!R28=0,0,R42/TrRoad_act!R28*1000)</f>
        <v>0</v>
      </c>
      <c r="S106" s="88">
        <f>IF(TrRoad_act!S28=0,0,S42/TrRoad_act!S28*1000)</f>
        <v>0</v>
      </c>
      <c r="T106" s="88">
        <f>IF(TrRoad_act!T28=0,0,T42/TrRoad_act!T28*1000)</f>
        <v>0</v>
      </c>
      <c r="U106" s="88">
        <f>IF(TrRoad_act!U28=0,0,U42/TrRoad_act!U28*1000)</f>
        <v>0</v>
      </c>
      <c r="V106" s="88">
        <f>IF(TrRoad_act!V28=0,0,V42/TrRoad_act!V28*1000)</f>
        <v>0</v>
      </c>
      <c r="W106" s="88">
        <f>IF(TrRoad_act!W28=0,0,W42/TrRoad_act!W28*1000)</f>
        <v>0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272.78788144536742</v>
      </c>
      <c r="C110" s="152">
        <f>IF(C19=0,0,1000000*C19/TrRoad_act!C59)</f>
        <v>271.32319465298622</v>
      </c>
      <c r="D110" s="152">
        <f>IF(D19=0,0,1000000*D19/TrRoad_act!D59)</f>
        <v>270.10949729428097</v>
      </c>
      <c r="E110" s="152">
        <f>IF(E19=0,0,1000000*E19/TrRoad_act!E59)</f>
        <v>269.36911767987385</v>
      </c>
      <c r="F110" s="152">
        <f>IF(F19=0,0,1000000*F19/TrRoad_act!F59)</f>
        <v>266.50746252190731</v>
      </c>
      <c r="G110" s="152">
        <f>IF(G19=0,0,1000000*G19/TrRoad_act!G59)</f>
        <v>264.25073465370053</v>
      </c>
      <c r="H110" s="152">
        <f>IF(H19=0,0,1000000*H19/TrRoad_act!H59)</f>
        <v>262.8261607283759</v>
      </c>
      <c r="I110" s="152">
        <f>IF(I19=0,0,1000000*I19/TrRoad_act!I59)</f>
        <v>261.04924480003143</v>
      </c>
      <c r="J110" s="152">
        <f>IF(J19=0,0,1000000*J19/TrRoad_act!J59)</f>
        <v>256.97151971729903</v>
      </c>
      <c r="K110" s="152">
        <f>IF(K19=0,0,1000000*K19/TrRoad_act!K59)</f>
        <v>251.12755863739969</v>
      </c>
      <c r="L110" s="152">
        <f>IF(L19=0,0,1000000*L19/TrRoad_act!L59)</f>
        <v>258.8728951275225</v>
      </c>
      <c r="M110" s="152">
        <f>IF(M19=0,0,1000000*M19/TrRoad_act!M59)</f>
        <v>256.51582691443645</v>
      </c>
      <c r="N110" s="152">
        <f>IF(N19=0,0,1000000*N19/TrRoad_act!N59)</f>
        <v>250.96675634924944</v>
      </c>
      <c r="O110" s="152">
        <f>IF(O19=0,0,1000000*O19/TrRoad_act!O59)</f>
        <v>246.42714424623068</v>
      </c>
      <c r="P110" s="152">
        <f>IF(P19=0,0,1000000*P19/TrRoad_act!P59)</f>
        <v>241.72422666956621</v>
      </c>
      <c r="Q110" s="152">
        <f>IF(Q19=0,0,1000000*Q19/TrRoad_act!Q59)</f>
        <v>224.48040795007753</v>
      </c>
      <c r="R110" s="152">
        <f>IF(R19=0,0,1000000*R19/TrRoad_act!R59)</f>
        <v>205.88167550247593</v>
      </c>
      <c r="S110" s="152">
        <f>IF(S19=0,0,1000000*S19/TrRoad_act!S59)</f>
        <v>176.30402000504105</v>
      </c>
      <c r="T110" s="152">
        <f>IF(T19=0,0,1000000*T19/TrRoad_act!T59)</f>
        <v>157.6147824098293</v>
      </c>
      <c r="U110" s="152">
        <f>IF(U19=0,0,1000000*U19/TrRoad_act!U59)</f>
        <v>150.66971480869356</v>
      </c>
      <c r="V110" s="152">
        <f>IF(V19=0,0,1000000*V19/TrRoad_act!V59)</f>
        <v>121.39240654009507</v>
      </c>
      <c r="W110" s="152">
        <f>IF(W19=0,0,1000000*W19/TrRoad_act!W59)</f>
        <v>106.42279572951468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1311.8833882257211</v>
      </c>
      <c r="C111" s="116">
        <f>IF(C20=0,0,1000000*C20/TrRoad_act!C60)</f>
        <v>1206.2894735362968</v>
      </c>
      <c r="D111" s="116">
        <f>IF(D20=0,0,1000000*D20/TrRoad_act!D60)</f>
        <v>1210.4013671804191</v>
      </c>
      <c r="E111" s="116">
        <f>IF(E20=0,0,1000000*E20/TrRoad_act!E60)</f>
        <v>1158.6779037541419</v>
      </c>
      <c r="F111" s="116">
        <f>IF(F20=0,0,1000000*F20/TrRoad_act!F60)</f>
        <v>1021.2583501421237</v>
      </c>
      <c r="G111" s="116">
        <f>IF(G20=0,0,1000000*G20/TrRoad_act!G60)</f>
        <v>1175.5546030252156</v>
      </c>
      <c r="H111" s="116">
        <f>IF(H20=0,0,1000000*H20/TrRoad_act!H60)</f>
        <v>1169.3649179245717</v>
      </c>
      <c r="I111" s="116">
        <f>IF(I20=0,0,1000000*I20/TrRoad_act!I60)</f>
        <v>1167.4501978055357</v>
      </c>
      <c r="J111" s="116">
        <f>IF(J20=0,0,1000000*J20/TrRoad_act!J60)</f>
        <v>1359.2350869889522</v>
      </c>
      <c r="K111" s="116">
        <f>IF(K20=0,0,1000000*K20/TrRoad_act!K60)</f>
        <v>1158.5470154120462</v>
      </c>
      <c r="L111" s="116">
        <f>IF(L20=0,0,1000000*L20/TrRoad_act!L60)</f>
        <v>1295.5683498338171</v>
      </c>
      <c r="M111" s="116">
        <f>IF(M20=0,0,1000000*M20/TrRoad_act!M60)</f>
        <v>1272.5798912135297</v>
      </c>
      <c r="N111" s="116">
        <f>IF(N20=0,0,1000000*N20/TrRoad_act!N60)</f>
        <v>1260.2487411885695</v>
      </c>
      <c r="O111" s="116">
        <f>IF(O20=0,0,1000000*O20/TrRoad_act!O60)</f>
        <v>1260.6807678837322</v>
      </c>
      <c r="P111" s="116">
        <f>IF(P20=0,0,1000000*P20/TrRoad_act!P60)</f>
        <v>1219.3978589836211</v>
      </c>
      <c r="Q111" s="116">
        <f>IF(Q20=0,0,1000000*Q20/TrRoad_act!Q60)</f>
        <v>1253.4839733019016</v>
      </c>
      <c r="R111" s="116">
        <f>IF(R20=0,0,1000000*R20/TrRoad_act!R60)</f>
        <v>1235.0785167811141</v>
      </c>
      <c r="S111" s="116">
        <f>IF(S20=0,0,1000000*S20/TrRoad_act!S60)</f>
        <v>1207.7143710676253</v>
      </c>
      <c r="T111" s="116">
        <f>IF(T20=0,0,1000000*T20/TrRoad_act!T60)</f>
        <v>1282.6382166071007</v>
      </c>
      <c r="U111" s="116">
        <f>IF(U20=0,0,1000000*U20/TrRoad_act!U60)</f>
        <v>1305.7500449549677</v>
      </c>
      <c r="V111" s="116">
        <f>IF(V20=0,0,1000000*V20/TrRoad_act!V60)</f>
        <v>1056.5432609408419</v>
      </c>
      <c r="W111" s="116">
        <f>IF(W20=0,0,1000000*W20/TrRoad_act!W60)</f>
        <v>1132.5014189436235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1364.4147527938505</v>
      </c>
      <c r="C112" s="87">
        <f>IF(C21=0,0,1000000*C21/TrRoad_act!C61)</f>
        <v>1254.092469560351</v>
      </c>
      <c r="D112" s="87">
        <f>IF(D21=0,0,1000000*D21/TrRoad_act!D61)</f>
        <v>1367.498268777372</v>
      </c>
      <c r="E112" s="87">
        <f>IF(E21=0,0,1000000*E21/TrRoad_act!E61)</f>
        <v>1233.5678715905087</v>
      </c>
      <c r="F112" s="87">
        <f>IF(F21=0,0,1000000*F21/TrRoad_act!F61)</f>
        <v>1007.2094920538228</v>
      </c>
      <c r="G112" s="87">
        <f>IF(G21=0,0,1000000*G21/TrRoad_act!G61)</f>
        <v>1094.4370260907374</v>
      </c>
      <c r="H112" s="87">
        <f>IF(H21=0,0,1000000*H21/TrRoad_act!H61)</f>
        <v>1064.6049938536503</v>
      </c>
      <c r="I112" s="87">
        <f>IF(I21=0,0,1000000*I21/TrRoad_act!I61)</f>
        <v>1080.3151497852971</v>
      </c>
      <c r="J112" s="87">
        <f>IF(J21=0,0,1000000*J21/TrRoad_act!J61)</f>
        <v>1315.0917017231836</v>
      </c>
      <c r="K112" s="87">
        <f>IF(K21=0,0,1000000*K21/TrRoad_act!K61)</f>
        <v>1096.4913155279733</v>
      </c>
      <c r="L112" s="87">
        <f>IF(L21=0,0,1000000*L21/TrRoad_act!L61)</f>
        <v>1203.9178832203258</v>
      </c>
      <c r="M112" s="87">
        <f>IF(M21=0,0,1000000*M21/TrRoad_act!M61)</f>
        <v>1186.4130874138298</v>
      </c>
      <c r="N112" s="87">
        <f>IF(N21=0,0,1000000*N21/TrRoad_act!N61)</f>
        <v>1173.7392304214504</v>
      </c>
      <c r="O112" s="87">
        <f>IF(O21=0,0,1000000*O21/TrRoad_act!O61)</f>
        <v>1169.8241384080384</v>
      </c>
      <c r="P112" s="87">
        <f>IF(P21=0,0,1000000*P21/TrRoad_act!P61)</f>
        <v>1133.3396259855176</v>
      </c>
      <c r="Q112" s="87">
        <f>IF(Q21=0,0,1000000*Q21/TrRoad_act!Q61)</f>
        <v>1162.1735967725213</v>
      </c>
      <c r="R112" s="87">
        <f>IF(R21=0,0,1000000*R21/TrRoad_act!R61)</f>
        <v>1140.005498871689</v>
      </c>
      <c r="S112" s="87">
        <f>IF(S21=0,0,1000000*S21/TrRoad_act!S61)</f>
        <v>1124.3429884935417</v>
      </c>
      <c r="T112" s="87">
        <f>IF(T21=0,0,1000000*T21/TrRoad_act!T61)</f>
        <v>1103.0997125060524</v>
      </c>
      <c r="U112" s="87">
        <f>IF(U21=0,0,1000000*U21/TrRoad_act!U61)</f>
        <v>1147.5173472228892</v>
      </c>
      <c r="V112" s="87">
        <f>IF(V21=0,0,1000000*V21/TrRoad_act!V61)</f>
        <v>961.17097792455183</v>
      </c>
      <c r="W112" s="87">
        <f>IF(W21=0,0,1000000*W21/TrRoad_act!W61)</f>
        <v>1018.9641706214738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998.98484429514133</v>
      </c>
      <c r="C113" s="87">
        <f>IF(C22=0,0,1000000*C22/TrRoad_act!C62)</f>
        <v>943.23116632588892</v>
      </c>
      <c r="D113" s="87">
        <f>IF(D22=0,0,1000000*D22/TrRoad_act!D62)</f>
        <v>376.56801812272511</v>
      </c>
      <c r="E113" s="87">
        <f>IF(E22=0,0,1000000*E22/TrRoad_act!E62)</f>
        <v>766.90594779117384</v>
      </c>
      <c r="F113" s="87">
        <f>IF(F22=0,0,1000000*F22/TrRoad_act!F62)</f>
        <v>1094.1100777772033</v>
      </c>
      <c r="G113" s="87">
        <f>IF(G22=0,0,1000000*G22/TrRoad_act!G62)</f>
        <v>1589.1362460127179</v>
      </c>
      <c r="H113" s="87">
        <f>IF(H22=0,0,1000000*H22/TrRoad_act!H62)</f>
        <v>1703.8831390938278</v>
      </c>
      <c r="I113" s="87">
        <f>IF(I22=0,0,1000000*I22/TrRoad_act!I62)</f>
        <v>1613.6817776444132</v>
      </c>
      <c r="J113" s="87">
        <f>IF(J22=0,0,1000000*J22/TrRoad_act!J62)</f>
        <v>1584.4398590637536</v>
      </c>
      <c r="K113" s="87">
        <f>IF(K22=0,0,1000000*K22/TrRoad_act!K62)</f>
        <v>1469.2103983245108</v>
      </c>
      <c r="L113" s="87">
        <f>IF(L22=0,0,1000000*L22/TrRoad_act!L62)</f>
        <v>1531.6362111432138</v>
      </c>
      <c r="M113" s="87">
        <f>IF(M22=0,0,1000000*M22/TrRoad_act!M62)</f>
        <v>1485.5601603984476</v>
      </c>
      <c r="N113" s="87">
        <f>IF(N22=0,0,1000000*N22/TrRoad_act!N62)</f>
        <v>1465.7420940310531</v>
      </c>
      <c r="O113" s="87">
        <f>IF(O22=0,0,1000000*O22/TrRoad_act!O62)</f>
        <v>1471.3050154702355</v>
      </c>
      <c r="P113" s="87">
        <f>IF(P22=0,0,1000000*P22/TrRoad_act!P62)</f>
        <v>1415.8926547614526</v>
      </c>
      <c r="Q113" s="87">
        <f>IF(Q22=0,0,1000000*Q22/TrRoad_act!Q62)</f>
        <v>1462.4395511417135</v>
      </c>
      <c r="R113" s="87">
        <f>IF(R22=0,0,1000000*R22/TrRoad_act!R62)</f>
        <v>1444.8416532989163</v>
      </c>
      <c r="S113" s="87">
        <f>IF(S22=0,0,1000000*S22/TrRoad_act!S62)</f>
        <v>1388.8813999676963</v>
      </c>
      <c r="T113" s="87">
        <f>IF(T22=0,0,1000000*T22/TrRoad_act!T62)</f>
        <v>1665.4603994928577</v>
      </c>
      <c r="U113" s="87">
        <f>IF(U22=0,0,1000000*U22/TrRoad_act!U62)</f>
        <v>1657.2342136810682</v>
      </c>
      <c r="V113" s="87">
        <f>IF(V22=0,0,1000000*V22/TrRoad_act!V62)</f>
        <v>1276.5737978065504</v>
      </c>
      <c r="W113" s="87">
        <f>IF(W22=0,0,1000000*W22/TrRoad_act!W62)</f>
        <v>1399.553119941927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0</v>
      </c>
      <c r="I114" s="87">
        <f>IF(I23=0,0,1000000*I23/TrRoad_act!I63)</f>
        <v>0</v>
      </c>
      <c r="J114" s="87">
        <f>IF(J23=0,0,1000000*J23/TrRoad_act!J63)</f>
        <v>0</v>
      </c>
      <c r="K114" s="87">
        <f>IF(K23=0,0,1000000*K23/TrRoad_act!K63)</f>
        <v>0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1451.3252399999992</v>
      </c>
      <c r="S114" s="87">
        <f>IF(S23=0,0,1000000*S23/TrRoad_act!S63)</f>
        <v>1512.8346388017544</v>
      </c>
      <c r="T114" s="87">
        <f>IF(T23=0,0,1000000*T23/TrRoad_act!T63)</f>
        <v>2152.412267643178</v>
      </c>
      <c r="U114" s="87">
        <f>IF(U23=0,0,1000000*U23/TrRoad_act!U63)</f>
        <v>1488.8861156330345</v>
      </c>
      <c r="V114" s="87">
        <f>IF(V23=0,0,1000000*V23/TrRoad_act!V63)</f>
        <v>1454.2119080921991</v>
      </c>
      <c r="W114" s="87">
        <f>IF(W23=0,0,1000000*W23/TrRoad_act!W63)</f>
        <v>1810.2473447052703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1287.46570809738</v>
      </c>
      <c r="M116" s="87">
        <f>IF(M25=0,0,1000000*M25/TrRoad_act!M65)</f>
        <v>1114.6594725873151</v>
      </c>
      <c r="N116" s="87">
        <f>IF(N25=0,0,1000000*N25/TrRoad_act!N65)</f>
        <v>1005.8163445626657</v>
      </c>
      <c r="O116" s="87">
        <f>IF(O25=0,0,1000000*O25/TrRoad_act!O65)</f>
        <v>912.88278216991398</v>
      </c>
      <c r="P116" s="87">
        <f>IF(P25=0,0,1000000*P25/TrRoad_act!P65)</f>
        <v>891.05365773197605</v>
      </c>
      <c r="Q116" s="87">
        <f>IF(Q25=0,0,1000000*Q25/TrRoad_act!Q65)</f>
        <v>881.33745946771046</v>
      </c>
      <c r="R116" s="87">
        <f>IF(R25=0,0,1000000*R25/TrRoad_act!R65)</f>
        <v>930.12541459416707</v>
      </c>
      <c r="S116" s="87">
        <f>IF(S25=0,0,1000000*S25/TrRoad_act!S65)</f>
        <v>942.85408105579813</v>
      </c>
      <c r="T116" s="87">
        <f>IF(T25=0,0,1000000*T25/TrRoad_act!T65)</f>
        <v>1050.9902551100299</v>
      </c>
      <c r="U116" s="87">
        <f>IF(U25=0,0,1000000*U25/TrRoad_act!U65)</f>
        <v>1135.3313875791791</v>
      </c>
      <c r="V116" s="87">
        <f>IF(V25=0,0,1000000*V25/TrRoad_act!V65)</f>
        <v>947.96105854631753</v>
      </c>
      <c r="W116" s="87">
        <f>IF(W25=0,0,1000000*W25/TrRoad_act!W65)</f>
        <v>949.24846049320308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22354.410790630449</v>
      </c>
      <c r="C118" s="116">
        <f>IF(C27=0,0,1000000*C27/TrRoad_act!C67)</f>
        <v>21665.084047187454</v>
      </c>
      <c r="D118" s="116">
        <f>IF(D27=0,0,1000000*D27/TrRoad_act!D67)</f>
        <v>8656.3186426370012</v>
      </c>
      <c r="E118" s="116">
        <f>IF(E27=0,0,1000000*E27/TrRoad_act!E67)</f>
        <v>17409.474396015674</v>
      </c>
      <c r="F118" s="116">
        <f>IF(F27=0,0,1000000*F27/TrRoad_act!F67)</f>
        <v>24749.078621628436</v>
      </c>
      <c r="G118" s="116">
        <f>IF(G27=0,0,1000000*G27/TrRoad_act!G67)</f>
        <v>34607.326569981378</v>
      </c>
      <c r="H118" s="116">
        <f>IF(H27=0,0,1000000*H27/TrRoad_act!H67)</f>
        <v>37247.723123582713</v>
      </c>
      <c r="I118" s="116">
        <f>IF(I27=0,0,1000000*I27/TrRoad_act!I67)</f>
        <v>35182.918669500905</v>
      </c>
      <c r="J118" s="116">
        <f>IF(J27=0,0,1000000*J27/TrRoad_act!J67)</f>
        <v>34967.389420960826</v>
      </c>
      <c r="K118" s="116">
        <f>IF(K27=0,0,1000000*K27/TrRoad_act!K67)</f>
        <v>27473.665316474584</v>
      </c>
      <c r="L118" s="116">
        <f>IF(L27=0,0,1000000*L27/TrRoad_act!L67)</f>
        <v>28253.861063816465</v>
      </c>
      <c r="M118" s="116">
        <f>IF(M27=0,0,1000000*M27/TrRoad_act!M67)</f>
        <v>29961.04349485178</v>
      </c>
      <c r="N118" s="116">
        <f>IF(N27=0,0,1000000*N27/TrRoad_act!N67)</f>
        <v>34287.577282122074</v>
      </c>
      <c r="O118" s="116">
        <f>IF(O27=0,0,1000000*O27/TrRoad_act!O67)</f>
        <v>35437.706996482499</v>
      </c>
      <c r="P118" s="116">
        <f>IF(P27=0,0,1000000*P27/TrRoad_act!P67)</f>
        <v>40304.617112255721</v>
      </c>
      <c r="Q118" s="116">
        <f>IF(Q27=0,0,1000000*Q27/TrRoad_act!Q67)</f>
        <v>42310.17039683451</v>
      </c>
      <c r="R118" s="116">
        <f>IF(R27=0,0,1000000*R27/TrRoad_act!R67)</f>
        <v>40887.795578476675</v>
      </c>
      <c r="S118" s="116">
        <f>IF(S27=0,0,1000000*S27/TrRoad_act!S67)</f>
        <v>42348.524329113417</v>
      </c>
      <c r="T118" s="116">
        <f>IF(T27=0,0,1000000*T27/TrRoad_act!T67)</f>
        <v>48597.421283953496</v>
      </c>
      <c r="U118" s="116">
        <f>IF(U27=0,0,1000000*U27/TrRoad_act!U67)</f>
        <v>45913.984737828177</v>
      </c>
      <c r="V118" s="116">
        <f>IF(V27=0,0,1000000*V27/TrRoad_act!V67)</f>
        <v>31480.141810383284</v>
      </c>
      <c r="W118" s="116">
        <f>IF(W27=0,0,1000000*W27/TrRoad_act!W67)</f>
        <v>28647.288902257282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7244.078122971674</v>
      </c>
      <c r="M119" s="101">
        <f>IF(M28=0,0,1000000*M28/TrRoad_act!M68)</f>
        <v>7313.320965220566</v>
      </c>
      <c r="N119" s="101">
        <f>IF(N28=0,0,1000000*N28/TrRoad_act!N68)</f>
        <v>7377.9365941314163</v>
      </c>
      <c r="O119" s="101">
        <f>IF(O28=0,0,1000000*O28/TrRoad_act!O68)</f>
        <v>7394.2313007127586</v>
      </c>
      <c r="P119" s="101">
        <f>IF(P28=0,0,1000000*P28/TrRoad_act!P68)</f>
        <v>7456.6252757373632</v>
      </c>
      <c r="Q119" s="101">
        <f>IF(Q28=0,0,1000000*Q28/TrRoad_act!Q68)</f>
        <v>7472.9409752822776</v>
      </c>
      <c r="R119" s="101">
        <f>IF(R28=0,0,1000000*R28/TrRoad_act!R68)</f>
        <v>7191.003849997438</v>
      </c>
      <c r="S119" s="101">
        <f>IF(S28=0,0,1000000*S28/TrRoad_act!S68)</f>
        <v>6957.2016358730325</v>
      </c>
      <c r="T119" s="101">
        <f>IF(T28=0,0,1000000*T28/TrRoad_act!T68)</f>
        <v>6733.8861442317202</v>
      </c>
      <c r="U119" s="101">
        <f>IF(U28=0,0,1000000*U28/TrRoad_act!U68)</f>
        <v>5900.8658889957278</v>
      </c>
      <c r="V119" s="101">
        <f>IF(V28=0,0,1000000*V28/TrRoad_act!V68)</f>
        <v>4591.0309751454051</v>
      </c>
      <c r="W119" s="101">
        <f>IF(W28=0,0,1000000*W28/TrRoad_act!W68)</f>
        <v>3891.3550692221811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22354.410790630449</v>
      </c>
      <c r="C120" s="101">
        <f>IF(C29=0,0,1000000*C29/TrRoad_act!C69)</f>
        <v>21665.084047187454</v>
      </c>
      <c r="D120" s="101">
        <f>IF(D29=0,0,1000000*D29/TrRoad_act!D69)</f>
        <v>8656.3186426370012</v>
      </c>
      <c r="E120" s="101">
        <f>IF(E29=0,0,1000000*E29/TrRoad_act!E69)</f>
        <v>17409.474396015674</v>
      </c>
      <c r="F120" s="101">
        <f>IF(F29=0,0,1000000*F29/TrRoad_act!F69)</f>
        <v>24749.078621628436</v>
      </c>
      <c r="G120" s="101">
        <f>IF(G29=0,0,1000000*G29/TrRoad_act!G69)</f>
        <v>34607.326569981378</v>
      </c>
      <c r="H120" s="101">
        <f>IF(H29=0,0,1000000*H29/TrRoad_act!H69)</f>
        <v>37247.723123582713</v>
      </c>
      <c r="I120" s="101">
        <f>IF(I29=0,0,1000000*I29/TrRoad_act!I69)</f>
        <v>35182.918669500905</v>
      </c>
      <c r="J120" s="101">
        <f>IF(J29=0,0,1000000*J29/TrRoad_act!J69)</f>
        <v>34967.389420960826</v>
      </c>
      <c r="K120" s="101">
        <f>IF(K29=0,0,1000000*K29/TrRoad_act!K69)</f>
        <v>27473.665316474584</v>
      </c>
      <c r="L120" s="101">
        <f>IF(L29=0,0,1000000*L29/TrRoad_act!L69)</f>
        <v>28460.176444577624</v>
      </c>
      <c r="M120" s="101">
        <f>IF(M29=0,0,1000000*M29/TrRoad_act!M69)</f>
        <v>30156.170340310982</v>
      </c>
      <c r="N120" s="101">
        <f>IF(N29=0,0,1000000*N29/TrRoad_act!N69)</f>
        <v>34505.091698768651</v>
      </c>
      <c r="O120" s="101">
        <f>IF(O29=0,0,1000000*O29/TrRoad_act!O69)</f>
        <v>35652.283326114637</v>
      </c>
      <c r="P120" s="101">
        <f>IF(P29=0,0,1000000*P29/TrRoad_act!P69)</f>
        <v>40525.691650695546</v>
      </c>
      <c r="Q120" s="101">
        <f>IF(Q29=0,0,1000000*Q29/TrRoad_act!Q69)</f>
        <v>42489.558807862079</v>
      </c>
      <c r="R120" s="101">
        <f>IF(R29=0,0,1000000*R29/TrRoad_act!R69)</f>
        <v>41057.467238740915</v>
      </c>
      <c r="S120" s="101">
        <f>IF(S29=0,0,1000000*S29/TrRoad_act!S69)</f>
        <v>42520.326866459247</v>
      </c>
      <c r="T120" s="101">
        <f>IF(T29=0,0,1000000*T29/TrRoad_act!T69)</f>
        <v>49003.192070770776</v>
      </c>
      <c r="U120" s="101">
        <f>IF(U29=0,0,1000000*U29/TrRoad_act!U69)</f>
        <v>46348.847256661706</v>
      </c>
      <c r="V120" s="101">
        <f>IF(V29=0,0,1000000*V29/TrRoad_act!V69)</f>
        <v>31771.988073611388</v>
      </c>
      <c r="W120" s="101">
        <f>IF(W29=0,0,1000000*W29/TrRoad_act!W69)</f>
        <v>28925.793323301827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1774.1424581301308</v>
      </c>
      <c r="C125" s="152">
        <f>IF(C34=0,0,1000000*C34/TrRoad_act!C74)</f>
        <v>1669.8349735603833</v>
      </c>
      <c r="D125" s="152">
        <f>IF(D34=0,0,1000000*D34/TrRoad_act!D74)</f>
        <v>702.27032334070077</v>
      </c>
      <c r="E125" s="152">
        <f>IF(E34=0,0,1000000*E34/TrRoad_act!E74)</f>
        <v>1288.8776033223603</v>
      </c>
      <c r="F125" s="152">
        <f>IF(F34=0,0,1000000*F34/TrRoad_act!F74)</f>
        <v>1718.0628835454263</v>
      </c>
      <c r="G125" s="152">
        <f>IF(G34=0,0,1000000*G34/TrRoad_act!G74)</f>
        <v>2354.7108447452774</v>
      </c>
      <c r="H125" s="152">
        <f>IF(H34=0,0,1000000*H34/TrRoad_act!H74)</f>
        <v>2449.7001502927519</v>
      </c>
      <c r="I125" s="152">
        <f>IF(I34=0,0,1000000*I34/TrRoad_act!I74)</f>
        <v>2354.1033252420993</v>
      </c>
      <c r="J125" s="152">
        <f>IF(J34=0,0,1000000*J34/TrRoad_act!J74)</f>
        <v>2304.8511073425198</v>
      </c>
      <c r="K125" s="152">
        <f>IF(K34=0,0,1000000*K34/TrRoad_act!K74)</f>
        <v>2125.7521336043828</v>
      </c>
      <c r="L125" s="152">
        <f>IF(L34=0,0,1000000*L34/TrRoad_act!L74)</f>
        <v>1944.2079391477071</v>
      </c>
      <c r="M125" s="152">
        <f>IF(M34=0,0,1000000*M34/TrRoad_act!M74)</f>
        <v>1847.6471038760651</v>
      </c>
      <c r="N125" s="152">
        <f>IF(N34=0,0,1000000*N34/TrRoad_act!N74)</f>
        <v>1746.3014531141484</v>
      </c>
      <c r="O125" s="152">
        <f>IF(O34=0,0,1000000*O34/TrRoad_act!O74)</f>
        <v>1708.0293424935392</v>
      </c>
      <c r="P125" s="152">
        <f>IF(P34=0,0,1000000*P34/TrRoad_act!P74)</f>
        <v>1700.069257859441</v>
      </c>
      <c r="Q125" s="152">
        <f>IF(Q34=0,0,1000000*Q34/TrRoad_act!Q74)</f>
        <v>1728.7920728572592</v>
      </c>
      <c r="R125" s="152">
        <f>IF(R34=0,0,1000000*R34/TrRoad_act!R74)</f>
        <v>1640.0865454640916</v>
      </c>
      <c r="S125" s="152">
        <f>IF(S34=0,0,1000000*S34/TrRoad_act!S74)</f>
        <v>1712.6961956773273</v>
      </c>
      <c r="T125" s="152">
        <f>IF(T34=0,0,1000000*T34/TrRoad_act!T74)</f>
        <v>1875.6887393984505</v>
      </c>
      <c r="U125" s="152">
        <f>IF(U34=0,0,1000000*U34/TrRoad_act!U74)</f>
        <v>1931.5567275342298</v>
      </c>
      <c r="V125" s="152">
        <f>IF(V34=0,0,1000000*V34/TrRoad_act!V74)</f>
        <v>1573.61654643418</v>
      </c>
      <c r="W125" s="152">
        <f>IF(W34=0,0,1000000*W34/TrRoad_act!W74)</f>
        <v>1551.7255638438369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1144.5332977528512</v>
      </c>
      <c r="C126" s="87">
        <f>IF(C35=0,0,1000000*C35/TrRoad_act!C75)</f>
        <v>1310.3466300217738</v>
      </c>
      <c r="D126" s="87">
        <f>IF(D35=0,0,1000000*D35/TrRoad_act!D75)</f>
        <v>1359.0644368805151</v>
      </c>
      <c r="E126" s="87">
        <f>IF(E35=0,0,1000000*E35/TrRoad_act!E75)</f>
        <v>1305.4570154704554</v>
      </c>
      <c r="F126" s="87">
        <f>IF(F35=0,0,1000000*F35/TrRoad_act!F75)</f>
        <v>1254.6475505730036</v>
      </c>
      <c r="G126" s="87">
        <f>IF(G35=0,0,1000000*G35/TrRoad_act!G75)</f>
        <v>1274.5695039226446</v>
      </c>
      <c r="H126" s="87">
        <f>IF(H35=0,0,1000000*H35/TrRoad_act!H75)</f>
        <v>1254.8749883972255</v>
      </c>
      <c r="I126" s="87">
        <f>IF(I35=0,0,1000000*I35/TrRoad_act!I75)</f>
        <v>1252.6928656352286</v>
      </c>
      <c r="J126" s="87">
        <f>IF(J35=0,0,1000000*J35/TrRoad_act!J75)</f>
        <v>1219.0496189933815</v>
      </c>
      <c r="K126" s="87">
        <f>IF(K35=0,0,1000000*K35/TrRoad_act!K75)</f>
        <v>1182.5090104333772</v>
      </c>
      <c r="L126" s="87">
        <f>IF(L35=0,0,1000000*L35/TrRoad_act!L75)</f>
        <v>1330.7080536406825</v>
      </c>
      <c r="M126" s="87">
        <f>IF(M35=0,0,1000000*M35/TrRoad_act!M75)</f>
        <v>1312.6082254364401</v>
      </c>
      <c r="N126" s="87">
        <f>IF(N35=0,0,1000000*N35/TrRoad_act!N75)</f>
        <v>1376.8299320023293</v>
      </c>
      <c r="O126" s="87">
        <f>IF(O35=0,0,1000000*O35/TrRoad_act!O75)</f>
        <v>1377.8785261932501</v>
      </c>
      <c r="P126" s="87">
        <f>IF(P35=0,0,1000000*P35/TrRoad_act!P75)</f>
        <v>1406.6643390778097</v>
      </c>
      <c r="Q126" s="87">
        <f>IF(Q35=0,0,1000000*Q35/TrRoad_act!Q75)</f>
        <v>1400.1233092737609</v>
      </c>
      <c r="R126" s="87">
        <f>IF(R35=0,0,1000000*R35/TrRoad_act!R75)</f>
        <v>1324.2593364753309</v>
      </c>
      <c r="S126" s="87">
        <f>IF(S35=0,0,1000000*S35/TrRoad_act!S75)</f>
        <v>1310.4707945602195</v>
      </c>
      <c r="T126" s="87">
        <f>IF(T35=0,0,1000000*T35/TrRoad_act!T75)</f>
        <v>1268.491022939339</v>
      </c>
      <c r="U126" s="87">
        <f>IF(U35=0,0,1000000*U35/TrRoad_act!U75)</f>
        <v>1278.7216921188831</v>
      </c>
      <c r="V126" s="87">
        <f>IF(V35=0,0,1000000*V35/TrRoad_act!V75)</f>
        <v>1192.4185673559789</v>
      </c>
      <c r="W126" s="87">
        <f>IF(W35=0,0,1000000*W35/TrRoad_act!W75)</f>
        <v>1156.3779516899374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1813.4752705036326</v>
      </c>
      <c r="C127" s="87">
        <f>IF(C36=0,0,1000000*C36/TrRoad_act!C76)</f>
        <v>1692.9166530798759</v>
      </c>
      <c r="D127" s="87">
        <f>IF(D36=0,0,1000000*D36/TrRoad_act!D76)</f>
        <v>661.28841975099601</v>
      </c>
      <c r="E127" s="87">
        <f>IF(E36=0,0,1000000*E36/TrRoad_act!E76)</f>
        <v>1287.8725873082365</v>
      </c>
      <c r="F127" s="87">
        <f>IF(F36=0,0,1000000*F36/TrRoad_act!F76)</f>
        <v>1745.3596943488906</v>
      </c>
      <c r="G127" s="87">
        <f>IF(G36=0,0,1000000*G36/TrRoad_act!G76)</f>
        <v>2416.577758601497</v>
      </c>
      <c r="H127" s="87">
        <f>IF(H36=0,0,1000000*H36/TrRoad_act!H76)</f>
        <v>2516.2206484481017</v>
      </c>
      <c r="I127" s="87">
        <f>IF(I36=0,0,1000000*I36/TrRoad_act!I76)</f>
        <v>2413.7010167099711</v>
      </c>
      <c r="J127" s="87">
        <f>IF(J36=0,0,1000000*J36/TrRoad_act!J76)</f>
        <v>2362.2559880615522</v>
      </c>
      <c r="K127" s="87">
        <f>IF(K36=0,0,1000000*K36/TrRoad_act!K76)</f>
        <v>2174.2567406342323</v>
      </c>
      <c r="L127" s="87">
        <f>IF(L36=0,0,1000000*L36/TrRoad_act!L76)</f>
        <v>1975.024427382835</v>
      </c>
      <c r="M127" s="87">
        <f>IF(M36=0,0,1000000*M36/TrRoad_act!M76)</f>
        <v>1873.0164114935651</v>
      </c>
      <c r="N127" s="87">
        <f>IF(N36=0,0,1000000*N36/TrRoad_act!N76)</f>
        <v>1762.3907365135815</v>
      </c>
      <c r="O127" s="87">
        <f>IF(O36=0,0,1000000*O36/TrRoad_act!O76)</f>
        <v>1722.7739667328731</v>
      </c>
      <c r="P127" s="87">
        <f>IF(P36=0,0,1000000*P36/TrRoad_act!P76)</f>
        <v>1712.9144754083293</v>
      </c>
      <c r="Q127" s="87">
        <f>IF(Q36=0,0,1000000*Q36/TrRoad_act!Q76)</f>
        <v>1742.5321019252024</v>
      </c>
      <c r="R127" s="87">
        <f>IF(R36=0,0,1000000*R36/TrRoad_act!R76)</f>
        <v>1652.865821944501</v>
      </c>
      <c r="S127" s="87">
        <f>IF(S36=0,0,1000000*S36/TrRoad_act!S76)</f>
        <v>1727.7032707732217</v>
      </c>
      <c r="T127" s="87">
        <f>IF(T36=0,0,1000000*T36/TrRoad_act!T76)</f>
        <v>1896.9355267678593</v>
      </c>
      <c r="U127" s="87">
        <f>IF(U36=0,0,1000000*U36/TrRoad_act!U76)</f>
        <v>1959.707617701672</v>
      </c>
      <c r="V127" s="87">
        <f>IF(V36=0,0,1000000*V36/TrRoad_act!V76)</f>
        <v>1591.4365316398798</v>
      </c>
      <c r="W127" s="87">
        <f>IF(W36=0,0,1000000*W36/TrRoad_act!W76)</f>
        <v>1570.9060898680632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2302.1767189475245</v>
      </c>
      <c r="T128" s="87">
        <f>IF(T37=0,0,1000000*T37/TrRoad_act!T77)</f>
        <v>2209.3528694906195</v>
      </c>
      <c r="U128" s="87">
        <f>IF(U37=0,0,1000000*U37/TrRoad_act!U77)</f>
        <v>2096.1295284378152</v>
      </c>
      <c r="V128" s="87">
        <f>IF(V37=0,0,1000000*V37/TrRoad_act!V77)</f>
        <v>1975.1598700352827</v>
      </c>
      <c r="W128" s="87">
        <f>IF(W37=0,0,1000000*W37/TrRoad_act!W77)</f>
        <v>1882.6365884189211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12135.352306727926</v>
      </c>
      <c r="C131" s="116">
        <f>IF(C40=0,0,1000000*C40/TrRoad_act!C80)</f>
        <v>10668.565825788337</v>
      </c>
      <c r="D131" s="116">
        <f>IF(D40=0,0,1000000*D40/TrRoad_act!D80)</f>
        <v>1316.8857832572016</v>
      </c>
      <c r="E131" s="116">
        <f>IF(E40=0,0,1000000*E40/TrRoad_act!E80)</f>
        <v>5974.3668038577543</v>
      </c>
      <c r="F131" s="116">
        <f>IF(F40=0,0,1000000*F40/TrRoad_act!F80)</f>
        <v>13479.136093561841</v>
      </c>
      <c r="G131" s="116">
        <f>IF(G40=0,0,1000000*G40/TrRoad_act!G80)</f>
        <v>9424.4716417995405</v>
      </c>
      <c r="H131" s="116">
        <f>IF(H40=0,0,1000000*H40/TrRoad_act!H80)</f>
        <v>9364.9121696520724</v>
      </c>
      <c r="I131" s="116">
        <f>IF(I40=0,0,1000000*I40/TrRoad_act!I80)</f>
        <v>10331.100186738699</v>
      </c>
      <c r="J131" s="116">
        <f>IF(J40=0,0,1000000*J40/TrRoad_act!J80)</f>
        <v>10346.487727596797</v>
      </c>
      <c r="K131" s="116">
        <f>IF(K40=0,0,1000000*K40/TrRoad_act!K80)</f>
        <v>9322.1382848997764</v>
      </c>
      <c r="L131" s="116">
        <f>IF(L40=0,0,1000000*L40/TrRoad_act!L80)</f>
        <v>7464.519416789788</v>
      </c>
      <c r="M131" s="116">
        <f>IF(M40=0,0,1000000*M40/TrRoad_act!M80)</f>
        <v>6499.3503261231153</v>
      </c>
      <c r="N131" s="116">
        <f>IF(N40=0,0,1000000*N40/TrRoad_act!N80)</f>
        <v>5828.3925698744024</v>
      </c>
      <c r="O131" s="116">
        <f>IF(O40=0,0,1000000*O40/TrRoad_act!O80)</f>
        <v>5874.7961538386062</v>
      </c>
      <c r="P131" s="116">
        <f>IF(P40=0,0,1000000*P40/TrRoad_act!P80)</f>
        <v>5433.0264268559604</v>
      </c>
      <c r="Q131" s="116">
        <f>IF(Q40=0,0,1000000*Q40/TrRoad_act!Q80)</f>
        <v>5186.2531619792726</v>
      </c>
      <c r="R131" s="116">
        <f>IF(R40=0,0,1000000*R40/TrRoad_act!R80)</f>
        <v>5148.8099850396466</v>
      </c>
      <c r="S131" s="116">
        <f>IF(S40=0,0,1000000*S40/TrRoad_act!S80)</f>
        <v>5234.063064367745</v>
      </c>
      <c r="T131" s="116">
        <f>IF(T40=0,0,1000000*T40/TrRoad_act!T80)</f>
        <v>5666.4565746795988</v>
      </c>
      <c r="U131" s="116">
        <f>IF(U40=0,0,1000000*U40/TrRoad_act!U80)</f>
        <v>5848.710660907288</v>
      </c>
      <c r="V131" s="116">
        <f>IF(V40=0,0,1000000*V40/TrRoad_act!V80)</f>
        <v>4896.3505236055335</v>
      </c>
      <c r="W131" s="116">
        <f>IF(W40=0,0,1000000*W40/TrRoad_act!W80)</f>
        <v>5030.242470452923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12135.352306727926</v>
      </c>
      <c r="C132" s="101">
        <f>IF(C41=0,0,1000000*C41/TrRoad_act!C81)</f>
        <v>10668.565825788337</v>
      </c>
      <c r="D132" s="101">
        <f>IF(D41=0,0,1000000*D41/TrRoad_act!D81)</f>
        <v>1316.8857832572016</v>
      </c>
      <c r="E132" s="101">
        <f>IF(E41=0,0,1000000*E41/TrRoad_act!E81)</f>
        <v>5974.3668038577543</v>
      </c>
      <c r="F132" s="101">
        <f>IF(F41=0,0,1000000*F41/TrRoad_act!F81)</f>
        <v>13479.136093561841</v>
      </c>
      <c r="G132" s="101">
        <f>IF(G41=0,0,1000000*G41/TrRoad_act!G81)</f>
        <v>9424.4716417995405</v>
      </c>
      <c r="H132" s="101">
        <f>IF(H41=0,0,1000000*H41/TrRoad_act!H81)</f>
        <v>9364.9121696520724</v>
      </c>
      <c r="I132" s="101">
        <f>IF(I41=0,0,1000000*I41/TrRoad_act!I81)</f>
        <v>10331.100186738699</v>
      </c>
      <c r="J132" s="101">
        <f>IF(J41=0,0,1000000*J41/TrRoad_act!J81)</f>
        <v>10346.487727596797</v>
      </c>
      <c r="K132" s="101">
        <f>IF(K41=0,0,1000000*K41/TrRoad_act!K81)</f>
        <v>9322.1382848997764</v>
      </c>
      <c r="L132" s="101">
        <f>IF(L41=0,0,1000000*L41/TrRoad_act!L81)</f>
        <v>7464.519416789788</v>
      </c>
      <c r="M132" s="101">
        <f>IF(M41=0,0,1000000*M41/TrRoad_act!M81)</f>
        <v>6499.3503261231153</v>
      </c>
      <c r="N132" s="101">
        <f>IF(N41=0,0,1000000*N41/TrRoad_act!N81)</f>
        <v>5828.3925698744024</v>
      </c>
      <c r="O132" s="101">
        <f>IF(O41=0,0,1000000*O41/TrRoad_act!O81)</f>
        <v>5874.7961538386062</v>
      </c>
      <c r="P132" s="101">
        <f>IF(P41=0,0,1000000*P41/TrRoad_act!P81)</f>
        <v>5433.0264268559604</v>
      </c>
      <c r="Q132" s="101">
        <f>IF(Q41=0,0,1000000*Q41/TrRoad_act!Q81)</f>
        <v>5186.2531619792726</v>
      </c>
      <c r="R132" s="101">
        <f>IF(R41=0,0,1000000*R41/TrRoad_act!R81)</f>
        <v>5148.8099850396466</v>
      </c>
      <c r="S132" s="101">
        <f>IF(S41=0,0,1000000*S41/TrRoad_act!S81)</f>
        <v>5234.063064367745</v>
      </c>
      <c r="T132" s="101">
        <f>IF(T41=0,0,1000000*T41/TrRoad_act!T81)</f>
        <v>5666.4565746795988</v>
      </c>
      <c r="U132" s="101">
        <f>IF(U41=0,0,1000000*U41/TrRoad_act!U81)</f>
        <v>5848.710660907288</v>
      </c>
      <c r="V132" s="101">
        <f>IF(V41=0,0,1000000*V41/TrRoad_act!V81)</f>
        <v>4896.3505236055335</v>
      </c>
      <c r="W132" s="101">
        <f>IF(W41=0,0,1000000*W41/TrRoad_act!W81)</f>
        <v>5030.242470452923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0</v>
      </c>
      <c r="C133" s="88">
        <f>IF(C42=0,0,1000000*C42/TrRoad_act!C82)</f>
        <v>0</v>
      </c>
      <c r="D133" s="88">
        <f>IF(D42=0,0,1000000*D42/TrRoad_act!D82)</f>
        <v>0</v>
      </c>
      <c r="E133" s="88">
        <f>IF(E42=0,0,1000000*E42/TrRoad_act!E82)</f>
        <v>0</v>
      </c>
      <c r="F133" s="88">
        <f>IF(F42=0,0,1000000*F42/TrRoad_act!F82)</f>
        <v>0</v>
      </c>
      <c r="G133" s="88">
        <f>IF(G42=0,0,1000000*G42/TrRoad_act!G82)</f>
        <v>0</v>
      </c>
      <c r="H133" s="88">
        <f>IF(H42=0,0,1000000*H42/TrRoad_act!H82)</f>
        <v>0</v>
      </c>
      <c r="I133" s="88">
        <f>IF(I42=0,0,1000000*I42/TrRoad_act!I82)</f>
        <v>0</v>
      </c>
      <c r="J133" s="88">
        <f>IF(J42=0,0,1000000*J42/TrRoad_act!J82)</f>
        <v>0</v>
      </c>
      <c r="K133" s="88">
        <f>IF(K42=0,0,1000000*K42/TrRoad_act!K82)</f>
        <v>0</v>
      </c>
      <c r="L133" s="88">
        <f>IF(L42=0,0,1000000*L42/TrRoad_act!L82)</f>
        <v>0</v>
      </c>
      <c r="M133" s="88">
        <f>IF(M42=0,0,1000000*M42/TrRoad_act!M82)</f>
        <v>0</v>
      </c>
      <c r="N133" s="88">
        <f>IF(N42=0,0,1000000*N42/TrRoad_act!N82)</f>
        <v>0</v>
      </c>
      <c r="O133" s="88">
        <f>IF(O42=0,0,1000000*O42/TrRoad_act!O82)</f>
        <v>0</v>
      </c>
      <c r="P133" s="88">
        <f>IF(P42=0,0,1000000*P42/TrRoad_act!P82)</f>
        <v>0</v>
      </c>
      <c r="Q133" s="88">
        <f>IF(Q42=0,0,1000000*Q42/TrRoad_act!Q82)</f>
        <v>0</v>
      </c>
      <c r="R133" s="88">
        <f>IF(R42=0,0,1000000*R42/TrRoad_act!R82)</f>
        <v>0</v>
      </c>
      <c r="S133" s="88">
        <f>IF(S42=0,0,1000000*S42/TrRoad_act!S82)</f>
        <v>0</v>
      </c>
      <c r="T133" s="88">
        <f>IF(T42=0,0,1000000*T42/TrRoad_act!T82)</f>
        <v>0</v>
      </c>
      <c r="U133" s="88">
        <f>IF(U42=0,0,1000000*U42/TrRoad_act!U82)</f>
        <v>0</v>
      </c>
      <c r="V133" s="88">
        <f>IF(V42=0,0,1000000*V42/TrRoad_act!V82)</f>
        <v>0</v>
      </c>
      <c r="W133" s="88">
        <f>IF(W42=0,0,1000000*W42/TrRoad_act!W82)</f>
        <v>0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0.60283877440851996</v>
      </c>
      <c r="C136" s="46">
        <f t="shared" si="40"/>
        <v>0.61772038095976711</v>
      </c>
      <c r="D136" s="46">
        <f t="shared" si="40"/>
        <v>0.88067131517825659</v>
      </c>
      <c r="E136" s="46">
        <f t="shared" si="40"/>
        <v>0.72070195881537047</v>
      </c>
      <c r="F136" s="46">
        <f t="shared" si="40"/>
        <v>0.56037681548847773</v>
      </c>
      <c r="G136" s="46">
        <f t="shared" si="40"/>
        <v>0.6372027934881116</v>
      </c>
      <c r="H136" s="46">
        <f t="shared" si="40"/>
        <v>0.64034251032461875</v>
      </c>
      <c r="I136" s="46">
        <f t="shared" si="40"/>
        <v>0.63331105113829844</v>
      </c>
      <c r="J136" s="46">
        <f t="shared" si="40"/>
        <v>0.66574386926680862</v>
      </c>
      <c r="K136" s="46">
        <f t="shared" si="40"/>
        <v>0.66095815254987411</v>
      </c>
      <c r="L136" s="46">
        <f t="shared" si="41"/>
        <v>0.72960960393443142</v>
      </c>
      <c r="M136" s="46">
        <f t="shared" si="40"/>
        <v>0.75040414186330906</v>
      </c>
      <c r="N136" s="46">
        <f t="shared" si="40"/>
        <v>0.76945515386768648</v>
      </c>
      <c r="O136" s="46">
        <f t="shared" si="40"/>
        <v>0.77378993393955742</v>
      </c>
      <c r="P136" s="46">
        <f t="shared" si="40"/>
        <v>0.78560268917679699</v>
      </c>
      <c r="Q136" s="46">
        <f t="shared" si="40"/>
        <v>0.79687290961869062</v>
      </c>
      <c r="R136" s="46">
        <f t="shared" si="40"/>
        <v>0.79958687788960836</v>
      </c>
      <c r="S136" s="46">
        <f t="shared" si="40"/>
        <v>0.79233271417017237</v>
      </c>
      <c r="T136" s="46">
        <f t="shared" si="40"/>
        <v>0.78920329629162389</v>
      </c>
      <c r="U136" s="46">
        <f t="shared" si="40"/>
        <v>0.78363163683102177</v>
      </c>
      <c r="V136" s="46">
        <f t="shared" si="40"/>
        <v>0.76965262810881263</v>
      </c>
      <c r="W136" s="46">
        <f t="shared" si="42"/>
        <v>0.77634122094198899</v>
      </c>
      <c r="DA136" s="211"/>
    </row>
    <row r="137" spans="1:105" ht="11.45" customHeight="1" x14ac:dyDescent="0.25">
      <c r="A137" s="153" t="s">
        <v>180</v>
      </c>
      <c r="B137" s="154">
        <f t="shared" si="40"/>
        <v>7.2132317019561699E-3</v>
      </c>
      <c r="C137" s="154">
        <f t="shared" si="40"/>
        <v>7.9771112701392463E-3</v>
      </c>
      <c r="D137" s="154">
        <f t="shared" si="40"/>
        <v>1.2300384099949204E-2</v>
      </c>
      <c r="E137" s="154">
        <f t="shared" si="40"/>
        <v>9.8274180461374854E-3</v>
      </c>
      <c r="F137" s="154">
        <f t="shared" si="40"/>
        <v>7.5037333681567397E-3</v>
      </c>
      <c r="G137" s="154">
        <f t="shared" si="40"/>
        <v>6.6805978506494189E-3</v>
      </c>
      <c r="H137" s="154">
        <f t="shared" si="40"/>
        <v>6.6254488884370504E-3</v>
      </c>
      <c r="I137" s="154">
        <f t="shared" si="40"/>
        <v>6.6845545685400801E-3</v>
      </c>
      <c r="J137" s="154">
        <f t="shared" si="40"/>
        <v>6.7665004866999182E-3</v>
      </c>
      <c r="K137" s="154">
        <f t="shared" si="40"/>
        <v>7.5503556056790841E-3</v>
      </c>
      <c r="L137" s="154">
        <f t="shared" si="41"/>
        <v>7.2078185227399073E-3</v>
      </c>
      <c r="M137" s="154">
        <f t="shared" si="40"/>
        <v>7.6486154488968018E-3</v>
      </c>
      <c r="N137" s="154">
        <f t="shared" si="40"/>
        <v>7.6626455144656047E-3</v>
      </c>
      <c r="O137" s="154">
        <f t="shared" si="40"/>
        <v>7.9150471947304034E-3</v>
      </c>
      <c r="P137" s="154">
        <f t="shared" si="40"/>
        <v>8.3062173814901323E-3</v>
      </c>
      <c r="Q137" s="154">
        <f t="shared" si="40"/>
        <v>7.9557892338320176E-3</v>
      </c>
      <c r="R137" s="154">
        <f t="shared" si="40"/>
        <v>8.4216605050926076E-3</v>
      </c>
      <c r="S137" s="154">
        <f t="shared" si="40"/>
        <v>7.7344165616019221E-3</v>
      </c>
      <c r="T137" s="154">
        <f t="shared" si="40"/>
        <v>6.9106242987515554E-3</v>
      </c>
      <c r="U137" s="154">
        <f t="shared" si="40"/>
        <v>7.0176400449468703E-3</v>
      </c>
      <c r="V137" s="154">
        <f t="shared" si="40"/>
        <v>7.5009977926543472E-3</v>
      </c>
      <c r="W137" s="154">
        <f t="shared" si="42"/>
        <v>6.9814147873469524E-3</v>
      </c>
      <c r="DA137" s="212"/>
    </row>
    <row r="138" spans="1:105" ht="11.45" customHeight="1" x14ac:dyDescent="0.25">
      <c r="A138" s="155" t="s">
        <v>20</v>
      </c>
      <c r="B138" s="156">
        <f t="shared" si="40"/>
        <v>0.51920444849127667</v>
      </c>
      <c r="C138" s="156">
        <f t="shared" si="40"/>
        <v>0.53035571203205578</v>
      </c>
      <c r="D138" s="156">
        <f t="shared" si="40"/>
        <v>0.82090610225192706</v>
      </c>
      <c r="E138" s="156">
        <f t="shared" si="40"/>
        <v>0.63604783243383944</v>
      </c>
      <c r="F138" s="156">
        <f t="shared" si="40"/>
        <v>0.46570726396831824</v>
      </c>
      <c r="G138" s="156">
        <f t="shared" si="40"/>
        <v>0.51462592244000571</v>
      </c>
      <c r="H138" s="156">
        <f t="shared" si="40"/>
        <v>0.51218846220080694</v>
      </c>
      <c r="I138" s="156">
        <f t="shared" si="40"/>
        <v>0.51435857821751563</v>
      </c>
      <c r="J138" s="156">
        <f t="shared" si="40"/>
        <v>0.55718641586324735</v>
      </c>
      <c r="K138" s="156">
        <f t="shared" si="40"/>
        <v>0.55389789283330715</v>
      </c>
      <c r="L138" s="156">
        <f t="shared" si="41"/>
        <v>0.61874018623728411</v>
      </c>
      <c r="M138" s="156">
        <f t="shared" si="40"/>
        <v>0.63645813645521188</v>
      </c>
      <c r="N138" s="156">
        <f t="shared" si="40"/>
        <v>0.64010535546984659</v>
      </c>
      <c r="O138" s="156">
        <f t="shared" si="40"/>
        <v>0.64485562044419797</v>
      </c>
      <c r="P138" s="156">
        <f t="shared" si="40"/>
        <v>0.63568399057680847</v>
      </c>
      <c r="Q138" s="156">
        <f t="shared" si="40"/>
        <v>0.63651448063044158</v>
      </c>
      <c r="R138" s="156">
        <f t="shared" si="40"/>
        <v>0.64136855271757842</v>
      </c>
      <c r="S138" s="156">
        <f t="shared" si="40"/>
        <v>0.62830766428727913</v>
      </c>
      <c r="T138" s="156">
        <f t="shared" si="40"/>
        <v>0.61762674843879173</v>
      </c>
      <c r="U138" s="156">
        <f t="shared" si="40"/>
        <v>0.6161344792105421</v>
      </c>
      <c r="V138" s="156">
        <f t="shared" si="40"/>
        <v>0.62772037378761614</v>
      </c>
      <c r="W138" s="156">
        <f t="shared" si="42"/>
        <v>0.64772248569551183</v>
      </c>
      <c r="DA138" s="213"/>
    </row>
    <row r="139" spans="1:105" ht="11.45" customHeight="1" x14ac:dyDescent="0.25">
      <c r="A139" s="157" t="s">
        <v>110</v>
      </c>
      <c r="B139" s="103">
        <f t="shared" si="40"/>
        <v>0.46236934375631117</v>
      </c>
      <c r="C139" s="103">
        <f t="shared" si="40"/>
        <v>0.4665848469926091</v>
      </c>
      <c r="D139" s="103">
        <f t="shared" si="40"/>
        <v>0.78041756900168546</v>
      </c>
      <c r="E139" s="103">
        <f t="shared" si="40"/>
        <v>0.56853730921945123</v>
      </c>
      <c r="F139" s="103">
        <f t="shared" si="40"/>
        <v>0.38468029419445271</v>
      </c>
      <c r="G139" s="103">
        <f t="shared" si="40"/>
        <v>0.40044070688430827</v>
      </c>
      <c r="H139" s="103">
        <f t="shared" si="40"/>
        <v>0.38978917615097053</v>
      </c>
      <c r="I139" s="103">
        <f t="shared" si="40"/>
        <v>0.39803235771399026</v>
      </c>
      <c r="J139" s="103">
        <f t="shared" si="40"/>
        <v>0.4503123899459287</v>
      </c>
      <c r="K139" s="103">
        <f t="shared" si="40"/>
        <v>0.43665016499990122</v>
      </c>
      <c r="L139" s="103">
        <f t="shared" si="41"/>
        <v>0.41343648792495846</v>
      </c>
      <c r="M139" s="103">
        <f t="shared" si="40"/>
        <v>0.42143014490351643</v>
      </c>
      <c r="N139" s="103">
        <f t="shared" si="40"/>
        <v>0.41802917652779797</v>
      </c>
      <c r="O139" s="103">
        <f t="shared" si="40"/>
        <v>0.41554535197605413</v>
      </c>
      <c r="P139" s="103">
        <f t="shared" si="40"/>
        <v>0.4066417128383007</v>
      </c>
      <c r="Q139" s="103">
        <f t="shared" si="40"/>
        <v>0.40481638094558936</v>
      </c>
      <c r="R139" s="103">
        <f t="shared" si="40"/>
        <v>0.40239465872844404</v>
      </c>
      <c r="S139" s="103">
        <f t="shared" si="40"/>
        <v>0.39624509769504185</v>
      </c>
      <c r="T139" s="103">
        <f t="shared" si="40"/>
        <v>0.35920923866155685</v>
      </c>
      <c r="U139" s="103">
        <f t="shared" si="40"/>
        <v>0.36398383421097125</v>
      </c>
      <c r="V139" s="103">
        <f t="shared" si="40"/>
        <v>0.38265298892081884</v>
      </c>
      <c r="W139" s="103">
        <f t="shared" si="42"/>
        <v>0.39297029158786578</v>
      </c>
      <c r="DA139" s="191"/>
    </row>
    <row r="140" spans="1:105" ht="11.45" customHeight="1" x14ac:dyDescent="0.25">
      <c r="A140" s="157" t="s">
        <v>111</v>
      </c>
      <c r="B140" s="103">
        <f t="shared" si="40"/>
        <v>5.6835104734965461E-2</v>
      </c>
      <c r="C140" s="103">
        <f t="shared" si="40"/>
        <v>6.3770865039446623E-2</v>
      </c>
      <c r="D140" s="103">
        <f t="shared" si="40"/>
        <v>4.0488533250241619E-2</v>
      </c>
      <c r="E140" s="103">
        <f t="shared" si="40"/>
        <v>6.7510523214388191E-2</v>
      </c>
      <c r="F140" s="103">
        <f t="shared" si="40"/>
        <v>8.1026969773865518E-2</v>
      </c>
      <c r="G140" s="103">
        <f t="shared" si="40"/>
        <v>0.11418521555569741</v>
      </c>
      <c r="H140" s="103">
        <f t="shared" si="40"/>
        <v>0.12239928604983639</v>
      </c>
      <c r="I140" s="103">
        <f t="shared" si="40"/>
        <v>0.11632622050352535</v>
      </c>
      <c r="J140" s="103">
        <f t="shared" si="40"/>
        <v>0.10687402591731858</v>
      </c>
      <c r="K140" s="103">
        <f t="shared" si="40"/>
        <v>0.11724772783340592</v>
      </c>
      <c r="L140" s="103">
        <f t="shared" si="41"/>
        <v>0.20482393481689304</v>
      </c>
      <c r="M140" s="103">
        <f t="shared" si="40"/>
        <v>0.2145257782302086</v>
      </c>
      <c r="N140" s="103">
        <f t="shared" si="40"/>
        <v>0.22149963622807492</v>
      </c>
      <c r="O140" s="103">
        <f t="shared" si="40"/>
        <v>0.22849083693566405</v>
      </c>
      <c r="P140" s="103">
        <f t="shared" si="40"/>
        <v>0.22766090360849311</v>
      </c>
      <c r="Q140" s="103">
        <f t="shared" si="40"/>
        <v>0.22986521962241227</v>
      </c>
      <c r="R140" s="103">
        <f t="shared" si="40"/>
        <v>0.2318296767212383</v>
      </c>
      <c r="S140" s="103">
        <f t="shared" si="40"/>
        <v>0.2270373184578256</v>
      </c>
      <c r="T140" s="103">
        <f t="shared" si="40"/>
        <v>0.25322487730622023</v>
      </c>
      <c r="U140" s="103">
        <f t="shared" si="40"/>
        <v>0.24690389759396064</v>
      </c>
      <c r="V140" s="103">
        <f t="shared" si="40"/>
        <v>0.23895465124329859</v>
      </c>
      <c r="W140" s="103">
        <f t="shared" si="42"/>
        <v>0.24733524047096678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0</v>
      </c>
      <c r="I141" s="103">
        <f t="shared" si="40"/>
        <v>0</v>
      </c>
      <c r="J141" s="103">
        <f t="shared" si="40"/>
        <v>0</v>
      </c>
      <c r="K141" s="103">
        <f t="shared" si="40"/>
        <v>0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5.3277354754641456E-3</v>
      </c>
      <c r="S141" s="103">
        <f t="shared" si="40"/>
        <v>3.2366596215835232E-3</v>
      </c>
      <c r="T141" s="103">
        <f t="shared" si="40"/>
        <v>3.28054243119051E-3</v>
      </c>
      <c r="U141" s="103">
        <f t="shared" si="40"/>
        <v>3.2024528129288412E-3</v>
      </c>
      <c r="V141" s="103">
        <f t="shared" si="40"/>
        <v>3.6332105971633756E-3</v>
      </c>
      <c r="W141" s="103">
        <f t="shared" si="42"/>
        <v>3.9671582480641588E-3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4.7976349543259726E-4</v>
      </c>
      <c r="M143" s="103">
        <f t="shared" si="40"/>
        <v>5.0221332148676489E-4</v>
      </c>
      <c r="N143" s="103">
        <f t="shared" si="40"/>
        <v>5.7654271397375727E-4</v>
      </c>
      <c r="O143" s="103">
        <f t="shared" si="40"/>
        <v>8.1943153247978891E-4</v>
      </c>
      <c r="P143" s="103">
        <f t="shared" si="40"/>
        <v>1.3813741300146443E-3</v>
      </c>
      <c r="Q143" s="103">
        <f t="shared" si="40"/>
        <v>1.8328800624399962E-3</v>
      </c>
      <c r="R143" s="103">
        <f t="shared" si="40"/>
        <v>1.8164817924319456E-3</v>
      </c>
      <c r="S143" s="103">
        <f t="shared" si="40"/>
        <v>1.7885885128281704E-3</v>
      </c>
      <c r="T143" s="103">
        <f t="shared" si="40"/>
        <v>1.9120900398241888E-3</v>
      </c>
      <c r="U143" s="103">
        <f t="shared" si="40"/>
        <v>2.0442945926814563E-3</v>
      </c>
      <c r="V143" s="103">
        <f t="shared" si="40"/>
        <v>2.4795230263353787E-3</v>
      </c>
      <c r="W143" s="103">
        <f t="shared" si="42"/>
        <v>3.4497953886151868E-3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7.6421094215287227E-2</v>
      </c>
      <c r="C145" s="156">
        <f t="shared" si="40"/>
        <v>7.9387557657572064E-2</v>
      </c>
      <c r="D145" s="156">
        <f t="shared" si="40"/>
        <v>4.7464828826380374E-2</v>
      </c>
      <c r="E145" s="156">
        <f t="shared" si="40"/>
        <v>7.4826708335393538E-2</v>
      </c>
      <c r="F145" s="156">
        <f t="shared" si="40"/>
        <v>8.7165818152002736E-2</v>
      </c>
      <c r="G145" s="156">
        <f t="shared" si="40"/>
        <v>0.11589627319745642</v>
      </c>
      <c r="H145" s="156">
        <f t="shared" si="40"/>
        <v>0.12152859923537483</v>
      </c>
      <c r="I145" s="156">
        <f t="shared" si="40"/>
        <v>0.11226791835224267</v>
      </c>
      <c r="J145" s="156">
        <f t="shared" si="40"/>
        <v>0.1017909529168614</v>
      </c>
      <c r="K145" s="156">
        <f t="shared" si="40"/>
        <v>9.9509904110887892E-2</v>
      </c>
      <c r="L145" s="156">
        <f t="shared" si="41"/>
        <v>0.10366159917440734</v>
      </c>
      <c r="M145" s="156">
        <f t="shared" si="40"/>
        <v>0.10629738995920042</v>
      </c>
      <c r="N145" s="156">
        <f t="shared" si="40"/>
        <v>0.12168715288337426</v>
      </c>
      <c r="O145" s="156">
        <f t="shared" si="40"/>
        <v>0.12101926630062894</v>
      </c>
      <c r="P145" s="156">
        <f t="shared" si="40"/>
        <v>0.14161248121849829</v>
      </c>
      <c r="Q145" s="156">
        <f t="shared" si="40"/>
        <v>0.15240263975441704</v>
      </c>
      <c r="R145" s="156">
        <f t="shared" si="40"/>
        <v>0.14979666466693733</v>
      </c>
      <c r="S145" s="156">
        <f t="shared" si="40"/>
        <v>0.15629063332129139</v>
      </c>
      <c r="T145" s="156">
        <f t="shared" si="40"/>
        <v>0.16466592355408058</v>
      </c>
      <c r="U145" s="156">
        <f t="shared" si="40"/>
        <v>0.16047951757553278</v>
      </c>
      <c r="V145" s="156">
        <f t="shared" si="40"/>
        <v>0.1344312565285421</v>
      </c>
      <c r="W145" s="156">
        <f t="shared" si="42"/>
        <v>0.12163732045913019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2.5845760211070474E-4</v>
      </c>
      <c r="M146" s="103">
        <f t="shared" si="40"/>
        <v>2.2163944163680797E-4</v>
      </c>
      <c r="N146" s="103">
        <f t="shared" si="40"/>
        <v>2.0995520487048427E-4</v>
      </c>
      <c r="O146" s="103">
        <f t="shared" si="40"/>
        <v>1.9174388665531638E-4</v>
      </c>
      <c r="P146" s="103">
        <f t="shared" si="40"/>
        <v>1.7514826686458493E-4</v>
      </c>
      <c r="Q146" s="103">
        <f t="shared" si="40"/>
        <v>1.3789847193639661E-4</v>
      </c>
      <c r="R146" s="103">
        <f t="shared" si="40"/>
        <v>1.3198890662106385E-4</v>
      </c>
      <c r="S146" s="103">
        <f t="shared" si="40"/>
        <v>1.2403918796152877E-4</v>
      </c>
      <c r="T146" s="103">
        <f t="shared" si="40"/>
        <v>1.1883792216491472E-4</v>
      </c>
      <c r="U146" s="103">
        <f t="shared" si="40"/>
        <v>1.1785616910169257E-4</v>
      </c>
      <c r="V146" s="103">
        <f t="shared" si="40"/>
        <v>9.7056009553947816E-5</v>
      </c>
      <c r="W146" s="103">
        <f t="shared" si="42"/>
        <v>8.5279071968612555E-5</v>
      </c>
      <c r="DA146" s="191"/>
    </row>
    <row r="147" spans="1:105" ht="11.45" customHeight="1" x14ac:dyDescent="0.25">
      <c r="A147" s="157" t="s">
        <v>111</v>
      </c>
      <c r="B147" s="103">
        <f t="shared" si="40"/>
        <v>7.6421094215287227E-2</v>
      </c>
      <c r="C147" s="103">
        <f t="shared" si="40"/>
        <v>7.9387557657572064E-2</v>
      </c>
      <c r="D147" s="103">
        <f t="shared" si="40"/>
        <v>4.7464828826380374E-2</v>
      </c>
      <c r="E147" s="103">
        <f t="shared" si="40"/>
        <v>7.4826708335393538E-2</v>
      </c>
      <c r="F147" s="103">
        <f t="shared" si="40"/>
        <v>8.7165818152002736E-2</v>
      </c>
      <c r="G147" s="103">
        <f t="shared" si="40"/>
        <v>0.11589627319745642</v>
      </c>
      <c r="H147" s="103">
        <f t="shared" si="40"/>
        <v>0.12152859923537483</v>
      </c>
      <c r="I147" s="103">
        <f t="shared" si="40"/>
        <v>0.11226791835224267</v>
      </c>
      <c r="J147" s="103">
        <f t="shared" si="40"/>
        <v>0.1017909529168614</v>
      </c>
      <c r="K147" s="103">
        <f t="shared" si="40"/>
        <v>9.9509904110887892E-2</v>
      </c>
      <c r="L147" s="103">
        <f t="shared" si="41"/>
        <v>0.10340314157229664</v>
      </c>
      <c r="M147" s="103">
        <f t="shared" si="40"/>
        <v>0.10607575051756361</v>
      </c>
      <c r="N147" s="103">
        <f t="shared" si="40"/>
        <v>0.12147719767850376</v>
      </c>
      <c r="O147" s="103">
        <f t="shared" si="40"/>
        <v>0.12082752241397361</v>
      </c>
      <c r="P147" s="103">
        <f t="shared" si="40"/>
        <v>0.14143733295163369</v>
      </c>
      <c r="Q147" s="103">
        <f t="shared" si="40"/>
        <v>0.15226474128248063</v>
      </c>
      <c r="R147" s="103">
        <f t="shared" ref="R147:V147" si="43">IF(R29=0,0,R29/R$17)</f>
        <v>0.14966467576031625</v>
      </c>
      <c r="S147" s="103">
        <f t="shared" si="43"/>
        <v>0.15616659413332987</v>
      </c>
      <c r="T147" s="103">
        <f t="shared" si="43"/>
        <v>0.16454708563191564</v>
      </c>
      <c r="U147" s="103">
        <f t="shared" si="43"/>
        <v>0.1603616614064311</v>
      </c>
      <c r="V147" s="103">
        <f t="shared" si="43"/>
        <v>0.13433420051898814</v>
      </c>
      <c r="W147" s="103">
        <f t="shared" ref="W147" si="44">IF(W29=0,0,W29/W$17)</f>
        <v>0.12155204138716157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" si="51">IF(W31=0,0,W31/W$17)</f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0.39716122559148004</v>
      </c>
      <c r="C151" s="46">
        <f t="shared" si="55"/>
        <v>0.38227961904023289</v>
      </c>
      <c r="D151" s="46">
        <f t="shared" si="55"/>
        <v>0.11932868482174339</v>
      </c>
      <c r="E151" s="46">
        <f t="shared" si="55"/>
        <v>0.27929804118462948</v>
      </c>
      <c r="F151" s="46">
        <f t="shared" si="55"/>
        <v>0.43962318451152238</v>
      </c>
      <c r="G151" s="46">
        <f t="shared" si="55"/>
        <v>0.36279720651188846</v>
      </c>
      <c r="H151" s="46">
        <f t="shared" si="55"/>
        <v>0.3596574896753813</v>
      </c>
      <c r="I151" s="46">
        <f t="shared" si="55"/>
        <v>0.36668894886170156</v>
      </c>
      <c r="J151" s="46">
        <f t="shared" si="55"/>
        <v>0.33425613073319133</v>
      </c>
      <c r="K151" s="46">
        <f t="shared" si="55"/>
        <v>0.33904184745012583</v>
      </c>
      <c r="L151" s="46">
        <f t="shared" ref="L151" si="56">IF(L33=0,0,L33/L$17)</f>
        <v>0.27039039606556858</v>
      </c>
      <c r="M151" s="46">
        <f t="shared" ref="M151:V151" si="57">IF(M33=0,0,M33/M$17)</f>
        <v>0.24959585813669086</v>
      </c>
      <c r="N151" s="46">
        <f t="shared" si="57"/>
        <v>0.23054484613231349</v>
      </c>
      <c r="O151" s="46">
        <f t="shared" si="57"/>
        <v>0.22621006606044267</v>
      </c>
      <c r="P151" s="46">
        <f t="shared" si="57"/>
        <v>0.21439731082320299</v>
      </c>
      <c r="Q151" s="46">
        <f t="shared" si="57"/>
        <v>0.20312709038130933</v>
      </c>
      <c r="R151" s="46">
        <f t="shared" si="57"/>
        <v>0.20041312211039164</v>
      </c>
      <c r="S151" s="46">
        <f t="shared" si="57"/>
        <v>0.2076672858298276</v>
      </c>
      <c r="T151" s="46">
        <f t="shared" si="57"/>
        <v>0.21079670370837617</v>
      </c>
      <c r="U151" s="46">
        <f t="shared" si="57"/>
        <v>0.21636836316897817</v>
      </c>
      <c r="V151" s="46">
        <f t="shared" si="57"/>
        <v>0.23034737189118748</v>
      </c>
      <c r="W151" s="46">
        <f t="shared" ref="W151" si="58">IF(W33=0,0,W33/W$17)</f>
        <v>0.22365877905801113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0.10892131345438581</v>
      </c>
      <c r="C152" s="154">
        <f t="shared" si="59"/>
        <v>0.10987338813227017</v>
      </c>
      <c r="D152" s="154">
        <f t="shared" si="59"/>
        <v>6.9181271618235049E-2</v>
      </c>
      <c r="E152" s="154">
        <f t="shared" si="59"/>
        <v>0.10109430985673591</v>
      </c>
      <c r="F152" s="154">
        <f t="shared" si="59"/>
        <v>0.110222883698414</v>
      </c>
      <c r="G152" s="154">
        <f t="shared" si="59"/>
        <v>0.14334731304009646</v>
      </c>
      <c r="H152" s="154">
        <f t="shared" si="59"/>
        <v>0.15069063386772505</v>
      </c>
      <c r="I152" s="154">
        <f t="shared" si="59"/>
        <v>0.14661484485668297</v>
      </c>
      <c r="J152" s="154">
        <f t="shared" si="59"/>
        <v>0.13313355133983823</v>
      </c>
      <c r="K152" s="154">
        <f t="shared" si="59"/>
        <v>0.1369001548630682</v>
      </c>
      <c r="L152" s="154">
        <f t="shared" ref="L152" si="60">IF(L34=0,0,L34/L$17)</f>
        <v>0.12008087438512836</v>
      </c>
      <c r="M152" s="154">
        <f t="shared" ref="M152:V152" si="61">IF(M34=0,0,M34/M$17)</f>
        <v>0.11619394391812883</v>
      </c>
      <c r="N152" s="154">
        <f t="shared" si="61"/>
        <v>0.111043029357102</v>
      </c>
      <c r="O152" s="154">
        <f t="shared" si="61"/>
        <v>0.1087773768715922</v>
      </c>
      <c r="P152" s="154">
        <f t="shared" si="61"/>
        <v>0.10779535935830602</v>
      </c>
      <c r="Q152" s="154">
        <f t="shared" si="61"/>
        <v>0.10555876647066925</v>
      </c>
      <c r="R152" s="154">
        <f t="shared" si="61"/>
        <v>0.10153254330493043</v>
      </c>
      <c r="S152" s="154">
        <f t="shared" si="61"/>
        <v>0.10682835361244836</v>
      </c>
      <c r="T152" s="154">
        <f t="shared" si="61"/>
        <v>0.11005105303219186</v>
      </c>
      <c r="U152" s="154">
        <f t="shared" si="61"/>
        <v>0.11262811132772628</v>
      </c>
      <c r="V152" s="154">
        <f t="shared" si="61"/>
        <v>0.11773727939592996</v>
      </c>
      <c r="W152" s="154">
        <f t="shared" ref="W152" si="62">IF(W34=0,0,W34/W$17)</f>
        <v>0.11179497468747303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4.1316104408200436E-3</v>
      </c>
      <c r="C153" s="103">
        <f t="shared" si="63"/>
        <v>5.2018955758841101E-3</v>
      </c>
      <c r="D153" s="103">
        <f t="shared" si="63"/>
        <v>7.8632188161823265E-3</v>
      </c>
      <c r="E153" s="103">
        <f t="shared" si="63"/>
        <v>5.8522428986926877E-3</v>
      </c>
      <c r="F153" s="103">
        <f t="shared" si="63"/>
        <v>4.4775408882421625E-3</v>
      </c>
      <c r="G153" s="103">
        <f t="shared" si="63"/>
        <v>4.2034385725229911E-3</v>
      </c>
      <c r="H153" s="103">
        <f t="shared" si="63"/>
        <v>4.0709443887560828E-3</v>
      </c>
      <c r="I153" s="103">
        <f t="shared" si="63"/>
        <v>4.0048955799070526E-3</v>
      </c>
      <c r="J153" s="103">
        <f t="shared" si="63"/>
        <v>3.5172799155222092E-3</v>
      </c>
      <c r="K153" s="103">
        <f t="shared" si="63"/>
        <v>3.7029337574845853E-3</v>
      </c>
      <c r="L153" s="103">
        <f t="shared" ref="L153" si="64">IF(L35=0,0,L35/L$17)</f>
        <v>3.8905274691048201E-3</v>
      </c>
      <c r="M153" s="103">
        <f t="shared" ref="M153:V153" si="65">IF(M35=0,0,M35/M$17)</f>
        <v>3.6836513759743298E-3</v>
      </c>
      <c r="N153" s="103">
        <f t="shared" si="65"/>
        <v>3.5766368263358177E-3</v>
      </c>
      <c r="O153" s="103">
        <f t="shared" si="65"/>
        <v>3.5043401854393023E-3</v>
      </c>
      <c r="P153" s="103">
        <f t="shared" si="65"/>
        <v>3.463804708556843E-3</v>
      </c>
      <c r="Q153" s="103">
        <f t="shared" si="65"/>
        <v>3.1675585972813546E-3</v>
      </c>
      <c r="R153" s="103">
        <f t="shared" si="65"/>
        <v>2.9192007431190045E-3</v>
      </c>
      <c r="S153" s="103">
        <f t="shared" si="65"/>
        <v>2.7336161549306169E-3</v>
      </c>
      <c r="T153" s="103">
        <f t="shared" si="65"/>
        <v>2.3830924382657465E-3</v>
      </c>
      <c r="U153" s="103">
        <f t="shared" si="65"/>
        <v>2.3771392695265971E-3</v>
      </c>
      <c r="V153" s="103">
        <f t="shared" si="65"/>
        <v>2.8049793670703801E-3</v>
      </c>
      <c r="W153" s="103">
        <f t="shared" ref="W153" si="66">IF(W35=0,0,W35/W$17)</f>
        <v>2.7728404958480418E-3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0.10478970301356576</v>
      </c>
      <c r="C154" s="103">
        <f t="shared" si="67"/>
        <v>0.10467149255638605</v>
      </c>
      <c r="D154" s="103">
        <f t="shared" si="67"/>
        <v>6.1318052802052721E-2</v>
      </c>
      <c r="E154" s="103">
        <f t="shared" si="67"/>
        <v>9.5242066958043228E-2</v>
      </c>
      <c r="F154" s="103">
        <f t="shared" si="67"/>
        <v>0.10574534281017182</v>
      </c>
      <c r="G154" s="103">
        <f t="shared" si="67"/>
        <v>0.13914387446757345</v>
      </c>
      <c r="H154" s="103">
        <f t="shared" si="67"/>
        <v>0.14661968947896897</v>
      </c>
      <c r="I154" s="103">
        <f t="shared" si="67"/>
        <v>0.14260994927677592</v>
      </c>
      <c r="J154" s="103">
        <f t="shared" si="67"/>
        <v>0.12961627142431603</v>
      </c>
      <c r="K154" s="103">
        <f t="shared" si="67"/>
        <v>0.1331972211055836</v>
      </c>
      <c r="L154" s="103">
        <f t="shared" ref="L154" si="68">IF(L36=0,0,L36/L$17)</f>
        <v>0.11619034691602355</v>
      </c>
      <c r="M154" s="103">
        <f t="shared" ref="M154:V154" si="69">IF(M36=0,0,M36/M$17)</f>
        <v>0.1125102925421545</v>
      </c>
      <c r="N154" s="103">
        <f t="shared" si="69"/>
        <v>0.10746639253076617</v>
      </c>
      <c r="O154" s="103">
        <f t="shared" si="69"/>
        <v>0.1052730366861529</v>
      </c>
      <c r="P154" s="103">
        <f t="shared" si="69"/>
        <v>0.10433155464974916</v>
      </c>
      <c r="Q154" s="103">
        <f t="shared" si="69"/>
        <v>0.1023912078733879</v>
      </c>
      <c r="R154" s="103">
        <f t="shared" si="69"/>
        <v>9.8613342561811423E-2</v>
      </c>
      <c r="S154" s="103">
        <f t="shared" si="69"/>
        <v>0.10408652840607126</v>
      </c>
      <c r="T154" s="103">
        <f t="shared" si="69"/>
        <v>0.10766087148456015</v>
      </c>
      <c r="U154" s="103">
        <f t="shared" si="69"/>
        <v>0.11023809041306698</v>
      </c>
      <c r="V154" s="103">
        <f t="shared" si="69"/>
        <v>0.11491711618364213</v>
      </c>
      <c r="W154" s="103">
        <f t="shared" ref="W154" si="70">IF(W36=0,0,W36/W$17)</f>
        <v>0.10900838152721386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8.2090514464830148E-6</v>
      </c>
      <c r="T155" s="103">
        <f t="shared" si="73"/>
        <v>7.0891093659670131E-6</v>
      </c>
      <c r="U155" s="103">
        <f t="shared" si="73"/>
        <v>1.2881645132705326E-5</v>
      </c>
      <c r="V155" s="103">
        <f t="shared" si="73"/>
        <v>1.51838452174596E-5</v>
      </c>
      <c r="W155" s="103">
        <f t="shared" ref="W155" si="74">IF(W37=0,0,W37/W$17)</f>
        <v>1.375266441111576E-5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0.28823991213709421</v>
      </c>
      <c r="C158" s="156">
        <f t="shared" si="83"/>
        <v>0.27240623090796268</v>
      </c>
      <c r="D158" s="156">
        <f t="shared" si="83"/>
        <v>5.0147413203508344E-2</v>
      </c>
      <c r="E158" s="156">
        <f t="shared" si="83"/>
        <v>0.17820373132789355</v>
      </c>
      <c r="F158" s="156">
        <f t="shared" si="83"/>
        <v>0.32940030081310839</v>
      </c>
      <c r="G158" s="156">
        <f t="shared" si="83"/>
        <v>0.21944989347179203</v>
      </c>
      <c r="H158" s="156">
        <f t="shared" si="83"/>
        <v>0.20896685580765625</v>
      </c>
      <c r="I158" s="156">
        <f t="shared" si="83"/>
        <v>0.22007410400501862</v>
      </c>
      <c r="J158" s="156">
        <f t="shared" si="83"/>
        <v>0.2011225793933531</v>
      </c>
      <c r="K158" s="156">
        <f t="shared" si="83"/>
        <v>0.20214169258705764</v>
      </c>
      <c r="L158" s="156">
        <f t="shared" ref="L158" si="84">IF(L40=0,0,L40/L$17)</f>
        <v>0.15030952168044021</v>
      </c>
      <c r="M158" s="156">
        <f t="shared" ref="M158:V158" si="85">IF(M40=0,0,M40/M$17)</f>
        <v>0.13340191421856204</v>
      </c>
      <c r="N158" s="156">
        <f t="shared" si="85"/>
        <v>0.1195018167752115</v>
      </c>
      <c r="O158" s="156">
        <f t="shared" si="85"/>
        <v>0.11743268918885047</v>
      </c>
      <c r="P158" s="156">
        <f t="shared" si="85"/>
        <v>0.10660195146489695</v>
      </c>
      <c r="Q158" s="156">
        <f t="shared" si="85"/>
        <v>9.7568323910640076E-2</v>
      </c>
      <c r="R158" s="156">
        <f t="shared" si="85"/>
        <v>9.8880578805461194E-2</v>
      </c>
      <c r="S158" s="156">
        <f t="shared" si="85"/>
        <v>0.10083893221737923</v>
      </c>
      <c r="T158" s="156">
        <f t="shared" si="85"/>
        <v>0.10074565067618432</v>
      </c>
      <c r="U158" s="156">
        <f t="shared" si="85"/>
        <v>0.10374025184125187</v>
      </c>
      <c r="V158" s="156">
        <f t="shared" si="85"/>
        <v>0.11261009249525752</v>
      </c>
      <c r="W158" s="156">
        <f t="shared" ref="W158" si="86">IF(W40=0,0,W40/W$17)</f>
        <v>0.1118638043705381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0.28823991213709421</v>
      </c>
      <c r="C159" s="103">
        <f t="shared" si="87"/>
        <v>0.27240623090796268</v>
      </c>
      <c r="D159" s="103">
        <f t="shared" si="87"/>
        <v>5.0147413203508344E-2</v>
      </c>
      <c r="E159" s="103">
        <f t="shared" si="87"/>
        <v>0.17820373132789355</v>
      </c>
      <c r="F159" s="103">
        <f t="shared" si="87"/>
        <v>0.32940030081310839</v>
      </c>
      <c r="G159" s="103">
        <f t="shared" si="87"/>
        <v>0.21944989347179203</v>
      </c>
      <c r="H159" s="103">
        <f t="shared" si="87"/>
        <v>0.20896685580765625</v>
      </c>
      <c r="I159" s="103">
        <f t="shared" si="87"/>
        <v>0.22007410400501862</v>
      </c>
      <c r="J159" s="103">
        <f t="shared" si="87"/>
        <v>0.2011225793933531</v>
      </c>
      <c r="K159" s="103">
        <f t="shared" si="87"/>
        <v>0.20214169258705764</v>
      </c>
      <c r="L159" s="103">
        <f t="shared" ref="L159" si="88">IF(L41=0,0,L41/L$17)</f>
        <v>0.15030952168044021</v>
      </c>
      <c r="M159" s="103">
        <f t="shared" ref="M159:V159" si="89">IF(M41=0,0,M41/M$17)</f>
        <v>0.13340191421856204</v>
      </c>
      <c r="N159" s="103">
        <f t="shared" si="89"/>
        <v>0.1195018167752115</v>
      </c>
      <c r="O159" s="103">
        <f t="shared" si="89"/>
        <v>0.11743268918885047</v>
      </c>
      <c r="P159" s="103">
        <f t="shared" si="89"/>
        <v>0.10660195146489695</v>
      </c>
      <c r="Q159" s="103">
        <f t="shared" si="89"/>
        <v>9.7568323910640076E-2</v>
      </c>
      <c r="R159" s="103">
        <f t="shared" si="89"/>
        <v>9.8880578805461194E-2</v>
      </c>
      <c r="S159" s="103">
        <f t="shared" si="89"/>
        <v>0.10083893221737923</v>
      </c>
      <c r="T159" s="103">
        <f t="shared" si="89"/>
        <v>0.10074565067618432</v>
      </c>
      <c r="U159" s="103">
        <f t="shared" si="89"/>
        <v>0.10374025184125187</v>
      </c>
      <c r="V159" s="103">
        <f t="shared" si="89"/>
        <v>0.11261009249525752</v>
      </c>
      <c r="W159" s="103">
        <f t="shared" ref="W159" si="90">IF(W41=0,0,W41/W$17)</f>
        <v>0.1118638043705381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</v>
      </c>
      <c r="C160" s="105">
        <f t="shared" si="91"/>
        <v>0</v>
      </c>
      <c r="D160" s="105">
        <f t="shared" si="91"/>
        <v>0</v>
      </c>
      <c r="E160" s="105">
        <f t="shared" si="91"/>
        <v>0</v>
      </c>
      <c r="F160" s="105">
        <f t="shared" si="91"/>
        <v>0</v>
      </c>
      <c r="G160" s="105">
        <f t="shared" si="91"/>
        <v>0</v>
      </c>
      <c r="H160" s="105">
        <f t="shared" si="91"/>
        <v>0</v>
      </c>
      <c r="I160" s="105">
        <f t="shared" si="91"/>
        <v>0</v>
      </c>
      <c r="J160" s="105">
        <f t="shared" si="91"/>
        <v>0</v>
      </c>
      <c r="K160" s="105">
        <f t="shared" si="91"/>
        <v>0</v>
      </c>
      <c r="L160" s="105">
        <f t="shared" ref="L160" si="92">IF(L42=0,0,L42/L$17)</f>
        <v>0</v>
      </c>
      <c r="M160" s="105">
        <f t="shared" ref="M160:V160" si="93">IF(M42=0,0,M42/M$17)</f>
        <v>0</v>
      </c>
      <c r="N160" s="105">
        <f t="shared" si="93"/>
        <v>0</v>
      </c>
      <c r="O160" s="105">
        <f t="shared" si="93"/>
        <v>0</v>
      </c>
      <c r="P160" s="105">
        <f t="shared" si="93"/>
        <v>0</v>
      </c>
      <c r="Q160" s="105">
        <f t="shared" si="93"/>
        <v>0</v>
      </c>
      <c r="R160" s="105">
        <f t="shared" si="93"/>
        <v>0</v>
      </c>
      <c r="S160" s="105">
        <f t="shared" si="93"/>
        <v>0</v>
      </c>
      <c r="T160" s="105">
        <f t="shared" si="93"/>
        <v>0</v>
      </c>
      <c r="U160" s="105">
        <f t="shared" si="93"/>
        <v>0</v>
      </c>
      <c r="V160" s="105">
        <f t="shared" si="93"/>
        <v>0</v>
      </c>
      <c r="W160" s="105">
        <f t="shared" ref="W160" si="94">IF(W42=0,0,W42/W$17)</f>
        <v>0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235023</v>
      </c>
      <c r="C3" s="54">
        <f>TrRoad_act!C57</f>
        <v>241828</v>
      </c>
      <c r="D3" s="54">
        <f>TrRoad_act!D57</f>
        <v>249013</v>
      </c>
      <c r="E3" s="54">
        <f>TrRoad_act!E57</f>
        <v>256749</v>
      </c>
      <c r="F3" s="54">
        <f>TrRoad_act!F57</f>
        <v>258691</v>
      </c>
      <c r="G3" s="54">
        <f>TrRoad_act!G57</f>
        <v>259262</v>
      </c>
      <c r="H3" s="54">
        <f>TrRoad_act!H57</f>
        <v>266153</v>
      </c>
      <c r="I3" s="54">
        <f>TrRoad_act!I57</f>
        <v>274144</v>
      </c>
      <c r="J3" s="54">
        <f>TrRoad_act!J57</f>
        <v>280622</v>
      </c>
      <c r="K3" s="54">
        <f>TrRoad_act!K57</f>
        <v>286389</v>
      </c>
      <c r="L3" s="54">
        <f>TrRoad_act!L57</f>
        <v>298160</v>
      </c>
      <c r="M3" s="54">
        <f>TrRoad_act!M57</f>
        <v>305338</v>
      </c>
      <c r="N3" s="54">
        <f>TrRoad_act!N57</f>
        <v>308017</v>
      </c>
      <c r="O3" s="54">
        <f>TrRoad_act!O57</f>
        <v>316194</v>
      </c>
      <c r="P3" s="54">
        <f>TrRoad_act!P57</f>
        <v>328093</v>
      </c>
      <c r="Q3" s="54">
        <f>TrRoad_act!Q57</f>
        <v>339625</v>
      </c>
      <c r="R3" s="54">
        <f>TrRoad_act!R57</f>
        <v>351394</v>
      </c>
      <c r="S3" s="54">
        <f>TrRoad_act!S57</f>
        <v>364266</v>
      </c>
      <c r="T3" s="54">
        <f>TrRoad_act!T57</f>
        <v>377235</v>
      </c>
      <c r="U3" s="54">
        <f>TrRoad_act!U57</f>
        <v>389219</v>
      </c>
      <c r="V3" s="54">
        <f>TrRoad_act!V57</f>
        <v>394415</v>
      </c>
      <c r="W3" s="54">
        <f>TrRoad_act!W57</f>
        <v>403050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195845</v>
      </c>
      <c r="C4" s="28">
        <f>TrRoad_act!C58</f>
        <v>202671</v>
      </c>
      <c r="D4" s="28">
        <f>TrRoad_act!D58</f>
        <v>209729</v>
      </c>
      <c r="E4" s="28">
        <f>TrRoad_act!E58</f>
        <v>216925</v>
      </c>
      <c r="F4" s="28">
        <f>TrRoad_act!F58</f>
        <v>218922</v>
      </c>
      <c r="G4" s="28">
        <f>TrRoad_act!G58</f>
        <v>219630</v>
      </c>
      <c r="H4" s="28">
        <f>TrRoad_act!H58</f>
        <v>225610</v>
      </c>
      <c r="I4" s="28">
        <f>TrRoad_act!I58</f>
        <v>232706</v>
      </c>
      <c r="J4" s="28">
        <f>TrRoad_act!J58</f>
        <v>238667</v>
      </c>
      <c r="K4" s="28">
        <f>TrRoad_act!K58</f>
        <v>245153</v>
      </c>
      <c r="L4" s="28">
        <f>TrRoad_act!L58</f>
        <v>256841</v>
      </c>
      <c r="M4" s="28">
        <f>TrRoad_act!M58</f>
        <v>264053</v>
      </c>
      <c r="N4" s="28">
        <f>TrRoad_act!N58</f>
        <v>266647</v>
      </c>
      <c r="O4" s="28">
        <f>TrRoad_act!O58</f>
        <v>274246</v>
      </c>
      <c r="P4" s="28">
        <f>TrRoad_act!P58</f>
        <v>285676</v>
      </c>
      <c r="Q4" s="28">
        <f>TrRoad_act!Q58</f>
        <v>296341</v>
      </c>
      <c r="R4" s="28">
        <f>TrRoad_act!R58</f>
        <v>307203</v>
      </c>
      <c r="S4" s="28">
        <f>TrRoad_act!S58</f>
        <v>318475</v>
      </c>
      <c r="T4" s="28">
        <f>TrRoad_act!T58</f>
        <v>329582</v>
      </c>
      <c r="U4" s="28">
        <f>TrRoad_act!U58</f>
        <v>339721</v>
      </c>
      <c r="V4" s="28">
        <f>TrRoad_act!V58</f>
        <v>343517</v>
      </c>
      <c r="W4" s="28">
        <f>TrRoad_act!W58</f>
        <v>351423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12167</v>
      </c>
      <c r="C5" s="137">
        <f>TrRoad_act!C59</f>
        <v>12605</v>
      </c>
      <c r="D5" s="137">
        <f>TrRoad_act!D59</f>
        <v>13097</v>
      </c>
      <c r="E5" s="137">
        <f>TrRoad_act!E59</f>
        <v>13420</v>
      </c>
      <c r="F5" s="137">
        <f>TrRoad_act!F59</f>
        <v>12639</v>
      </c>
      <c r="G5" s="137">
        <f>TrRoad_act!G59</f>
        <v>11905</v>
      </c>
      <c r="H5" s="137">
        <f>TrRoad_act!H59</f>
        <v>12192</v>
      </c>
      <c r="I5" s="137">
        <f>TrRoad_act!I59</f>
        <v>12695</v>
      </c>
      <c r="J5" s="137">
        <f>TrRoad_act!J59</f>
        <v>14310</v>
      </c>
      <c r="K5" s="137">
        <f>TrRoad_act!K59</f>
        <v>14402</v>
      </c>
      <c r="L5" s="137">
        <f>TrRoad_act!L59</f>
        <v>14047</v>
      </c>
      <c r="M5" s="137">
        <f>TrRoad_act!M59</f>
        <v>14758</v>
      </c>
      <c r="N5" s="137">
        <f>TrRoad_act!N59</f>
        <v>15021</v>
      </c>
      <c r="O5" s="137">
        <f>TrRoad_act!O59</f>
        <v>16102</v>
      </c>
      <c r="P5" s="137">
        <f>TrRoad_act!P59</f>
        <v>17555</v>
      </c>
      <c r="Q5" s="137">
        <f>TrRoad_act!Q59</f>
        <v>19206</v>
      </c>
      <c r="R5" s="137">
        <f>TrRoad_act!R59</f>
        <v>22286</v>
      </c>
      <c r="S5" s="137">
        <f>TrRoad_act!S59</f>
        <v>24606</v>
      </c>
      <c r="T5" s="137">
        <f>TrRoad_act!T59</f>
        <v>27329</v>
      </c>
      <c r="U5" s="137">
        <f>TrRoad_act!U59</f>
        <v>30316</v>
      </c>
      <c r="V5" s="137">
        <f>TrRoad_act!V59</f>
        <v>32152</v>
      </c>
      <c r="W5" s="137">
        <f>TrRoad_act!W59</f>
        <v>35921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182105</v>
      </c>
      <c r="C6" s="110">
        <f>TrRoad_act!C60</f>
        <v>188495</v>
      </c>
      <c r="D6" s="110">
        <f>TrRoad_act!D60</f>
        <v>195055</v>
      </c>
      <c r="E6" s="110">
        <f>TrRoad_act!E60</f>
        <v>201924</v>
      </c>
      <c r="F6" s="110">
        <f>TrRoad_act!F60</f>
        <v>204702</v>
      </c>
      <c r="G6" s="110">
        <f>TrRoad_act!G60</f>
        <v>206148</v>
      </c>
      <c r="H6" s="110">
        <f>TrRoad_act!H60</f>
        <v>211840</v>
      </c>
      <c r="I6" s="110">
        <f>TrRoad_act!I60</f>
        <v>218429</v>
      </c>
      <c r="J6" s="110">
        <f>TrRoad_act!J60</f>
        <v>222775</v>
      </c>
      <c r="K6" s="110">
        <f>TrRoad_act!K60</f>
        <v>229016</v>
      </c>
      <c r="L6" s="110">
        <f>TrRoad_act!L60</f>
        <v>240943</v>
      </c>
      <c r="M6" s="110">
        <f>TrRoad_act!M60</f>
        <v>247539</v>
      </c>
      <c r="N6" s="110">
        <f>TrRoad_act!N60</f>
        <v>249880</v>
      </c>
      <c r="O6" s="110">
        <f>TrRoad_act!O60</f>
        <v>256432</v>
      </c>
      <c r="P6" s="110">
        <f>TrRoad_act!P60</f>
        <v>266326</v>
      </c>
      <c r="Q6" s="110">
        <f>TrRoad_act!Q60</f>
        <v>275183</v>
      </c>
      <c r="R6" s="110">
        <f>TrRoad_act!R60</f>
        <v>282921</v>
      </c>
      <c r="S6" s="110">
        <f>TrRoad_act!S60</f>
        <v>291799</v>
      </c>
      <c r="T6" s="110">
        <f>TrRoad_act!T60</f>
        <v>300141</v>
      </c>
      <c r="U6" s="110">
        <f>TrRoad_act!U60</f>
        <v>307130</v>
      </c>
      <c r="V6" s="110">
        <f>TrRoad_act!V60</f>
        <v>309143</v>
      </c>
      <c r="W6" s="110">
        <f>TrRoad_act!W60</f>
        <v>313177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155927</v>
      </c>
      <c r="C7" s="84">
        <f>TrRoad_act!C61</f>
        <v>159509</v>
      </c>
      <c r="D7" s="84">
        <f>TrRoad_act!D61</f>
        <v>164132</v>
      </c>
      <c r="E7" s="84">
        <f>TrRoad_act!E61</f>
        <v>169534</v>
      </c>
      <c r="F7" s="84">
        <f>TrRoad_act!F61</f>
        <v>171445</v>
      </c>
      <c r="G7" s="84">
        <f>TrRoad_act!G61</f>
        <v>172297</v>
      </c>
      <c r="H7" s="84">
        <f>TrRoad_act!H61</f>
        <v>177080</v>
      </c>
      <c r="I7" s="84">
        <f>TrRoad_act!I61</f>
        <v>182663</v>
      </c>
      <c r="J7" s="84">
        <f>TrRoad_act!J61</f>
        <v>186088</v>
      </c>
      <c r="K7" s="84">
        <f>TrRoad_act!K61</f>
        <v>190756</v>
      </c>
      <c r="L7" s="84">
        <f>TrRoad_act!L61</f>
        <v>173252</v>
      </c>
      <c r="M7" s="84">
        <f>TrRoad_act!M61</f>
        <v>175812</v>
      </c>
      <c r="N7" s="84">
        <f>TrRoad_act!N61</f>
        <v>175215</v>
      </c>
      <c r="O7" s="84">
        <f>TrRoad_act!O61</f>
        <v>178079</v>
      </c>
      <c r="P7" s="84">
        <f>TrRoad_act!P61</f>
        <v>183303</v>
      </c>
      <c r="Q7" s="84">
        <f>TrRoad_act!Q61</f>
        <v>188764</v>
      </c>
      <c r="R7" s="84">
        <f>TrRoad_act!R61</f>
        <v>192308</v>
      </c>
      <c r="S7" s="84">
        <f>TrRoad_act!S61</f>
        <v>197670</v>
      </c>
      <c r="T7" s="84">
        <f>TrRoad_act!T61</f>
        <v>202972</v>
      </c>
      <c r="U7" s="84">
        <f>TrRoad_act!U61</f>
        <v>206457</v>
      </c>
      <c r="V7" s="84">
        <f>TrRoad_act!V61</f>
        <v>207150</v>
      </c>
      <c r="W7" s="84">
        <f>TrRoad_act!W61</f>
        <v>211174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26178</v>
      </c>
      <c r="C8" s="84">
        <f>TrRoad_act!C62</f>
        <v>28986</v>
      </c>
      <c r="D8" s="84">
        <f>TrRoad_act!D62</f>
        <v>30923</v>
      </c>
      <c r="E8" s="84">
        <f>TrRoad_act!E62</f>
        <v>32381</v>
      </c>
      <c r="F8" s="84">
        <f>TrRoad_act!F62</f>
        <v>33244</v>
      </c>
      <c r="G8" s="84">
        <f>TrRoad_act!G62</f>
        <v>33836</v>
      </c>
      <c r="H8" s="84">
        <f>TrRoad_act!H62</f>
        <v>34743</v>
      </c>
      <c r="I8" s="84">
        <f>TrRoad_act!I62</f>
        <v>35739</v>
      </c>
      <c r="J8" s="84">
        <f>TrRoad_act!J62</f>
        <v>36657</v>
      </c>
      <c r="K8" s="84">
        <f>TrRoad_act!K62</f>
        <v>38227</v>
      </c>
      <c r="L8" s="84">
        <f>TrRoad_act!L62</f>
        <v>67467</v>
      </c>
      <c r="M8" s="84">
        <f>TrRoad_act!M62</f>
        <v>71474</v>
      </c>
      <c r="N8" s="84">
        <f>TrRoad_act!N62</f>
        <v>74345</v>
      </c>
      <c r="O8" s="84">
        <f>TrRoad_act!O62</f>
        <v>77854</v>
      </c>
      <c r="P8" s="84">
        <f>TrRoad_act!P62</f>
        <v>82144</v>
      </c>
      <c r="Q8" s="84">
        <f>TrRoad_act!Q62</f>
        <v>85178</v>
      </c>
      <c r="R8" s="84">
        <f>TrRoad_act!R62</f>
        <v>87418</v>
      </c>
      <c r="S8" s="84">
        <f>TrRoad_act!S62</f>
        <v>91687</v>
      </c>
      <c r="T8" s="84">
        <f>TrRoad_act!T62</f>
        <v>94771</v>
      </c>
      <c r="U8" s="84">
        <f>TrRoad_act!U62</f>
        <v>96973</v>
      </c>
      <c r="V8" s="84">
        <f>TrRoad_act!V62</f>
        <v>97398</v>
      </c>
      <c r="W8" s="84">
        <f>TrRoad_act!W62</f>
        <v>96769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0</v>
      </c>
      <c r="I9" s="84">
        <f>TrRoad_act!I63</f>
        <v>0</v>
      </c>
      <c r="J9" s="84">
        <f>TrRoad_act!J63</f>
        <v>0</v>
      </c>
      <c r="K9" s="84">
        <f>TrRoad_act!K63</f>
        <v>0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2000</v>
      </c>
      <c r="S9" s="84">
        <f>TrRoad_act!S63</f>
        <v>1200</v>
      </c>
      <c r="T9" s="84">
        <f>TrRoad_act!T63</f>
        <v>950</v>
      </c>
      <c r="U9" s="84">
        <f>TrRoad_act!U63</f>
        <v>1400</v>
      </c>
      <c r="V9" s="84">
        <f>TrRoad_act!V63</f>
        <v>1300</v>
      </c>
      <c r="W9" s="84">
        <f>TrRoad_act!W63</f>
        <v>1200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188</v>
      </c>
      <c r="M11" s="84">
        <f>TrRoad_act!M65</f>
        <v>223</v>
      </c>
      <c r="N11" s="84">
        <f>TrRoad_act!N65</f>
        <v>282</v>
      </c>
      <c r="O11" s="84">
        <f>TrRoad_act!O65</f>
        <v>450</v>
      </c>
      <c r="P11" s="84">
        <f>TrRoad_act!P65</f>
        <v>792</v>
      </c>
      <c r="Q11" s="84">
        <f>TrRoad_act!Q65</f>
        <v>1127</v>
      </c>
      <c r="R11" s="84">
        <f>TrRoad_act!R65</f>
        <v>1064</v>
      </c>
      <c r="S11" s="84">
        <f>TrRoad_act!S65</f>
        <v>1064</v>
      </c>
      <c r="T11" s="84">
        <f>TrRoad_act!T65</f>
        <v>1134</v>
      </c>
      <c r="U11" s="84">
        <f>TrRoad_act!U65</f>
        <v>1172</v>
      </c>
      <c r="V11" s="84">
        <f>TrRoad_act!V65</f>
        <v>1361</v>
      </c>
      <c r="W11" s="84">
        <f>TrRoad_act!W65</f>
        <v>1990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9</v>
      </c>
      <c r="F12" s="84">
        <f>TrRoad_act!F66</f>
        <v>13</v>
      </c>
      <c r="G12" s="84">
        <f>TrRoad_act!G66</f>
        <v>15</v>
      </c>
      <c r="H12" s="84">
        <f>TrRoad_act!H66</f>
        <v>17</v>
      </c>
      <c r="I12" s="84">
        <f>TrRoad_act!I66</f>
        <v>27</v>
      </c>
      <c r="J12" s="84">
        <f>TrRoad_act!J66</f>
        <v>30</v>
      </c>
      <c r="K12" s="84">
        <f>TrRoad_act!K66</f>
        <v>33</v>
      </c>
      <c r="L12" s="84">
        <f>TrRoad_act!L66</f>
        <v>36</v>
      </c>
      <c r="M12" s="84">
        <f>TrRoad_act!M66</f>
        <v>30</v>
      </c>
      <c r="N12" s="84">
        <f>TrRoad_act!N66</f>
        <v>38</v>
      </c>
      <c r="O12" s="84">
        <f>TrRoad_act!O66</f>
        <v>49</v>
      </c>
      <c r="P12" s="84">
        <f>TrRoad_act!P66</f>
        <v>87</v>
      </c>
      <c r="Q12" s="84">
        <f>TrRoad_act!Q66</f>
        <v>114</v>
      </c>
      <c r="R12" s="84">
        <f>TrRoad_act!R66</f>
        <v>131</v>
      </c>
      <c r="S12" s="84">
        <f>TrRoad_act!S66</f>
        <v>178</v>
      </c>
      <c r="T12" s="84">
        <f>TrRoad_act!T66</f>
        <v>314</v>
      </c>
      <c r="U12" s="84">
        <f>TrRoad_act!U66</f>
        <v>1128</v>
      </c>
      <c r="V12" s="84">
        <f>TrRoad_act!V66</f>
        <v>1934</v>
      </c>
      <c r="W12" s="84">
        <f>TrRoad_act!W66</f>
        <v>2044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1573</v>
      </c>
      <c r="C13" s="110">
        <f>TrRoad_act!C67</f>
        <v>1571</v>
      </c>
      <c r="D13" s="110">
        <f>TrRoad_act!D67</f>
        <v>1577</v>
      </c>
      <c r="E13" s="110">
        <f>TrRoad_act!E67</f>
        <v>1581</v>
      </c>
      <c r="F13" s="110">
        <f>TrRoad_act!F67</f>
        <v>1581</v>
      </c>
      <c r="G13" s="110">
        <f>TrRoad_act!G67</f>
        <v>1577</v>
      </c>
      <c r="H13" s="110">
        <f>TrRoad_act!H67</f>
        <v>1578</v>
      </c>
      <c r="I13" s="110">
        <f>TrRoad_act!I67</f>
        <v>1582</v>
      </c>
      <c r="J13" s="110">
        <f>TrRoad_act!J67</f>
        <v>1582</v>
      </c>
      <c r="K13" s="110">
        <f>TrRoad_act!K67</f>
        <v>1735</v>
      </c>
      <c r="L13" s="110">
        <f>TrRoad_act!L67</f>
        <v>1851</v>
      </c>
      <c r="M13" s="110">
        <f>TrRoad_act!M67</f>
        <v>1756</v>
      </c>
      <c r="N13" s="110">
        <f>TrRoad_act!N67</f>
        <v>1746</v>
      </c>
      <c r="O13" s="110">
        <f>TrRoad_act!O67</f>
        <v>1712</v>
      </c>
      <c r="P13" s="110">
        <f>TrRoad_act!P67</f>
        <v>1795</v>
      </c>
      <c r="Q13" s="110">
        <f>TrRoad_act!Q67</f>
        <v>1952</v>
      </c>
      <c r="R13" s="110">
        <f>TrRoad_act!R67</f>
        <v>1996</v>
      </c>
      <c r="S13" s="110">
        <f>TrRoad_act!S67</f>
        <v>2070</v>
      </c>
      <c r="T13" s="110">
        <f>TrRoad_act!T67</f>
        <v>2112</v>
      </c>
      <c r="U13" s="110">
        <f>TrRoad_act!U67</f>
        <v>2275</v>
      </c>
      <c r="V13" s="110">
        <f>TrRoad_act!V67</f>
        <v>2222</v>
      </c>
      <c r="W13" s="110">
        <f>TrRoad_act!W67</f>
        <v>2325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18</v>
      </c>
      <c r="M14" s="102">
        <f>TrRoad_act!M68</f>
        <v>15</v>
      </c>
      <c r="N14" s="102">
        <f>TrRoad_act!N68</f>
        <v>14</v>
      </c>
      <c r="O14" s="102">
        <f>TrRoad_act!O68</f>
        <v>13</v>
      </c>
      <c r="P14" s="102">
        <f>TrRoad_act!P68</f>
        <v>12</v>
      </c>
      <c r="Q14" s="102">
        <f>TrRoad_act!Q68</f>
        <v>10</v>
      </c>
      <c r="R14" s="102">
        <f>TrRoad_act!R68</f>
        <v>10</v>
      </c>
      <c r="S14" s="102">
        <f>TrRoad_act!S68</f>
        <v>10</v>
      </c>
      <c r="T14" s="102">
        <f>TrRoad_act!T68</f>
        <v>11</v>
      </c>
      <c r="U14" s="102">
        <f>TrRoad_act!U68</f>
        <v>13</v>
      </c>
      <c r="V14" s="102">
        <f>TrRoad_act!V68</f>
        <v>11</v>
      </c>
      <c r="W14" s="102">
        <f>TrRoad_act!W68</f>
        <v>12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1573</v>
      </c>
      <c r="C15" s="102">
        <f>TrRoad_act!C69</f>
        <v>1571</v>
      </c>
      <c r="D15" s="102">
        <f>TrRoad_act!D69</f>
        <v>1577</v>
      </c>
      <c r="E15" s="102">
        <f>TrRoad_act!E69</f>
        <v>1581</v>
      </c>
      <c r="F15" s="102">
        <f>TrRoad_act!F69</f>
        <v>1581</v>
      </c>
      <c r="G15" s="102">
        <f>TrRoad_act!G69</f>
        <v>1577</v>
      </c>
      <c r="H15" s="102">
        <f>TrRoad_act!H69</f>
        <v>1578</v>
      </c>
      <c r="I15" s="102">
        <f>TrRoad_act!I69</f>
        <v>1582</v>
      </c>
      <c r="J15" s="102">
        <f>TrRoad_act!J69</f>
        <v>1582</v>
      </c>
      <c r="K15" s="102">
        <f>TrRoad_act!K69</f>
        <v>1735</v>
      </c>
      <c r="L15" s="102">
        <f>TrRoad_act!L69</f>
        <v>1833</v>
      </c>
      <c r="M15" s="102">
        <f>TrRoad_act!M69</f>
        <v>1741</v>
      </c>
      <c r="N15" s="102">
        <f>TrRoad_act!N69</f>
        <v>1732</v>
      </c>
      <c r="O15" s="102">
        <f>TrRoad_act!O69</f>
        <v>1699</v>
      </c>
      <c r="P15" s="102">
        <f>TrRoad_act!P69</f>
        <v>1783</v>
      </c>
      <c r="Q15" s="102">
        <f>TrRoad_act!Q69</f>
        <v>1942</v>
      </c>
      <c r="R15" s="102">
        <f>TrRoad_act!R69</f>
        <v>1986</v>
      </c>
      <c r="S15" s="102">
        <f>TrRoad_act!S69</f>
        <v>2060</v>
      </c>
      <c r="T15" s="102">
        <f>TrRoad_act!T69</f>
        <v>2093</v>
      </c>
      <c r="U15" s="102">
        <f>TrRoad_act!U69</f>
        <v>2252</v>
      </c>
      <c r="V15" s="102">
        <f>TrRoad_act!V69</f>
        <v>2200</v>
      </c>
      <c r="W15" s="102">
        <f>TrRoad_act!W69</f>
        <v>2301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0</v>
      </c>
      <c r="R18" s="102">
        <f>TrRoad_act!R72</f>
        <v>0</v>
      </c>
      <c r="S18" s="102">
        <f>TrRoad_act!S72</f>
        <v>0</v>
      </c>
      <c r="T18" s="102">
        <f>TrRoad_act!T72</f>
        <v>8</v>
      </c>
      <c r="U18" s="102">
        <f>TrRoad_act!U72</f>
        <v>10</v>
      </c>
      <c r="V18" s="102">
        <f>TrRoad_act!V72</f>
        <v>11</v>
      </c>
      <c r="W18" s="102">
        <f>TrRoad_act!W72</f>
        <v>12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39178</v>
      </c>
      <c r="C19" s="28">
        <f>TrRoad_act!C73</f>
        <v>39157</v>
      </c>
      <c r="D19" s="28">
        <f>TrRoad_act!D73</f>
        <v>39284</v>
      </c>
      <c r="E19" s="28">
        <f>TrRoad_act!E73</f>
        <v>39824</v>
      </c>
      <c r="F19" s="28">
        <f>TrRoad_act!F73</f>
        <v>39769</v>
      </c>
      <c r="G19" s="28">
        <f>TrRoad_act!G73</f>
        <v>39632</v>
      </c>
      <c r="H19" s="28">
        <f>TrRoad_act!H73</f>
        <v>40543</v>
      </c>
      <c r="I19" s="28">
        <f>TrRoad_act!I73</f>
        <v>41438</v>
      </c>
      <c r="J19" s="28">
        <f>TrRoad_act!J73</f>
        <v>41955</v>
      </c>
      <c r="K19" s="28">
        <f>TrRoad_act!K73</f>
        <v>41236</v>
      </c>
      <c r="L19" s="28">
        <f>TrRoad_act!L73</f>
        <v>41319</v>
      </c>
      <c r="M19" s="28">
        <f>TrRoad_act!M73</f>
        <v>41285</v>
      </c>
      <c r="N19" s="28">
        <f>TrRoad_act!N73</f>
        <v>41370</v>
      </c>
      <c r="O19" s="28">
        <f>TrRoad_act!O73</f>
        <v>41948</v>
      </c>
      <c r="P19" s="28">
        <f>TrRoad_act!P73</f>
        <v>42417</v>
      </c>
      <c r="Q19" s="28">
        <f>TrRoad_act!Q73</f>
        <v>43284</v>
      </c>
      <c r="R19" s="28">
        <f>TrRoad_act!R73</f>
        <v>44191</v>
      </c>
      <c r="S19" s="28">
        <f>TrRoad_act!S73</f>
        <v>45791</v>
      </c>
      <c r="T19" s="28">
        <f>TrRoad_act!T73</f>
        <v>47653</v>
      </c>
      <c r="U19" s="28">
        <f>TrRoad_act!U73</f>
        <v>49498</v>
      </c>
      <c r="V19" s="28">
        <f>TrRoad_act!V73</f>
        <v>50898</v>
      </c>
      <c r="W19" s="28">
        <f>TrRoad_act!W73</f>
        <v>51627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28249</v>
      </c>
      <c r="C20" s="137">
        <f>TrRoad_act!C74</f>
        <v>28210</v>
      </c>
      <c r="D20" s="137">
        <f>TrRoad_act!D74</f>
        <v>28332</v>
      </c>
      <c r="E20" s="137">
        <f>TrRoad_act!E74</f>
        <v>28852</v>
      </c>
      <c r="F20" s="137">
        <f>TrRoad_act!F74</f>
        <v>28799</v>
      </c>
      <c r="G20" s="137">
        <f>TrRoad_act!G74</f>
        <v>28667</v>
      </c>
      <c r="H20" s="137">
        <f>TrRoad_act!H74</f>
        <v>29751</v>
      </c>
      <c r="I20" s="137">
        <f>TrRoad_act!I74</f>
        <v>30877</v>
      </c>
      <c r="J20" s="137">
        <f>TrRoad_act!J74</f>
        <v>31391</v>
      </c>
      <c r="K20" s="137">
        <f>TrRoad_act!K74</f>
        <v>30849</v>
      </c>
      <c r="L20" s="137">
        <f>TrRoad_act!L74</f>
        <v>31160</v>
      </c>
      <c r="M20" s="137">
        <f>TrRoad_act!M74</f>
        <v>31126</v>
      </c>
      <c r="N20" s="137">
        <f>TrRoad_act!N74</f>
        <v>31283</v>
      </c>
      <c r="O20" s="137">
        <f>TrRoad_act!O74</f>
        <v>31927</v>
      </c>
      <c r="P20" s="137">
        <f>TrRoad_act!P74</f>
        <v>32393</v>
      </c>
      <c r="Q20" s="137">
        <f>TrRoad_act!Q74</f>
        <v>33089</v>
      </c>
      <c r="R20" s="137">
        <f>TrRoad_act!R74</f>
        <v>33728</v>
      </c>
      <c r="S20" s="137">
        <f>TrRoad_act!S74</f>
        <v>34985</v>
      </c>
      <c r="T20" s="137">
        <f>TrRoad_act!T74</f>
        <v>36571</v>
      </c>
      <c r="U20" s="137">
        <f>TrRoad_act!U74</f>
        <v>37953</v>
      </c>
      <c r="V20" s="137">
        <f>TrRoad_act!V74</f>
        <v>38931</v>
      </c>
      <c r="W20" s="137">
        <f>TrRoad_act!W74</f>
        <v>39450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1661</v>
      </c>
      <c r="C21" s="84">
        <f>TrRoad_act!C75</f>
        <v>1702</v>
      </c>
      <c r="D21" s="84">
        <f>TrRoad_act!D75</f>
        <v>1664</v>
      </c>
      <c r="E21" s="84">
        <f>TrRoad_act!E75</f>
        <v>1649</v>
      </c>
      <c r="F21" s="84">
        <f>TrRoad_act!F75</f>
        <v>1602</v>
      </c>
      <c r="G21" s="84">
        <f>TrRoad_act!G75</f>
        <v>1553</v>
      </c>
      <c r="H21" s="84">
        <f>TrRoad_act!H75</f>
        <v>1569</v>
      </c>
      <c r="I21" s="84">
        <f>TrRoad_act!I75</f>
        <v>1585</v>
      </c>
      <c r="J21" s="84">
        <f>TrRoad_act!J75</f>
        <v>1568</v>
      </c>
      <c r="K21" s="84">
        <f>TrRoad_act!K75</f>
        <v>1500</v>
      </c>
      <c r="L21" s="84">
        <f>TrRoad_act!L75</f>
        <v>1475</v>
      </c>
      <c r="M21" s="84">
        <f>TrRoad_act!M75</f>
        <v>1389</v>
      </c>
      <c r="N21" s="84">
        <f>TrRoad_act!N75</f>
        <v>1278</v>
      </c>
      <c r="O21" s="84">
        <f>TrRoad_act!O75</f>
        <v>1275</v>
      </c>
      <c r="P21" s="84">
        <f>TrRoad_act!P75</f>
        <v>1258</v>
      </c>
      <c r="Q21" s="84">
        <f>TrRoad_act!Q75</f>
        <v>1226</v>
      </c>
      <c r="R21" s="84">
        <f>TrRoad_act!R75</f>
        <v>1201</v>
      </c>
      <c r="S21" s="84">
        <f>TrRoad_act!S75</f>
        <v>1170</v>
      </c>
      <c r="T21" s="84">
        <f>TrRoad_act!T75</f>
        <v>1171</v>
      </c>
      <c r="U21" s="84">
        <f>TrRoad_act!U75</f>
        <v>1210</v>
      </c>
      <c r="V21" s="84">
        <f>TrRoad_act!V75</f>
        <v>1224</v>
      </c>
      <c r="W21" s="84">
        <f>TrRoad_act!W75</f>
        <v>1313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26588</v>
      </c>
      <c r="C22" s="84">
        <f>TrRoad_act!C76</f>
        <v>26508</v>
      </c>
      <c r="D22" s="84">
        <f>TrRoad_act!D76</f>
        <v>26668</v>
      </c>
      <c r="E22" s="84">
        <f>TrRoad_act!E76</f>
        <v>27203</v>
      </c>
      <c r="F22" s="84">
        <f>TrRoad_act!F76</f>
        <v>27197</v>
      </c>
      <c r="G22" s="84">
        <f>TrRoad_act!G76</f>
        <v>27114</v>
      </c>
      <c r="H22" s="84">
        <f>TrRoad_act!H76</f>
        <v>28182</v>
      </c>
      <c r="I22" s="84">
        <f>TrRoad_act!I76</f>
        <v>29292</v>
      </c>
      <c r="J22" s="84">
        <f>TrRoad_act!J76</f>
        <v>29819</v>
      </c>
      <c r="K22" s="84">
        <f>TrRoad_act!K76</f>
        <v>29345</v>
      </c>
      <c r="L22" s="84">
        <f>TrRoad_act!L76</f>
        <v>29680</v>
      </c>
      <c r="M22" s="84">
        <f>TrRoad_act!M76</f>
        <v>29731</v>
      </c>
      <c r="N22" s="84">
        <f>TrRoad_act!N76</f>
        <v>29999</v>
      </c>
      <c r="O22" s="84">
        <f>TrRoad_act!O76</f>
        <v>30634</v>
      </c>
      <c r="P22" s="84">
        <f>TrRoad_act!P76</f>
        <v>31117</v>
      </c>
      <c r="Q22" s="84">
        <f>TrRoad_act!Q76</f>
        <v>31843</v>
      </c>
      <c r="R22" s="84">
        <f>TrRoad_act!R76</f>
        <v>32505</v>
      </c>
      <c r="S22" s="84">
        <f>TrRoad_act!S76</f>
        <v>33791</v>
      </c>
      <c r="T22" s="84">
        <f>TrRoad_act!T76</f>
        <v>35376</v>
      </c>
      <c r="U22" s="84">
        <f>TrRoad_act!U76</f>
        <v>36614</v>
      </c>
      <c r="V22" s="84">
        <f>TrRoad_act!V76</f>
        <v>37573</v>
      </c>
      <c r="W22" s="84">
        <f>TrRoad_act!W76</f>
        <v>37997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2</v>
      </c>
      <c r="T23" s="84">
        <f>TrRoad_act!T77</f>
        <v>2</v>
      </c>
      <c r="U23" s="84">
        <f>TrRoad_act!U77</f>
        <v>4</v>
      </c>
      <c r="V23" s="84">
        <f>TrRoad_act!V77</f>
        <v>4</v>
      </c>
      <c r="W23" s="84">
        <f>TrRoad_act!W77</f>
        <v>4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4</v>
      </c>
      <c r="K25" s="84">
        <f>TrRoad_act!K79</f>
        <v>4</v>
      </c>
      <c r="L25" s="84">
        <f>TrRoad_act!L79</f>
        <v>5</v>
      </c>
      <c r="M25" s="84">
        <f>TrRoad_act!M79</f>
        <v>6</v>
      </c>
      <c r="N25" s="84">
        <f>TrRoad_act!N79</f>
        <v>6</v>
      </c>
      <c r="O25" s="84">
        <f>TrRoad_act!O79</f>
        <v>18</v>
      </c>
      <c r="P25" s="84">
        <f>TrRoad_act!P79</f>
        <v>18</v>
      </c>
      <c r="Q25" s="84">
        <f>TrRoad_act!Q79</f>
        <v>20</v>
      </c>
      <c r="R25" s="84">
        <f>TrRoad_act!R79</f>
        <v>22</v>
      </c>
      <c r="S25" s="84">
        <f>TrRoad_act!S79</f>
        <v>22</v>
      </c>
      <c r="T25" s="84">
        <f>TrRoad_act!T79</f>
        <v>22</v>
      </c>
      <c r="U25" s="84">
        <f>TrRoad_act!U79</f>
        <v>125</v>
      </c>
      <c r="V25" s="84">
        <f>TrRoad_act!V79</f>
        <v>130</v>
      </c>
      <c r="W25" s="84">
        <f>TrRoad_act!W79</f>
        <v>136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10929</v>
      </c>
      <c r="C26" s="110">
        <f>TrRoad_act!C80</f>
        <v>10947</v>
      </c>
      <c r="D26" s="110">
        <f>TrRoad_act!D80</f>
        <v>10952</v>
      </c>
      <c r="E26" s="110">
        <f>TrRoad_act!E80</f>
        <v>10972</v>
      </c>
      <c r="F26" s="110">
        <f>TrRoad_act!F80</f>
        <v>10970</v>
      </c>
      <c r="G26" s="110">
        <f>TrRoad_act!G80</f>
        <v>10965</v>
      </c>
      <c r="H26" s="110">
        <f>TrRoad_act!H80</f>
        <v>10792</v>
      </c>
      <c r="I26" s="110">
        <f>TrRoad_act!I80</f>
        <v>10561</v>
      </c>
      <c r="J26" s="110">
        <f>TrRoad_act!J80</f>
        <v>10564</v>
      </c>
      <c r="K26" s="110">
        <f>TrRoad_act!K80</f>
        <v>10387</v>
      </c>
      <c r="L26" s="110">
        <f>TrRoad_act!L80</f>
        <v>10159</v>
      </c>
      <c r="M26" s="110">
        <f>TrRoad_act!M80</f>
        <v>10159</v>
      </c>
      <c r="N26" s="110">
        <f>TrRoad_act!N80</f>
        <v>10087</v>
      </c>
      <c r="O26" s="110">
        <f>TrRoad_act!O80</f>
        <v>10021</v>
      </c>
      <c r="P26" s="110">
        <f>TrRoad_act!P80</f>
        <v>10024</v>
      </c>
      <c r="Q26" s="110">
        <f>TrRoad_act!Q80</f>
        <v>10195</v>
      </c>
      <c r="R26" s="110">
        <f>TrRoad_act!R80</f>
        <v>10463</v>
      </c>
      <c r="S26" s="110">
        <f>TrRoad_act!S80</f>
        <v>10806</v>
      </c>
      <c r="T26" s="110">
        <f>TrRoad_act!T80</f>
        <v>11082</v>
      </c>
      <c r="U26" s="110">
        <f>TrRoad_act!U80</f>
        <v>11545</v>
      </c>
      <c r="V26" s="110">
        <f>TrRoad_act!V80</f>
        <v>11967</v>
      </c>
      <c r="W26" s="110">
        <f>TrRoad_act!W80</f>
        <v>12177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10929</v>
      </c>
      <c r="C27" s="102">
        <f>TrRoad_act!C81</f>
        <v>10947</v>
      </c>
      <c r="D27" s="102">
        <f>TrRoad_act!D81</f>
        <v>10952</v>
      </c>
      <c r="E27" s="102">
        <f>TrRoad_act!E81</f>
        <v>10972</v>
      </c>
      <c r="F27" s="102">
        <f>TrRoad_act!F81</f>
        <v>10970</v>
      </c>
      <c r="G27" s="102">
        <f>TrRoad_act!G81</f>
        <v>10965</v>
      </c>
      <c r="H27" s="102">
        <f>TrRoad_act!H81</f>
        <v>10792</v>
      </c>
      <c r="I27" s="102">
        <f>TrRoad_act!I81</f>
        <v>10561</v>
      </c>
      <c r="J27" s="102">
        <f>TrRoad_act!J81</f>
        <v>10564</v>
      </c>
      <c r="K27" s="102">
        <f>TrRoad_act!K81</f>
        <v>10387</v>
      </c>
      <c r="L27" s="102">
        <f>TrRoad_act!L81</f>
        <v>10159</v>
      </c>
      <c r="M27" s="102">
        <f>TrRoad_act!M81</f>
        <v>10159</v>
      </c>
      <c r="N27" s="102">
        <f>TrRoad_act!N81</f>
        <v>10087</v>
      </c>
      <c r="O27" s="102">
        <f>TrRoad_act!O81</f>
        <v>10021</v>
      </c>
      <c r="P27" s="102">
        <f>TrRoad_act!P81</f>
        <v>10024</v>
      </c>
      <c r="Q27" s="102">
        <f>TrRoad_act!Q81</f>
        <v>10195</v>
      </c>
      <c r="R27" s="102">
        <f>TrRoad_act!R81</f>
        <v>10463</v>
      </c>
      <c r="S27" s="102">
        <f>TrRoad_act!S81</f>
        <v>10806</v>
      </c>
      <c r="T27" s="102">
        <f>TrRoad_act!T81</f>
        <v>11082</v>
      </c>
      <c r="U27" s="102">
        <f>TrRoad_act!U81</f>
        <v>11545</v>
      </c>
      <c r="V27" s="102">
        <f>TrRoad_act!V81</f>
        <v>11967</v>
      </c>
      <c r="W27" s="102">
        <f>TrRoad_act!W81</f>
        <v>12177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0</v>
      </c>
      <c r="C28" s="86">
        <f>TrRoad_act!C82</f>
        <v>0</v>
      </c>
      <c r="D28" s="86">
        <f>TrRoad_act!D82</f>
        <v>0</v>
      </c>
      <c r="E28" s="86">
        <f>TrRoad_act!E82</f>
        <v>0</v>
      </c>
      <c r="F28" s="86">
        <f>TrRoad_act!F82</f>
        <v>0</v>
      </c>
      <c r="G28" s="86">
        <f>TrRoad_act!G82</f>
        <v>0</v>
      </c>
      <c r="H28" s="86">
        <f>TrRoad_act!H82</f>
        <v>0</v>
      </c>
      <c r="I28" s="86">
        <f>TrRoad_act!I82</f>
        <v>0</v>
      </c>
      <c r="J28" s="86">
        <f>TrRoad_act!J82</f>
        <v>0</v>
      </c>
      <c r="K28" s="86">
        <f>TrRoad_act!K82</f>
        <v>0</v>
      </c>
      <c r="L28" s="86">
        <f>TrRoad_act!L82</f>
        <v>0</v>
      </c>
      <c r="M28" s="86">
        <f>TrRoad_act!M82</f>
        <v>0</v>
      </c>
      <c r="N28" s="86">
        <f>TrRoad_act!N82</f>
        <v>0</v>
      </c>
      <c r="O28" s="86">
        <f>TrRoad_act!O82</f>
        <v>0</v>
      </c>
      <c r="P28" s="86">
        <f>TrRoad_act!P82</f>
        <v>0</v>
      </c>
      <c r="Q28" s="86">
        <f>TrRoad_act!Q82</f>
        <v>0</v>
      </c>
      <c r="R28" s="86">
        <f>TrRoad_act!R82</f>
        <v>0</v>
      </c>
      <c r="S28" s="86">
        <f>TrRoad_act!S82</f>
        <v>0</v>
      </c>
      <c r="T28" s="86">
        <f>TrRoad_act!T82</f>
        <v>0</v>
      </c>
      <c r="U28" s="86">
        <f>TrRoad_act!U82</f>
        <v>0</v>
      </c>
      <c r="V28" s="86">
        <f>TrRoad_act!V82</f>
        <v>0</v>
      </c>
      <c r="W28" s="86">
        <f>TrRoad_act!W82</f>
        <v>0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14060</v>
      </c>
      <c r="C30" s="54">
        <f>TrRoad_act!C111</f>
        <v>15734</v>
      </c>
      <c r="D30" s="54">
        <f>TrRoad_act!D111</f>
        <v>16776</v>
      </c>
      <c r="E30" s="54">
        <f>TrRoad_act!E111</f>
        <v>13450</v>
      </c>
      <c r="F30" s="54">
        <f>TrRoad_act!F111</f>
        <v>9150</v>
      </c>
      <c r="G30" s="54">
        <f>TrRoad_act!G111</f>
        <v>13043</v>
      </c>
      <c r="H30" s="54">
        <f>TrRoad_act!H111</f>
        <v>19157</v>
      </c>
      <c r="I30" s="54">
        <f>TrRoad_act!I111</f>
        <v>18843</v>
      </c>
      <c r="J30" s="54">
        <f>TrRoad_act!J111</f>
        <v>17839</v>
      </c>
      <c r="K30" s="54">
        <f>TrRoad_act!K111</f>
        <v>19433</v>
      </c>
      <c r="L30" s="54">
        <f>TrRoad_act!L111</f>
        <v>43259</v>
      </c>
      <c r="M30" s="54">
        <f>TrRoad_act!M111</f>
        <v>20070</v>
      </c>
      <c r="N30" s="54">
        <f>TrRoad_act!N111</f>
        <v>17275</v>
      </c>
      <c r="O30" s="54">
        <f>TrRoad_act!O111</f>
        <v>18472</v>
      </c>
      <c r="P30" s="54">
        <f>TrRoad_act!P111</f>
        <v>20967</v>
      </c>
      <c r="Q30" s="54">
        <f>TrRoad_act!Q111</f>
        <v>18693</v>
      </c>
      <c r="R30" s="54">
        <f>TrRoad_act!R111</f>
        <v>21804</v>
      </c>
      <c r="S30" s="54">
        <f>TrRoad_act!S111</f>
        <v>22861</v>
      </c>
      <c r="T30" s="54">
        <f>TrRoad_act!T111</f>
        <v>23676</v>
      </c>
      <c r="U30" s="54">
        <f>TrRoad_act!U111</f>
        <v>23395</v>
      </c>
      <c r="V30" s="54">
        <f>TrRoad_act!V111</f>
        <v>17758</v>
      </c>
      <c r="W30" s="54">
        <f>TrRoad_act!W111</f>
        <v>26933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13776</v>
      </c>
      <c r="C31" s="28">
        <f>TrRoad_act!C112</f>
        <v>14003</v>
      </c>
      <c r="D31" s="28">
        <f>TrRoad_act!D112</f>
        <v>14627</v>
      </c>
      <c r="E31" s="28">
        <f>TrRoad_act!E112</f>
        <v>10630</v>
      </c>
      <c r="F31" s="28">
        <f>TrRoad_act!F112</f>
        <v>6691</v>
      </c>
      <c r="G31" s="28">
        <f>TrRoad_act!G112</f>
        <v>10453</v>
      </c>
      <c r="H31" s="28">
        <f>TrRoad_act!H112</f>
        <v>15345</v>
      </c>
      <c r="I31" s="28">
        <f>TrRoad_act!I112</f>
        <v>14902</v>
      </c>
      <c r="J31" s="28">
        <f>TrRoad_act!J112</f>
        <v>14155</v>
      </c>
      <c r="K31" s="28">
        <f>TrRoad_act!K112</f>
        <v>16923</v>
      </c>
      <c r="L31" s="28">
        <f>TrRoad_act!L112</f>
        <v>40151</v>
      </c>
      <c r="M31" s="28">
        <f>TrRoad_act!M112</f>
        <v>17259</v>
      </c>
      <c r="N31" s="28">
        <f>TrRoad_act!N112</f>
        <v>14234</v>
      </c>
      <c r="O31" s="28">
        <f>TrRoad_act!O112</f>
        <v>14953</v>
      </c>
      <c r="P31" s="28">
        <f>TrRoad_act!P112</f>
        <v>17590</v>
      </c>
      <c r="Q31" s="28">
        <f>TrRoad_act!Q112</f>
        <v>14975</v>
      </c>
      <c r="R31" s="28">
        <f>TrRoad_act!R112</f>
        <v>18073</v>
      </c>
      <c r="S31" s="28">
        <f>TrRoad_act!S112</f>
        <v>18310</v>
      </c>
      <c r="T31" s="28">
        <f>TrRoad_act!T112</f>
        <v>18886</v>
      </c>
      <c r="U31" s="28">
        <f>TrRoad_act!U112</f>
        <v>18624</v>
      </c>
      <c r="V31" s="28">
        <f>TrRoad_act!V112</f>
        <v>13789</v>
      </c>
      <c r="W31" s="28">
        <f>TrRoad_act!W112</f>
        <v>23443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721</v>
      </c>
      <c r="C32" s="137">
        <f>TrRoad_act!C113</f>
        <v>738</v>
      </c>
      <c r="D32" s="137">
        <f>TrRoad_act!D113</f>
        <v>786</v>
      </c>
      <c r="E32" s="137">
        <f>TrRoad_act!E113</f>
        <v>706</v>
      </c>
      <c r="F32" s="137">
        <f>TrRoad_act!F113</f>
        <v>473</v>
      </c>
      <c r="G32" s="137">
        <f>TrRoad_act!G113</f>
        <v>425</v>
      </c>
      <c r="H32" s="137">
        <f>TrRoad_act!H113</f>
        <v>576</v>
      </c>
      <c r="I32" s="137">
        <f>TrRoad_act!I113</f>
        <v>721</v>
      </c>
      <c r="J32" s="137">
        <f>TrRoad_act!J113</f>
        <v>1615</v>
      </c>
      <c r="K32" s="137">
        <f>TrRoad_act!K113</f>
        <v>988</v>
      </c>
      <c r="L32" s="137">
        <f>TrRoad_act!L113</f>
        <v>949</v>
      </c>
      <c r="M32" s="137">
        <f>TrRoad_act!M113</f>
        <v>1099</v>
      </c>
      <c r="N32" s="137">
        <f>TrRoad_act!N113</f>
        <v>1163</v>
      </c>
      <c r="O32" s="137">
        <f>TrRoad_act!O113</f>
        <v>1400</v>
      </c>
      <c r="P32" s="137">
        <f>TrRoad_act!P113</f>
        <v>1740</v>
      </c>
      <c r="Q32" s="137">
        <f>TrRoad_act!Q113</f>
        <v>2174</v>
      </c>
      <c r="R32" s="137">
        <f>TrRoad_act!R113</f>
        <v>3428</v>
      </c>
      <c r="S32" s="137">
        <f>TrRoad_act!S113</f>
        <v>2930</v>
      </c>
      <c r="T32" s="137">
        <f>TrRoad_act!T113</f>
        <v>3092</v>
      </c>
      <c r="U32" s="137">
        <f>TrRoad_act!U113</f>
        <v>3351</v>
      </c>
      <c r="V32" s="137">
        <f>TrRoad_act!V113</f>
        <v>2373</v>
      </c>
      <c r="W32" s="137">
        <f>TrRoad_act!W113</f>
        <v>4251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13055</v>
      </c>
      <c r="C33" s="110">
        <f>TrRoad_act!C114</f>
        <v>13265</v>
      </c>
      <c r="D33" s="110">
        <f>TrRoad_act!D114</f>
        <v>13835</v>
      </c>
      <c r="E33" s="110">
        <f>TrRoad_act!E114</f>
        <v>9920</v>
      </c>
      <c r="F33" s="110">
        <f>TrRoad_act!F114</f>
        <v>6218</v>
      </c>
      <c r="G33" s="110">
        <f>TrRoad_act!G114</f>
        <v>10024</v>
      </c>
      <c r="H33" s="110">
        <f>TrRoad_act!H114</f>
        <v>14767</v>
      </c>
      <c r="I33" s="110">
        <f>TrRoad_act!I114</f>
        <v>14173</v>
      </c>
      <c r="J33" s="110">
        <f>TrRoad_act!J114</f>
        <v>12531</v>
      </c>
      <c r="K33" s="110">
        <f>TrRoad_act!K114</f>
        <v>15782</v>
      </c>
      <c r="L33" s="110">
        <f>TrRoad_act!L114</f>
        <v>39086</v>
      </c>
      <c r="M33" s="110">
        <f>TrRoad_act!M114</f>
        <v>15854</v>
      </c>
      <c r="N33" s="110">
        <f>TrRoad_act!N114</f>
        <v>13026</v>
      </c>
      <c r="O33" s="110">
        <f>TrRoad_act!O114</f>
        <v>13530</v>
      </c>
      <c r="P33" s="110">
        <f>TrRoad_act!P114</f>
        <v>15766</v>
      </c>
      <c r="Q33" s="110">
        <f>TrRoad_act!Q114</f>
        <v>12608</v>
      </c>
      <c r="R33" s="110">
        <f>TrRoad_act!R114</f>
        <v>14517</v>
      </c>
      <c r="S33" s="110">
        <f>TrRoad_act!S114</f>
        <v>15306</v>
      </c>
      <c r="T33" s="110">
        <f>TrRoad_act!T114</f>
        <v>15752</v>
      </c>
      <c r="U33" s="110">
        <f>TrRoad_act!U114</f>
        <v>15110</v>
      </c>
      <c r="V33" s="110">
        <f>TrRoad_act!V114</f>
        <v>11268</v>
      </c>
      <c r="W33" s="110">
        <f>TrRoad_act!W114</f>
        <v>19083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6853</v>
      </c>
      <c r="C34" s="84">
        <f>TrRoad_act!C115</f>
        <v>7838</v>
      </c>
      <c r="D34" s="84">
        <f>TrRoad_act!D115</f>
        <v>8426</v>
      </c>
      <c r="E34" s="84">
        <f>TrRoad_act!E115</f>
        <v>7110</v>
      </c>
      <c r="F34" s="84">
        <f>TrRoad_act!F115</f>
        <v>4795</v>
      </c>
      <c r="G34" s="84">
        <f>TrRoad_act!G115</f>
        <v>8276</v>
      </c>
      <c r="H34" s="84">
        <f>TrRoad_act!H115</f>
        <v>13134</v>
      </c>
      <c r="I34" s="84">
        <f>TrRoad_act!I115</f>
        <v>12514</v>
      </c>
      <c r="J34" s="84">
        <f>TrRoad_act!J115</f>
        <v>11087</v>
      </c>
      <c r="K34" s="84">
        <f>TrRoad_act!K115</f>
        <v>12354</v>
      </c>
      <c r="L34" s="84">
        <f>TrRoad_act!L115</f>
        <v>9655</v>
      </c>
      <c r="M34" s="84">
        <f>TrRoad_act!M115</f>
        <v>9791</v>
      </c>
      <c r="N34" s="84">
        <f>TrRoad_act!N115</f>
        <v>7671</v>
      </c>
      <c r="O34" s="84">
        <f>TrRoad_act!O115</f>
        <v>8075</v>
      </c>
      <c r="P34" s="84">
        <f>TrRoad_act!P115</f>
        <v>9614</v>
      </c>
      <c r="Q34" s="84">
        <f>TrRoad_act!Q115</f>
        <v>9207</v>
      </c>
      <c r="R34" s="84">
        <f>TrRoad_act!R115</f>
        <v>7565</v>
      </c>
      <c r="S34" s="84">
        <f>TrRoad_act!S115</f>
        <v>9047</v>
      </c>
      <c r="T34" s="84">
        <f>TrRoad_act!T115</f>
        <v>9680</v>
      </c>
      <c r="U34" s="84">
        <f>TrRoad_act!U115</f>
        <v>8679</v>
      </c>
      <c r="V34" s="84">
        <f>TrRoad_act!V115</f>
        <v>6491</v>
      </c>
      <c r="W34" s="84">
        <f>TrRoad_act!W115</f>
        <v>14442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6202</v>
      </c>
      <c r="C35" s="84">
        <f>TrRoad_act!C116</f>
        <v>5427</v>
      </c>
      <c r="D35" s="84">
        <f>TrRoad_act!D116</f>
        <v>5409</v>
      </c>
      <c r="E35" s="84">
        <f>TrRoad_act!E116</f>
        <v>2801</v>
      </c>
      <c r="F35" s="84">
        <f>TrRoad_act!F116</f>
        <v>1419</v>
      </c>
      <c r="G35" s="84">
        <f>TrRoad_act!G116</f>
        <v>1746</v>
      </c>
      <c r="H35" s="84">
        <f>TrRoad_act!H116</f>
        <v>1631</v>
      </c>
      <c r="I35" s="84">
        <f>TrRoad_act!I116</f>
        <v>1649</v>
      </c>
      <c r="J35" s="84">
        <f>TrRoad_act!J116</f>
        <v>1440</v>
      </c>
      <c r="K35" s="84">
        <f>TrRoad_act!K116</f>
        <v>3425</v>
      </c>
      <c r="L35" s="84">
        <f>TrRoad_act!L116</f>
        <v>29240</v>
      </c>
      <c r="M35" s="84">
        <f>TrRoad_act!M116</f>
        <v>6028</v>
      </c>
      <c r="N35" s="84">
        <f>TrRoad_act!N116</f>
        <v>5287</v>
      </c>
      <c r="O35" s="84">
        <f>TrRoad_act!O116</f>
        <v>5267</v>
      </c>
      <c r="P35" s="84">
        <f>TrRoad_act!P116</f>
        <v>5769</v>
      </c>
      <c r="Q35" s="84">
        <f>TrRoad_act!Q116</f>
        <v>3034</v>
      </c>
      <c r="R35" s="84">
        <f>TrRoad_act!R116</f>
        <v>4930</v>
      </c>
      <c r="S35" s="84">
        <f>TrRoad_act!S116</f>
        <v>6200</v>
      </c>
      <c r="T35" s="84">
        <f>TrRoad_act!T116</f>
        <v>5701</v>
      </c>
      <c r="U35" s="84">
        <f>TrRoad_act!U116</f>
        <v>5106</v>
      </c>
      <c r="V35" s="84">
        <f>TrRoad_act!V116</f>
        <v>3754</v>
      </c>
      <c r="W35" s="84">
        <f>TrRoad_act!W116</f>
        <v>3544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2000</v>
      </c>
      <c r="S36" s="84">
        <f>TrRoad_act!S117</f>
        <v>0</v>
      </c>
      <c r="T36" s="84">
        <f>TrRoad_act!T117</f>
        <v>0</v>
      </c>
      <c r="U36" s="84">
        <f>TrRoad_act!U117</f>
        <v>450</v>
      </c>
      <c r="V36" s="84">
        <f>TrRoad_act!V117</f>
        <v>0</v>
      </c>
      <c r="W36" s="84">
        <f>TrRoad_act!W117</f>
        <v>13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188</v>
      </c>
      <c r="M38" s="84">
        <f>TrRoad_act!M119</f>
        <v>35</v>
      </c>
      <c r="N38" s="84">
        <f>TrRoad_act!N119</f>
        <v>60</v>
      </c>
      <c r="O38" s="84">
        <f>TrRoad_act!O119</f>
        <v>170</v>
      </c>
      <c r="P38" s="84">
        <f>TrRoad_act!P119</f>
        <v>345</v>
      </c>
      <c r="Q38" s="84">
        <f>TrRoad_act!Q119</f>
        <v>340</v>
      </c>
      <c r="R38" s="84">
        <f>TrRoad_act!R119</f>
        <v>1</v>
      </c>
      <c r="S38" s="84">
        <f>TrRoad_act!S119</f>
        <v>11</v>
      </c>
      <c r="T38" s="84">
        <f>TrRoad_act!T119</f>
        <v>86</v>
      </c>
      <c r="U38" s="84">
        <f>TrRoad_act!U119</f>
        <v>60</v>
      </c>
      <c r="V38" s="84">
        <f>TrRoad_act!V119</f>
        <v>215</v>
      </c>
      <c r="W38" s="84">
        <f>TrRoad_act!W119</f>
        <v>668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9</v>
      </c>
      <c r="F39" s="84">
        <f>TrRoad_act!F120</f>
        <v>4</v>
      </c>
      <c r="G39" s="84">
        <f>TrRoad_act!G120</f>
        <v>2</v>
      </c>
      <c r="H39" s="84">
        <f>TrRoad_act!H120</f>
        <v>2</v>
      </c>
      <c r="I39" s="84">
        <f>TrRoad_act!I120</f>
        <v>10</v>
      </c>
      <c r="J39" s="84">
        <f>TrRoad_act!J120</f>
        <v>4</v>
      </c>
      <c r="K39" s="84">
        <f>TrRoad_act!K120</f>
        <v>3</v>
      </c>
      <c r="L39" s="84">
        <f>TrRoad_act!L120</f>
        <v>3</v>
      </c>
      <c r="M39" s="84">
        <f>TrRoad_act!M120</f>
        <v>0</v>
      </c>
      <c r="N39" s="84">
        <f>TrRoad_act!N120</f>
        <v>8</v>
      </c>
      <c r="O39" s="84">
        <f>TrRoad_act!O120</f>
        <v>18</v>
      </c>
      <c r="P39" s="84">
        <f>TrRoad_act!P120</f>
        <v>38</v>
      </c>
      <c r="Q39" s="84">
        <f>TrRoad_act!Q120</f>
        <v>27</v>
      </c>
      <c r="R39" s="84">
        <f>TrRoad_act!R120</f>
        <v>21</v>
      </c>
      <c r="S39" s="84">
        <f>TrRoad_act!S120</f>
        <v>48</v>
      </c>
      <c r="T39" s="84">
        <f>TrRoad_act!T120</f>
        <v>285</v>
      </c>
      <c r="U39" s="84">
        <f>TrRoad_act!U120</f>
        <v>815</v>
      </c>
      <c r="V39" s="84">
        <f>TrRoad_act!V120</f>
        <v>808</v>
      </c>
      <c r="W39" s="84">
        <f>TrRoad_act!W120</f>
        <v>416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0</v>
      </c>
      <c r="C40" s="110">
        <f>TrRoad_act!C121</f>
        <v>0</v>
      </c>
      <c r="D40" s="110">
        <f>TrRoad_act!D121</f>
        <v>6</v>
      </c>
      <c r="E40" s="110">
        <f>TrRoad_act!E121</f>
        <v>4</v>
      </c>
      <c r="F40" s="110">
        <f>TrRoad_act!F121</f>
        <v>0</v>
      </c>
      <c r="G40" s="110">
        <f>TrRoad_act!G121</f>
        <v>4</v>
      </c>
      <c r="H40" s="110">
        <f>TrRoad_act!H121</f>
        <v>2</v>
      </c>
      <c r="I40" s="110">
        <f>TrRoad_act!I121</f>
        <v>8</v>
      </c>
      <c r="J40" s="110">
        <f>TrRoad_act!J121</f>
        <v>9</v>
      </c>
      <c r="K40" s="110">
        <f>TrRoad_act!K121</f>
        <v>153</v>
      </c>
      <c r="L40" s="110">
        <f>TrRoad_act!L121</f>
        <v>116</v>
      </c>
      <c r="M40" s="110">
        <f>TrRoad_act!M121</f>
        <v>306</v>
      </c>
      <c r="N40" s="110">
        <f>TrRoad_act!N121</f>
        <v>45</v>
      </c>
      <c r="O40" s="110">
        <f>TrRoad_act!O121</f>
        <v>23</v>
      </c>
      <c r="P40" s="110">
        <f>TrRoad_act!P121</f>
        <v>84</v>
      </c>
      <c r="Q40" s="110">
        <f>TrRoad_act!Q121</f>
        <v>193</v>
      </c>
      <c r="R40" s="110">
        <f>TrRoad_act!R121</f>
        <v>128</v>
      </c>
      <c r="S40" s="110">
        <f>TrRoad_act!S121</f>
        <v>74</v>
      </c>
      <c r="T40" s="110">
        <f>TrRoad_act!T121</f>
        <v>42</v>
      </c>
      <c r="U40" s="110">
        <f>TrRoad_act!U121</f>
        <v>163</v>
      </c>
      <c r="V40" s="110">
        <f>TrRoad_act!V121</f>
        <v>148</v>
      </c>
      <c r="W40" s="110">
        <f>TrRoad_act!W121</f>
        <v>109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18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1</v>
      </c>
      <c r="U41" s="102">
        <f>TrRoad_act!U122</f>
        <v>2</v>
      </c>
      <c r="V41" s="102">
        <f>TrRoad_act!V122</f>
        <v>0</v>
      </c>
      <c r="W41" s="102">
        <f>TrRoad_act!W122</f>
        <v>1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0</v>
      </c>
      <c r="C42" s="102">
        <f>TrRoad_act!C123</f>
        <v>0</v>
      </c>
      <c r="D42" s="102">
        <f>TrRoad_act!D123</f>
        <v>6</v>
      </c>
      <c r="E42" s="102">
        <f>TrRoad_act!E123</f>
        <v>4</v>
      </c>
      <c r="F42" s="102">
        <f>TrRoad_act!F123</f>
        <v>0</v>
      </c>
      <c r="G42" s="102">
        <f>TrRoad_act!G123</f>
        <v>4</v>
      </c>
      <c r="H42" s="102">
        <f>TrRoad_act!H123</f>
        <v>2</v>
      </c>
      <c r="I42" s="102">
        <f>TrRoad_act!I123</f>
        <v>8</v>
      </c>
      <c r="J42" s="102">
        <f>TrRoad_act!J123</f>
        <v>9</v>
      </c>
      <c r="K42" s="102">
        <f>TrRoad_act!K123</f>
        <v>153</v>
      </c>
      <c r="L42" s="102">
        <f>TrRoad_act!L123</f>
        <v>98</v>
      </c>
      <c r="M42" s="102">
        <f>TrRoad_act!M123</f>
        <v>306</v>
      </c>
      <c r="N42" s="102">
        <f>TrRoad_act!N123</f>
        <v>45</v>
      </c>
      <c r="O42" s="102">
        <f>TrRoad_act!O123</f>
        <v>23</v>
      </c>
      <c r="P42" s="102">
        <f>TrRoad_act!P123</f>
        <v>84</v>
      </c>
      <c r="Q42" s="102">
        <f>TrRoad_act!Q123</f>
        <v>193</v>
      </c>
      <c r="R42" s="102">
        <f>TrRoad_act!R123</f>
        <v>128</v>
      </c>
      <c r="S42" s="102">
        <f>TrRoad_act!S123</f>
        <v>74</v>
      </c>
      <c r="T42" s="102">
        <f>TrRoad_act!T123</f>
        <v>33</v>
      </c>
      <c r="U42" s="102">
        <f>TrRoad_act!U123</f>
        <v>159</v>
      </c>
      <c r="V42" s="102">
        <f>TrRoad_act!V123</f>
        <v>147</v>
      </c>
      <c r="W42" s="102">
        <f>TrRoad_act!W123</f>
        <v>102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8</v>
      </c>
      <c r="U45" s="102">
        <f>TrRoad_act!U126</f>
        <v>2</v>
      </c>
      <c r="V45" s="102">
        <f>TrRoad_act!V126</f>
        <v>1</v>
      </c>
      <c r="W45" s="102">
        <f>TrRoad_act!W126</f>
        <v>6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284</v>
      </c>
      <c r="C46" s="28">
        <f>TrRoad_act!C127</f>
        <v>1731</v>
      </c>
      <c r="D46" s="28">
        <f>TrRoad_act!D127</f>
        <v>2149</v>
      </c>
      <c r="E46" s="28">
        <f>TrRoad_act!E127</f>
        <v>2820</v>
      </c>
      <c r="F46" s="28">
        <f>TrRoad_act!F127</f>
        <v>2459</v>
      </c>
      <c r="G46" s="28">
        <f>TrRoad_act!G127</f>
        <v>2590</v>
      </c>
      <c r="H46" s="28">
        <f>TrRoad_act!H127</f>
        <v>3812</v>
      </c>
      <c r="I46" s="28">
        <f>TrRoad_act!I127</f>
        <v>3941</v>
      </c>
      <c r="J46" s="28">
        <f>TrRoad_act!J127</f>
        <v>3684</v>
      </c>
      <c r="K46" s="28">
        <f>TrRoad_act!K127</f>
        <v>2510</v>
      </c>
      <c r="L46" s="28">
        <f>TrRoad_act!L127</f>
        <v>3108</v>
      </c>
      <c r="M46" s="28">
        <f>TrRoad_act!M127</f>
        <v>2811</v>
      </c>
      <c r="N46" s="28">
        <f>TrRoad_act!N127</f>
        <v>3041</v>
      </c>
      <c r="O46" s="28">
        <f>TrRoad_act!O127</f>
        <v>3519</v>
      </c>
      <c r="P46" s="28">
        <f>TrRoad_act!P127</f>
        <v>3377</v>
      </c>
      <c r="Q46" s="28">
        <f>TrRoad_act!Q127</f>
        <v>3718</v>
      </c>
      <c r="R46" s="28">
        <f>TrRoad_act!R127</f>
        <v>3731</v>
      </c>
      <c r="S46" s="28">
        <f>TrRoad_act!S127</f>
        <v>4551</v>
      </c>
      <c r="T46" s="28">
        <f>TrRoad_act!T127</f>
        <v>4790</v>
      </c>
      <c r="U46" s="28">
        <f>TrRoad_act!U127</f>
        <v>4771</v>
      </c>
      <c r="V46" s="28">
        <f>TrRoad_act!V127</f>
        <v>3969</v>
      </c>
      <c r="W46" s="28">
        <f>TrRoad_act!W127</f>
        <v>3490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1199</v>
      </c>
      <c r="D47" s="137">
        <f>TrRoad_act!D128</f>
        <v>1540</v>
      </c>
      <c r="E47" s="137">
        <f>TrRoad_act!E128</f>
        <v>2109</v>
      </c>
      <c r="F47" s="137">
        <f>TrRoad_act!F128</f>
        <v>1694</v>
      </c>
      <c r="G47" s="137">
        <f>TrRoad_act!G128</f>
        <v>1758</v>
      </c>
      <c r="H47" s="137">
        <f>TrRoad_act!H128</f>
        <v>3094</v>
      </c>
      <c r="I47" s="137">
        <f>TrRoad_act!I128</f>
        <v>3238</v>
      </c>
      <c r="J47" s="137">
        <f>TrRoad_act!J128</f>
        <v>2708</v>
      </c>
      <c r="K47" s="137">
        <f>TrRoad_act!K128</f>
        <v>1714</v>
      </c>
      <c r="L47" s="137">
        <f>TrRoad_act!L128</f>
        <v>2606</v>
      </c>
      <c r="M47" s="137">
        <f>TrRoad_act!M128</f>
        <v>2276</v>
      </c>
      <c r="N47" s="137">
        <f>TrRoad_act!N128</f>
        <v>2468</v>
      </c>
      <c r="O47" s="137">
        <f>TrRoad_act!O128</f>
        <v>2931</v>
      </c>
      <c r="P47" s="137">
        <f>TrRoad_act!P128</f>
        <v>2732</v>
      </c>
      <c r="Q47" s="137">
        <f>TrRoad_act!Q128</f>
        <v>2935</v>
      </c>
      <c r="R47" s="137">
        <f>TrRoad_act!R128</f>
        <v>2857</v>
      </c>
      <c r="S47" s="137">
        <f>TrRoad_act!S128</f>
        <v>3462</v>
      </c>
      <c r="T47" s="137">
        <f>TrRoad_act!T128</f>
        <v>3790</v>
      </c>
      <c r="U47" s="137">
        <f>TrRoad_act!U128</f>
        <v>3595</v>
      </c>
      <c r="V47" s="137">
        <f>TrRoad_act!V128</f>
        <v>2896</v>
      </c>
      <c r="W47" s="137">
        <f>TrRoad_act!W128</f>
        <v>2600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114</v>
      </c>
      <c r="D48" s="84">
        <f>TrRoad_act!D129</f>
        <v>45</v>
      </c>
      <c r="E48" s="84">
        <f>TrRoad_act!E129</f>
        <v>79</v>
      </c>
      <c r="F48" s="84">
        <f>TrRoad_act!F129</f>
        <v>56</v>
      </c>
      <c r="G48" s="84">
        <f>TrRoad_act!G129</f>
        <v>62</v>
      </c>
      <c r="H48" s="84">
        <f>TrRoad_act!H129</f>
        <v>133</v>
      </c>
      <c r="I48" s="84">
        <f>TrRoad_act!I129</f>
        <v>138</v>
      </c>
      <c r="J48" s="84">
        <f>TrRoad_act!J129</f>
        <v>109</v>
      </c>
      <c r="K48" s="84">
        <f>TrRoad_act!K129</f>
        <v>60</v>
      </c>
      <c r="L48" s="84">
        <f>TrRoad_act!L129</f>
        <v>104</v>
      </c>
      <c r="M48" s="84">
        <f>TrRoad_act!M129</f>
        <v>41</v>
      </c>
      <c r="N48" s="84">
        <f>TrRoad_act!N129</f>
        <v>17</v>
      </c>
      <c r="O48" s="84">
        <f>TrRoad_act!O129</f>
        <v>114</v>
      </c>
      <c r="P48" s="84">
        <f>TrRoad_act!P129</f>
        <v>98</v>
      </c>
      <c r="Q48" s="84">
        <f>TrRoad_act!Q129</f>
        <v>79</v>
      </c>
      <c r="R48" s="84">
        <f>TrRoad_act!R129</f>
        <v>80</v>
      </c>
      <c r="S48" s="84">
        <f>TrRoad_act!S129</f>
        <v>68</v>
      </c>
      <c r="T48" s="84">
        <f>TrRoad_act!T129</f>
        <v>96</v>
      </c>
      <c r="U48" s="84">
        <f>TrRoad_act!U129</f>
        <v>130</v>
      </c>
      <c r="V48" s="84">
        <f>TrRoad_act!V129</f>
        <v>83</v>
      </c>
      <c r="W48" s="84">
        <f>TrRoad_act!W129</f>
        <v>159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1085</v>
      </c>
      <c r="D49" s="84">
        <f>TrRoad_act!D130</f>
        <v>1495</v>
      </c>
      <c r="E49" s="84">
        <f>TrRoad_act!E130</f>
        <v>2030</v>
      </c>
      <c r="F49" s="84">
        <f>TrRoad_act!F130</f>
        <v>1638</v>
      </c>
      <c r="G49" s="84">
        <f>TrRoad_act!G130</f>
        <v>1696</v>
      </c>
      <c r="H49" s="84">
        <f>TrRoad_act!H130</f>
        <v>2961</v>
      </c>
      <c r="I49" s="84">
        <f>TrRoad_act!I130</f>
        <v>3100</v>
      </c>
      <c r="J49" s="84">
        <f>TrRoad_act!J130</f>
        <v>2595</v>
      </c>
      <c r="K49" s="84">
        <f>TrRoad_act!K130</f>
        <v>1654</v>
      </c>
      <c r="L49" s="84">
        <f>TrRoad_act!L130</f>
        <v>2501</v>
      </c>
      <c r="M49" s="84">
        <f>TrRoad_act!M130</f>
        <v>2234</v>
      </c>
      <c r="N49" s="84">
        <f>TrRoad_act!N130</f>
        <v>2451</v>
      </c>
      <c r="O49" s="84">
        <f>TrRoad_act!O130</f>
        <v>2805</v>
      </c>
      <c r="P49" s="84">
        <f>TrRoad_act!P130</f>
        <v>2633</v>
      </c>
      <c r="Q49" s="84">
        <f>TrRoad_act!Q130</f>
        <v>2854</v>
      </c>
      <c r="R49" s="84">
        <f>TrRoad_act!R130</f>
        <v>2773</v>
      </c>
      <c r="S49" s="84">
        <f>TrRoad_act!S130</f>
        <v>3387</v>
      </c>
      <c r="T49" s="84">
        <f>TrRoad_act!T130</f>
        <v>3687</v>
      </c>
      <c r="U49" s="84">
        <f>TrRoad_act!U130</f>
        <v>3360</v>
      </c>
      <c r="V49" s="84">
        <f>TrRoad_act!V130</f>
        <v>2794</v>
      </c>
      <c r="W49" s="84">
        <f>TrRoad_act!W130</f>
        <v>2401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2</v>
      </c>
      <c r="T50" s="84">
        <f>TrRoad_act!T131</f>
        <v>0</v>
      </c>
      <c r="U50" s="84">
        <f>TrRoad_act!U131</f>
        <v>2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4</v>
      </c>
      <c r="K52" s="84">
        <f>TrRoad_act!K133</f>
        <v>0</v>
      </c>
      <c r="L52" s="84">
        <f>TrRoad_act!L133</f>
        <v>1</v>
      </c>
      <c r="M52" s="84">
        <f>TrRoad_act!M133</f>
        <v>1</v>
      </c>
      <c r="N52" s="84">
        <f>TrRoad_act!N133</f>
        <v>0</v>
      </c>
      <c r="O52" s="84">
        <f>TrRoad_act!O133</f>
        <v>12</v>
      </c>
      <c r="P52" s="84">
        <f>TrRoad_act!P133</f>
        <v>1</v>
      </c>
      <c r="Q52" s="84">
        <f>TrRoad_act!Q133</f>
        <v>2</v>
      </c>
      <c r="R52" s="84">
        <f>TrRoad_act!R133</f>
        <v>4</v>
      </c>
      <c r="S52" s="84">
        <f>TrRoad_act!S133</f>
        <v>5</v>
      </c>
      <c r="T52" s="84">
        <f>TrRoad_act!T133</f>
        <v>7</v>
      </c>
      <c r="U52" s="84">
        <f>TrRoad_act!U133</f>
        <v>103</v>
      </c>
      <c r="V52" s="84">
        <f>TrRoad_act!V133</f>
        <v>19</v>
      </c>
      <c r="W52" s="84">
        <f>TrRoad_act!W133</f>
        <v>40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284</v>
      </c>
      <c r="C53" s="110">
        <f>TrRoad_act!C134</f>
        <v>532</v>
      </c>
      <c r="D53" s="110">
        <f>TrRoad_act!D134</f>
        <v>609</v>
      </c>
      <c r="E53" s="110">
        <f>TrRoad_act!E134</f>
        <v>711</v>
      </c>
      <c r="F53" s="110">
        <f>TrRoad_act!F134</f>
        <v>765</v>
      </c>
      <c r="G53" s="110">
        <f>TrRoad_act!G134</f>
        <v>832</v>
      </c>
      <c r="H53" s="110">
        <f>TrRoad_act!H134</f>
        <v>718</v>
      </c>
      <c r="I53" s="110">
        <f>TrRoad_act!I134</f>
        <v>703</v>
      </c>
      <c r="J53" s="110">
        <f>TrRoad_act!J134</f>
        <v>976</v>
      </c>
      <c r="K53" s="110">
        <f>TrRoad_act!K134</f>
        <v>796</v>
      </c>
      <c r="L53" s="110">
        <f>TrRoad_act!L134</f>
        <v>502</v>
      </c>
      <c r="M53" s="110">
        <f>TrRoad_act!M134</f>
        <v>535</v>
      </c>
      <c r="N53" s="110">
        <f>TrRoad_act!N134</f>
        <v>573</v>
      </c>
      <c r="O53" s="110">
        <f>TrRoad_act!O134</f>
        <v>588</v>
      </c>
      <c r="P53" s="110">
        <f>TrRoad_act!P134</f>
        <v>645</v>
      </c>
      <c r="Q53" s="110">
        <f>TrRoad_act!Q134</f>
        <v>783</v>
      </c>
      <c r="R53" s="110">
        <f>TrRoad_act!R134</f>
        <v>874</v>
      </c>
      <c r="S53" s="110">
        <f>TrRoad_act!S134</f>
        <v>1089</v>
      </c>
      <c r="T53" s="110">
        <f>TrRoad_act!T134</f>
        <v>1000</v>
      </c>
      <c r="U53" s="110">
        <f>TrRoad_act!U134</f>
        <v>1176</v>
      </c>
      <c r="V53" s="110">
        <f>TrRoad_act!V134</f>
        <v>1073</v>
      </c>
      <c r="W53" s="110">
        <f>TrRoad_act!W134</f>
        <v>890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284</v>
      </c>
      <c r="C54" s="102">
        <f>TrRoad_act!C135</f>
        <v>532</v>
      </c>
      <c r="D54" s="102">
        <f>TrRoad_act!D135</f>
        <v>609</v>
      </c>
      <c r="E54" s="102">
        <f>TrRoad_act!E135</f>
        <v>711</v>
      </c>
      <c r="F54" s="102">
        <f>TrRoad_act!F135</f>
        <v>765</v>
      </c>
      <c r="G54" s="102">
        <f>TrRoad_act!G135</f>
        <v>832</v>
      </c>
      <c r="H54" s="102">
        <f>TrRoad_act!H135</f>
        <v>718</v>
      </c>
      <c r="I54" s="102">
        <f>TrRoad_act!I135</f>
        <v>703</v>
      </c>
      <c r="J54" s="102">
        <f>TrRoad_act!J135</f>
        <v>976</v>
      </c>
      <c r="K54" s="102">
        <f>TrRoad_act!K135</f>
        <v>796</v>
      </c>
      <c r="L54" s="102">
        <f>TrRoad_act!L135</f>
        <v>502</v>
      </c>
      <c r="M54" s="102">
        <f>TrRoad_act!M135</f>
        <v>535</v>
      </c>
      <c r="N54" s="102">
        <f>TrRoad_act!N135</f>
        <v>573</v>
      </c>
      <c r="O54" s="102">
        <f>TrRoad_act!O135</f>
        <v>588</v>
      </c>
      <c r="P54" s="102">
        <f>TrRoad_act!P135</f>
        <v>645</v>
      </c>
      <c r="Q54" s="102">
        <f>TrRoad_act!Q135</f>
        <v>783</v>
      </c>
      <c r="R54" s="102">
        <f>TrRoad_act!R135</f>
        <v>874</v>
      </c>
      <c r="S54" s="102">
        <f>TrRoad_act!S135</f>
        <v>1089</v>
      </c>
      <c r="T54" s="102">
        <f>TrRoad_act!T135</f>
        <v>1000</v>
      </c>
      <c r="U54" s="102">
        <f>TrRoad_act!U135</f>
        <v>1176</v>
      </c>
      <c r="V54" s="102">
        <f>TrRoad_act!V135</f>
        <v>1073</v>
      </c>
      <c r="W54" s="102">
        <f>TrRoad_act!W135</f>
        <v>890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0</v>
      </c>
      <c r="C55" s="86">
        <f>TrRoad_act!C136</f>
        <v>0</v>
      </c>
      <c r="D55" s="86">
        <f>TrRoad_act!D136</f>
        <v>0</v>
      </c>
      <c r="E55" s="86">
        <f>TrRoad_act!E136</f>
        <v>0</v>
      </c>
      <c r="F55" s="86">
        <f>TrRoad_act!F136</f>
        <v>0</v>
      </c>
      <c r="G55" s="86">
        <f>TrRoad_act!G136</f>
        <v>0</v>
      </c>
      <c r="H55" s="86">
        <f>TrRoad_act!H136</f>
        <v>0</v>
      </c>
      <c r="I55" s="86">
        <f>TrRoad_act!I136</f>
        <v>0</v>
      </c>
      <c r="J55" s="86">
        <f>TrRoad_act!J136</f>
        <v>0</v>
      </c>
      <c r="K55" s="86">
        <f>TrRoad_act!K136</f>
        <v>0</v>
      </c>
      <c r="L55" s="86">
        <f>TrRoad_act!L136</f>
        <v>0</v>
      </c>
      <c r="M55" s="86">
        <f>TrRoad_act!M136</f>
        <v>0</v>
      </c>
      <c r="N55" s="86">
        <f>TrRoad_act!N136</f>
        <v>0</v>
      </c>
      <c r="O55" s="86">
        <f>TrRoad_act!O136</f>
        <v>0</v>
      </c>
      <c r="P55" s="86">
        <f>TrRoad_act!P136</f>
        <v>0</v>
      </c>
      <c r="Q55" s="86">
        <f>TrRoad_act!Q136</f>
        <v>0</v>
      </c>
      <c r="R55" s="86">
        <f>TrRoad_act!R136</f>
        <v>0</v>
      </c>
      <c r="S55" s="86">
        <f>TrRoad_act!S136</f>
        <v>0</v>
      </c>
      <c r="T55" s="86">
        <f>TrRoad_act!T136</f>
        <v>0</v>
      </c>
      <c r="U55" s="86">
        <f>TrRoad_act!U136</f>
        <v>0</v>
      </c>
      <c r="V55" s="86">
        <f>TrRoad_act!V136</f>
        <v>0</v>
      </c>
      <c r="W55" s="86">
        <f>TrRoad_act!W136</f>
        <v>0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49438</v>
      </c>
      <c r="C59" s="54">
        <f t="shared" si="0"/>
        <v>7956</v>
      </c>
      <c r="D59" s="54">
        <f t="shared" si="0"/>
        <v>9047</v>
      </c>
      <c r="E59" s="54">
        <f t="shared" si="0"/>
        <v>7631</v>
      </c>
      <c r="F59" s="54">
        <f t="shared" si="0"/>
        <v>5486</v>
      </c>
      <c r="G59" s="54">
        <f t="shared" si="0"/>
        <v>8696</v>
      </c>
      <c r="H59" s="54">
        <f t="shared" si="0"/>
        <v>13540</v>
      </c>
      <c r="I59" s="54">
        <f t="shared" si="0"/>
        <v>13965</v>
      </c>
      <c r="J59" s="54">
        <f t="shared" si="0"/>
        <v>13961</v>
      </c>
      <c r="K59" s="54">
        <f t="shared" si="0"/>
        <v>16110</v>
      </c>
      <c r="L59" s="54">
        <f t="shared" ref="L59" si="1">L60+L75</f>
        <v>36194</v>
      </c>
      <c r="M59" s="54">
        <f t="shared" ref="M59:V59" si="2">M60+M75</f>
        <v>17585</v>
      </c>
      <c r="N59" s="54">
        <f t="shared" si="2"/>
        <v>15463</v>
      </c>
      <c r="O59" s="54">
        <f t="shared" si="2"/>
        <v>16928</v>
      </c>
      <c r="P59" s="54">
        <f t="shared" si="2"/>
        <v>19715</v>
      </c>
      <c r="Q59" s="54">
        <f t="shared" si="2"/>
        <v>17906</v>
      </c>
      <c r="R59" s="54">
        <f t="shared" si="2"/>
        <v>19975</v>
      </c>
      <c r="S59" s="54">
        <f t="shared" si="2"/>
        <v>22418</v>
      </c>
      <c r="T59" s="54">
        <f t="shared" si="2"/>
        <v>23197</v>
      </c>
      <c r="U59" s="54">
        <f t="shared" si="2"/>
        <v>23268</v>
      </c>
      <c r="V59" s="54">
        <f t="shared" si="2"/>
        <v>17638</v>
      </c>
      <c r="W59" s="54">
        <f t="shared" ref="W59" si="3">W60+W75</f>
        <v>26933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48886</v>
      </c>
      <c r="C60" s="28">
        <f t="shared" si="4"/>
        <v>7760</v>
      </c>
      <c r="D60" s="28">
        <f t="shared" si="4"/>
        <v>8731</v>
      </c>
      <c r="E60" s="28">
        <f t="shared" si="4"/>
        <v>6893</v>
      </c>
      <c r="F60" s="28">
        <f t="shared" si="4"/>
        <v>4633</v>
      </c>
      <c r="G60" s="28">
        <f t="shared" si="4"/>
        <v>7649</v>
      </c>
      <c r="H60" s="28">
        <f t="shared" si="4"/>
        <v>11843</v>
      </c>
      <c r="I60" s="28">
        <f t="shared" si="4"/>
        <v>11979</v>
      </c>
      <c r="J60" s="28">
        <f t="shared" si="4"/>
        <v>11848</v>
      </c>
      <c r="K60" s="28">
        <f t="shared" si="4"/>
        <v>14507</v>
      </c>
      <c r="L60" s="28">
        <f t="shared" ref="L60" si="5">L61+L62+L69</f>
        <v>34083</v>
      </c>
      <c r="M60" s="28">
        <f t="shared" ref="M60:V60" si="6">M61+M62+M69</f>
        <v>15514</v>
      </c>
      <c r="N60" s="28">
        <f t="shared" si="6"/>
        <v>13069</v>
      </c>
      <c r="O60" s="28">
        <f t="shared" si="6"/>
        <v>14010</v>
      </c>
      <c r="P60" s="28">
        <f t="shared" si="6"/>
        <v>16762</v>
      </c>
      <c r="Q60" s="28">
        <f t="shared" si="6"/>
        <v>14521</v>
      </c>
      <c r="R60" s="28">
        <f t="shared" si="6"/>
        <v>16468</v>
      </c>
      <c r="S60" s="28">
        <f t="shared" si="6"/>
        <v>18034</v>
      </c>
      <c r="T60" s="28">
        <f t="shared" si="6"/>
        <v>18506</v>
      </c>
      <c r="U60" s="28">
        <f t="shared" si="6"/>
        <v>18557</v>
      </c>
      <c r="V60" s="28">
        <f t="shared" si="6"/>
        <v>13727</v>
      </c>
      <c r="W60" s="28">
        <f t="shared" ref="W60" si="7">W61+W62+W69</f>
        <v>23443</v>
      </c>
      <c r="DA60" s="173" t="s">
        <v>837</v>
      </c>
    </row>
    <row r="61" spans="1:105" ht="11.45" customHeight="1" x14ac:dyDescent="0.25">
      <c r="A61" s="136" t="s">
        <v>180</v>
      </c>
      <c r="B61" s="137">
        <v>2786</v>
      </c>
      <c r="C61" s="137">
        <v>505</v>
      </c>
      <c r="D61" s="137">
        <v>562</v>
      </c>
      <c r="E61" s="137">
        <v>526</v>
      </c>
      <c r="F61" s="137">
        <v>366</v>
      </c>
      <c r="G61" s="137">
        <v>340</v>
      </c>
      <c r="H61" s="137">
        <v>476</v>
      </c>
      <c r="I61" s="137">
        <v>613</v>
      </c>
      <c r="J61" s="137">
        <v>1408</v>
      </c>
      <c r="K61" s="137">
        <v>882</v>
      </c>
      <c r="L61" s="137">
        <v>865</v>
      </c>
      <c r="M61" s="137">
        <v>1020</v>
      </c>
      <c r="N61" s="137">
        <v>1097</v>
      </c>
      <c r="O61" s="137">
        <v>1339</v>
      </c>
      <c r="P61" s="137">
        <v>1684</v>
      </c>
      <c r="Q61" s="137">
        <v>2125</v>
      </c>
      <c r="R61" s="137">
        <v>3377</v>
      </c>
      <c r="S61" s="137">
        <v>2904</v>
      </c>
      <c r="T61" s="137">
        <v>3078</v>
      </c>
      <c r="U61" s="137">
        <v>3345</v>
      </c>
      <c r="V61" s="137">
        <v>2372</v>
      </c>
      <c r="W61" s="137">
        <v>4251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45365</v>
      </c>
      <c r="C62" s="110">
        <f t="shared" si="8"/>
        <v>7255</v>
      </c>
      <c r="D62" s="110">
        <f t="shared" si="8"/>
        <v>8164</v>
      </c>
      <c r="E62" s="110">
        <f t="shared" si="8"/>
        <v>6363</v>
      </c>
      <c r="F62" s="110">
        <f t="shared" si="8"/>
        <v>4267</v>
      </c>
      <c r="G62" s="110">
        <f t="shared" si="8"/>
        <v>7305</v>
      </c>
      <c r="H62" s="110">
        <f t="shared" si="8"/>
        <v>11365</v>
      </c>
      <c r="I62" s="110">
        <f t="shared" si="8"/>
        <v>11358</v>
      </c>
      <c r="J62" s="110">
        <f t="shared" si="8"/>
        <v>10431</v>
      </c>
      <c r="K62" s="110">
        <f t="shared" si="8"/>
        <v>13476</v>
      </c>
      <c r="L62" s="110">
        <f t="shared" ref="L62" si="9">SUM(L63:L68)</f>
        <v>33114</v>
      </c>
      <c r="M62" s="110">
        <f t="shared" ref="M62:V62" si="10">SUM(M63:M68)</f>
        <v>14193</v>
      </c>
      <c r="N62" s="110">
        <f t="shared" si="10"/>
        <v>11927</v>
      </c>
      <c r="O62" s="110">
        <f t="shared" si="10"/>
        <v>12648</v>
      </c>
      <c r="P62" s="110">
        <f t="shared" si="10"/>
        <v>14994</v>
      </c>
      <c r="Q62" s="110">
        <f t="shared" si="10"/>
        <v>12203</v>
      </c>
      <c r="R62" s="110">
        <f t="shared" si="10"/>
        <v>12963</v>
      </c>
      <c r="S62" s="110">
        <f t="shared" si="10"/>
        <v>15056</v>
      </c>
      <c r="T62" s="110">
        <f t="shared" si="10"/>
        <v>15391</v>
      </c>
      <c r="U62" s="110">
        <f t="shared" si="10"/>
        <v>15049</v>
      </c>
      <c r="V62" s="110">
        <f t="shared" si="10"/>
        <v>11207</v>
      </c>
      <c r="W62" s="110">
        <f t="shared" ref="W62" si="11">SUM(W63:W68)</f>
        <v>19083</v>
      </c>
      <c r="DA62" s="176" t="s">
        <v>839</v>
      </c>
    </row>
    <row r="63" spans="1:105" ht="11.45" customHeight="1" x14ac:dyDescent="0.25">
      <c r="A63" s="111" t="s">
        <v>110</v>
      </c>
      <c r="B63" s="84">
        <v>40101</v>
      </c>
      <c r="C63" s="84">
        <v>4650</v>
      </c>
      <c r="D63" s="84">
        <v>5335</v>
      </c>
      <c r="E63" s="84">
        <v>4777</v>
      </c>
      <c r="F63" s="84">
        <v>3403</v>
      </c>
      <c r="G63" s="84">
        <v>6169</v>
      </c>
      <c r="H63" s="84">
        <v>10238</v>
      </c>
      <c r="I63" s="84">
        <v>10154</v>
      </c>
      <c r="J63" s="84">
        <v>9326</v>
      </c>
      <c r="K63" s="84">
        <v>10728</v>
      </c>
      <c r="L63" s="84">
        <v>8623</v>
      </c>
      <c r="M63" s="84">
        <v>8959</v>
      </c>
      <c r="N63" s="84">
        <v>7166</v>
      </c>
      <c r="O63" s="84">
        <v>7677</v>
      </c>
      <c r="P63" s="84">
        <v>9272</v>
      </c>
      <c r="Q63" s="84">
        <v>8982</v>
      </c>
      <c r="R63" s="84">
        <v>7446</v>
      </c>
      <c r="S63" s="84">
        <v>8963</v>
      </c>
      <c r="T63" s="84">
        <v>9634</v>
      </c>
      <c r="U63" s="84">
        <v>8663</v>
      </c>
      <c r="V63" s="84">
        <v>6466</v>
      </c>
      <c r="W63" s="84">
        <v>14442</v>
      </c>
      <c r="DA63" s="171" t="s">
        <v>840</v>
      </c>
    </row>
    <row r="64" spans="1:105" ht="11.45" customHeight="1" x14ac:dyDescent="0.25">
      <c r="A64" s="111" t="s">
        <v>111</v>
      </c>
      <c r="B64" s="84">
        <v>5264</v>
      </c>
      <c r="C64" s="84">
        <v>2605</v>
      </c>
      <c r="D64" s="84">
        <v>2829</v>
      </c>
      <c r="E64" s="84">
        <v>1586</v>
      </c>
      <c r="F64" s="84">
        <v>864</v>
      </c>
      <c r="G64" s="84">
        <v>1136</v>
      </c>
      <c r="H64" s="84">
        <v>1127</v>
      </c>
      <c r="I64" s="84">
        <v>1204</v>
      </c>
      <c r="J64" s="84">
        <v>1105</v>
      </c>
      <c r="K64" s="84">
        <v>2748</v>
      </c>
      <c r="L64" s="84">
        <v>24406</v>
      </c>
      <c r="M64" s="84">
        <v>5211</v>
      </c>
      <c r="N64" s="84">
        <v>4713</v>
      </c>
      <c r="O64" s="84">
        <v>4822</v>
      </c>
      <c r="P64" s="84">
        <v>5403</v>
      </c>
      <c r="Q64" s="84">
        <v>2896</v>
      </c>
      <c r="R64" s="84">
        <v>4778</v>
      </c>
      <c r="S64" s="84">
        <v>6082</v>
      </c>
      <c r="T64" s="84">
        <v>5643</v>
      </c>
      <c r="U64" s="84">
        <v>5084</v>
      </c>
      <c r="V64" s="84">
        <v>3719</v>
      </c>
      <c r="W64" s="84">
        <v>3544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738</v>
      </c>
      <c r="S65" s="84">
        <v>0</v>
      </c>
      <c r="T65" s="84">
        <v>0</v>
      </c>
      <c r="U65" s="84">
        <v>449</v>
      </c>
      <c r="V65" s="84">
        <v>0</v>
      </c>
      <c r="W65" s="84">
        <v>13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85</v>
      </c>
      <c r="M67" s="84">
        <v>23</v>
      </c>
      <c r="N67" s="84">
        <v>48</v>
      </c>
      <c r="O67" s="84">
        <v>149</v>
      </c>
      <c r="P67" s="84">
        <v>319</v>
      </c>
      <c r="Q67" s="84">
        <v>325</v>
      </c>
      <c r="R67" s="84">
        <v>1</v>
      </c>
      <c r="S67" s="84">
        <v>11</v>
      </c>
      <c r="T67" s="84">
        <v>86</v>
      </c>
      <c r="U67" s="84">
        <v>60</v>
      </c>
      <c r="V67" s="84">
        <v>215</v>
      </c>
      <c r="W67" s="84">
        <v>668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28</v>
      </c>
      <c r="U68" s="84">
        <v>793</v>
      </c>
      <c r="V68" s="84">
        <v>807</v>
      </c>
      <c r="W68" s="84">
        <v>416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735</v>
      </c>
      <c r="C69" s="110">
        <f t="shared" si="12"/>
        <v>0</v>
      </c>
      <c r="D69" s="110">
        <f t="shared" si="12"/>
        <v>5</v>
      </c>
      <c r="E69" s="110">
        <f t="shared" si="12"/>
        <v>4</v>
      </c>
      <c r="F69" s="110">
        <f t="shared" si="12"/>
        <v>0</v>
      </c>
      <c r="G69" s="110">
        <f t="shared" si="12"/>
        <v>4</v>
      </c>
      <c r="H69" s="110">
        <f t="shared" si="12"/>
        <v>2</v>
      </c>
      <c r="I69" s="110">
        <f t="shared" si="12"/>
        <v>8</v>
      </c>
      <c r="J69" s="110">
        <f t="shared" si="12"/>
        <v>9</v>
      </c>
      <c r="K69" s="110">
        <f t="shared" si="12"/>
        <v>149</v>
      </c>
      <c r="L69" s="110">
        <f t="shared" ref="L69" si="13">SUM(L70:L74)</f>
        <v>104</v>
      </c>
      <c r="M69" s="110">
        <f t="shared" ref="M69:V69" si="14">SUM(M70:M74)</f>
        <v>301</v>
      </c>
      <c r="N69" s="110">
        <f t="shared" si="14"/>
        <v>45</v>
      </c>
      <c r="O69" s="110">
        <f t="shared" si="14"/>
        <v>23</v>
      </c>
      <c r="P69" s="110">
        <f t="shared" si="14"/>
        <v>84</v>
      </c>
      <c r="Q69" s="110">
        <f t="shared" si="14"/>
        <v>193</v>
      </c>
      <c r="R69" s="110">
        <f t="shared" si="14"/>
        <v>128</v>
      </c>
      <c r="S69" s="110">
        <f t="shared" si="14"/>
        <v>74</v>
      </c>
      <c r="T69" s="110">
        <f t="shared" si="14"/>
        <v>37</v>
      </c>
      <c r="U69" s="110">
        <f t="shared" si="14"/>
        <v>163</v>
      </c>
      <c r="V69" s="110">
        <f t="shared" si="14"/>
        <v>148</v>
      </c>
      <c r="W69" s="110">
        <f t="shared" ref="W69" si="15">SUM(W70:W74)</f>
        <v>109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8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2</v>
      </c>
      <c r="V70" s="102">
        <v>0</v>
      </c>
      <c r="W70" s="102">
        <v>1</v>
      </c>
      <c r="DA70" s="175" t="s">
        <v>847</v>
      </c>
    </row>
    <row r="71" spans="1:105" ht="11.45" customHeight="1" x14ac:dyDescent="0.25">
      <c r="A71" s="111" t="s">
        <v>111</v>
      </c>
      <c r="B71" s="102">
        <v>735</v>
      </c>
      <c r="C71" s="102">
        <v>0</v>
      </c>
      <c r="D71" s="102">
        <v>5</v>
      </c>
      <c r="E71" s="102">
        <v>4</v>
      </c>
      <c r="F71" s="102">
        <v>0</v>
      </c>
      <c r="G71" s="102">
        <v>4</v>
      </c>
      <c r="H71" s="102">
        <v>2</v>
      </c>
      <c r="I71" s="102">
        <v>8</v>
      </c>
      <c r="J71" s="102">
        <v>9</v>
      </c>
      <c r="K71" s="102">
        <v>149</v>
      </c>
      <c r="L71" s="102">
        <v>96</v>
      </c>
      <c r="M71" s="102">
        <v>301</v>
      </c>
      <c r="N71" s="102">
        <v>45</v>
      </c>
      <c r="O71" s="102">
        <v>23</v>
      </c>
      <c r="P71" s="102">
        <v>84</v>
      </c>
      <c r="Q71" s="102">
        <v>193</v>
      </c>
      <c r="R71" s="102">
        <v>128</v>
      </c>
      <c r="S71" s="102">
        <v>74</v>
      </c>
      <c r="T71" s="102">
        <v>33</v>
      </c>
      <c r="U71" s="102">
        <v>159</v>
      </c>
      <c r="V71" s="102">
        <v>147</v>
      </c>
      <c r="W71" s="102">
        <v>102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3</v>
      </c>
      <c r="U74" s="102">
        <v>2</v>
      </c>
      <c r="V74" s="102">
        <v>1</v>
      </c>
      <c r="W74" s="102">
        <v>6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552</v>
      </c>
      <c r="C75" s="28">
        <f t="shared" si="16"/>
        <v>196</v>
      </c>
      <c r="D75" s="28">
        <f t="shared" si="16"/>
        <v>316</v>
      </c>
      <c r="E75" s="28">
        <f t="shared" si="16"/>
        <v>738</v>
      </c>
      <c r="F75" s="28">
        <f t="shared" si="16"/>
        <v>853</v>
      </c>
      <c r="G75" s="28">
        <f t="shared" si="16"/>
        <v>1047</v>
      </c>
      <c r="H75" s="28">
        <f t="shared" si="16"/>
        <v>1697</v>
      </c>
      <c r="I75" s="28">
        <f t="shared" si="16"/>
        <v>1986</v>
      </c>
      <c r="J75" s="28">
        <f t="shared" si="16"/>
        <v>2113</v>
      </c>
      <c r="K75" s="28">
        <f t="shared" si="16"/>
        <v>1603</v>
      </c>
      <c r="L75" s="28">
        <f t="shared" ref="L75" si="17">L76+L82</f>
        <v>2111</v>
      </c>
      <c r="M75" s="28">
        <f t="shared" ref="M75:V75" si="18">M76+M82</f>
        <v>2071</v>
      </c>
      <c r="N75" s="28">
        <f t="shared" si="18"/>
        <v>2394</v>
      </c>
      <c r="O75" s="28">
        <f t="shared" si="18"/>
        <v>2918</v>
      </c>
      <c r="P75" s="28">
        <f t="shared" si="18"/>
        <v>2953</v>
      </c>
      <c r="Q75" s="28">
        <f t="shared" si="18"/>
        <v>3385</v>
      </c>
      <c r="R75" s="28">
        <f t="shared" si="18"/>
        <v>3507</v>
      </c>
      <c r="S75" s="28">
        <f t="shared" si="18"/>
        <v>4384</v>
      </c>
      <c r="T75" s="28">
        <f t="shared" si="18"/>
        <v>4691</v>
      </c>
      <c r="U75" s="28">
        <f t="shared" si="18"/>
        <v>4711</v>
      </c>
      <c r="V75" s="28">
        <f t="shared" si="18"/>
        <v>3911</v>
      </c>
      <c r="W75" s="28">
        <f t="shared" ref="W75" si="19">W76+W82</f>
        <v>3490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552</v>
      </c>
      <c r="C76" s="137">
        <f t="shared" si="20"/>
        <v>196</v>
      </c>
      <c r="D76" s="137">
        <f t="shared" si="20"/>
        <v>316</v>
      </c>
      <c r="E76" s="137">
        <f t="shared" si="20"/>
        <v>534</v>
      </c>
      <c r="F76" s="137">
        <f t="shared" si="20"/>
        <v>516</v>
      </c>
      <c r="G76" s="137">
        <f t="shared" si="20"/>
        <v>635</v>
      </c>
      <c r="H76" s="137">
        <f t="shared" si="20"/>
        <v>1301</v>
      </c>
      <c r="I76" s="137">
        <f t="shared" si="20"/>
        <v>1559</v>
      </c>
      <c r="J76" s="137">
        <f t="shared" si="20"/>
        <v>1468</v>
      </c>
      <c r="K76" s="137">
        <f t="shared" si="20"/>
        <v>1036</v>
      </c>
      <c r="L76" s="137">
        <f t="shared" ref="L76" si="21">SUM(L77:L81)</f>
        <v>1729</v>
      </c>
      <c r="M76" s="137">
        <f t="shared" ref="M76:V76" si="22">SUM(M77:M81)</f>
        <v>1639</v>
      </c>
      <c r="N76" s="137">
        <f t="shared" si="22"/>
        <v>1908</v>
      </c>
      <c r="O76" s="137">
        <f t="shared" si="22"/>
        <v>2398</v>
      </c>
      <c r="P76" s="137">
        <f t="shared" si="22"/>
        <v>2362</v>
      </c>
      <c r="Q76" s="137">
        <f t="shared" si="22"/>
        <v>2647</v>
      </c>
      <c r="R76" s="137">
        <f t="shared" si="22"/>
        <v>2664</v>
      </c>
      <c r="S76" s="137">
        <f t="shared" si="22"/>
        <v>3316</v>
      </c>
      <c r="T76" s="137">
        <f t="shared" si="22"/>
        <v>3699</v>
      </c>
      <c r="U76" s="137">
        <f t="shared" si="22"/>
        <v>3537</v>
      </c>
      <c r="V76" s="137">
        <f t="shared" si="22"/>
        <v>2838</v>
      </c>
      <c r="W76" s="137">
        <f t="shared" ref="W76" si="23">SUM(W77:W81)</f>
        <v>2600</v>
      </c>
      <c r="DA76" s="174" t="s">
        <v>853</v>
      </c>
    </row>
    <row r="77" spans="1:105" ht="11.45" customHeight="1" x14ac:dyDescent="0.25">
      <c r="A77" s="111" t="s">
        <v>110</v>
      </c>
      <c r="B77" s="84">
        <v>33</v>
      </c>
      <c r="C77" s="84">
        <v>19</v>
      </c>
      <c r="D77" s="84">
        <v>9</v>
      </c>
      <c r="E77" s="84">
        <v>21</v>
      </c>
      <c r="F77" s="84">
        <v>17</v>
      </c>
      <c r="G77" s="84">
        <v>23</v>
      </c>
      <c r="H77" s="84">
        <v>57</v>
      </c>
      <c r="I77" s="84">
        <v>68</v>
      </c>
      <c r="J77" s="84">
        <v>60</v>
      </c>
      <c r="K77" s="84">
        <v>37</v>
      </c>
      <c r="L77" s="84">
        <v>70</v>
      </c>
      <c r="M77" s="84">
        <v>30</v>
      </c>
      <c r="N77" s="84">
        <v>13</v>
      </c>
      <c r="O77" s="84">
        <v>94</v>
      </c>
      <c r="P77" s="84">
        <v>85</v>
      </c>
      <c r="Q77" s="84">
        <v>72</v>
      </c>
      <c r="R77" s="84">
        <v>75</v>
      </c>
      <c r="S77" s="84">
        <v>66</v>
      </c>
      <c r="T77" s="84">
        <v>94</v>
      </c>
      <c r="U77" s="84">
        <v>129</v>
      </c>
      <c r="V77" s="84">
        <v>82</v>
      </c>
      <c r="W77" s="84">
        <v>159</v>
      </c>
      <c r="DA77" s="171" t="s">
        <v>854</v>
      </c>
    </row>
    <row r="78" spans="1:105" ht="11.45" customHeight="1" x14ac:dyDescent="0.25">
      <c r="A78" s="111" t="s">
        <v>111</v>
      </c>
      <c r="B78" s="84">
        <v>519</v>
      </c>
      <c r="C78" s="84">
        <v>177</v>
      </c>
      <c r="D78" s="84">
        <v>307</v>
      </c>
      <c r="E78" s="84">
        <v>513</v>
      </c>
      <c r="F78" s="84">
        <v>499</v>
      </c>
      <c r="G78" s="84">
        <v>612</v>
      </c>
      <c r="H78" s="84">
        <v>1244</v>
      </c>
      <c r="I78" s="84">
        <v>1491</v>
      </c>
      <c r="J78" s="84">
        <v>1408</v>
      </c>
      <c r="K78" s="84">
        <v>999</v>
      </c>
      <c r="L78" s="84">
        <v>1659</v>
      </c>
      <c r="M78" s="84">
        <v>1609</v>
      </c>
      <c r="N78" s="84">
        <v>1895</v>
      </c>
      <c r="O78" s="84">
        <v>2304</v>
      </c>
      <c r="P78" s="84">
        <v>2277</v>
      </c>
      <c r="Q78" s="84">
        <v>2575</v>
      </c>
      <c r="R78" s="84">
        <v>2589</v>
      </c>
      <c r="S78" s="84">
        <v>3248</v>
      </c>
      <c r="T78" s="84">
        <v>3605</v>
      </c>
      <c r="U78" s="84">
        <v>3329</v>
      </c>
      <c r="V78" s="84">
        <v>2737</v>
      </c>
      <c r="W78" s="84">
        <v>2401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2</v>
      </c>
      <c r="T79" s="84">
        <v>0</v>
      </c>
      <c r="U79" s="84">
        <v>2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77</v>
      </c>
      <c r="V81" s="84">
        <v>19</v>
      </c>
      <c r="W81" s="84">
        <v>40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204</v>
      </c>
      <c r="F82" s="110">
        <f t="shared" si="24"/>
        <v>337</v>
      </c>
      <c r="G82" s="110">
        <f t="shared" si="24"/>
        <v>412</v>
      </c>
      <c r="H82" s="110">
        <f t="shared" si="24"/>
        <v>396</v>
      </c>
      <c r="I82" s="110">
        <f t="shared" si="24"/>
        <v>427</v>
      </c>
      <c r="J82" s="110">
        <f t="shared" si="24"/>
        <v>645</v>
      </c>
      <c r="K82" s="110">
        <f t="shared" si="24"/>
        <v>567</v>
      </c>
      <c r="L82" s="110">
        <f t="shared" ref="L82" si="25">SUM(L83:L84)</f>
        <v>382</v>
      </c>
      <c r="M82" s="110">
        <f t="shared" ref="M82:V82" si="26">SUM(M83:M84)</f>
        <v>432</v>
      </c>
      <c r="N82" s="110">
        <f t="shared" si="26"/>
        <v>486</v>
      </c>
      <c r="O82" s="110">
        <f t="shared" si="26"/>
        <v>520</v>
      </c>
      <c r="P82" s="110">
        <f t="shared" si="26"/>
        <v>591</v>
      </c>
      <c r="Q82" s="110">
        <f t="shared" si="26"/>
        <v>738</v>
      </c>
      <c r="R82" s="110">
        <f t="shared" si="26"/>
        <v>843</v>
      </c>
      <c r="S82" s="110">
        <f t="shared" si="26"/>
        <v>1068</v>
      </c>
      <c r="T82" s="110">
        <f t="shared" si="26"/>
        <v>992</v>
      </c>
      <c r="U82" s="110">
        <f t="shared" si="26"/>
        <v>1174</v>
      </c>
      <c r="V82" s="110">
        <f t="shared" si="26"/>
        <v>1073</v>
      </c>
      <c r="W82" s="110">
        <f t="shared" ref="W82" si="27">SUM(W83:W84)</f>
        <v>890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204</v>
      </c>
      <c r="F83" s="102">
        <v>337</v>
      </c>
      <c r="G83" s="102">
        <v>412</v>
      </c>
      <c r="H83" s="102">
        <v>396</v>
      </c>
      <c r="I83" s="102">
        <v>427</v>
      </c>
      <c r="J83" s="102">
        <v>645</v>
      </c>
      <c r="K83" s="102">
        <v>567</v>
      </c>
      <c r="L83" s="102">
        <v>382</v>
      </c>
      <c r="M83" s="102">
        <v>432</v>
      </c>
      <c r="N83" s="102">
        <v>486</v>
      </c>
      <c r="O83" s="102">
        <v>520</v>
      </c>
      <c r="P83" s="102">
        <v>591</v>
      </c>
      <c r="Q83" s="102">
        <v>738</v>
      </c>
      <c r="R83" s="102">
        <v>843</v>
      </c>
      <c r="S83" s="102">
        <v>1068</v>
      </c>
      <c r="T83" s="102">
        <v>992</v>
      </c>
      <c r="U83" s="102">
        <v>1174</v>
      </c>
      <c r="V83" s="102">
        <v>1073</v>
      </c>
      <c r="W83" s="102">
        <v>890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6">
        <v>0</v>
      </c>
      <c r="R84" s="86">
        <v>0</v>
      </c>
      <c r="S84" s="86">
        <v>0</v>
      </c>
      <c r="T84" s="86">
        <v>0</v>
      </c>
      <c r="U84" s="86">
        <v>0</v>
      </c>
      <c r="V84" s="86">
        <v>0</v>
      </c>
      <c r="W84" s="86">
        <v>0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3.7277281343803734</v>
      </c>
      <c r="C90" s="141">
        <v>3.7123085268765728</v>
      </c>
      <c r="D90" s="141">
        <v>3.6958519562080134</v>
      </c>
      <c r="E90" s="141">
        <v>3.6792811485353605</v>
      </c>
      <c r="F90" s="141">
        <v>3.6626127928148864</v>
      </c>
      <c r="G90" s="141">
        <v>3.6416414968551232</v>
      </c>
      <c r="H90" s="141">
        <v>3.615165101919509</v>
      </c>
      <c r="I90" s="141">
        <v>3.5829167921729819</v>
      </c>
      <c r="J90" s="141">
        <v>3.5098802147889696</v>
      </c>
      <c r="K90" s="141">
        <v>3.445170487956156</v>
      </c>
      <c r="L90" s="141">
        <v>3.3659289974221407</v>
      </c>
      <c r="M90" s="141">
        <v>3.2956122738022655</v>
      </c>
      <c r="N90" s="141">
        <v>3.2056754169864754</v>
      </c>
      <c r="O90" s="141">
        <v>3.1348724007110622</v>
      </c>
      <c r="P90" s="141">
        <v>3.0502569146920107</v>
      </c>
      <c r="Q90" s="141">
        <v>2.950765341754142</v>
      </c>
      <c r="R90" s="141">
        <v>2.8452969304573812</v>
      </c>
      <c r="S90" s="141">
        <v>2.7531922743148742</v>
      </c>
      <c r="T90" s="141">
        <v>2.6892163446291941</v>
      </c>
      <c r="U90" s="141">
        <v>2.631415419378949</v>
      </c>
      <c r="V90" s="141">
        <v>2.5798179411995679</v>
      </c>
      <c r="W90" s="141">
        <v>2.2706798428592925</v>
      </c>
      <c r="DA90" s="174" t="s">
        <v>862</v>
      </c>
    </row>
    <row r="91" spans="1:105" ht="11.45" customHeight="1" x14ac:dyDescent="0.25">
      <c r="A91" s="109" t="s">
        <v>20</v>
      </c>
      <c r="B91" s="130">
        <v>5.7883446908296037</v>
      </c>
      <c r="C91" s="130">
        <v>5.762141064951896</v>
      </c>
      <c r="D91" s="130">
        <v>5.7470897037964805</v>
      </c>
      <c r="E91" s="130">
        <v>5.7344873485496457</v>
      </c>
      <c r="F91" s="130">
        <v>5.7259222567551484</v>
      </c>
      <c r="G91" s="130">
        <v>5.7092789373242852</v>
      </c>
      <c r="H91" s="130">
        <v>5.6832868064465432</v>
      </c>
      <c r="I91" s="130">
        <v>5.6586767518925489</v>
      </c>
      <c r="J91" s="130">
        <v>5.6366510571960973</v>
      </c>
      <c r="K91" s="130">
        <v>5.6120397930016805</v>
      </c>
      <c r="L91" s="130">
        <v>5.6180459491082848</v>
      </c>
      <c r="M91" s="130">
        <v>5.5925554619035465</v>
      </c>
      <c r="N91" s="130">
        <v>5.5654945697036071</v>
      </c>
      <c r="O91" s="130">
        <v>5.5452186185195727</v>
      </c>
      <c r="P91" s="130">
        <v>5.5172063249361152</v>
      </c>
      <c r="Q91" s="130">
        <v>5.4851752482151896</v>
      </c>
      <c r="R91" s="130">
        <v>5.4538966726849853</v>
      </c>
      <c r="S91" s="130">
        <v>5.410425341425845</v>
      </c>
      <c r="T91" s="130">
        <v>5.3644825644613396</v>
      </c>
      <c r="U91" s="130">
        <v>5.3135263662311756</v>
      </c>
      <c r="V91" s="130">
        <v>5.269950379729611</v>
      </c>
      <c r="W91" s="130">
        <v>5.2003818630824092</v>
      </c>
      <c r="DA91" s="176" t="s">
        <v>863</v>
      </c>
    </row>
    <row r="92" spans="1:105" ht="11.45" customHeight="1" x14ac:dyDescent="0.25">
      <c r="A92" s="111" t="s">
        <v>110</v>
      </c>
      <c r="B92" s="96">
        <v>5.7320249981651106</v>
      </c>
      <c r="C92" s="96">
        <v>5.6923788685301657</v>
      </c>
      <c r="D92" s="96">
        <v>5.6695903980804143</v>
      </c>
      <c r="E92" s="96">
        <v>5.6508246300730107</v>
      </c>
      <c r="F92" s="96">
        <v>5.6371946229622889</v>
      </c>
      <c r="G92" s="96">
        <v>5.6117816008744565</v>
      </c>
      <c r="H92" s="96">
        <v>5.5734377799032035</v>
      </c>
      <c r="I92" s="96">
        <v>5.5389006514987598</v>
      </c>
      <c r="J92" s="96">
        <v>5.5080433177706389</v>
      </c>
      <c r="K92" s="96">
        <v>5.4750629345246802</v>
      </c>
      <c r="L92" s="96">
        <v>5.4287473007063944</v>
      </c>
      <c r="M92" s="96">
        <v>5.3921524904225375</v>
      </c>
      <c r="N92" s="96">
        <v>5.3550607859067609</v>
      </c>
      <c r="O92" s="96">
        <v>5.3244682172784694</v>
      </c>
      <c r="P92" s="96">
        <v>5.2908397581650712</v>
      </c>
      <c r="Q92" s="96">
        <v>5.2547398278854009</v>
      </c>
      <c r="R92" s="96">
        <v>5.2129972096260566</v>
      </c>
      <c r="S92" s="96">
        <v>5.1626704949589532</v>
      </c>
      <c r="T92" s="96">
        <v>5.1082382341157935</v>
      </c>
      <c r="U92" s="96">
        <v>5.0661489148153063</v>
      </c>
      <c r="V92" s="96">
        <v>5.0327811707922576</v>
      </c>
      <c r="W92" s="96">
        <v>4.9500287110592947</v>
      </c>
      <c r="DA92" s="171" t="s">
        <v>864</v>
      </c>
    </row>
    <row r="93" spans="1:105" ht="11.45" customHeight="1" x14ac:dyDescent="0.25">
      <c r="A93" s="111" t="s">
        <v>111</v>
      </c>
      <c r="B93" s="96">
        <v>6.1238080844462441</v>
      </c>
      <c r="C93" s="96">
        <v>6.0862172147562896</v>
      </c>
      <c r="D93" s="96">
        <v>6.071453867736059</v>
      </c>
      <c r="E93" s="96">
        <v>6.0642841079297645</v>
      </c>
      <c r="F93" s="96">
        <v>6.0603821805783964</v>
      </c>
      <c r="G93" s="96">
        <v>6.0543135413350155</v>
      </c>
      <c r="H93" s="96">
        <v>6.0488128190505233</v>
      </c>
      <c r="I93" s="96">
        <v>6.0425379964036514</v>
      </c>
      <c r="J93" s="96">
        <v>6.0364754697913181</v>
      </c>
      <c r="K93" s="96">
        <v>6.0206882678567952</v>
      </c>
      <c r="L93" s="96">
        <v>5.9657467364541512</v>
      </c>
      <c r="M93" s="96">
        <v>5.9447848864791739</v>
      </c>
      <c r="N93" s="96">
        <v>5.9232562495072907</v>
      </c>
      <c r="O93" s="96">
        <v>5.8995276677698119</v>
      </c>
      <c r="P93" s="96">
        <v>5.8603735805420705</v>
      </c>
      <c r="Q93" s="96">
        <v>5.8192918920003445</v>
      </c>
      <c r="R93" s="96">
        <v>5.7606884980593582</v>
      </c>
      <c r="S93" s="96">
        <v>5.7009021288158017</v>
      </c>
      <c r="T93" s="96">
        <v>5.6467941921232372</v>
      </c>
      <c r="U93" s="96">
        <v>5.5871080254833876</v>
      </c>
      <c r="V93" s="96">
        <v>5.5394762427373427</v>
      </c>
      <c r="W93" s="96">
        <v>5.4875361106550091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6.2761623388580929</v>
      </c>
      <c r="S94" s="96">
        <v>6.276162338858092</v>
      </c>
      <c r="T94" s="96">
        <v>6.276162338858092</v>
      </c>
      <c r="U94" s="96">
        <v>5.7715689409404893</v>
      </c>
      <c r="V94" s="96">
        <v>5.7342606966980361</v>
      </c>
      <c r="W94" s="96">
        <v>5.6639723728347295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4.2203706952036955</v>
      </c>
      <c r="M96" s="96">
        <v>4.2001575990565643</v>
      </c>
      <c r="N96" s="96">
        <v>4.0349389134922937</v>
      </c>
      <c r="O96" s="96">
        <v>4.3553400387616863</v>
      </c>
      <c r="P96" s="96">
        <v>4.5580869380426066</v>
      </c>
      <c r="Q96" s="96">
        <v>4.4007270875862012</v>
      </c>
      <c r="R96" s="96">
        <v>4.4113632905066558</v>
      </c>
      <c r="S96" s="96">
        <v>4.4115720782848005</v>
      </c>
      <c r="T96" s="96">
        <v>4.4821192713711939</v>
      </c>
      <c r="U96" s="96">
        <v>4.390988847557022</v>
      </c>
      <c r="V96" s="96">
        <v>4.204744942959743</v>
      </c>
      <c r="W96" s="96">
        <v>3.7568027386391862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1.2578869614751085</v>
      </c>
      <c r="F97" s="96">
        <v>1.2539172920746768</v>
      </c>
      <c r="G97" s="96">
        <v>1.2509543714980187</v>
      </c>
      <c r="H97" s="96">
        <v>1.2470791450520298</v>
      </c>
      <c r="I97" s="96">
        <v>1.2316602713960658</v>
      </c>
      <c r="J97" s="96">
        <v>1.2256920771191369</v>
      </c>
      <c r="K97" s="96">
        <v>1.2214669863098624</v>
      </c>
      <c r="L97" s="96">
        <v>1.2167740520847565</v>
      </c>
      <c r="M97" s="96">
        <v>1.2099601258109296</v>
      </c>
      <c r="N97" s="96">
        <v>1.1786729039166792</v>
      </c>
      <c r="O97" s="96">
        <v>1.1501147294855913</v>
      </c>
      <c r="P97" s="96">
        <v>1.1630054020486673</v>
      </c>
      <c r="Q97" s="96">
        <v>1.2012344212284909</v>
      </c>
      <c r="R97" s="96">
        <v>1.2135511279015787</v>
      </c>
      <c r="S97" s="96">
        <v>1.1587887505727019</v>
      </c>
      <c r="T97" s="96">
        <v>1.1332905757870901</v>
      </c>
      <c r="U97" s="96">
        <v>1.2921292691765474</v>
      </c>
      <c r="V97" s="96">
        <v>1.4242965612490859</v>
      </c>
      <c r="W97" s="96">
        <v>1.4637126714006012</v>
      </c>
      <c r="DA97" s="171" t="s">
        <v>869</v>
      </c>
    </row>
    <row r="98" spans="1:105" ht="11.45" customHeight="1" x14ac:dyDescent="0.25">
      <c r="A98" s="109" t="s">
        <v>21</v>
      </c>
      <c r="B98" s="130">
        <v>50.273770327423996</v>
      </c>
      <c r="C98" s="130">
        <v>50.273770327424003</v>
      </c>
      <c r="D98" s="130">
        <v>50.225908065264612</v>
      </c>
      <c r="E98" s="130">
        <v>50.193900462810873</v>
      </c>
      <c r="F98" s="130">
        <v>50.193900462810873</v>
      </c>
      <c r="G98" s="130">
        <v>50.161130515448477</v>
      </c>
      <c r="H98" s="130">
        <v>50.144685653395243</v>
      </c>
      <c r="I98" s="130">
        <v>50.07841580312094</v>
      </c>
      <c r="J98" s="130">
        <v>50.000836032767516</v>
      </c>
      <c r="K98" s="130">
        <v>48.775978448691852</v>
      </c>
      <c r="L98" s="130">
        <v>47.721570349780698</v>
      </c>
      <c r="M98" s="130">
        <v>45.050439699978909</v>
      </c>
      <c r="N98" s="130">
        <v>44.650989557332068</v>
      </c>
      <c r="O98" s="130">
        <v>44.355303230506067</v>
      </c>
      <c r="P98" s="130">
        <v>43.923370859193895</v>
      </c>
      <c r="Q98" s="130">
        <v>42.920566205803979</v>
      </c>
      <c r="R98" s="130">
        <v>42.065204875488682</v>
      </c>
      <c r="S98" s="130">
        <v>41.786586579792861</v>
      </c>
      <c r="T98" s="130">
        <v>41.591806717210183</v>
      </c>
      <c r="U98" s="130">
        <v>41.021316095864229</v>
      </c>
      <c r="V98" s="130">
        <v>39.822392605544685</v>
      </c>
      <c r="W98" s="130">
        <v>39.53805347346939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11.138633688547673</v>
      </c>
      <c r="M99" s="97">
        <v>11.138633688547671</v>
      </c>
      <c r="N99" s="97">
        <v>11.138633688547673</v>
      </c>
      <c r="O99" s="97">
        <v>11.138633688547673</v>
      </c>
      <c r="P99" s="97">
        <v>11.138633688547674</v>
      </c>
      <c r="Q99" s="97">
        <v>11.138633688547673</v>
      </c>
      <c r="R99" s="97">
        <v>11.138633688547673</v>
      </c>
      <c r="S99" s="97">
        <v>11.138633688547673</v>
      </c>
      <c r="T99" s="97">
        <v>10.838844433978686</v>
      </c>
      <c r="U99" s="97">
        <v>10.360944776027347</v>
      </c>
      <c r="V99" s="97">
        <v>10.232686701744763</v>
      </c>
      <c r="W99" s="97">
        <v>9.997924222958412</v>
      </c>
      <c r="DA99" s="175" t="s">
        <v>871</v>
      </c>
    </row>
    <row r="100" spans="1:105" ht="11.45" customHeight="1" x14ac:dyDescent="0.25">
      <c r="A100" s="111" t="s">
        <v>111</v>
      </c>
      <c r="B100" s="97">
        <v>50.273770327423996</v>
      </c>
      <c r="C100" s="97">
        <v>50.273770327423989</v>
      </c>
      <c r="D100" s="97">
        <v>50.193701347484229</v>
      </c>
      <c r="E100" s="97">
        <v>50.138393883575453</v>
      </c>
      <c r="F100" s="97">
        <v>50.138393883575453</v>
      </c>
      <c r="G100" s="97">
        <v>50.077860855972261</v>
      </c>
      <c r="H100" s="97">
        <v>50.046405534799902</v>
      </c>
      <c r="I100" s="97">
        <v>49.915764348054736</v>
      </c>
      <c r="J100" s="97">
        <v>49.759076657771544</v>
      </c>
      <c r="K100" s="97">
        <v>47.431180306173914</v>
      </c>
      <c r="L100" s="97">
        <v>46.24436149975314</v>
      </c>
      <c r="M100" s="97">
        <v>42.550992067754748</v>
      </c>
      <c r="N100" s="97">
        <v>42.081659583898578</v>
      </c>
      <c r="O100" s="97">
        <v>41.753516521756005</v>
      </c>
      <c r="P100" s="97">
        <v>41.202900727714407</v>
      </c>
      <c r="Q100" s="97">
        <v>40.058631557953454</v>
      </c>
      <c r="R100" s="97">
        <v>39.273869726260479</v>
      </c>
      <c r="S100" s="97">
        <v>38.988981514308335</v>
      </c>
      <c r="T100" s="97">
        <v>38.864734631661463</v>
      </c>
      <c r="U100" s="97">
        <v>38.315952099695558</v>
      </c>
      <c r="V100" s="97">
        <v>37.275752014375229</v>
      </c>
      <c r="W100" s="97">
        <v>37.034400420105733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0</v>
      </c>
      <c r="R103" s="97">
        <v>0</v>
      </c>
      <c r="S103" s="97">
        <v>0</v>
      </c>
      <c r="T103" s="97">
        <v>26.016884214519461</v>
      </c>
      <c r="U103" s="97">
        <v>26.064676938299783</v>
      </c>
      <c r="V103" s="97">
        <v>26.102792299156587</v>
      </c>
      <c r="W103" s="97">
        <v>26.421800627385505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8.2612700765693337</v>
      </c>
      <c r="C105" s="141">
        <v>8.1785726479507304</v>
      </c>
      <c r="D105" s="141">
        <v>8.0745985382106866</v>
      </c>
      <c r="E105" s="141">
        <v>7.9381632651422365</v>
      </c>
      <c r="F105" s="141">
        <v>7.8263471250045757</v>
      </c>
      <c r="G105" s="141">
        <v>7.710357872966731</v>
      </c>
      <c r="H105" s="141">
        <v>7.5384821901970271</v>
      </c>
      <c r="I105" s="141">
        <v>7.3610405201834288</v>
      </c>
      <c r="J105" s="141">
        <v>7.2021283887736365</v>
      </c>
      <c r="K105" s="141">
        <v>7.0756124365006485</v>
      </c>
      <c r="L105" s="141">
        <v>6.9191290697278918</v>
      </c>
      <c r="M105" s="141">
        <v>6.7736643564998555</v>
      </c>
      <c r="N105" s="141">
        <v>6.6164720079184605</v>
      </c>
      <c r="O105" s="141">
        <v>6.4511953230736587</v>
      </c>
      <c r="P105" s="141">
        <v>6.3021889467165586</v>
      </c>
      <c r="Q105" s="141">
        <v>6.1615297412774206</v>
      </c>
      <c r="R105" s="141">
        <v>6.029133314671336</v>
      </c>
      <c r="S105" s="141">
        <v>5.889207163341637</v>
      </c>
      <c r="T105" s="141">
        <v>5.7760724056162749</v>
      </c>
      <c r="U105" s="141">
        <v>5.6329558883028072</v>
      </c>
      <c r="V105" s="141">
        <v>5.6068215701897319</v>
      </c>
      <c r="W105" s="141">
        <v>5.5615786657918385</v>
      </c>
      <c r="DA105" s="174" t="s">
        <v>876</v>
      </c>
    </row>
    <row r="106" spans="1:105" ht="11.45" customHeight="1" x14ac:dyDescent="0.25">
      <c r="A106" s="111" t="s">
        <v>110</v>
      </c>
      <c r="B106" s="96">
        <v>6.9716253151760945</v>
      </c>
      <c r="C106" s="96">
        <v>6.8841624753136177</v>
      </c>
      <c r="D106" s="96">
        <v>6.8500537620800017</v>
      </c>
      <c r="E106" s="96">
        <v>6.7977386737599286</v>
      </c>
      <c r="F106" s="96">
        <v>6.7609189200397841</v>
      </c>
      <c r="G106" s="96">
        <v>6.7249505365770466</v>
      </c>
      <c r="H106" s="96">
        <v>6.677202706168833</v>
      </c>
      <c r="I106" s="96">
        <v>6.6183539595147538</v>
      </c>
      <c r="J106" s="96">
        <v>6.5599075571486161</v>
      </c>
      <c r="K106" s="96">
        <v>6.5128645325534036</v>
      </c>
      <c r="L106" s="96">
        <v>6.4406496656548047</v>
      </c>
      <c r="M106" s="96">
        <v>6.3931973885291464</v>
      </c>
      <c r="N106" s="96">
        <v>6.344073749104667</v>
      </c>
      <c r="O106" s="96">
        <v>6.2217363709594924</v>
      </c>
      <c r="P106" s="96">
        <v>6.1087417209233381</v>
      </c>
      <c r="Q106" s="96">
        <v>6.008304408249284</v>
      </c>
      <c r="R106" s="96">
        <v>5.9088438800338867</v>
      </c>
      <c r="S106" s="96">
        <v>5.8150019110978475</v>
      </c>
      <c r="T106" s="96">
        <v>5.7962785620242059</v>
      </c>
      <c r="U106" s="96">
        <v>5.6350168440303667</v>
      </c>
      <c r="V106" s="96">
        <v>5.552517176175475</v>
      </c>
      <c r="W106" s="96">
        <v>5.4995806096648954</v>
      </c>
      <c r="DA106" s="171" t="s">
        <v>877</v>
      </c>
    </row>
    <row r="107" spans="1:105" ht="11.45" customHeight="1" x14ac:dyDescent="0.25">
      <c r="A107" s="111" t="s">
        <v>111</v>
      </c>
      <c r="B107" s="96">
        <v>8.3418364955806972</v>
      </c>
      <c r="C107" s="96">
        <v>8.2313724111247168</v>
      </c>
      <c r="D107" s="96">
        <v>8.0826696764335377</v>
      </c>
      <c r="E107" s="96">
        <v>7.8949411351043324</v>
      </c>
      <c r="F107" s="96">
        <v>7.7472296344667697</v>
      </c>
      <c r="G107" s="96">
        <v>7.6001692290000795</v>
      </c>
      <c r="H107" s="96">
        <v>7.3925153857196806</v>
      </c>
      <c r="I107" s="96">
        <v>7.1911018225663588</v>
      </c>
      <c r="J107" s="96">
        <v>7.0218604813838104</v>
      </c>
      <c r="K107" s="96">
        <v>6.8938690101294924</v>
      </c>
      <c r="L107" s="96">
        <v>6.7384494727098891</v>
      </c>
      <c r="M107" s="96">
        <v>6.5976696790330962</v>
      </c>
      <c r="N107" s="96">
        <v>6.4443833959187833</v>
      </c>
      <c r="O107" s="96">
        <v>6.2899240250578288</v>
      </c>
      <c r="P107" s="96">
        <v>6.1512217155673756</v>
      </c>
      <c r="Q107" s="96">
        <v>6.0216976310930876</v>
      </c>
      <c r="R107" s="96">
        <v>5.8998228302003284</v>
      </c>
      <c r="S107" s="96">
        <v>5.7643338830746602</v>
      </c>
      <c r="T107" s="96">
        <v>5.6593429180415642</v>
      </c>
      <c r="U107" s="96">
        <v>5.5525709229851579</v>
      </c>
      <c r="V107" s="96">
        <v>5.532801648755421</v>
      </c>
      <c r="W107" s="96">
        <v>5.4917835239251627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7.1303029275817638</v>
      </c>
      <c r="T108" s="96">
        <v>7.1303029275817629</v>
      </c>
      <c r="U108" s="96">
        <v>6.5896787884645436</v>
      </c>
      <c r="V108" s="96">
        <v>6.5896787884645427</v>
      </c>
      <c r="W108" s="96">
        <v>6.5896787884645436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1.2967304180438881</v>
      </c>
      <c r="K110" s="96">
        <v>1.2967304180438881</v>
      </c>
      <c r="L110" s="96">
        <v>1.2922647611374467</v>
      </c>
      <c r="M110" s="96">
        <v>1.2869722045795691</v>
      </c>
      <c r="N110" s="96">
        <v>1.2869722045795688</v>
      </c>
      <c r="O110" s="96">
        <v>1.2542731649841341</v>
      </c>
      <c r="P110" s="96">
        <v>1.2520324285601185</v>
      </c>
      <c r="Q110" s="96">
        <v>1.2595188146284202</v>
      </c>
      <c r="R110" s="96">
        <v>1.2714050471432821</v>
      </c>
      <c r="S110" s="96">
        <v>1.3071862000545826</v>
      </c>
      <c r="T110" s="96">
        <v>1.3281440900787589</v>
      </c>
      <c r="U110" s="96">
        <v>1.7282926506225382</v>
      </c>
      <c r="V110" s="96">
        <v>1.727294987629358</v>
      </c>
      <c r="W110" s="96">
        <v>1.8299943908877945</v>
      </c>
      <c r="DA110" s="171" t="s">
        <v>881</v>
      </c>
    </row>
    <row r="111" spans="1:105" ht="11.45" customHeight="1" x14ac:dyDescent="0.25">
      <c r="A111" s="109" t="s">
        <v>158</v>
      </c>
      <c r="B111" s="130">
        <v>19.017650117029365</v>
      </c>
      <c r="C111" s="130">
        <v>18.97114648724596</v>
      </c>
      <c r="D111" s="130">
        <v>18.916455561287865</v>
      </c>
      <c r="E111" s="130">
        <v>18.850628095382</v>
      </c>
      <c r="F111" s="130">
        <v>18.776871546275085</v>
      </c>
      <c r="G111" s="130">
        <v>18.69337111016975</v>
      </c>
      <c r="H111" s="130">
        <v>18.612599064639987</v>
      </c>
      <c r="I111" s="130">
        <v>18.525811131870849</v>
      </c>
      <c r="J111" s="130">
        <v>18.41251991751939</v>
      </c>
      <c r="K111" s="130">
        <v>18.295393014242769</v>
      </c>
      <c r="L111" s="130">
        <v>18.20676937942677</v>
      </c>
      <c r="M111" s="130">
        <v>18.154535061147726</v>
      </c>
      <c r="N111" s="130">
        <v>18.07674817974733</v>
      </c>
      <c r="O111" s="130">
        <v>17.991233938776887</v>
      </c>
      <c r="P111" s="130">
        <v>17.898449286934738</v>
      </c>
      <c r="Q111" s="130">
        <v>17.794454563976863</v>
      </c>
      <c r="R111" s="130">
        <v>17.70399560015473</v>
      </c>
      <c r="S111" s="130">
        <v>17.614285832537004</v>
      </c>
      <c r="T111" s="130">
        <v>17.549932186036436</v>
      </c>
      <c r="U111" s="130">
        <v>17.506923931948219</v>
      </c>
      <c r="V111" s="130">
        <v>17.450174906209945</v>
      </c>
      <c r="W111" s="130">
        <v>17.364737710143014</v>
      </c>
      <c r="DA111" s="176" t="s">
        <v>882</v>
      </c>
    </row>
    <row r="112" spans="1:105" ht="11.45" customHeight="1" x14ac:dyDescent="0.25">
      <c r="A112" s="128" t="s">
        <v>27</v>
      </c>
      <c r="B112" s="97">
        <v>19.017650117029365</v>
      </c>
      <c r="C112" s="97">
        <v>18.97114648724596</v>
      </c>
      <c r="D112" s="97">
        <v>18.916455561287865</v>
      </c>
      <c r="E112" s="97">
        <v>18.850628095382</v>
      </c>
      <c r="F112" s="97">
        <v>18.776871546275085</v>
      </c>
      <c r="G112" s="97">
        <v>18.69337111016975</v>
      </c>
      <c r="H112" s="97">
        <v>18.612599064639987</v>
      </c>
      <c r="I112" s="97">
        <v>18.525811131870849</v>
      </c>
      <c r="J112" s="97">
        <v>18.41251991751939</v>
      </c>
      <c r="K112" s="97">
        <v>18.295393014242769</v>
      </c>
      <c r="L112" s="97">
        <v>18.20676937942677</v>
      </c>
      <c r="M112" s="97">
        <v>18.154535061147726</v>
      </c>
      <c r="N112" s="97">
        <v>18.07674817974733</v>
      </c>
      <c r="O112" s="97">
        <v>17.991233938776887</v>
      </c>
      <c r="P112" s="97">
        <v>17.898449286934738</v>
      </c>
      <c r="Q112" s="97">
        <v>17.794454563976863</v>
      </c>
      <c r="R112" s="97">
        <v>17.70399560015473</v>
      </c>
      <c r="S112" s="97">
        <v>17.614285832537004</v>
      </c>
      <c r="T112" s="97">
        <v>17.549932186036436</v>
      </c>
      <c r="U112" s="97">
        <v>17.506923931948219</v>
      </c>
      <c r="V112" s="97">
        <v>17.450174906209945</v>
      </c>
      <c r="W112" s="97">
        <v>17.364737710143014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1.0725000000065619</v>
      </c>
      <c r="C117" s="150">
        <f>IF(TrRoad_act!C59=0,0,TrRoad_ene!C62/TrRoad_tech!C90)</f>
        <v>1.0727134624631671</v>
      </c>
      <c r="D117" s="150">
        <f>IF(TrRoad_act!D59=0,0,TrRoad_ene!D62/TrRoad_tech!D90)</f>
        <v>1.0732160772857271</v>
      </c>
      <c r="E117" s="150">
        <f>IF(TrRoad_act!E59=0,0,TrRoad_ene!E62/TrRoad_tech!E90)</f>
        <v>1.0739617854015204</v>
      </c>
      <c r="F117" s="150">
        <f>IF(TrRoad_act!F59=0,0,TrRoad_ene!F62/TrRoad_tech!F90)</f>
        <v>1.0748724836941277</v>
      </c>
      <c r="G117" s="150">
        <f>IF(TrRoad_act!G59=0,0,TrRoad_ene!G62/TrRoad_tech!G90)</f>
        <v>1.0760817315757849</v>
      </c>
      <c r="H117" s="150">
        <f>IF(TrRoad_act!H59=0,0,TrRoad_ene!H62/TrRoad_tech!H90)</f>
        <v>1.0777786503237659</v>
      </c>
      <c r="I117" s="150">
        <f>IF(TrRoad_act!I59=0,0,TrRoad_ene!I62/TrRoad_tech!I90)</f>
        <v>1.080285640393414</v>
      </c>
      <c r="J117" s="150">
        <f>IF(TrRoad_act!J59=0,0,TrRoad_ene!J62/TrRoad_tech!J90)</f>
        <v>1.0859319806200625</v>
      </c>
      <c r="K117" s="150">
        <f>IF(TrRoad_act!K59=0,0,TrRoad_ene!K62/TrRoad_tech!K90)</f>
        <v>1.0906169804495023</v>
      </c>
      <c r="L117" s="150">
        <f>IF(TrRoad_act!L59=0,0,TrRoad_ene!L62/TrRoad_tech!L90)</f>
        <v>1.0967309809214358</v>
      </c>
      <c r="M117" s="150">
        <f>IF(TrRoad_act!M59=0,0,TrRoad_ene!M62/TrRoad_tech!M90)</f>
        <v>1.1026480691398846</v>
      </c>
      <c r="N117" s="150">
        <f>IF(TrRoad_act!N59=0,0,TrRoad_ene!N62/TrRoad_tech!N90)</f>
        <v>1.110838642406917</v>
      </c>
      <c r="O117" s="150">
        <f>IF(TrRoad_act!O59=0,0,TrRoad_ene!O62/TrRoad_tech!O90)</f>
        <v>1.1188214259110201</v>
      </c>
      <c r="P117" s="150">
        <f>IF(TrRoad_act!P59=0,0,TrRoad_ene!P62/TrRoad_tech!P90)</f>
        <v>1.1295135580214888</v>
      </c>
      <c r="Q117" s="150">
        <f>IF(TrRoad_act!Q59=0,0,TrRoad_ene!Q62/TrRoad_tech!Q90)</f>
        <v>1.1437867651482547</v>
      </c>
      <c r="R117" s="150">
        <f>IF(TrRoad_act!R59=0,0,TrRoad_ene!R62/TrRoad_tech!R90)</f>
        <v>1.1611022797225974</v>
      </c>
      <c r="S117" s="150">
        <f>IF(TrRoad_act!S59=0,0,TrRoad_ene!S62/TrRoad_tech!S90)</f>
        <v>1.1875678470831157</v>
      </c>
      <c r="T117" s="150">
        <f>IF(TrRoad_act!T59=0,0,TrRoad_ene!T62/TrRoad_tech!T90)</f>
        <v>1.2524202516011176</v>
      </c>
      <c r="U117" s="150">
        <f>IF(TrRoad_act!U59=0,0,TrRoad_ene!U62/TrRoad_tech!U90)</f>
        <v>1.268068156096408</v>
      </c>
      <c r="V117" s="150">
        <f>IF(TrRoad_act!V59=0,0,TrRoad_ene!V62/TrRoad_tech!V90)</f>
        <v>1.2196839956532899</v>
      </c>
      <c r="W117" s="150">
        <f>IF(TrRoad_act!W59=0,0,TrRoad_ene!W62/TrRoad_tech!W90)</f>
        <v>1.2833927150385971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1.0094386384541909</v>
      </c>
      <c r="C118" s="151">
        <f>IF(TrRoad_act!C60=0,0,TrRoad_ene!C63/TrRoad_tech!C91)</f>
        <v>0.94870959007372424</v>
      </c>
      <c r="D118" s="151">
        <f>IF(TrRoad_act!D60=0,0,TrRoad_ene!D63/TrRoad_tech!D91)</f>
        <v>0.95017400661702112</v>
      </c>
      <c r="E118" s="151">
        <f>IF(TrRoad_act!E60=0,0,TrRoad_ene!E63/TrRoad_tech!E91)</f>
        <v>0.90151209041116798</v>
      </c>
      <c r="F118" s="151">
        <f>IF(TrRoad_act!F60=0,0,TrRoad_ene!F63/TrRoad_tech!F91)</f>
        <v>0.82217382200424749</v>
      </c>
      <c r="G118" s="151">
        <f>IF(TrRoad_act!G60=0,0,TrRoad_ene!G63/TrRoad_tech!G91)</f>
        <v>0.8592727374731145</v>
      </c>
      <c r="H118" s="151">
        <f>IF(TrRoad_act!H60=0,0,TrRoad_ene!H63/TrRoad_tech!H91)</f>
        <v>0.84883807185762616</v>
      </c>
      <c r="I118" s="151">
        <f>IF(TrRoad_act!I60=0,0,TrRoad_ene!I63/TrRoad_tech!I91)</f>
        <v>0.90201906995952319</v>
      </c>
      <c r="J118" s="151">
        <f>IF(TrRoad_act!J60=0,0,TrRoad_ene!J63/TrRoad_tech!J91)</f>
        <v>0.98741171233451563</v>
      </c>
      <c r="K118" s="151">
        <f>IF(TrRoad_act!K60=0,0,TrRoad_ene!K63/TrRoad_tech!K91)</f>
        <v>0.8298902085706048</v>
      </c>
      <c r="L118" s="151">
        <f>IF(TrRoad_act!L60=0,0,TrRoad_ene!L63/TrRoad_tech!L91)</f>
        <v>0.9600643957016245</v>
      </c>
      <c r="M118" s="151">
        <f>IF(TrRoad_act!M60=0,0,TrRoad_ene!M63/TrRoad_tech!M91)</f>
        <v>0.95934290426983759</v>
      </c>
      <c r="N118" s="151">
        <f>IF(TrRoad_act!N60=0,0,TrRoad_ene!N63/TrRoad_tech!N91)</f>
        <v>0.96077627761373996</v>
      </c>
      <c r="O118" s="151">
        <f>IF(TrRoad_act!O60=0,0,TrRoad_ene!O63/TrRoad_tech!O91)</f>
        <v>0.9703582588154851</v>
      </c>
      <c r="P118" s="151">
        <f>IF(TrRoad_act!P60=0,0,TrRoad_ene!P63/TrRoad_tech!P91)</f>
        <v>0.93437997293477459</v>
      </c>
      <c r="Q118" s="151">
        <f>IF(TrRoad_act!Q60=0,0,TrRoad_ene!Q63/TrRoad_tech!Q91)</f>
        <v>0.95505557029460486</v>
      </c>
      <c r="R118" s="151">
        <f>IF(TrRoad_act!R60=0,0,TrRoad_ene!R63/TrRoad_tech!R91)</f>
        <v>0.94211743988485686</v>
      </c>
      <c r="S118" s="151">
        <f>IF(TrRoad_act!S60=0,0,TrRoad_ene!S63/TrRoad_tech!S91)</f>
        <v>0.96446686090809786</v>
      </c>
      <c r="T118" s="151">
        <f>IF(TrRoad_act!T60=0,0,TrRoad_ene!T63/TrRoad_tech!T91)</f>
        <v>1.0390139380308281</v>
      </c>
      <c r="U118" s="151">
        <f>IF(TrRoad_act!U60=0,0,TrRoad_ene!U63/TrRoad_tech!U91)</f>
        <v>1.08881450007611</v>
      </c>
      <c r="V118" s="151">
        <f>IF(TrRoad_act!V60=0,0,TrRoad_ene!V63/TrRoad_tech!V91)</f>
        <v>1.0181926338457636</v>
      </c>
      <c r="W118" s="151">
        <f>IF(TrRoad_act!W60=0,0,TrRoad_ene!W63/TrRoad_tech!W91)</f>
        <v>1.0449281400003598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1.0642470073711645</v>
      </c>
      <c r="C119" s="91">
        <f>IF(TrRoad_act!C61=0,0,TrRoad_ene!C64/TrRoad_tech!C92)</f>
        <v>1.0064533897243015</v>
      </c>
      <c r="D119" s="91">
        <f>IF(TrRoad_act!D61=0,0,TrRoad_ene!D64/TrRoad_tech!D92)</f>
        <v>1.0936684191288564</v>
      </c>
      <c r="E119" s="91">
        <f>IF(TrRoad_act!E61=0,0,TrRoad_ene!E64/TrRoad_tech!E92)</f>
        <v>0.98719583101805763</v>
      </c>
      <c r="F119" s="91">
        <f>IF(TrRoad_act!F61=0,0,TrRoad_ene!F64/TrRoad_tech!F92)</f>
        <v>0.84972016339214329</v>
      </c>
      <c r="G119" s="91">
        <f>IF(TrRoad_act!G61=0,0,TrRoad_ene!G64/TrRoad_tech!G92)</f>
        <v>0.82957720835995408</v>
      </c>
      <c r="H119" s="91">
        <f>IF(TrRoad_act!H61=0,0,TrRoad_ene!H64/TrRoad_tech!H92)</f>
        <v>0.80599171332578212</v>
      </c>
      <c r="I119" s="91">
        <f>IF(TrRoad_act!I61=0,0,TrRoad_ene!I64/TrRoad_tech!I92)</f>
        <v>0.88601201585461009</v>
      </c>
      <c r="J119" s="91">
        <f>IF(TrRoad_act!J61=0,0,TrRoad_ene!J64/TrRoad_tech!J92)</f>
        <v>1.0029253192887275</v>
      </c>
      <c r="K119" s="91">
        <f>IF(TrRoad_act!K61=0,0,TrRoad_ene!K64/TrRoad_tech!K92)</f>
        <v>0.83005692633959383</v>
      </c>
      <c r="L119" s="91">
        <f>IF(TrRoad_act!L61=0,0,TrRoad_ene!L64/TrRoad_tech!L92)</f>
        <v>1.0175728468647613</v>
      </c>
      <c r="M119" s="91">
        <f>IF(TrRoad_act!M61=0,0,TrRoad_ene!M64/TrRoad_tech!M92)</f>
        <v>1.0537497088433516</v>
      </c>
      <c r="N119" s="91">
        <f>IF(TrRoad_act!N61=0,0,TrRoad_ene!N64/TrRoad_tech!N92)</f>
        <v>1.0752558691680776</v>
      </c>
      <c r="O119" s="91">
        <f>IF(TrRoad_act!O61=0,0,TrRoad_ene!O64/TrRoad_tech!O92)</f>
        <v>1.0871148584036243</v>
      </c>
      <c r="P119" s="91">
        <f>IF(TrRoad_act!P61=0,0,TrRoad_ene!P64/TrRoad_tech!P92)</f>
        <v>1.0345381436823908</v>
      </c>
      <c r="Q119" s="91">
        <f>IF(TrRoad_act!Q61=0,0,TrRoad_ene!Q64/TrRoad_tech!Q92)</f>
        <v>1.0699959181068217</v>
      </c>
      <c r="R119" s="91">
        <f>IF(TrRoad_act!R61=0,0,TrRoad_ene!R64/TrRoad_tech!R92)</f>
        <v>1.0587228105308546</v>
      </c>
      <c r="S119" s="91">
        <f>IF(TrRoad_act!S61=0,0,TrRoad_ene!S64/TrRoad_tech!S92)</f>
        <v>1.0631090777631633</v>
      </c>
      <c r="T119" s="91">
        <f>IF(TrRoad_act!T61=0,0,TrRoad_ene!T64/TrRoad_tech!T92)</f>
        <v>1.0953994085123775</v>
      </c>
      <c r="U119" s="91">
        <f>IF(TrRoad_act!U61=0,0,TrRoad_ene!U64/TrRoad_tech!U92)</f>
        <v>1.1686420827751198</v>
      </c>
      <c r="V119" s="91">
        <f>IF(TrRoad_act!V61=0,0,TrRoad_ene!V64/TrRoad_tech!V92)</f>
        <v>1.1198705003924294</v>
      </c>
      <c r="W119" s="91">
        <f>IF(TrRoad_act!W61=0,0,TrRoad_ene!W64/TrRoad_tech!W92)</f>
        <v>1.1709690295598638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0.69802504164794599</v>
      </c>
      <c r="C120" s="91">
        <f>IF(TrRoad_act!C62=0,0,TrRoad_ene!C65/TrRoad_tech!C93)</f>
        <v>0.66117673851747949</v>
      </c>
      <c r="D120" s="91">
        <f>IF(TrRoad_act!D62=0,0,TrRoad_ene!D65/TrRoad_tech!D93)</f>
        <v>0.25999217899270144</v>
      </c>
      <c r="E120" s="91">
        <f>IF(TrRoad_act!E62=0,0,TrRoad_ene!E65/TrRoad_tech!E93)</f>
        <v>0.51372601183188227</v>
      </c>
      <c r="F120" s="91">
        <f>IF(TrRoad_act!F62=0,0,TrRoad_ene!F65/TrRoad_tech!F93)</f>
        <v>0.7146935788789015</v>
      </c>
      <c r="G120" s="91">
        <f>IF(TrRoad_act!G62=0,0,TrRoad_ene!G65/TrRoad_tech!G93)</f>
        <v>1.0154363947958016</v>
      </c>
      <c r="H120" s="91">
        <f>IF(TrRoad_act!H62=0,0,TrRoad_ene!H65/TrRoad_tech!H93)</f>
        <v>1.0662462505483481</v>
      </c>
      <c r="I120" s="91">
        <f>IF(TrRoad_act!I62=0,0,TrRoad_ene!I65/TrRoad_tech!I93)</f>
        <v>0.99052813379997617</v>
      </c>
      <c r="J120" s="91">
        <f>IF(TrRoad_act!J62=0,0,TrRoad_ene!J65/TrRoad_tech!J93)</f>
        <v>0.95503410658137988</v>
      </c>
      <c r="K120" s="91">
        <f>IF(TrRoad_act!K62=0,0,TrRoad_ene!K65/TrRoad_tech!K93)</f>
        <v>0.85897711281183942</v>
      </c>
      <c r="L120" s="91">
        <f>IF(TrRoad_act!L62=0,0,TrRoad_ene!L65/TrRoad_tech!L93)</f>
        <v>0.86153618545329314</v>
      </c>
      <c r="M120" s="91">
        <f>IF(TrRoad_act!M62=0,0,TrRoad_ene!M65/TrRoad_tech!M93)</f>
        <v>0.81005460645509508</v>
      </c>
      <c r="N120" s="91">
        <f>IF(TrRoad_act!N62=0,0,TrRoad_ene!N65/TrRoad_tech!N93)</f>
        <v>0.79285229734056883</v>
      </c>
      <c r="O120" s="91">
        <f>IF(TrRoad_act!O62=0,0,TrRoad_ene!O65/TrRoad_tech!O93)</f>
        <v>0.8081058202810012</v>
      </c>
      <c r="P120" s="91">
        <f>IF(TrRoad_act!P62=0,0,TrRoad_ene!P65/TrRoad_tech!P93)</f>
        <v>0.79831220057867647</v>
      </c>
      <c r="Q120" s="91">
        <f>IF(TrRoad_act!Q62=0,0,TrRoad_ene!Q65/TrRoad_tech!Q93)</f>
        <v>0.80490157510768801</v>
      </c>
      <c r="R120" s="91">
        <f>IF(TrRoad_act!R62=0,0,TrRoad_ene!R65/TrRoad_tech!R93)</f>
        <v>0.79877198221607504</v>
      </c>
      <c r="S120" s="91">
        <f>IF(TrRoad_act!S62=0,0,TrRoad_ene!S65/TrRoad_tech!S93)</f>
        <v>0.84457714238343107</v>
      </c>
      <c r="T120" s="91">
        <f>IF(TrRoad_act!T62=0,0,TrRoad_ene!T65/TrRoad_tech!T93)</f>
        <v>0.98198714275581023</v>
      </c>
      <c r="U120" s="91">
        <f>IF(TrRoad_act!U62=0,0,TrRoad_ene!U65/TrRoad_tech!U93)</f>
        <v>1.0133779514253867</v>
      </c>
      <c r="V120" s="91">
        <f>IF(TrRoad_act!V62=0,0,TrRoad_ene!V65/TrRoad_tech!V93)</f>
        <v>0.91675458781318331</v>
      </c>
      <c r="W120" s="91">
        <f>IF(TrRoad_act!W62=0,0,TrRoad_ene!W65/TrRoad_tech!W93)</f>
        <v>0.91800411987493535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</v>
      </c>
      <c r="I121" s="91">
        <f>IF(TrRoad_act!I63=0,0,TrRoad_ene!I66/TrRoad_tech!I94)</f>
        <v>0</v>
      </c>
      <c r="J121" s="91">
        <f>IF(TrRoad_act!J63=0,0,TrRoad_ene!J66/TrRoad_tech!J94)</f>
        <v>0</v>
      </c>
      <c r="K121" s="91">
        <f>IF(TrRoad_act!K63=0,0,TrRoad_ene!K66/TrRoad_tech!K94)</f>
        <v>0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0.77259117911863284</v>
      </c>
      <c r="S121" s="91">
        <f>IF(TrRoad_act!S63=0,0,TrRoad_ene!S66/TrRoad_tech!S94)</f>
        <v>0.86276563663542538</v>
      </c>
      <c r="T121" s="91">
        <f>IF(TrRoad_act!T63=0,0,TrRoad_ene!T66/TrRoad_tech!T94)</f>
        <v>1.1938101857160963</v>
      </c>
      <c r="U121" s="91">
        <f>IF(TrRoad_act!U63=0,0,TrRoad_ene!U66/TrRoad_tech!U94)</f>
        <v>0.94326797624079095</v>
      </c>
      <c r="V121" s="91">
        <f>IF(TrRoad_act!V63=0,0,TrRoad_ene!V66/TrRoad_tech!V94)</f>
        <v>1.065572733992427</v>
      </c>
      <c r="W121" s="91">
        <f>IF(TrRoad_act!W63=0,0,TrRoad_ene!W66/TrRoad_tech!W94)</f>
        <v>1.2436275675593542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1.0448160929537662</v>
      </c>
      <c r="M123" s="91">
        <f>IF(TrRoad_act!M65=0,0,TrRoad_ene!M68/TrRoad_tech!M96)</f>
        <v>1.0702348299889051</v>
      </c>
      <c r="N123" s="91">
        <f>IF(TrRoad_act!N65=0,0,TrRoad_ene!N68/TrRoad_tech!N96)</f>
        <v>1.0851925748982014</v>
      </c>
      <c r="O123" s="91">
        <f>IF(TrRoad_act!O65=0,0,TrRoad_ene!O68/TrRoad_tech!O96)</f>
        <v>1.0983169249035625</v>
      </c>
      <c r="P123" s="91">
        <f>IF(TrRoad_act!P65=0,0,TrRoad_ene!P68/TrRoad_tech!P96)</f>
        <v>1.0675373975294411</v>
      </c>
      <c r="Q123" s="91">
        <f>IF(TrRoad_act!Q65=0,0,TrRoad_ene!Q68/TrRoad_tech!Q96)</f>
        <v>1.0932996917349938</v>
      </c>
      <c r="R123" s="91">
        <f>IF(TrRoad_act!R65=0,0,TrRoad_ene!R68/TrRoad_tech!R96)</f>
        <v>1.0854539376187564</v>
      </c>
      <c r="S123" s="91">
        <f>IF(TrRoad_act!S65=0,0,TrRoad_ene!S68/TrRoad_tech!S96)</f>
        <v>1.0870673848734964</v>
      </c>
      <c r="T123" s="91">
        <f>IF(TrRoad_act!T65=0,0,TrRoad_ene!T68/TrRoad_tech!T96)</f>
        <v>1.1087639733702195</v>
      </c>
      <c r="U123" s="91">
        <f>IF(TrRoad_act!U65=0,0,TrRoad_ene!U68/TrRoad_tech!U96)</f>
        <v>1.1559741538419446</v>
      </c>
      <c r="V123" s="91">
        <f>IF(TrRoad_act!V65=0,0,TrRoad_ene!V68/TrRoad_tech!V96)</f>
        <v>1.124830505169605</v>
      </c>
      <c r="W123" s="91">
        <f>IF(TrRoad_act!W65=0,0,TrRoad_ene!W68/TrRoad_tech!W96)</f>
        <v>1.1587556218742301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1.0322222222259601</v>
      </c>
      <c r="F124" s="91">
        <f>IF(TrRoad_act!F66=0,0,TrRoad_ene!F69/TrRoad_tech!F97)</f>
        <v>1.0329187013906738</v>
      </c>
      <c r="G124" s="91">
        <f>IF(TrRoad_act!G66=0,0,TrRoad_ene!G69/TrRoad_tech!G97)</f>
        <v>1.0334896629629724</v>
      </c>
      <c r="H124" s="91">
        <f>IF(TrRoad_act!H66=0,0,TrRoad_ene!H69/TrRoad_tech!H97)</f>
        <v>1.0343011500400918</v>
      </c>
      <c r="I124" s="91">
        <f>IF(TrRoad_act!I66=0,0,TrRoad_ene!I69/TrRoad_tech!I97)</f>
        <v>1.0378262875941122</v>
      </c>
      <c r="J124" s="91">
        <f>IF(TrRoad_act!J66=0,0,TrRoad_ene!J69/TrRoad_tech!J97)</f>
        <v>1.0393134174914647</v>
      </c>
      <c r="K124" s="91">
        <f>IF(TrRoad_act!K66=0,0,TrRoad_ene!K69/TrRoad_tech!K97)</f>
        <v>1.0404803106733609</v>
      </c>
      <c r="L124" s="91">
        <f>IF(TrRoad_act!L66=0,0,TrRoad_ene!L69/TrRoad_tech!L97)</f>
        <v>1.0418705460529878</v>
      </c>
      <c r="M124" s="91">
        <f>IF(TrRoad_act!M66=0,0,TrRoad_ene!M69/TrRoad_tech!M97)</f>
        <v>1.0435534548195153</v>
      </c>
      <c r="N124" s="91">
        <f>IF(TrRoad_act!N66=0,0,TrRoad_ene!N69/TrRoad_tech!N97)</f>
        <v>1.0484805170944329</v>
      </c>
      <c r="O124" s="91">
        <f>IF(TrRoad_act!O66=0,0,TrRoad_ene!O69/TrRoad_tech!O97)</f>
        <v>1.0590923314894773</v>
      </c>
      <c r="P124" s="91">
        <f>IF(TrRoad_act!P66=0,0,TrRoad_ene!P69/TrRoad_tech!P97)</f>
        <v>1.0676205771444252</v>
      </c>
      <c r="Q124" s="91">
        <f>IF(TrRoad_act!Q66=0,0,TrRoad_ene!Q69/TrRoad_tech!Q97)</f>
        <v>1.0720311333767727</v>
      </c>
      <c r="R124" s="91">
        <f>IF(TrRoad_act!R66=0,0,TrRoad_ene!R69/TrRoad_tech!R97)</f>
        <v>1.0758031249871491</v>
      </c>
      <c r="S124" s="91">
        <f>IF(TrRoad_act!S66=0,0,TrRoad_ene!S69/TrRoad_tech!S97)</f>
        <v>1.0801643649125838</v>
      </c>
      <c r="T124" s="91">
        <f>IF(TrRoad_act!T66=0,0,TrRoad_ene!T69/TrRoad_tech!T97)</f>
        <v>1.0942537468479621</v>
      </c>
      <c r="U124" s="91">
        <f>IF(TrRoad_act!U66=0,0,TrRoad_ene!U69/TrRoad_tech!U97)</f>
        <v>1.0959160655605813</v>
      </c>
      <c r="V124" s="91">
        <f>IF(TrRoad_act!V66=0,0,TrRoad_ene!V69/TrRoad_tech!V97)</f>
        <v>1.0968750937122751</v>
      </c>
      <c r="W124" s="91">
        <f>IF(TrRoad_act!W66=0,0,TrRoad_ene!W69/TrRoad_tech!W97)</f>
        <v>1.0975864604493186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0.74707544998176378</v>
      </c>
      <c r="C125" s="151">
        <f>IF(TrRoad_act!C67=0,0,TrRoad_ene!C70/TrRoad_tech!C98)</f>
        <v>0.70760281977660244</v>
      </c>
      <c r="D125" s="151">
        <f>IF(TrRoad_act!D67=0,0,TrRoad_ene!D70/TrRoad_tech!D98)</f>
        <v>0.27805403727566352</v>
      </c>
      <c r="E125" s="151">
        <f>IF(TrRoad_act!E67=0,0,TrRoad_ene!E70/TrRoad_tech!E98)</f>
        <v>0.54914347551676912</v>
      </c>
      <c r="F125" s="151">
        <f>IF(TrRoad_act!F67=0,0,TrRoad_ene!F70/TrRoad_tech!F98)</f>
        <v>0.7639225011927373</v>
      </c>
      <c r="G125" s="151">
        <f>IF(TrRoad_act!G67=0,0,TrRoad_ene!G70/TrRoad_tech!G98)</f>
        <v>1.0847851737095535</v>
      </c>
      <c r="H125" s="151">
        <f>IF(TrRoad_act!H67=0,0,TrRoad_ene!H70/TrRoad_tech!H98)</f>
        <v>1.1386107916824901</v>
      </c>
      <c r="I125" s="151">
        <f>IF(TrRoad_act!I67=0,0,TrRoad_ene!I70/TrRoad_tech!I98)</f>
        <v>1.0565062021308129</v>
      </c>
      <c r="J125" s="151">
        <f>IF(TrRoad_act!J67=0,0,TrRoad_ene!J70/TrRoad_tech!J98)</f>
        <v>1.0172373109148958</v>
      </c>
      <c r="K125" s="151">
        <f>IF(TrRoad_act!K67=0,0,TrRoad_ene!K70/TrRoad_tech!K98)</f>
        <v>0.9018138701965851</v>
      </c>
      <c r="L125" s="151">
        <f>IF(TrRoad_act!L67=0,0,TrRoad_ene!L70/TrRoad_tech!L98)</f>
        <v>0.89825535268232415</v>
      </c>
      <c r="M125" s="151">
        <f>IF(TrRoad_act!M67=0,0,TrRoad_ene!M70/TrRoad_tech!M98)</f>
        <v>0.84331913915442491</v>
      </c>
      <c r="N125" s="151">
        <f>IF(TrRoad_act!N67=0,0,TrRoad_ene!N70/TrRoad_tech!N98)</f>
        <v>0.82633665177969651</v>
      </c>
      <c r="O125" s="151">
        <f>IF(TrRoad_act!O67=0,0,TrRoad_ene!O70/TrRoad_tech!O98)</f>
        <v>0.8425918773548573</v>
      </c>
      <c r="P125" s="151">
        <f>IF(TrRoad_act!P67=0,0,TrRoad_ene!P70/TrRoad_tech!P98)</f>
        <v>0.83444595326265569</v>
      </c>
      <c r="Q125" s="151">
        <f>IF(TrRoad_act!Q67=0,0,TrRoad_ene!Q70/TrRoad_tech!Q98)</f>
        <v>0.85055237168366238</v>
      </c>
      <c r="R125" s="151">
        <f>IF(TrRoad_act!R67=0,0,TrRoad_ene!R70/TrRoad_tech!R98)</f>
        <v>0.8527070553849323</v>
      </c>
      <c r="S125" s="151">
        <f>IF(TrRoad_act!S67=0,0,TrRoad_ene!S70/TrRoad_tech!S98)</f>
        <v>0.90381701607583376</v>
      </c>
      <c r="T125" s="151">
        <f>IF(TrRoad_act!T67=0,0,TrRoad_ene!T70/TrRoad_tech!T98)</f>
        <v>1.051392156514086</v>
      </c>
      <c r="U125" s="151">
        <f>IF(TrRoad_act!U67=0,0,TrRoad_ene!U70/TrRoad_tech!U98)</f>
        <v>1.0944112226137834</v>
      </c>
      <c r="V125" s="151">
        <f>IF(TrRoad_act!V67=0,0,TrRoad_ene!V70/TrRoad_tech!V98)</f>
        <v>1.0079336951852402</v>
      </c>
      <c r="W125" s="151">
        <f>IF(TrRoad_act!W67=0,0,TrRoad_ene!W70/TrRoad_tech!W98)</f>
        <v>1.0139287594232145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1.2000000000070943</v>
      </c>
      <c r="M126" s="93">
        <f>IF(TrRoad_act!M68=0,0,TrRoad_ene!M71/TrRoad_tech!M99)</f>
        <v>1.2000000000070941</v>
      </c>
      <c r="N126" s="93">
        <f>IF(TrRoad_act!N68=0,0,TrRoad_ene!N71/TrRoad_tech!N99)</f>
        <v>1.2000000000070938</v>
      </c>
      <c r="O126" s="93">
        <f>IF(TrRoad_act!O68=0,0,TrRoad_ene!O71/TrRoad_tech!O99)</f>
        <v>1.2000000000070943</v>
      </c>
      <c r="P126" s="93">
        <f>IF(TrRoad_act!P68=0,0,TrRoad_ene!P71/TrRoad_tech!P99)</f>
        <v>1.2000000000070936</v>
      </c>
      <c r="Q126" s="93">
        <f>IF(TrRoad_act!Q68=0,0,TrRoad_ene!Q71/TrRoad_tech!Q99)</f>
        <v>1.2000000000070943</v>
      </c>
      <c r="R126" s="93">
        <f>IF(TrRoad_act!R68=0,0,TrRoad_ene!R71/TrRoad_tech!R99)</f>
        <v>1.2000000000070943</v>
      </c>
      <c r="S126" s="93">
        <f>IF(TrRoad_act!S68=0,0,TrRoad_ene!S71/TrRoad_tech!S99)</f>
        <v>1.2000000000070938</v>
      </c>
      <c r="T126" s="93">
        <f>IF(TrRoad_act!T68=0,0,TrRoad_ene!T71/TrRoad_tech!T99)</f>
        <v>1.2131776987679177</v>
      </c>
      <c r="U126" s="93">
        <f>IF(TrRoad_act!U68=0,0,TrRoad_ene!U71/TrRoad_tech!U99)</f>
        <v>1.2347221890653448</v>
      </c>
      <c r="V126" s="93">
        <f>IF(TrRoad_act!V68=0,0,TrRoad_ene!V71/TrRoad_tech!V99)</f>
        <v>1.2409556343178163</v>
      </c>
      <c r="W126" s="93">
        <f>IF(TrRoad_act!W68=0,0,TrRoad_ene!W71/TrRoad_tech!W99)</f>
        <v>1.2513505989809568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0.74707544998176378</v>
      </c>
      <c r="C127" s="93">
        <f>IF(TrRoad_act!C69=0,0,TrRoad_ene!C72/TrRoad_tech!C100)</f>
        <v>0.70760281977660267</v>
      </c>
      <c r="D127" s="93">
        <f>IF(TrRoad_act!D69=0,0,TrRoad_ene!D72/TrRoad_tech!D100)</f>
        <v>0.27823245025708998</v>
      </c>
      <c r="E127" s="93">
        <f>IF(TrRoad_act!E69=0,0,TrRoad_ene!E72/TrRoad_tech!E100)</f>
        <v>0.54975141433320118</v>
      </c>
      <c r="F127" s="93">
        <f>IF(TrRoad_act!F69=0,0,TrRoad_ene!F72/TrRoad_tech!F100)</f>
        <v>0.76476821485761137</v>
      </c>
      <c r="G127" s="93">
        <f>IF(TrRoad_act!G69=0,0,TrRoad_ene!G72/TrRoad_tech!G100)</f>
        <v>1.0865889586651336</v>
      </c>
      <c r="H127" s="93">
        <f>IF(TrRoad_act!H69=0,0,TrRoad_ene!H72/TrRoad_tech!H100)</f>
        <v>1.1408467725175708</v>
      </c>
      <c r="I127" s="93">
        <f>IF(TrRoad_act!I69=0,0,TrRoad_ene!I72/TrRoad_tech!I100)</f>
        <v>1.0599488474214833</v>
      </c>
      <c r="J127" s="93">
        <f>IF(TrRoad_act!J69=0,0,TrRoad_ene!J72/TrRoad_tech!J100)</f>
        <v>1.0221796585834584</v>
      </c>
      <c r="K127" s="93">
        <f>IF(TrRoad_act!K69=0,0,TrRoad_ene!K72/TrRoad_tech!K100)</f>
        <v>0.92738265447959867</v>
      </c>
      <c r="L127" s="93">
        <f>IF(TrRoad_act!L69=0,0,TrRoad_ene!L72/TrRoad_tech!L100)</f>
        <v>0.93241734859562508</v>
      </c>
      <c r="M127" s="93">
        <f>IF(TrRoad_act!M69=0,0,TrRoad_ene!M72/TrRoad_tech!M100)</f>
        <v>0.89648483215110863</v>
      </c>
      <c r="N127" s="93">
        <f>IF(TrRoad_act!N69=0,0,TrRoad_ene!N72/TrRoad_tech!N100)</f>
        <v>0.87957048347605504</v>
      </c>
      <c r="O127" s="93">
        <f>IF(TrRoad_act!O69=0,0,TrRoad_ene!O72/TrRoad_tech!O100)</f>
        <v>0.89769222102007407</v>
      </c>
      <c r="P127" s="93">
        <f>IF(TrRoad_act!P69=0,0,TrRoad_ene!P72/TrRoad_tech!P100)</f>
        <v>0.89145395219060852</v>
      </c>
      <c r="Q127" s="93">
        <f>IF(TrRoad_act!Q69=0,0,TrRoad_ene!Q72/TrRoad_tech!Q100)</f>
        <v>0.91275488536483063</v>
      </c>
      <c r="R127" s="93">
        <f>IF(TrRoad_act!R69=0,0,TrRoad_ene!R72/TrRoad_tech!R100)</f>
        <v>0.91467575791541977</v>
      </c>
      <c r="S127" s="93">
        <f>IF(TrRoad_act!S69=0,0,TrRoad_ene!S72/TrRoad_tech!S100)</f>
        <v>0.97007582192794206</v>
      </c>
      <c r="T127" s="93">
        <f>IF(TrRoad_act!T69=0,0,TrRoad_ene!T72/TrRoad_tech!T100)</f>
        <v>1.1279194649966515</v>
      </c>
      <c r="U127" s="93">
        <f>IF(TrRoad_act!U69=0,0,TrRoad_ene!U72/TrRoad_tech!U100)</f>
        <v>1.1750743738953633</v>
      </c>
      <c r="V127" s="93">
        <f>IF(TrRoad_act!V69=0,0,TrRoad_ene!V72/TrRoad_tech!V100)</f>
        <v>1.0791578403706614</v>
      </c>
      <c r="W127" s="93">
        <f>IF(TrRoad_act!W69=0,0,TrRoad_ene!W72/TrRoad_tech!W100)</f>
        <v>1.0850253074531944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0</v>
      </c>
      <c r="R130" s="93">
        <f>IF(TrRoad_act!R72=0,0,TrRoad_ene!R75/TrRoad_tech!R103)</f>
        <v>0</v>
      </c>
      <c r="S130" s="93">
        <f>IF(TrRoad_act!S72=0,0,TrRoad_ene!S75/TrRoad_tech!S103)</f>
        <v>0</v>
      </c>
      <c r="T130" s="93">
        <f>IF(TrRoad_act!T72=0,0,TrRoad_ene!T75/TrRoad_tech!T103)</f>
        <v>1.3402704049142133</v>
      </c>
      <c r="U130" s="93">
        <f>IF(TrRoad_act!U72=0,0,TrRoad_ene!U75/TrRoad_tech!U103)</f>
        <v>1.3418218135633715</v>
      </c>
      <c r="V130" s="93">
        <f>IF(TrRoad_act!V72=0,0,TrRoad_ene!V75/TrRoad_tech!V103)</f>
        <v>1.3429534461678541</v>
      </c>
      <c r="W130" s="93">
        <f>IF(TrRoad_act!W72=0,0,TrRoad_ene!W75/TrRoad_tech!W103)</f>
        <v>1.3516999306309376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0.76038178386470745</v>
      </c>
      <c r="C132" s="150">
        <f>IF(TrRoad_act!C74=0,0,TrRoad_ene!C77/TrRoad_tech!C105)</f>
        <v>0.72040483268307942</v>
      </c>
      <c r="D132" s="150">
        <f>IF(TrRoad_act!D74=0,0,TrRoad_ene!D77/TrRoad_tech!D105)</f>
        <v>0.30448170601630475</v>
      </c>
      <c r="E132" s="150">
        <f>IF(TrRoad_act!E74=0,0,TrRoad_ene!E77/TrRoad_tech!E105)</f>
        <v>0.56110938614976424</v>
      </c>
      <c r="F132" s="150">
        <f>IF(TrRoad_act!F74=0,0,TrRoad_ene!F77/TrRoad_tech!F105)</f>
        <v>0.76257211531832736</v>
      </c>
      <c r="G132" s="150">
        <f>IF(TrRoad_act!G74=0,0,TrRoad_ene!G77/TrRoad_tech!G105)</f>
        <v>1.065409288156737</v>
      </c>
      <c r="H132" s="150">
        <f>IF(TrRoad_act!H74=0,0,TrRoad_ene!H77/TrRoad_tech!H105)</f>
        <v>1.1129082758914401</v>
      </c>
      <c r="I132" s="150">
        <f>IF(TrRoad_act!I74=0,0,TrRoad_ene!I77/TrRoad_tech!I105)</f>
        <v>1.0352034412961248</v>
      </c>
      <c r="J132" s="150">
        <f>IF(TrRoad_act!J74=0,0,TrRoad_ene!J77/TrRoad_tech!J105)</f>
        <v>1.0001678967194969</v>
      </c>
      <c r="K132" s="150">
        <f>IF(TrRoad_act!K74=0,0,TrRoad_ene!K77/TrRoad_tech!K105)</f>
        <v>0.90130192265642517</v>
      </c>
      <c r="L132" s="150">
        <f>IF(TrRoad_act!L74=0,0,TrRoad_ene!L77/TrRoad_tech!L105)</f>
        <v>0.90474519194746994</v>
      </c>
      <c r="M132" s="150">
        <f>IF(TrRoad_act!M74=0,0,TrRoad_ene!M77/TrRoad_tech!M105)</f>
        <v>0.85437750302463666</v>
      </c>
      <c r="N132" s="150">
        <f>IF(TrRoad_act!N74=0,0,TrRoad_ene!N77/TrRoad_tech!N105)</f>
        <v>0.84038152963817048</v>
      </c>
      <c r="O132" s="150">
        <f>IF(TrRoad_act!O74=0,0,TrRoad_ene!O77/TrRoad_tech!O105)</f>
        <v>0.86138089244264471</v>
      </c>
      <c r="P132" s="150">
        <f>IF(TrRoad_act!P74=0,0,TrRoad_ene!P77/TrRoad_tech!P105)</f>
        <v>0.8563686532319128</v>
      </c>
      <c r="Q132" s="150">
        <f>IF(TrRoad_act!Q74=0,0,TrRoad_ene!Q77/TrRoad_tech!Q105)</f>
        <v>0.8706285940412658</v>
      </c>
      <c r="R132" s="150">
        <f>IF(TrRoad_act!R74=0,0,TrRoad_ene!R77/TrRoad_tech!R105)</f>
        <v>0.87143919313797458</v>
      </c>
      <c r="S132" s="150">
        <f>IF(TrRoad_act!S74=0,0,TrRoad_ene!S77/TrRoad_tech!S105)</f>
        <v>0.9279548401882225</v>
      </c>
      <c r="T132" s="150">
        <f>IF(TrRoad_act!T74=0,0,TrRoad_ene!T77/TrRoad_tech!T105)</f>
        <v>1.0876750322243587</v>
      </c>
      <c r="U132" s="150">
        <f>IF(TrRoad_act!U74=0,0,TrRoad_ene!U77/TrRoad_tech!U105)</f>
        <v>1.1388109409093676</v>
      </c>
      <c r="V132" s="150">
        <f>IF(TrRoad_act!V74=0,0,TrRoad_ene!V77/TrRoad_tech!V105)</f>
        <v>1.0416149371760544</v>
      </c>
      <c r="W132" s="150">
        <f>IF(TrRoad_act!W74=0,0,TrRoad_ene!W77/TrRoad_tech!W105)</f>
        <v>1.0519748017996917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1.1114511906273987</v>
      </c>
      <c r="C133" s="91">
        <f>IF(TrRoad_act!C75=0,0,TrRoad_ene!C78/TrRoad_tech!C106)</f>
        <v>1.0933248766650223</v>
      </c>
      <c r="D133" s="91">
        <f>IF(TrRoad_act!D75=0,0,TrRoad_ene!D78/TrRoad_tech!D106)</f>
        <v>1.1206586464066763</v>
      </c>
      <c r="E133" s="91">
        <f>IF(TrRoad_act!E75=0,0,TrRoad_ene!E78/TrRoad_tech!E106)</f>
        <v>1.0872931366991572</v>
      </c>
      <c r="F133" s="91">
        <f>IF(TrRoad_act!F75=0,0,TrRoad_ene!F78/TrRoad_tech!F106)</f>
        <v>1.0441813033529272</v>
      </c>
      <c r="G133" s="91">
        <f>IF(TrRoad_act!G75=0,0,TrRoad_ene!G78/TrRoad_tech!G106)</f>
        <v>1.0376694706406069</v>
      </c>
      <c r="H133" s="91">
        <f>IF(TrRoad_act!H75=0,0,TrRoad_ene!H78/TrRoad_tech!H106)</f>
        <v>1.03070622716338</v>
      </c>
      <c r="I133" s="91">
        <f>IF(TrRoad_act!I75=0,0,TrRoad_ene!I78/TrRoad_tech!I106)</f>
        <v>1.0569961493416182</v>
      </c>
      <c r="J133" s="91">
        <f>IF(TrRoad_act!J75=0,0,TrRoad_ene!J78/TrRoad_tech!J106)</f>
        <v>1.0951150872923974</v>
      </c>
      <c r="K133" s="91">
        <f>IF(TrRoad_act!K75=0,0,TrRoad_ene!K78/TrRoad_tech!K106)</f>
        <v>1.0416536354826509</v>
      </c>
      <c r="L133" s="91">
        <f>IF(TrRoad_act!L75=0,0,TrRoad_ene!L78/TrRoad_tech!L106)</f>
        <v>1.1032595133003693</v>
      </c>
      <c r="M133" s="91">
        <f>IF(TrRoad_act!M75=0,0,TrRoad_ene!M78/TrRoad_tech!M106)</f>
        <v>1.1160597434347965</v>
      </c>
      <c r="N133" s="91">
        <f>IF(TrRoad_act!N75=0,0,TrRoad_ene!N78/TrRoad_tech!N106)</f>
        <v>1.1249233710947615</v>
      </c>
      <c r="O133" s="91">
        <f>IF(TrRoad_act!O75=0,0,TrRoad_ene!O78/TrRoad_tech!O106)</f>
        <v>1.1351511805282719</v>
      </c>
      <c r="P133" s="91">
        <f>IF(TrRoad_act!P75=0,0,TrRoad_ene!P78/TrRoad_tech!P106)</f>
        <v>1.1253941423662976</v>
      </c>
      <c r="Q133" s="91">
        <f>IF(TrRoad_act!Q75=0,0,TrRoad_ene!Q78/TrRoad_tech!Q106)</f>
        <v>1.1435393555457722</v>
      </c>
      <c r="R133" s="91">
        <f>IF(TrRoad_act!R75=0,0,TrRoad_ene!R78/TrRoad_tech!R106)</f>
        <v>1.1479992072831873</v>
      </c>
      <c r="S133" s="91">
        <f>IF(TrRoad_act!S75=0,0,TrRoad_ene!S78/TrRoad_tech!S106)</f>
        <v>1.1572683821304059</v>
      </c>
      <c r="T133" s="91">
        <f>IF(TrRoad_act!T75=0,0,TrRoad_ene!T78/TrRoad_tech!T106)</f>
        <v>1.1807539535887988</v>
      </c>
      <c r="U133" s="91">
        <f>IF(TrRoad_act!U75=0,0,TrRoad_ene!U78/TrRoad_tech!U106)</f>
        <v>1.2218055677396285</v>
      </c>
      <c r="V133" s="91">
        <f>IF(TrRoad_act!V75=0,0,TrRoad_ene!V78/TrRoad_tech!V106)</f>
        <v>1.2168659622386455</v>
      </c>
      <c r="W133" s="91">
        <f>IF(TrRoad_act!W75=0,0,TrRoad_ene!W78/TrRoad_tech!W106)</f>
        <v>1.2552214955226211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0.74707544998176389</v>
      </c>
      <c r="C134" s="91">
        <f>IF(TrRoad_act!C76=0,0,TrRoad_ene!C79/TrRoad_tech!C107)</f>
        <v>0.70761677512138321</v>
      </c>
      <c r="D134" s="91">
        <f>IF(TrRoad_act!D76=0,0,TrRoad_ene!D79/TrRoad_tech!D107)</f>
        <v>0.27824421224615992</v>
      </c>
      <c r="E134" s="91">
        <f>IF(TrRoad_act!E76=0,0,TrRoad_ene!E79/TrRoad_tech!E107)</f>
        <v>0.54982668161682369</v>
      </c>
      <c r="F134" s="91">
        <f>IF(TrRoad_act!F76=0,0,TrRoad_ene!F79/TrRoad_tech!F107)</f>
        <v>0.76500479348564132</v>
      </c>
      <c r="G134" s="91">
        <f>IF(TrRoad_act!G76=0,0,TrRoad_ene!G79/TrRoad_tech!G107)</f>
        <v>1.0870773681917347</v>
      </c>
      <c r="H134" s="91">
        <f>IF(TrRoad_act!H76=0,0,TrRoad_ene!H79/TrRoad_tech!H107)</f>
        <v>1.1423109010259767</v>
      </c>
      <c r="I134" s="91">
        <f>IF(TrRoad_act!I76=0,0,TrRoad_ene!I79/TrRoad_tech!I107)</f>
        <v>1.0625158218747457</v>
      </c>
      <c r="J134" s="91">
        <f>IF(TrRoad_act!J76=0,0,TrRoad_ene!J79/TrRoad_tech!J107)</f>
        <v>1.0260045582222528</v>
      </c>
      <c r="K134" s="91">
        <f>IF(TrRoad_act!K76=0,0,TrRoad_ene!K79/TrRoad_tech!K107)</f>
        <v>0.92348569026923555</v>
      </c>
      <c r="L134" s="91">
        <f>IF(TrRoad_act!L76=0,0,TrRoad_ene!L79/TrRoad_tech!L107)</f>
        <v>0.92518406063989289</v>
      </c>
      <c r="M134" s="91">
        <f>IF(TrRoad_act!M76=0,0,TrRoad_ene!M79/TrRoad_tech!M107)</f>
        <v>0.87160669901915389</v>
      </c>
      <c r="N134" s="91">
        <f>IF(TrRoad_act!N76=0,0,TrRoad_ene!N79/TrRoad_tech!N107)</f>
        <v>0.85638542108917037</v>
      </c>
      <c r="O134" s="91">
        <f>IF(TrRoad_act!O76=0,0,TrRoad_ene!O79/TrRoad_tech!O107)</f>
        <v>0.87746563521858045</v>
      </c>
      <c r="P134" s="91">
        <f>IF(TrRoad_act!P76=0,0,TrRoad_ene!P79/TrRoad_tech!P107)</f>
        <v>0.87149381487433919</v>
      </c>
      <c r="Q134" s="91">
        <f>IF(TrRoad_act!Q76=0,0,TrRoad_ene!Q79/TrRoad_tech!Q107)</f>
        <v>0.88514256117905377</v>
      </c>
      <c r="R134" s="91">
        <f>IF(TrRoad_act!R76=0,0,TrRoad_ene!R79/TrRoad_tech!R107)</f>
        <v>0.88495162763317614</v>
      </c>
      <c r="S134" s="91">
        <f>IF(TrRoad_act!S76=0,0,TrRoad_ene!S79/TrRoad_tech!S107)</f>
        <v>0.94371625470470344</v>
      </c>
      <c r="T134" s="91">
        <f>IF(TrRoad_act!T76=0,0,TrRoad_ene!T79/TrRoad_tech!T107)</f>
        <v>1.1085062067704976</v>
      </c>
      <c r="U134" s="91">
        <f>IF(TrRoad_act!U76=0,0,TrRoad_ene!U79/TrRoad_tech!U107)</f>
        <v>1.1556444448449577</v>
      </c>
      <c r="V134" s="91">
        <f>IF(TrRoad_act!V76=0,0,TrRoad_ene!V79/TrRoad_tech!V107)</f>
        <v>1.0541026644301956</v>
      </c>
      <c r="W134" s="91">
        <f>IF(TrRoad_act!W76=0,0,TrRoad_ene!W79/TrRoad_tech!W107)</f>
        <v>1.0632240486038542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1.2360000000066973</v>
      </c>
      <c r="T135" s="91">
        <f>IF(TrRoad_act!T77=0,0,TrRoad_ene!T80/TrRoad_tech!T108)</f>
        <v>1.2360000000066975</v>
      </c>
      <c r="U135" s="91">
        <f>IF(TrRoad_act!U77=0,0,TrRoad_ene!U80/TrRoad_tech!U108)</f>
        <v>1.2557932980285886</v>
      </c>
      <c r="V135" s="91">
        <f>IF(TrRoad_act!V77=0,0,TrRoad_ene!V80/TrRoad_tech!V108)</f>
        <v>1.2557932980285891</v>
      </c>
      <c r="W135" s="91">
        <f>IF(TrRoad_act!W77=0,0,TrRoad_ene!W80/TrRoad_tech!W108)</f>
        <v>1.2557932980285884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1.169333333339637</v>
      </c>
      <c r="K137" s="91">
        <f>IF(TrRoad_act!K79=0,0,TrRoad_ene!K82/TrRoad_tech!K110)</f>
        <v>1.169333333339637</v>
      </c>
      <c r="L137" s="91">
        <f>IF(TrRoad_act!L79=0,0,TrRoad_ene!L82/TrRoad_tech!L110)</f>
        <v>1.1757520877911884</v>
      </c>
      <c r="M137" s="91">
        <f>IF(TrRoad_act!M79=0,0,TrRoad_ene!M82/TrRoad_tech!M110)</f>
        <v>1.1831094581374846</v>
      </c>
      <c r="N137" s="91">
        <f>IF(TrRoad_act!N79=0,0,TrRoad_ene!N82/TrRoad_tech!N110)</f>
        <v>1.1831094581374846</v>
      </c>
      <c r="O137" s="91">
        <f>IF(TrRoad_act!O79=0,0,TrRoad_ene!O82/TrRoad_tech!O110)</f>
        <v>1.2335328623582293</v>
      </c>
      <c r="P137" s="91">
        <f>IF(TrRoad_act!P79=0,0,TrRoad_ene!P82/TrRoad_tech!P110)</f>
        <v>1.2393353201827091</v>
      </c>
      <c r="Q137" s="91">
        <f>IF(TrRoad_act!Q79=0,0,TrRoad_ene!Q82/TrRoad_tech!Q110)</f>
        <v>1.2463494039800593</v>
      </c>
      <c r="R137" s="91">
        <f>IF(TrRoad_act!R79=0,0,TrRoad_ene!R82/TrRoad_tech!R110)</f>
        <v>1.2670877842586392</v>
      </c>
      <c r="S137" s="91">
        <f>IF(TrRoad_act!S79=0,0,TrRoad_ene!S82/TrRoad_tech!S110)</f>
        <v>1.2926711508108257</v>
      </c>
      <c r="T137" s="91">
        <f>IF(TrRoad_act!T79=0,0,TrRoad_ene!T82/TrRoad_tech!T110)</f>
        <v>1.3182410050082833</v>
      </c>
      <c r="U137" s="91">
        <f>IF(TrRoad_act!U79=0,0,TrRoad_ene!U82/TrRoad_tech!U110)</f>
        <v>1.3440725403296461</v>
      </c>
      <c r="V137" s="91">
        <f>IF(TrRoad_act!V79=0,0,TrRoad_ene!V82/TrRoad_tech!V110)</f>
        <v>1.3480823951865852</v>
      </c>
      <c r="W137" s="91">
        <f>IF(TrRoad_act!W79=0,0,TrRoad_ene!W82/TrRoad_tech!W110)</f>
        <v>1.3517778057280827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0.74707544998176389</v>
      </c>
      <c r="C138" s="151">
        <f>IF(TrRoad_act!C80=0,0,TrRoad_ene!C83/TrRoad_tech!C111)</f>
        <v>0.7077220197994436</v>
      </c>
      <c r="D138" s="151">
        <f>IF(TrRoad_act!D80=0,0,TrRoad_ene!D83/TrRoad_tech!D111)</f>
        <v>0.27839333686669876</v>
      </c>
      <c r="E138" s="151">
        <f>IF(TrRoad_act!E80=0,0,TrRoad_ene!E83/TrRoad_tech!E111)</f>
        <v>0.55053805631260566</v>
      </c>
      <c r="F138" s="151">
        <f>IF(TrRoad_act!F80=0,0,TrRoad_ene!F83/TrRoad_tech!F111)</f>
        <v>0.76697679609869762</v>
      </c>
      <c r="G138" s="151">
        <f>IF(TrRoad_act!G80=0,0,TrRoad_ene!G83/TrRoad_tech!G111)</f>
        <v>1.0920049556927891</v>
      </c>
      <c r="H138" s="151">
        <f>IF(TrRoad_act!H80=0,0,TrRoad_ene!H83/TrRoad_tech!H111)</f>
        <v>1.1494468980958816</v>
      </c>
      <c r="I138" s="151">
        <f>IF(TrRoad_act!I80=0,0,TrRoad_ene!I83/TrRoad_tech!I111)</f>
        <v>1.0711305208396216</v>
      </c>
      <c r="J138" s="151">
        <f>IF(TrRoad_act!J80=0,0,TrRoad_ene!J83/TrRoad_tech!J111)</f>
        <v>1.038064082203898</v>
      </c>
      <c r="K138" s="151">
        <f>IF(TrRoad_act!K80=0,0,TrRoad_ene!K83/TrRoad_tech!K111)</f>
        <v>0.93821922346397946</v>
      </c>
      <c r="L138" s="151">
        <f>IF(TrRoad_act!L80=0,0,TrRoad_ene!L83/TrRoad_tech!L111)</f>
        <v>0.94199128972130586</v>
      </c>
      <c r="M138" s="151">
        <f>IF(TrRoad_act!M80=0,0,TrRoad_ene!M83/TrRoad_tech!M111)</f>
        <v>0.88884760020236042</v>
      </c>
      <c r="N138" s="151">
        <f>IF(TrRoad_act!N80=0,0,TrRoad_ene!N83/TrRoad_tech!N111)</f>
        <v>0.87434701158017625</v>
      </c>
      <c r="O138" s="151">
        <f>IF(TrRoad_act!O80=0,0,TrRoad_ene!O83/TrRoad_tech!O111)</f>
        <v>0.89649816765378598</v>
      </c>
      <c r="P138" s="151">
        <f>IF(TrRoad_act!P80=0,0,TrRoad_ene!P83/TrRoad_tech!P111)</f>
        <v>0.89181846435122591</v>
      </c>
      <c r="Q138" s="151">
        <f>IF(TrRoad_act!Q80=0,0,TrRoad_ene!Q83/TrRoad_tech!Q111)</f>
        <v>0.90778293437359747</v>
      </c>
      <c r="R138" s="151">
        <f>IF(TrRoad_act!R80=0,0,TrRoad_ene!R83/TrRoad_tech!R111)</f>
        <v>0.90976609556118637</v>
      </c>
      <c r="S138" s="151">
        <f>IF(TrRoad_act!S80=0,0,TrRoad_ene!S83/TrRoad_tech!S111)</f>
        <v>0.97418016056297252</v>
      </c>
      <c r="T138" s="151">
        <f>IF(TrRoad_act!T80=0,0,TrRoad_ene!T83/TrRoad_tech!T111)</f>
        <v>1.1463687184725362</v>
      </c>
      <c r="U138" s="151">
        <f>IF(TrRoad_act!U80=0,0,TrRoad_ene!U83/TrRoad_tech!U111)</f>
        <v>1.1998661324300961</v>
      </c>
      <c r="V138" s="151">
        <f>IF(TrRoad_act!V80=0,0,TrRoad_ene!V83/TrRoad_tech!V111)</f>
        <v>1.0997924871100819</v>
      </c>
      <c r="W138" s="151">
        <f>IF(TrRoad_act!W80=0,0,TrRoad_ene!W83/TrRoad_tech!W111)</f>
        <v>1.117873700387561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0.74707544998176389</v>
      </c>
      <c r="C139" s="93">
        <f>IF(TrRoad_act!C81=0,0,TrRoad_ene!C84/TrRoad_tech!C112)</f>
        <v>0.7077220197994436</v>
      </c>
      <c r="D139" s="93">
        <f>IF(TrRoad_act!D81=0,0,TrRoad_ene!D84/TrRoad_tech!D112)</f>
        <v>0.27839333686669876</v>
      </c>
      <c r="E139" s="93">
        <f>IF(TrRoad_act!E81=0,0,TrRoad_ene!E84/TrRoad_tech!E112)</f>
        <v>0.55053805631260566</v>
      </c>
      <c r="F139" s="93">
        <f>IF(TrRoad_act!F81=0,0,TrRoad_ene!F84/TrRoad_tech!F112)</f>
        <v>0.76697679609869762</v>
      </c>
      <c r="G139" s="93">
        <f>IF(TrRoad_act!G81=0,0,TrRoad_ene!G84/TrRoad_tech!G112)</f>
        <v>1.0920049556927891</v>
      </c>
      <c r="H139" s="93">
        <f>IF(TrRoad_act!H81=0,0,TrRoad_ene!H84/TrRoad_tech!H112)</f>
        <v>1.1494468980958816</v>
      </c>
      <c r="I139" s="93">
        <f>IF(TrRoad_act!I81=0,0,TrRoad_ene!I84/TrRoad_tech!I112)</f>
        <v>1.0711305208396216</v>
      </c>
      <c r="J139" s="93">
        <f>IF(TrRoad_act!J81=0,0,TrRoad_ene!J84/TrRoad_tech!J112)</f>
        <v>1.038064082203898</v>
      </c>
      <c r="K139" s="93">
        <f>IF(TrRoad_act!K81=0,0,TrRoad_ene!K84/TrRoad_tech!K112)</f>
        <v>0.93821922346397946</v>
      </c>
      <c r="L139" s="93">
        <f>IF(TrRoad_act!L81=0,0,TrRoad_ene!L84/TrRoad_tech!L112)</f>
        <v>0.94199128972130586</v>
      </c>
      <c r="M139" s="93">
        <f>IF(TrRoad_act!M81=0,0,TrRoad_ene!M84/TrRoad_tech!M112)</f>
        <v>0.88884760020236042</v>
      </c>
      <c r="N139" s="93">
        <f>IF(TrRoad_act!N81=0,0,TrRoad_ene!N84/TrRoad_tech!N112)</f>
        <v>0.87434701158017625</v>
      </c>
      <c r="O139" s="93">
        <f>IF(TrRoad_act!O81=0,0,TrRoad_ene!O84/TrRoad_tech!O112)</f>
        <v>0.89649816765378598</v>
      </c>
      <c r="P139" s="93">
        <f>IF(TrRoad_act!P81=0,0,TrRoad_ene!P84/TrRoad_tech!P112)</f>
        <v>0.89181846435122591</v>
      </c>
      <c r="Q139" s="93">
        <f>IF(TrRoad_act!Q81=0,0,TrRoad_ene!Q84/TrRoad_tech!Q112)</f>
        <v>0.90778293437359747</v>
      </c>
      <c r="R139" s="93">
        <f>IF(TrRoad_act!R81=0,0,TrRoad_ene!R84/TrRoad_tech!R112)</f>
        <v>0.90976609556118637</v>
      </c>
      <c r="S139" s="93">
        <f>IF(TrRoad_act!S81=0,0,TrRoad_ene!S84/TrRoad_tech!S112)</f>
        <v>0.97418016056297252</v>
      </c>
      <c r="T139" s="93">
        <f>IF(TrRoad_act!T81=0,0,TrRoad_ene!T84/TrRoad_tech!T112)</f>
        <v>1.1463687184725362</v>
      </c>
      <c r="U139" s="93">
        <f>IF(TrRoad_act!U81=0,0,TrRoad_ene!U84/TrRoad_tech!U112)</f>
        <v>1.1998661324300961</v>
      </c>
      <c r="V139" s="93">
        <f>IF(TrRoad_act!V81=0,0,TrRoad_ene!V84/TrRoad_tech!V112)</f>
        <v>1.0997924871100819</v>
      </c>
      <c r="W139" s="93">
        <f>IF(TrRoad_act!W81=0,0,TrRoad_ene!W84/TrRoad_tech!W112)</f>
        <v>1.117873700387561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</v>
      </c>
      <c r="C140" s="94">
        <f>IF(TrRoad_act!C82=0,0,TrRoad_ene!C85/TrRoad_tech!C113)</f>
        <v>0</v>
      </c>
      <c r="D140" s="94">
        <f>IF(TrRoad_act!D82=0,0,TrRoad_ene!D85/TrRoad_tech!D113)</f>
        <v>0</v>
      </c>
      <c r="E140" s="94">
        <f>IF(TrRoad_act!E82=0,0,TrRoad_ene!E85/TrRoad_tech!E113)</f>
        <v>0</v>
      </c>
      <c r="F140" s="94">
        <f>IF(TrRoad_act!F82=0,0,TrRoad_ene!F85/TrRoad_tech!F113)</f>
        <v>0</v>
      </c>
      <c r="G140" s="94">
        <f>IF(TrRoad_act!G82=0,0,TrRoad_ene!G85/TrRoad_tech!G113)</f>
        <v>0</v>
      </c>
      <c r="H140" s="94">
        <f>IF(TrRoad_act!H82=0,0,TrRoad_ene!H85/TrRoad_tech!H113)</f>
        <v>0</v>
      </c>
      <c r="I140" s="94">
        <f>IF(TrRoad_act!I82=0,0,TrRoad_ene!I85/TrRoad_tech!I113)</f>
        <v>0</v>
      </c>
      <c r="J140" s="94">
        <f>IF(TrRoad_act!J82=0,0,TrRoad_ene!J85/TrRoad_tech!J113)</f>
        <v>0</v>
      </c>
      <c r="K140" s="94">
        <f>IF(TrRoad_act!K82=0,0,TrRoad_ene!K85/TrRoad_tech!K113)</f>
        <v>0</v>
      </c>
      <c r="L140" s="94">
        <f>IF(TrRoad_act!L82=0,0,TrRoad_ene!L85/TrRoad_tech!L113)</f>
        <v>0</v>
      </c>
      <c r="M140" s="94">
        <f>IF(TrRoad_act!M82=0,0,TrRoad_ene!M85/TrRoad_tech!M113)</f>
        <v>0</v>
      </c>
      <c r="N140" s="94">
        <f>IF(TrRoad_act!N82=0,0,TrRoad_ene!N85/TrRoad_tech!N113)</f>
        <v>0</v>
      </c>
      <c r="O140" s="94">
        <f>IF(TrRoad_act!O82=0,0,TrRoad_ene!O85/TrRoad_tech!O113)</f>
        <v>0</v>
      </c>
      <c r="P140" s="94">
        <f>IF(TrRoad_act!P82=0,0,TrRoad_ene!P85/TrRoad_tech!P113)</f>
        <v>0</v>
      </c>
      <c r="Q140" s="94">
        <f>IF(TrRoad_act!Q82=0,0,TrRoad_ene!Q85/TrRoad_tech!Q113)</f>
        <v>0</v>
      </c>
      <c r="R140" s="94">
        <f>IF(TrRoad_act!R82=0,0,TrRoad_ene!R85/TrRoad_tech!R113)</f>
        <v>0</v>
      </c>
      <c r="S140" s="94">
        <f>IF(TrRoad_act!S82=0,0,TrRoad_ene!S85/TrRoad_tech!S113)</f>
        <v>0</v>
      </c>
      <c r="T140" s="94">
        <f>IF(TrRoad_act!T82=0,0,TrRoad_ene!T85/TrRoad_tech!T113)</f>
        <v>0</v>
      </c>
      <c r="U140" s="94">
        <f>IF(TrRoad_act!U82=0,0,TrRoad_ene!U85/TrRoad_tech!U113)</f>
        <v>0</v>
      </c>
      <c r="V140" s="94">
        <f>IF(TrRoad_act!V82=0,0,TrRoad_ene!V85/TrRoad_tech!V113)</f>
        <v>0</v>
      </c>
      <c r="W140" s="94">
        <f>IF(TrRoad_act!W82=0,0,TrRoad_ene!W85/TrRoad_tech!W113)</f>
        <v>0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3.4894601654201547</v>
      </c>
      <c r="C144" s="141">
        <v>3.4704632292542295</v>
      </c>
      <c r="D144" s="141">
        <v>3.4494767941924427</v>
      </c>
      <c r="E144" s="141">
        <v>3.4063005734345917</v>
      </c>
      <c r="F144" s="141">
        <v>3.4015834389482276</v>
      </c>
      <c r="G144" s="141">
        <v>3.2918406116179204</v>
      </c>
      <c r="H144" s="141">
        <v>3.1315080067840388</v>
      </c>
      <c r="I144" s="141">
        <v>3.0855743940013598</v>
      </c>
      <c r="J144" s="141">
        <v>2.9357629702750159</v>
      </c>
      <c r="K144" s="141">
        <v>2.7741701708149913</v>
      </c>
      <c r="L144" s="141">
        <v>2.6732720852514413</v>
      </c>
      <c r="M144" s="141">
        <v>2.5521223792943766</v>
      </c>
      <c r="N144" s="141">
        <v>2.470996128373093</v>
      </c>
      <c r="O144" s="141">
        <v>2.4179315147409897</v>
      </c>
      <c r="P144" s="141">
        <v>2.3782284015381676</v>
      </c>
      <c r="Q144" s="141">
        <v>2.3323684028199945</v>
      </c>
      <c r="R144" s="141">
        <v>2.2870018906376091</v>
      </c>
      <c r="S144" s="141">
        <v>2.2507086808917007</v>
      </c>
      <c r="T144" s="141">
        <v>2.221674113094974</v>
      </c>
      <c r="U144" s="141">
        <v>2.1984464588575925</v>
      </c>
      <c r="V144" s="141">
        <v>2.1798643354676877</v>
      </c>
      <c r="W144" s="141">
        <v>2.1649986367557634</v>
      </c>
      <c r="DA144" s="174" t="s">
        <v>885</v>
      </c>
    </row>
    <row r="145" spans="1:105" ht="11.45" customHeight="1" x14ac:dyDescent="0.25">
      <c r="A145" s="109" t="s">
        <v>20</v>
      </c>
      <c r="B145" s="130">
        <v>5.6270809223136125</v>
      </c>
      <c r="C145" s="130">
        <v>5.6062666190083332</v>
      </c>
      <c r="D145" s="130">
        <v>5.5713608066345408</v>
      </c>
      <c r="E145" s="130">
        <v>5.4726561494166894</v>
      </c>
      <c r="F145" s="130">
        <v>5.4134784266128513</v>
      </c>
      <c r="G145" s="130">
        <v>5.354293107462575</v>
      </c>
      <c r="H145" s="130">
        <v>5.2861132363595544</v>
      </c>
      <c r="I145" s="130">
        <v>5.2629455366388056</v>
      </c>
      <c r="J145" s="130">
        <v>5.2386367203335329</v>
      </c>
      <c r="K145" s="130">
        <v>5.2871675924172461</v>
      </c>
      <c r="L145" s="130">
        <v>5.6422225144306308</v>
      </c>
      <c r="M145" s="130">
        <v>5.081532584604</v>
      </c>
      <c r="N145" s="130">
        <v>4.9771657842311212</v>
      </c>
      <c r="O145" s="130">
        <v>4.8461636533111054</v>
      </c>
      <c r="P145" s="130">
        <v>4.6834040912466977</v>
      </c>
      <c r="Q145" s="130">
        <v>4.5366664410362789</v>
      </c>
      <c r="R145" s="130">
        <v>4.6144824879527544</v>
      </c>
      <c r="S145" s="130">
        <v>4.5223819714642399</v>
      </c>
      <c r="T145" s="130">
        <v>4.4930425934119507</v>
      </c>
      <c r="U145" s="130">
        <v>4.4711884525303347</v>
      </c>
      <c r="V145" s="130">
        <v>4.4062889403892127</v>
      </c>
      <c r="W145" s="130">
        <v>4.1061020063927671</v>
      </c>
      <c r="DA145" s="176" t="s">
        <v>886</v>
      </c>
    </row>
    <row r="146" spans="1:105" ht="11.45" customHeight="1" x14ac:dyDescent="0.25">
      <c r="A146" s="111" t="s">
        <v>110</v>
      </c>
      <c r="B146" s="96">
        <v>5.3662882349051264</v>
      </c>
      <c r="C146" s="96">
        <v>5.3422540905439639</v>
      </c>
      <c r="D146" s="96">
        <v>5.315675711984043</v>
      </c>
      <c r="E146" s="96">
        <v>5.2892295641632279</v>
      </c>
      <c r="F146" s="96">
        <v>5.2629149892171441</v>
      </c>
      <c r="G146" s="96">
        <v>5.2367313325543723</v>
      </c>
      <c r="H146" s="96">
        <v>5.2106779428401735</v>
      </c>
      <c r="I146" s="96">
        <v>5.1847541719802708</v>
      </c>
      <c r="J146" s="96">
        <v>5.1589593751047476</v>
      </c>
      <c r="K146" s="96">
        <v>5.1332929105519902</v>
      </c>
      <c r="L146" s="96">
        <v>5.1077541398527275</v>
      </c>
      <c r="M146" s="96">
        <v>4.8762764254973119</v>
      </c>
      <c r="N146" s="96">
        <v>4.7208566399526033</v>
      </c>
      <c r="O146" s="96">
        <v>4.6198812954488844</v>
      </c>
      <c r="P146" s="96">
        <v>4.5440215496543273</v>
      </c>
      <c r="Q146" s="96">
        <v>4.456397996631571</v>
      </c>
      <c r="R146" s="96">
        <v>4.41714566365411</v>
      </c>
      <c r="S146" s="96">
        <v>4.367641317252116</v>
      </c>
      <c r="T146" s="96">
        <v>4.3351002991020016</v>
      </c>
      <c r="U146" s="96">
        <v>4.5361827492352891</v>
      </c>
      <c r="V146" s="96">
        <v>4.5915500576284574</v>
      </c>
      <c r="W146" s="96">
        <v>4.1350090525714327</v>
      </c>
      <c r="DA146" s="171" t="s">
        <v>887</v>
      </c>
    </row>
    <row r="147" spans="1:105" ht="11.45" customHeight="1" x14ac:dyDescent="0.25">
      <c r="A147" s="111" t="s">
        <v>111</v>
      </c>
      <c r="B147" s="96">
        <v>6.0037334161237688</v>
      </c>
      <c r="C147" s="96">
        <v>5.9875694010432907</v>
      </c>
      <c r="D147" s="96">
        <v>5.9696604197839385</v>
      </c>
      <c r="E147" s="96">
        <v>5.9518050047696311</v>
      </c>
      <c r="F147" s="96">
        <v>5.9340029957822855</v>
      </c>
      <c r="G147" s="96">
        <v>5.9162542330830385</v>
      </c>
      <c r="H147" s="96">
        <v>5.8985585574108068</v>
      </c>
      <c r="I147" s="96">
        <v>5.8809158099808654</v>
      </c>
      <c r="J147" s="96">
        <v>5.8633258324834143</v>
      </c>
      <c r="K147" s="96">
        <v>5.8457884670821691</v>
      </c>
      <c r="L147" s="96">
        <v>5.8283035564129317</v>
      </c>
      <c r="M147" s="96">
        <v>5.4206457244984474</v>
      </c>
      <c r="N147" s="96">
        <v>5.3721164594153477</v>
      </c>
      <c r="O147" s="96">
        <v>5.20600106509524</v>
      </c>
      <c r="P147" s="96">
        <v>4.9319911095593971</v>
      </c>
      <c r="Q147" s="96">
        <v>4.8621572379781473</v>
      </c>
      <c r="R147" s="96">
        <v>4.7486223402827328</v>
      </c>
      <c r="S147" s="96">
        <v>4.7756146763849987</v>
      </c>
      <c r="T147" s="96">
        <v>4.9179989199692544</v>
      </c>
      <c r="U147" s="96">
        <v>4.8268157836572483</v>
      </c>
      <c r="V147" s="96">
        <v>4.747987086458263</v>
      </c>
      <c r="W147" s="96">
        <v>4.5039585301793039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5.064907098811771</v>
      </c>
      <c r="S148" s="96">
        <v>0</v>
      </c>
      <c r="T148" s="96">
        <v>0</v>
      </c>
      <c r="U148" s="96">
        <v>5.0312824694148315</v>
      </c>
      <c r="V148" s="96">
        <v>0</v>
      </c>
      <c r="W148" s="96">
        <v>3.9074874225783178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4.2203706952036955</v>
      </c>
      <c r="M150" s="96">
        <v>4.0955053425998669</v>
      </c>
      <c r="N150" s="96">
        <v>3.4639435701783556</v>
      </c>
      <c r="O150" s="96">
        <v>4.8398235777646095</v>
      </c>
      <c r="P150" s="96">
        <v>4.7968725498908551</v>
      </c>
      <c r="Q150" s="96">
        <v>4.0618603209334818</v>
      </c>
      <c r="R150" s="96">
        <v>5.4546133584134395</v>
      </c>
      <c r="S150" s="96">
        <v>4.3055514963298158</v>
      </c>
      <c r="T150" s="96">
        <v>5.1999983692210288</v>
      </c>
      <c r="U150" s="96">
        <v>2.9929152734467133</v>
      </c>
      <c r="V150" s="96">
        <v>3.3941043593424607</v>
      </c>
      <c r="W150" s="96">
        <v>3.0414932411315938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1.2578869614751085</v>
      </c>
      <c r="F151" s="96">
        <v>1.2453080918603574</v>
      </c>
      <c r="G151" s="96">
        <v>1.2328550109417538</v>
      </c>
      <c r="H151" s="96">
        <v>1.2205264608323361</v>
      </c>
      <c r="I151" s="96">
        <v>1.2083211962240128</v>
      </c>
      <c r="J151" s="96">
        <v>1.1962379842617727</v>
      </c>
      <c r="K151" s="96">
        <v>1.1842756044191551</v>
      </c>
      <c r="L151" s="96">
        <v>1.1724328483749633</v>
      </c>
      <c r="M151" s="96">
        <v>0</v>
      </c>
      <c r="N151" s="96">
        <v>1.0817356473149937</v>
      </c>
      <c r="O151" s="96">
        <v>1.1263972484952709</v>
      </c>
      <c r="P151" s="96">
        <v>1.177578512058306</v>
      </c>
      <c r="Q151" s="96">
        <v>1.3117246094607504</v>
      </c>
      <c r="R151" s="96">
        <v>1.2742087376653157</v>
      </c>
      <c r="S151" s="96">
        <v>1.028237458440759</v>
      </c>
      <c r="T151" s="96">
        <v>1.1435941530524505</v>
      </c>
      <c r="U151" s="96">
        <v>1.3506184271446526</v>
      </c>
      <c r="V151" s="96">
        <v>1.5997975203173105</v>
      </c>
      <c r="W151" s="96">
        <v>1.4288461495953861</v>
      </c>
      <c r="DA151" s="171" t="s">
        <v>892</v>
      </c>
    </row>
    <row r="152" spans="1:105" ht="11.45" customHeight="1" x14ac:dyDescent="0.25">
      <c r="A152" s="109" t="s">
        <v>21</v>
      </c>
      <c r="B152" s="130">
        <v>0</v>
      </c>
      <c r="C152" s="130">
        <v>0</v>
      </c>
      <c r="D152" s="130">
        <v>37.693972423196627</v>
      </c>
      <c r="E152" s="130">
        <v>37.574903195426984</v>
      </c>
      <c r="F152" s="130">
        <v>0</v>
      </c>
      <c r="G152" s="130">
        <v>37.434088444411522</v>
      </c>
      <c r="H152" s="130">
        <v>37.242454261441047</v>
      </c>
      <c r="I152" s="130">
        <v>37.104365098666143</v>
      </c>
      <c r="J152" s="130">
        <v>36.636970694188506</v>
      </c>
      <c r="K152" s="130">
        <v>36.111111141451964</v>
      </c>
      <c r="L152" s="130">
        <v>31.95089749106641</v>
      </c>
      <c r="M152" s="130">
        <v>35.35399309509576</v>
      </c>
      <c r="N152" s="130">
        <v>35.066175229072194</v>
      </c>
      <c r="O152" s="130">
        <v>34.874831980386141</v>
      </c>
      <c r="P152" s="130">
        <v>34.72988327756201</v>
      </c>
      <c r="Q152" s="130">
        <v>34.559999999926667</v>
      </c>
      <c r="R152" s="130">
        <v>34.407815666013036</v>
      </c>
      <c r="S152" s="130">
        <v>34.27142282021358</v>
      </c>
      <c r="T152" s="130">
        <v>31.991942061349725</v>
      </c>
      <c r="U152" s="130">
        <v>33.629437615602541</v>
      </c>
      <c r="V152" s="130">
        <v>33.890473438364971</v>
      </c>
      <c r="W152" s="130">
        <v>33.219964657762119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11.138633688547673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8.605150509367645</v>
      </c>
      <c r="U153" s="97">
        <v>8.4145333873512111</v>
      </c>
      <c r="V153" s="97">
        <v>0</v>
      </c>
      <c r="W153" s="97">
        <v>8.0983103813114905</v>
      </c>
      <c r="DA153" s="175" t="s">
        <v>894</v>
      </c>
    </row>
    <row r="154" spans="1:105" ht="11.45" customHeight="1" x14ac:dyDescent="0.25">
      <c r="A154" s="111" t="s">
        <v>111</v>
      </c>
      <c r="B154" s="97">
        <v>0</v>
      </c>
      <c r="C154" s="97">
        <v>0</v>
      </c>
      <c r="D154" s="97">
        <v>37.693972423196627</v>
      </c>
      <c r="E154" s="97">
        <v>37.574903195426984</v>
      </c>
      <c r="F154" s="97">
        <v>0</v>
      </c>
      <c r="G154" s="97">
        <v>37.434088444411522</v>
      </c>
      <c r="H154" s="97">
        <v>37.242454261441047</v>
      </c>
      <c r="I154" s="97">
        <v>37.104365098666143</v>
      </c>
      <c r="J154" s="97">
        <v>36.636970694188506</v>
      </c>
      <c r="K154" s="97">
        <v>36.111111141451964</v>
      </c>
      <c r="L154" s="97">
        <v>35.77355818948822</v>
      </c>
      <c r="M154" s="97">
        <v>35.35399309509576</v>
      </c>
      <c r="N154" s="97">
        <v>35.066175229072194</v>
      </c>
      <c r="O154" s="97">
        <v>34.874831980386141</v>
      </c>
      <c r="P154" s="97">
        <v>34.72988327756201</v>
      </c>
      <c r="Q154" s="97">
        <v>34.559999999926667</v>
      </c>
      <c r="R154" s="97">
        <v>34.407815666013036</v>
      </c>
      <c r="S154" s="97">
        <v>34.27142282021358</v>
      </c>
      <c r="T154" s="97">
        <v>34.149131586398951</v>
      </c>
      <c r="U154" s="97">
        <v>34.039442619858058</v>
      </c>
      <c r="V154" s="97">
        <v>33.941023822045814</v>
      </c>
      <c r="W154" s="97">
        <v>33.852690226180705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26.016884214519461</v>
      </c>
      <c r="U157" s="97">
        <v>26.248944005540601</v>
      </c>
      <c r="V157" s="97">
        <v>26.459567037281328</v>
      </c>
      <c r="W157" s="97">
        <v>26.650572374054654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6.3153329199686485</v>
      </c>
      <c r="D159" s="141">
        <v>6.3396114559717267</v>
      </c>
      <c r="E159" s="141">
        <v>6.3413048543435151</v>
      </c>
      <c r="F159" s="141">
        <v>6.3484571156986176</v>
      </c>
      <c r="G159" s="141">
        <v>6.3573515470312056</v>
      </c>
      <c r="H159" s="141">
        <v>6.3700943217769321</v>
      </c>
      <c r="I159" s="141">
        <v>6.2451685656343159</v>
      </c>
      <c r="J159" s="141">
        <v>6.1135246021364837</v>
      </c>
      <c r="K159" s="141">
        <v>6.000350771379698</v>
      </c>
      <c r="L159" s="141">
        <v>5.9515583050801064</v>
      </c>
      <c r="M159" s="141">
        <v>5.8342695372245004</v>
      </c>
      <c r="N159" s="141">
        <v>5.6226055916204345</v>
      </c>
      <c r="O159" s="141">
        <v>5.5180769106220193</v>
      </c>
      <c r="P159" s="141">
        <v>5.421265084770714</v>
      </c>
      <c r="Q159" s="141">
        <v>5.370936525533077</v>
      </c>
      <c r="R159" s="141">
        <v>5.2373177033922893</v>
      </c>
      <c r="S159" s="141">
        <v>5.086190186649989</v>
      </c>
      <c r="T159" s="141">
        <v>5.2043468373407125</v>
      </c>
      <c r="U159" s="141">
        <v>5.0235320127795733</v>
      </c>
      <c r="V159" s="141">
        <v>5.4136320243490212</v>
      </c>
      <c r="W159" s="141">
        <v>5.1717061282743373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6.4606501758625701</v>
      </c>
      <c r="D160" s="96">
        <v>6.3339707606495788</v>
      </c>
      <c r="E160" s="96">
        <v>6.2097752555388022</v>
      </c>
      <c r="F160" s="96">
        <v>6.0880149564105892</v>
      </c>
      <c r="G160" s="96">
        <v>5.9686421141280306</v>
      </c>
      <c r="H160" s="96">
        <v>5.8516099158117942</v>
      </c>
      <c r="I160" s="96">
        <v>5.7368724664821507</v>
      </c>
      <c r="J160" s="96">
        <v>5.5254724279156724</v>
      </c>
      <c r="K160" s="96">
        <v>5.4171298312898744</v>
      </c>
      <c r="L160" s="96">
        <v>5.3109115993037985</v>
      </c>
      <c r="M160" s="96">
        <v>5.206776077748823</v>
      </c>
      <c r="N160" s="96">
        <v>5.1046824291655133</v>
      </c>
      <c r="O160" s="96">
        <v>5.9035548141058243</v>
      </c>
      <c r="P160" s="96">
        <v>4.8562094764875914</v>
      </c>
      <c r="Q160" s="96">
        <v>4.7795828969769403</v>
      </c>
      <c r="R160" s="96">
        <v>5.1722941169690317</v>
      </c>
      <c r="S160" s="96">
        <v>4.9072415947483989</v>
      </c>
      <c r="T160" s="96">
        <v>5.2209671282533012</v>
      </c>
      <c r="U160" s="96">
        <v>5.0732757754168638</v>
      </c>
      <c r="V160" s="96">
        <v>5.9855080395827516</v>
      </c>
      <c r="W160" s="96">
        <v>5.9258419635272208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6.4434128729384783</v>
      </c>
      <c r="D161" s="96">
        <v>6.3170714440573326</v>
      </c>
      <c r="E161" s="96">
        <v>6.1932072980954231</v>
      </c>
      <c r="F161" s="96">
        <v>6.0717718608778668</v>
      </c>
      <c r="G161" s="96">
        <v>5.9527175106645744</v>
      </c>
      <c r="H161" s="96">
        <v>5.8359975594750715</v>
      </c>
      <c r="I161" s="96">
        <v>5.7215662347794822</v>
      </c>
      <c r="J161" s="96">
        <v>5.595060295297106</v>
      </c>
      <c r="K161" s="96">
        <v>5.4853532306834358</v>
      </c>
      <c r="L161" s="96">
        <v>5.3777972849837603</v>
      </c>
      <c r="M161" s="96">
        <v>5.2723502793958446</v>
      </c>
      <c r="N161" s="96">
        <v>5.1689708621527872</v>
      </c>
      <c r="O161" s="96">
        <v>5.2518085291802015</v>
      </c>
      <c r="P161" s="96">
        <v>5.1454251149853381</v>
      </c>
      <c r="Q161" s="96">
        <v>5.3694436233928569</v>
      </c>
      <c r="R161" s="96">
        <v>5.1584313111961047</v>
      </c>
      <c r="S161" s="96">
        <v>4.7758311160001217</v>
      </c>
      <c r="T161" s="96">
        <v>5.0062328825297522</v>
      </c>
      <c r="U161" s="96">
        <v>5.0621685529423752</v>
      </c>
      <c r="V161" s="96">
        <v>5.788902384199587</v>
      </c>
      <c r="W161" s="96">
        <v>5.4081224848061193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7.2138488693647842</v>
      </c>
      <c r="T162" s="96">
        <v>0</v>
      </c>
      <c r="U162" s="96">
        <v>7.4579260078885738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1.2967304180438881</v>
      </c>
      <c r="K164" s="96">
        <v>0</v>
      </c>
      <c r="L164" s="96">
        <v>1.2756689973421773</v>
      </c>
      <c r="M164" s="96">
        <v>1.2629123073687554</v>
      </c>
      <c r="N164" s="96">
        <v>0</v>
      </c>
      <c r="O164" s="96">
        <v>1.2402326008930817</v>
      </c>
      <c r="P164" s="96">
        <v>1.2508321057961216</v>
      </c>
      <c r="Q164" s="96">
        <v>1.3198853792075025</v>
      </c>
      <c r="R164" s="96">
        <v>1.3327601031814273</v>
      </c>
      <c r="S164" s="96">
        <v>1.4084264832330182</v>
      </c>
      <c r="T164" s="96">
        <v>1.3134135855546003</v>
      </c>
      <c r="U164" s="96">
        <v>1.8057543142999408</v>
      </c>
      <c r="V164" s="96">
        <v>1.4740203906154032</v>
      </c>
      <c r="W164" s="96">
        <v>2.036328460877042</v>
      </c>
      <c r="DA164" s="171" t="s">
        <v>904</v>
      </c>
    </row>
    <row r="165" spans="1:105" ht="11.45" customHeight="1" x14ac:dyDescent="0.25">
      <c r="A165" s="109" t="s">
        <v>158</v>
      </c>
      <c r="B165" s="130">
        <v>18.112047730504155</v>
      </c>
      <c r="C165" s="130">
        <v>18.084085051510382</v>
      </c>
      <c r="D165" s="130">
        <v>18.053066037696293</v>
      </c>
      <c r="E165" s="130">
        <v>18.014441591750245</v>
      </c>
      <c r="F165" s="130">
        <v>17.968309859116868</v>
      </c>
      <c r="G165" s="130">
        <v>17.914787234004248</v>
      </c>
      <c r="H165" s="130">
        <v>17.854007633552897</v>
      </c>
      <c r="I165" s="130">
        <v>17.786121672965649</v>
      </c>
      <c r="J165" s="130">
        <v>17.711295750911347</v>
      </c>
      <c r="K165" s="130">
        <v>17.629711055240044</v>
      </c>
      <c r="L165" s="130">
        <v>17.541562499961117</v>
      </c>
      <c r="M165" s="130">
        <v>17.447057604606101</v>
      </c>
      <c r="N165" s="130">
        <v>17.346415327528995</v>
      </c>
      <c r="O165" s="130">
        <v>17.239864864831905</v>
      </c>
      <c r="P165" s="130">
        <v>17.127644426329045</v>
      </c>
      <c r="Q165" s="130">
        <v>17.009999999963902</v>
      </c>
      <c r="R165" s="130">
        <v>17.135132037216938</v>
      </c>
      <c r="S165" s="130">
        <v>17.222724463294064</v>
      </c>
      <c r="T165" s="130">
        <v>17.314696510675045</v>
      </c>
      <c r="U165" s="130">
        <v>17.427106790807354</v>
      </c>
      <c r="V165" s="130">
        <v>17.128734355299205</v>
      </c>
      <c r="W165" s="130">
        <v>16.957447011746211</v>
      </c>
      <c r="DA165" s="176" t="s">
        <v>905</v>
      </c>
    </row>
    <row r="166" spans="1:105" ht="11.45" customHeight="1" x14ac:dyDescent="0.25">
      <c r="A166" s="128" t="s">
        <v>27</v>
      </c>
      <c r="B166" s="97">
        <v>18.112047730504155</v>
      </c>
      <c r="C166" s="97">
        <v>18.084085051510382</v>
      </c>
      <c r="D166" s="97">
        <v>18.053066037696293</v>
      </c>
      <c r="E166" s="97">
        <v>18.014441591750245</v>
      </c>
      <c r="F166" s="97">
        <v>17.968309859116868</v>
      </c>
      <c r="G166" s="97">
        <v>17.914787234004248</v>
      </c>
      <c r="H166" s="97">
        <v>17.854007633552897</v>
      </c>
      <c r="I166" s="97">
        <v>17.786121672965649</v>
      </c>
      <c r="J166" s="97">
        <v>17.711295750911347</v>
      </c>
      <c r="K166" s="97">
        <v>17.629711055240044</v>
      </c>
      <c r="L166" s="97">
        <v>17.541562499961117</v>
      </c>
      <c r="M166" s="97">
        <v>17.447057604606101</v>
      </c>
      <c r="N166" s="97">
        <v>17.346415327528995</v>
      </c>
      <c r="O166" s="97">
        <v>17.239864864831905</v>
      </c>
      <c r="P166" s="97">
        <v>17.127644426329045</v>
      </c>
      <c r="Q166" s="97">
        <v>17.009999999963902</v>
      </c>
      <c r="R166" s="97">
        <v>17.135132037216938</v>
      </c>
      <c r="S166" s="97">
        <v>17.222724463294064</v>
      </c>
      <c r="T166" s="97">
        <v>17.314696510675045</v>
      </c>
      <c r="U166" s="97">
        <v>17.427106790807354</v>
      </c>
      <c r="V166" s="97">
        <v>17.128734355299205</v>
      </c>
      <c r="W166" s="97">
        <v>16.957447011746211</v>
      </c>
      <c r="DA166" s="175" t="s">
        <v>906</v>
      </c>
    </row>
    <row r="167" spans="1:105" ht="11.45" customHeight="1" x14ac:dyDescent="0.25">
      <c r="A167" s="138" t="s">
        <v>116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108.15825742045459</v>
      </c>
      <c r="C171" s="152">
        <v>107.71086484846498</v>
      </c>
      <c r="D171" s="152">
        <v>107.23338528384434</v>
      </c>
      <c r="E171" s="152">
        <v>106.75259118692681</v>
      </c>
      <c r="F171" s="152">
        <v>106.26896677983454</v>
      </c>
      <c r="G171" s="152">
        <v>105.66049460989889</v>
      </c>
      <c r="H171" s="152">
        <v>104.89229461360604</v>
      </c>
      <c r="I171" s="152">
        <v>103.956625256506</v>
      </c>
      <c r="J171" s="152">
        <v>101.83750372911972</v>
      </c>
      <c r="K171" s="152">
        <v>99.959981806895598</v>
      </c>
      <c r="L171" s="152">
        <v>97.660827678000643</v>
      </c>
      <c r="M171" s="152">
        <v>95.620621412930404</v>
      </c>
      <c r="N171" s="152">
        <v>93.011146322364098</v>
      </c>
      <c r="O171" s="152">
        <v>90.956830507368736</v>
      </c>
      <c r="P171" s="152">
        <v>88.501752457497275</v>
      </c>
      <c r="Q171" s="152">
        <v>85.615051826693758</v>
      </c>
      <c r="R171" s="152">
        <v>82.554936075882026</v>
      </c>
      <c r="S171" s="152">
        <v>79.882563319723502</v>
      </c>
      <c r="T171" s="152">
        <v>78.026332172436028</v>
      </c>
      <c r="U171" s="152">
        <v>76.349265839540578</v>
      </c>
      <c r="V171" s="152">
        <v>74.852189570565457</v>
      </c>
      <c r="W171" s="152">
        <v>65.882694796957168</v>
      </c>
      <c r="DA171" s="174" t="s">
        <v>908</v>
      </c>
    </row>
    <row r="172" spans="1:105" ht="11.45" customHeight="1" x14ac:dyDescent="0.25">
      <c r="A172" s="109" t="s">
        <v>20</v>
      </c>
      <c r="B172" s="116">
        <v>173.02378473087711</v>
      </c>
      <c r="C172" s="116">
        <v>172.24561946112757</v>
      </c>
      <c r="D172" s="116">
        <v>171.58742557062891</v>
      </c>
      <c r="E172" s="116">
        <v>169.88763850496431</v>
      </c>
      <c r="F172" s="116">
        <v>168.9888614657703</v>
      </c>
      <c r="G172" s="116">
        <v>167.85267264371942</v>
      </c>
      <c r="H172" s="116">
        <v>166.30035309596249</v>
      </c>
      <c r="I172" s="116">
        <v>165.63568871979857</v>
      </c>
      <c r="J172" s="116">
        <v>164.98978471305259</v>
      </c>
      <c r="K172" s="116">
        <v>165.5299480282354</v>
      </c>
      <c r="L172" s="116">
        <v>171.54881401029104</v>
      </c>
      <c r="M172" s="116">
        <v>166.72599962280009</v>
      </c>
      <c r="N172" s="116">
        <v>166.13574036697639</v>
      </c>
      <c r="O172" s="116">
        <v>164.83885268843991</v>
      </c>
      <c r="P172" s="116">
        <v>162.99254607204963</v>
      </c>
      <c r="Q172" s="116">
        <v>160.19415199087393</v>
      </c>
      <c r="R172" s="116">
        <v>159.86435842530338</v>
      </c>
      <c r="S172" s="116">
        <v>161.49162005387572</v>
      </c>
      <c r="T172" s="116">
        <v>158.97464644360005</v>
      </c>
      <c r="U172" s="116">
        <v>154.96337461930739</v>
      </c>
      <c r="V172" s="116">
        <v>151.70832934695633</v>
      </c>
      <c r="W172" s="116">
        <v>150.19778539847937</v>
      </c>
      <c r="DA172" s="176" t="s">
        <v>909</v>
      </c>
    </row>
    <row r="173" spans="1:105" ht="11.45" customHeight="1" x14ac:dyDescent="0.25">
      <c r="A173" s="111" t="s">
        <v>110</v>
      </c>
      <c r="B173" s="87">
        <v>166.31197687786155</v>
      </c>
      <c r="C173" s="87">
        <v>165.16166329806131</v>
      </c>
      <c r="D173" s="87">
        <v>164.50046667527377</v>
      </c>
      <c r="E173" s="87">
        <v>163.95598684904451</v>
      </c>
      <c r="F173" s="87">
        <v>163.5605186806103</v>
      </c>
      <c r="G173" s="87">
        <v>162.82317194133032</v>
      </c>
      <c r="H173" s="87">
        <v>161.71064422750825</v>
      </c>
      <c r="I173" s="87">
        <v>160.70856588652643</v>
      </c>
      <c r="J173" s="87">
        <v>159.81325503649586</v>
      </c>
      <c r="K173" s="87">
        <v>158.85634491527676</v>
      </c>
      <c r="L173" s="87">
        <v>157.5125188462809</v>
      </c>
      <c r="M173" s="87">
        <v>156.45073784502449</v>
      </c>
      <c r="N173" s="87">
        <v>155.3745396941506</v>
      </c>
      <c r="O173" s="87">
        <v>154.48691087746337</v>
      </c>
      <c r="P173" s="87">
        <v>153.51119714343466</v>
      </c>
      <c r="Q173" s="87">
        <v>152.46377484993681</v>
      </c>
      <c r="R173" s="87">
        <v>151.25263265062827</v>
      </c>
      <c r="S173" s="87">
        <v>149.79242698007843</v>
      </c>
      <c r="T173" s="87">
        <v>148.21310084147029</v>
      </c>
      <c r="U173" s="87">
        <v>146.99189927648266</v>
      </c>
      <c r="V173" s="87">
        <v>146.02375006670007</v>
      </c>
      <c r="W173" s="87">
        <v>143.62272683771897</v>
      </c>
      <c r="DA173" s="171" t="s">
        <v>910</v>
      </c>
    </row>
    <row r="174" spans="1:105" ht="11.45" customHeight="1" x14ac:dyDescent="0.25">
      <c r="A174" s="111" t="s">
        <v>111</v>
      </c>
      <c r="B174" s="87">
        <v>189.98617328778013</v>
      </c>
      <c r="C174" s="87">
        <v>188.81994707943551</v>
      </c>
      <c r="D174" s="87">
        <v>188.36192622597068</v>
      </c>
      <c r="E174" s="87">
        <v>188.13949024982531</v>
      </c>
      <c r="F174" s="87">
        <v>188.01843612211411</v>
      </c>
      <c r="G174" s="87">
        <v>187.83016151732329</v>
      </c>
      <c r="H174" s="87">
        <v>187.65950607503342</v>
      </c>
      <c r="I174" s="87">
        <v>187.46483479757021</v>
      </c>
      <c r="J174" s="87">
        <v>187.27674983219416</v>
      </c>
      <c r="K174" s="87">
        <v>186.78696471138358</v>
      </c>
      <c r="L174" s="87">
        <v>185.08244831214006</v>
      </c>
      <c r="M174" s="87">
        <v>184.43212393768857</v>
      </c>
      <c r="N174" s="87">
        <v>183.7642154568891</v>
      </c>
      <c r="O174" s="87">
        <v>183.02805547609219</v>
      </c>
      <c r="P174" s="87">
        <v>181.81333171297035</v>
      </c>
      <c r="Q174" s="87">
        <v>180.5388056842944</v>
      </c>
      <c r="R174" s="87">
        <v>178.72068297323119</v>
      </c>
      <c r="S174" s="87">
        <v>176.86585941398164</v>
      </c>
      <c r="T174" s="87">
        <v>175.18720461373942</v>
      </c>
      <c r="U174" s="87">
        <v>173.33548975890542</v>
      </c>
      <c r="V174" s="87">
        <v>171.85775237621698</v>
      </c>
      <c r="W174" s="87">
        <v>170.24635195374981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0</v>
      </c>
      <c r="I175" s="87">
        <v>0</v>
      </c>
      <c r="J175" s="87">
        <v>0</v>
      </c>
      <c r="K175" s="87">
        <v>0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165.80810019088904</v>
      </c>
      <c r="S175" s="87">
        <v>165.80810019088904</v>
      </c>
      <c r="T175" s="87">
        <v>165.80810019088904</v>
      </c>
      <c r="U175" s="87">
        <v>152.47739455257604</v>
      </c>
      <c r="V175" s="87">
        <v>151.49175894194201</v>
      </c>
      <c r="W175" s="87">
        <v>149.63483223798787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85.214338835112386</v>
      </c>
      <c r="M177" s="87">
        <v>84.139538763749613</v>
      </c>
      <c r="N177" s="87">
        <v>77.818013293208011</v>
      </c>
      <c r="O177" s="87">
        <v>84.295658753660319</v>
      </c>
      <c r="P177" s="87">
        <v>87.120613504609352</v>
      </c>
      <c r="Q177" s="87">
        <v>80.215705834018109</v>
      </c>
      <c r="R177" s="87">
        <v>79.998917612871352</v>
      </c>
      <c r="S177" s="87">
        <v>80.083670962880518</v>
      </c>
      <c r="T177" s="87">
        <v>82.698551890970663</v>
      </c>
      <c r="U177" s="87">
        <v>81.400508211062672</v>
      </c>
      <c r="V177" s="87">
        <v>76.12417540980222</v>
      </c>
      <c r="W177" s="87">
        <v>66.13421382188784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1559.7029021068236</v>
      </c>
      <c r="C179" s="116">
        <v>1559.7029021068236</v>
      </c>
      <c r="D179" s="116">
        <v>1558.2180142874856</v>
      </c>
      <c r="E179" s="116">
        <v>1557.2250044115315</v>
      </c>
      <c r="F179" s="116">
        <v>1557.2250044115315</v>
      </c>
      <c r="G179" s="116">
        <v>1556.2083434038102</v>
      </c>
      <c r="H179" s="116">
        <v>1555.6981549118368</v>
      </c>
      <c r="I179" s="116">
        <v>1553.6421866181952</v>
      </c>
      <c r="J179" s="116">
        <v>1551.2353372377538</v>
      </c>
      <c r="K179" s="116">
        <v>1513.2351252761641</v>
      </c>
      <c r="L179" s="116">
        <v>1475.3349512223567</v>
      </c>
      <c r="M179" s="116">
        <v>1397.6533107348096</v>
      </c>
      <c r="N179" s="116">
        <v>1385.2606944127069</v>
      </c>
      <c r="O179" s="116">
        <v>1376.0872662202275</v>
      </c>
      <c r="P179" s="116">
        <v>1362.6869151293527</v>
      </c>
      <c r="Q179" s="116">
        <v>1331.5757150353095</v>
      </c>
      <c r="R179" s="116">
        <v>1305.0388243156776</v>
      </c>
      <c r="S179" s="116">
        <v>1296.3949179297711</v>
      </c>
      <c r="T179" s="116">
        <v>1089.9393763173077</v>
      </c>
      <c r="U179" s="116">
        <v>1260.2115840989125</v>
      </c>
      <c r="V179" s="116">
        <v>1228.940043138663</v>
      </c>
      <c r="W179" s="116">
        <v>1172.289667992675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323.182154483575</v>
      </c>
      <c r="M180" s="101">
        <v>323.18215448357495</v>
      </c>
      <c r="N180" s="101">
        <v>323.182154483575</v>
      </c>
      <c r="O180" s="101">
        <v>323.18215448357495</v>
      </c>
      <c r="P180" s="101">
        <v>323.18215448357506</v>
      </c>
      <c r="Q180" s="101">
        <v>323.182154483575</v>
      </c>
      <c r="R180" s="101">
        <v>323.182154483575</v>
      </c>
      <c r="S180" s="101">
        <v>323.182154483575</v>
      </c>
      <c r="T180" s="101">
        <v>314.48391196194098</v>
      </c>
      <c r="U180" s="101">
        <v>300.6178808667201</v>
      </c>
      <c r="V180" s="101">
        <v>296.89653389225424</v>
      </c>
      <c r="W180" s="101">
        <v>290.08501231720822</v>
      </c>
      <c r="DA180" s="175" t="s">
        <v>917</v>
      </c>
    </row>
    <row r="181" spans="1:105" ht="11.45" customHeight="1" x14ac:dyDescent="0.25">
      <c r="A181" s="111" t="s">
        <v>111</v>
      </c>
      <c r="B181" s="101">
        <v>1559.7029021068236</v>
      </c>
      <c r="C181" s="101">
        <v>1559.7029021068231</v>
      </c>
      <c r="D181" s="101">
        <v>1557.2188270202041</v>
      </c>
      <c r="E181" s="101">
        <v>1555.5029578620949</v>
      </c>
      <c r="F181" s="101">
        <v>1555.5029578620949</v>
      </c>
      <c r="G181" s="101">
        <v>1553.6249698335241</v>
      </c>
      <c r="H181" s="101">
        <v>1552.6490940358726</v>
      </c>
      <c r="I181" s="101">
        <v>1548.5960572977476</v>
      </c>
      <c r="J181" s="101">
        <v>1543.7349489371161</v>
      </c>
      <c r="K181" s="101">
        <v>1471.5138548806369</v>
      </c>
      <c r="L181" s="101">
        <v>1434.6937651083033</v>
      </c>
      <c r="M181" s="101">
        <v>1320.1099774965323</v>
      </c>
      <c r="N181" s="101">
        <v>1305.5493182828714</v>
      </c>
      <c r="O181" s="101">
        <v>1295.3689462320644</v>
      </c>
      <c r="P181" s="101">
        <v>1278.2865383219485</v>
      </c>
      <c r="Q181" s="101">
        <v>1242.7865164766811</v>
      </c>
      <c r="R181" s="101">
        <v>1218.4399178750136</v>
      </c>
      <c r="S181" s="101">
        <v>1209.6014924284268</v>
      </c>
      <c r="T181" s="101">
        <v>1205.7468337827761</v>
      </c>
      <c r="U181" s="101">
        <v>1188.7213013399498</v>
      </c>
      <c r="V181" s="101">
        <v>1156.4499383353559</v>
      </c>
      <c r="W181" s="101">
        <v>1148.9622011006393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259.6004799666926</v>
      </c>
      <c r="C186" s="152">
        <v>257.34664168733565</v>
      </c>
      <c r="D186" s="152">
        <v>249.16296359467614</v>
      </c>
      <c r="E186" s="152">
        <v>239.96237587446993</v>
      </c>
      <c r="F186" s="152">
        <v>231.74575332711839</v>
      </c>
      <c r="G186" s="152">
        <v>223.49052717167319</v>
      </c>
      <c r="H186" s="152">
        <v>213.69256433710277</v>
      </c>
      <c r="I186" s="152">
        <v>208.66816583101877</v>
      </c>
      <c r="J186" s="152">
        <v>203.5601126856038</v>
      </c>
      <c r="K186" s="152">
        <v>200.13784963340436</v>
      </c>
      <c r="L186" s="152">
        <v>193.30009551776149</v>
      </c>
      <c r="M186" s="152">
        <v>189.5625544521082</v>
      </c>
      <c r="N186" s="152">
        <v>188.61000625921017</v>
      </c>
      <c r="O186" s="152">
        <v>190.08549519050428</v>
      </c>
      <c r="P186" s="152">
        <v>184.72295447266399</v>
      </c>
      <c r="Q186" s="152">
        <v>190.11142300046976</v>
      </c>
      <c r="R186" s="152">
        <v>183.6524245880978</v>
      </c>
      <c r="S186" s="152">
        <v>171.20807411512052</v>
      </c>
      <c r="T186" s="152">
        <v>171.9503685687047</v>
      </c>
      <c r="U186" s="152">
        <v>170.68198403997795</v>
      </c>
      <c r="V186" s="152">
        <v>184.60867763813448</v>
      </c>
      <c r="W186" s="152">
        <v>177.92826107650563</v>
      </c>
      <c r="DA186" s="174" t="s">
        <v>922</v>
      </c>
    </row>
    <row r="187" spans="1:105" ht="11.45" customHeight="1" x14ac:dyDescent="0.25">
      <c r="A187" s="111" t="s">
        <v>110</v>
      </c>
      <c r="B187" s="87">
        <v>202.27839002618438</v>
      </c>
      <c r="C187" s="87">
        <v>199.74069735988638</v>
      </c>
      <c r="D187" s="87">
        <v>198.7510492811605</v>
      </c>
      <c r="E187" s="87">
        <v>197.23315189553566</v>
      </c>
      <c r="F187" s="87">
        <v>196.16484426754843</v>
      </c>
      <c r="G187" s="87">
        <v>195.12123874232759</v>
      </c>
      <c r="H187" s="87">
        <v>193.73585817100053</v>
      </c>
      <c r="I187" s="87">
        <v>192.02838979883583</v>
      </c>
      <c r="J187" s="87">
        <v>190.33259525466994</v>
      </c>
      <c r="K187" s="87">
        <v>188.96766428851953</v>
      </c>
      <c r="L187" s="87">
        <v>186.87238429973331</v>
      </c>
      <c r="M187" s="87">
        <v>185.49557906621627</v>
      </c>
      <c r="N187" s="87">
        <v>184.07028005116732</v>
      </c>
      <c r="O187" s="87">
        <v>180.5207192568771</v>
      </c>
      <c r="P187" s="87">
        <v>177.24223327153149</v>
      </c>
      <c r="Q187" s="87">
        <v>174.32809245245463</v>
      </c>
      <c r="R187" s="87">
        <v>171.44229256949635</v>
      </c>
      <c r="S187" s="87">
        <v>168.71951250959438</v>
      </c>
      <c r="T187" s="87">
        <v>168.17626344853679</v>
      </c>
      <c r="U187" s="87">
        <v>163.49733146152334</v>
      </c>
      <c r="V187" s="87">
        <v>161.10364286855557</v>
      </c>
      <c r="W187" s="87">
        <v>159.56771358905675</v>
      </c>
      <c r="DA187" s="171" t="s">
        <v>923</v>
      </c>
    </row>
    <row r="188" spans="1:105" ht="11.45" customHeight="1" x14ac:dyDescent="0.25">
      <c r="A188" s="111" t="s">
        <v>111</v>
      </c>
      <c r="B188" s="87">
        <v>258.79870370415676</v>
      </c>
      <c r="C188" s="87">
        <v>255.37164518074653</v>
      </c>
      <c r="D188" s="87">
        <v>250.75826358357327</v>
      </c>
      <c r="E188" s="87">
        <v>244.93413802441026</v>
      </c>
      <c r="F188" s="87">
        <v>240.35150865886834</v>
      </c>
      <c r="G188" s="87">
        <v>235.78907899231351</v>
      </c>
      <c r="H188" s="87">
        <v>229.34678711945989</v>
      </c>
      <c r="I188" s="87">
        <v>223.09809487044137</v>
      </c>
      <c r="J188" s="87">
        <v>217.84751968422182</v>
      </c>
      <c r="K188" s="87">
        <v>213.87668821763128</v>
      </c>
      <c r="L188" s="87">
        <v>209.05492326985248</v>
      </c>
      <c r="M188" s="87">
        <v>204.68734448422245</v>
      </c>
      <c r="N188" s="87">
        <v>199.93176201906277</v>
      </c>
      <c r="O188" s="87">
        <v>195.13978545911081</v>
      </c>
      <c r="P188" s="87">
        <v>190.83665893344482</v>
      </c>
      <c r="Q188" s="87">
        <v>186.81827938618662</v>
      </c>
      <c r="R188" s="87">
        <v>183.03721265082709</v>
      </c>
      <c r="S188" s="87">
        <v>178.83377808327828</v>
      </c>
      <c r="T188" s="87">
        <v>175.57651864579006</v>
      </c>
      <c r="U188" s="87">
        <v>172.26400419802505</v>
      </c>
      <c r="V188" s="87">
        <v>171.65067851769814</v>
      </c>
      <c r="W188" s="87">
        <v>170.37812450155673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188.37339099532781</v>
      </c>
      <c r="T189" s="87">
        <v>188.37339099532775</v>
      </c>
      <c r="U189" s="87">
        <v>174.09079972623857</v>
      </c>
      <c r="V189" s="87">
        <v>174.09079972623857</v>
      </c>
      <c r="W189" s="87">
        <v>174.09079972623857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590.00715254894112</v>
      </c>
      <c r="C192" s="116">
        <v>588.56441519585826</v>
      </c>
      <c r="D192" s="116">
        <v>586.86767362704018</v>
      </c>
      <c r="E192" s="116">
        <v>584.82542994921323</v>
      </c>
      <c r="F192" s="116">
        <v>582.53719290348897</v>
      </c>
      <c r="G192" s="116">
        <v>579.94665967567505</v>
      </c>
      <c r="H192" s="116">
        <v>577.44077255001514</v>
      </c>
      <c r="I192" s="116">
        <v>574.74824740765405</v>
      </c>
      <c r="J192" s="116">
        <v>571.23347947486616</v>
      </c>
      <c r="K192" s="116">
        <v>567.59971240775428</v>
      </c>
      <c r="L192" s="116">
        <v>564.85023609997938</v>
      </c>
      <c r="M192" s="116">
        <v>563.22970878963861</v>
      </c>
      <c r="N192" s="116">
        <v>560.816433957139</v>
      </c>
      <c r="O192" s="116">
        <v>558.16342406859462</v>
      </c>
      <c r="P192" s="116">
        <v>555.2848555863294</v>
      </c>
      <c r="Q192" s="116">
        <v>552.05850375027626</v>
      </c>
      <c r="R192" s="116">
        <v>549.25208785037319</v>
      </c>
      <c r="S192" s="116">
        <v>546.46891515436448</v>
      </c>
      <c r="T192" s="116">
        <v>544.47239552684539</v>
      </c>
      <c r="U192" s="116">
        <v>543.13809936646066</v>
      </c>
      <c r="V192" s="116">
        <v>541.37750692313978</v>
      </c>
      <c r="W192" s="116">
        <v>538.72688729016647</v>
      </c>
      <c r="DA192" s="176" t="s">
        <v>928</v>
      </c>
    </row>
    <row r="193" spans="1:105" ht="11.45" customHeight="1" x14ac:dyDescent="0.25">
      <c r="A193" s="128" t="s">
        <v>27</v>
      </c>
      <c r="B193" s="101">
        <v>551.78806574415137</v>
      </c>
      <c r="C193" s="101">
        <v>550.4387850617137</v>
      </c>
      <c r="D193" s="101">
        <v>548.85195387792021</v>
      </c>
      <c r="E193" s="101">
        <v>546.94200128853527</v>
      </c>
      <c r="F193" s="101">
        <v>544.80199012431569</v>
      </c>
      <c r="G193" s="101">
        <v>542.37926471692685</v>
      </c>
      <c r="H193" s="101">
        <v>540.03570226337445</v>
      </c>
      <c r="I193" s="101">
        <v>537.51759170513401</v>
      </c>
      <c r="J193" s="101">
        <v>534.23050104734443</v>
      </c>
      <c r="K193" s="101">
        <v>530.83211970117918</v>
      </c>
      <c r="L193" s="101">
        <v>528.26074712184311</v>
      </c>
      <c r="M193" s="101">
        <v>526.74519324051209</v>
      </c>
      <c r="N193" s="101">
        <v>524.48824390323534</v>
      </c>
      <c r="O193" s="101">
        <v>522.00708890625651</v>
      </c>
      <c r="P193" s="101">
        <v>519.3149863985509</v>
      </c>
      <c r="Q193" s="101">
        <v>516.29762901341621</v>
      </c>
      <c r="R193" s="101">
        <v>513.67300523658389</v>
      </c>
      <c r="S193" s="101">
        <v>511.07011903100494</v>
      </c>
      <c r="T193" s="101">
        <v>509.20292861012666</v>
      </c>
      <c r="U193" s="101">
        <v>507.95506458968595</v>
      </c>
      <c r="V193" s="101">
        <v>506.30851862042624</v>
      </c>
      <c r="W193" s="101">
        <v>503.82959904464957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0</v>
      </c>
      <c r="D194" s="88">
        <v>0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1.0725000000065616</v>
      </c>
      <c r="C198" s="150">
        <f>IF(TrRoad_act!C59=0,0,TrRoad_emi!C56/TrRoad_tech!C171)</f>
        <v>1.0727134624631669</v>
      </c>
      <c r="D198" s="150">
        <f>IF(TrRoad_act!D59=0,0,TrRoad_emi!D56/TrRoad_tech!D171)</f>
        <v>1.0732160772857273</v>
      </c>
      <c r="E198" s="150">
        <f>IF(TrRoad_act!E59=0,0,TrRoad_emi!E56/TrRoad_tech!E171)</f>
        <v>1.0739617854015202</v>
      </c>
      <c r="F198" s="150">
        <f>IF(TrRoad_act!F59=0,0,TrRoad_emi!F56/TrRoad_tech!F171)</f>
        <v>1.0748724836941279</v>
      </c>
      <c r="G198" s="150">
        <f>IF(TrRoad_act!G59=0,0,TrRoad_emi!G56/TrRoad_tech!G171)</f>
        <v>1.0760817315757851</v>
      </c>
      <c r="H198" s="150">
        <f>IF(TrRoad_act!H59=0,0,TrRoad_emi!H56/TrRoad_tech!H171)</f>
        <v>1.0777786503237659</v>
      </c>
      <c r="I198" s="150">
        <f>IF(TrRoad_act!I59=0,0,TrRoad_emi!I56/TrRoad_tech!I171)</f>
        <v>1.080285640393414</v>
      </c>
      <c r="J198" s="150">
        <f>IF(TrRoad_act!J59=0,0,TrRoad_emi!J56/TrRoad_tech!J171)</f>
        <v>1.0859319806200625</v>
      </c>
      <c r="K198" s="150">
        <f>IF(TrRoad_act!K59=0,0,TrRoad_emi!K56/TrRoad_tech!K171)</f>
        <v>1.0906169804495021</v>
      </c>
      <c r="L198" s="150">
        <f>IF(TrRoad_act!L59=0,0,TrRoad_emi!L56/TrRoad_tech!L171)</f>
        <v>1.0967309809214358</v>
      </c>
      <c r="M198" s="150">
        <f>IF(TrRoad_act!M59=0,0,TrRoad_emi!M56/TrRoad_tech!M171)</f>
        <v>1.1026480691398846</v>
      </c>
      <c r="N198" s="150">
        <f>IF(TrRoad_act!N59=0,0,TrRoad_emi!N56/TrRoad_tech!N171)</f>
        <v>1.110838642406917</v>
      </c>
      <c r="O198" s="150">
        <f>IF(TrRoad_act!O59=0,0,TrRoad_emi!O56/TrRoad_tech!O171)</f>
        <v>1.1188214259110203</v>
      </c>
      <c r="P198" s="150">
        <f>IF(TrRoad_act!P59=0,0,TrRoad_emi!P56/TrRoad_tech!P171)</f>
        <v>1.1295135580214892</v>
      </c>
      <c r="Q198" s="150">
        <f>IF(TrRoad_act!Q59=0,0,TrRoad_emi!Q56/TrRoad_tech!Q171)</f>
        <v>1.1437867651482549</v>
      </c>
      <c r="R198" s="150">
        <f>IF(TrRoad_act!R59=0,0,TrRoad_emi!R56/TrRoad_tech!R171)</f>
        <v>1.1611022797225976</v>
      </c>
      <c r="S198" s="150">
        <f>IF(TrRoad_act!S59=0,0,TrRoad_emi!S56/TrRoad_tech!S171)</f>
        <v>1.1875678470831157</v>
      </c>
      <c r="T198" s="150">
        <f>IF(TrRoad_act!T59=0,0,TrRoad_emi!T56/TrRoad_tech!T171)</f>
        <v>1.2524202516011176</v>
      </c>
      <c r="U198" s="150">
        <f>IF(TrRoad_act!U59=0,0,TrRoad_emi!U56/TrRoad_tech!U171)</f>
        <v>1.2680681560964084</v>
      </c>
      <c r="V198" s="150">
        <f>IF(TrRoad_act!V59=0,0,TrRoad_emi!V56/TrRoad_tech!V171)</f>
        <v>1.2196839956532897</v>
      </c>
      <c r="W198" s="150">
        <f>IF(TrRoad_act!W59=0,0,TrRoad_emi!W56/TrRoad_tech!W171)</f>
        <v>1.2833927150385971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0.98681208710219126</v>
      </c>
      <c r="C199" s="151">
        <f>IF(TrRoad_act!C60=0,0,TrRoad_emi!C57/TrRoad_tech!C172)</f>
        <v>0.92806923300920685</v>
      </c>
      <c r="D199" s="151">
        <f>IF(TrRoad_act!D60=0,0,TrRoad_emi!D57/TrRoad_tech!D172)</f>
        <v>0.92634097717164954</v>
      </c>
      <c r="E199" s="151">
        <f>IF(TrRoad_act!E60=0,0,TrRoad_emi!E57/TrRoad_tech!E172)</f>
        <v>0.88901730204400942</v>
      </c>
      <c r="F199" s="151">
        <f>IF(TrRoad_act!F60=0,0,TrRoad_emi!F57/TrRoad_tech!F172)</f>
        <v>0.81748393810679432</v>
      </c>
      <c r="G199" s="151">
        <f>IF(TrRoad_act!G60=0,0,TrRoad_emi!G57/TrRoad_tech!G172)</f>
        <v>0.86035328536477851</v>
      </c>
      <c r="H199" s="151">
        <f>IF(TrRoad_act!H60=0,0,TrRoad_emi!H57/TrRoad_tech!H172)</f>
        <v>0.85489152685619263</v>
      </c>
      <c r="I199" s="151">
        <f>IF(TrRoad_act!I60=0,0,TrRoad_emi!I57/TrRoad_tech!I172)</f>
        <v>0.90736945330606678</v>
      </c>
      <c r="J199" s="151">
        <f>IF(TrRoad_act!J60=0,0,TrRoad_emi!J57/TrRoad_tech!J172)</f>
        <v>0.99104030349799388</v>
      </c>
      <c r="K199" s="151">
        <f>IF(TrRoad_act!K60=0,0,TrRoad_emi!K57/TrRoad_tech!K172)</f>
        <v>0.82766728976352189</v>
      </c>
      <c r="L199" s="151">
        <f>IF(TrRoad_act!L60=0,0,TrRoad_emi!L57/TrRoad_tech!L172)</f>
        <v>0.93018128749382101</v>
      </c>
      <c r="M199" s="151">
        <f>IF(TrRoad_act!M60=0,0,TrRoad_emi!M57/TrRoad_tech!M172)</f>
        <v>0.94900729346484003</v>
      </c>
      <c r="N199" s="151">
        <f>IF(TrRoad_act!N60=0,0,TrRoad_emi!N57/TrRoad_tech!N172)</f>
        <v>0.94574863923425034</v>
      </c>
      <c r="O199" s="151">
        <f>IF(TrRoad_act!O60=0,0,TrRoad_emi!O57/TrRoad_tech!O172)</f>
        <v>0.95133564054043074</v>
      </c>
      <c r="P199" s="151">
        <f>IF(TrRoad_act!P60=0,0,TrRoad_emi!P57/TrRoad_tech!P172)</f>
        <v>0.91476769436978911</v>
      </c>
      <c r="Q199" s="151">
        <f>IF(TrRoad_act!Q60=0,0,TrRoad_emi!Q57/TrRoad_tech!Q172)</f>
        <v>0.94829776745228567</v>
      </c>
      <c r="R199" s="151">
        <f>IF(TrRoad_act!R60=0,0,TrRoad_emi!R57/TrRoad_tech!R172)</f>
        <v>0.93150864541712819</v>
      </c>
      <c r="S199" s="151">
        <f>IF(TrRoad_act!S60=0,0,TrRoad_emi!S57/TrRoad_tech!S172)</f>
        <v>0.93530155946451266</v>
      </c>
      <c r="T199" s="151">
        <f>IF(TrRoad_act!T60=0,0,TrRoad_emi!T57/TrRoad_tech!T172)</f>
        <v>1.010703762371824</v>
      </c>
      <c r="U199" s="151">
        <f>IF(TrRoad_act!U60=0,0,TrRoad_emi!U57/TrRoad_tech!U172)</f>
        <v>1.0745494557560111</v>
      </c>
      <c r="V199" s="151">
        <f>IF(TrRoad_act!V60=0,0,TrRoad_emi!V57/TrRoad_tech!V172)</f>
        <v>0.99613516394299872</v>
      </c>
      <c r="W199" s="151">
        <f>IF(TrRoad_act!W60=0,0,TrRoad_emi!W57/TrRoad_tech!W172)</f>
        <v>1.0310288454449852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1.0642470073711647</v>
      </c>
      <c r="C200" s="91">
        <f>IF(TrRoad_act!C61=0,0,TrRoad_emi!C58/TrRoad_tech!C173)</f>
        <v>1.0064533897243018</v>
      </c>
      <c r="D200" s="91">
        <f>IF(TrRoad_act!D61=0,0,TrRoad_emi!D58/TrRoad_tech!D173)</f>
        <v>1.0936684191288559</v>
      </c>
      <c r="E200" s="91">
        <f>IF(TrRoad_act!E61=0,0,TrRoad_emi!E58/TrRoad_tech!E173)</f>
        <v>0.98719583101805775</v>
      </c>
      <c r="F200" s="91">
        <f>IF(TrRoad_act!F61=0,0,TrRoad_emi!F58/TrRoad_tech!F173)</f>
        <v>0.84972016339214307</v>
      </c>
      <c r="G200" s="91">
        <f>IF(TrRoad_act!G61=0,0,TrRoad_emi!G58/TrRoad_tech!G173)</f>
        <v>0.82957720835995419</v>
      </c>
      <c r="H200" s="91">
        <f>IF(TrRoad_act!H61=0,0,TrRoad_emi!H58/TrRoad_tech!H173)</f>
        <v>0.80599171332578201</v>
      </c>
      <c r="I200" s="91">
        <f>IF(TrRoad_act!I61=0,0,TrRoad_emi!I58/TrRoad_tech!I173)</f>
        <v>0.88601201585460987</v>
      </c>
      <c r="J200" s="91">
        <f>IF(TrRoad_act!J61=0,0,TrRoad_emi!J58/TrRoad_tech!J173)</f>
        <v>1.0029253192887273</v>
      </c>
      <c r="K200" s="91">
        <f>IF(TrRoad_act!K61=0,0,TrRoad_emi!K58/TrRoad_tech!K173)</f>
        <v>0.83005692633959394</v>
      </c>
      <c r="L200" s="91">
        <f>IF(TrRoad_act!L61=0,0,TrRoad_emi!L58/TrRoad_tech!L173)</f>
        <v>1.0175728468647613</v>
      </c>
      <c r="M200" s="91">
        <f>IF(TrRoad_act!M61=0,0,TrRoad_emi!M58/TrRoad_tech!M173)</f>
        <v>1.0537497088433514</v>
      </c>
      <c r="N200" s="91">
        <f>IF(TrRoad_act!N61=0,0,TrRoad_emi!N58/TrRoad_tech!N173)</f>
        <v>1.0752558691680774</v>
      </c>
      <c r="O200" s="91">
        <f>IF(TrRoad_act!O61=0,0,TrRoad_emi!O58/TrRoad_tech!O173)</f>
        <v>1.0871148584036243</v>
      </c>
      <c r="P200" s="91">
        <f>IF(TrRoad_act!P61=0,0,TrRoad_emi!P58/TrRoad_tech!P173)</f>
        <v>1.0345381436823908</v>
      </c>
      <c r="Q200" s="91">
        <f>IF(TrRoad_act!Q61=0,0,TrRoad_emi!Q58/TrRoad_tech!Q173)</f>
        <v>1.0699959181068219</v>
      </c>
      <c r="R200" s="91">
        <f>IF(TrRoad_act!R61=0,0,TrRoad_emi!R58/TrRoad_tech!R173)</f>
        <v>1.0587228105308546</v>
      </c>
      <c r="S200" s="91">
        <f>IF(TrRoad_act!S61=0,0,TrRoad_emi!S58/TrRoad_tech!S173)</f>
        <v>1.0631090777631633</v>
      </c>
      <c r="T200" s="91">
        <f>IF(TrRoad_act!T61=0,0,TrRoad_emi!T58/TrRoad_tech!T173)</f>
        <v>1.0953994085123777</v>
      </c>
      <c r="U200" s="91">
        <f>IF(TrRoad_act!U61=0,0,TrRoad_emi!U58/TrRoad_tech!U173)</f>
        <v>1.1686420827751198</v>
      </c>
      <c r="V200" s="91">
        <f>IF(TrRoad_act!V61=0,0,TrRoad_emi!V58/TrRoad_tech!V173)</f>
        <v>1.1198705003924294</v>
      </c>
      <c r="W200" s="91">
        <f>IF(TrRoad_act!W61=0,0,TrRoad_emi!W58/TrRoad_tech!W173)</f>
        <v>1.1709690295598638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0.69802504164794599</v>
      </c>
      <c r="C201" s="91">
        <f>IF(TrRoad_act!C62=0,0,TrRoad_emi!C59/TrRoad_tech!C174)</f>
        <v>0.66117673851747938</v>
      </c>
      <c r="D201" s="91">
        <f>IF(TrRoad_act!D62=0,0,TrRoad_emi!D59/TrRoad_tech!D174)</f>
        <v>0.25999217899270138</v>
      </c>
      <c r="E201" s="91">
        <f>IF(TrRoad_act!E62=0,0,TrRoad_emi!E59/TrRoad_tech!E174)</f>
        <v>0.51372601183188227</v>
      </c>
      <c r="F201" s="91">
        <f>IF(TrRoad_act!F62=0,0,TrRoad_emi!F59/TrRoad_tech!F174)</f>
        <v>0.71469357887890173</v>
      </c>
      <c r="G201" s="91">
        <f>IF(TrRoad_act!G62=0,0,TrRoad_emi!G59/TrRoad_tech!G174)</f>
        <v>1.0154363947958016</v>
      </c>
      <c r="H201" s="91">
        <f>IF(TrRoad_act!H62=0,0,TrRoad_emi!H59/TrRoad_tech!H174)</f>
        <v>1.0662462505483481</v>
      </c>
      <c r="I201" s="91">
        <f>IF(TrRoad_act!I62=0,0,TrRoad_emi!I59/TrRoad_tech!I174)</f>
        <v>0.9905281337999764</v>
      </c>
      <c r="J201" s="91">
        <f>IF(TrRoad_act!J62=0,0,TrRoad_emi!J59/TrRoad_tech!J174)</f>
        <v>0.95503410658138022</v>
      </c>
      <c r="K201" s="91">
        <f>IF(TrRoad_act!K62=0,0,TrRoad_emi!K59/TrRoad_tech!K174)</f>
        <v>0.85897711281183953</v>
      </c>
      <c r="L201" s="91">
        <f>IF(TrRoad_act!L62=0,0,TrRoad_emi!L59/TrRoad_tech!L174)</f>
        <v>0.85661923718292754</v>
      </c>
      <c r="M201" s="91">
        <f>IF(TrRoad_act!M62=0,0,TrRoad_emi!M59/TrRoad_tech!M174)</f>
        <v>0.79667178231910141</v>
      </c>
      <c r="N201" s="91">
        <f>IF(TrRoad_act!N62=0,0,TrRoad_emi!N59/TrRoad_tech!N174)</f>
        <v>0.77057897842144385</v>
      </c>
      <c r="O201" s="91">
        <f>IF(TrRoad_act!O62=0,0,TrRoad_emi!O59/TrRoad_tech!O174)</f>
        <v>0.76677081074298559</v>
      </c>
      <c r="P201" s="91">
        <f>IF(TrRoad_act!P62=0,0,TrRoad_emi!P59/TrRoad_tech!P174)</f>
        <v>0.74255660013800651</v>
      </c>
      <c r="Q201" s="91">
        <f>IF(TrRoad_act!Q62=0,0,TrRoad_emi!Q59/TrRoad_tech!Q174)</f>
        <v>0.75532959706186931</v>
      </c>
      <c r="R201" s="91">
        <f>IF(TrRoad_act!R62=0,0,TrRoad_emi!R59/TrRoad_tech!R174)</f>
        <v>0.75017045278018268</v>
      </c>
      <c r="S201" s="91">
        <f>IF(TrRoad_act!S62=0,0,TrRoad_emi!S59/TrRoad_tech!S174)</f>
        <v>0.78984180937689319</v>
      </c>
      <c r="T201" s="91">
        <f>IF(TrRoad_act!T62=0,0,TrRoad_emi!T59/TrRoad_tech!T174)</f>
        <v>0.90953563415082983</v>
      </c>
      <c r="U201" s="91">
        <f>IF(TrRoad_act!U62=0,0,TrRoad_emi!U59/TrRoad_tech!U174)</f>
        <v>0.93667411795316724</v>
      </c>
      <c r="V201" s="91">
        <f>IF(TrRoad_act!V62=0,0,TrRoad_emi!V59/TrRoad_tech!V174)</f>
        <v>0.80483338989789932</v>
      </c>
      <c r="W201" s="91">
        <f>IF(TrRoad_act!W62=0,0,TrRoad_emi!W59/TrRoad_tech!W174)</f>
        <v>0.83294921622692841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</v>
      </c>
      <c r="I202" s="91">
        <f>IF(TrRoad_act!I63=0,0,TrRoad_emi!I60/TrRoad_tech!I175)</f>
        <v>0</v>
      </c>
      <c r="J202" s="91">
        <f>IF(TrRoad_act!J63=0,0,TrRoad_emi!J60/TrRoad_tech!J175)</f>
        <v>0</v>
      </c>
      <c r="K202" s="91">
        <f>IF(TrRoad_act!K63=0,0,TrRoad_emi!K60/TrRoad_tech!K175)</f>
        <v>0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0.77259117911863262</v>
      </c>
      <c r="S202" s="91">
        <f>IF(TrRoad_act!S63=0,0,TrRoad_emi!S60/TrRoad_tech!S175)</f>
        <v>0.86276563663542527</v>
      </c>
      <c r="T202" s="91">
        <f>IF(TrRoad_act!T63=0,0,TrRoad_emi!T60/TrRoad_tech!T175)</f>
        <v>1.1938101857160961</v>
      </c>
      <c r="U202" s="91">
        <f>IF(TrRoad_act!U63=0,0,TrRoad_emi!U60/TrRoad_tech!U175)</f>
        <v>0.94326797624079084</v>
      </c>
      <c r="V202" s="91">
        <f>IF(TrRoad_act!V63=0,0,TrRoad_emi!V60/TrRoad_tech!V175)</f>
        <v>1.065572733992427</v>
      </c>
      <c r="W202" s="91">
        <f>IF(TrRoad_act!W63=0,0,TrRoad_emi!W60/TrRoad_tech!W175)</f>
        <v>1.2436275675593542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1.0401230685404901</v>
      </c>
      <c r="M204" s="91">
        <f>IF(TrRoad_act!M65=0,0,TrRoad_emi!M62/TrRoad_tech!M177)</f>
        <v>1.0764758804745937</v>
      </c>
      <c r="N204" s="91">
        <f>IF(TrRoad_act!N65=0,0,TrRoad_emi!N62/TrRoad_tech!N177)</f>
        <v>1.0988600566799187</v>
      </c>
      <c r="O204" s="91">
        <f>IF(TrRoad_act!O65=0,0,TrRoad_emi!O62/TrRoad_tech!O177)</f>
        <v>1.1155053036696168</v>
      </c>
      <c r="P204" s="91">
        <f>IF(TrRoad_act!P65=0,0,TrRoad_emi!P62/TrRoad_tech!P177)</f>
        <v>1.0661325913277431</v>
      </c>
      <c r="Q204" s="91">
        <f>IF(TrRoad_act!Q65=0,0,TrRoad_emi!Q62/TrRoad_tech!Q177)</f>
        <v>1.1046323511808505</v>
      </c>
      <c r="R204" s="91">
        <f>IF(TrRoad_act!R65=0,0,TrRoad_emi!R62/TrRoad_tech!R177)</f>
        <v>1.0917426756548063</v>
      </c>
      <c r="S204" s="91">
        <f>IF(TrRoad_act!S65=0,0,TrRoad_emi!S62/TrRoad_tech!S177)</f>
        <v>1.0941130969853117</v>
      </c>
      <c r="T204" s="91">
        <f>IF(TrRoad_act!T65=0,0,TrRoad_emi!T62/TrRoad_tech!T177)</f>
        <v>1.1267274014005084</v>
      </c>
      <c r="U204" s="91">
        <f>IF(TrRoad_act!U65=0,0,TrRoad_emi!U62/TrRoad_tech!U177)</f>
        <v>1.1999400352861294</v>
      </c>
      <c r="V204" s="91">
        <f>IF(TrRoad_act!V65=0,0,TrRoad_emi!V62/TrRoad_tech!V177)</f>
        <v>1.1510119955949067</v>
      </c>
      <c r="W204" s="91">
        <f>IF(TrRoad_act!W65=0,0,TrRoad_emi!W62/TrRoad_tech!W177)</f>
        <v>1.2051866089888454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0.74707544998176389</v>
      </c>
      <c r="C206" s="151">
        <f>IF(TrRoad_act!C67=0,0,TrRoad_emi!C64/TrRoad_tech!C179)</f>
        <v>0.70760281977660267</v>
      </c>
      <c r="D206" s="151">
        <f>IF(TrRoad_act!D67=0,0,TrRoad_emi!D64/TrRoad_tech!D179)</f>
        <v>0.27805403727566352</v>
      </c>
      <c r="E206" s="151">
        <f>IF(TrRoad_act!E67=0,0,TrRoad_emi!E64/TrRoad_tech!E179)</f>
        <v>0.54914347551676923</v>
      </c>
      <c r="F206" s="151">
        <f>IF(TrRoad_act!F67=0,0,TrRoad_emi!F64/TrRoad_tech!F179)</f>
        <v>0.76392250119273764</v>
      </c>
      <c r="G206" s="151">
        <f>IF(TrRoad_act!G67=0,0,TrRoad_emi!G64/TrRoad_tech!G179)</f>
        <v>1.0847851737095533</v>
      </c>
      <c r="H206" s="151">
        <f>IF(TrRoad_act!H67=0,0,TrRoad_emi!H64/TrRoad_tech!H179)</f>
        <v>1.1386107916824901</v>
      </c>
      <c r="I206" s="151">
        <f>IF(TrRoad_act!I67=0,0,TrRoad_emi!I64/TrRoad_tech!I179)</f>
        <v>1.0565062021308129</v>
      </c>
      <c r="J206" s="151">
        <f>IF(TrRoad_act!J67=0,0,TrRoad_emi!J64/TrRoad_tech!J179)</f>
        <v>1.0172373109148958</v>
      </c>
      <c r="K206" s="151">
        <f>IF(TrRoad_act!K67=0,0,TrRoad_emi!K64/TrRoad_tech!K179)</f>
        <v>0.90181387019658543</v>
      </c>
      <c r="L206" s="151">
        <f>IF(TrRoad_act!L67=0,0,TrRoad_emi!L64/TrRoad_tech!L179)</f>
        <v>0.89612840903612623</v>
      </c>
      <c r="M206" s="151">
        <f>IF(TrRoad_act!M67=0,0,TrRoad_emi!M64/TrRoad_tech!M179)</f>
        <v>0.82929753265368811</v>
      </c>
      <c r="N206" s="151">
        <f>IF(TrRoad_act!N67=0,0,TrRoad_emi!N64/TrRoad_tech!N179)</f>
        <v>0.80306831817021163</v>
      </c>
      <c r="O206" s="151">
        <f>IF(TrRoad_act!O67=0,0,TrRoad_emi!O64/TrRoad_tech!O179)</f>
        <v>0.7994744324660833</v>
      </c>
      <c r="P206" s="151">
        <f>IF(TrRoad_act!P67=0,0,TrRoad_emi!P64/TrRoad_tech!P179)</f>
        <v>0.7761719033014356</v>
      </c>
      <c r="Q206" s="151">
        <f>IF(TrRoad_act!Q67=0,0,TrRoad_emi!Q64/TrRoad_tech!Q179)</f>
        <v>0.79816640622691348</v>
      </c>
      <c r="R206" s="151">
        <f>IF(TrRoad_act!R67=0,0,TrRoad_emi!R64/TrRoad_tech!R179)</f>
        <v>0.80082086298210364</v>
      </c>
      <c r="S206" s="151">
        <f>IF(TrRoad_act!S67=0,0,TrRoad_emi!S64/TrRoad_tech!S179)</f>
        <v>0.845242488890388</v>
      </c>
      <c r="T206" s="151">
        <f>IF(TrRoad_act!T67=0,0,TrRoad_emi!T64/TrRoad_tech!T179)</f>
        <v>1.149375250764697</v>
      </c>
      <c r="U206" s="151">
        <f>IF(TrRoad_act!U67=0,0,TrRoad_emi!U64/TrRoad_tech!U179)</f>
        <v>1.0177594747790746</v>
      </c>
      <c r="V206" s="151">
        <f>IF(TrRoad_act!V67=0,0,TrRoad_emi!V64/TrRoad_tech!V179)</f>
        <v>0.88519523301590386</v>
      </c>
      <c r="W206" s="151">
        <f>IF(TrRoad_act!W67=0,0,TrRoad_emi!W64/TrRoad_tech!W179)</f>
        <v>0.95601744570064817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1.2000000000070943</v>
      </c>
      <c r="M207" s="93">
        <f>IF(TrRoad_act!M68=0,0,TrRoad_emi!M65/TrRoad_tech!M180)</f>
        <v>1.2000000000070943</v>
      </c>
      <c r="N207" s="93">
        <f>IF(TrRoad_act!N68=0,0,TrRoad_emi!N65/TrRoad_tech!N180)</f>
        <v>1.2000000000070936</v>
      </c>
      <c r="O207" s="93">
        <f>IF(TrRoad_act!O68=0,0,TrRoad_emi!O65/TrRoad_tech!O180)</f>
        <v>1.2000000000070941</v>
      </c>
      <c r="P207" s="93">
        <f>IF(TrRoad_act!P68=0,0,TrRoad_emi!P65/TrRoad_tech!P180)</f>
        <v>1.2000000000070936</v>
      </c>
      <c r="Q207" s="93">
        <f>IF(TrRoad_act!Q68=0,0,TrRoad_emi!Q65/TrRoad_tech!Q180)</f>
        <v>1.2000000000070943</v>
      </c>
      <c r="R207" s="93">
        <f>IF(TrRoad_act!R68=0,0,TrRoad_emi!R65/TrRoad_tech!R180)</f>
        <v>1.2000000000070941</v>
      </c>
      <c r="S207" s="93">
        <f>IF(TrRoad_act!S68=0,0,TrRoad_emi!S65/TrRoad_tech!S180)</f>
        <v>1.2000000000070938</v>
      </c>
      <c r="T207" s="93">
        <f>IF(TrRoad_act!T68=0,0,TrRoad_emi!T65/TrRoad_tech!T180)</f>
        <v>1.2131776987679177</v>
      </c>
      <c r="U207" s="93">
        <f>IF(TrRoad_act!U68=0,0,TrRoad_emi!U65/TrRoad_tech!U180)</f>
        <v>1.2347221890653446</v>
      </c>
      <c r="V207" s="93">
        <f>IF(TrRoad_act!V68=0,0,TrRoad_emi!V65/TrRoad_tech!V180)</f>
        <v>1.2409556343178163</v>
      </c>
      <c r="W207" s="93">
        <f>IF(TrRoad_act!W68=0,0,TrRoad_emi!W65/TrRoad_tech!W180)</f>
        <v>1.2513505989809568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0.74707544998176389</v>
      </c>
      <c r="C208" s="93">
        <f>IF(TrRoad_act!C69=0,0,TrRoad_emi!C66/TrRoad_tech!C181)</f>
        <v>0.70760281977660289</v>
      </c>
      <c r="D208" s="93">
        <f>IF(TrRoad_act!D69=0,0,TrRoad_emi!D66/TrRoad_tech!D181)</f>
        <v>0.27823245025708998</v>
      </c>
      <c r="E208" s="93">
        <f>IF(TrRoad_act!E69=0,0,TrRoad_emi!E66/TrRoad_tech!E181)</f>
        <v>0.54975141433320129</v>
      </c>
      <c r="F208" s="93">
        <f>IF(TrRoad_act!F69=0,0,TrRoad_emi!F66/TrRoad_tech!F181)</f>
        <v>0.76476821485761159</v>
      </c>
      <c r="G208" s="93">
        <f>IF(TrRoad_act!G69=0,0,TrRoad_emi!G66/TrRoad_tech!G181)</f>
        <v>1.0865889586651336</v>
      </c>
      <c r="H208" s="93">
        <f>IF(TrRoad_act!H69=0,0,TrRoad_emi!H66/TrRoad_tech!H181)</f>
        <v>1.1408467725175708</v>
      </c>
      <c r="I208" s="93">
        <f>IF(TrRoad_act!I69=0,0,TrRoad_emi!I66/TrRoad_tech!I181)</f>
        <v>1.0599488474214833</v>
      </c>
      <c r="J208" s="93">
        <f>IF(TrRoad_act!J69=0,0,TrRoad_emi!J66/TrRoad_tech!J181)</f>
        <v>1.0221796585834586</v>
      </c>
      <c r="K208" s="93">
        <f>IF(TrRoad_act!K69=0,0,TrRoad_emi!K66/TrRoad_tech!K181)</f>
        <v>0.92738265447959889</v>
      </c>
      <c r="L208" s="93">
        <f>IF(TrRoad_act!L69=0,0,TrRoad_emi!L66/TrRoad_tech!L181)</f>
        <v>0.92709586825986434</v>
      </c>
      <c r="M208" s="93">
        <f>IF(TrRoad_act!M69=0,0,TrRoad_emi!M66/TrRoad_tech!M181)</f>
        <v>0.88167410364754883</v>
      </c>
      <c r="N208" s="93">
        <f>IF(TrRoad_act!N69=0,0,TrRoad_emi!N66/TrRoad_tech!N181)</f>
        <v>0.85486102125210195</v>
      </c>
      <c r="O208" s="93">
        <f>IF(TrRoad_act!O69=0,0,TrRoad_emi!O66/TrRoad_tech!O181)</f>
        <v>0.85177482309171337</v>
      </c>
      <c r="P208" s="93">
        <f>IF(TrRoad_act!P69=0,0,TrRoad_emi!P66/TrRoad_tech!P181)</f>
        <v>0.82919315956641115</v>
      </c>
      <c r="Q208" s="93">
        <f>IF(TrRoad_act!Q69=0,0,TrRoad_emi!Q66/TrRoad_tech!Q181)</f>
        <v>0.85654047786728593</v>
      </c>
      <c r="R208" s="93">
        <f>IF(TrRoad_act!R69=0,0,TrRoad_emi!R66/TrRoad_tech!R181)</f>
        <v>0.85902202723587018</v>
      </c>
      <c r="S208" s="93">
        <f>IF(TrRoad_act!S69=0,0,TrRoad_emi!S66/TrRoad_tech!S181)</f>
        <v>0.90720717383148264</v>
      </c>
      <c r="T208" s="93">
        <f>IF(TrRoad_act!T69=0,0,TrRoad_emi!T66/TrRoad_tech!T181)</f>
        <v>1.0447009957663971</v>
      </c>
      <c r="U208" s="93">
        <f>IF(TrRoad_act!U69=0,0,TrRoad_emi!U66/TrRoad_tech!U181)</f>
        <v>1.0861315377442857</v>
      </c>
      <c r="V208" s="93">
        <f>IF(TrRoad_act!V69=0,0,TrRoad_emi!V66/TrRoad_tech!V181)</f>
        <v>0.94740978059594683</v>
      </c>
      <c r="W208" s="93">
        <f>IF(TrRoad_act!W69=0,0,TrRoad_emi!W66/TrRoad_tech!W181)</f>
        <v>0.98449555929296473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0.74874497117227667</v>
      </c>
      <c r="C213" s="150">
        <f>IF(TrRoad_act!C74=0,0,TrRoad_emi!C71/TrRoad_tech!C186)</f>
        <v>0.70796895333126086</v>
      </c>
      <c r="D213" s="150">
        <f>IF(TrRoad_act!D74=0,0,TrRoad_emi!D71/TrRoad_tech!D186)</f>
        <v>0.30373401241461939</v>
      </c>
      <c r="E213" s="150">
        <f>IF(TrRoad_act!E74=0,0,TrRoad_emi!E71/TrRoad_tech!E186)</f>
        <v>0.57357069600724353</v>
      </c>
      <c r="F213" s="150">
        <f>IF(TrRoad_act!F74=0,0,TrRoad_emi!F71/TrRoad_tech!F186)</f>
        <v>0.79672494155399709</v>
      </c>
      <c r="G213" s="150">
        <f>IF(TrRoad_act!G74=0,0,TrRoad_emi!G71/TrRoad_tech!G186)</f>
        <v>1.1380232474268557</v>
      </c>
      <c r="H213" s="150">
        <f>IF(TrRoad_act!H74=0,0,TrRoad_emi!H71/TrRoad_tech!H186)</f>
        <v>1.2157447745479184</v>
      </c>
      <c r="I213" s="150">
        <f>IF(TrRoad_act!I74=0,0,TrRoad_emi!I71/TrRoad_tech!I186)</f>
        <v>1.1308063307190663</v>
      </c>
      <c r="J213" s="150">
        <f>IF(TrRoad_act!J74=0,0,TrRoad_emi!J71/TrRoad_tech!J186)</f>
        <v>1.0958190148090661</v>
      </c>
      <c r="K213" s="150">
        <f>IF(TrRoad_act!K74=0,0,TrRoad_emi!K71/TrRoad_tech!K186)</f>
        <v>0.98669470537217341</v>
      </c>
      <c r="L213" s="150">
        <f>IF(TrRoad_act!L74=0,0,TrRoad_emi!L71/TrRoad_tech!L186)</f>
        <v>0.99691492768630663</v>
      </c>
      <c r="M213" s="150">
        <f>IF(TrRoad_act!M74=0,0,TrRoad_emi!M71/TrRoad_tech!M186)</f>
        <v>0.92994687815936605</v>
      </c>
      <c r="N213" s="150">
        <f>IF(TrRoad_act!N74=0,0,TrRoad_emi!N71/TrRoad_tech!N186)</f>
        <v>0.88776054850790109</v>
      </c>
      <c r="O213" s="150">
        <f>IF(TrRoad_act!O74=0,0,TrRoad_emi!O71/TrRoad_tech!O186)</f>
        <v>0.86004628063956168</v>
      </c>
      <c r="P213" s="150">
        <f>IF(TrRoad_act!P74=0,0,TrRoad_emi!P71/TrRoad_tech!P186)</f>
        <v>0.84315423440307835</v>
      </c>
      <c r="Q213" s="150">
        <f>IF(TrRoad_act!Q74=0,0,TrRoad_emi!Q71/TrRoad_tech!Q186)</f>
        <v>0.82129628951344946</v>
      </c>
      <c r="R213" s="150">
        <f>IF(TrRoad_act!R74=0,0,TrRoad_emi!R71/TrRoad_tech!R186)</f>
        <v>0.83331267699872613</v>
      </c>
      <c r="S213" s="150">
        <f>IF(TrRoad_act!S74=0,0,TrRoad_emi!S71/TrRoad_tech!S186)</f>
        <v>0.92595100902695993</v>
      </c>
      <c r="T213" s="150">
        <f>IF(TrRoad_act!T74=0,0,TrRoad_emi!T71/TrRoad_tech!T186)</f>
        <v>1.0499531050561264</v>
      </c>
      <c r="U213" s="150">
        <f>IF(TrRoad_act!U74=0,0,TrRoad_emi!U71/TrRoad_tech!U186)</f>
        <v>1.0769368363081346</v>
      </c>
      <c r="V213" s="150">
        <f>IF(TrRoad_act!V74=0,0,TrRoad_emi!V71/TrRoad_tech!V186)</f>
        <v>0.86190320204462756</v>
      </c>
      <c r="W213" s="150">
        <f>IF(TrRoad_act!W74=0,0,TrRoad_emi!W71/TrRoad_tech!W186)</f>
        <v>0.92510187505398922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1.1114511906273987</v>
      </c>
      <c r="C214" s="91">
        <f>IF(TrRoad_act!C75=0,0,TrRoad_emi!C72/TrRoad_tech!C187)</f>
        <v>1.0933248766650221</v>
      </c>
      <c r="D214" s="91">
        <f>IF(TrRoad_act!D75=0,0,TrRoad_emi!D72/TrRoad_tech!D187)</f>
        <v>1.1206586464066763</v>
      </c>
      <c r="E214" s="91">
        <f>IF(TrRoad_act!E75=0,0,TrRoad_emi!E72/TrRoad_tech!E187)</f>
        <v>1.0872931366991572</v>
      </c>
      <c r="F214" s="91">
        <f>IF(TrRoad_act!F75=0,0,TrRoad_emi!F72/TrRoad_tech!F187)</f>
        <v>1.0441813033529272</v>
      </c>
      <c r="G214" s="91">
        <f>IF(TrRoad_act!G75=0,0,TrRoad_emi!G72/TrRoad_tech!G187)</f>
        <v>1.0376694706406069</v>
      </c>
      <c r="H214" s="91">
        <f>IF(TrRoad_act!H75=0,0,TrRoad_emi!H72/TrRoad_tech!H187)</f>
        <v>1.03070622716338</v>
      </c>
      <c r="I214" s="91">
        <f>IF(TrRoad_act!I75=0,0,TrRoad_emi!I72/TrRoad_tech!I187)</f>
        <v>1.0569961493416185</v>
      </c>
      <c r="J214" s="91">
        <f>IF(TrRoad_act!J75=0,0,TrRoad_emi!J72/TrRoad_tech!J187)</f>
        <v>1.0951150872923969</v>
      </c>
      <c r="K214" s="91">
        <f>IF(TrRoad_act!K75=0,0,TrRoad_emi!K72/TrRoad_tech!K187)</f>
        <v>1.0416536354826509</v>
      </c>
      <c r="L214" s="91">
        <f>IF(TrRoad_act!L75=0,0,TrRoad_emi!L72/TrRoad_tech!L187)</f>
        <v>1.1032595133003691</v>
      </c>
      <c r="M214" s="91">
        <f>IF(TrRoad_act!M75=0,0,TrRoad_emi!M72/TrRoad_tech!M187)</f>
        <v>1.1160597434347963</v>
      </c>
      <c r="N214" s="91">
        <f>IF(TrRoad_act!N75=0,0,TrRoad_emi!N72/TrRoad_tech!N187)</f>
        <v>1.1249233710947619</v>
      </c>
      <c r="O214" s="91">
        <f>IF(TrRoad_act!O75=0,0,TrRoad_emi!O72/TrRoad_tech!O187)</f>
        <v>1.1351511805282719</v>
      </c>
      <c r="P214" s="91">
        <f>IF(TrRoad_act!P75=0,0,TrRoad_emi!P72/TrRoad_tech!P187)</f>
        <v>1.1253941423662979</v>
      </c>
      <c r="Q214" s="91">
        <f>IF(TrRoad_act!Q75=0,0,TrRoad_emi!Q72/TrRoad_tech!Q187)</f>
        <v>1.1435393555457722</v>
      </c>
      <c r="R214" s="91">
        <f>IF(TrRoad_act!R75=0,0,TrRoad_emi!R72/TrRoad_tech!R187)</f>
        <v>1.1479992072831873</v>
      </c>
      <c r="S214" s="91">
        <f>IF(TrRoad_act!S75=0,0,TrRoad_emi!S72/TrRoad_tech!S187)</f>
        <v>1.1572683821304059</v>
      </c>
      <c r="T214" s="91">
        <f>IF(TrRoad_act!T75=0,0,TrRoad_emi!T72/TrRoad_tech!T187)</f>
        <v>1.180753953588799</v>
      </c>
      <c r="U214" s="91">
        <f>IF(TrRoad_act!U75=0,0,TrRoad_emi!U72/TrRoad_tech!U187)</f>
        <v>1.2218055677396285</v>
      </c>
      <c r="V214" s="91">
        <f>IF(TrRoad_act!V75=0,0,TrRoad_emi!V72/TrRoad_tech!V187)</f>
        <v>1.2168659622386455</v>
      </c>
      <c r="W214" s="91">
        <f>IF(TrRoad_act!W75=0,0,TrRoad_emi!W72/TrRoad_tech!W187)</f>
        <v>1.2552214955226211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0.74707544998176367</v>
      </c>
      <c r="C215" s="91">
        <f>IF(TrRoad_act!C76=0,0,TrRoad_emi!C73/TrRoad_tech!C188)</f>
        <v>0.70761677512138321</v>
      </c>
      <c r="D215" s="91">
        <f>IF(TrRoad_act!D76=0,0,TrRoad_emi!D73/TrRoad_tech!D188)</f>
        <v>0.27824421224615992</v>
      </c>
      <c r="E215" s="91">
        <f>IF(TrRoad_act!E76=0,0,TrRoad_emi!E73/TrRoad_tech!E188)</f>
        <v>0.54982668161682358</v>
      </c>
      <c r="F215" s="91">
        <f>IF(TrRoad_act!F76=0,0,TrRoad_emi!F73/TrRoad_tech!F188)</f>
        <v>0.76500479348564154</v>
      </c>
      <c r="G215" s="91">
        <f>IF(TrRoad_act!G76=0,0,TrRoad_emi!G73/TrRoad_tech!G188)</f>
        <v>1.0870773681917347</v>
      </c>
      <c r="H215" s="91">
        <f>IF(TrRoad_act!H76=0,0,TrRoad_emi!H73/TrRoad_tech!H188)</f>
        <v>1.1423109010259764</v>
      </c>
      <c r="I215" s="91">
        <f>IF(TrRoad_act!I76=0,0,TrRoad_emi!I73/TrRoad_tech!I188)</f>
        <v>1.0625158218747459</v>
      </c>
      <c r="J215" s="91">
        <f>IF(TrRoad_act!J76=0,0,TrRoad_emi!J73/TrRoad_tech!J188)</f>
        <v>1.0260045582222532</v>
      </c>
      <c r="K215" s="91">
        <f>IF(TrRoad_act!K76=0,0,TrRoad_emi!K73/TrRoad_tech!K188)</f>
        <v>0.92348569026923555</v>
      </c>
      <c r="L215" s="91">
        <f>IF(TrRoad_act!L76=0,0,TrRoad_emi!L73/TrRoad_tech!L188)</f>
        <v>0.91990386203240238</v>
      </c>
      <c r="M215" s="91">
        <f>IF(TrRoad_act!M76=0,0,TrRoad_emi!M73/TrRoad_tech!M188)</f>
        <v>0.8572069794499102</v>
      </c>
      <c r="N215" s="91">
        <f>IF(TrRoad_act!N76=0,0,TrRoad_emi!N73/TrRoad_tech!N188)</f>
        <v>0.83232728861532979</v>
      </c>
      <c r="O215" s="91">
        <f>IF(TrRoad_act!O76=0,0,TrRoad_emi!O73/TrRoad_tech!O188)</f>
        <v>0.83258283708648806</v>
      </c>
      <c r="P215" s="91">
        <f>IF(TrRoad_act!P76=0,0,TrRoad_emi!P73/TrRoad_tech!P188)</f>
        <v>0.81062707515342969</v>
      </c>
      <c r="Q215" s="91">
        <f>IF(TrRoad_act!Q76=0,0,TrRoad_emi!Q73/TrRoad_tech!Q188)</f>
        <v>0.83062873120634284</v>
      </c>
      <c r="R215" s="91">
        <f>IF(TrRoad_act!R76=0,0,TrRoad_emi!R73/TrRoad_tech!R188)</f>
        <v>0.83110647089591827</v>
      </c>
      <c r="S215" s="91">
        <f>IF(TrRoad_act!S76=0,0,TrRoad_emi!S73/TrRoad_tech!S188)</f>
        <v>0.88255591674057932</v>
      </c>
      <c r="T215" s="91">
        <f>IF(TrRoad_act!T76=0,0,TrRoad_emi!T73/TrRoad_tech!T188)</f>
        <v>1.0267200575617415</v>
      </c>
      <c r="U215" s="91">
        <f>IF(TrRoad_act!U76=0,0,TrRoad_emi!U73/TrRoad_tech!U188)</f>
        <v>1.068172284111836</v>
      </c>
      <c r="V215" s="91">
        <f>IF(TrRoad_act!V76=0,0,TrRoad_emi!V73/TrRoad_tech!V188)</f>
        <v>0.9254134443302563</v>
      </c>
      <c r="W215" s="91">
        <f>IF(TrRoad_act!W76=0,0,TrRoad_emi!W73/TrRoad_tech!W188)</f>
        <v>0.96471423034447135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1.2360000000066973</v>
      </c>
      <c r="T216" s="91">
        <f>IF(TrRoad_act!T77=0,0,TrRoad_emi!T74/TrRoad_tech!T189)</f>
        <v>1.2360000000066977</v>
      </c>
      <c r="U216" s="91">
        <f>IF(TrRoad_act!U77=0,0,TrRoad_emi!U74/TrRoad_tech!U189)</f>
        <v>1.2557932980285882</v>
      </c>
      <c r="V216" s="91">
        <f>IF(TrRoad_act!V77=0,0,TrRoad_emi!V74/TrRoad_tech!V189)</f>
        <v>1.2557932980285886</v>
      </c>
      <c r="W216" s="91">
        <f>IF(TrRoad_act!W77=0,0,TrRoad_emi!W74/TrRoad_tech!W189)</f>
        <v>1.2557932980285882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0.74707544998176389</v>
      </c>
      <c r="C219" s="151">
        <f>IF(TrRoad_act!C80=0,0,TrRoad_emi!C77/TrRoad_tech!C192)</f>
        <v>0.7077220197994436</v>
      </c>
      <c r="D219" s="151">
        <f>IF(TrRoad_act!D80=0,0,TrRoad_emi!D77/TrRoad_tech!D192)</f>
        <v>0.27839333686669882</v>
      </c>
      <c r="E219" s="151">
        <f>IF(TrRoad_act!E80=0,0,TrRoad_emi!E77/TrRoad_tech!E192)</f>
        <v>0.55053805631260566</v>
      </c>
      <c r="F219" s="151">
        <f>IF(TrRoad_act!F80=0,0,TrRoad_emi!F77/TrRoad_tech!F192)</f>
        <v>0.76697679609869762</v>
      </c>
      <c r="G219" s="151">
        <f>IF(TrRoad_act!G80=0,0,TrRoad_emi!G77/TrRoad_tech!G192)</f>
        <v>1.0920049556927891</v>
      </c>
      <c r="H219" s="151">
        <f>IF(TrRoad_act!H80=0,0,TrRoad_emi!H77/TrRoad_tech!H192)</f>
        <v>1.1494468980958816</v>
      </c>
      <c r="I219" s="151">
        <f>IF(TrRoad_act!I80=0,0,TrRoad_emi!I77/TrRoad_tech!I192)</f>
        <v>1.0711305208396218</v>
      </c>
      <c r="J219" s="151">
        <f>IF(TrRoad_act!J80=0,0,TrRoad_emi!J77/TrRoad_tech!J192)</f>
        <v>1.038064082203898</v>
      </c>
      <c r="K219" s="151">
        <f>IF(TrRoad_act!K80=0,0,TrRoad_emi!K77/TrRoad_tech!K192)</f>
        <v>0.93821922346397979</v>
      </c>
      <c r="L219" s="151">
        <f>IF(TrRoad_act!L80=0,0,TrRoad_emi!L77/TrRoad_tech!L192)</f>
        <v>0.93661516911151688</v>
      </c>
      <c r="M219" s="151">
        <f>IF(TrRoad_act!M80=0,0,TrRoad_emi!M77/TrRoad_tech!M192)</f>
        <v>0.8741630455779954</v>
      </c>
      <c r="N219" s="151">
        <f>IF(TrRoad_act!N80=0,0,TrRoad_emi!N77/TrRoad_tech!N192)</f>
        <v>0.84978429050308268</v>
      </c>
      <c r="O219" s="151">
        <f>IF(TrRoad_act!O80=0,0,TrRoad_emi!O77/TrRoad_tech!O192)</f>
        <v>0.85064184614146587</v>
      </c>
      <c r="P219" s="151">
        <f>IF(TrRoad_act!P80=0,0,TrRoad_emi!P77/TrRoad_tech!P192)</f>
        <v>0.82953221352362327</v>
      </c>
      <c r="Q219" s="151">
        <f>IF(TrRoad_act!Q80=0,0,TrRoad_emi!Q77/TrRoad_tech!Q192)</f>
        <v>0.85187473753957343</v>
      </c>
      <c r="R219" s="151">
        <f>IF(TrRoad_act!R80=0,0,TrRoad_emi!R77/TrRoad_tech!R192)</f>
        <v>0.85441109481300914</v>
      </c>
      <c r="S219" s="151">
        <f>IF(TrRoad_act!S80=0,0,TrRoad_emi!S77/TrRoad_tech!S192)</f>
        <v>0.91104551859729044</v>
      </c>
      <c r="T219" s="151">
        <f>IF(TrRoad_act!T80=0,0,TrRoad_emi!T77/TrRoad_tech!T192)</f>
        <v>1.0617890539793657</v>
      </c>
      <c r="U219" s="151">
        <f>IF(TrRoad_act!U80=0,0,TrRoad_emi!U77/TrRoad_tech!U192)</f>
        <v>1.1090467773401012</v>
      </c>
      <c r="V219" s="151">
        <f>IF(TrRoad_act!V80=0,0,TrRoad_emi!V77/TrRoad_tech!V192)</f>
        <v>0.96552526417836182</v>
      </c>
      <c r="W219" s="151">
        <f>IF(TrRoad_act!W80=0,0,TrRoad_emi!W77/TrRoad_tech!W192)</f>
        <v>1.0143004834285148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0.79882093569478663</v>
      </c>
      <c r="C220" s="93">
        <f>IF(TrRoad_act!C81=0,0,TrRoad_emi!C78/TrRoad_tech!C193)</f>
        <v>0.75674172679853913</v>
      </c>
      <c r="D220" s="93">
        <f>IF(TrRoad_act!D81=0,0,TrRoad_emi!D78/TrRoad_tech!D193)</f>
        <v>0.29767599223408919</v>
      </c>
      <c r="E220" s="93">
        <f>IF(TrRoad_act!E81=0,0,TrRoad_emi!E78/TrRoad_tech!E193)</f>
        <v>0.58867056237754822</v>
      </c>
      <c r="F220" s="93">
        <f>IF(TrRoad_act!F81=0,0,TrRoad_emi!F78/TrRoad_tech!F193)</f>
        <v>0.82010073002761164</v>
      </c>
      <c r="G220" s="93">
        <f>IF(TrRoad_act!G81=0,0,TrRoad_emi!G78/TrRoad_tech!G193)</f>
        <v>1.1676416625806014</v>
      </c>
      <c r="H220" s="93">
        <f>IF(TrRoad_act!H81=0,0,TrRoad_emi!H78/TrRoad_tech!H193)</f>
        <v>1.2290622676609644</v>
      </c>
      <c r="I220" s="93">
        <f>IF(TrRoad_act!I81=0,0,TrRoad_emi!I78/TrRoad_tech!I193)</f>
        <v>1.1453213794259158</v>
      </c>
      <c r="J220" s="93">
        <f>IF(TrRoad_act!J81=0,0,TrRoad_emi!J78/TrRoad_tech!J193)</f>
        <v>1.1099646246942114</v>
      </c>
      <c r="K220" s="93">
        <f>IF(TrRoad_act!K81=0,0,TrRoad_emi!K78/TrRoad_tech!K193)</f>
        <v>1.0032041047428699</v>
      </c>
      <c r="L220" s="93">
        <f>IF(TrRoad_act!L81=0,0,TrRoad_emi!L78/TrRoad_tech!L193)</f>
        <v>1.0014889470586348</v>
      </c>
      <c r="M220" s="93">
        <f>IF(TrRoad_act!M81=0,0,TrRoad_emi!M78/TrRoad_tech!M193)</f>
        <v>0.93471113531499972</v>
      </c>
      <c r="N220" s="93">
        <f>IF(TrRoad_act!N81=0,0,TrRoad_emi!N78/TrRoad_tech!N193)</f>
        <v>0.90864380846000592</v>
      </c>
      <c r="O220" s="93">
        <f>IF(TrRoad_act!O81=0,0,TrRoad_emi!O78/TrRoad_tech!O193)</f>
        <v>0.90956076189152413</v>
      </c>
      <c r="P220" s="93">
        <f>IF(TrRoad_act!P81=0,0,TrRoad_emi!P78/TrRoad_tech!P193)</f>
        <v>0.88698899021790034</v>
      </c>
      <c r="Q220" s="93">
        <f>IF(TrRoad_act!Q81=0,0,TrRoad_emi!Q78/TrRoad_tech!Q193)</f>
        <v>0.91087904836482536</v>
      </c>
      <c r="R220" s="93">
        <f>IF(TrRoad_act!R81=0,0,TrRoad_emi!R78/TrRoad_tech!R193)</f>
        <v>0.91359108406412659</v>
      </c>
      <c r="S220" s="93">
        <f>IF(TrRoad_act!S81=0,0,TrRoad_emi!S78/TrRoad_tech!S193)</f>
        <v>0.97414823850013288</v>
      </c>
      <c r="T220" s="93">
        <f>IF(TrRoad_act!T81=0,0,TrRoad_emi!T78/TrRoad_tech!T193)</f>
        <v>1.1353328845580231</v>
      </c>
      <c r="U220" s="93">
        <f>IF(TrRoad_act!U81=0,0,TrRoad_emi!U78/TrRoad_tech!U193)</f>
        <v>1.1858638701428788</v>
      </c>
      <c r="V220" s="93">
        <f>IF(TrRoad_act!V81=0,0,TrRoad_emi!V78/TrRoad_tech!V193)</f>
        <v>1.0324014729526207</v>
      </c>
      <c r="W220" s="93">
        <f>IF(TrRoad_act!W81=0,0,TrRoad_emi!W78/TrRoad_tech!W193)</f>
        <v>1.0845550623672864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</v>
      </c>
      <c r="C221" s="94">
        <f>IF(TrRoad_act!C82=0,0,TrRoad_emi!C79/TrRoad_tech!C194)</f>
        <v>0</v>
      </c>
      <c r="D221" s="94">
        <f>IF(TrRoad_act!D82=0,0,TrRoad_emi!D79/TrRoad_tech!D194)</f>
        <v>0</v>
      </c>
      <c r="E221" s="94">
        <f>IF(TrRoad_act!E82=0,0,TrRoad_emi!E79/TrRoad_tech!E194)</f>
        <v>0</v>
      </c>
      <c r="F221" s="94">
        <f>IF(TrRoad_act!F82=0,0,TrRoad_emi!F79/TrRoad_tech!F194)</f>
        <v>0</v>
      </c>
      <c r="G221" s="94">
        <f>IF(TrRoad_act!G82=0,0,TrRoad_emi!G79/TrRoad_tech!G194)</f>
        <v>0</v>
      </c>
      <c r="H221" s="94">
        <f>IF(TrRoad_act!H82=0,0,TrRoad_emi!H79/TrRoad_tech!H194)</f>
        <v>0</v>
      </c>
      <c r="I221" s="94">
        <f>IF(TrRoad_act!I82=0,0,TrRoad_emi!I79/TrRoad_tech!I194)</f>
        <v>0</v>
      </c>
      <c r="J221" s="94">
        <f>IF(TrRoad_act!J82=0,0,TrRoad_emi!J79/TrRoad_tech!J194)</f>
        <v>0</v>
      </c>
      <c r="K221" s="94">
        <f>IF(TrRoad_act!K82=0,0,TrRoad_emi!K79/TrRoad_tech!K194)</f>
        <v>0</v>
      </c>
      <c r="L221" s="94">
        <f>IF(TrRoad_act!L82=0,0,TrRoad_emi!L79/TrRoad_tech!L194)</f>
        <v>0</v>
      </c>
      <c r="M221" s="94">
        <f>IF(TrRoad_act!M82=0,0,TrRoad_emi!M79/TrRoad_tech!M194)</f>
        <v>0</v>
      </c>
      <c r="N221" s="94">
        <f>IF(TrRoad_act!N82=0,0,TrRoad_emi!N79/TrRoad_tech!N194)</f>
        <v>0</v>
      </c>
      <c r="O221" s="94">
        <f>IF(TrRoad_act!O82=0,0,TrRoad_emi!O79/TrRoad_tech!O194)</f>
        <v>0</v>
      </c>
      <c r="P221" s="94">
        <f>IF(TrRoad_act!P82=0,0,TrRoad_emi!P79/TrRoad_tech!P194)</f>
        <v>0</v>
      </c>
      <c r="Q221" s="94">
        <f>IF(TrRoad_act!Q82=0,0,TrRoad_emi!Q79/TrRoad_tech!Q194)</f>
        <v>0</v>
      </c>
      <c r="R221" s="94">
        <f>IF(TrRoad_act!R82=0,0,TrRoad_emi!R79/TrRoad_tech!R194)</f>
        <v>0</v>
      </c>
      <c r="S221" s="94">
        <f>IF(TrRoad_act!S82=0,0,TrRoad_emi!S79/TrRoad_tech!S194)</f>
        <v>0</v>
      </c>
      <c r="T221" s="94">
        <f>IF(TrRoad_act!T82=0,0,TrRoad_emi!T79/TrRoad_tech!T194)</f>
        <v>0</v>
      </c>
      <c r="U221" s="94">
        <f>IF(TrRoad_act!U82=0,0,TrRoad_emi!U79/TrRoad_tech!U194)</f>
        <v>0</v>
      </c>
      <c r="V221" s="94">
        <f>IF(TrRoad_act!V82=0,0,TrRoad_emi!V79/TrRoad_tech!V194)</f>
        <v>0</v>
      </c>
      <c r="W221" s="94">
        <f>IF(TrRoad_act!W82=0,0,TrRoad_emi!W79/TrRoad_tech!W194)</f>
        <v>0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101.24502571662707</v>
      </c>
      <c r="C225" s="152">
        <v>100.69383865631436</v>
      </c>
      <c r="D225" s="152">
        <v>100.08492723253968</v>
      </c>
      <c r="E225" s="152">
        <v>98.832189739131735</v>
      </c>
      <c r="F225" s="152">
        <v>98.695324327365881</v>
      </c>
      <c r="G225" s="152">
        <v>95.511188429962829</v>
      </c>
      <c r="H225" s="152">
        <v>90.859214219027663</v>
      </c>
      <c r="I225" s="152">
        <v>89.526472308537919</v>
      </c>
      <c r="J225" s="152">
        <v>85.179765159355739</v>
      </c>
      <c r="K225" s="152">
        <v>80.491227001195668</v>
      </c>
      <c r="L225" s="152">
        <v>77.563717076057998</v>
      </c>
      <c r="M225" s="152">
        <v>74.048616024973796</v>
      </c>
      <c r="N225" s="152">
        <v>71.694776470588195</v>
      </c>
      <c r="O225" s="152">
        <v>70.155131964808803</v>
      </c>
      <c r="P225" s="152">
        <v>69.00316503391079</v>
      </c>
      <c r="Q225" s="152">
        <v>67.6725590004624</v>
      </c>
      <c r="R225" s="152">
        <v>66.356271243950289</v>
      </c>
      <c r="S225" s="152">
        <v>65.303241038740595</v>
      </c>
      <c r="T225" s="152">
        <v>64.460816874572842</v>
      </c>
      <c r="U225" s="152">
        <v>63.786877543238624</v>
      </c>
      <c r="V225" s="152">
        <v>63.247726078171276</v>
      </c>
      <c r="W225" s="152">
        <v>62.816404906117384</v>
      </c>
      <c r="DA225" s="174" t="s">
        <v>931</v>
      </c>
    </row>
    <row r="226" spans="1:105" ht="11.45" customHeight="1" x14ac:dyDescent="0.25">
      <c r="A226" s="109" t="s">
        <v>20</v>
      </c>
      <c r="B226" s="116">
        <v>168.20332757793557</v>
      </c>
      <c r="C226" s="116">
        <v>167.58612046638487</v>
      </c>
      <c r="D226" s="116">
        <v>166.34079281971424</v>
      </c>
      <c r="E226" s="116">
        <v>162.13073167023717</v>
      </c>
      <c r="F226" s="116">
        <v>159.76772209988715</v>
      </c>
      <c r="G226" s="116">
        <v>157.41609721150519</v>
      </c>
      <c r="H226" s="116">
        <v>154.67853860809788</v>
      </c>
      <c r="I226" s="116">
        <v>154.05220104937203</v>
      </c>
      <c r="J226" s="116">
        <v>153.33955142997101</v>
      </c>
      <c r="K226" s="116">
        <v>155.94767839685829</v>
      </c>
      <c r="L226" s="116">
        <v>172.28705309652511</v>
      </c>
      <c r="M226" s="116">
        <v>151.49131833474246</v>
      </c>
      <c r="N226" s="116">
        <v>148.57352067032133</v>
      </c>
      <c r="O226" s="116">
        <v>144.05853249578269</v>
      </c>
      <c r="P226" s="116">
        <v>138.35987131139095</v>
      </c>
      <c r="Q226" s="116">
        <v>132.49301991285287</v>
      </c>
      <c r="R226" s="116">
        <v>135.25948998923644</v>
      </c>
      <c r="S226" s="116">
        <v>134.98509728659016</v>
      </c>
      <c r="T226" s="116">
        <v>133.14981438762925</v>
      </c>
      <c r="U226" s="116">
        <v>130.39748058207618</v>
      </c>
      <c r="V226" s="116">
        <v>126.84573584177005</v>
      </c>
      <c r="W226" s="116">
        <v>118.5927195767303</v>
      </c>
      <c r="DA226" s="176" t="s">
        <v>932</v>
      </c>
    </row>
    <row r="227" spans="1:105" ht="11.45" customHeight="1" x14ac:dyDescent="0.25">
      <c r="A227" s="111" t="s">
        <v>110</v>
      </c>
      <c r="B227" s="87">
        <v>155.70029878257242</v>
      </c>
      <c r="C227" s="87">
        <v>155.002959524186</v>
      </c>
      <c r="D227" s="87">
        <v>154.23180052157812</v>
      </c>
      <c r="E227" s="87">
        <v>153.46447813092354</v>
      </c>
      <c r="F227" s="87">
        <v>152.70097326460058</v>
      </c>
      <c r="G227" s="87">
        <v>151.94126692995081</v>
      </c>
      <c r="H227" s="87">
        <v>151.18534022880687</v>
      </c>
      <c r="I227" s="87">
        <v>150.43317435702173</v>
      </c>
      <c r="J227" s="87">
        <v>149.68475060400172</v>
      </c>
      <c r="K227" s="87">
        <v>148.94005035224058</v>
      </c>
      <c r="L227" s="87">
        <v>148.19905507685633</v>
      </c>
      <c r="M227" s="87">
        <v>141.48283937822598</v>
      </c>
      <c r="N227" s="87">
        <v>136.97340828046418</v>
      </c>
      <c r="O227" s="87">
        <v>134.04365672395275</v>
      </c>
      <c r="P227" s="87">
        <v>131.84262230896266</v>
      </c>
      <c r="Q227" s="87">
        <v>129.30026662681863</v>
      </c>
      <c r="R227" s="87">
        <v>128.16137886958811</v>
      </c>
      <c r="S227" s="87">
        <v>126.72503382280314</v>
      </c>
      <c r="T227" s="87">
        <v>125.7808716707022</v>
      </c>
      <c r="U227" s="87">
        <v>131.61518324607329</v>
      </c>
      <c r="V227" s="87">
        <v>133.22163934426229</v>
      </c>
      <c r="W227" s="87">
        <v>119.97531939605111</v>
      </c>
      <c r="DA227" s="171" t="s">
        <v>933</v>
      </c>
    </row>
    <row r="228" spans="1:105" ht="11.45" customHeight="1" x14ac:dyDescent="0.25">
      <c r="A228" s="111" t="s">
        <v>111</v>
      </c>
      <c r="B228" s="87">
        <v>186.26095420370604</v>
      </c>
      <c r="C228" s="87">
        <v>185.75947876101446</v>
      </c>
      <c r="D228" s="87">
        <v>185.20386715953586</v>
      </c>
      <c r="E228" s="87">
        <v>184.64991740731395</v>
      </c>
      <c r="F228" s="87">
        <v>184.09762453371283</v>
      </c>
      <c r="G228" s="87">
        <v>183.546983582964</v>
      </c>
      <c r="H228" s="87">
        <v>182.99798961412168</v>
      </c>
      <c r="I228" s="87">
        <v>182.45063770101865</v>
      </c>
      <c r="J228" s="87">
        <v>181.90492293222195</v>
      </c>
      <c r="K228" s="87">
        <v>181.36084041098903</v>
      </c>
      <c r="L228" s="87">
        <v>180.8183852552234</v>
      </c>
      <c r="M228" s="87">
        <v>168.17113203823607</v>
      </c>
      <c r="N228" s="87">
        <v>166.66555099479612</v>
      </c>
      <c r="O228" s="87">
        <v>161.51195577171498</v>
      </c>
      <c r="P228" s="87">
        <v>153.01101939729935</v>
      </c>
      <c r="Q228" s="87">
        <v>150.84448023659479</v>
      </c>
      <c r="R228" s="87">
        <v>147.32215222593149</v>
      </c>
      <c r="S228" s="87">
        <v>148.15956753572735</v>
      </c>
      <c r="T228" s="87">
        <v>152.57692307692309</v>
      </c>
      <c r="U228" s="87">
        <v>149.74804031354981</v>
      </c>
      <c r="V228" s="87">
        <v>147.30244399185341</v>
      </c>
      <c r="W228" s="87">
        <v>139.73165618448641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133.80830169063535</v>
      </c>
      <c r="S229" s="87">
        <v>0</v>
      </c>
      <c r="T229" s="87">
        <v>0</v>
      </c>
      <c r="U229" s="87">
        <v>132.91998242498937</v>
      </c>
      <c r="V229" s="87">
        <v>0</v>
      </c>
      <c r="W229" s="87">
        <v>103.2307692307692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85.2143388351124</v>
      </c>
      <c r="M231" s="87">
        <v>78.551331437410383</v>
      </c>
      <c r="N231" s="87">
        <v>57.248287044629429</v>
      </c>
      <c r="O231" s="87">
        <v>94.270268072932069</v>
      </c>
      <c r="P231" s="87">
        <v>90.22083859131196</v>
      </c>
      <c r="Q231" s="87">
        <v>65.712609383239098</v>
      </c>
      <c r="R231" s="87">
        <v>106.37117019840734</v>
      </c>
      <c r="S231" s="87">
        <v>91.927213830844536</v>
      </c>
      <c r="T231" s="87">
        <v>115.99999999999999</v>
      </c>
      <c r="U231" s="87">
        <v>59.837837837837839</v>
      </c>
      <c r="V231" s="87">
        <v>53.873096446700508</v>
      </c>
      <c r="W231" s="87">
        <v>50.704065040650413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0</v>
      </c>
      <c r="C233" s="116">
        <v>0</v>
      </c>
      <c r="D233" s="116">
        <v>1169.4248869240678</v>
      </c>
      <c r="E233" s="116">
        <v>1165.7308608167275</v>
      </c>
      <c r="F233" s="116">
        <v>0</v>
      </c>
      <c r="G233" s="116">
        <v>1161.3621975080505</v>
      </c>
      <c r="H233" s="116">
        <v>1155.4169025883482</v>
      </c>
      <c r="I233" s="116">
        <v>1151.1327984416571</v>
      </c>
      <c r="J233" s="116">
        <v>1136.6322665669948</v>
      </c>
      <c r="K233" s="116">
        <v>1120.3179009413002</v>
      </c>
      <c r="L233" s="116">
        <v>987.77712983851131</v>
      </c>
      <c r="M233" s="116">
        <v>1096.828928332953</v>
      </c>
      <c r="N233" s="116">
        <v>1087.8996127476789</v>
      </c>
      <c r="O233" s="116">
        <v>1081.963343827912</v>
      </c>
      <c r="P233" s="116">
        <v>1077.4664280211398</v>
      </c>
      <c r="Q233" s="116">
        <v>1072.1959372777251</v>
      </c>
      <c r="R233" s="116">
        <v>1067.4745418917337</v>
      </c>
      <c r="S233" s="116">
        <v>1063.2430646017965</v>
      </c>
      <c r="T233" s="116">
        <v>838.3689031498235</v>
      </c>
      <c r="U233" s="116">
        <v>1033.1264543261889</v>
      </c>
      <c r="V233" s="116">
        <v>1045.8778884002791</v>
      </c>
      <c r="W233" s="116">
        <v>984.96051065103552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323.182154483575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249.67434597765975</v>
      </c>
      <c r="U234" s="101">
        <v>244.14368091610302</v>
      </c>
      <c r="V234" s="101">
        <v>0</v>
      </c>
      <c r="W234" s="101">
        <v>234.9686209180114</v>
      </c>
      <c r="DA234" s="175" t="s">
        <v>940</v>
      </c>
    </row>
    <row r="235" spans="1:105" ht="11.45" customHeight="1" x14ac:dyDescent="0.25">
      <c r="A235" s="111" t="s">
        <v>111</v>
      </c>
      <c r="B235" s="101">
        <v>0</v>
      </c>
      <c r="C235" s="101">
        <v>0</v>
      </c>
      <c r="D235" s="101">
        <v>1169.4248869240678</v>
      </c>
      <c r="E235" s="101">
        <v>1165.7308608167275</v>
      </c>
      <c r="F235" s="101">
        <v>0</v>
      </c>
      <c r="G235" s="101">
        <v>1161.3621975080505</v>
      </c>
      <c r="H235" s="101">
        <v>1155.4169025883482</v>
      </c>
      <c r="I235" s="101">
        <v>1151.1327984416571</v>
      </c>
      <c r="J235" s="101">
        <v>1136.6322665669948</v>
      </c>
      <c r="K235" s="101">
        <v>1120.3179009413002</v>
      </c>
      <c r="L235" s="101">
        <v>1109.8455946996221</v>
      </c>
      <c r="M235" s="101">
        <v>1096.828928332953</v>
      </c>
      <c r="N235" s="101">
        <v>1087.8996127476789</v>
      </c>
      <c r="O235" s="101">
        <v>1081.963343827912</v>
      </c>
      <c r="P235" s="101">
        <v>1077.4664280211398</v>
      </c>
      <c r="Q235" s="101">
        <v>1072.1959372777251</v>
      </c>
      <c r="R235" s="101">
        <v>1067.4745418917337</v>
      </c>
      <c r="S235" s="101">
        <v>1063.2430646017965</v>
      </c>
      <c r="T235" s="101">
        <v>1059.4490783731794</v>
      </c>
      <c r="U235" s="101">
        <v>1056.046067253689</v>
      </c>
      <c r="V235" s="101">
        <v>1052.9927039676279</v>
      </c>
      <c r="W235" s="101">
        <v>1050.2522258827928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198.71801450570152</v>
      </c>
      <c r="D240" s="152">
        <v>195.62537641143336</v>
      </c>
      <c r="E240" s="152">
        <v>191.69101568803697</v>
      </c>
      <c r="F240" s="152">
        <v>187.98399217970046</v>
      </c>
      <c r="G240" s="152">
        <v>184.27262029472686</v>
      </c>
      <c r="H240" s="152">
        <v>180.57239592074336</v>
      </c>
      <c r="I240" s="152">
        <v>177.03582344415264</v>
      </c>
      <c r="J240" s="152">
        <v>172.7919428452482</v>
      </c>
      <c r="K240" s="152">
        <v>169.72344248747376</v>
      </c>
      <c r="L240" s="152">
        <v>166.26901699013317</v>
      </c>
      <c r="M240" s="152">
        <v>163.2733744442389</v>
      </c>
      <c r="N240" s="152">
        <v>160.27872173560766</v>
      </c>
      <c r="O240" s="152">
        <v>162.5910129093914</v>
      </c>
      <c r="P240" s="152">
        <v>158.90226584845411</v>
      </c>
      <c r="Q240" s="152">
        <v>165.71800000799809</v>
      </c>
      <c r="R240" s="152">
        <v>159.53306128189251</v>
      </c>
      <c r="S240" s="152">
        <v>147.86316770447331</v>
      </c>
      <c r="T240" s="152">
        <v>154.9304257283853</v>
      </c>
      <c r="U240" s="152">
        <v>152.21607053768381</v>
      </c>
      <c r="V240" s="152">
        <v>178.2477713484131</v>
      </c>
      <c r="W240" s="152">
        <v>165.45530208220953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187.45268958316876</v>
      </c>
      <c r="D241" s="87">
        <v>183.77714665016546</v>
      </c>
      <c r="E241" s="87">
        <v>180.17367318643673</v>
      </c>
      <c r="F241" s="87">
        <v>176.64085606513402</v>
      </c>
      <c r="G241" s="87">
        <v>173.17730986777849</v>
      </c>
      <c r="H241" s="87">
        <v>169.78167634095928</v>
      </c>
      <c r="I241" s="87">
        <v>166.45262386368555</v>
      </c>
      <c r="J241" s="87">
        <v>160.31895237109757</v>
      </c>
      <c r="K241" s="87">
        <v>157.17544350107602</v>
      </c>
      <c r="L241" s="87">
        <v>154.09357205987845</v>
      </c>
      <c r="M241" s="87">
        <v>151.07212947046909</v>
      </c>
      <c r="N241" s="87">
        <v>148.10993085340107</v>
      </c>
      <c r="O241" s="87">
        <v>171.28883283918898</v>
      </c>
      <c r="P241" s="87">
        <v>140.90060640457665</v>
      </c>
      <c r="Q241" s="87">
        <v>138.67732267432694</v>
      </c>
      <c r="R241" s="87">
        <v>150.07165179185679</v>
      </c>
      <c r="S241" s="87">
        <v>142.38127902462571</v>
      </c>
      <c r="T241" s="87">
        <v>151.48387604591647</v>
      </c>
      <c r="U241" s="87">
        <v>147.19868174445122</v>
      </c>
      <c r="V241" s="87">
        <v>173.66666666666671</v>
      </c>
      <c r="W241" s="87">
        <v>171.93548387096769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199.90165233166348</v>
      </c>
      <c r="D242" s="87">
        <v>195.98201208986617</v>
      </c>
      <c r="E242" s="87">
        <v>192.13922753908449</v>
      </c>
      <c r="F242" s="87">
        <v>188.37179170498479</v>
      </c>
      <c r="G242" s="87">
        <v>184.67822716174976</v>
      </c>
      <c r="H242" s="87">
        <v>181.05708545269582</v>
      </c>
      <c r="I242" s="87">
        <v>177.50694652225081</v>
      </c>
      <c r="J242" s="87">
        <v>173.58220247263293</v>
      </c>
      <c r="K242" s="87">
        <v>170.1786298751303</v>
      </c>
      <c r="L242" s="87">
        <v>166.84179399522577</v>
      </c>
      <c r="M242" s="87">
        <v>163.57038626982921</v>
      </c>
      <c r="N242" s="87">
        <v>160.36312379395017</v>
      </c>
      <c r="O242" s="87">
        <v>162.93309514929007</v>
      </c>
      <c r="P242" s="87">
        <v>159.63263610722677</v>
      </c>
      <c r="Q242" s="87">
        <v>166.58262842754121</v>
      </c>
      <c r="R242" s="87">
        <v>160.03614278363446</v>
      </c>
      <c r="S242" s="87">
        <v>148.16628239903758</v>
      </c>
      <c r="T242" s="87">
        <v>155.31431011938494</v>
      </c>
      <c r="U242" s="87">
        <v>157.0496688741722</v>
      </c>
      <c r="V242" s="87">
        <v>179.59599588105621</v>
      </c>
      <c r="W242" s="87">
        <v>167.78260869565219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190.58056683587841</v>
      </c>
      <c r="T243" s="87">
        <v>0</v>
      </c>
      <c r="U243" s="87">
        <v>197.02876948801398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561.91157385613428</v>
      </c>
      <c r="C246" s="116">
        <v>561.04405444604777</v>
      </c>
      <c r="D246" s="116">
        <v>560.08171472990489</v>
      </c>
      <c r="E246" s="116">
        <v>558.88342265747895</v>
      </c>
      <c r="F246" s="116">
        <v>557.45222311149519</v>
      </c>
      <c r="G246" s="116">
        <v>555.79172712774778</v>
      </c>
      <c r="H246" s="116">
        <v>553.90608937678019</v>
      </c>
      <c r="I246" s="116">
        <v>551.79998257296086</v>
      </c>
      <c r="J246" s="116">
        <v>549.4785690998749</v>
      </c>
      <c r="K246" s="116">
        <v>546.94747016344547</v>
      </c>
      <c r="L246" s="116">
        <v>544.21273281254366</v>
      </c>
      <c r="M246" s="116">
        <v>541.28079517212939</v>
      </c>
      <c r="N246" s="116">
        <v>538.15845024734108</v>
      </c>
      <c r="O246" s="116">
        <v>534.85280866113965</v>
      </c>
      <c r="P246" s="116">
        <v>531.37126067958457</v>
      </c>
      <c r="Q246" s="116">
        <v>527.72143787888012</v>
      </c>
      <c r="R246" s="116">
        <v>531.60355772744128</v>
      </c>
      <c r="S246" s="116">
        <v>534.32104162143412</v>
      </c>
      <c r="T246" s="116">
        <v>537.17439971012664</v>
      </c>
      <c r="U246" s="116">
        <v>540.66183737408403</v>
      </c>
      <c r="V246" s="116">
        <v>531.4050748408614</v>
      </c>
      <c r="W246" s="116">
        <v>526.0910240924527</v>
      </c>
      <c r="DA246" s="176" t="s">
        <v>951</v>
      </c>
    </row>
    <row r="247" spans="1:105" ht="11.45" customHeight="1" x14ac:dyDescent="0.25">
      <c r="A247" s="128" t="s">
        <v>27</v>
      </c>
      <c r="B247" s="101">
        <v>525.51244356585835</v>
      </c>
      <c r="C247" s="101">
        <v>524.70111974508927</v>
      </c>
      <c r="D247" s="101">
        <v>523.80111782432402</v>
      </c>
      <c r="E247" s="101">
        <v>522.68044791043565</v>
      </c>
      <c r="F247" s="101">
        <v>521.34195764678304</v>
      </c>
      <c r="G247" s="101">
        <v>519.78902415590983</v>
      </c>
      <c r="H247" s="101">
        <v>518.02553297990369</v>
      </c>
      <c r="I247" s="101">
        <v>516.055854147182</v>
      </c>
      <c r="J247" s="101">
        <v>513.8848156359154</v>
      </c>
      <c r="K247" s="101">
        <v>511.51767452532761</v>
      </c>
      <c r="L247" s="101">
        <v>508.96008615262178</v>
      </c>
      <c r="M247" s="101">
        <v>506.21807159822617</v>
      </c>
      <c r="N247" s="101">
        <v>503.29798383455795</v>
      </c>
      <c r="O247" s="101">
        <v>500.20647287742202</v>
      </c>
      <c r="P247" s="101">
        <v>496.95045027119033</v>
      </c>
      <c r="Q247" s="101">
        <v>493.53705323895269</v>
      </c>
      <c r="R247" s="101">
        <v>497.16769973699974</v>
      </c>
      <c r="S247" s="101">
        <v>499.7091522856328</v>
      </c>
      <c r="T247" s="101">
        <v>502.37767746169737</v>
      </c>
      <c r="U247" s="101">
        <v>505.63920823244291</v>
      </c>
      <c r="V247" s="101">
        <v>496.98207404145336</v>
      </c>
      <c r="W247" s="101">
        <v>492.01225330103875</v>
      </c>
      <c r="DA247" s="175" t="s">
        <v>952</v>
      </c>
    </row>
    <row r="248" spans="1:105" ht="11.45" customHeight="1" x14ac:dyDescent="0.25">
      <c r="A248" s="138" t="s">
        <v>116</v>
      </c>
      <c r="B248" s="88">
        <v>0</v>
      </c>
      <c r="C248" s="88">
        <v>0</v>
      </c>
      <c r="D248" s="88">
        <v>0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0</v>
      </c>
      <c r="C4" s="28">
        <f t="shared" ref="C4:V4" si="1">SUM(C5,C6,C9)</f>
        <v>0</v>
      </c>
      <c r="D4" s="28">
        <f t="shared" si="1"/>
        <v>0</v>
      </c>
      <c r="E4" s="28">
        <f t="shared" si="1"/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  <c r="K4" s="28">
        <f t="shared" si="1"/>
        <v>0</v>
      </c>
      <c r="L4" s="28">
        <f t="shared" si="1"/>
        <v>0</v>
      </c>
      <c r="M4" s="28">
        <f t="shared" si="1"/>
        <v>0</v>
      </c>
      <c r="N4" s="28">
        <f t="shared" si="1"/>
        <v>0</v>
      </c>
      <c r="O4" s="28">
        <f t="shared" si="1"/>
        <v>0</v>
      </c>
      <c r="P4" s="28">
        <f t="shared" si="1"/>
        <v>0</v>
      </c>
      <c r="Q4" s="28">
        <f t="shared" si="1"/>
        <v>0</v>
      </c>
      <c r="R4" s="28">
        <f t="shared" si="1"/>
        <v>0</v>
      </c>
      <c r="S4" s="28">
        <f t="shared" si="1"/>
        <v>0</v>
      </c>
      <c r="T4" s="28">
        <f t="shared" si="1"/>
        <v>0</v>
      </c>
      <c r="U4" s="28">
        <f t="shared" si="1"/>
        <v>0</v>
      </c>
      <c r="V4" s="28">
        <f t="shared" si="1"/>
        <v>0</v>
      </c>
      <c r="W4" s="28">
        <f t="shared" ref="W4" si="2">SUM(W5,W6,W9)</f>
        <v>0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0</v>
      </c>
      <c r="C6" s="110">
        <f t="shared" ref="C6:V6" si="4">SUM(C7:C8)</f>
        <v>0</v>
      </c>
      <c r="D6" s="110">
        <f t="shared" si="4"/>
        <v>0</v>
      </c>
      <c r="E6" s="110">
        <f t="shared" si="4"/>
        <v>0</v>
      </c>
      <c r="F6" s="110">
        <f t="shared" si="4"/>
        <v>0</v>
      </c>
      <c r="G6" s="110">
        <f t="shared" si="4"/>
        <v>0</v>
      </c>
      <c r="H6" s="110">
        <f t="shared" si="4"/>
        <v>0</v>
      </c>
      <c r="I6" s="110">
        <f t="shared" si="4"/>
        <v>0</v>
      </c>
      <c r="J6" s="110">
        <f t="shared" si="4"/>
        <v>0</v>
      </c>
      <c r="K6" s="110">
        <f t="shared" si="4"/>
        <v>0</v>
      </c>
      <c r="L6" s="110">
        <f t="shared" si="4"/>
        <v>0</v>
      </c>
      <c r="M6" s="110">
        <f t="shared" si="4"/>
        <v>0</v>
      </c>
      <c r="N6" s="110">
        <f t="shared" si="4"/>
        <v>0</v>
      </c>
      <c r="O6" s="110">
        <f t="shared" si="4"/>
        <v>0</v>
      </c>
      <c r="P6" s="110">
        <f t="shared" si="4"/>
        <v>0</v>
      </c>
      <c r="Q6" s="110">
        <f t="shared" si="4"/>
        <v>0</v>
      </c>
      <c r="R6" s="110">
        <f t="shared" si="4"/>
        <v>0</v>
      </c>
      <c r="S6" s="110">
        <f t="shared" si="4"/>
        <v>0</v>
      </c>
      <c r="T6" s="110">
        <f t="shared" si="4"/>
        <v>0</v>
      </c>
      <c r="U6" s="110">
        <f t="shared" si="4"/>
        <v>0</v>
      </c>
      <c r="V6" s="110">
        <f t="shared" si="4"/>
        <v>0</v>
      </c>
      <c r="W6" s="110">
        <f t="shared" ref="W6" si="5">SUM(W7:W8)</f>
        <v>0</v>
      </c>
      <c r="DA6" s="176" t="s">
        <v>377</v>
      </c>
    </row>
    <row r="7" spans="1:105" ht="11.45" customHeight="1" x14ac:dyDescent="0.25">
      <c r="A7" s="111" t="s">
        <v>90</v>
      </c>
      <c r="B7" s="84">
        <v>0</v>
      </c>
      <c r="C7" s="84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DA7" s="171" t="s">
        <v>1029</v>
      </c>
    </row>
    <row r="8" spans="1:105" ht="11.45" customHeight="1" x14ac:dyDescent="0.25">
      <c r="A8" s="111" t="s">
        <v>93</v>
      </c>
      <c r="B8" s="84">
        <v>0</v>
      </c>
      <c r="C8" s="84">
        <v>0</v>
      </c>
      <c r="D8" s="84">
        <v>0</v>
      </c>
      <c r="E8" s="84">
        <v>0</v>
      </c>
      <c r="F8" s="84">
        <v>0</v>
      </c>
      <c r="G8" s="84">
        <v>0</v>
      </c>
      <c r="H8" s="84">
        <v>0</v>
      </c>
      <c r="I8" s="84">
        <v>0</v>
      </c>
      <c r="J8" s="84">
        <v>0</v>
      </c>
      <c r="K8" s="84">
        <v>0</v>
      </c>
      <c r="L8" s="84">
        <v>0</v>
      </c>
      <c r="M8" s="84">
        <v>0</v>
      </c>
      <c r="N8" s="84">
        <v>0</v>
      </c>
      <c r="O8" s="84">
        <v>0</v>
      </c>
      <c r="P8" s="84">
        <v>0</v>
      </c>
      <c r="Q8" s="84">
        <v>0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84">
        <v>0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0</v>
      </c>
      <c r="C10" s="28">
        <f t="shared" ref="C10:V10" si="7">SUM(C11:C12)</f>
        <v>0</v>
      </c>
      <c r="D10" s="28">
        <f t="shared" si="7"/>
        <v>0</v>
      </c>
      <c r="E10" s="28">
        <f t="shared" si="7"/>
        <v>0</v>
      </c>
      <c r="F10" s="28">
        <f t="shared" si="7"/>
        <v>0</v>
      </c>
      <c r="G10" s="28">
        <f t="shared" si="7"/>
        <v>0</v>
      </c>
      <c r="H10" s="28">
        <f t="shared" si="7"/>
        <v>0</v>
      </c>
      <c r="I10" s="28">
        <f t="shared" si="7"/>
        <v>0</v>
      </c>
      <c r="J10" s="28">
        <f t="shared" si="7"/>
        <v>0</v>
      </c>
      <c r="K10" s="28">
        <f t="shared" si="7"/>
        <v>0</v>
      </c>
      <c r="L10" s="28">
        <f t="shared" si="7"/>
        <v>0</v>
      </c>
      <c r="M10" s="28">
        <f t="shared" si="7"/>
        <v>0</v>
      </c>
      <c r="N10" s="28">
        <f t="shared" si="7"/>
        <v>0</v>
      </c>
      <c r="O10" s="28">
        <f t="shared" si="7"/>
        <v>0</v>
      </c>
      <c r="P10" s="28">
        <f t="shared" si="7"/>
        <v>0</v>
      </c>
      <c r="Q10" s="28">
        <f t="shared" si="7"/>
        <v>0</v>
      </c>
      <c r="R10" s="28">
        <f t="shared" si="7"/>
        <v>0</v>
      </c>
      <c r="S10" s="28">
        <f t="shared" si="7"/>
        <v>0</v>
      </c>
      <c r="T10" s="28">
        <f t="shared" si="7"/>
        <v>0</v>
      </c>
      <c r="U10" s="28">
        <f t="shared" si="7"/>
        <v>0</v>
      </c>
      <c r="V10" s="28">
        <f t="shared" si="7"/>
        <v>0</v>
      </c>
      <c r="W10" s="28">
        <f t="shared" ref="W10" si="8">SUM(W11:W12)</f>
        <v>0</v>
      </c>
      <c r="DA10" s="173" t="s">
        <v>383</v>
      </c>
    </row>
    <row r="11" spans="1:105" ht="11.45" customHeight="1" x14ac:dyDescent="0.25">
      <c r="A11" s="83" t="s">
        <v>90</v>
      </c>
      <c r="B11" s="84">
        <v>0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0</v>
      </c>
      <c r="C14" s="62">
        <f t="shared" ref="C14:V14" si="10">C15+C21</f>
        <v>0</v>
      </c>
      <c r="D14" s="62">
        <f t="shared" si="10"/>
        <v>0</v>
      </c>
      <c r="E14" s="62">
        <f t="shared" si="10"/>
        <v>0</v>
      </c>
      <c r="F14" s="62">
        <f t="shared" si="10"/>
        <v>0</v>
      </c>
      <c r="G14" s="62">
        <f t="shared" si="10"/>
        <v>0</v>
      </c>
      <c r="H14" s="62">
        <f t="shared" si="10"/>
        <v>0</v>
      </c>
      <c r="I14" s="62">
        <f t="shared" si="10"/>
        <v>0</v>
      </c>
      <c r="J14" s="62">
        <f t="shared" si="10"/>
        <v>0</v>
      </c>
      <c r="K14" s="62">
        <f t="shared" si="10"/>
        <v>0</v>
      </c>
      <c r="L14" s="62">
        <f t="shared" si="10"/>
        <v>0</v>
      </c>
      <c r="M14" s="62">
        <f t="shared" si="10"/>
        <v>0</v>
      </c>
      <c r="N14" s="62">
        <f t="shared" si="10"/>
        <v>0</v>
      </c>
      <c r="O14" s="62">
        <f t="shared" si="10"/>
        <v>0</v>
      </c>
      <c r="P14" s="62">
        <f t="shared" si="10"/>
        <v>0</v>
      </c>
      <c r="Q14" s="62">
        <f t="shared" si="10"/>
        <v>0</v>
      </c>
      <c r="R14" s="62">
        <f t="shared" si="10"/>
        <v>0</v>
      </c>
      <c r="S14" s="62">
        <f t="shared" si="10"/>
        <v>0</v>
      </c>
      <c r="T14" s="62">
        <f t="shared" si="10"/>
        <v>0</v>
      </c>
      <c r="U14" s="62">
        <f t="shared" si="10"/>
        <v>0</v>
      </c>
      <c r="V14" s="62">
        <f t="shared" si="10"/>
        <v>0</v>
      </c>
      <c r="W14" s="62">
        <f t="shared" ref="W14" si="11">W15+W21</f>
        <v>0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0</v>
      </c>
      <c r="C15" s="29">
        <f t="shared" ref="C15:V15" si="13">SUM(C16,C17,C20)</f>
        <v>0</v>
      </c>
      <c r="D15" s="29">
        <f t="shared" si="13"/>
        <v>0</v>
      </c>
      <c r="E15" s="29">
        <f t="shared" si="13"/>
        <v>0</v>
      </c>
      <c r="F15" s="29">
        <f t="shared" si="13"/>
        <v>0</v>
      </c>
      <c r="G15" s="29">
        <f t="shared" si="13"/>
        <v>0</v>
      </c>
      <c r="H15" s="29">
        <f t="shared" si="13"/>
        <v>0</v>
      </c>
      <c r="I15" s="29">
        <f t="shared" si="13"/>
        <v>0</v>
      </c>
      <c r="J15" s="29">
        <f t="shared" si="13"/>
        <v>0</v>
      </c>
      <c r="K15" s="29">
        <f t="shared" si="13"/>
        <v>0</v>
      </c>
      <c r="L15" s="29">
        <f t="shared" si="13"/>
        <v>0</v>
      </c>
      <c r="M15" s="29">
        <f t="shared" si="13"/>
        <v>0</v>
      </c>
      <c r="N15" s="29">
        <f t="shared" si="13"/>
        <v>0</v>
      </c>
      <c r="O15" s="29">
        <f t="shared" si="13"/>
        <v>0</v>
      </c>
      <c r="P15" s="29">
        <f t="shared" si="13"/>
        <v>0</v>
      </c>
      <c r="Q15" s="29">
        <f t="shared" si="13"/>
        <v>0</v>
      </c>
      <c r="R15" s="29">
        <f t="shared" si="13"/>
        <v>0</v>
      </c>
      <c r="S15" s="29">
        <f t="shared" si="13"/>
        <v>0</v>
      </c>
      <c r="T15" s="29">
        <f t="shared" si="13"/>
        <v>0</v>
      </c>
      <c r="U15" s="29">
        <f t="shared" si="13"/>
        <v>0</v>
      </c>
      <c r="V15" s="29">
        <f t="shared" si="13"/>
        <v>0</v>
      </c>
      <c r="W15" s="29">
        <f t="shared" ref="W15" si="14">SUM(W16,W17,W20)</f>
        <v>0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0</v>
      </c>
      <c r="C17" s="116">
        <f t="shared" ref="C17:V17" si="16">SUM(C18:C19)</f>
        <v>0</v>
      </c>
      <c r="D17" s="116">
        <f t="shared" si="16"/>
        <v>0</v>
      </c>
      <c r="E17" s="116">
        <f t="shared" si="16"/>
        <v>0</v>
      </c>
      <c r="F17" s="116">
        <f t="shared" si="16"/>
        <v>0</v>
      </c>
      <c r="G17" s="116">
        <f t="shared" si="16"/>
        <v>0</v>
      </c>
      <c r="H17" s="116">
        <f t="shared" si="16"/>
        <v>0</v>
      </c>
      <c r="I17" s="116">
        <f t="shared" si="16"/>
        <v>0</v>
      </c>
      <c r="J17" s="116">
        <f t="shared" si="16"/>
        <v>0</v>
      </c>
      <c r="K17" s="116">
        <f t="shared" si="16"/>
        <v>0</v>
      </c>
      <c r="L17" s="116">
        <f t="shared" si="16"/>
        <v>0</v>
      </c>
      <c r="M17" s="116">
        <f t="shared" si="16"/>
        <v>0</v>
      </c>
      <c r="N17" s="116">
        <f t="shared" si="16"/>
        <v>0</v>
      </c>
      <c r="O17" s="116">
        <f t="shared" si="16"/>
        <v>0</v>
      </c>
      <c r="P17" s="116">
        <f t="shared" si="16"/>
        <v>0</v>
      </c>
      <c r="Q17" s="116">
        <f t="shared" si="16"/>
        <v>0</v>
      </c>
      <c r="R17" s="116">
        <f t="shared" si="16"/>
        <v>0</v>
      </c>
      <c r="S17" s="116">
        <f t="shared" si="16"/>
        <v>0</v>
      </c>
      <c r="T17" s="116">
        <f t="shared" si="16"/>
        <v>0</v>
      </c>
      <c r="U17" s="116">
        <f t="shared" si="16"/>
        <v>0</v>
      </c>
      <c r="V17" s="116">
        <f t="shared" si="16"/>
        <v>0</v>
      </c>
      <c r="W17" s="116">
        <f t="shared" ref="W17" si="17">SUM(W18:W19)</f>
        <v>0</v>
      </c>
      <c r="DA17" s="176" t="s">
        <v>1036</v>
      </c>
    </row>
    <row r="18" spans="1:105" ht="11.45" customHeight="1" x14ac:dyDescent="0.25">
      <c r="A18" s="111" t="s">
        <v>92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1037</v>
      </c>
    </row>
    <row r="19" spans="1:105" ht="11.45" customHeight="1" x14ac:dyDescent="0.25">
      <c r="A19" s="111" t="s">
        <v>93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0</v>
      </c>
      <c r="C21" s="29">
        <f t="shared" ref="C21:V21" si="19">SUM(C22:C23)</f>
        <v>0</v>
      </c>
      <c r="D21" s="29">
        <f t="shared" si="19"/>
        <v>0</v>
      </c>
      <c r="E21" s="29">
        <f t="shared" si="19"/>
        <v>0</v>
      </c>
      <c r="F21" s="29">
        <f t="shared" si="19"/>
        <v>0</v>
      </c>
      <c r="G21" s="29">
        <f t="shared" si="19"/>
        <v>0</v>
      </c>
      <c r="H21" s="29">
        <f t="shared" si="19"/>
        <v>0</v>
      </c>
      <c r="I21" s="29">
        <f t="shared" si="19"/>
        <v>0</v>
      </c>
      <c r="J21" s="29">
        <f t="shared" si="19"/>
        <v>0</v>
      </c>
      <c r="K21" s="29">
        <f t="shared" si="19"/>
        <v>0</v>
      </c>
      <c r="L21" s="29">
        <f t="shared" si="19"/>
        <v>0</v>
      </c>
      <c r="M21" s="29">
        <f t="shared" si="19"/>
        <v>0</v>
      </c>
      <c r="N21" s="29">
        <f t="shared" si="19"/>
        <v>0</v>
      </c>
      <c r="O21" s="29">
        <f t="shared" si="19"/>
        <v>0</v>
      </c>
      <c r="P21" s="29">
        <f t="shared" si="19"/>
        <v>0</v>
      </c>
      <c r="Q21" s="29">
        <f t="shared" si="19"/>
        <v>0</v>
      </c>
      <c r="R21" s="29">
        <f t="shared" si="19"/>
        <v>0</v>
      </c>
      <c r="S21" s="29">
        <f t="shared" si="19"/>
        <v>0</v>
      </c>
      <c r="T21" s="29">
        <f t="shared" si="19"/>
        <v>0</v>
      </c>
      <c r="U21" s="29">
        <f t="shared" si="19"/>
        <v>0</v>
      </c>
      <c r="V21" s="29">
        <f t="shared" si="19"/>
        <v>0</v>
      </c>
      <c r="W21" s="29">
        <f t="shared" ref="W21" si="20">SUM(W22:W23)</f>
        <v>0</v>
      </c>
      <c r="DA21" s="173" t="s">
        <v>1040</v>
      </c>
    </row>
    <row r="22" spans="1:105" ht="11.45" customHeight="1" x14ac:dyDescent="0.25">
      <c r="A22" s="83" t="s">
        <v>92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0</v>
      </c>
      <c r="C25" s="62">
        <f t="shared" ref="C25:V25" si="22">C26+C32</f>
        <v>0</v>
      </c>
      <c r="D25" s="62">
        <f t="shared" si="22"/>
        <v>0</v>
      </c>
      <c r="E25" s="62">
        <f t="shared" si="22"/>
        <v>0</v>
      </c>
      <c r="F25" s="62">
        <f t="shared" si="22"/>
        <v>0</v>
      </c>
      <c r="G25" s="62">
        <f t="shared" si="22"/>
        <v>0</v>
      </c>
      <c r="H25" s="62">
        <f t="shared" si="22"/>
        <v>0</v>
      </c>
      <c r="I25" s="62">
        <f t="shared" si="22"/>
        <v>0</v>
      </c>
      <c r="J25" s="62">
        <f t="shared" si="22"/>
        <v>0</v>
      </c>
      <c r="K25" s="62">
        <f t="shared" si="22"/>
        <v>0</v>
      </c>
      <c r="L25" s="62">
        <f t="shared" si="22"/>
        <v>0</v>
      </c>
      <c r="M25" s="62">
        <f t="shared" si="22"/>
        <v>0</v>
      </c>
      <c r="N25" s="62">
        <f t="shared" si="22"/>
        <v>0</v>
      </c>
      <c r="O25" s="62">
        <f t="shared" si="22"/>
        <v>0</v>
      </c>
      <c r="P25" s="62">
        <f t="shared" si="22"/>
        <v>0</v>
      </c>
      <c r="Q25" s="62">
        <f t="shared" si="22"/>
        <v>0</v>
      </c>
      <c r="R25" s="62">
        <f t="shared" si="22"/>
        <v>0</v>
      </c>
      <c r="S25" s="62">
        <f t="shared" si="22"/>
        <v>0</v>
      </c>
      <c r="T25" s="62">
        <f t="shared" si="22"/>
        <v>0</v>
      </c>
      <c r="U25" s="62">
        <f t="shared" si="22"/>
        <v>0</v>
      </c>
      <c r="V25" s="62">
        <f t="shared" si="22"/>
        <v>0</v>
      </c>
      <c r="W25" s="62">
        <f t="shared" ref="W25" si="23">W26+W32</f>
        <v>0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0</v>
      </c>
      <c r="C26" s="29">
        <f t="shared" ref="C26:V26" si="25">SUM(C27,C28,C31)</f>
        <v>0</v>
      </c>
      <c r="D26" s="29">
        <f t="shared" si="25"/>
        <v>0</v>
      </c>
      <c r="E26" s="29">
        <f t="shared" si="25"/>
        <v>0</v>
      </c>
      <c r="F26" s="29">
        <f t="shared" si="25"/>
        <v>0</v>
      </c>
      <c r="G26" s="29">
        <f t="shared" si="25"/>
        <v>0</v>
      </c>
      <c r="H26" s="29">
        <f t="shared" si="25"/>
        <v>0</v>
      </c>
      <c r="I26" s="29">
        <f t="shared" si="25"/>
        <v>0</v>
      </c>
      <c r="J26" s="29">
        <f t="shared" si="25"/>
        <v>0</v>
      </c>
      <c r="K26" s="29">
        <f t="shared" si="25"/>
        <v>0</v>
      </c>
      <c r="L26" s="29">
        <f t="shared" si="25"/>
        <v>0</v>
      </c>
      <c r="M26" s="29">
        <f t="shared" si="25"/>
        <v>0</v>
      </c>
      <c r="N26" s="29">
        <f t="shared" si="25"/>
        <v>0</v>
      </c>
      <c r="O26" s="29">
        <f t="shared" si="25"/>
        <v>0</v>
      </c>
      <c r="P26" s="29">
        <f t="shared" si="25"/>
        <v>0</v>
      </c>
      <c r="Q26" s="29">
        <f t="shared" si="25"/>
        <v>0</v>
      </c>
      <c r="R26" s="29">
        <f t="shared" si="25"/>
        <v>0</v>
      </c>
      <c r="S26" s="29">
        <f t="shared" si="25"/>
        <v>0</v>
      </c>
      <c r="T26" s="29">
        <f t="shared" si="25"/>
        <v>0</v>
      </c>
      <c r="U26" s="29">
        <f t="shared" si="25"/>
        <v>0</v>
      </c>
      <c r="V26" s="29">
        <f t="shared" si="25"/>
        <v>0</v>
      </c>
      <c r="W26" s="29">
        <f t="shared" ref="W26" si="26">SUM(W27,W28,W31)</f>
        <v>0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0</v>
      </c>
      <c r="C28" s="116">
        <f t="shared" ref="C28:V28" si="28">SUM(C29:C30)</f>
        <v>0</v>
      </c>
      <c r="D28" s="116">
        <f t="shared" si="28"/>
        <v>0</v>
      </c>
      <c r="E28" s="116">
        <f t="shared" si="28"/>
        <v>0</v>
      </c>
      <c r="F28" s="116">
        <f t="shared" si="28"/>
        <v>0</v>
      </c>
      <c r="G28" s="116">
        <f t="shared" si="28"/>
        <v>0</v>
      </c>
      <c r="H28" s="116">
        <f t="shared" si="28"/>
        <v>0</v>
      </c>
      <c r="I28" s="116">
        <f t="shared" si="28"/>
        <v>0</v>
      </c>
      <c r="J28" s="116">
        <f t="shared" si="28"/>
        <v>0</v>
      </c>
      <c r="K28" s="116">
        <f t="shared" si="28"/>
        <v>0</v>
      </c>
      <c r="L28" s="116">
        <f t="shared" si="28"/>
        <v>0</v>
      </c>
      <c r="M28" s="116">
        <f t="shared" si="28"/>
        <v>0</v>
      </c>
      <c r="N28" s="116">
        <f t="shared" si="28"/>
        <v>0</v>
      </c>
      <c r="O28" s="116">
        <f t="shared" si="28"/>
        <v>0</v>
      </c>
      <c r="P28" s="116">
        <f t="shared" si="28"/>
        <v>0</v>
      </c>
      <c r="Q28" s="116">
        <f t="shared" si="28"/>
        <v>0</v>
      </c>
      <c r="R28" s="116">
        <f t="shared" si="28"/>
        <v>0</v>
      </c>
      <c r="S28" s="116">
        <f t="shared" si="28"/>
        <v>0</v>
      </c>
      <c r="T28" s="116">
        <f t="shared" si="28"/>
        <v>0</v>
      </c>
      <c r="U28" s="116">
        <f t="shared" si="28"/>
        <v>0</v>
      </c>
      <c r="V28" s="116">
        <f t="shared" si="28"/>
        <v>0</v>
      </c>
      <c r="W28" s="116">
        <f t="shared" ref="W28" si="29">SUM(W29:W30)</f>
        <v>0</v>
      </c>
      <c r="DA28" s="176" t="s">
        <v>1046</v>
      </c>
    </row>
    <row r="29" spans="1:105" ht="11.45" customHeight="1" x14ac:dyDescent="0.25">
      <c r="A29" s="111" t="s">
        <v>92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DA29" s="171" t="s">
        <v>1047</v>
      </c>
    </row>
    <row r="30" spans="1:105" ht="11.45" customHeight="1" x14ac:dyDescent="0.25">
      <c r="A30" s="111" t="s">
        <v>93</v>
      </c>
      <c r="B30" s="87">
        <v>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0</v>
      </c>
      <c r="C32" s="29">
        <f t="shared" ref="C32:V32" si="31">SUM(C33:C34)</f>
        <v>0</v>
      </c>
      <c r="D32" s="29">
        <f t="shared" si="31"/>
        <v>0</v>
      </c>
      <c r="E32" s="29">
        <f t="shared" si="31"/>
        <v>0</v>
      </c>
      <c r="F32" s="29">
        <f t="shared" si="31"/>
        <v>0</v>
      </c>
      <c r="G32" s="29">
        <f t="shared" si="31"/>
        <v>0</v>
      </c>
      <c r="H32" s="29">
        <f t="shared" si="31"/>
        <v>0</v>
      </c>
      <c r="I32" s="29">
        <f t="shared" si="31"/>
        <v>0</v>
      </c>
      <c r="J32" s="29">
        <f t="shared" si="31"/>
        <v>0</v>
      </c>
      <c r="K32" s="29">
        <f t="shared" si="31"/>
        <v>0</v>
      </c>
      <c r="L32" s="29">
        <f t="shared" si="31"/>
        <v>0</v>
      </c>
      <c r="M32" s="29">
        <f t="shared" si="31"/>
        <v>0</v>
      </c>
      <c r="N32" s="29">
        <f t="shared" si="31"/>
        <v>0</v>
      </c>
      <c r="O32" s="29">
        <f t="shared" si="31"/>
        <v>0</v>
      </c>
      <c r="P32" s="29">
        <f t="shared" si="31"/>
        <v>0</v>
      </c>
      <c r="Q32" s="29">
        <f t="shared" si="31"/>
        <v>0</v>
      </c>
      <c r="R32" s="29">
        <f t="shared" si="31"/>
        <v>0</v>
      </c>
      <c r="S32" s="29">
        <f t="shared" si="31"/>
        <v>0</v>
      </c>
      <c r="T32" s="29">
        <f t="shared" si="31"/>
        <v>0</v>
      </c>
      <c r="U32" s="29">
        <f t="shared" si="31"/>
        <v>0</v>
      </c>
      <c r="V32" s="29">
        <f t="shared" si="31"/>
        <v>0</v>
      </c>
      <c r="W32" s="29">
        <f t="shared" ref="W32" si="32">SUM(W33:W34)</f>
        <v>0</v>
      </c>
      <c r="DA32" s="173" t="s">
        <v>1050</v>
      </c>
    </row>
    <row r="33" spans="1:105" ht="11.45" customHeight="1" x14ac:dyDescent="0.25">
      <c r="A33" s="83" t="s">
        <v>92</v>
      </c>
      <c r="B33" s="87">
        <v>0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</v>
      </c>
      <c r="D36" s="54">
        <f t="shared" ref="D36:V36" si="34">D37+D43</f>
        <v>0</v>
      </c>
      <c r="E36" s="54">
        <f t="shared" si="34"/>
        <v>0</v>
      </c>
      <c r="F36" s="54">
        <f t="shared" si="34"/>
        <v>0</v>
      </c>
      <c r="G36" s="54">
        <f t="shared" si="34"/>
        <v>0</v>
      </c>
      <c r="H36" s="54">
        <f t="shared" si="34"/>
        <v>0</v>
      </c>
      <c r="I36" s="54">
        <f t="shared" si="34"/>
        <v>0</v>
      </c>
      <c r="J36" s="54">
        <f t="shared" si="34"/>
        <v>0</v>
      </c>
      <c r="K36" s="54">
        <f t="shared" si="34"/>
        <v>0</v>
      </c>
      <c r="L36" s="54">
        <f t="shared" si="34"/>
        <v>0</v>
      </c>
      <c r="M36" s="54">
        <f t="shared" si="34"/>
        <v>0</v>
      </c>
      <c r="N36" s="54">
        <f t="shared" si="34"/>
        <v>0</v>
      </c>
      <c r="O36" s="54">
        <f t="shared" si="34"/>
        <v>0</v>
      </c>
      <c r="P36" s="54">
        <f t="shared" si="34"/>
        <v>0</v>
      </c>
      <c r="Q36" s="54">
        <f t="shared" si="34"/>
        <v>0</v>
      </c>
      <c r="R36" s="54">
        <f t="shared" si="34"/>
        <v>0</v>
      </c>
      <c r="S36" s="54">
        <f t="shared" si="34"/>
        <v>0</v>
      </c>
      <c r="T36" s="54">
        <f t="shared" si="34"/>
        <v>0</v>
      </c>
      <c r="U36" s="54">
        <f t="shared" si="34"/>
        <v>0</v>
      </c>
      <c r="V36" s="54">
        <f t="shared" si="34"/>
        <v>0</v>
      </c>
      <c r="W36" s="54">
        <f t="shared" ref="W36" si="35">W37+W43</f>
        <v>0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</v>
      </c>
      <c r="D37" s="28">
        <f t="shared" ref="D37:V37" si="37">SUM(D38,D39,D42)</f>
        <v>0</v>
      </c>
      <c r="E37" s="28">
        <f t="shared" si="37"/>
        <v>0</v>
      </c>
      <c r="F37" s="28">
        <f t="shared" si="37"/>
        <v>0</v>
      </c>
      <c r="G37" s="28">
        <f t="shared" si="37"/>
        <v>0</v>
      </c>
      <c r="H37" s="28">
        <f t="shared" si="37"/>
        <v>0</v>
      </c>
      <c r="I37" s="28">
        <f t="shared" si="37"/>
        <v>0</v>
      </c>
      <c r="J37" s="28">
        <f t="shared" si="37"/>
        <v>0</v>
      </c>
      <c r="K37" s="28">
        <f t="shared" si="37"/>
        <v>0</v>
      </c>
      <c r="L37" s="28">
        <f t="shared" si="37"/>
        <v>0</v>
      </c>
      <c r="M37" s="28">
        <f t="shared" si="37"/>
        <v>0</v>
      </c>
      <c r="N37" s="28">
        <f t="shared" si="37"/>
        <v>0</v>
      </c>
      <c r="O37" s="28">
        <f t="shared" si="37"/>
        <v>0</v>
      </c>
      <c r="P37" s="28">
        <f t="shared" si="37"/>
        <v>0</v>
      </c>
      <c r="Q37" s="28">
        <f t="shared" si="37"/>
        <v>0</v>
      </c>
      <c r="R37" s="28">
        <f t="shared" si="37"/>
        <v>0</v>
      </c>
      <c r="S37" s="28">
        <f t="shared" si="37"/>
        <v>0</v>
      </c>
      <c r="T37" s="28">
        <f t="shared" si="37"/>
        <v>0</v>
      </c>
      <c r="U37" s="28">
        <f t="shared" si="37"/>
        <v>0</v>
      </c>
      <c r="V37" s="28">
        <f t="shared" si="37"/>
        <v>0</v>
      </c>
      <c r="W37" s="28">
        <f t="shared" ref="W37" si="38">SUM(W38,W39,W42)</f>
        <v>0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0</v>
      </c>
      <c r="F39" s="110">
        <f t="shared" si="40"/>
        <v>0</v>
      </c>
      <c r="G39" s="110">
        <f t="shared" si="40"/>
        <v>0</v>
      </c>
      <c r="H39" s="110">
        <f t="shared" si="40"/>
        <v>0</v>
      </c>
      <c r="I39" s="110">
        <f t="shared" si="40"/>
        <v>0</v>
      </c>
      <c r="J39" s="110">
        <f t="shared" si="40"/>
        <v>0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0</v>
      </c>
      <c r="P39" s="110">
        <f t="shared" si="40"/>
        <v>0</v>
      </c>
      <c r="Q39" s="110">
        <f t="shared" si="40"/>
        <v>0</v>
      </c>
      <c r="R39" s="110">
        <f t="shared" si="40"/>
        <v>0</v>
      </c>
      <c r="S39" s="110">
        <f t="shared" si="40"/>
        <v>0</v>
      </c>
      <c r="T39" s="110">
        <f t="shared" si="40"/>
        <v>0</v>
      </c>
      <c r="U39" s="110">
        <f t="shared" si="40"/>
        <v>0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0</v>
      </c>
      <c r="R41" s="84">
        <v>0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0</v>
      </c>
      <c r="F43" s="28">
        <f t="shared" si="43"/>
        <v>0</v>
      </c>
      <c r="G43" s="28">
        <f t="shared" si="43"/>
        <v>0</v>
      </c>
      <c r="H43" s="28">
        <f t="shared" si="43"/>
        <v>0</v>
      </c>
      <c r="I43" s="28">
        <f t="shared" si="43"/>
        <v>0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0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0</v>
      </c>
      <c r="C50" s="29">
        <f t="shared" si="45"/>
        <v>0</v>
      </c>
      <c r="D50" s="29">
        <f t="shared" si="45"/>
        <v>0</v>
      </c>
      <c r="E50" s="29">
        <f t="shared" si="45"/>
        <v>0</v>
      </c>
      <c r="F50" s="29">
        <f t="shared" si="45"/>
        <v>0</v>
      </c>
      <c r="G50" s="29">
        <f t="shared" si="45"/>
        <v>0</v>
      </c>
      <c r="H50" s="29">
        <f t="shared" si="45"/>
        <v>0</v>
      </c>
      <c r="I50" s="29">
        <f t="shared" si="45"/>
        <v>0</v>
      </c>
      <c r="J50" s="29">
        <f t="shared" si="45"/>
        <v>0</v>
      </c>
      <c r="K50" s="29">
        <f t="shared" ref="K50:V50" si="46">IF(K4=0,0,K4/K15)</f>
        <v>0</v>
      </c>
      <c r="L50" s="29">
        <f t="shared" si="46"/>
        <v>0</v>
      </c>
      <c r="M50" s="29">
        <f t="shared" si="46"/>
        <v>0</v>
      </c>
      <c r="N50" s="29">
        <f t="shared" si="46"/>
        <v>0</v>
      </c>
      <c r="O50" s="29">
        <f t="shared" si="46"/>
        <v>0</v>
      </c>
      <c r="P50" s="29">
        <f t="shared" si="46"/>
        <v>0</v>
      </c>
      <c r="Q50" s="29">
        <f t="shared" si="46"/>
        <v>0</v>
      </c>
      <c r="R50" s="29">
        <f t="shared" si="46"/>
        <v>0</v>
      </c>
      <c r="S50" s="29">
        <f t="shared" si="46"/>
        <v>0</v>
      </c>
      <c r="T50" s="29">
        <f t="shared" si="46"/>
        <v>0</v>
      </c>
      <c r="U50" s="29">
        <f t="shared" si="46"/>
        <v>0</v>
      </c>
      <c r="V50" s="29">
        <f t="shared" si="46"/>
        <v>0</v>
      </c>
      <c r="W50" s="29">
        <f t="shared" ref="W50" si="47">IF(W4=0,0,W4/W15)</f>
        <v>0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" si="50">IF(W5=0,0,W5/W16)</f>
        <v>0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0</v>
      </c>
      <c r="C52" s="116">
        <f t="shared" si="51"/>
        <v>0</v>
      </c>
      <c r="D52" s="116">
        <f t="shared" si="51"/>
        <v>0</v>
      </c>
      <c r="E52" s="116">
        <f t="shared" si="51"/>
        <v>0</v>
      </c>
      <c r="F52" s="116">
        <f t="shared" si="51"/>
        <v>0</v>
      </c>
      <c r="G52" s="116">
        <f t="shared" si="51"/>
        <v>0</v>
      </c>
      <c r="H52" s="116">
        <f t="shared" si="51"/>
        <v>0</v>
      </c>
      <c r="I52" s="116">
        <f t="shared" si="51"/>
        <v>0</v>
      </c>
      <c r="J52" s="116">
        <f t="shared" si="51"/>
        <v>0</v>
      </c>
      <c r="K52" s="116">
        <f t="shared" ref="K52:V52" si="52">IF(K6=0,0,K6/K17)</f>
        <v>0</v>
      </c>
      <c r="L52" s="116">
        <f t="shared" si="52"/>
        <v>0</v>
      </c>
      <c r="M52" s="116">
        <f t="shared" si="52"/>
        <v>0</v>
      </c>
      <c r="N52" s="116">
        <f t="shared" si="52"/>
        <v>0</v>
      </c>
      <c r="O52" s="116">
        <f t="shared" si="52"/>
        <v>0</v>
      </c>
      <c r="P52" s="116">
        <f t="shared" si="52"/>
        <v>0</v>
      </c>
      <c r="Q52" s="116">
        <f t="shared" si="52"/>
        <v>0</v>
      </c>
      <c r="R52" s="116">
        <f t="shared" si="52"/>
        <v>0</v>
      </c>
      <c r="S52" s="116">
        <f t="shared" si="52"/>
        <v>0</v>
      </c>
      <c r="T52" s="116">
        <f t="shared" si="52"/>
        <v>0</v>
      </c>
      <c r="U52" s="116">
        <f t="shared" si="52"/>
        <v>0</v>
      </c>
      <c r="V52" s="116">
        <f t="shared" si="52"/>
        <v>0</v>
      </c>
      <c r="W52" s="116">
        <f t="shared" ref="W52" si="53">IF(W6=0,0,W6/W17)</f>
        <v>0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0</v>
      </c>
      <c r="C53" s="87">
        <f t="shared" si="54"/>
        <v>0</v>
      </c>
      <c r="D53" s="87">
        <f t="shared" si="54"/>
        <v>0</v>
      </c>
      <c r="E53" s="87">
        <f t="shared" si="54"/>
        <v>0</v>
      </c>
      <c r="F53" s="87">
        <f t="shared" si="54"/>
        <v>0</v>
      </c>
      <c r="G53" s="87">
        <f t="shared" si="54"/>
        <v>0</v>
      </c>
      <c r="H53" s="87">
        <f t="shared" si="54"/>
        <v>0</v>
      </c>
      <c r="I53" s="87">
        <f t="shared" si="54"/>
        <v>0</v>
      </c>
      <c r="J53" s="87">
        <f t="shared" si="54"/>
        <v>0</v>
      </c>
      <c r="K53" s="87">
        <f t="shared" ref="K53:V53" si="55">IF(K7=0,0,K7/K18)</f>
        <v>0</v>
      </c>
      <c r="L53" s="87">
        <f t="shared" si="55"/>
        <v>0</v>
      </c>
      <c r="M53" s="87">
        <f t="shared" si="55"/>
        <v>0</v>
      </c>
      <c r="N53" s="87">
        <f t="shared" si="55"/>
        <v>0</v>
      </c>
      <c r="O53" s="87">
        <f t="shared" si="55"/>
        <v>0</v>
      </c>
      <c r="P53" s="87">
        <f t="shared" si="55"/>
        <v>0</v>
      </c>
      <c r="Q53" s="87">
        <f t="shared" si="55"/>
        <v>0</v>
      </c>
      <c r="R53" s="87">
        <f t="shared" si="55"/>
        <v>0</v>
      </c>
      <c r="S53" s="87">
        <f t="shared" si="55"/>
        <v>0</v>
      </c>
      <c r="T53" s="87">
        <f t="shared" si="55"/>
        <v>0</v>
      </c>
      <c r="U53" s="87">
        <f t="shared" si="55"/>
        <v>0</v>
      </c>
      <c r="V53" s="87">
        <f t="shared" si="55"/>
        <v>0</v>
      </c>
      <c r="W53" s="87">
        <f t="shared" ref="W53" si="56">IF(W7=0,0,W7/W18)</f>
        <v>0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0</v>
      </c>
      <c r="C54" s="87">
        <f t="shared" si="57"/>
        <v>0</v>
      </c>
      <c r="D54" s="87">
        <f t="shared" si="57"/>
        <v>0</v>
      </c>
      <c r="E54" s="87">
        <f t="shared" si="57"/>
        <v>0</v>
      </c>
      <c r="F54" s="87">
        <f t="shared" si="57"/>
        <v>0</v>
      </c>
      <c r="G54" s="87">
        <f t="shared" si="57"/>
        <v>0</v>
      </c>
      <c r="H54" s="87">
        <f t="shared" si="57"/>
        <v>0</v>
      </c>
      <c r="I54" s="87">
        <f t="shared" si="57"/>
        <v>0</v>
      </c>
      <c r="J54" s="87">
        <f t="shared" si="57"/>
        <v>0</v>
      </c>
      <c r="K54" s="87">
        <f t="shared" ref="K54:V54" si="58">IF(K8=0,0,K8/K19)</f>
        <v>0</v>
      </c>
      <c r="L54" s="87">
        <f t="shared" si="58"/>
        <v>0</v>
      </c>
      <c r="M54" s="87">
        <f t="shared" si="58"/>
        <v>0</v>
      </c>
      <c r="N54" s="87">
        <f t="shared" si="58"/>
        <v>0</v>
      </c>
      <c r="O54" s="87">
        <f t="shared" si="58"/>
        <v>0</v>
      </c>
      <c r="P54" s="87">
        <f t="shared" si="58"/>
        <v>0</v>
      </c>
      <c r="Q54" s="87">
        <f t="shared" si="58"/>
        <v>0</v>
      </c>
      <c r="R54" s="87">
        <f t="shared" si="58"/>
        <v>0</v>
      </c>
      <c r="S54" s="87">
        <f t="shared" si="58"/>
        <v>0</v>
      </c>
      <c r="T54" s="87">
        <f t="shared" si="58"/>
        <v>0</v>
      </c>
      <c r="U54" s="87">
        <f t="shared" si="58"/>
        <v>0</v>
      </c>
      <c r="V54" s="87">
        <f t="shared" si="58"/>
        <v>0</v>
      </c>
      <c r="W54" s="87">
        <f t="shared" ref="W54" si="59">IF(W8=0,0,W8/W19)</f>
        <v>0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0</v>
      </c>
      <c r="C56" s="29">
        <f t="shared" si="63"/>
        <v>0</v>
      </c>
      <c r="D56" s="29">
        <f t="shared" si="63"/>
        <v>0</v>
      </c>
      <c r="E56" s="29">
        <f t="shared" si="63"/>
        <v>0</v>
      </c>
      <c r="F56" s="29">
        <f t="shared" si="63"/>
        <v>0</v>
      </c>
      <c r="G56" s="29">
        <f t="shared" si="63"/>
        <v>0</v>
      </c>
      <c r="H56" s="29">
        <f t="shared" si="63"/>
        <v>0</v>
      </c>
      <c r="I56" s="29">
        <f t="shared" si="63"/>
        <v>0</v>
      </c>
      <c r="J56" s="29">
        <f t="shared" si="63"/>
        <v>0</v>
      </c>
      <c r="K56" s="29">
        <f t="shared" ref="K56:V56" si="64">IF(K10=0,0,K10/K21)</f>
        <v>0</v>
      </c>
      <c r="L56" s="29">
        <f t="shared" si="64"/>
        <v>0</v>
      </c>
      <c r="M56" s="29">
        <f t="shared" si="64"/>
        <v>0</v>
      </c>
      <c r="N56" s="29">
        <f t="shared" si="64"/>
        <v>0</v>
      </c>
      <c r="O56" s="29">
        <f t="shared" si="64"/>
        <v>0</v>
      </c>
      <c r="P56" s="29">
        <f t="shared" si="64"/>
        <v>0</v>
      </c>
      <c r="Q56" s="29">
        <f t="shared" si="64"/>
        <v>0</v>
      </c>
      <c r="R56" s="29">
        <f t="shared" si="64"/>
        <v>0</v>
      </c>
      <c r="S56" s="29">
        <f t="shared" si="64"/>
        <v>0</v>
      </c>
      <c r="T56" s="29">
        <f t="shared" si="64"/>
        <v>0</v>
      </c>
      <c r="U56" s="29">
        <f t="shared" si="64"/>
        <v>0</v>
      </c>
      <c r="V56" s="29">
        <f t="shared" si="64"/>
        <v>0</v>
      </c>
      <c r="W56" s="29">
        <f t="shared" ref="W56" si="65">IF(W10=0,0,W10/W21)</f>
        <v>0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0</v>
      </c>
      <c r="C57" s="87">
        <f t="shared" si="66"/>
        <v>0</v>
      </c>
      <c r="D57" s="87">
        <f t="shared" si="66"/>
        <v>0</v>
      </c>
      <c r="E57" s="87">
        <f t="shared" si="66"/>
        <v>0</v>
      </c>
      <c r="F57" s="87">
        <f t="shared" si="66"/>
        <v>0</v>
      </c>
      <c r="G57" s="87">
        <f t="shared" si="66"/>
        <v>0</v>
      </c>
      <c r="H57" s="87">
        <f t="shared" si="66"/>
        <v>0</v>
      </c>
      <c r="I57" s="87">
        <f t="shared" si="66"/>
        <v>0</v>
      </c>
      <c r="J57" s="87">
        <f t="shared" si="66"/>
        <v>0</v>
      </c>
      <c r="K57" s="87">
        <f t="shared" ref="K57:V57" si="67">IF(K11=0,0,K11/K22)</f>
        <v>0</v>
      </c>
      <c r="L57" s="87">
        <f t="shared" si="67"/>
        <v>0</v>
      </c>
      <c r="M57" s="87">
        <f t="shared" si="67"/>
        <v>0</v>
      </c>
      <c r="N57" s="87">
        <f t="shared" si="67"/>
        <v>0</v>
      </c>
      <c r="O57" s="87">
        <f t="shared" si="67"/>
        <v>0</v>
      </c>
      <c r="P57" s="87">
        <f t="shared" si="67"/>
        <v>0</v>
      </c>
      <c r="Q57" s="87">
        <f t="shared" si="67"/>
        <v>0</v>
      </c>
      <c r="R57" s="87">
        <f t="shared" si="67"/>
        <v>0</v>
      </c>
      <c r="S57" s="87">
        <f t="shared" si="67"/>
        <v>0</v>
      </c>
      <c r="T57" s="87">
        <f t="shared" si="67"/>
        <v>0</v>
      </c>
      <c r="U57" s="87">
        <f t="shared" si="67"/>
        <v>0</v>
      </c>
      <c r="V57" s="87">
        <f t="shared" si="67"/>
        <v>0</v>
      </c>
      <c r="W57" s="87">
        <f t="shared" ref="W57" si="68">IF(W11=0,0,W11/W22)</f>
        <v>0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" si="71">IF(W12=0,0,W12/W23)</f>
        <v>0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0</v>
      </c>
      <c r="C61" s="29">
        <f t="shared" ref="C61" si="73">IF(C26=0,0,(C62*C27+C64*C29+C65*C30+C66*C31)/(C27+C29+C30+C31))</f>
        <v>0</v>
      </c>
      <c r="D61" s="29">
        <f t="shared" ref="D61" si="74">IF(D26=0,0,(D62*D27+D64*D29+D65*D30+D66*D31)/(D27+D29+D30+D31))</f>
        <v>0</v>
      </c>
      <c r="E61" s="29">
        <f t="shared" ref="E61" si="75">IF(E26=0,0,(E62*E27+E64*E29+E65*E30+E66*E31)/(E27+E29+E30+E31))</f>
        <v>0</v>
      </c>
      <c r="F61" s="29">
        <f t="shared" ref="F61" si="76">IF(F26=0,0,(F62*F27+F64*F29+F65*F30+F66*F31)/(F27+F29+F30+F31))</f>
        <v>0</v>
      </c>
      <c r="G61" s="29">
        <f t="shared" ref="G61" si="77">IF(G26=0,0,(G62*G27+G64*G29+G65*G30+G66*G31)/(G27+G29+G30+G31))</f>
        <v>0</v>
      </c>
      <c r="H61" s="29">
        <f t="shared" ref="H61" si="78">IF(H26=0,0,(H62*H27+H64*H29+H65*H30+H66*H31)/(H27+H29+H30+H31))</f>
        <v>0</v>
      </c>
      <c r="I61" s="29">
        <f t="shared" ref="I61" si="79">IF(I26=0,0,(I62*I27+I64*I29+I65*I30+I66*I31)/(I27+I29+I30+I31))</f>
        <v>0</v>
      </c>
      <c r="J61" s="29">
        <f t="shared" ref="J61" si="80">IF(J26=0,0,(J62*J27+J64*J29+J65*J30+J66*J31)/(J27+J29+J30+J31))</f>
        <v>0</v>
      </c>
      <c r="K61" s="29">
        <f t="shared" ref="K61" si="81">IF(K26=0,0,(K62*K27+K64*K29+K65*K30+K66*K31)/(K27+K29+K30+K31))</f>
        <v>0</v>
      </c>
      <c r="L61" s="29">
        <f t="shared" ref="L61" si="82">IF(L26=0,0,(L62*L27+L64*L29+L65*L30+L66*L31)/(L27+L29+L30+L31))</f>
        <v>0</v>
      </c>
      <c r="M61" s="29">
        <f t="shared" ref="M61" si="83">IF(M26=0,0,(M62*M27+M64*M29+M65*M30+M66*M31)/(M27+M29+M30+M31))</f>
        <v>0</v>
      </c>
      <c r="N61" s="29">
        <f t="shared" ref="N61" si="84">IF(N26=0,0,(N62*N27+N64*N29+N65*N30+N66*N31)/(N27+N29+N30+N31))</f>
        <v>0</v>
      </c>
      <c r="O61" s="29">
        <f t="shared" ref="O61" si="85">IF(O26=0,0,(O62*O27+O64*O29+O65*O30+O66*O31)/(O27+O29+O30+O31))</f>
        <v>0</v>
      </c>
      <c r="P61" s="29">
        <f t="shared" ref="P61" si="86">IF(P26=0,0,(P62*P27+P64*P29+P65*P30+P66*P31)/(P27+P29+P30+P31))</f>
        <v>0</v>
      </c>
      <c r="Q61" s="29">
        <f t="shared" ref="Q61" si="87">IF(Q26=0,0,(Q62*Q27+Q64*Q29+Q65*Q30+Q66*Q31)/(Q27+Q29+Q30+Q31))</f>
        <v>0</v>
      </c>
      <c r="R61" s="29">
        <f t="shared" ref="R61" si="88">IF(R26=0,0,(R62*R27+R64*R29+R65*R30+R66*R31)/(R27+R29+R30+R31))</f>
        <v>0</v>
      </c>
      <c r="S61" s="29">
        <f t="shared" ref="S61" si="89">IF(S26=0,0,(S62*S27+S64*S29+S65*S30+S66*S31)/(S27+S29+S30+S31))</f>
        <v>0</v>
      </c>
      <c r="T61" s="29">
        <f t="shared" ref="T61" si="90">IF(T26=0,0,(T62*T27+T64*T29+T65*T30+T66*T31)/(T27+T29+T30+T31))</f>
        <v>0</v>
      </c>
      <c r="U61" s="29">
        <f t="shared" ref="U61" si="91">IF(U26=0,0,(U62*U27+U64*U29+U65*U30+U66*U31)/(U27+U29+U30+U31))</f>
        <v>0</v>
      </c>
      <c r="V61" s="29">
        <f t="shared" ref="V61" si="92">IF(V26=0,0,(V62*V27+V64*V29+V65*V30+V66*V31)/(V27+V29+V30+V31))</f>
        <v>0</v>
      </c>
      <c r="W61" s="29">
        <f t="shared" ref="W61" si="93">IF(W26=0,0,(W62*W27+W64*W29+W65*W30+W66*W31)/(W27+W29+W30+W31))</f>
        <v>0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0</v>
      </c>
      <c r="C63" s="116">
        <f t="shared" ref="C63" si="95">IF(C28=0,0,(C64*C29+C65*C30)/(C29+C30))</f>
        <v>0</v>
      </c>
      <c r="D63" s="116">
        <f t="shared" ref="D63" si="96">IF(D28=0,0,(D64*D29+D65*D30)/(D29+D30))</f>
        <v>0</v>
      </c>
      <c r="E63" s="116">
        <f t="shared" ref="E63" si="97">IF(E28=0,0,(E64*E29+E65*E30)/(E29+E30))</f>
        <v>0</v>
      </c>
      <c r="F63" s="116">
        <f t="shared" ref="F63" si="98">IF(F28=0,0,(F64*F29+F65*F30)/(F29+F30))</f>
        <v>0</v>
      </c>
      <c r="G63" s="116">
        <f t="shared" ref="G63" si="99">IF(G28=0,0,(G64*G29+G65*G30)/(G29+G30))</f>
        <v>0</v>
      </c>
      <c r="H63" s="116">
        <f t="shared" ref="H63" si="100">IF(H28=0,0,(H64*H29+H65*H30)/(H29+H30))</f>
        <v>0</v>
      </c>
      <c r="I63" s="116">
        <f t="shared" ref="I63" si="101">IF(I28=0,0,(I64*I29+I65*I30)/(I29+I30))</f>
        <v>0</v>
      </c>
      <c r="J63" s="116">
        <f t="shared" ref="J63" si="102">IF(J28=0,0,(J64*J29+J65*J30)/(J29+J30))</f>
        <v>0</v>
      </c>
      <c r="K63" s="116">
        <f t="shared" ref="K63" si="103">IF(K28=0,0,(K64*K29+K65*K30)/(K29+K30))</f>
        <v>0</v>
      </c>
      <c r="L63" s="116">
        <f t="shared" ref="L63" si="104">IF(L28=0,0,(L64*L29+L65*L30)/(L29+L30))</f>
        <v>0</v>
      </c>
      <c r="M63" s="116">
        <f t="shared" ref="M63" si="105">IF(M28=0,0,(M64*M29+M65*M30)/(M29+M30))</f>
        <v>0</v>
      </c>
      <c r="N63" s="116">
        <f t="shared" ref="N63" si="106">IF(N28=0,0,(N64*N29+N65*N30)/(N29+N30))</f>
        <v>0</v>
      </c>
      <c r="O63" s="116">
        <f t="shared" ref="O63" si="107">IF(O28=0,0,(O64*O29+O65*O30)/(O29+O30))</f>
        <v>0</v>
      </c>
      <c r="P63" s="116">
        <f t="shared" ref="P63" si="108">IF(P28=0,0,(P64*P29+P65*P30)/(P29+P30))</f>
        <v>0</v>
      </c>
      <c r="Q63" s="116">
        <f t="shared" ref="Q63" si="109">IF(Q28=0,0,(Q64*Q29+Q65*Q30)/(Q29+Q30))</f>
        <v>0</v>
      </c>
      <c r="R63" s="116">
        <f t="shared" ref="R63" si="110">IF(R28=0,0,(R64*R29+R65*R30)/(R29+R30))</f>
        <v>0</v>
      </c>
      <c r="S63" s="116">
        <f t="shared" ref="S63" si="111">IF(S28=0,0,(S64*S29+S65*S30)/(S29+S30))</f>
        <v>0</v>
      </c>
      <c r="T63" s="116">
        <f t="shared" ref="T63" si="112">IF(T28=0,0,(T64*T29+T65*T30)/(T29+T30))</f>
        <v>0</v>
      </c>
      <c r="U63" s="116">
        <f t="shared" ref="U63" si="113">IF(U28=0,0,(U64*U29+U65*U30)/(U29+U30))</f>
        <v>0</v>
      </c>
      <c r="V63" s="116">
        <f t="shared" ref="V63" si="114">IF(V28=0,0,(V64*V29+V65*V30)/(V29+V30))</f>
        <v>0</v>
      </c>
      <c r="W63" s="116">
        <f t="shared" ref="W63" si="115">IF(W28=0,0,(W64*W29+W65*W30)/(W29+W30))</f>
        <v>0</v>
      </c>
      <c r="DA63" s="176" t="s">
        <v>1074</v>
      </c>
    </row>
    <row r="64" spans="1:105" ht="11.45" customHeight="1" x14ac:dyDescent="0.25">
      <c r="A64" s="111" t="s">
        <v>92</v>
      </c>
      <c r="B64" s="87">
        <v>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DA64" s="171" t="s">
        <v>1075</v>
      </c>
    </row>
    <row r="65" spans="1:105" ht="11.45" customHeight="1" x14ac:dyDescent="0.25">
      <c r="A65" s="111" t="s">
        <v>93</v>
      </c>
      <c r="B65" s="87">
        <v>0</v>
      </c>
      <c r="C65" s="87">
        <v>0</v>
      </c>
      <c r="D65" s="87">
        <v>0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87">
        <v>0</v>
      </c>
      <c r="U65" s="87">
        <v>0</v>
      </c>
      <c r="V65" s="87">
        <v>0</v>
      </c>
      <c r="W65" s="87">
        <v>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0</v>
      </c>
      <c r="C67" s="29">
        <f t="shared" ref="C67" si="117">IF(C32=0,0,(C68*C33+C69*C34)/(C33+C34))</f>
        <v>0</v>
      </c>
      <c r="D67" s="29">
        <f t="shared" ref="D67" si="118">IF(D32=0,0,(D68*D33+D69*D34)/(D33+D34))</f>
        <v>0</v>
      </c>
      <c r="E67" s="29">
        <f t="shared" ref="E67" si="119">IF(E32=0,0,(E68*E33+E69*E34)/(E33+E34))</f>
        <v>0</v>
      </c>
      <c r="F67" s="29">
        <f t="shared" ref="F67" si="120">IF(F32=0,0,(F68*F33+F69*F34)/(F33+F34))</f>
        <v>0</v>
      </c>
      <c r="G67" s="29">
        <f t="shared" ref="G67" si="121">IF(G32=0,0,(G68*G33+G69*G34)/(G33+G34))</f>
        <v>0</v>
      </c>
      <c r="H67" s="29">
        <f t="shared" ref="H67" si="122">IF(H32=0,0,(H68*H33+H69*H34)/(H33+H34))</f>
        <v>0</v>
      </c>
      <c r="I67" s="29">
        <f t="shared" ref="I67" si="123">IF(I32=0,0,(I68*I33+I69*I34)/(I33+I34))</f>
        <v>0</v>
      </c>
      <c r="J67" s="29">
        <f t="shared" ref="J67" si="124">IF(J32=0,0,(J68*J33+J69*J34)/(J33+J34))</f>
        <v>0</v>
      </c>
      <c r="K67" s="29">
        <f t="shared" ref="K67" si="125">IF(K32=0,0,(K68*K33+K69*K34)/(K33+K34))</f>
        <v>0</v>
      </c>
      <c r="L67" s="29">
        <f t="shared" ref="L67" si="126">IF(L32=0,0,(L68*L33+L69*L34)/(L33+L34))</f>
        <v>0</v>
      </c>
      <c r="M67" s="29">
        <f t="shared" ref="M67" si="127">IF(M32=0,0,(M68*M33+M69*M34)/(M33+M34))</f>
        <v>0</v>
      </c>
      <c r="N67" s="29">
        <f t="shared" ref="N67" si="128">IF(N32=0,0,(N68*N33+N69*N34)/(N33+N34))</f>
        <v>0</v>
      </c>
      <c r="O67" s="29">
        <f t="shared" ref="O67" si="129">IF(O32=0,0,(O68*O33+O69*O34)/(O33+O34))</f>
        <v>0</v>
      </c>
      <c r="P67" s="29">
        <f t="shared" ref="P67" si="130">IF(P32=0,0,(P68*P33+P69*P34)/(P33+P34))</f>
        <v>0</v>
      </c>
      <c r="Q67" s="29">
        <f t="shared" ref="Q67" si="131">IF(Q32=0,0,(Q68*Q33+Q69*Q34)/(Q33+Q34))</f>
        <v>0</v>
      </c>
      <c r="R67" s="29">
        <f t="shared" ref="R67" si="132">IF(R32=0,0,(R68*R33+R69*R34)/(R33+R34))</f>
        <v>0</v>
      </c>
      <c r="S67" s="29">
        <f t="shared" ref="S67" si="133">IF(S32=0,0,(S68*S33+S69*S34)/(S33+S34))</f>
        <v>0</v>
      </c>
      <c r="T67" s="29">
        <f t="shared" ref="T67" si="134">IF(T32=0,0,(T68*T33+T69*T34)/(T33+T34))</f>
        <v>0</v>
      </c>
      <c r="U67" s="29">
        <f t="shared" ref="U67" si="135">IF(U32=0,0,(U68*U33+U69*U34)/(U33+U34))</f>
        <v>0</v>
      </c>
      <c r="V67" s="29">
        <f t="shared" ref="V67" si="136">IF(V32=0,0,(V68*V33+V69*V34)/(V33+V34))</f>
        <v>0</v>
      </c>
      <c r="W67" s="29">
        <f t="shared" ref="W67" si="137">IF(W32=0,0,(W68*W33+W69*W34)/(W33+W34))</f>
        <v>0</v>
      </c>
      <c r="DA67" s="173" t="s">
        <v>1078</v>
      </c>
    </row>
    <row r="68" spans="1:105" ht="11.45" customHeight="1" x14ac:dyDescent="0.25">
      <c r="A68" s="83" t="s">
        <v>92</v>
      </c>
      <c r="B68" s="87">
        <v>0</v>
      </c>
      <c r="C68" s="87">
        <v>0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</v>
      </c>
      <c r="C72" s="30">
        <f t="shared" ref="C72:J72" si="138">IF(C50=0,0,C50/C61)</f>
        <v>0</v>
      </c>
      <c r="D72" s="30">
        <f t="shared" si="138"/>
        <v>0</v>
      </c>
      <c r="E72" s="30">
        <f t="shared" si="138"/>
        <v>0</v>
      </c>
      <c r="F72" s="30">
        <f t="shared" si="138"/>
        <v>0</v>
      </c>
      <c r="G72" s="30">
        <f t="shared" si="138"/>
        <v>0</v>
      </c>
      <c r="H72" s="30">
        <f t="shared" si="138"/>
        <v>0</v>
      </c>
      <c r="I72" s="30">
        <f t="shared" si="138"/>
        <v>0</v>
      </c>
      <c r="J72" s="30">
        <f t="shared" si="138"/>
        <v>0</v>
      </c>
      <c r="K72" s="30">
        <f t="shared" ref="K72:V72" si="139">IF(K50=0,0,K50/K61)</f>
        <v>0</v>
      </c>
      <c r="L72" s="30">
        <f t="shared" si="139"/>
        <v>0</v>
      </c>
      <c r="M72" s="30">
        <f t="shared" si="139"/>
        <v>0</v>
      </c>
      <c r="N72" s="30">
        <f t="shared" si="139"/>
        <v>0</v>
      </c>
      <c r="O72" s="30">
        <f t="shared" si="139"/>
        <v>0</v>
      </c>
      <c r="P72" s="30">
        <f t="shared" si="139"/>
        <v>0</v>
      </c>
      <c r="Q72" s="30">
        <f t="shared" si="139"/>
        <v>0</v>
      </c>
      <c r="R72" s="30">
        <f t="shared" si="139"/>
        <v>0</v>
      </c>
      <c r="S72" s="30">
        <f t="shared" si="139"/>
        <v>0</v>
      </c>
      <c r="T72" s="30">
        <f t="shared" si="139"/>
        <v>0</v>
      </c>
      <c r="U72" s="30">
        <f t="shared" si="139"/>
        <v>0</v>
      </c>
      <c r="V72" s="30">
        <f t="shared" si="139"/>
        <v>0</v>
      </c>
      <c r="W72" s="30">
        <f t="shared" ref="W72" si="140">IF(W50=0,0,W50/W61)</f>
        <v>0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" si="143">IF(W51=0,0,W51/W62)</f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</v>
      </c>
      <c r="C74" s="119">
        <f t="shared" si="141"/>
        <v>0</v>
      </c>
      <c r="D74" s="119">
        <f t="shared" si="141"/>
        <v>0</v>
      </c>
      <c r="E74" s="119">
        <f t="shared" si="141"/>
        <v>0</v>
      </c>
      <c r="F74" s="119">
        <f t="shared" si="141"/>
        <v>0</v>
      </c>
      <c r="G74" s="119">
        <f t="shared" si="141"/>
        <v>0</v>
      </c>
      <c r="H74" s="119">
        <f t="shared" si="141"/>
        <v>0</v>
      </c>
      <c r="I74" s="119">
        <f t="shared" si="141"/>
        <v>0</v>
      </c>
      <c r="J74" s="119">
        <f t="shared" si="141"/>
        <v>0</v>
      </c>
      <c r="K74" s="119">
        <f t="shared" ref="K74:V74" si="144">IF(K52=0,0,K52/K63)</f>
        <v>0</v>
      </c>
      <c r="L74" s="119">
        <f t="shared" si="144"/>
        <v>0</v>
      </c>
      <c r="M74" s="119">
        <f t="shared" si="144"/>
        <v>0</v>
      </c>
      <c r="N74" s="119">
        <f t="shared" si="144"/>
        <v>0</v>
      </c>
      <c r="O74" s="119">
        <f t="shared" si="144"/>
        <v>0</v>
      </c>
      <c r="P74" s="119">
        <f t="shared" si="144"/>
        <v>0</v>
      </c>
      <c r="Q74" s="119">
        <f t="shared" si="144"/>
        <v>0</v>
      </c>
      <c r="R74" s="119">
        <f t="shared" si="144"/>
        <v>0</v>
      </c>
      <c r="S74" s="119">
        <f t="shared" si="144"/>
        <v>0</v>
      </c>
      <c r="T74" s="119">
        <f t="shared" si="144"/>
        <v>0</v>
      </c>
      <c r="U74" s="119">
        <f t="shared" si="144"/>
        <v>0</v>
      </c>
      <c r="V74" s="119">
        <f t="shared" si="144"/>
        <v>0</v>
      </c>
      <c r="W74" s="119">
        <f t="shared" ref="W74" si="145">IF(W52=0,0,W52/W63)</f>
        <v>0</v>
      </c>
      <c r="DA74" s="176"/>
    </row>
    <row r="75" spans="1:105" ht="11.45" customHeight="1" x14ac:dyDescent="0.25">
      <c r="A75" s="111" t="s">
        <v>92</v>
      </c>
      <c r="B75" s="120">
        <f t="shared" si="141"/>
        <v>0</v>
      </c>
      <c r="C75" s="120">
        <f t="shared" si="141"/>
        <v>0</v>
      </c>
      <c r="D75" s="120">
        <f t="shared" si="141"/>
        <v>0</v>
      </c>
      <c r="E75" s="120">
        <f t="shared" si="141"/>
        <v>0</v>
      </c>
      <c r="F75" s="120">
        <f t="shared" si="141"/>
        <v>0</v>
      </c>
      <c r="G75" s="120">
        <f t="shared" si="141"/>
        <v>0</v>
      </c>
      <c r="H75" s="120">
        <f t="shared" si="141"/>
        <v>0</v>
      </c>
      <c r="I75" s="120">
        <f t="shared" si="141"/>
        <v>0</v>
      </c>
      <c r="J75" s="120">
        <f t="shared" si="141"/>
        <v>0</v>
      </c>
      <c r="K75" s="120">
        <f t="shared" ref="K75:V75" si="146">IF(K53=0,0,K53/K64)</f>
        <v>0</v>
      </c>
      <c r="L75" s="120">
        <f t="shared" si="146"/>
        <v>0</v>
      </c>
      <c r="M75" s="120">
        <f t="shared" si="146"/>
        <v>0</v>
      </c>
      <c r="N75" s="120">
        <f t="shared" si="146"/>
        <v>0</v>
      </c>
      <c r="O75" s="120">
        <f t="shared" si="146"/>
        <v>0</v>
      </c>
      <c r="P75" s="120">
        <f t="shared" si="146"/>
        <v>0</v>
      </c>
      <c r="Q75" s="120">
        <f t="shared" si="146"/>
        <v>0</v>
      </c>
      <c r="R75" s="120">
        <f t="shared" si="146"/>
        <v>0</v>
      </c>
      <c r="S75" s="120">
        <f t="shared" si="146"/>
        <v>0</v>
      </c>
      <c r="T75" s="120">
        <f t="shared" si="146"/>
        <v>0</v>
      </c>
      <c r="U75" s="120">
        <f t="shared" si="146"/>
        <v>0</v>
      </c>
      <c r="V75" s="120">
        <f t="shared" si="146"/>
        <v>0</v>
      </c>
      <c r="W75" s="120">
        <f t="shared" ref="W75" si="147">IF(W53=0,0,W53/W64)</f>
        <v>0</v>
      </c>
      <c r="DA75" s="171"/>
    </row>
    <row r="76" spans="1:105" ht="11.45" customHeight="1" x14ac:dyDescent="0.25">
      <c r="A76" s="111" t="s">
        <v>93</v>
      </c>
      <c r="B76" s="120">
        <f t="shared" si="141"/>
        <v>0</v>
      </c>
      <c r="C76" s="120">
        <f t="shared" si="141"/>
        <v>0</v>
      </c>
      <c r="D76" s="120">
        <f t="shared" si="141"/>
        <v>0</v>
      </c>
      <c r="E76" s="120">
        <f t="shared" si="141"/>
        <v>0</v>
      </c>
      <c r="F76" s="120">
        <f t="shared" si="141"/>
        <v>0</v>
      </c>
      <c r="G76" s="120">
        <f t="shared" si="141"/>
        <v>0</v>
      </c>
      <c r="H76" s="120">
        <f t="shared" si="141"/>
        <v>0</v>
      </c>
      <c r="I76" s="120">
        <f t="shared" si="141"/>
        <v>0</v>
      </c>
      <c r="J76" s="120">
        <f t="shared" si="141"/>
        <v>0</v>
      </c>
      <c r="K76" s="120">
        <f t="shared" ref="K76:V76" si="148">IF(K54=0,0,K54/K65)</f>
        <v>0</v>
      </c>
      <c r="L76" s="120">
        <f t="shared" si="148"/>
        <v>0</v>
      </c>
      <c r="M76" s="120">
        <f t="shared" si="148"/>
        <v>0</v>
      </c>
      <c r="N76" s="120">
        <f t="shared" si="148"/>
        <v>0</v>
      </c>
      <c r="O76" s="120">
        <f t="shared" si="148"/>
        <v>0</v>
      </c>
      <c r="P76" s="120">
        <f t="shared" si="148"/>
        <v>0</v>
      </c>
      <c r="Q76" s="120">
        <f t="shared" si="148"/>
        <v>0</v>
      </c>
      <c r="R76" s="120">
        <f t="shared" si="148"/>
        <v>0</v>
      </c>
      <c r="S76" s="120">
        <f t="shared" si="148"/>
        <v>0</v>
      </c>
      <c r="T76" s="120">
        <f t="shared" si="148"/>
        <v>0</v>
      </c>
      <c r="U76" s="120">
        <f t="shared" si="148"/>
        <v>0</v>
      </c>
      <c r="V76" s="120">
        <f t="shared" si="148"/>
        <v>0</v>
      </c>
      <c r="W76" s="120">
        <f t="shared" ref="W76" si="149">IF(W54=0,0,W54/W65)</f>
        <v>0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</v>
      </c>
      <c r="C78" s="30">
        <f t="shared" si="141"/>
        <v>0</v>
      </c>
      <c r="D78" s="30">
        <f t="shared" si="141"/>
        <v>0</v>
      </c>
      <c r="E78" s="30">
        <f t="shared" si="141"/>
        <v>0</v>
      </c>
      <c r="F78" s="30">
        <f t="shared" si="141"/>
        <v>0</v>
      </c>
      <c r="G78" s="30">
        <f t="shared" si="141"/>
        <v>0</v>
      </c>
      <c r="H78" s="30">
        <f t="shared" si="141"/>
        <v>0</v>
      </c>
      <c r="I78" s="30">
        <f t="shared" si="141"/>
        <v>0</v>
      </c>
      <c r="J78" s="30">
        <f t="shared" si="141"/>
        <v>0</v>
      </c>
      <c r="K78" s="30">
        <f t="shared" ref="K78:V78" si="152">IF(K56=0,0,K56/K67)</f>
        <v>0</v>
      </c>
      <c r="L78" s="30">
        <f t="shared" si="152"/>
        <v>0</v>
      </c>
      <c r="M78" s="30">
        <f t="shared" si="152"/>
        <v>0</v>
      </c>
      <c r="N78" s="30">
        <f t="shared" si="152"/>
        <v>0</v>
      </c>
      <c r="O78" s="30">
        <f t="shared" si="152"/>
        <v>0</v>
      </c>
      <c r="P78" s="30">
        <f t="shared" si="152"/>
        <v>0</v>
      </c>
      <c r="Q78" s="30">
        <f t="shared" si="152"/>
        <v>0</v>
      </c>
      <c r="R78" s="30">
        <f t="shared" si="152"/>
        <v>0</v>
      </c>
      <c r="S78" s="30">
        <f t="shared" si="152"/>
        <v>0</v>
      </c>
      <c r="T78" s="30">
        <f t="shared" si="152"/>
        <v>0</v>
      </c>
      <c r="U78" s="30">
        <f t="shared" si="152"/>
        <v>0</v>
      </c>
      <c r="V78" s="30">
        <f t="shared" si="152"/>
        <v>0</v>
      </c>
      <c r="W78" s="30">
        <f t="shared" ref="W78" si="153">IF(W56=0,0,W56/W67)</f>
        <v>0</v>
      </c>
      <c r="DA78" s="173"/>
    </row>
    <row r="79" spans="1:105" ht="11.45" customHeight="1" x14ac:dyDescent="0.25">
      <c r="A79" s="83" t="s">
        <v>92</v>
      </c>
      <c r="B79" s="120">
        <f t="shared" si="141"/>
        <v>0</v>
      </c>
      <c r="C79" s="120">
        <f t="shared" si="141"/>
        <v>0</v>
      </c>
      <c r="D79" s="120">
        <f t="shared" si="141"/>
        <v>0</v>
      </c>
      <c r="E79" s="120">
        <f t="shared" si="141"/>
        <v>0</v>
      </c>
      <c r="F79" s="120">
        <f t="shared" si="141"/>
        <v>0</v>
      </c>
      <c r="G79" s="120">
        <f t="shared" si="141"/>
        <v>0</v>
      </c>
      <c r="H79" s="120">
        <f t="shared" si="141"/>
        <v>0</v>
      </c>
      <c r="I79" s="120">
        <f t="shared" si="141"/>
        <v>0</v>
      </c>
      <c r="J79" s="120">
        <f t="shared" si="141"/>
        <v>0</v>
      </c>
      <c r="K79" s="120">
        <f t="shared" ref="K79:V79" si="154">IF(K57=0,0,K57/K68)</f>
        <v>0</v>
      </c>
      <c r="L79" s="120">
        <f t="shared" si="154"/>
        <v>0</v>
      </c>
      <c r="M79" s="120">
        <f t="shared" si="154"/>
        <v>0</v>
      </c>
      <c r="N79" s="120">
        <f t="shared" si="154"/>
        <v>0</v>
      </c>
      <c r="O79" s="120">
        <f t="shared" si="154"/>
        <v>0</v>
      </c>
      <c r="P79" s="120">
        <f t="shared" si="154"/>
        <v>0</v>
      </c>
      <c r="Q79" s="120">
        <f t="shared" si="154"/>
        <v>0</v>
      </c>
      <c r="R79" s="120">
        <f t="shared" si="154"/>
        <v>0</v>
      </c>
      <c r="S79" s="120">
        <f t="shared" si="154"/>
        <v>0</v>
      </c>
      <c r="T79" s="120">
        <f t="shared" si="154"/>
        <v>0</v>
      </c>
      <c r="U79" s="120">
        <f t="shared" si="154"/>
        <v>0</v>
      </c>
      <c r="V79" s="120">
        <f t="shared" si="154"/>
        <v>0</v>
      </c>
      <c r="W79" s="120">
        <f t="shared" ref="W79" si="155">IF(W57=0,0,W57/W68)</f>
        <v>0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" si="157">IF(W58=0,0,W58/W69)</f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0</v>
      </c>
      <c r="C82" s="54">
        <f t="shared" si="158"/>
        <v>0</v>
      </c>
      <c r="D82" s="54">
        <f t="shared" si="158"/>
        <v>0</v>
      </c>
      <c r="E82" s="54">
        <f t="shared" si="158"/>
        <v>0</v>
      </c>
      <c r="F82" s="54">
        <f t="shared" si="158"/>
        <v>0</v>
      </c>
      <c r="G82" s="54">
        <f t="shared" si="158"/>
        <v>0</v>
      </c>
      <c r="H82" s="54">
        <f t="shared" si="158"/>
        <v>0</v>
      </c>
      <c r="I82" s="54">
        <f t="shared" si="158"/>
        <v>0</v>
      </c>
      <c r="J82" s="54">
        <f t="shared" si="158"/>
        <v>0</v>
      </c>
      <c r="K82" s="54">
        <f t="shared" ref="K82:V82" si="159">IF(K14=0,0,K14/K25*1000000)</f>
        <v>0</v>
      </c>
      <c r="L82" s="54">
        <f t="shared" si="159"/>
        <v>0</v>
      </c>
      <c r="M82" s="54">
        <f t="shared" si="159"/>
        <v>0</v>
      </c>
      <c r="N82" s="54">
        <f t="shared" si="159"/>
        <v>0</v>
      </c>
      <c r="O82" s="54">
        <f t="shared" si="159"/>
        <v>0</v>
      </c>
      <c r="P82" s="54">
        <f t="shared" si="159"/>
        <v>0</v>
      </c>
      <c r="Q82" s="54">
        <f t="shared" si="159"/>
        <v>0</v>
      </c>
      <c r="R82" s="54">
        <f t="shared" si="159"/>
        <v>0</v>
      </c>
      <c r="S82" s="54">
        <f t="shared" si="159"/>
        <v>0</v>
      </c>
      <c r="T82" s="54">
        <f t="shared" si="159"/>
        <v>0</v>
      </c>
      <c r="U82" s="54">
        <f t="shared" si="159"/>
        <v>0</v>
      </c>
      <c r="V82" s="54">
        <f t="shared" si="159"/>
        <v>0</v>
      </c>
      <c r="W82" s="54">
        <f t="shared" ref="W82" si="160">IF(W14=0,0,W14/W25*1000000)</f>
        <v>0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0</v>
      </c>
      <c r="C83" s="28">
        <f t="shared" si="161"/>
        <v>0</v>
      </c>
      <c r="D83" s="28">
        <f t="shared" si="161"/>
        <v>0</v>
      </c>
      <c r="E83" s="28">
        <f t="shared" si="161"/>
        <v>0</v>
      </c>
      <c r="F83" s="28">
        <f t="shared" si="161"/>
        <v>0</v>
      </c>
      <c r="G83" s="28">
        <f t="shared" si="161"/>
        <v>0</v>
      </c>
      <c r="H83" s="28">
        <f t="shared" si="161"/>
        <v>0</v>
      </c>
      <c r="I83" s="28">
        <f t="shared" si="161"/>
        <v>0</v>
      </c>
      <c r="J83" s="28">
        <f t="shared" si="161"/>
        <v>0</v>
      </c>
      <c r="K83" s="28">
        <f t="shared" ref="K83:V83" si="162">IF(K15=0,0,K15/K26*1000000)</f>
        <v>0</v>
      </c>
      <c r="L83" s="28">
        <f t="shared" si="162"/>
        <v>0</v>
      </c>
      <c r="M83" s="28">
        <f t="shared" si="162"/>
        <v>0</v>
      </c>
      <c r="N83" s="28">
        <f t="shared" si="162"/>
        <v>0</v>
      </c>
      <c r="O83" s="28">
        <f t="shared" si="162"/>
        <v>0</v>
      </c>
      <c r="P83" s="28">
        <f t="shared" si="162"/>
        <v>0</v>
      </c>
      <c r="Q83" s="28">
        <f t="shared" si="162"/>
        <v>0</v>
      </c>
      <c r="R83" s="28">
        <f t="shared" si="162"/>
        <v>0</v>
      </c>
      <c r="S83" s="28">
        <f t="shared" si="162"/>
        <v>0</v>
      </c>
      <c r="T83" s="28">
        <f t="shared" si="162"/>
        <v>0</v>
      </c>
      <c r="U83" s="28">
        <f t="shared" si="162"/>
        <v>0</v>
      </c>
      <c r="V83" s="28">
        <f t="shared" si="162"/>
        <v>0</v>
      </c>
      <c r="W83" s="28">
        <f t="shared" ref="W83" si="163">IF(W15=0,0,W15/W26*1000000)</f>
        <v>0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" si="165">IF(W16=0,0,W16/W27*1000000)</f>
        <v>0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0</v>
      </c>
      <c r="C85" s="110">
        <f t="shared" si="161"/>
        <v>0</v>
      </c>
      <c r="D85" s="110">
        <f t="shared" si="161"/>
        <v>0</v>
      </c>
      <c r="E85" s="110">
        <f t="shared" si="161"/>
        <v>0</v>
      </c>
      <c r="F85" s="110">
        <f t="shared" si="161"/>
        <v>0</v>
      </c>
      <c r="G85" s="110">
        <f t="shared" si="161"/>
        <v>0</v>
      </c>
      <c r="H85" s="110">
        <f t="shared" si="161"/>
        <v>0</v>
      </c>
      <c r="I85" s="110">
        <f t="shared" si="161"/>
        <v>0</v>
      </c>
      <c r="J85" s="110">
        <f t="shared" si="161"/>
        <v>0</v>
      </c>
      <c r="K85" s="110">
        <f t="shared" ref="K85:V85" si="166">IF(K17=0,0,K17/K28*1000000)</f>
        <v>0</v>
      </c>
      <c r="L85" s="110">
        <f t="shared" si="166"/>
        <v>0</v>
      </c>
      <c r="M85" s="110">
        <f t="shared" si="166"/>
        <v>0</v>
      </c>
      <c r="N85" s="110">
        <f t="shared" si="166"/>
        <v>0</v>
      </c>
      <c r="O85" s="110">
        <f t="shared" si="166"/>
        <v>0</v>
      </c>
      <c r="P85" s="110">
        <f t="shared" si="166"/>
        <v>0</v>
      </c>
      <c r="Q85" s="110">
        <f t="shared" si="166"/>
        <v>0</v>
      </c>
      <c r="R85" s="110">
        <f t="shared" si="166"/>
        <v>0</v>
      </c>
      <c r="S85" s="110">
        <f t="shared" si="166"/>
        <v>0</v>
      </c>
      <c r="T85" s="110">
        <f t="shared" si="166"/>
        <v>0</v>
      </c>
      <c r="U85" s="110">
        <f t="shared" si="166"/>
        <v>0</v>
      </c>
      <c r="V85" s="110">
        <f t="shared" si="166"/>
        <v>0</v>
      </c>
      <c r="W85" s="110">
        <f t="shared" ref="W85" si="167">IF(W17=0,0,W17/W28*1000000)</f>
        <v>0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0</v>
      </c>
      <c r="C86" s="84">
        <f t="shared" si="161"/>
        <v>0</v>
      </c>
      <c r="D86" s="84">
        <f t="shared" si="161"/>
        <v>0</v>
      </c>
      <c r="E86" s="84">
        <f t="shared" si="161"/>
        <v>0</v>
      </c>
      <c r="F86" s="84">
        <f t="shared" si="161"/>
        <v>0</v>
      </c>
      <c r="G86" s="84">
        <f t="shared" si="161"/>
        <v>0</v>
      </c>
      <c r="H86" s="84">
        <f t="shared" si="161"/>
        <v>0</v>
      </c>
      <c r="I86" s="84">
        <f t="shared" si="161"/>
        <v>0</v>
      </c>
      <c r="J86" s="84">
        <f t="shared" si="161"/>
        <v>0</v>
      </c>
      <c r="K86" s="84">
        <f t="shared" ref="K86:V86" si="168">IF(K18=0,0,K18/K29*1000000)</f>
        <v>0</v>
      </c>
      <c r="L86" s="84">
        <f t="shared" si="168"/>
        <v>0</v>
      </c>
      <c r="M86" s="84">
        <f t="shared" si="168"/>
        <v>0</v>
      </c>
      <c r="N86" s="84">
        <f t="shared" si="168"/>
        <v>0</v>
      </c>
      <c r="O86" s="84">
        <f t="shared" si="168"/>
        <v>0</v>
      </c>
      <c r="P86" s="84">
        <f t="shared" si="168"/>
        <v>0</v>
      </c>
      <c r="Q86" s="84">
        <f t="shared" si="168"/>
        <v>0</v>
      </c>
      <c r="R86" s="84">
        <f t="shared" si="168"/>
        <v>0</v>
      </c>
      <c r="S86" s="84">
        <f t="shared" si="168"/>
        <v>0</v>
      </c>
      <c r="T86" s="84">
        <f t="shared" si="168"/>
        <v>0</v>
      </c>
      <c r="U86" s="84">
        <f t="shared" si="168"/>
        <v>0</v>
      </c>
      <c r="V86" s="84">
        <f t="shared" si="168"/>
        <v>0</v>
      </c>
      <c r="W86" s="84">
        <f t="shared" ref="W86" si="169">IF(W18=0,0,W18/W29*1000000)</f>
        <v>0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0</v>
      </c>
      <c r="C87" s="84">
        <f t="shared" si="161"/>
        <v>0</v>
      </c>
      <c r="D87" s="84">
        <f t="shared" si="161"/>
        <v>0</v>
      </c>
      <c r="E87" s="84">
        <f t="shared" si="161"/>
        <v>0</v>
      </c>
      <c r="F87" s="84">
        <f t="shared" si="161"/>
        <v>0</v>
      </c>
      <c r="G87" s="84">
        <f t="shared" si="161"/>
        <v>0</v>
      </c>
      <c r="H87" s="84">
        <f t="shared" si="161"/>
        <v>0</v>
      </c>
      <c r="I87" s="84">
        <f t="shared" si="161"/>
        <v>0</v>
      </c>
      <c r="J87" s="84">
        <f t="shared" si="161"/>
        <v>0</v>
      </c>
      <c r="K87" s="84">
        <f t="shared" ref="K87:V87" si="170">IF(K19=0,0,K19/K30*1000000)</f>
        <v>0</v>
      </c>
      <c r="L87" s="84">
        <f t="shared" si="170"/>
        <v>0</v>
      </c>
      <c r="M87" s="84">
        <f t="shared" si="170"/>
        <v>0</v>
      </c>
      <c r="N87" s="84">
        <f t="shared" si="170"/>
        <v>0</v>
      </c>
      <c r="O87" s="84">
        <f t="shared" si="170"/>
        <v>0</v>
      </c>
      <c r="P87" s="84">
        <f t="shared" si="170"/>
        <v>0</v>
      </c>
      <c r="Q87" s="84">
        <f t="shared" si="170"/>
        <v>0</v>
      </c>
      <c r="R87" s="84">
        <f t="shared" si="170"/>
        <v>0</v>
      </c>
      <c r="S87" s="84">
        <f t="shared" si="170"/>
        <v>0</v>
      </c>
      <c r="T87" s="84">
        <f t="shared" si="170"/>
        <v>0</v>
      </c>
      <c r="U87" s="84">
        <f t="shared" si="170"/>
        <v>0</v>
      </c>
      <c r="V87" s="84">
        <f t="shared" si="170"/>
        <v>0</v>
      </c>
      <c r="W87" s="84">
        <f t="shared" ref="W87" si="171">IF(W19=0,0,W19/W30*1000000)</f>
        <v>0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0</v>
      </c>
      <c r="C89" s="28">
        <f t="shared" si="161"/>
        <v>0</v>
      </c>
      <c r="D89" s="28">
        <f t="shared" si="161"/>
        <v>0</v>
      </c>
      <c r="E89" s="28">
        <f t="shared" si="161"/>
        <v>0</v>
      </c>
      <c r="F89" s="28">
        <f t="shared" si="161"/>
        <v>0</v>
      </c>
      <c r="G89" s="28">
        <f t="shared" si="161"/>
        <v>0</v>
      </c>
      <c r="H89" s="28">
        <f t="shared" si="161"/>
        <v>0</v>
      </c>
      <c r="I89" s="28">
        <f t="shared" si="161"/>
        <v>0</v>
      </c>
      <c r="J89" s="28">
        <f t="shared" si="161"/>
        <v>0</v>
      </c>
      <c r="K89" s="28">
        <f t="shared" ref="K89:V89" si="174">IF(K21=0,0,K21/K32*1000000)</f>
        <v>0</v>
      </c>
      <c r="L89" s="28">
        <f t="shared" si="174"/>
        <v>0</v>
      </c>
      <c r="M89" s="28">
        <f t="shared" si="174"/>
        <v>0</v>
      </c>
      <c r="N89" s="28">
        <f t="shared" si="174"/>
        <v>0</v>
      </c>
      <c r="O89" s="28">
        <f t="shared" si="174"/>
        <v>0</v>
      </c>
      <c r="P89" s="28">
        <f t="shared" si="174"/>
        <v>0</v>
      </c>
      <c r="Q89" s="28">
        <f t="shared" si="174"/>
        <v>0</v>
      </c>
      <c r="R89" s="28">
        <f t="shared" si="174"/>
        <v>0</v>
      </c>
      <c r="S89" s="28">
        <f t="shared" si="174"/>
        <v>0</v>
      </c>
      <c r="T89" s="28">
        <f t="shared" si="174"/>
        <v>0</v>
      </c>
      <c r="U89" s="28">
        <f t="shared" si="174"/>
        <v>0</v>
      </c>
      <c r="V89" s="28">
        <f t="shared" si="174"/>
        <v>0</v>
      </c>
      <c r="W89" s="28">
        <f t="shared" ref="W89" si="175">IF(W21=0,0,W21/W32*1000000)</f>
        <v>0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0</v>
      </c>
      <c r="C90" s="84">
        <f t="shared" si="161"/>
        <v>0</v>
      </c>
      <c r="D90" s="84">
        <f t="shared" si="161"/>
        <v>0</v>
      </c>
      <c r="E90" s="84">
        <f t="shared" si="161"/>
        <v>0</v>
      </c>
      <c r="F90" s="84">
        <f t="shared" si="161"/>
        <v>0</v>
      </c>
      <c r="G90" s="84">
        <f t="shared" si="161"/>
        <v>0</v>
      </c>
      <c r="H90" s="84">
        <f t="shared" si="161"/>
        <v>0</v>
      </c>
      <c r="I90" s="84">
        <f t="shared" si="161"/>
        <v>0</v>
      </c>
      <c r="J90" s="84">
        <f t="shared" si="161"/>
        <v>0</v>
      </c>
      <c r="K90" s="84">
        <f t="shared" ref="K90:V90" si="176">IF(K22=0,0,K22/K33*1000000)</f>
        <v>0</v>
      </c>
      <c r="L90" s="84">
        <f t="shared" si="176"/>
        <v>0</v>
      </c>
      <c r="M90" s="84">
        <f t="shared" si="176"/>
        <v>0</v>
      </c>
      <c r="N90" s="84">
        <f t="shared" si="176"/>
        <v>0</v>
      </c>
      <c r="O90" s="84">
        <f t="shared" si="176"/>
        <v>0</v>
      </c>
      <c r="P90" s="84">
        <f t="shared" si="176"/>
        <v>0</v>
      </c>
      <c r="Q90" s="84">
        <f t="shared" si="176"/>
        <v>0</v>
      </c>
      <c r="R90" s="84">
        <f t="shared" si="176"/>
        <v>0</v>
      </c>
      <c r="S90" s="84">
        <f t="shared" si="176"/>
        <v>0</v>
      </c>
      <c r="T90" s="84">
        <f t="shared" si="176"/>
        <v>0</v>
      </c>
      <c r="U90" s="84">
        <f t="shared" si="176"/>
        <v>0</v>
      </c>
      <c r="V90" s="84">
        <f t="shared" si="176"/>
        <v>0</v>
      </c>
      <c r="W90" s="84">
        <f t="shared" ref="W90" si="177">IF(W22=0,0,W22/W33*1000000)</f>
        <v>0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" si="179">IF(W23=0,0,W23/W34*1000000)</f>
        <v>0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0</v>
      </c>
      <c r="C94" s="28">
        <f t="shared" si="180"/>
        <v>0</v>
      </c>
      <c r="D94" s="28">
        <f t="shared" si="180"/>
        <v>0</v>
      </c>
      <c r="E94" s="28">
        <f t="shared" si="180"/>
        <v>0</v>
      </c>
      <c r="F94" s="28">
        <f t="shared" si="180"/>
        <v>0</v>
      </c>
      <c r="G94" s="28">
        <f t="shared" si="180"/>
        <v>0</v>
      </c>
      <c r="H94" s="28">
        <f t="shared" si="180"/>
        <v>0</v>
      </c>
      <c r="I94" s="28">
        <f t="shared" si="180"/>
        <v>0</v>
      </c>
      <c r="J94" s="28">
        <f t="shared" si="180"/>
        <v>0</v>
      </c>
      <c r="K94" s="28">
        <f t="shared" ref="K94:V94" si="181">IF(K4=0,0,K4/K26*1000000)</f>
        <v>0</v>
      </c>
      <c r="L94" s="28">
        <f t="shared" si="181"/>
        <v>0</v>
      </c>
      <c r="M94" s="28">
        <f t="shared" si="181"/>
        <v>0</v>
      </c>
      <c r="N94" s="28">
        <f t="shared" si="181"/>
        <v>0</v>
      </c>
      <c r="O94" s="28">
        <f t="shared" si="181"/>
        <v>0</v>
      </c>
      <c r="P94" s="28">
        <f t="shared" si="181"/>
        <v>0</v>
      </c>
      <c r="Q94" s="28">
        <f t="shared" si="181"/>
        <v>0</v>
      </c>
      <c r="R94" s="28">
        <f t="shared" si="181"/>
        <v>0</v>
      </c>
      <c r="S94" s="28">
        <f t="shared" si="181"/>
        <v>0</v>
      </c>
      <c r="T94" s="28">
        <f t="shared" si="181"/>
        <v>0</v>
      </c>
      <c r="U94" s="28">
        <f t="shared" si="181"/>
        <v>0</v>
      </c>
      <c r="V94" s="28">
        <f t="shared" si="181"/>
        <v>0</v>
      </c>
      <c r="W94" s="28">
        <f t="shared" ref="W94" si="182">IF(W4=0,0,W4/W26*1000000)</f>
        <v>0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" si="184">IF(W5=0,0,W5/W27*1000000)</f>
        <v>0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0</v>
      </c>
      <c r="C96" s="110">
        <f t="shared" si="180"/>
        <v>0</v>
      </c>
      <c r="D96" s="110">
        <f t="shared" si="180"/>
        <v>0</v>
      </c>
      <c r="E96" s="110">
        <f t="shared" si="180"/>
        <v>0</v>
      </c>
      <c r="F96" s="110">
        <f t="shared" si="180"/>
        <v>0</v>
      </c>
      <c r="G96" s="110">
        <f t="shared" si="180"/>
        <v>0</v>
      </c>
      <c r="H96" s="110">
        <f t="shared" si="180"/>
        <v>0</v>
      </c>
      <c r="I96" s="110">
        <f t="shared" si="180"/>
        <v>0</v>
      </c>
      <c r="J96" s="110">
        <f t="shared" si="180"/>
        <v>0</v>
      </c>
      <c r="K96" s="110">
        <f t="shared" ref="K96:V96" si="185">IF(K6=0,0,K6/K28*1000000)</f>
        <v>0</v>
      </c>
      <c r="L96" s="110">
        <f t="shared" si="185"/>
        <v>0</v>
      </c>
      <c r="M96" s="110">
        <f t="shared" si="185"/>
        <v>0</v>
      </c>
      <c r="N96" s="110">
        <f t="shared" si="185"/>
        <v>0</v>
      </c>
      <c r="O96" s="110">
        <f t="shared" si="185"/>
        <v>0</v>
      </c>
      <c r="P96" s="110">
        <f t="shared" si="185"/>
        <v>0</v>
      </c>
      <c r="Q96" s="110">
        <f t="shared" si="185"/>
        <v>0</v>
      </c>
      <c r="R96" s="110">
        <f t="shared" si="185"/>
        <v>0</v>
      </c>
      <c r="S96" s="110">
        <f t="shared" si="185"/>
        <v>0</v>
      </c>
      <c r="T96" s="110">
        <f t="shared" si="185"/>
        <v>0</v>
      </c>
      <c r="U96" s="110">
        <f t="shared" si="185"/>
        <v>0</v>
      </c>
      <c r="V96" s="110">
        <f t="shared" si="185"/>
        <v>0</v>
      </c>
      <c r="W96" s="110">
        <f t="shared" ref="W96" si="186">IF(W6=0,0,W6/W28*1000000)</f>
        <v>0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0</v>
      </c>
      <c r="C97" s="84">
        <f t="shared" si="180"/>
        <v>0</v>
      </c>
      <c r="D97" s="84">
        <f t="shared" si="180"/>
        <v>0</v>
      </c>
      <c r="E97" s="84">
        <f t="shared" si="180"/>
        <v>0</v>
      </c>
      <c r="F97" s="84">
        <f t="shared" si="180"/>
        <v>0</v>
      </c>
      <c r="G97" s="84">
        <f t="shared" si="180"/>
        <v>0</v>
      </c>
      <c r="H97" s="84">
        <f t="shared" si="180"/>
        <v>0</v>
      </c>
      <c r="I97" s="84">
        <f t="shared" si="180"/>
        <v>0</v>
      </c>
      <c r="J97" s="84">
        <f t="shared" si="180"/>
        <v>0</v>
      </c>
      <c r="K97" s="84">
        <f t="shared" ref="K97:V97" si="187">IF(K7=0,0,K7/K29*1000000)</f>
        <v>0</v>
      </c>
      <c r="L97" s="84">
        <f t="shared" si="187"/>
        <v>0</v>
      </c>
      <c r="M97" s="84">
        <f t="shared" si="187"/>
        <v>0</v>
      </c>
      <c r="N97" s="84">
        <f t="shared" si="187"/>
        <v>0</v>
      </c>
      <c r="O97" s="84">
        <f t="shared" si="187"/>
        <v>0</v>
      </c>
      <c r="P97" s="84">
        <f t="shared" si="187"/>
        <v>0</v>
      </c>
      <c r="Q97" s="84">
        <f t="shared" si="187"/>
        <v>0</v>
      </c>
      <c r="R97" s="84">
        <f t="shared" si="187"/>
        <v>0</v>
      </c>
      <c r="S97" s="84">
        <f t="shared" si="187"/>
        <v>0</v>
      </c>
      <c r="T97" s="84">
        <f t="shared" si="187"/>
        <v>0</v>
      </c>
      <c r="U97" s="84">
        <f t="shared" si="187"/>
        <v>0</v>
      </c>
      <c r="V97" s="84">
        <f t="shared" si="187"/>
        <v>0</v>
      </c>
      <c r="W97" s="84">
        <f t="shared" ref="W97" si="188">IF(W7=0,0,W7/W29*1000000)</f>
        <v>0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0</v>
      </c>
      <c r="C98" s="84">
        <f t="shared" si="180"/>
        <v>0</v>
      </c>
      <c r="D98" s="84">
        <f t="shared" si="180"/>
        <v>0</v>
      </c>
      <c r="E98" s="84">
        <f t="shared" si="180"/>
        <v>0</v>
      </c>
      <c r="F98" s="84">
        <f t="shared" si="180"/>
        <v>0</v>
      </c>
      <c r="G98" s="84">
        <f t="shared" si="180"/>
        <v>0</v>
      </c>
      <c r="H98" s="84">
        <f t="shared" si="180"/>
        <v>0</v>
      </c>
      <c r="I98" s="84">
        <f t="shared" si="180"/>
        <v>0</v>
      </c>
      <c r="J98" s="84">
        <f t="shared" si="180"/>
        <v>0</v>
      </c>
      <c r="K98" s="84">
        <f t="shared" ref="K98:V98" si="189">IF(K8=0,0,K8/K30*1000000)</f>
        <v>0</v>
      </c>
      <c r="L98" s="84">
        <f t="shared" si="189"/>
        <v>0</v>
      </c>
      <c r="M98" s="84">
        <f t="shared" si="189"/>
        <v>0</v>
      </c>
      <c r="N98" s="84">
        <f t="shared" si="189"/>
        <v>0</v>
      </c>
      <c r="O98" s="84">
        <f t="shared" si="189"/>
        <v>0</v>
      </c>
      <c r="P98" s="84">
        <f t="shared" si="189"/>
        <v>0</v>
      </c>
      <c r="Q98" s="84">
        <f t="shared" si="189"/>
        <v>0</v>
      </c>
      <c r="R98" s="84">
        <f t="shared" si="189"/>
        <v>0</v>
      </c>
      <c r="S98" s="84">
        <f t="shared" si="189"/>
        <v>0</v>
      </c>
      <c r="T98" s="84">
        <f t="shared" si="189"/>
        <v>0</v>
      </c>
      <c r="U98" s="84">
        <f t="shared" si="189"/>
        <v>0</v>
      </c>
      <c r="V98" s="84">
        <f t="shared" si="189"/>
        <v>0</v>
      </c>
      <c r="W98" s="84">
        <f t="shared" ref="W98" si="190">IF(W8=0,0,W8/W30*1000000)</f>
        <v>0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0</v>
      </c>
      <c r="C100" s="28">
        <f t="shared" si="180"/>
        <v>0</v>
      </c>
      <c r="D100" s="28">
        <f t="shared" si="180"/>
        <v>0</v>
      </c>
      <c r="E100" s="28">
        <f t="shared" si="180"/>
        <v>0</v>
      </c>
      <c r="F100" s="28">
        <f t="shared" si="180"/>
        <v>0</v>
      </c>
      <c r="G100" s="28">
        <f t="shared" si="180"/>
        <v>0</v>
      </c>
      <c r="H100" s="28">
        <f t="shared" si="180"/>
        <v>0</v>
      </c>
      <c r="I100" s="28">
        <f t="shared" si="180"/>
        <v>0</v>
      </c>
      <c r="J100" s="28">
        <f t="shared" si="180"/>
        <v>0</v>
      </c>
      <c r="K100" s="28">
        <f t="shared" ref="K100:V100" si="193">IF(K10=0,0,K10/K32*1000000)</f>
        <v>0</v>
      </c>
      <c r="L100" s="28">
        <f t="shared" si="193"/>
        <v>0</v>
      </c>
      <c r="M100" s="28">
        <f t="shared" si="193"/>
        <v>0</v>
      </c>
      <c r="N100" s="28">
        <f t="shared" si="193"/>
        <v>0</v>
      </c>
      <c r="O100" s="28">
        <f t="shared" si="193"/>
        <v>0</v>
      </c>
      <c r="P100" s="28">
        <f t="shared" si="193"/>
        <v>0</v>
      </c>
      <c r="Q100" s="28">
        <f t="shared" si="193"/>
        <v>0</v>
      </c>
      <c r="R100" s="28">
        <f t="shared" si="193"/>
        <v>0</v>
      </c>
      <c r="S100" s="28">
        <f t="shared" si="193"/>
        <v>0</v>
      </c>
      <c r="T100" s="28">
        <f t="shared" si="193"/>
        <v>0</v>
      </c>
      <c r="U100" s="28">
        <f t="shared" si="193"/>
        <v>0</v>
      </c>
      <c r="V100" s="28">
        <f t="shared" si="193"/>
        <v>0</v>
      </c>
      <c r="W100" s="28">
        <f t="shared" ref="W100" si="194">IF(W10=0,0,W10/W32*1000000)</f>
        <v>0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0</v>
      </c>
      <c r="C101" s="84">
        <f t="shared" si="180"/>
        <v>0</v>
      </c>
      <c r="D101" s="84">
        <f t="shared" si="180"/>
        <v>0</v>
      </c>
      <c r="E101" s="84">
        <f t="shared" si="180"/>
        <v>0</v>
      </c>
      <c r="F101" s="84">
        <f t="shared" si="180"/>
        <v>0</v>
      </c>
      <c r="G101" s="84">
        <f t="shared" si="180"/>
        <v>0</v>
      </c>
      <c r="H101" s="84">
        <f t="shared" si="180"/>
        <v>0</v>
      </c>
      <c r="I101" s="84">
        <f t="shared" si="180"/>
        <v>0</v>
      </c>
      <c r="J101" s="84">
        <f t="shared" si="180"/>
        <v>0</v>
      </c>
      <c r="K101" s="84">
        <f t="shared" ref="K101:V101" si="195">IF(K11=0,0,K11/K33*1000000)</f>
        <v>0</v>
      </c>
      <c r="L101" s="84">
        <f t="shared" si="195"/>
        <v>0</v>
      </c>
      <c r="M101" s="84">
        <f t="shared" si="195"/>
        <v>0</v>
      </c>
      <c r="N101" s="84">
        <f t="shared" si="195"/>
        <v>0</v>
      </c>
      <c r="O101" s="84">
        <f t="shared" si="195"/>
        <v>0</v>
      </c>
      <c r="P101" s="84">
        <f t="shared" si="195"/>
        <v>0</v>
      </c>
      <c r="Q101" s="84">
        <f t="shared" si="195"/>
        <v>0</v>
      </c>
      <c r="R101" s="84">
        <f t="shared" si="195"/>
        <v>0</v>
      </c>
      <c r="S101" s="84">
        <f t="shared" si="195"/>
        <v>0</v>
      </c>
      <c r="T101" s="84">
        <f t="shared" si="195"/>
        <v>0</v>
      </c>
      <c r="U101" s="84">
        <f t="shared" si="195"/>
        <v>0</v>
      </c>
      <c r="V101" s="84">
        <f t="shared" si="195"/>
        <v>0</v>
      </c>
      <c r="W101" s="84">
        <f t="shared" ref="W101" si="196">IF(W11=0,0,W11/W33*1000000)</f>
        <v>0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" si="198">IF(W12=0,0,W12/W34*1000000)</f>
        <v>0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0</v>
      </c>
      <c r="C105" s="31">
        <f t="shared" si="199"/>
        <v>0</v>
      </c>
      <c r="D105" s="31">
        <f t="shared" si="199"/>
        <v>0</v>
      </c>
      <c r="E105" s="31">
        <f t="shared" si="199"/>
        <v>0</v>
      </c>
      <c r="F105" s="31">
        <f t="shared" si="199"/>
        <v>0</v>
      </c>
      <c r="G105" s="31">
        <f t="shared" si="199"/>
        <v>0</v>
      </c>
      <c r="H105" s="31">
        <f t="shared" si="199"/>
        <v>0</v>
      </c>
      <c r="I105" s="31">
        <f t="shared" si="199"/>
        <v>0</v>
      </c>
      <c r="J105" s="31">
        <f t="shared" si="199"/>
        <v>0</v>
      </c>
      <c r="K105" s="31">
        <f t="shared" ref="K105:V105" si="200">IF(K4=0,0,K4/K$4)</f>
        <v>0</v>
      </c>
      <c r="L105" s="31">
        <f t="shared" si="200"/>
        <v>0</v>
      </c>
      <c r="M105" s="31">
        <f t="shared" si="200"/>
        <v>0</v>
      </c>
      <c r="N105" s="31">
        <f t="shared" si="200"/>
        <v>0</v>
      </c>
      <c r="O105" s="31">
        <f t="shared" si="200"/>
        <v>0</v>
      </c>
      <c r="P105" s="31">
        <f t="shared" si="200"/>
        <v>0</v>
      </c>
      <c r="Q105" s="31">
        <f t="shared" si="200"/>
        <v>0</v>
      </c>
      <c r="R105" s="31">
        <f t="shared" si="200"/>
        <v>0</v>
      </c>
      <c r="S105" s="31">
        <f t="shared" si="200"/>
        <v>0</v>
      </c>
      <c r="T105" s="31">
        <f t="shared" si="200"/>
        <v>0</v>
      </c>
      <c r="U105" s="31">
        <f t="shared" si="200"/>
        <v>0</v>
      </c>
      <c r="V105" s="31">
        <f t="shared" si="200"/>
        <v>0</v>
      </c>
      <c r="W105" s="31">
        <f t="shared" ref="W105" si="201">IF(W4=0,0,W4/W$4)</f>
        <v>0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" si="203">IF(W5=0,0,W5/W$4)</f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0</v>
      </c>
      <c r="C107" s="124">
        <f t="shared" si="199"/>
        <v>0</v>
      </c>
      <c r="D107" s="124">
        <f t="shared" si="199"/>
        <v>0</v>
      </c>
      <c r="E107" s="124">
        <f t="shared" si="199"/>
        <v>0</v>
      </c>
      <c r="F107" s="124">
        <f t="shared" si="199"/>
        <v>0</v>
      </c>
      <c r="G107" s="124">
        <f t="shared" si="199"/>
        <v>0</v>
      </c>
      <c r="H107" s="124">
        <f t="shared" si="199"/>
        <v>0</v>
      </c>
      <c r="I107" s="124">
        <f t="shared" si="199"/>
        <v>0</v>
      </c>
      <c r="J107" s="124">
        <f t="shared" si="199"/>
        <v>0</v>
      </c>
      <c r="K107" s="124">
        <f t="shared" ref="K107:V107" si="204">IF(K6=0,0,K6/K$4)</f>
        <v>0</v>
      </c>
      <c r="L107" s="124">
        <f t="shared" si="204"/>
        <v>0</v>
      </c>
      <c r="M107" s="124">
        <f t="shared" si="204"/>
        <v>0</v>
      </c>
      <c r="N107" s="124">
        <f t="shared" si="204"/>
        <v>0</v>
      </c>
      <c r="O107" s="124">
        <f t="shared" si="204"/>
        <v>0</v>
      </c>
      <c r="P107" s="124">
        <f t="shared" si="204"/>
        <v>0</v>
      </c>
      <c r="Q107" s="124">
        <f t="shared" si="204"/>
        <v>0</v>
      </c>
      <c r="R107" s="124">
        <f t="shared" si="204"/>
        <v>0</v>
      </c>
      <c r="S107" s="124">
        <f t="shared" si="204"/>
        <v>0</v>
      </c>
      <c r="T107" s="124">
        <f t="shared" si="204"/>
        <v>0</v>
      </c>
      <c r="U107" s="124">
        <f t="shared" si="204"/>
        <v>0</v>
      </c>
      <c r="V107" s="124">
        <f t="shared" si="204"/>
        <v>0</v>
      </c>
      <c r="W107" s="124">
        <f t="shared" ref="W107" si="205">IF(W6=0,0,W6/W$4)</f>
        <v>0</v>
      </c>
      <c r="DA107" s="176"/>
    </row>
    <row r="108" spans="1:105" ht="11.45" customHeight="1" x14ac:dyDescent="0.25">
      <c r="A108" s="111" t="s">
        <v>92</v>
      </c>
      <c r="B108" s="125">
        <f t="shared" si="199"/>
        <v>0</v>
      </c>
      <c r="C108" s="125">
        <f t="shared" si="199"/>
        <v>0</v>
      </c>
      <c r="D108" s="125">
        <f t="shared" si="199"/>
        <v>0</v>
      </c>
      <c r="E108" s="125">
        <f t="shared" si="199"/>
        <v>0</v>
      </c>
      <c r="F108" s="125">
        <f t="shared" si="199"/>
        <v>0</v>
      </c>
      <c r="G108" s="125">
        <f t="shared" si="199"/>
        <v>0</v>
      </c>
      <c r="H108" s="125">
        <f t="shared" si="199"/>
        <v>0</v>
      </c>
      <c r="I108" s="125">
        <f t="shared" si="199"/>
        <v>0</v>
      </c>
      <c r="J108" s="125">
        <f t="shared" si="199"/>
        <v>0</v>
      </c>
      <c r="K108" s="125">
        <f t="shared" ref="K108:V108" si="206">IF(K7=0,0,K7/K$4)</f>
        <v>0</v>
      </c>
      <c r="L108" s="125">
        <f t="shared" si="206"/>
        <v>0</v>
      </c>
      <c r="M108" s="125">
        <f t="shared" si="206"/>
        <v>0</v>
      </c>
      <c r="N108" s="125">
        <f t="shared" si="206"/>
        <v>0</v>
      </c>
      <c r="O108" s="125">
        <f t="shared" si="206"/>
        <v>0</v>
      </c>
      <c r="P108" s="125">
        <f t="shared" si="206"/>
        <v>0</v>
      </c>
      <c r="Q108" s="125">
        <f t="shared" si="206"/>
        <v>0</v>
      </c>
      <c r="R108" s="125">
        <f t="shared" si="206"/>
        <v>0</v>
      </c>
      <c r="S108" s="125">
        <f t="shared" si="206"/>
        <v>0</v>
      </c>
      <c r="T108" s="125">
        <f t="shared" si="206"/>
        <v>0</v>
      </c>
      <c r="U108" s="125">
        <f t="shared" si="206"/>
        <v>0</v>
      </c>
      <c r="V108" s="125">
        <f t="shared" si="206"/>
        <v>0</v>
      </c>
      <c r="W108" s="125">
        <f t="shared" ref="W108" si="207">IF(W7=0,0,W7/W$4)</f>
        <v>0</v>
      </c>
      <c r="DA108" s="171"/>
    </row>
    <row r="109" spans="1:105" ht="11.45" customHeight="1" x14ac:dyDescent="0.25">
      <c r="A109" s="111" t="s">
        <v>93</v>
      </c>
      <c r="B109" s="125">
        <f t="shared" si="199"/>
        <v>0</v>
      </c>
      <c r="C109" s="125">
        <f t="shared" si="199"/>
        <v>0</v>
      </c>
      <c r="D109" s="125">
        <f t="shared" si="199"/>
        <v>0</v>
      </c>
      <c r="E109" s="125">
        <f t="shared" si="199"/>
        <v>0</v>
      </c>
      <c r="F109" s="125">
        <f t="shared" si="199"/>
        <v>0</v>
      </c>
      <c r="G109" s="125">
        <f t="shared" si="199"/>
        <v>0</v>
      </c>
      <c r="H109" s="125">
        <f t="shared" si="199"/>
        <v>0</v>
      </c>
      <c r="I109" s="125">
        <f t="shared" si="199"/>
        <v>0</v>
      </c>
      <c r="J109" s="125">
        <f t="shared" si="199"/>
        <v>0</v>
      </c>
      <c r="K109" s="125">
        <f t="shared" ref="K109:V109" si="208">IF(K8=0,0,K8/K$4)</f>
        <v>0</v>
      </c>
      <c r="L109" s="125">
        <f t="shared" si="208"/>
        <v>0</v>
      </c>
      <c r="M109" s="125">
        <f t="shared" si="208"/>
        <v>0</v>
      </c>
      <c r="N109" s="125">
        <f t="shared" si="208"/>
        <v>0</v>
      </c>
      <c r="O109" s="125">
        <f t="shared" si="208"/>
        <v>0</v>
      </c>
      <c r="P109" s="125">
        <f t="shared" si="208"/>
        <v>0</v>
      </c>
      <c r="Q109" s="125">
        <f t="shared" si="208"/>
        <v>0</v>
      </c>
      <c r="R109" s="125">
        <f t="shared" si="208"/>
        <v>0</v>
      </c>
      <c r="S109" s="125">
        <f t="shared" si="208"/>
        <v>0</v>
      </c>
      <c r="T109" s="125">
        <f t="shared" si="208"/>
        <v>0</v>
      </c>
      <c r="U109" s="125">
        <f t="shared" si="208"/>
        <v>0</v>
      </c>
      <c r="V109" s="125">
        <f t="shared" si="208"/>
        <v>0</v>
      </c>
      <c r="W109" s="125">
        <f t="shared" ref="W109" si="209">IF(W8=0,0,W8/W$4)</f>
        <v>0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0</v>
      </c>
      <c r="C111" s="31">
        <f t="shared" si="212"/>
        <v>0</v>
      </c>
      <c r="D111" s="31">
        <f t="shared" si="212"/>
        <v>0</v>
      </c>
      <c r="E111" s="31">
        <f t="shared" si="212"/>
        <v>0</v>
      </c>
      <c r="F111" s="31">
        <f t="shared" si="212"/>
        <v>0</v>
      </c>
      <c r="G111" s="31">
        <f t="shared" si="212"/>
        <v>0</v>
      </c>
      <c r="H111" s="31">
        <f t="shared" si="212"/>
        <v>0</v>
      </c>
      <c r="I111" s="31">
        <f t="shared" si="212"/>
        <v>0</v>
      </c>
      <c r="J111" s="31">
        <f t="shared" si="212"/>
        <v>0</v>
      </c>
      <c r="K111" s="31">
        <f t="shared" ref="K111:V111" si="213">IF(K10=0,0,K10/K$10)</f>
        <v>0</v>
      </c>
      <c r="L111" s="31">
        <f t="shared" si="213"/>
        <v>0</v>
      </c>
      <c r="M111" s="31">
        <f t="shared" si="213"/>
        <v>0</v>
      </c>
      <c r="N111" s="31">
        <f t="shared" si="213"/>
        <v>0</v>
      </c>
      <c r="O111" s="31">
        <f t="shared" si="213"/>
        <v>0</v>
      </c>
      <c r="P111" s="31">
        <f t="shared" si="213"/>
        <v>0</v>
      </c>
      <c r="Q111" s="31">
        <f t="shared" si="213"/>
        <v>0</v>
      </c>
      <c r="R111" s="31">
        <f t="shared" si="213"/>
        <v>0</v>
      </c>
      <c r="S111" s="31">
        <f t="shared" si="213"/>
        <v>0</v>
      </c>
      <c r="T111" s="31">
        <f t="shared" si="213"/>
        <v>0</v>
      </c>
      <c r="U111" s="31">
        <f t="shared" si="213"/>
        <v>0</v>
      </c>
      <c r="V111" s="31">
        <f t="shared" si="213"/>
        <v>0</v>
      </c>
      <c r="W111" s="31">
        <f t="shared" ref="W111" si="214">IF(W10=0,0,W10/W$10)</f>
        <v>0</v>
      </c>
      <c r="DA111" s="173"/>
    </row>
    <row r="112" spans="1:105" ht="11.45" customHeight="1" x14ac:dyDescent="0.25">
      <c r="A112" s="83" t="s">
        <v>92</v>
      </c>
      <c r="B112" s="125">
        <f t="shared" si="212"/>
        <v>0</v>
      </c>
      <c r="C112" s="125">
        <f t="shared" si="212"/>
        <v>0</v>
      </c>
      <c r="D112" s="125">
        <f t="shared" si="212"/>
        <v>0</v>
      </c>
      <c r="E112" s="125">
        <f t="shared" si="212"/>
        <v>0</v>
      </c>
      <c r="F112" s="125">
        <f t="shared" si="212"/>
        <v>0</v>
      </c>
      <c r="G112" s="125">
        <f t="shared" si="212"/>
        <v>0</v>
      </c>
      <c r="H112" s="125">
        <f t="shared" si="212"/>
        <v>0</v>
      </c>
      <c r="I112" s="125">
        <f t="shared" si="212"/>
        <v>0</v>
      </c>
      <c r="J112" s="125">
        <f t="shared" si="212"/>
        <v>0</v>
      </c>
      <c r="K112" s="125">
        <f t="shared" ref="K112:V112" si="215">IF(K11=0,0,K11/K$10)</f>
        <v>0</v>
      </c>
      <c r="L112" s="125">
        <f t="shared" si="215"/>
        <v>0</v>
      </c>
      <c r="M112" s="125">
        <f t="shared" si="215"/>
        <v>0</v>
      </c>
      <c r="N112" s="125">
        <f t="shared" si="215"/>
        <v>0</v>
      </c>
      <c r="O112" s="125">
        <f t="shared" si="215"/>
        <v>0</v>
      </c>
      <c r="P112" s="125">
        <f t="shared" si="215"/>
        <v>0</v>
      </c>
      <c r="Q112" s="125">
        <f t="shared" si="215"/>
        <v>0</v>
      </c>
      <c r="R112" s="125">
        <f t="shared" si="215"/>
        <v>0</v>
      </c>
      <c r="S112" s="125">
        <f t="shared" si="215"/>
        <v>0</v>
      </c>
      <c r="T112" s="125">
        <f t="shared" si="215"/>
        <v>0</v>
      </c>
      <c r="U112" s="125">
        <f t="shared" si="215"/>
        <v>0</v>
      </c>
      <c r="V112" s="125">
        <f t="shared" si="215"/>
        <v>0</v>
      </c>
      <c r="W112" s="125">
        <f t="shared" ref="W112" si="216">IF(W11=0,0,W11/W$10)</f>
        <v>0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" si="218">IF(W12=0,0,W12/W$10)</f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0</v>
      </c>
      <c r="C116" s="31">
        <f t="shared" si="219"/>
        <v>0</v>
      </c>
      <c r="D116" s="31">
        <f t="shared" si="219"/>
        <v>0</v>
      </c>
      <c r="E116" s="31">
        <f t="shared" si="219"/>
        <v>0</v>
      </c>
      <c r="F116" s="31">
        <f t="shared" si="219"/>
        <v>0</v>
      </c>
      <c r="G116" s="31">
        <f t="shared" si="219"/>
        <v>0</v>
      </c>
      <c r="H116" s="31">
        <f t="shared" si="219"/>
        <v>0</v>
      </c>
      <c r="I116" s="31">
        <f t="shared" si="219"/>
        <v>0</v>
      </c>
      <c r="J116" s="31">
        <f t="shared" si="219"/>
        <v>0</v>
      </c>
      <c r="K116" s="31">
        <f t="shared" ref="K116:V116" si="220">IF(K15=0,0,K15/K$15)</f>
        <v>0</v>
      </c>
      <c r="L116" s="31">
        <f t="shared" si="220"/>
        <v>0</v>
      </c>
      <c r="M116" s="31">
        <f t="shared" si="220"/>
        <v>0</v>
      </c>
      <c r="N116" s="31">
        <f t="shared" si="220"/>
        <v>0</v>
      </c>
      <c r="O116" s="31">
        <f t="shared" si="220"/>
        <v>0</v>
      </c>
      <c r="P116" s="31">
        <f t="shared" si="220"/>
        <v>0</v>
      </c>
      <c r="Q116" s="31">
        <f t="shared" si="220"/>
        <v>0</v>
      </c>
      <c r="R116" s="31">
        <f t="shared" si="220"/>
        <v>0</v>
      </c>
      <c r="S116" s="31">
        <f t="shared" si="220"/>
        <v>0</v>
      </c>
      <c r="T116" s="31">
        <f t="shared" si="220"/>
        <v>0</v>
      </c>
      <c r="U116" s="31">
        <f t="shared" si="220"/>
        <v>0</v>
      </c>
      <c r="V116" s="31">
        <f t="shared" si="220"/>
        <v>0</v>
      </c>
      <c r="W116" s="31">
        <f t="shared" ref="W116" si="221">IF(W15=0,0,W15/W$15)</f>
        <v>0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" si="223">IF(W16=0,0,W16/W$15)</f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0</v>
      </c>
      <c r="C118" s="124">
        <f t="shared" si="219"/>
        <v>0</v>
      </c>
      <c r="D118" s="124">
        <f t="shared" si="219"/>
        <v>0</v>
      </c>
      <c r="E118" s="124">
        <f t="shared" si="219"/>
        <v>0</v>
      </c>
      <c r="F118" s="124">
        <f t="shared" si="219"/>
        <v>0</v>
      </c>
      <c r="G118" s="124">
        <f t="shared" si="219"/>
        <v>0</v>
      </c>
      <c r="H118" s="124">
        <f t="shared" si="219"/>
        <v>0</v>
      </c>
      <c r="I118" s="124">
        <f t="shared" si="219"/>
        <v>0</v>
      </c>
      <c r="J118" s="124">
        <f t="shared" si="219"/>
        <v>0</v>
      </c>
      <c r="K118" s="124">
        <f t="shared" ref="K118:V118" si="224">IF(K17=0,0,K17/K$15)</f>
        <v>0</v>
      </c>
      <c r="L118" s="124">
        <f t="shared" si="224"/>
        <v>0</v>
      </c>
      <c r="M118" s="124">
        <f t="shared" si="224"/>
        <v>0</v>
      </c>
      <c r="N118" s="124">
        <f t="shared" si="224"/>
        <v>0</v>
      </c>
      <c r="O118" s="124">
        <f t="shared" si="224"/>
        <v>0</v>
      </c>
      <c r="P118" s="124">
        <f t="shared" si="224"/>
        <v>0</v>
      </c>
      <c r="Q118" s="124">
        <f t="shared" si="224"/>
        <v>0</v>
      </c>
      <c r="R118" s="124">
        <f t="shared" si="224"/>
        <v>0</v>
      </c>
      <c r="S118" s="124">
        <f t="shared" si="224"/>
        <v>0</v>
      </c>
      <c r="T118" s="124">
        <f t="shared" si="224"/>
        <v>0</v>
      </c>
      <c r="U118" s="124">
        <f t="shared" si="224"/>
        <v>0</v>
      </c>
      <c r="V118" s="124">
        <f t="shared" si="224"/>
        <v>0</v>
      </c>
      <c r="W118" s="124">
        <f t="shared" ref="W118" si="225">IF(W17=0,0,W17/W$15)</f>
        <v>0</v>
      </c>
      <c r="DA118" s="176"/>
    </row>
    <row r="119" spans="1:105" ht="11.45" customHeight="1" x14ac:dyDescent="0.25">
      <c r="A119" s="111" t="s">
        <v>92</v>
      </c>
      <c r="B119" s="125">
        <f t="shared" si="219"/>
        <v>0</v>
      </c>
      <c r="C119" s="125">
        <f t="shared" si="219"/>
        <v>0</v>
      </c>
      <c r="D119" s="125">
        <f t="shared" si="219"/>
        <v>0</v>
      </c>
      <c r="E119" s="125">
        <f t="shared" si="219"/>
        <v>0</v>
      </c>
      <c r="F119" s="125">
        <f t="shared" si="219"/>
        <v>0</v>
      </c>
      <c r="G119" s="125">
        <f t="shared" si="219"/>
        <v>0</v>
      </c>
      <c r="H119" s="125">
        <f t="shared" si="219"/>
        <v>0</v>
      </c>
      <c r="I119" s="125">
        <f t="shared" si="219"/>
        <v>0</v>
      </c>
      <c r="J119" s="125">
        <f t="shared" si="219"/>
        <v>0</v>
      </c>
      <c r="K119" s="125">
        <f t="shared" ref="K119:V119" si="226">IF(K18=0,0,K18/K$15)</f>
        <v>0</v>
      </c>
      <c r="L119" s="125">
        <f t="shared" si="226"/>
        <v>0</v>
      </c>
      <c r="M119" s="125">
        <f t="shared" si="226"/>
        <v>0</v>
      </c>
      <c r="N119" s="125">
        <f t="shared" si="226"/>
        <v>0</v>
      </c>
      <c r="O119" s="125">
        <f t="shared" si="226"/>
        <v>0</v>
      </c>
      <c r="P119" s="125">
        <f t="shared" si="226"/>
        <v>0</v>
      </c>
      <c r="Q119" s="125">
        <f t="shared" si="226"/>
        <v>0</v>
      </c>
      <c r="R119" s="125">
        <f t="shared" si="226"/>
        <v>0</v>
      </c>
      <c r="S119" s="125">
        <f t="shared" si="226"/>
        <v>0</v>
      </c>
      <c r="T119" s="125">
        <f t="shared" si="226"/>
        <v>0</v>
      </c>
      <c r="U119" s="125">
        <f t="shared" si="226"/>
        <v>0</v>
      </c>
      <c r="V119" s="125">
        <f t="shared" si="226"/>
        <v>0</v>
      </c>
      <c r="W119" s="125">
        <f t="shared" ref="W119" si="227">IF(W18=0,0,W18/W$15)</f>
        <v>0</v>
      </c>
      <c r="DA119" s="171"/>
    </row>
    <row r="120" spans="1:105" ht="11.45" customHeight="1" x14ac:dyDescent="0.25">
      <c r="A120" s="111" t="s">
        <v>93</v>
      </c>
      <c r="B120" s="125">
        <f t="shared" si="219"/>
        <v>0</v>
      </c>
      <c r="C120" s="125">
        <f t="shared" si="219"/>
        <v>0</v>
      </c>
      <c r="D120" s="125">
        <f t="shared" si="219"/>
        <v>0</v>
      </c>
      <c r="E120" s="125">
        <f t="shared" si="219"/>
        <v>0</v>
      </c>
      <c r="F120" s="125">
        <f t="shared" si="219"/>
        <v>0</v>
      </c>
      <c r="G120" s="125">
        <f t="shared" si="219"/>
        <v>0</v>
      </c>
      <c r="H120" s="125">
        <f t="shared" si="219"/>
        <v>0</v>
      </c>
      <c r="I120" s="125">
        <f t="shared" si="219"/>
        <v>0</v>
      </c>
      <c r="J120" s="125">
        <f t="shared" si="219"/>
        <v>0</v>
      </c>
      <c r="K120" s="125">
        <f t="shared" ref="K120:V120" si="228">IF(K19=0,0,K19/K$15)</f>
        <v>0</v>
      </c>
      <c r="L120" s="125">
        <f t="shared" si="228"/>
        <v>0</v>
      </c>
      <c r="M120" s="125">
        <f t="shared" si="228"/>
        <v>0</v>
      </c>
      <c r="N120" s="125">
        <f t="shared" si="228"/>
        <v>0</v>
      </c>
      <c r="O120" s="125">
        <f t="shared" si="228"/>
        <v>0</v>
      </c>
      <c r="P120" s="125">
        <f t="shared" si="228"/>
        <v>0</v>
      </c>
      <c r="Q120" s="125">
        <f t="shared" si="228"/>
        <v>0</v>
      </c>
      <c r="R120" s="125">
        <f t="shared" si="228"/>
        <v>0</v>
      </c>
      <c r="S120" s="125">
        <f t="shared" si="228"/>
        <v>0</v>
      </c>
      <c r="T120" s="125">
        <f t="shared" si="228"/>
        <v>0</v>
      </c>
      <c r="U120" s="125">
        <f t="shared" si="228"/>
        <v>0</v>
      </c>
      <c r="V120" s="125">
        <f t="shared" si="228"/>
        <v>0</v>
      </c>
      <c r="W120" s="125">
        <f t="shared" ref="W120" si="229">IF(W19=0,0,W19/W$15)</f>
        <v>0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0</v>
      </c>
      <c r="C122" s="31">
        <f t="shared" si="232"/>
        <v>0</v>
      </c>
      <c r="D122" s="31">
        <f t="shared" si="232"/>
        <v>0</v>
      </c>
      <c r="E122" s="31">
        <f t="shared" si="232"/>
        <v>0</v>
      </c>
      <c r="F122" s="31">
        <f t="shared" si="232"/>
        <v>0</v>
      </c>
      <c r="G122" s="31">
        <f t="shared" si="232"/>
        <v>0</v>
      </c>
      <c r="H122" s="31">
        <f t="shared" si="232"/>
        <v>0</v>
      </c>
      <c r="I122" s="31">
        <f t="shared" si="232"/>
        <v>0</v>
      </c>
      <c r="J122" s="31">
        <f t="shared" si="232"/>
        <v>0</v>
      </c>
      <c r="K122" s="31">
        <f t="shared" ref="K122:V122" si="233">IF(K21=0,0,K21/K$21)</f>
        <v>0</v>
      </c>
      <c r="L122" s="31">
        <f t="shared" si="233"/>
        <v>0</v>
      </c>
      <c r="M122" s="31">
        <f t="shared" si="233"/>
        <v>0</v>
      </c>
      <c r="N122" s="31">
        <f t="shared" si="233"/>
        <v>0</v>
      </c>
      <c r="O122" s="31">
        <f t="shared" si="233"/>
        <v>0</v>
      </c>
      <c r="P122" s="31">
        <f t="shared" si="233"/>
        <v>0</v>
      </c>
      <c r="Q122" s="31">
        <f t="shared" si="233"/>
        <v>0</v>
      </c>
      <c r="R122" s="31">
        <f t="shared" si="233"/>
        <v>0</v>
      </c>
      <c r="S122" s="31">
        <f t="shared" si="233"/>
        <v>0</v>
      </c>
      <c r="T122" s="31">
        <f t="shared" si="233"/>
        <v>0</v>
      </c>
      <c r="U122" s="31">
        <f t="shared" si="233"/>
        <v>0</v>
      </c>
      <c r="V122" s="31">
        <f t="shared" si="233"/>
        <v>0</v>
      </c>
      <c r="W122" s="31">
        <f t="shared" ref="W122" si="234">IF(W21=0,0,W21/W$21)</f>
        <v>0</v>
      </c>
      <c r="DA122" s="173"/>
    </row>
    <row r="123" spans="1:105" ht="11.45" customHeight="1" x14ac:dyDescent="0.25">
      <c r="A123" s="83" t="s">
        <v>92</v>
      </c>
      <c r="B123" s="125">
        <f t="shared" si="232"/>
        <v>0</v>
      </c>
      <c r="C123" s="125">
        <f t="shared" si="232"/>
        <v>0</v>
      </c>
      <c r="D123" s="125">
        <f t="shared" si="232"/>
        <v>0</v>
      </c>
      <c r="E123" s="125">
        <f t="shared" si="232"/>
        <v>0</v>
      </c>
      <c r="F123" s="125">
        <f t="shared" si="232"/>
        <v>0</v>
      </c>
      <c r="G123" s="125">
        <f t="shared" si="232"/>
        <v>0</v>
      </c>
      <c r="H123" s="125">
        <f t="shared" si="232"/>
        <v>0</v>
      </c>
      <c r="I123" s="125">
        <f t="shared" si="232"/>
        <v>0</v>
      </c>
      <c r="J123" s="125">
        <f t="shared" si="232"/>
        <v>0</v>
      </c>
      <c r="K123" s="125">
        <f t="shared" ref="K123:V123" si="235">IF(K22=0,0,K22/K$21)</f>
        <v>0</v>
      </c>
      <c r="L123" s="125">
        <f t="shared" si="235"/>
        <v>0</v>
      </c>
      <c r="M123" s="125">
        <f t="shared" si="235"/>
        <v>0</v>
      </c>
      <c r="N123" s="125">
        <f t="shared" si="235"/>
        <v>0</v>
      </c>
      <c r="O123" s="125">
        <f t="shared" si="235"/>
        <v>0</v>
      </c>
      <c r="P123" s="125">
        <f t="shared" si="235"/>
        <v>0</v>
      </c>
      <c r="Q123" s="125">
        <f t="shared" si="235"/>
        <v>0</v>
      </c>
      <c r="R123" s="125">
        <f t="shared" si="235"/>
        <v>0</v>
      </c>
      <c r="S123" s="125">
        <f t="shared" si="235"/>
        <v>0</v>
      </c>
      <c r="T123" s="125">
        <f t="shared" si="235"/>
        <v>0</v>
      </c>
      <c r="U123" s="125">
        <f t="shared" si="235"/>
        <v>0</v>
      </c>
      <c r="V123" s="125">
        <f t="shared" si="235"/>
        <v>0</v>
      </c>
      <c r="W123" s="125">
        <f t="shared" ref="W123" si="236">IF(W22=0,0,W22/W$21)</f>
        <v>0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" si="238">IF(W23=0,0,W23/W$21)</f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0</v>
      </c>
      <c r="C4" s="146">
        <f t="shared" ref="C4:V4" si="0">SUM(C5,C8)</f>
        <v>0</v>
      </c>
      <c r="D4" s="146">
        <f t="shared" si="0"/>
        <v>0</v>
      </c>
      <c r="E4" s="146">
        <f t="shared" si="0"/>
        <v>0</v>
      </c>
      <c r="F4" s="146">
        <f t="shared" si="0"/>
        <v>0</v>
      </c>
      <c r="G4" s="146">
        <f t="shared" si="0"/>
        <v>0</v>
      </c>
      <c r="H4" s="146">
        <f t="shared" si="0"/>
        <v>0</v>
      </c>
      <c r="I4" s="146">
        <f t="shared" si="0"/>
        <v>0</v>
      </c>
      <c r="J4" s="146">
        <f t="shared" si="0"/>
        <v>0</v>
      </c>
      <c r="K4" s="146">
        <f t="shared" si="0"/>
        <v>0</v>
      </c>
      <c r="L4" s="146">
        <f t="shared" si="0"/>
        <v>0</v>
      </c>
      <c r="M4" s="146">
        <f t="shared" si="0"/>
        <v>0</v>
      </c>
      <c r="N4" s="146">
        <f t="shared" si="0"/>
        <v>0</v>
      </c>
      <c r="O4" s="146">
        <f t="shared" si="0"/>
        <v>0</v>
      </c>
      <c r="P4" s="146">
        <f t="shared" si="0"/>
        <v>0</v>
      </c>
      <c r="Q4" s="146">
        <f t="shared" si="0"/>
        <v>0</v>
      </c>
      <c r="R4" s="146">
        <f t="shared" si="0"/>
        <v>0</v>
      </c>
      <c r="S4" s="146">
        <f t="shared" si="0"/>
        <v>0</v>
      </c>
      <c r="T4" s="146">
        <f t="shared" si="0"/>
        <v>0</v>
      </c>
      <c r="U4" s="146">
        <f t="shared" si="0"/>
        <v>0</v>
      </c>
      <c r="V4" s="146">
        <f t="shared" si="0"/>
        <v>0</v>
      </c>
      <c r="W4" s="146">
        <f t="shared" ref="W4" si="1">SUM(W5,W8)</f>
        <v>0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0</v>
      </c>
      <c r="C5" s="101">
        <f t="shared" ref="C5:V5" si="2">SUM(C6:C7)</f>
        <v>0</v>
      </c>
      <c r="D5" s="101">
        <f t="shared" si="2"/>
        <v>0</v>
      </c>
      <c r="E5" s="101">
        <f t="shared" si="2"/>
        <v>0</v>
      </c>
      <c r="F5" s="101">
        <f t="shared" si="2"/>
        <v>0</v>
      </c>
      <c r="G5" s="101">
        <f t="shared" si="2"/>
        <v>0</v>
      </c>
      <c r="H5" s="101">
        <f t="shared" si="2"/>
        <v>0</v>
      </c>
      <c r="I5" s="101">
        <f t="shared" si="2"/>
        <v>0</v>
      </c>
      <c r="J5" s="101">
        <f t="shared" si="2"/>
        <v>0</v>
      </c>
      <c r="K5" s="101">
        <f t="shared" si="2"/>
        <v>0</v>
      </c>
      <c r="L5" s="101">
        <f t="shared" si="2"/>
        <v>0</v>
      </c>
      <c r="M5" s="101">
        <f t="shared" si="2"/>
        <v>0</v>
      </c>
      <c r="N5" s="101">
        <f t="shared" si="2"/>
        <v>0</v>
      </c>
      <c r="O5" s="101">
        <f t="shared" si="2"/>
        <v>0</v>
      </c>
      <c r="P5" s="101">
        <f t="shared" si="2"/>
        <v>0</v>
      </c>
      <c r="Q5" s="101">
        <f t="shared" si="2"/>
        <v>0</v>
      </c>
      <c r="R5" s="101">
        <f t="shared" si="2"/>
        <v>0</v>
      </c>
      <c r="S5" s="101">
        <f t="shared" si="2"/>
        <v>0</v>
      </c>
      <c r="T5" s="101">
        <f t="shared" si="2"/>
        <v>0</v>
      </c>
      <c r="U5" s="101">
        <f t="shared" si="2"/>
        <v>0</v>
      </c>
      <c r="V5" s="101">
        <f t="shared" si="2"/>
        <v>0</v>
      </c>
      <c r="W5" s="101">
        <f t="shared" ref="W5" si="3">SUM(W6:W7)</f>
        <v>0</v>
      </c>
      <c r="DA5" s="175"/>
    </row>
    <row r="6" spans="1:105" ht="11.45" customHeight="1" x14ac:dyDescent="0.25">
      <c r="A6" s="164" t="s">
        <v>182</v>
      </c>
      <c r="B6" s="165">
        <v>0</v>
      </c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65">
        <v>0</v>
      </c>
      <c r="W6" s="165">
        <v>0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0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0</v>
      </c>
      <c r="C10" s="62">
        <f t="shared" ref="C10:V10" si="5">SUM(C11,C17)</f>
        <v>0</v>
      </c>
      <c r="D10" s="62">
        <f t="shared" si="5"/>
        <v>0</v>
      </c>
      <c r="E10" s="62">
        <f t="shared" si="5"/>
        <v>0</v>
      </c>
      <c r="F10" s="62">
        <f t="shared" si="5"/>
        <v>0</v>
      </c>
      <c r="G10" s="62">
        <f t="shared" si="5"/>
        <v>0</v>
      </c>
      <c r="H10" s="62">
        <f t="shared" si="5"/>
        <v>0</v>
      </c>
      <c r="I10" s="62">
        <f t="shared" si="5"/>
        <v>0</v>
      </c>
      <c r="J10" s="62">
        <f t="shared" si="5"/>
        <v>0</v>
      </c>
      <c r="K10" s="62">
        <f t="shared" si="5"/>
        <v>0</v>
      </c>
      <c r="L10" s="62">
        <f t="shared" si="5"/>
        <v>0</v>
      </c>
      <c r="M10" s="62">
        <f t="shared" si="5"/>
        <v>0</v>
      </c>
      <c r="N10" s="62">
        <f t="shared" si="5"/>
        <v>0</v>
      </c>
      <c r="O10" s="62">
        <f t="shared" si="5"/>
        <v>0</v>
      </c>
      <c r="P10" s="62">
        <f t="shared" si="5"/>
        <v>0</v>
      </c>
      <c r="Q10" s="62">
        <f t="shared" si="5"/>
        <v>0</v>
      </c>
      <c r="R10" s="62">
        <f t="shared" si="5"/>
        <v>0</v>
      </c>
      <c r="S10" s="62">
        <f t="shared" si="5"/>
        <v>0</v>
      </c>
      <c r="T10" s="62">
        <f t="shared" si="5"/>
        <v>0</v>
      </c>
      <c r="U10" s="62">
        <f t="shared" si="5"/>
        <v>0</v>
      </c>
      <c r="V10" s="62">
        <f t="shared" si="5"/>
        <v>0</v>
      </c>
      <c r="W10" s="62">
        <f t="shared" ref="W10" si="6">SUM(W11,W17)</f>
        <v>0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0</v>
      </c>
      <c r="C11" s="29">
        <f t="shared" ref="C11:V11" si="8">SUM(C12,C13,C16)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" si="9">SUM(W12,W13,W16)</f>
        <v>0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0</v>
      </c>
      <c r="C13" s="116">
        <f t="shared" ref="C13:V13" si="11">SUM(C14:C15)</f>
        <v>0</v>
      </c>
      <c r="D13" s="116">
        <f t="shared" si="11"/>
        <v>0</v>
      </c>
      <c r="E13" s="116">
        <f t="shared" si="11"/>
        <v>0</v>
      </c>
      <c r="F13" s="116">
        <f t="shared" si="11"/>
        <v>0</v>
      </c>
      <c r="G13" s="116">
        <f t="shared" si="11"/>
        <v>0</v>
      </c>
      <c r="H13" s="116">
        <f t="shared" si="11"/>
        <v>0</v>
      </c>
      <c r="I13" s="116">
        <f t="shared" si="11"/>
        <v>0</v>
      </c>
      <c r="J13" s="116">
        <f t="shared" si="11"/>
        <v>0</v>
      </c>
      <c r="K13" s="116">
        <f t="shared" si="11"/>
        <v>0</v>
      </c>
      <c r="L13" s="116">
        <f t="shared" si="11"/>
        <v>0</v>
      </c>
      <c r="M13" s="116">
        <f t="shared" si="11"/>
        <v>0</v>
      </c>
      <c r="N13" s="116">
        <f t="shared" si="11"/>
        <v>0</v>
      </c>
      <c r="O13" s="116">
        <f t="shared" si="11"/>
        <v>0</v>
      </c>
      <c r="P13" s="116">
        <f t="shared" si="11"/>
        <v>0</v>
      </c>
      <c r="Q13" s="116">
        <f t="shared" si="11"/>
        <v>0</v>
      </c>
      <c r="R13" s="116">
        <f t="shared" si="11"/>
        <v>0</v>
      </c>
      <c r="S13" s="116">
        <f t="shared" si="11"/>
        <v>0</v>
      </c>
      <c r="T13" s="116">
        <f t="shared" si="11"/>
        <v>0</v>
      </c>
      <c r="U13" s="116">
        <f t="shared" si="11"/>
        <v>0</v>
      </c>
      <c r="V13" s="116">
        <f t="shared" si="11"/>
        <v>0</v>
      </c>
      <c r="W13" s="116">
        <f t="shared" ref="W13" si="12">SUM(W14:W15)</f>
        <v>0</v>
      </c>
      <c r="DA13" s="176" t="s">
        <v>396</v>
      </c>
    </row>
    <row r="14" spans="1:105" ht="11.45" customHeight="1" x14ac:dyDescent="0.25">
      <c r="A14" s="111" t="s">
        <v>95</v>
      </c>
      <c r="B14" s="87">
        <v>0</v>
      </c>
      <c r="C14" s="87">
        <v>0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7">
        <v>0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DA14" s="171" t="s">
        <v>1106</v>
      </c>
    </row>
    <row r="15" spans="1:105" ht="11.45" customHeight="1" x14ac:dyDescent="0.25">
      <c r="A15" s="111" t="s">
        <v>93</v>
      </c>
      <c r="B15" s="87">
        <v>0</v>
      </c>
      <c r="C15" s="87">
        <v>0</v>
      </c>
      <c r="D15" s="87">
        <v>0</v>
      </c>
      <c r="E15" s="87">
        <v>0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  <c r="P15" s="87">
        <v>0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0</v>
      </c>
      <c r="C17" s="29">
        <f t="shared" si="13"/>
        <v>0</v>
      </c>
      <c r="D17" s="29">
        <f t="shared" si="13"/>
        <v>0</v>
      </c>
      <c r="E17" s="29">
        <f t="shared" si="13"/>
        <v>0</v>
      </c>
      <c r="F17" s="29">
        <f t="shared" si="13"/>
        <v>0</v>
      </c>
      <c r="G17" s="29">
        <f t="shared" si="13"/>
        <v>0</v>
      </c>
      <c r="H17" s="29">
        <f t="shared" si="13"/>
        <v>0</v>
      </c>
      <c r="I17" s="29">
        <f t="shared" si="13"/>
        <v>0</v>
      </c>
      <c r="J17" s="29">
        <f t="shared" si="13"/>
        <v>0</v>
      </c>
      <c r="K17" s="29">
        <f t="shared" si="13"/>
        <v>0</v>
      </c>
      <c r="L17" s="29">
        <f t="shared" si="13"/>
        <v>0</v>
      </c>
      <c r="M17" s="29">
        <f t="shared" si="13"/>
        <v>0</v>
      </c>
      <c r="N17" s="29">
        <f t="shared" si="13"/>
        <v>0</v>
      </c>
      <c r="O17" s="29">
        <f t="shared" si="13"/>
        <v>0</v>
      </c>
      <c r="P17" s="29">
        <f t="shared" si="13"/>
        <v>0</v>
      </c>
      <c r="Q17" s="29">
        <f t="shared" si="13"/>
        <v>0</v>
      </c>
      <c r="R17" s="29">
        <f t="shared" si="13"/>
        <v>0</v>
      </c>
      <c r="S17" s="29">
        <f t="shared" si="13"/>
        <v>0</v>
      </c>
      <c r="T17" s="29">
        <f t="shared" si="13"/>
        <v>0</v>
      </c>
      <c r="U17" s="29">
        <f t="shared" si="13"/>
        <v>0</v>
      </c>
      <c r="V17" s="29">
        <f t="shared" si="13"/>
        <v>0</v>
      </c>
      <c r="W17" s="29">
        <f t="shared" si="13"/>
        <v>0</v>
      </c>
      <c r="DA17" s="173" t="s">
        <v>401</v>
      </c>
    </row>
    <row r="18" spans="1:105" ht="11.45" customHeight="1" x14ac:dyDescent="0.25">
      <c r="A18" s="83" t="s">
        <v>95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0</v>
      </c>
      <c r="C23" s="62">
        <f>IF(C10=0,0,C10/TrRail_act!C14*100)</f>
        <v>0</v>
      </c>
      <c r="D23" s="62">
        <f>IF(D10=0,0,D10/TrRail_act!D14*100)</f>
        <v>0</v>
      </c>
      <c r="E23" s="62">
        <f>IF(E10=0,0,E10/TrRail_act!E14*100)</f>
        <v>0</v>
      </c>
      <c r="F23" s="62">
        <f>IF(F10=0,0,F10/TrRail_act!F14*100)</f>
        <v>0</v>
      </c>
      <c r="G23" s="62">
        <f>IF(G10=0,0,G10/TrRail_act!G14*100)</f>
        <v>0</v>
      </c>
      <c r="H23" s="62">
        <f>IF(H10=0,0,H10/TrRail_act!H14*100)</f>
        <v>0</v>
      </c>
      <c r="I23" s="62">
        <f>IF(I10=0,0,I10/TrRail_act!I14*100)</f>
        <v>0</v>
      </c>
      <c r="J23" s="62">
        <f>IF(J10=0,0,J10/TrRail_act!J14*100)</f>
        <v>0</v>
      </c>
      <c r="K23" s="62">
        <f>IF(K10=0,0,K10/TrRail_act!K14*100)</f>
        <v>0</v>
      </c>
      <c r="L23" s="62">
        <f>IF(L10=0,0,L10/TrRail_act!L14*100)</f>
        <v>0</v>
      </c>
      <c r="M23" s="62">
        <f>IF(M10=0,0,M10/TrRail_act!M14*100)</f>
        <v>0</v>
      </c>
      <c r="N23" s="62">
        <f>IF(N10=0,0,N10/TrRail_act!N14*100)</f>
        <v>0</v>
      </c>
      <c r="O23" s="62">
        <f>IF(O10=0,0,O10/TrRail_act!O14*100)</f>
        <v>0</v>
      </c>
      <c r="P23" s="62">
        <f>IF(P10=0,0,P10/TrRail_act!P14*100)</f>
        <v>0</v>
      </c>
      <c r="Q23" s="62">
        <f>IF(Q10=0,0,Q10/TrRail_act!Q14*100)</f>
        <v>0</v>
      </c>
      <c r="R23" s="62">
        <f>IF(R10=0,0,R10/TrRail_act!R14*100)</f>
        <v>0</v>
      </c>
      <c r="S23" s="62">
        <f>IF(S10=0,0,S10/TrRail_act!S14*100)</f>
        <v>0</v>
      </c>
      <c r="T23" s="62">
        <f>IF(T10=0,0,T10/TrRail_act!T14*100)</f>
        <v>0</v>
      </c>
      <c r="U23" s="62">
        <f>IF(U10=0,0,U10/TrRail_act!U14*100)</f>
        <v>0</v>
      </c>
      <c r="V23" s="62">
        <f>IF(V10=0,0,V10/TrRail_act!V14*100)</f>
        <v>0</v>
      </c>
      <c r="W23" s="62">
        <f>IF(W10=0,0,W10/TrRail_act!W14*100)</f>
        <v>0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0</v>
      </c>
      <c r="C24" s="29">
        <f>IF(C11=0,0,C11/TrRail_act!C15*100)</f>
        <v>0</v>
      </c>
      <c r="D24" s="29">
        <f>IF(D11=0,0,D11/TrRail_act!D15*100)</f>
        <v>0</v>
      </c>
      <c r="E24" s="29">
        <f>IF(E11=0,0,E11/TrRail_act!E15*100)</f>
        <v>0</v>
      </c>
      <c r="F24" s="29">
        <f>IF(F11=0,0,F11/TrRail_act!F15*100)</f>
        <v>0</v>
      </c>
      <c r="G24" s="29">
        <f>IF(G11=0,0,G11/TrRail_act!G15*100)</f>
        <v>0</v>
      </c>
      <c r="H24" s="29">
        <f>IF(H11=0,0,H11/TrRail_act!H15*100)</f>
        <v>0</v>
      </c>
      <c r="I24" s="29">
        <f>IF(I11=0,0,I11/TrRail_act!I15*100)</f>
        <v>0</v>
      </c>
      <c r="J24" s="29">
        <f>IF(J11=0,0,J11/TrRail_act!J15*100)</f>
        <v>0</v>
      </c>
      <c r="K24" s="29">
        <f>IF(K11=0,0,K11/TrRail_act!K15*100)</f>
        <v>0</v>
      </c>
      <c r="L24" s="29">
        <f>IF(L11=0,0,L11/TrRail_act!L15*100)</f>
        <v>0</v>
      </c>
      <c r="M24" s="29">
        <f>IF(M11=0,0,M11/TrRail_act!M15*100)</f>
        <v>0</v>
      </c>
      <c r="N24" s="29">
        <f>IF(N11=0,0,N11/TrRail_act!N15*100)</f>
        <v>0</v>
      </c>
      <c r="O24" s="29">
        <f>IF(O11=0,0,O11/TrRail_act!O15*100)</f>
        <v>0</v>
      </c>
      <c r="P24" s="29">
        <f>IF(P11=0,0,P11/TrRail_act!P15*100)</f>
        <v>0</v>
      </c>
      <c r="Q24" s="29">
        <f>IF(Q11=0,0,Q11/TrRail_act!Q15*100)</f>
        <v>0</v>
      </c>
      <c r="R24" s="29">
        <f>IF(R11=0,0,R11/TrRail_act!R15*100)</f>
        <v>0</v>
      </c>
      <c r="S24" s="29">
        <f>IF(S11=0,0,S11/TrRail_act!S15*100)</f>
        <v>0</v>
      </c>
      <c r="T24" s="29">
        <f>IF(T11=0,0,T11/TrRail_act!T15*100)</f>
        <v>0</v>
      </c>
      <c r="U24" s="29">
        <f>IF(U11=0,0,U11/TrRail_act!U15*100)</f>
        <v>0</v>
      </c>
      <c r="V24" s="29">
        <f>IF(V11=0,0,V11/TrRail_act!V15*100)</f>
        <v>0</v>
      </c>
      <c r="W24" s="29">
        <f>IF(W11=0,0,W11/TrRail_act!W15*100)</f>
        <v>0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0</v>
      </c>
      <c r="C26" s="116">
        <f>IF(C13=0,0,C13/TrRail_act!C17*100)</f>
        <v>0</v>
      </c>
      <c r="D26" s="116">
        <f>IF(D13=0,0,D13/TrRail_act!D17*100)</f>
        <v>0</v>
      </c>
      <c r="E26" s="116">
        <f>IF(E13=0,0,E13/TrRail_act!E17*100)</f>
        <v>0</v>
      </c>
      <c r="F26" s="116">
        <f>IF(F13=0,0,F13/TrRail_act!F17*100)</f>
        <v>0</v>
      </c>
      <c r="G26" s="116">
        <f>IF(G13=0,0,G13/TrRail_act!G17*100)</f>
        <v>0</v>
      </c>
      <c r="H26" s="116">
        <f>IF(H13=0,0,H13/TrRail_act!H17*100)</f>
        <v>0</v>
      </c>
      <c r="I26" s="116">
        <f>IF(I13=0,0,I13/TrRail_act!I17*100)</f>
        <v>0</v>
      </c>
      <c r="J26" s="116">
        <f>IF(J13=0,0,J13/TrRail_act!J17*100)</f>
        <v>0</v>
      </c>
      <c r="K26" s="116">
        <f>IF(K13=0,0,K13/TrRail_act!K17*100)</f>
        <v>0</v>
      </c>
      <c r="L26" s="116">
        <f>IF(L13=0,0,L13/TrRail_act!L17*100)</f>
        <v>0</v>
      </c>
      <c r="M26" s="116">
        <f>IF(M13=0,0,M13/TrRail_act!M17*100)</f>
        <v>0</v>
      </c>
      <c r="N26" s="116">
        <f>IF(N13=0,0,N13/TrRail_act!N17*100)</f>
        <v>0</v>
      </c>
      <c r="O26" s="116">
        <f>IF(O13=0,0,O13/TrRail_act!O17*100)</f>
        <v>0</v>
      </c>
      <c r="P26" s="116">
        <f>IF(P13=0,0,P13/TrRail_act!P17*100)</f>
        <v>0</v>
      </c>
      <c r="Q26" s="116">
        <f>IF(Q13=0,0,Q13/TrRail_act!Q17*100)</f>
        <v>0</v>
      </c>
      <c r="R26" s="116">
        <f>IF(R13=0,0,R13/TrRail_act!R17*100)</f>
        <v>0</v>
      </c>
      <c r="S26" s="116">
        <f>IF(S13=0,0,S13/TrRail_act!S17*100)</f>
        <v>0</v>
      </c>
      <c r="T26" s="116">
        <f>IF(T13=0,0,T13/TrRail_act!T17*100)</f>
        <v>0</v>
      </c>
      <c r="U26" s="116">
        <f>IF(U13=0,0,U13/TrRail_act!U17*100)</f>
        <v>0</v>
      </c>
      <c r="V26" s="116">
        <f>IF(V13=0,0,V13/TrRail_act!V17*100)</f>
        <v>0</v>
      </c>
      <c r="W26" s="116">
        <f>IF(W13=0,0,W13/TrRail_act!W17*100)</f>
        <v>0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0</v>
      </c>
      <c r="C27" s="87">
        <f>IF(C14=0,0,C14/TrRail_act!C18*100)</f>
        <v>0</v>
      </c>
      <c r="D27" s="87">
        <f>IF(D14=0,0,D14/TrRail_act!D18*100)</f>
        <v>0</v>
      </c>
      <c r="E27" s="87">
        <f>IF(E14=0,0,E14/TrRail_act!E18*100)</f>
        <v>0</v>
      </c>
      <c r="F27" s="87">
        <f>IF(F14=0,0,F14/TrRail_act!F18*100)</f>
        <v>0</v>
      </c>
      <c r="G27" s="87">
        <f>IF(G14=0,0,G14/TrRail_act!G18*100)</f>
        <v>0</v>
      </c>
      <c r="H27" s="87">
        <f>IF(H14=0,0,H14/TrRail_act!H18*100)</f>
        <v>0</v>
      </c>
      <c r="I27" s="87">
        <f>IF(I14=0,0,I14/TrRail_act!I18*100)</f>
        <v>0</v>
      </c>
      <c r="J27" s="87">
        <f>IF(J14=0,0,J14/TrRail_act!J18*100)</f>
        <v>0</v>
      </c>
      <c r="K27" s="87">
        <f>IF(K14=0,0,K14/TrRail_act!K18*100)</f>
        <v>0</v>
      </c>
      <c r="L27" s="87">
        <f>IF(L14=0,0,L14/TrRail_act!L18*100)</f>
        <v>0</v>
      </c>
      <c r="M27" s="87">
        <f>IF(M14=0,0,M14/TrRail_act!M18*100)</f>
        <v>0</v>
      </c>
      <c r="N27" s="87">
        <f>IF(N14=0,0,N14/TrRail_act!N18*100)</f>
        <v>0</v>
      </c>
      <c r="O27" s="87">
        <f>IF(O14=0,0,O14/TrRail_act!O18*100)</f>
        <v>0</v>
      </c>
      <c r="P27" s="87">
        <f>IF(P14=0,0,P14/TrRail_act!P18*100)</f>
        <v>0</v>
      </c>
      <c r="Q27" s="87">
        <f>IF(Q14=0,0,Q14/TrRail_act!Q18*100)</f>
        <v>0</v>
      </c>
      <c r="R27" s="87">
        <f>IF(R14=0,0,R14/TrRail_act!R18*100)</f>
        <v>0</v>
      </c>
      <c r="S27" s="87">
        <f>IF(S14=0,0,S14/TrRail_act!S18*100)</f>
        <v>0</v>
      </c>
      <c r="T27" s="87">
        <f>IF(T14=0,0,T14/TrRail_act!T18*100)</f>
        <v>0</v>
      </c>
      <c r="U27" s="87">
        <f>IF(U14=0,0,U14/TrRail_act!U18*100)</f>
        <v>0</v>
      </c>
      <c r="V27" s="87">
        <f>IF(V14=0,0,V14/TrRail_act!V18*100)</f>
        <v>0</v>
      </c>
      <c r="W27" s="87">
        <f>IF(W14=0,0,W14/TrRail_act!W18*100)</f>
        <v>0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0</v>
      </c>
      <c r="C28" s="87">
        <f>IF(C15=0,0,C15/TrRail_act!C19*100)</f>
        <v>0</v>
      </c>
      <c r="D28" s="87">
        <f>IF(D15=0,0,D15/TrRail_act!D19*100)</f>
        <v>0</v>
      </c>
      <c r="E28" s="87">
        <f>IF(E15=0,0,E15/TrRail_act!E19*100)</f>
        <v>0</v>
      </c>
      <c r="F28" s="87">
        <f>IF(F15=0,0,F15/TrRail_act!F19*100)</f>
        <v>0</v>
      </c>
      <c r="G28" s="87">
        <f>IF(G15=0,0,G15/TrRail_act!G19*100)</f>
        <v>0</v>
      </c>
      <c r="H28" s="87">
        <f>IF(H15=0,0,H15/TrRail_act!H19*100)</f>
        <v>0</v>
      </c>
      <c r="I28" s="87">
        <f>IF(I15=0,0,I15/TrRail_act!I19*100)</f>
        <v>0</v>
      </c>
      <c r="J28" s="87">
        <f>IF(J15=0,0,J15/TrRail_act!J19*100)</f>
        <v>0</v>
      </c>
      <c r="K28" s="87">
        <f>IF(K15=0,0,K15/TrRail_act!K19*100)</f>
        <v>0</v>
      </c>
      <c r="L28" s="87">
        <f>IF(L15=0,0,L15/TrRail_act!L19*100)</f>
        <v>0</v>
      </c>
      <c r="M28" s="87">
        <f>IF(M15=0,0,M15/TrRail_act!M19*100)</f>
        <v>0</v>
      </c>
      <c r="N28" s="87">
        <f>IF(N15=0,0,N15/TrRail_act!N19*100)</f>
        <v>0</v>
      </c>
      <c r="O28" s="87">
        <f>IF(O15=0,0,O15/TrRail_act!O19*100)</f>
        <v>0</v>
      </c>
      <c r="P28" s="87">
        <f>IF(P15=0,0,P15/TrRail_act!P19*100)</f>
        <v>0</v>
      </c>
      <c r="Q28" s="87">
        <f>IF(Q15=0,0,Q15/TrRail_act!Q19*100)</f>
        <v>0</v>
      </c>
      <c r="R28" s="87">
        <f>IF(R15=0,0,R15/TrRail_act!R19*100)</f>
        <v>0</v>
      </c>
      <c r="S28" s="87">
        <f>IF(S15=0,0,S15/TrRail_act!S19*100)</f>
        <v>0</v>
      </c>
      <c r="T28" s="87">
        <f>IF(T15=0,0,T15/TrRail_act!T19*100)</f>
        <v>0</v>
      </c>
      <c r="U28" s="87">
        <f>IF(U15=0,0,U15/TrRail_act!U19*100)</f>
        <v>0</v>
      </c>
      <c r="V28" s="87">
        <f>IF(V15=0,0,V15/TrRail_act!V19*100)</f>
        <v>0</v>
      </c>
      <c r="W28" s="87">
        <f>IF(W15=0,0,W15/TrRail_act!W19*100)</f>
        <v>0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0</v>
      </c>
      <c r="C30" s="29">
        <f>IF(C17=0,0,C17/TrRail_act!C21*100)</f>
        <v>0</v>
      </c>
      <c r="D30" s="29">
        <f>IF(D17=0,0,D17/TrRail_act!D21*100)</f>
        <v>0</v>
      </c>
      <c r="E30" s="29">
        <f>IF(E17=0,0,E17/TrRail_act!E21*100)</f>
        <v>0</v>
      </c>
      <c r="F30" s="29">
        <f>IF(F17=0,0,F17/TrRail_act!F21*100)</f>
        <v>0</v>
      </c>
      <c r="G30" s="29">
        <f>IF(G17=0,0,G17/TrRail_act!G21*100)</f>
        <v>0</v>
      </c>
      <c r="H30" s="29">
        <f>IF(H17=0,0,H17/TrRail_act!H21*100)</f>
        <v>0</v>
      </c>
      <c r="I30" s="29">
        <f>IF(I17=0,0,I17/TrRail_act!I21*100)</f>
        <v>0</v>
      </c>
      <c r="J30" s="29">
        <f>IF(J17=0,0,J17/TrRail_act!J21*100)</f>
        <v>0</v>
      </c>
      <c r="K30" s="29">
        <f>IF(K17=0,0,K17/TrRail_act!K21*100)</f>
        <v>0</v>
      </c>
      <c r="L30" s="29">
        <f>IF(L17=0,0,L17/TrRail_act!L21*100)</f>
        <v>0</v>
      </c>
      <c r="M30" s="29">
        <f>IF(M17=0,0,M17/TrRail_act!M21*100)</f>
        <v>0</v>
      </c>
      <c r="N30" s="29">
        <f>IF(N17=0,0,N17/TrRail_act!N21*100)</f>
        <v>0</v>
      </c>
      <c r="O30" s="29">
        <f>IF(O17=0,0,O17/TrRail_act!O21*100)</f>
        <v>0</v>
      </c>
      <c r="P30" s="29">
        <f>IF(P17=0,0,P17/TrRail_act!P21*100)</f>
        <v>0</v>
      </c>
      <c r="Q30" s="29">
        <f>IF(Q17=0,0,Q17/TrRail_act!Q21*100)</f>
        <v>0</v>
      </c>
      <c r="R30" s="29">
        <f>IF(R17=0,0,R17/TrRail_act!R21*100)</f>
        <v>0</v>
      </c>
      <c r="S30" s="29">
        <f>IF(S17=0,0,S17/TrRail_act!S21*100)</f>
        <v>0</v>
      </c>
      <c r="T30" s="29">
        <f>IF(T17=0,0,T17/TrRail_act!T21*100)</f>
        <v>0</v>
      </c>
      <c r="U30" s="29">
        <f>IF(U17=0,0,U17/TrRail_act!U21*100)</f>
        <v>0</v>
      </c>
      <c r="V30" s="29">
        <f>IF(V17=0,0,V17/TrRail_act!V21*100)</f>
        <v>0</v>
      </c>
      <c r="W30" s="29">
        <f>IF(W17=0,0,W17/TrRail_act!W21*100)</f>
        <v>0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0</v>
      </c>
      <c r="C31" s="87">
        <f>IF(C18=0,0,C18/TrRail_act!C22*100)</f>
        <v>0</v>
      </c>
      <c r="D31" s="87">
        <f>IF(D18=0,0,D18/TrRail_act!D22*100)</f>
        <v>0</v>
      </c>
      <c r="E31" s="87">
        <f>IF(E18=0,0,E18/TrRail_act!E22*100)</f>
        <v>0</v>
      </c>
      <c r="F31" s="87">
        <f>IF(F18=0,0,F18/TrRail_act!F22*100)</f>
        <v>0</v>
      </c>
      <c r="G31" s="87">
        <f>IF(G18=0,0,G18/TrRail_act!G22*100)</f>
        <v>0</v>
      </c>
      <c r="H31" s="87">
        <f>IF(H18=0,0,H18/TrRail_act!H22*100)</f>
        <v>0</v>
      </c>
      <c r="I31" s="87">
        <f>IF(I18=0,0,I18/TrRail_act!I22*100)</f>
        <v>0</v>
      </c>
      <c r="J31" s="87">
        <f>IF(J18=0,0,J18/TrRail_act!J22*100)</f>
        <v>0</v>
      </c>
      <c r="K31" s="87">
        <f>IF(K18=0,0,K18/TrRail_act!K22*100)</f>
        <v>0</v>
      </c>
      <c r="L31" s="87">
        <f>IF(L18=0,0,L18/TrRail_act!L22*100)</f>
        <v>0</v>
      </c>
      <c r="M31" s="87">
        <f>IF(M18=0,0,M18/TrRail_act!M22*100)</f>
        <v>0</v>
      </c>
      <c r="N31" s="87">
        <f>IF(N18=0,0,N18/TrRail_act!N22*100)</f>
        <v>0</v>
      </c>
      <c r="O31" s="87">
        <f>IF(O18=0,0,O18/TrRail_act!O22*100)</f>
        <v>0</v>
      </c>
      <c r="P31" s="87">
        <f>IF(P18=0,0,P18/TrRail_act!P22*100)</f>
        <v>0</v>
      </c>
      <c r="Q31" s="87">
        <f>IF(Q18=0,0,Q18/TrRail_act!Q22*100)</f>
        <v>0</v>
      </c>
      <c r="R31" s="87">
        <f>IF(R18=0,0,R18/TrRail_act!R22*100)</f>
        <v>0</v>
      </c>
      <c r="S31" s="87">
        <f>IF(S18=0,0,S18/TrRail_act!S22*100)</f>
        <v>0</v>
      </c>
      <c r="T31" s="87">
        <f>IF(T18=0,0,T18/TrRail_act!T22*100)</f>
        <v>0</v>
      </c>
      <c r="U31" s="87">
        <f>IF(U18=0,0,U18/TrRail_act!U22*100)</f>
        <v>0</v>
      </c>
      <c r="V31" s="87">
        <f>IF(V18=0,0,V18/TrRail_act!V22*100)</f>
        <v>0</v>
      </c>
      <c r="W31" s="87">
        <f>IF(W18=0,0,W18/TrRail_act!W22*100)</f>
        <v>0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0</v>
      </c>
      <c r="C35" s="29">
        <f>IF(C11=0,0,C11/TrRail_act!C4*1000)</f>
        <v>0</v>
      </c>
      <c r="D35" s="29">
        <f>IF(D11=0,0,D11/TrRail_act!D4*1000)</f>
        <v>0</v>
      </c>
      <c r="E35" s="29">
        <f>IF(E11=0,0,E11/TrRail_act!E4*1000)</f>
        <v>0</v>
      </c>
      <c r="F35" s="29">
        <f>IF(F11=0,0,F11/TrRail_act!F4*1000)</f>
        <v>0</v>
      </c>
      <c r="G35" s="29">
        <f>IF(G11=0,0,G11/TrRail_act!G4*1000)</f>
        <v>0</v>
      </c>
      <c r="H35" s="29">
        <f>IF(H11=0,0,H11/TrRail_act!H4*1000)</f>
        <v>0</v>
      </c>
      <c r="I35" s="29">
        <f>IF(I11=0,0,I11/TrRail_act!I4*1000)</f>
        <v>0</v>
      </c>
      <c r="J35" s="29">
        <f>IF(J11=0,0,J11/TrRail_act!J4*1000)</f>
        <v>0</v>
      </c>
      <c r="K35" s="29">
        <f>IF(K11=0,0,K11/TrRail_act!K4*1000)</f>
        <v>0</v>
      </c>
      <c r="L35" s="29">
        <f>IF(L11=0,0,L11/TrRail_act!L4*1000)</f>
        <v>0</v>
      </c>
      <c r="M35" s="29">
        <f>IF(M11=0,0,M11/TrRail_act!M4*1000)</f>
        <v>0</v>
      </c>
      <c r="N35" s="29">
        <f>IF(N11=0,0,N11/TrRail_act!N4*1000)</f>
        <v>0</v>
      </c>
      <c r="O35" s="29">
        <f>IF(O11=0,0,O11/TrRail_act!O4*1000)</f>
        <v>0</v>
      </c>
      <c r="P35" s="29">
        <f>IF(P11=0,0,P11/TrRail_act!P4*1000)</f>
        <v>0</v>
      </c>
      <c r="Q35" s="29">
        <f>IF(Q11=0,0,Q11/TrRail_act!Q4*1000)</f>
        <v>0</v>
      </c>
      <c r="R35" s="29">
        <f>IF(R11=0,0,R11/TrRail_act!R4*1000)</f>
        <v>0</v>
      </c>
      <c r="S35" s="29">
        <f>IF(S11=0,0,S11/TrRail_act!S4*1000)</f>
        <v>0</v>
      </c>
      <c r="T35" s="29">
        <f>IF(T11=0,0,T11/TrRail_act!T4*1000)</f>
        <v>0</v>
      </c>
      <c r="U35" s="29">
        <f>IF(U11=0,0,U11/TrRail_act!U4*1000)</f>
        <v>0</v>
      </c>
      <c r="V35" s="29">
        <f>IF(V11=0,0,V11/TrRail_act!V4*1000)</f>
        <v>0</v>
      </c>
      <c r="W35" s="29">
        <f>IF(W11=0,0,W11/TrRail_act!W4*1000)</f>
        <v>0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0</v>
      </c>
      <c r="C37" s="116">
        <f>IF(C13=0,0,C13/TrRail_act!C6*1000)</f>
        <v>0</v>
      </c>
      <c r="D37" s="116">
        <f>IF(D13=0,0,D13/TrRail_act!D6*1000)</f>
        <v>0</v>
      </c>
      <c r="E37" s="116">
        <f>IF(E13=0,0,E13/TrRail_act!E6*1000)</f>
        <v>0</v>
      </c>
      <c r="F37" s="116">
        <f>IF(F13=0,0,F13/TrRail_act!F6*1000)</f>
        <v>0</v>
      </c>
      <c r="G37" s="116">
        <f>IF(G13=0,0,G13/TrRail_act!G6*1000)</f>
        <v>0</v>
      </c>
      <c r="H37" s="116">
        <f>IF(H13=0,0,H13/TrRail_act!H6*1000)</f>
        <v>0</v>
      </c>
      <c r="I37" s="116">
        <f>IF(I13=0,0,I13/TrRail_act!I6*1000)</f>
        <v>0</v>
      </c>
      <c r="J37" s="116">
        <f>IF(J13=0,0,J13/TrRail_act!J6*1000)</f>
        <v>0</v>
      </c>
      <c r="K37" s="116">
        <f>IF(K13=0,0,K13/TrRail_act!K6*1000)</f>
        <v>0</v>
      </c>
      <c r="L37" s="116">
        <f>IF(L13=0,0,L13/TrRail_act!L6*1000)</f>
        <v>0</v>
      </c>
      <c r="M37" s="116">
        <f>IF(M13=0,0,M13/TrRail_act!M6*1000)</f>
        <v>0</v>
      </c>
      <c r="N37" s="116">
        <f>IF(N13=0,0,N13/TrRail_act!N6*1000)</f>
        <v>0</v>
      </c>
      <c r="O37" s="116">
        <f>IF(O13=0,0,O13/TrRail_act!O6*1000)</f>
        <v>0</v>
      </c>
      <c r="P37" s="116">
        <f>IF(P13=0,0,P13/TrRail_act!P6*1000)</f>
        <v>0</v>
      </c>
      <c r="Q37" s="116">
        <f>IF(Q13=0,0,Q13/TrRail_act!Q6*1000)</f>
        <v>0</v>
      </c>
      <c r="R37" s="116">
        <f>IF(R13=0,0,R13/TrRail_act!R6*1000)</f>
        <v>0</v>
      </c>
      <c r="S37" s="116">
        <f>IF(S13=0,0,S13/TrRail_act!S6*1000)</f>
        <v>0</v>
      </c>
      <c r="T37" s="116">
        <f>IF(T13=0,0,T13/TrRail_act!T6*1000)</f>
        <v>0</v>
      </c>
      <c r="U37" s="116">
        <f>IF(U13=0,0,U13/TrRail_act!U6*1000)</f>
        <v>0</v>
      </c>
      <c r="V37" s="116">
        <f>IF(V13=0,0,V13/TrRail_act!V6*1000)</f>
        <v>0</v>
      </c>
      <c r="W37" s="116">
        <f>IF(W13=0,0,W13/TrRail_act!W6*1000)</f>
        <v>0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0</v>
      </c>
      <c r="C38" s="87">
        <f>IF(C14=0,0,C14/TrRail_act!C7*1000)</f>
        <v>0</v>
      </c>
      <c r="D38" s="87">
        <f>IF(D14=0,0,D14/TrRail_act!D7*1000)</f>
        <v>0</v>
      </c>
      <c r="E38" s="87">
        <f>IF(E14=0,0,E14/TrRail_act!E7*1000)</f>
        <v>0</v>
      </c>
      <c r="F38" s="87">
        <f>IF(F14=0,0,F14/TrRail_act!F7*1000)</f>
        <v>0</v>
      </c>
      <c r="G38" s="87">
        <f>IF(G14=0,0,G14/TrRail_act!G7*1000)</f>
        <v>0</v>
      </c>
      <c r="H38" s="87">
        <f>IF(H14=0,0,H14/TrRail_act!H7*1000)</f>
        <v>0</v>
      </c>
      <c r="I38" s="87">
        <f>IF(I14=0,0,I14/TrRail_act!I7*1000)</f>
        <v>0</v>
      </c>
      <c r="J38" s="87">
        <f>IF(J14=0,0,J14/TrRail_act!J7*1000)</f>
        <v>0</v>
      </c>
      <c r="K38" s="87">
        <f>IF(K14=0,0,K14/TrRail_act!K7*1000)</f>
        <v>0</v>
      </c>
      <c r="L38" s="87">
        <f>IF(L14=0,0,L14/TrRail_act!L7*1000)</f>
        <v>0</v>
      </c>
      <c r="M38" s="87">
        <f>IF(M14=0,0,M14/TrRail_act!M7*1000)</f>
        <v>0</v>
      </c>
      <c r="N38" s="87">
        <f>IF(N14=0,0,N14/TrRail_act!N7*1000)</f>
        <v>0</v>
      </c>
      <c r="O38" s="87">
        <f>IF(O14=0,0,O14/TrRail_act!O7*1000)</f>
        <v>0</v>
      </c>
      <c r="P38" s="87">
        <f>IF(P14=0,0,P14/TrRail_act!P7*1000)</f>
        <v>0</v>
      </c>
      <c r="Q38" s="87">
        <f>IF(Q14=0,0,Q14/TrRail_act!Q7*1000)</f>
        <v>0</v>
      </c>
      <c r="R38" s="87">
        <f>IF(R14=0,0,R14/TrRail_act!R7*1000)</f>
        <v>0</v>
      </c>
      <c r="S38" s="87">
        <f>IF(S14=0,0,S14/TrRail_act!S7*1000)</f>
        <v>0</v>
      </c>
      <c r="T38" s="87">
        <f>IF(T14=0,0,T14/TrRail_act!T7*1000)</f>
        <v>0</v>
      </c>
      <c r="U38" s="87">
        <f>IF(U14=0,0,U14/TrRail_act!U7*1000)</f>
        <v>0</v>
      </c>
      <c r="V38" s="87">
        <f>IF(V14=0,0,V14/TrRail_act!V7*1000)</f>
        <v>0</v>
      </c>
      <c r="W38" s="87">
        <f>IF(W14=0,0,W14/TrRail_act!W7*1000)</f>
        <v>0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0</v>
      </c>
      <c r="C39" s="87">
        <f>IF(C15=0,0,C15/TrRail_act!C8*1000)</f>
        <v>0</v>
      </c>
      <c r="D39" s="87">
        <f>IF(D15=0,0,D15/TrRail_act!D8*1000)</f>
        <v>0</v>
      </c>
      <c r="E39" s="87">
        <f>IF(E15=0,0,E15/TrRail_act!E8*1000)</f>
        <v>0</v>
      </c>
      <c r="F39" s="87">
        <f>IF(F15=0,0,F15/TrRail_act!F8*1000)</f>
        <v>0</v>
      </c>
      <c r="G39" s="87">
        <f>IF(G15=0,0,G15/TrRail_act!G8*1000)</f>
        <v>0</v>
      </c>
      <c r="H39" s="87">
        <f>IF(H15=0,0,H15/TrRail_act!H8*1000)</f>
        <v>0</v>
      </c>
      <c r="I39" s="87">
        <f>IF(I15=0,0,I15/TrRail_act!I8*1000)</f>
        <v>0</v>
      </c>
      <c r="J39" s="87">
        <f>IF(J15=0,0,J15/TrRail_act!J8*1000)</f>
        <v>0</v>
      </c>
      <c r="K39" s="87">
        <f>IF(K15=0,0,K15/TrRail_act!K8*1000)</f>
        <v>0</v>
      </c>
      <c r="L39" s="87">
        <f>IF(L15=0,0,L15/TrRail_act!L8*1000)</f>
        <v>0</v>
      </c>
      <c r="M39" s="87">
        <f>IF(M15=0,0,M15/TrRail_act!M8*1000)</f>
        <v>0</v>
      </c>
      <c r="N39" s="87">
        <f>IF(N15=0,0,N15/TrRail_act!N8*1000)</f>
        <v>0</v>
      </c>
      <c r="O39" s="87">
        <f>IF(O15=0,0,O15/TrRail_act!O8*1000)</f>
        <v>0</v>
      </c>
      <c r="P39" s="87">
        <f>IF(P15=0,0,P15/TrRail_act!P8*1000)</f>
        <v>0</v>
      </c>
      <c r="Q39" s="87">
        <f>IF(Q15=0,0,Q15/TrRail_act!Q8*1000)</f>
        <v>0</v>
      </c>
      <c r="R39" s="87">
        <f>IF(R15=0,0,R15/TrRail_act!R8*1000)</f>
        <v>0</v>
      </c>
      <c r="S39" s="87">
        <f>IF(S15=0,0,S15/TrRail_act!S8*1000)</f>
        <v>0</v>
      </c>
      <c r="T39" s="87">
        <f>IF(T15=0,0,T15/TrRail_act!T8*1000)</f>
        <v>0</v>
      </c>
      <c r="U39" s="87">
        <f>IF(U15=0,0,U15/TrRail_act!U8*1000)</f>
        <v>0</v>
      </c>
      <c r="V39" s="87">
        <f>IF(V15=0,0,V15/TrRail_act!V8*1000)</f>
        <v>0</v>
      </c>
      <c r="W39" s="87">
        <f>IF(W15=0,0,W15/TrRail_act!W8*1000)</f>
        <v>0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0</v>
      </c>
      <c r="C41" s="29">
        <f>IF(C17=0,0,C17/TrRail_act!C10*1000)</f>
        <v>0</v>
      </c>
      <c r="D41" s="29">
        <f>IF(D17=0,0,D17/TrRail_act!D10*1000)</f>
        <v>0</v>
      </c>
      <c r="E41" s="29">
        <f>IF(E17=0,0,E17/TrRail_act!E10*1000)</f>
        <v>0</v>
      </c>
      <c r="F41" s="29">
        <f>IF(F17=0,0,F17/TrRail_act!F10*1000)</f>
        <v>0</v>
      </c>
      <c r="G41" s="29">
        <f>IF(G17=0,0,G17/TrRail_act!G10*1000)</f>
        <v>0</v>
      </c>
      <c r="H41" s="29">
        <f>IF(H17=0,0,H17/TrRail_act!H10*1000)</f>
        <v>0</v>
      </c>
      <c r="I41" s="29">
        <f>IF(I17=0,0,I17/TrRail_act!I10*1000)</f>
        <v>0</v>
      </c>
      <c r="J41" s="29">
        <f>IF(J17=0,0,J17/TrRail_act!J10*1000)</f>
        <v>0</v>
      </c>
      <c r="K41" s="29">
        <f>IF(K17=0,0,K17/TrRail_act!K10*1000)</f>
        <v>0</v>
      </c>
      <c r="L41" s="29">
        <f>IF(L17=0,0,L17/TrRail_act!L10*1000)</f>
        <v>0</v>
      </c>
      <c r="M41" s="29">
        <f>IF(M17=0,0,M17/TrRail_act!M10*1000)</f>
        <v>0</v>
      </c>
      <c r="N41" s="29">
        <f>IF(N17=0,0,N17/TrRail_act!N10*1000)</f>
        <v>0</v>
      </c>
      <c r="O41" s="29">
        <f>IF(O17=0,0,O17/TrRail_act!O10*1000)</f>
        <v>0</v>
      </c>
      <c r="P41" s="29">
        <f>IF(P17=0,0,P17/TrRail_act!P10*1000)</f>
        <v>0</v>
      </c>
      <c r="Q41" s="29">
        <f>IF(Q17=0,0,Q17/TrRail_act!Q10*1000)</f>
        <v>0</v>
      </c>
      <c r="R41" s="29">
        <f>IF(R17=0,0,R17/TrRail_act!R10*1000)</f>
        <v>0</v>
      </c>
      <c r="S41" s="29">
        <f>IF(S17=0,0,S17/TrRail_act!S10*1000)</f>
        <v>0</v>
      </c>
      <c r="T41" s="29">
        <f>IF(T17=0,0,T17/TrRail_act!T10*1000)</f>
        <v>0</v>
      </c>
      <c r="U41" s="29">
        <f>IF(U17=0,0,U17/TrRail_act!U10*1000)</f>
        <v>0</v>
      </c>
      <c r="V41" s="29">
        <f>IF(V17=0,0,V17/TrRail_act!V10*1000)</f>
        <v>0</v>
      </c>
      <c r="W41" s="29">
        <f>IF(W17=0,0,W17/TrRail_act!W10*1000)</f>
        <v>0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0</v>
      </c>
      <c r="C42" s="87">
        <f>IF(C18=0,0,C18/TrRail_act!C11*1000)</f>
        <v>0</v>
      </c>
      <c r="D42" s="87">
        <f>IF(D18=0,0,D18/TrRail_act!D11*1000)</f>
        <v>0</v>
      </c>
      <c r="E42" s="87">
        <f>IF(E18=0,0,E18/TrRail_act!E11*1000)</f>
        <v>0</v>
      </c>
      <c r="F42" s="87">
        <f>IF(F18=0,0,F18/TrRail_act!F11*1000)</f>
        <v>0</v>
      </c>
      <c r="G42" s="87">
        <f>IF(G18=0,0,G18/TrRail_act!G11*1000)</f>
        <v>0</v>
      </c>
      <c r="H42" s="87">
        <f>IF(H18=0,0,H18/TrRail_act!H11*1000)</f>
        <v>0</v>
      </c>
      <c r="I42" s="87">
        <f>IF(I18=0,0,I18/TrRail_act!I11*1000)</f>
        <v>0</v>
      </c>
      <c r="J42" s="87">
        <f>IF(J18=0,0,J18/TrRail_act!J11*1000)</f>
        <v>0</v>
      </c>
      <c r="K42" s="87">
        <f>IF(K18=0,0,K18/TrRail_act!K11*1000)</f>
        <v>0</v>
      </c>
      <c r="L42" s="87">
        <f>IF(L18=0,0,L18/TrRail_act!L11*1000)</f>
        <v>0</v>
      </c>
      <c r="M42" s="87">
        <f>IF(M18=0,0,M18/TrRail_act!M11*1000)</f>
        <v>0</v>
      </c>
      <c r="N42" s="87">
        <f>IF(N18=0,0,N18/TrRail_act!N11*1000)</f>
        <v>0</v>
      </c>
      <c r="O42" s="87">
        <f>IF(O18=0,0,O18/TrRail_act!O11*1000)</f>
        <v>0</v>
      </c>
      <c r="P42" s="87">
        <f>IF(P18=0,0,P18/TrRail_act!P11*1000)</f>
        <v>0</v>
      </c>
      <c r="Q42" s="87">
        <f>IF(Q18=0,0,Q18/TrRail_act!Q11*1000)</f>
        <v>0</v>
      </c>
      <c r="R42" s="87">
        <f>IF(R18=0,0,R18/TrRail_act!R11*1000)</f>
        <v>0</v>
      </c>
      <c r="S42" s="87">
        <f>IF(S18=0,0,S18/TrRail_act!S11*1000)</f>
        <v>0</v>
      </c>
      <c r="T42" s="87">
        <f>IF(T18=0,0,T18/TrRail_act!T11*1000)</f>
        <v>0</v>
      </c>
      <c r="U42" s="87">
        <f>IF(U18=0,0,U18/TrRail_act!U11*1000)</f>
        <v>0</v>
      </c>
      <c r="V42" s="87">
        <f>IF(V18=0,0,V18/TrRail_act!V11*1000)</f>
        <v>0</v>
      </c>
      <c r="W42" s="87">
        <f>IF(W18=0,0,W18/TrRail_act!W11*1000)</f>
        <v>0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0</v>
      </c>
      <c r="C45" s="54">
        <f>IF(C10=0,0,1000000*C10/TrRail_act!C25)</f>
        <v>0</v>
      </c>
      <c r="D45" s="54">
        <f>IF(D10=0,0,1000000*D10/TrRail_act!D25)</f>
        <v>0</v>
      </c>
      <c r="E45" s="54">
        <f>IF(E10=0,0,1000000*E10/TrRail_act!E25)</f>
        <v>0</v>
      </c>
      <c r="F45" s="54">
        <f>IF(F10=0,0,1000000*F10/TrRail_act!F25)</f>
        <v>0</v>
      </c>
      <c r="G45" s="54">
        <f>IF(G10=0,0,1000000*G10/TrRail_act!G25)</f>
        <v>0</v>
      </c>
      <c r="H45" s="54">
        <f>IF(H10=0,0,1000000*H10/TrRail_act!H25)</f>
        <v>0</v>
      </c>
      <c r="I45" s="54">
        <f>IF(I10=0,0,1000000*I10/TrRail_act!I25)</f>
        <v>0</v>
      </c>
      <c r="J45" s="54">
        <f>IF(J10=0,0,1000000*J10/TrRail_act!J25)</f>
        <v>0</v>
      </c>
      <c r="K45" s="54">
        <f>IF(K10=0,0,1000000*K10/TrRail_act!K25)</f>
        <v>0</v>
      </c>
      <c r="L45" s="54">
        <f>IF(L10=0,0,1000000*L10/TrRail_act!L25)</f>
        <v>0</v>
      </c>
      <c r="M45" s="54">
        <f>IF(M10=0,0,1000000*M10/TrRail_act!M25)</f>
        <v>0</v>
      </c>
      <c r="N45" s="54">
        <f>IF(N10=0,0,1000000*N10/TrRail_act!N25)</f>
        <v>0</v>
      </c>
      <c r="O45" s="54">
        <f>IF(O10=0,0,1000000*O10/TrRail_act!O25)</f>
        <v>0</v>
      </c>
      <c r="P45" s="54">
        <f>IF(P10=0,0,1000000*P10/TrRail_act!P25)</f>
        <v>0</v>
      </c>
      <c r="Q45" s="54">
        <f>IF(Q10=0,0,1000000*Q10/TrRail_act!Q25)</f>
        <v>0</v>
      </c>
      <c r="R45" s="54">
        <f>IF(R10=0,0,1000000*R10/TrRail_act!R25)</f>
        <v>0</v>
      </c>
      <c r="S45" s="54">
        <f>IF(S10=0,0,1000000*S10/TrRail_act!S25)</f>
        <v>0</v>
      </c>
      <c r="T45" s="54">
        <f>IF(T10=0,0,1000000*T10/TrRail_act!T25)</f>
        <v>0</v>
      </c>
      <c r="U45" s="54">
        <f>IF(U10=0,0,1000000*U10/TrRail_act!U25)</f>
        <v>0</v>
      </c>
      <c r="V45" s="54">
        <f>IF(V10=0,0,1000000*V10/TrRail_act!V25)</f>
        <v>0</v>
      </c>
      <c r="W45" s="54">
        <f>IF(W10=0,0,1000000*W10/TrRail_act!W25)</f>
        <v>0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0</v>
      </c>
      <c r="C46" s="28">
        <f>IF(C11=0,0,1000000*C11/TrRail_act!C26)</f>
        <v>0</v>
      </c>
      <c r="D46" s="28">
        <f>IF(D11=0,0,1000000*D11/TrRail_act!D26)</f>
        <v>0</v>
      </c>
      <c r="E46" s="28">
        <f>IF(E11=0,0,1000000*E11/TrRail_act!E26)</f>
        <v>0</v>
      </c>
      <c r="F46" s="28">
        <f>IF(F11=0,0,1000000*F11/TrRail_act!F26)</f>
        <v>0</v>
      </c>
      <c r="G46" s="28">
        <f>IF(G11=0,0,1000000*G11/TrRail_act!G26)</f>
        <v>0</v>
      </c>
      <c r="H46" s="28">
        <f>IF(H11=0,0,1000000*H11/TrRail_act!H26)</f>
        <v>0</v>
      </c>
      <c r="I46" s="28">
        <f>IF(I11=0,0,1000000*I11/TrRail_act!I26)</f>
        <v>0</v>
      </c>
      <c r="J46" s="28">
        <f>IF(J11=0,0,1000000*J11/TrRail_act!J26)</f>
        <v>0</v>
      </c>
      <c r="K46" s="28">
        <f>IF(K11=0,0,1000000*K11/TrRail_act!K26)</f>
        <v>0</v>
      </c>
      <c r="L46" s="28">
        <f>IF(L11=0,0,1000000*L11/TrRail_act!L26)</f>
        <v>0</v>
      </c>
      <c r="M46" s="28">
        <f>IF(M11=0,0,1000000*M11/TrRail_act!M26)</f>
        <v>0</v>
      </c>
      <c r="N46" s="28">
        <f>IF(N11=0,0,1000000*N11/TrRail_act!N26)</f>
        <v>0</v>
      </c>
      <c r="O46" s="28">
        <f>IF(O11=0,0,1000000*O11/TrRail_act!O26)</f>
        <v>0</v>
      </c>
      <c r="P46" s="28">
        <f>IF(P11=0,0,1000000*P11/TrRail_act!P26)</f>
        <v>0</v>
      </c>
      <c r="Q46" s="28">
        <f>IF(Q11=0,0,1000000*Q11/TrRail_act!Q26)</f>
        <v>0</v>
      </c>
      <c r="R46" s="28">
        <f>IF(R11=0,0,1000000*R11/TrRail_act!R26)</f>
        <v>0</v>
      </c>
      <c r="S46" s="28">
        <f>IF(S11=0,0,1000000*S11/TrRail_act!S26)</f>
        <v>0</v>
      </c>
      <c r="T46" s="28">
        <f>IF(T11=0,0,1000000*T11/TrRail_act!T26)</f>
        <v>0</v>
      </c>
      <c r="U46" s="28">
        <f>IF(U11=0,0,1000000*U11/TrRail_act!U26)</f>
        <v>0</v>
      </c>
      <c r="V46" s="28">
        <f>IF(V11=0,0,1000000*V11/TrRail_act!V26)</f>
        <v>0</v>
      </c>
      <c r="W46" s="28">
        <f>IF(W11=0,0,1000000*W11/TrRail_act!W26)</f>
        <v>0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0</v>
      </c>
      <c r="C48" s="110">
        <f>IF(C13=0,0,1000000*C13/TrRail_act!C28)</f>
        <v>0</v>
      </c>
      <c r="D48" s="110">
        <f>IF(D13=0,0,1000000*D13/TrRail_act!D28)</f>
        <v>0</v>
      </c>
      <c r="E48" s="110">
        <f>IF(E13=0,0,1000000*E13/TrRail_act!E28)</f>
        <v>0</v>
      </c>
      <c r="F48" s="110">
        <f>IF(F13=0,0,1000000*F13/TrRail_act!F28)</f>
        <v>0</v>
      </c>
      <c r="G48" s="110">
        <f>IF(G13=0,0,1000000*G13/TrRail_act!G28)</f>
        <v>0</v>
      </c>
      <c r="H48" s="110">
        <f>IF(H13=0,0,1000000*H13/TrRail_act!H28)</f>
        <v>0</v>
      </c>
      <c r="I48" s="110">
        <f>IF(I13=0,0,1000000*I13/TrRail_act!I28)</f>
        <v>0</v>
      </c>
      <c r="J48" s="110">
        <f>IF(J13=0,0,1000000*J13/TrRail_act!J28)</f>
        <v>0</v>
      </c>
      <c r="K48" s="110">
        <f>IF(K13=0,0,1000000*K13/TrRail_act!K28)</f>
        <v>0</v>
      </c>
      <c r="L48" s="110">
        <f>IF(L13=0,0,1000000*L13/TrRail_act!L28)</f>
        <v>0</v>
      </c>
      <c r="M48" s="110">
        <f>IF(M13=0,0,1000000*M13/TrRail_act!M28)</f>
        <v>0</v>
      </c>
      <c r="N48" s="110">
        <f>IF(N13=0,0,1000000*N13/TrRail_act!N28)</f>
        <v>0</v>
      </c>
      <c r="O48" s="110">
        <f>IF(O13=0,0,1000000*O13/TrRail_act!O28)</f>
        <v>0</v>
      </c>
      <c r="P48" s="110">
        <f>IF(P13=0,0,1000000*P13/TrRail_act!P28)</f>
        <v>0</v>
      </c>
      <c r="Q48" s="110">
        <f>IF(Q13=0,0,1000000*Q13/TrRail_act!Q28)</f>
        <v>0</v>
      </c>
      <c r="R48" s="110">
        <f>IF(R13=0,0,1000000*R13/TrRail_act!R28)</f>
        <v>0</v>
      </c>
      <c r="S48" s="110">
        <f>IF(S13=0,0,1000000*S13/TrRail_act!S28)</f>
        <v>0</v>
      </c>
      <c r="T48" s="110">
        <f>IF(T13=0,0,1000000*T13/TrRail_act!T28)</f>
        <v>0</v>
      </c>
      <c r="U48" s="110">
        <f>IF(U13=0,0,1000000*U13/TrRail_act!U28)</f>
        <v>0</v>
      </c>
      <c r="V48" s="110">
        <f>IF(V13=0,0,1000000*V13/TrRail_act!V28)</f>
        <v>0</v>
      </c>
      <c r="W48" s="110">
        <f>IF(W13=0,0,1000000*W13/TrRail_act!W28)</f>
        <v>0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0</v>
      </c>
      <c r="C49" s="84">
        <f>IF(C14=0,0,1000000*C14/TrRail_act!C29)</f>
        <v>0</v>
      </c>
      <c r="D49" s="84">
        <f>IF(D14=0,0,1000000*D14/TrRail_act!D29)</f>
        <v>0</v>
      </c>
      <c r="E49" s="84">
        <f>IF(E14=0,0,1000000*E14/TrRail_act!E29)</f>
        <v>0</v>
      </c>
      <c r="F49" s="84">
        <f>IF(F14=0,0,1000000*F14/TrRail_act!F29)</f>
        <v>0</v>
      </c>
      <c r="G49" s="84">
        <f>IF(G14=0,0,1000000*G14/TrRail_act!G29)</f>
        <v>0</v>
      </c>
      <c r="H49" s="84">
        <f>IF(H14=0,0,1000000*H14/TrRail_act!H29)</f>
        <v>0</v>
      </c>
      <c r="I49" s="84">
        <f>IF(I14=0,0,1000000*I14/TrRail_act!I29)</f>
        <v>0</v>
      </c>
      <c r="J49" s="84">
        <f>IF(J14=0,0,1000000*J14/TrRail_act!J29)</f>
        <v>0</v>
      </c>
      <c r="K49" s="84">
        <f>IF(K14=0,0,1000000*K14/TrRail_act!K29)</f>
        <v>0</v>
      </c>
      <c r="L49" s="84">
        <f>IF(L14=0,0,1000000*L14/TrRail_act!L29)</f>
        <v>0</v>
      </c>
      <c r="M49" s="84">
        <f>IF(M14=0,0,1000000*M14/TrRail_act!M29)</f>
        <v>0</v>
      </c>
      <c r="N49" s="84">
        <f>IF(N14=0,0,1000000*N14/TrRail_act!N29)</f>
        <v>0</v>
      </c>
      <c r="O49" s="84">
        <f>IF(O14=0,0,1000000*O14/TrRail_act!O29)</f>
        <v>0</v>
      </c>
      <c r="P49" s="84">
        <f>IF(P14=0,0,1000000*P14/TrRail_act!P29)</f>
        <v>0</v>
      </c>
      <c r="Q49" s="84">
        <f>IF(Q14=0,0,1000000*Q14/TrRail_act!Q29)</f>
        <v>0</v>
      </c>
      <c r="R49" s="84">
        <f>IF(R14=0,0,1000000*R14/TrRail_act!R29)</f>
        <v>0</v>
      </c>
      <c r="S49" s="84">
        <f>IF(S14=0,0,1000000*S14/TrRail_act!S29)</f>
        <v>0</v>
      </c>
      <c r="T49" s="84">
        <f>IF(T14=0,0,1000000*T14/TrRail_act!T29)</f>
        <v>0</v>
      </c>
      <c r="U49" s="84">
        <f>IF(U14=0,0,1000000*U14/TrRail_act!U29)</f>
        <v>0</v>
      </c>
      <c r="V49" s="84">
        <f>IF(V14=0,0,1000000*V14/TrRail_act!V29)</f>
        <v>0</v>
      </c>
      <c r="W49" s="84">
        <f>IF(W14=0,0,1000000*W14/TrRail_act!W29)</f>
        <v>0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0</v>
      </c>
      <c r="C50" s="84">
        <f>IF(C15=0,0,1000000*C15/TrRail_act!C30)</f>
        <v>0</v>
      </c>
      <c r="D50" s="84">
        <f>IF(D15=0,0,1000000*D15/TrRail_act!D30)</f>
        <v>0</v>
      </c>
      <c r="E50" s="84">
        <f>IF(E15=0,0,1000000*E15/TrRail_act!E30)</f>
        <v>0</v>
      </c>
      <c r="F50" s="84">
        <f>IF(F15=0,0,1000000*F15/TrRail_act!F30)</f>
        <v>0</v>
      </c>
      <c r="G50" s="84">
        <f>IF(G15=0,0,1000000*G15/TrRail_act!G30)</f>
        <v>0</v>
      </c>
      <c r="H50" s="84">
        <f>IF(H15=0,0,1000000*H15/TrRail_act!H30)</f>
        <v>0</v>
      </c>
      <c r="I50" s="84">
        <f>IF(I15=0,0,1000000*I15/TrRail_act!I30)</f>
        <v>0</v>
      </c>
      <c r="J50" s="84">
        <f>IF(J15=0,0,1000000*J15/TrRail_act!J30)</f>
        <v>0</v>
      </c>
      <c r="K50" s="84">
        <f>IF(K15=0,0,1000000*K15/TrRail_act!K30)</f>
        <v>0</v>
      </c>
      <c r="L50" s="84">
        <f>IF(L15=0,0,1000000*L15/TrRail_act!L30)</f>
        <v>0</v>
      </c>
      <c r="M50" s="84">
        <f>IF(M15=0,0,1000000*M15/TrRail_act!M30)</f>
        <v>0</v>
      </c>
      <c r="N50" s="84">
        <f>IF(N15=0,0,1000000*N15/TrRail_act!N30)</f>
        <v>0</v>
      </c>
      <c r="O50" s="84">
        <f>IF(O15=0,0,1000000*O15/TrRail_act!O30)</f>
        <v>0</v>
      </c>
      <c r="P50" s="84">
        <f>IF(P15=0,0,1000000*P15/TrRail_act!P30)</f>
        <v>0</v>
      </c>
      <c r="Q50" s="84">
        <f>IF(Q15=0,0,1000000*Q15/TrRail_act!Q30)</f>
        <v>0</v>
      </c>
      <c r="R50" s="84">
        <f>IF(R15=0,0,1000000*R15/TrRail_act!R30)</f>
        <v>0</v>
      </c>
      <c r="S50" s="84">
        <f>IF(S15=0,0,1000000*S15/TrRail_act!S30)</f>
        <v>0</v>
      </c>
      <c r="T50" s="84">
        <f>IF(T15=0,0,1000000*T15/TrRail_act!T30)</f>
        <v>0</v>
      </c>
      <c r="U50" s="84">
        <f>IF(U15=0,0,1000000*U15/TrRail_act!U30)</f>
        <v>0</v>
      </c>
      <c r="V50" s="84">
        <f>IF(V15=0,0,1000000*V15/TrRail_act!V30)</f>
        <v>0</v>
      </c>
      <c r="W50" s="84">
        <f>IF(W15=0,0,1000000*W15/TrRail_act!W30)</f>
        <v>0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0</v>
      </c>
      <c r="C52" s="28">
        <f>IF(C17=0,0,1000000*C17/TrRail_act!C32)</f>
        <v>0</v>
      </c>
      <c r="D52" s="28">
        <f>IF(D17=0,0,1000000*D17/TrRail_act!D32)</f>
        <v>0</v>
      </c>
      <c r="E52" s="28">
        <f>IF(E17=0,0,1000000*E17/TrRail_act!E32)</f>
        <v>0</v>
      </c>
      <c r="F52" s="28">
        <f>IF(F17=0,0,1000000*F17/TrRail_act!F32)</f>
        <v>0</v>
      </c>
      <c r="G52" s="28">
        <f>IF(G17=0,0,1000000*G17/TrRail_act!G32)</f>
        <v>0</v>
      </c>
      <c r="H52" s="28">
        <f>IF(H17=0,0,1000000*H17/TrRail_act!H32)</f>
        <v>0</v>
      </c>
      <c r="I52" s="28">
        <f>IF(I17=0,0,1000000*I17/TrRail_act!I32)</f>
        <v>0</v>
      </c>
      <c r="J52" s="28">
        <f>IF(J17=0,0,1000000*J17/TrRail_act!J32)</f>
        <v>0</v>
      </c>
      <c r="K52" s="28">
        <f>IF(K17=0,0,1000000*K17/TrRail_act!K32)</f>
        <v>0</v>
      </c>
      <c r="L52" s="28">
        <f>IF(L17=0,0,1000000*L17/TrRail_act!L32)</f>
        <v>0</v>
      </c>
      <c r="M52" s="28">
        <f>IF(M17=0,0,1000000*M17/TrRail_act!M32)</f>
        <v>0</v>
      </c>
      <c r="N52" s="28">
        <f>IF(N17=0,0,1000000*N17/TrRail_act!N32)</f>
        <v>0</v>
      </c>
      <c r="O52" s="28">
        <f>IF(O17=0,0,1000000*O17/TrRail_act!O32)</f>
        <v>0</v>
      </c>
      <c r="P52" s="28">
        <f>IF(P17=0,0,1000000*P17/TrRail_act!P32)</f>
        <v>0</v>
      </c>
      <c r="Q52" s="28">
        <f>IF(Q17=0,0,1000000*Q17/TrRail_act!Q32)</f>
        <v>0</v>
      </c>
      <c r="R52" s="28">
        <f>IF(R17=0,0,1000000*R17/TrRail_act!R32)</f>
        <v>0</v>
      </c>
      <c r="S52" s="28">
        <f>IF(S17=0,0,1000000*S17/TrRail_act!S32)</f>
        <v>0</v>
      </c>
      <c r="T52" s="28">
        <f>IF(T17=0,0,1000000*T17/TrRail_act!T32)</f>
        <v>0</v>
      </c>
      <c r="U52" s="28">
        <f>IF(U17=0,0,1000000*U17/TrRail_act!U32)</f>
        <v>0</v>
      </c>
      <c r="V52" s="28">
        <f>IF(V17=0,0,1000000*V17/TrRail_act!V32)</f>
        <v>0</v>
      </c>
      <c r="W52" s="28">
        <f>IF(W17=0,0,1000000*W17/TrRail_act!W32)</f>
        <v>0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0</v>
      </c>
      <c r="C53" s="84">
        <f>IF(C18=0,0,1000000*C18/TrRail_act!C33)</f>
        <v>0</v>
      </c>
      <c r="D53" s="84">
        <f>IF(D18=0,0,1000000*D18/TrRail_act!D33)</f>
        <v>0</v>
      </c>
      <c r="E53" s="84">
        <f>IF(E18=0,0,1000000*E18/TrRail_act!E33)</f>
        <v>0</v>
      </c>
      <c r="F53" s="84">
        <f>IF(F18=0,0,1000000*F18/TrRail_act!F33)</f>
        <v>0</v>
      </c>
      <c r="G53" s="84">
        <f>IF(G18=0,0,1000000*G18/TrRail_act!G33)</f>
        <v>0</v>
      </c>
      <c r="H53" s="84">
        <f>IF(H18=0,0,1000000*H18/TrRail_act!H33)</f>
        <v>0</v>
      </c>
      <c r="I53" s="84">
        <f>IF(I18=0,0,1000000*I18/TrRail_act!I33)</f>
        <v>0</v>
      </c>
      <c r="J53" s="84">
        <f>IF(J18=0,0,1000000*J18/TrRail_act!J33)</f>
        <v>0</v>
      </c>
      <c r="K53" s="84">
        <f>IF(K18=0,0,1000000*K18/TrRail_act!K33)</f>
        <v>0</v>
      </c>
      <c r="L53" s="84">
        <f>IF(L18=0,0,1000000*L18/TrRail_act!L33)</f>
        <v>0</v>
      </c>
      <c r="M53" s="84">
        <f>IF(M18=0,0,1000000*M18/TrRail_act!M33)</f>
        <v>0</v>
      </c>
      <c r="N53" s="84">
        <f>IF(N18=0,0,1000000*N18/TrRail_act!N33)</f>
        <v>0</v>
      </c>
      <c r="O53" s="84">
        <f>IF(O18=0,0,1000000*O18/TrRail_act!O33)</f>
        <v>0</v>
      </c>
      <c r="P53" s="84">
        <f>IF(P18=0,0,1000000*P18/TrRail_act!P33)</f>
        <v>0</v>
      </c>
      <c r="Q53" s="84">
        <f>IF(Q18=0,0,1000000*Q18/TrRail_act!Q33)</f>
        <v>0</v>
      </c>
      <c r="R53" s="84">
        <f>IF(R18=0,0,1000000*R18/TrRail_act!R33)</f>
        <v>0</v>
      </c>
      <c r="S53" s="84">
        <f>IF(S18=0,0,1000000*S18/TrRail_act!S33)</f>
        <v>0</v>
      </c>
      <c r="T53" s="84">
        <f>IF(T18=0,0,1000000*T18/TrRail_act!T33)</f>
        <v>0</v>
      </c>
      <c r="U53" s="84">
        <f>IF(U18=0,0,1000000*U18/TrRail_act!U33)</f>
        <v>0</v>
      </c>
      <c r="V53" s="84">
        <f>IF(V18=0,0,1000000*V18/TrRail_act!V33)</f>
        <v>0</v>
      </c>
      <c r="W53" s="84">
        <f>IF(W18=0,0,1000000*W18/TrRail_act!W33)</f>
        <v>0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0</v>
      </c>
      <c r="C56" s="65">
        <f t="shared" ref="C56:V56" si="15">IF(C10=0,0,C10/C$10)</f>
        <v>0</v>
      </c>
      <c r="D56" s="65">
        <f t="shared" si="15"/>
        <v>0</v>
      </c>
      <c r="E56" s="65">
        <f t="shared" si="15"/>
        <v>0</v>
      </c>
      <c r="F56" s="65">
        <f t="shared" si="15"/>
        <v>0</v>
      </c>
      <c r="G56" s="65">
        <f t="shared" si="15"/>
        <v>0</v>
      </c>
      <c r="H56" s="65">
        <f t="shared" si="15"/>
        <v>0</v>
      </c>
      <c r="I56" s="65">
        <f t="shared" si="15"/>
        <v>0</v>
      </c>
      <c r="J56" s="65">
        <f t="shared" si="15"/>
        <v>0</v>
      </c>
      <c r="K56" s="65">
        <f t="shared" si="15"/>
        <v>0</v>
      </c>
      <c r="L56" s="65">
        <f t="shared" si="15"/>
        <v>0</v>
      </c>
      <c r="M56" s="65">
        <f t="shared" si="15"/>
        <v>0</v>
      </c>
      <c r="N56" s="65">
        <f t="shared" si="15"/>
        <v>0</v>
      </c>
      <c r="O56" s="65">
        <f t="shared" si="15"/>
        <v>0</v>
      </c>
      <c r="P56" s="65">
        <f t="shared" si="15"/>
        <v>0</v>
      </c>
      <c r="Q56" s="65">
        <f t="shared" si="15"/>
        <v>0</v>
      </c>
      <c r="R56" s="65">
        <f t="shared" si="15"/>
        <v>0</v>
      </c>
      <c r="S56" s="65">
        <f t="shared" si="15"/>
        <v>0</v>
      </c>
      <c r="T56" s="65">
        <f t="shared" si="15"/>
        <v>0</v>
      </c>
      <c r="U56" s="65">
        <f t="shared" si="15"/>
        <v>0</v>
      </c>
      <c r="V56" s="65">
        <f t="shared" si="15"/>
        <v>0</v>
      </c>
      <c r="W56" s="65">
        <f t="shared" ref="W56" si="16">IF(W10=0,0,W10/W$10)</f>
        <v>0</v>
      </c>
      <c r="DA56" s="172"/>
    </row>
    <row r="57" spans="1:105" ht="11.45" customHeight="1" x14ac:dyDescent="0.25">
      <c r="A57" s="27" t="s">
        <v>33</v>
      </c>
      <c r="B57" s="31">
        <f t="shared" si="14"/>
        <v>0</v>
      </c>
      <c r="C57" s="31">
        <f t="shared" ref="C57:V57" si="17">IF(C11=0,0,C11/C$10)</f>
        <v>0</v>
      </c>
      <c r="D57" s="31">
        <f t="shared" si="17"/>
        <v>0</v>
      </c>
      <c r="E57" s="31">
        <f t="shared" si="17"/>
        <v>0</v>
      </c>
      <c r="F57" s="31">
        <f t="shared" si="17"/>
        <v>0</v>
      </c>
      <c r="G57" s="31">
        <f t="shared" si="17"/>
        <v>0</v>
      </c>
      <c r="H57" s="31">
        <f t="shared" si="17"/>
        <v>0</v>
      </c>
      <c r="I57" s="31">
        <f t="shared" si="17"/>
        <v>0</v>
      </c>
      <c r="J57" s="31">
        <f t="shared" si="17"/>
        <v>0</v>
      </c>
      <c r="K57" s="31">
        <f t="shared" si="17"/>
        <v>0</v>
      </c>
      <c r="L57" s="31">
        <f t="shared" si="17"/>
        <v>0</v>
      </c>
      <c r="M57" s="31">
        <f t="shared" si="17"/>
        <v>0</v>
      </c>
      <c r="N57" s="31">
        <f t="shared" si="17"/>
        <v>0</v>
      </c>
      <c r="O57" s="31">
        <f t="shared" si="17"/>
        <v>0</v>
      </c>
      <c r="P57" s="31">
        <f t="shared" si="17"/>
        <v>0</v>
      </c>
      <c r="Q57" s="31">
        <f t="shared" si="17"/>
        <v>0</v>
      </c>
      <c r="R57" s="31">
        <f t="shared" si="17"/>
        <v>0</v>
      </c>
      <c r="S57" s="31">
        <f t="shared" si="17"/>
        <v>0</v>
      </c>
      <c r="T57" s="31">
        <f t="shared" si="17"/>
        <v>0</v>
      </c>
      <c r="U57" s="31">
        <f t="shared" si="17"/>
        <v>0</v>
      </c>
      <c r="V57" s="31">
        <f t="shared" si="17"/>
        <v>0</v>
      </c>
      <c r="W57" s="31">
        <f t="shared" ref="W57" si="18">IF(W11=0,0,W11/W$10)</f>
        <v>0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0</v>
      </c>
      <c r="G58" s="123">
        <f t="shared" si="19"/>
        <v>0</v>
      </c>
      <c r="H58" s="123">
        <f t="shared" si="19"/>
        <v>0</v>
      </c>
      <c r="I58" s="123">
        <f t="shared" si="19"/>
        <v>0</v>
      </c>
      <c r="J58" s="123">
        <f t="shared" si="19"/>
        <v>0</v>
      </c>
      <c r="K58" s="123">
        <f t="shared" si="19"/>
        <v>0</v>
      </c>
      <c r="L58" s="123">
        <f t="shared" si="19"/>
        <v>0</v>
      </c>
      <c r="M58" s="123">
        <f t="shared" si="19"/>
        <v>0</v>
      </c>
      <c r="N58" s="123">
        <f t="shared" si="19"/>
        <v>0</v>
      </c>
      <c r="O58" s="123">
        <f t="shared" si="19"/>
        <v>0</v>
      </c>
      <c r="P58" s="123">
        <f t="shared" si="19"/>
        <v>0</v>
      </c>
      <c r="Q58" s="123">
        <f t="shared" si="19"/>
        <v>0</v>
      </c>
      <c r="R58" s="123">
        <f t="shared" si="19"/>
        <v>0</v>
      </c>
      <c r="S58" s="123">
        <f t="shared" si="19"/>
        <v>0</v>
      </c>
      <c r="T58" s="123">
        <f t="shared" si="19"/>
        <v>0</v>
      </c>
      <c r="U58" s="123">
        <f t="shared" si="19"/>
        <v>0</v>
      </c>
      <c r="V58" s="123">
        <f t="shared" si="19"/>
        <v>0</v>
      </c>
      <c r="W58" s="123">
        <f t="shared" ref="W58" si="20">IF(W12=0,0,W12/W$10)</f>
        <v>0</v>
      </c>
      <c r="DA58" s="203"/>
    </row>
    <row r="59" spans="1:105" ht="11.45" customHeight="1" x14ac:dyDescent="0.25">
      <c r="A59" s="109" t="s">
        <v>24</v>
      </c>
      <c r="B59" s="124">
        <f t="shared" si="14"/>
        <v>0</v>
      </c>
      <c r="C59" s="124">
        <f t="shared" ref="C59:V59" si="21">IF(C13=0,0,C13/C$10)</f>
        <v>0</v>
      </c>
      <c r="D59" s="124">
        <f t="shared" si="21"/>
        <v>0</v>
      </c>
      <c r="E59" s="124">
        <f t="shared" si="21"/>
        <v>0</v>
      </c>
      <c r="F59" s="124">
        <f t="shared" si="21"/>
        <v>0</v>
      </c>
      <c r="G59" s="124">
        <f t="shared" si="21"/>
        <v>0</v>
      </c>
      <c r="H59" s="124">
        <f t="shared" si="21"/>
        <v>0</v>
      </c>
      <c r="I59" s="124">
        <f t="shared" si="21"/>
        <v>0</v>
      </c>
      <c r="J59" s="124">
        <f t="shared" si="21"/>
        <v>0</v>
      </c>
      <c r="K59" s="124">
        <f t="shared" si="21"/>
        <v>0</v>
      </c>
      <c r="L59" s="124">
        <f t="shared" si="21"/>
        <v>0</v>
      </c>
      <c r="M59" s="124">
        <f t="shared" si="21"/>
        <v>0</v>
      </c>
      <c r="N59" s="124">
        <f t="shared" si="21"/>
        <v>0</v>
      </c>
      <c r="O59" s="124">
        <f t="shared" si="21"/>
        <v>0</v>
      </c>
      <c r="P59" s="124">
        <f t="shared" si="21"/>
        <v>0</v>
      </c>
      <c r="Q59" s="124">
        <f t="shared" si="21"/>
        <v>0</v>
      </c>
      <c r="R59" s="124">
        <f t="shared" si="21"/>
        <v>0</v>
      </c>
      <c r="S59" s="124">
        <f t="shared" si="21"/>
        <v>0</v>
      </c>
      <c r="T59" s="124">
        <f t="shared" si="21"/>
        <v>0</v>
      </c>
      <c r="U59" s="124">
        <f t="shared" si="21"/>
        <v>0</v>
      </c>
      <c r="V59" s="124">
        <f t="shared" si="21"/>
        <v>0</v>
      </c>
      <c r="W59" s="124">
        <f t="shared" ref="W59" si="22">IF(W13=0,0,W13/W$10)</f>
        <v>0</v>
      </c>
      <c r="DA59" s="176"/>
    </row>
    <row r="60" spans="1:105" ht="11.45" customHeight="1" x14ac:dyDescent="0.25">
      <c r="A60" s="111" t="s">
        <v>92</v>
      </c>
      <c r="B60" s="125">
        <f t="shared" si="14"/>
        <v>0</v>
      </c>
      <c r="C60" s="125">
        <f t="shared" ref="C60:V60" si="23">IF(C14=0,0,C14/C$10)</f>
        <v>0</v>
      </c>
      <c r="D60" s="125">
        <f t="shared" si="23"/>
        <v>0</v>
      </c>
      <c r="E60" s="125">
        <f t="shared" si="23"/>
        <v>0</v>
      </c>
      <c r="F60" s="125">
        <f t="shared" si="23"/>
        <v>0</v>
      </c>
      <c r="G60" s="125">
        <f t="shared" si="23"/>
        <v>0</v>
      </c>
      <c r="H60" s="125">
        <f t="shared" si="23"/>
        <v>0</v>
      </c>
      <c r="I60" s="125">
        <f t="shared" si="23"/>
        <v>0</v>
      </c>
      <c r="J60" s="125">
        <f t="shared" si="23"/>
        <v>0</v>
      </c>
      <c r="K60" s="125">
        <f t="shared" si="23"/>
        <v>0</v>
      </c>
      <c r="L60" s="125">
        <f t="shared" si="23"/>
        <v>0</v>
      </c>
      <c r="M60" s="125">
        <f t="shared" si="23"/>
        <v>0</v>
      </c>
      <c r="N60" s="125">
        <f t="shared" si="23"/>
        <v>0</v>
      </c>
      <c r="O60" s="125">
        <f t="shared" si="23"/>
        <v>0</v>
      </c>
      <c r="P60" s="125">
        <f t="shared" si="23"/>
        <v>0</v>
      </c>
      <c r="Q60" s="125">
        <f t="shared" si="23"/>
        <v>0</v>
      </c>
      <c r="R60" s="125">
        <f t="shared" si="23"/>
        <v>0</v>
      </c>
      <c r="S60" s="125">
        <f t="shared" si="23"/>
        <v>0</v>
      </c>
      <c r="T60" s="125">
        <f t="shared" si="23"/>
        <v>0</v>
      </c>
      <c r="U60" s="125">
        <f t="shared" si="23"/>
        <v>0</v>
      </c>
      <c r="V60" s="125">
        <f t="shared" si="23"/>
        <v>0</v>
      </c>
      <c r="W60" s="125">
        <f t="shared" ref="W60" si="24">IF(W14=0,0,W14/W$10)</f>
        <v>0</v>
      </c>
      <c r="DA60" s="171"/>
    </row>
    <row r="61" spans="1:105" ht="11.45" customHeight="1" x14ac:dyDescent="0.25">
      <c r="A61" s="111" t="s">
        <v>93</v>
      </c>
      <c r="B61" s="125">
        <f t="shared" si="14"/>
        <v>0</v>
      </c>
      <c r="C61" s="125">
        <f t="shared" ref="C61:V61" si="25">IF(C15=0,0,C15/C$10)</f>
        <v>0</v>
      </c>
      <c r="D61" s="125">
        <f t="shared" si="25"/>
        <v>0</v>
      </c>
      <c r="E61" s="125">
        <f t="shared" si="25"/>
        <v>0</v>
      </c>
      <c r="F61" s="125">
        <f t="shared" si="25"/>
        <v>0</v>
      </c>
      <c r="G61" s="125">
        <f t="shared" si="25"/>
        <v>0</v>
      </c>
      <c r="H61" s="125">
        <f t="shared" si="25"/>
        <v>0</v>
      </c>
      <c r="I61" s="125">
        <f t="shared" si="25"/>
        <v>0</v>
      </c>
      <c r="J61" s="125">
        <f t="shared" si="25"/>
        <v>0</v>
      </c>
      <c r="K61" s="125">
        <f t="shared" si="25"/>
        <v>0</v>
      </c>
      <c r="L61" s="125">
        <f t="shared" si="25"/>
        <v>0</v>
      </c>
      <c r="M61" s="125">
        <f t="shared" si="25"/>
        <v>0</v>
      </c>
      <c r="N61" s="125">
        <f t="shared" si="25"/>
        <v>0</v>
      </c>
      <c r="O61" s="125">
        <f t="shared" si="25"/>
        <v>0</v>
      </c>
      <c r="P61" s="125">
        <f t="shared" si="25"/>
        <v>0</v>
      </c>
      <c r="Q61" s="125">
        <f t="shared" si="25"/>
        <v>0</v>
      </c>
      <c r="R61" s="125">
        <f t="shared" si="25"/>
        <v>0</v>
      </c>
      <c r="S61" s="125">
        <f t="shared" si="25"/>
        <v>0</v>
      </c>
      <c r="T61" s="125">
        <f t="shared" si="25"/>
        <v>0</v>
      </c>
      <c r="U61" s="125">
        <f t="shared" si="25"/>
        <v>0</v>
      </c>
      <c r="V61" s="125">
        <f t="shared" si="25"/>
        <v>0</v>
      </c>
      <c r="W61" s="125">
        <f t="shared" ref="W61" si="26">IF(W15=0,0,W15/W$10)</f>
        <v>0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</v>
      </c>
      <c r="C63" s="31">
        <f t="shared" ref="C63:V63" si="29">IF(C17=0,0,C17/C$10)</f>
        <v>0</v>
      </c>
      <c r="D63" s="31">
        <f t="shared" si="29"/>
        <v>0</v>
      </c>
      <c r="E63" s="31">
        <f t="shared" si="29"/>
        <v>0</v>
      </c>
      <c r="F63" s="31">
        <f t="shared" si="29"/>
        <v>0</v>
      </c>
      <c r="G63" s="31">
        <f t="shared" si="29"/>
        <v>0</v>
      </c>
      <c r="H63" s="31">
        <f t="shared" si="29"/>
        <v>0</v>
      </c>
      <c r="I63" s="31">
        <f t="shared" si="29"/>
        <v>0</v>
      </c>
      <c r="J63" s="31">
        <f t="shared" si="29"/>
        <v>0</v>
      </c>
      <c r="K63" s="31">
        <f t="shared" si="29"/>
        <v>0</v>
      </c>
      <c r="L63" s="31">
        <f t="shared" si="29"/>
        <v>0</v>
      </c>
      <c r="M63" s="31">
        <f t="shared" si="29"/>
        <v>0</v>
      </c>
      <c r="N63" s="31">
        <f t="shared" si="29"/>
        <v>0</v>
      </c>
      <c r="O63" s="31">
        <f t="shared" si="29"/>
        <v>0</v>
      </c>
      <c r="P63" s="31">
        <f t="shared" si="29"/>
        <v>0</v>
      </c>
      <c r="Q63" s="31">
        <f t="shared" si="29"/>
        <v>0</v>
      </c>
      <c r="R63" s="31">
        <f t="shared" si="29"/>
        <v>0</v>
      </c>
      <c r="S63" s="31">
        <f t="shared" si="29"/>
        <v>0</v>
      </c>
      <c r="T63" s="31">
        <f t="shared" si="29"/>
        <v>0</v>
      </c>
      <c r="U63" s="31">
        <f t="shared" si="29"/>
        <v>0</v>
      </c>
      <c r="V63" s="31">
        <f t="shared" si="29"/>
        <v>0</v>
      </c>
      <c r="W63" s="31">
        <f t="shared" ref="W63" si="30">IF(W17=0,0,W17/W$10)</f>
        <v>0</v>
      </c>
      <c r="DA63" s="173"/>
    </row>
    <row r="64" spans="1:105" ht="11.45" customHeight="1" x14ac:dyDescent="0.25">
      <c r="A64" s="83" t="s">
        <v>92</v>
      </c>
      <c r="B64" s="125">
        <f t="shared" si="14"/>
        <v>0</v>
      </c>
      <c r="C64" s="125">
        <f t="shared" ref="C64:V64" si="31">IF(C18=0,0,C18/C$10)</f>
        <v>0</v>
      </c>
      <c r="D64" s="125">
        <f t="shared" si="31"/>
        <v>0</v>
      </c>
      <c r="E64" s="125">
        <f t="shared" si="31"/>
        <v>0</v>
      </c>
      <c r="F64" s="125">
        <f t="shared" si="31"/>
        <v>0</v>
      </c>
      <c r="G64" s="125">
        <f t="shared" si="31"/>
        <v>0</v>
      </c>
      <c r="H64" s="125">
        <f t="shared" si="31"/>
        <v>0</v>
      </c>
      <c r="I64" s="125">
        <f t="shared" si="31"/>
        <v>0</v>
      </c>
      <c r="J64" s="125">
        <f t="shared" si="31"/>
        <v>0</v>
      </c>
      <c r="K64" s="125">
        <f t="shared" si="31"/>
        <v>0</v>
      </c>
      <c r="L64" s="125">
        <f t="shared" si="31"/>
        <v>0</v>
      </c>
      <c r="M64" s="125">
        <f t="shared" si="31"/>
        <v>0</v>
      </c>
      <c r="N64" s="125">
        <f t="shared" si="31"/>
        <v>0</v>
      </c>
      <c r="O64" s="125">
        <f t="shared" si="31"/>
        <v>0</v>
      </c>
      <c r="P64" s="125">
        <f t="shared" si="31"/>
        <v>0</v>
      </c>
      <c r="Q64" s="125">
        <f t="shared" si="31"/>
        <v>0</v>
      </c>
      <c r="R64" s="125">
        <f t="shared" si="31"/>
        <v>0</v>
      </c>
      <c r="S64" s="125">
        <f t="shared" si="31"/>
        <v>0</v>
      </c>
      <c r="T64" s="125">
        <f t="shared" si="31"/>
        <v>0</v>
      </c>
      <c r="U64" s="125">
        <f t="shared" si="31"/>
        <v>0</v>
      </c>
      <c r="V64" s="125">
        <f t="shared" si="31"/>
        <v>0</v>
      </c>
      <c r="W64" s="125">
        <f t="shared" ref="W64" si="32">IF(W18=0,0,W18/W$10)</f>
        <v>0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0</v>
      </c>
      <c r="E65" s="127">
        <f t="shared" si="33"/>
        <v>0</v>
      </c>
      <c r="F65" s="127">
        <f t="shared" si="33"/>
        <v>0</v>
      </c>
      <c r="G65" s="127">
        <f t="shared" si="33"/>
        <v>0</v>
      </c>
      <c r="H65" s="127">
        <f t="shared" si="33"/>
        <v>0</v>
      </c>
      <c r="I65" s="127">
        <f t="shared" si="33"/>
        <v>0</v>
      </c>
      <c r="J65" s="127">
        <f t="shared" si="33"/>
        <v>0</v>
      </c>
      <c r="K65" s="127">
        <f t="shared" si="33"/>
        <v>0</v>
      </c>
      <c r="L65" s="127">
        <f t="shared" si="33"/>
        <v>0</v>
      </c>
      <c r="M65" s="127">
        <f t="shared" si="33"/>
        <v>0</v>
      </c>
      <c r="N65" s="127">
        <f t="shared" si="33"/>
        <v>0</v>
      </c>
      <c r="O65" s="127">
        <f t="shared" si="33"/>
        <v>0</v>
      </c>
      <c r="P65" s="127">
        <f t="shared" si="33"/>
        <v>0</v>
      </c>
      <c r="Q65" s="127">
        <f t="shared" si="33"/>
        <v>0</v>
      </c>
      <c r="R65" s="127">
        <f t="shared" si="33"/>
        <v>0</v>
      </c>
      <c r="S65" s="127">
        <f t="shared" si="33"/>
        <v>0</v>
      </c>
      <c r="T65" s="127">
        <f t="shared" si="33"/>
        <v>0</v>
      </c>
      <c r="U65" s="127">
        <f t="shared" si="33"/>
        <v>0</v>
      </c>
      <c r="V65" s="127">
        <f t="shared" si="33"/>
        <v>0</v>
      </c>
      <c r="W65" s="127">
        <f t="shared" ref="W65" si="34">IF(W19=0,0,W19/W$10)</f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0</v>
      </c>
      <c r="C4" s="26">
        <f t="shared" ref="C4:W4" si="0">SUM(C5:C6)</f>
        <v>0</v>
      </c>
      <c r="D4" s="26">
        <f t="shared" si="0"/>
        <v>0</v>
      </c>
      <c r="E4" s="26">
        <f t="shared" si="0"/>
        <v>0</v>
      </c>
      <c r="F4" s="26">
        <f t="shared" si="0"/>
        <v>0</v>
      </c>
      <c r="G4" s="26">
        <f t="shared" si="0"/>
        <v>0</v>
      </c>
      <c r="H4" s="26">
        <f t="shared" si="0"/>
        <v>0</v>
      </c>
      <c r="I4" s="26">
        <f t="shared" si="0"/>
        <v>0</v>
      </c>
      <c r="J4" s="26">
        <f t="shared" si="0"/>
        <v>0</v>
      </c>
      <c r="K4" s="26">
        <f t="shared" si="0"/>
        <v>0</v>
      </c>
      <c r="L4" s="26">
        <f t="shared" si="0"/>
        <v>0</v>
      </c>
      <c r="M4" s="26">
        <f t="shared" si="0"/>
        <v>0</v>
      </c>
      <c r="N4" s="26">
        <f t="shared" si="0"/>
        <v>0</v>
      </c>
      <c r="O4" s="26">
        <f t="shared" si="0"/>
        <v>0</v>
      </c>
      <c r="P4" s="26">
        <f t="shared" si="0"/>
        <v>0</v>
      </c>
      <c r="Q4" s="26">
        <f t="shared" si="0"/>
        <v>0</v>
      </c>
      <c r="R4" s="26">
        <f t="shared" si="0"/>
        <v>0</v>
      </c>
      <c r="S4" s="26">
        <f t="shared" si="0"/>
        <v>0</v>
      </c>
      <c r="T4" s="26">
        <f t="shared" si="0"/>
        <v>0</v>
      </c>
      <c r="U4" s="26">
        <f t="shared" si="0"/>
        <v>0</v>
      </c>
      <c r="V4" s="26">
        <f t="shared" si="0"/>
        <v>0</v>
      </c>
      <c r="W4" s="26">
        <f t="shared" si="0"/>
        <v>0</v>
      </c>
      <c r="DA4" s="202" t="s">
        <v>1135</v>
      </c>
    </row>
    <row r="5" spans="1:105" ht="11.45" customHeight="1" x14ac:dyDescent="0.25">
      <c r="A5" s="107" t="s">
        <v>92</v>
      </c>
      <c r="B5" s="129">
        <v>0</v>
      </c>
      <c r="C5" s="129">
        <v>0</v>
      </c>
      <c r="D5" s="129">
        <v>0</v>
      </c>
      <c r="E5" s="129">
        <v>0</v>
      </c>
      <c r="F5" s="129">
        <v>0</v>
      </c>
      <c r="G5" s="129">
        <v>0</v>
      </c>
      <c r="H5" s="129">
        <v>0</v>
      </c>
      <c r="I5" s="129">
        <v>0</v>
      </c>
      <c r="J5" s="129">
        <v>0</v>
      </c>
      <c r="K5" s="129">
        <v>0</v>
      </c>
      <c r="L5" s="129">
        <v>0</v>
      </c>
      <c r="M5" s="129">
        <v>0</v>
      </c>
      <c r="N5" s="129">
        <v>0</v>
      </c>
      <c r="O5" s="129">
        <v>0</v>
      </c>
      <c r="P5" s="129">
        <v>0</v>
      </c>
      <c r="Q5" s="129">
        <v>0</v>
      </c>
      <c r="R5" s="129">
        <v>0</v>
      </c>
      <c r="S5" s="129">
        <v>0</v>
      </c>
      <c r="T5" s="129">
        <v>0</v>
      </c>
      <c r="U5" s="129">
        <v>0</v>
      </c>
      <c r="V5" s="129">
        <v>0</v>
      </c>
      <c r="W5" s="129">
        <v>0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0</v>
      </c>
      <c r="C8" s="79">
        <f t="shared" si="1"/>
        <v>0</v>
      </c>
      <c r="D8" s="79">
        <f t="shared" si="1"/>
        <v>0</v>
      </c>
      <c r="E8" s="79">
        <f t="shared" si="1"/>
        <v>0</v>
      </c>
      <c r="F8" s="79">
        <f t="shared" si="1"/>
        <v>0</v>
      </c>
      <c r="G8" s="79">
        <f t="shared" si="1"/>
        <v>0</v>
      </c>
      <c r="H8" s="79">
        <f t="shared" si="1"/>
        <v>0</v>
      </c>
      <c r="I8" s="79">
        <f t="shared" si="1"/>
        <v>0</v>
      </c>
      <c r="J8" s="79">
        <f t="shared" si="1"/>
        <v>0</v>
      </c>
      <c r="K8" s="79">
        <f t="shared" si="1"/>
        <v>0</v>
      </c>
      <c r="L8" s="79">
        <f t="shared" si="1"/>
        <v>0</v>
      </c>
      <c r="M8" s="79">
        <f t="shared" si="1"/>
        <v>0</v>
      </c>
      <c r="N8" s="79">
        <f t="shared" si="1"/>
        <v>0</v>
      </c>
      <c r="O8" s="79">
        <f t="shared" si="1"/>
        <v>0</v>
      </c>
      <c r="P8" s="79">
        <f t="shared" si="1"/>
        <v>0</v>
      </c>
      <c r="Q8" s="79">
        <f t="shared" si="1"/>
        <v>0</v>
      </c>
      <c r="R8" s="79">
        <f t="shared" si="1"/>
        <v>0</v>
      </c>
      <c r="S8" s="79">
        <f t="shared" si="1"/>
        <v>0</v>
      </c>
      <c r="T8" s="79">
        <f t="shared" si="1"/>
        <v>0</v>
      </c>
      <c r="U8" s="79">
        <f t="shared" si="1"/>
        <v>0</v>
      </c>
      <c r="V8" s="79">
        <f t="shared" si="1"/>
        <v>0</v>
      </c>
      <c r="W8" s="79">
        <f t="shared" si="1"/>
        <v>0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0</v>
      </c>
      <c r="C9" s="32">
        <f t="shared" si="2"/>
        <v>0</v>
      </c>
      <c r="D9" s="32">
        <f t="shared" si="2"/>
        <v>0</v>
      </c>
      <c r="E9" s="32">
        <f t="shared" si="2"/>
        <v>0</v>
      </c>
      <c r="F9" s="32">
        <f t="shared" si="2"/>
        <v>0</v>
      </c>
      <c r="G9" s="32">
        <f t="shared" si="2"/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2">
        <f t="shared" si="2"/>
        <v>0</v>
      </c>
      <c r="L9" s="32">
        <f t="shared" si="2"/>
        <v>0</v>
      </c>
      <c r="M9" s="32">
        <f t="shared" si="2"/>
        <v>0</v>
      </c>
      <c r="N9" s="32">
        <f t="shared" si="2"/>
        <v>0</v>
      </c>
      <c r="O9" s="32">
        <f t="shared" si="2"/>
        <v>0</v>
      </c>
      <c r="P9" s="32">
        <f t="shared" si="2"/>
        <v>0</v>
      </c>
      <c r="Q9" s="32">
        <f t="shared" si="2"/>
        <v>0</v>
      </c>
      <c r="R9" s="32">
        <f t="shared" si="2"/>
        <v>0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32">
        <f t="shared" si="2"/>
        <v>0</v>
      </c>
      <c r="W9" s="32">
        <f t="shared" si="2"/>
        <v>0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0</v>
      </c>
      <c r="C11" s="130">
        <f t="shared" si="3"/>
        <v>0</v>
      </c>
      <c r="D11" s="130">
        <f t="shared" si="3"/>
        <v>0</v>
      </c>
      <c r="E11" s="130">
        <f t="shared" si="3"/>
        <v>0</v>
      </c>
      <c r="F11" s="130">
        <f t="shared" si="3"/>
        <v>0</v>
      </c>
      <c r="G11" s="130">
        <f t="shared" si="3"/>
        <v>0</v>
      </c>
      <c r="H11" s="130">
        <f t="shared" si="3"/>
        <v>0</v>
      </c>
      <c r="I11" s="130">
        <f t="shared" si="3"/>
        <v>0</v>
      </c>
      <c r="J11" s="130">
        <f t="shared" si="3"/>
        <v>0</v>
      </c>
      <c r="K11" s="130">
        <f t="shared" si="3"/>
        <v>0</v>
      </c>
      <c r="L11" s="130">
        <f t="shared" si="3"/>
        <v>0</v>
      </c>
      <c r="M11" s="130">
        <f t="shared" si="3"/>
        <v>0</v>
      </c>
      <c r="N11" s="130">
        <f t="shared" si="3"/>
        <v>0</v>
      </c>
      <c r="O11" s="130">
        <f t="shared" si="3"/>
        <v>0</v>
      </c>
      <c r="P11" s="130">
        <f t="shared" si="3"/>
        <v>0</v>
      </c>
      <c r="Q11" s="130">
        <f t="shared" si="3"/>
        <v>0</v>
      </c>
      <c r="R11" s="130">
        <f t="shared" si="3"/>
        <v>0</v>
      </c>
      <c r="S11" s="130">
        <f t="shared" si="3"/>
        <v>0</v>
      </c>
      <c r="T11" s="130">
        <f t="shared" si="3"/>
        <v>0</v>
      </c>
      <c r="U11" s="130">
        <f t="shared" si="3"/>
        <v>0</v>
      </c>
      <c r="V11" s="130">
        <f t="shared" si="3"/>
        <v>0</v>
      </c>
      <c r="W11" s="130">
        <f t="shared" si="3"/>
        <v>0</v>
      </c>
      <c r="DA11" s="176" t="s">
        <v>408</v>
      </c>
    </row>
    <row r="12" spans="1:105" ht="11.45" customHeight="1" x14ac:dyDescent="0.25">
      <c r="A12" s="111" t="s">
        <v>92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0</v>
      </c>
      <c r="C15" s="32">
        <f t="shared" si="4"/>
        <v>0</v>
      </c>
      <c r="D15" s="32">
        <f t="shared" si="4"/>
        <v>0</v>
      </c>
      <c r="E15" s="32">
        <f t="shared" si="4"/>
        <v>0</v>
      </c>
      <c r="F15" s="32">
        <f t="shared" si="4"/>
        <v>0</v>
      </c>
      <c r="G15" s="32">
        <f t="shared" si="4"/>
        <v>0</v>
      </c>
      <c r="H15" s="32">
        <f t="shared" si="4"/>
        <v>0</v>
      </c>
      <c r="I15" s="32">
        <f t="shared" si="4"/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DA15" s="173" t="s">
        <v>413</v>
      </c>
    </row>
    <row r="16" spans="1:105" ht="11.45" customHeight="1" x14ac:dyDescent="0.25">
      <c r="A16" s="83" t="s">
        <v>92</v>
      </c>
      <c r="B16" s="96">
        <v>0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</v>
      </c>
      <c r="C22" s="134">
        <f>IF(C4=0,0,C4/TrRail_ene!C4)</f>
        <v>0</v>
      </c>
      <c r="D22" s="134">
        <f>IF(D4=0,0,D4/TrRail_ene!D4)</f>
        <v>0</v>
      </c>
      <c r="E22" s="134">
        <f>IF(E4=0,0,E4/TrRail_ene!E4)</f>
        <v>0</v>
      </c>
      <c r="F22" s="134">
        <f>IF(F4=0,0,F4/TrRail_ene!F4)</f>
        <v>0</v>
      </c>
      <c r="G22" s="134">
        <f>IF(G4=0,0,G4/TrRail_ene!G4)</f>
        <v>0</v>
      </c>
      <c r="H22" s="134">
        <f>IF(H4=0,0,H4/TrRail_ene!H4)</f>
        <v>0</v>
      </c>
      <c r="I22" s="134">
        <f>IF(I4=0,0,I4/TrRail_ene!I4)</f>
        <v>0</v>
      </c>
      <c r="J22" s="134">
        <f>IF(J4=0,0,J4/TrRail_ene!J4)</f>
        <v>0</v>
      </c>
      <c r="K22" s="134">
        <f>IF(K4=0,0,K4/TrRail_ene!K4)</f>
        <v>0</v>
      </c>
      <c r="L22" s="134">
        <f>IF(L4=0,0,L4/TrRail_ene!L4)</f>
        <v>0</v>
      </c>
      <c r="M22" s="134">
        <f>IF(M4=0,0,M4/TrRail_ene!M4)</f>
        <v>0</v>
      </c>
      <c r="N22" s="134">
        <f>IF(N4=0,0,N4/TrRail_ene!N4)</f>
        <v>0</v>
      </c>
      <c r="O22" s="134">
        <f>IF(O4=0,0,O4/TrRail_ene!O4)</f>
        <v>0</v>
      </c>
      <c r="P22" s="134">
        <f>IF(P4=0,0,P4/TrRail_ene!P4)</f>
        <v>0</v>
      </c>
      <c r="Q22" s="134">
        <f>IF(Q4=0,0,Q4/TrRail_ene!Q4)</f>
        <v>0</v>
      </c>
      <c r="R22" s="134">
        <f>IF(R4=0,0,R4/TrRail_ene!R4)</f>
        <v>0</v>
      </c>
      <c r="S22" s="134">
        <f>IF(S4=0,0,S4/TrRail_ene!S4)</f>
        <v>0</v>
      </c>
      <c r="T22" s="134">
        <f>IF(T4=0,0,T4/TrRail_ene!T4)</f>
        <v>0</v>
      </c>
      <c r="U22" s="134">
        <f>IF(U4=0,0,U4/TrRail_ene!U4)</f>
        <v>0</v>
      </c>
      <c r="V22" s="134">
        <f>IF(V4=0,0,V4/TrRail_ene!V4)</f>
        <v>0</v>
      </c>
      <c r="W22" s="134">
        <f>IF(W4=0,0,W4/TrRail_ene!W4)</f>
        <v>0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0</v>
      </c>
      <c r="C23" s="129">
        <f>IF(C5=0,0,C5/SUM(TrRail_ene!C5:C7))</f>
        <v>0</v>
      </c>
      <c r="D23" s="129">
        <f>IF(D5=0,0,D5/SUM(TrRail_ene!D5:D7))</f>
        <v>0</v>
      </c>
      <c r="E23" s="129">
        <f>IF(E5=0,0,E5/SUM(TrRail_ene!E5:E7))</f>
        <v>0</v>
      </c>
      <c r="F23" s="129">
        <f>IF(F5=0,0,F5/SUM(TrRail_ene!F5:F7))</f>
        <v>0</v>
      </c>
      <c r="G23" s="129">
        <f>IF(G5=0,0,G5/SUM(TrRail_ene!G5:G7))</f>
        <v>0</v>
      </c>
      <c r="H23" s="129">
        <f>IF(H5=0,0,H5/SUM(TrRail_ene!H5:H7))</f>
        <v>0</v>
      </c>
      <c r="I23" s="129">
        <f>IF(I5=0,0,I5/SUM(TrRail_ene!I5:I7))</f>
        <v>0</v>
      </c>
      <c r="J23" s="129">
        <f>IF(J5=0,0,J5/SUM(TrRail_ene!J5:J7))</f>
        <v>0</v>
      </c>
      <c r="K23" s="129">
        <f>IF(K5=0,0,K5/SUM(TrRail_ene!K5:K7))</f>
        <v>0</v>
      </c>
      <c r="L23" s="129">
        <f>IF(L5=0,0,L5/SUM(TrRail_ene!L5:L7))</f>
        <v>0</v>
      </c>
      <c r="M23" s="129">
        <f>IF(M5=0,0,M5/SUM(TrRail_ene!M5:M7))</f>
        <v>0</v>
      </c>
      <c r="N23" s="129">
        <f>IF(N5=0,0,N5/SUM(TrRail_ene!N5:N7))</f>
        <v>0</v>
      </c>
      <c r="O23" s="129">
        <f>IF(O5=0,0,O5/SUM(TrRail_ene!O5:O7))</f>
        <v>0</v>
      </c>
      <c r="P23" s="129">
        <f>IF(P5=0,0,P5/SUM(TrRail_ene!P5:P7))</f>
        <v>0</v>
      </c>
      <c r="Q23" s="129">
        <f>IF(Q5=0,0,Q5/SUM(TrRail_ene!Q5:Q7))</f>
        <v>0</v>
      </c>
      <c r="R23" s="129">
        <f>IF(R5=0,0,R5/SUM(TrRail_ene!R5:R7))</f>
        <v>0</v>
      </c>
      <c r="S23" s="129">
        <f>IF(S5=0,0,S5/SUM(TrRail_ene!S5:S7))</f>
        <v>0</v>
      </c>
      <c r="T23" s="129">
        <f>IF(T5=0,0,T5/SUM(TrRail_ene!T5:T7))</f>
        <v>0</v>
      </c>
      <c r="U23" s="129">
        <f>IF(U5=0,0,U5/SUM(TrRail_ene!U5:U7))</f>
        <v>0</v>
      </c>
      <c r="V23" s="129">
        <f>IF(V5=0,0,V5/SUM(TrRail_ene!V5:V7))</f>
        <v>0</v>
      </c>
      <c r="W23" s="129">
        <f>IF(W5=0,0,W5/SUM(TrRail_ene!W5:W7))</f>
        <v>0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0</v>
      </c>
      <c r="C26" s="54">
        <f>IF(C8=0,0,C8/TrRail_act!C14*1000)</f>
        <v>0</v>
      </c>
      <c r="D26" s="54">
        <f>IF(D8=0,0,D8/TrRail_act!D14*1000)</f>
        <v>0</v>
      </c>
      <c r="E26" s="54">
        <f>IF(E8=0,0,E8/TrRail_act!E14*1000)</f>
        <v>0</v>
      </c>
      <c r="F26" s="54">
        <f>IF(F8=0,0,F8/TrRail_act!F14*1000)</f>
        <v>0</v>
      </c>
      <c r="G26" s="54">
        <f>IF(G8=0,0,G8/TrRail_act!G14*1000)</f>
        <v>0</v>
      </c>
      <c r="H26" s="54">
        <f>IF(H8=0,0,H8/TrRail_act!H14*1000)</f>
        <v>0</v>
      </c>
      <c r="I26" s="54">
        <f>IF(I8=0,0,I8/TrRail_act!I14*1000)</f>
        <v>0</v>
      </c>
      <c r="J26" s="54">
        <f>IF(J8=0,0,J8/TrRail_act!J14*1000)</f>
        <v>0</v>
      </c>
      <c r="K26" s="54">
        <f>IF(K8=0,0,K8/TrRail_act!K14*1000)</f>
        <v>0</v>
      </c>
      <c r="L26" s="54">
        <f>IF(L8=0,0,L8/TrRail_act!L14*1000)</f>
        <v>0</v>
      </c>
      <c r="M26" s="54">
        <f>IF(M8=0,0,M8/TrRail_act!M14*1000)</f>
        <v>0</v>
      </c>
      <c r="N26" s="54">
        <f>IF(N8=0,0,N8/TrRail_act!N14*1000)</f>
        <v>0</v>
      </c>
      <c r="O26" s="54">
        <f>IF(O8=0,0,O8/TrRail_act!O14*1000)</f>
        <v>0</v>
      </c>
      <c r="P26" s="54">
        <f>IF(P8=0,0,P8/TrRail_act!P14*1000)</f>
        <v>0</v>
      </c>
      <c r="Q26" s="54">
        <f>IF(Q8=0,0,Q8/TrRail_act!Q14*1000)</f>
        <v>0</v>
      </c>
      <c r="R26" s="54">
        <f>IF(R8=0,0,R8/TrRail_act!R14*1000)</f>
        <v>0</v>
      </c>
      <c r="S26" s="54">
        <f>IF(S8=0,0,S8/TrRail_act!S14*1000)</f>
        <v>0</v>
      </c>
      <c r="T26" s="54">
        <f>IF(T8=0,0,T8/TrRail_act!T14*1000)</f>
        <v>0</v>
      </c>
      <c r="U26" s="54">
        <f>IF(U8=0,0,U8/TrRail_act!U14*1000)</f>
        <v>0</v>
      </c>
      <c r="V26" s="54">
        <f>IF(V8=0,0,V8/TrRail_act!V14*1000)</f>
        <v>0</v>
      </c>
      <c r="W26" s="54">
        <f>IF(W8=0,0,W8/TrRail_act!W14*1000)</f>
        <v>0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0</v>
      </c>
      <c r="C27" s="28">
        <f>IF(C9=0,0,C9/TrRail_act!C15*1000)</f>
        <v>0</v>
      </c>
      <c r="D27" s="28">
        <f>IF(D9=0,0,D9/TrRail_act!D15*1000)</f>
        <v>0</v>
      </c>
      <c r="E27" s="28">
        <f>IF(E9=0,0,E9/TrRail_act!E15*1000)</f>
        <v>0</v>
      </c>
      <c r="F27" s="28">
        <f>IF(F9=0,0,F9/TrRail_act!F15*1000)</f>
        <v>0</v>
      </c>
      <c r="G27" s="28">
        <f>IF(G9=0,0,G9/TrRail_act!G15*1000)</f>
        <v>0</v>
      </c>
      <c r="H27" s="28">
        <f>IF(H9=0,0,H9/TrRail_act!H15*1000)</f>
        <v>0</v>
      </c>
      <c r="I27" s="28">
        <f>IF(I9=0,0,I9/TrRail_act!I15*1000)</f>
        <v>0</v>
      </c>
      <c r="J27" s="28">
        <f>IF(J9=0,0,J9/TrRail_act!J15*1000)</f>
        <v>0</v>
      </c>
      <c r="K27" s="28">
        <f>IF(K9=0,0,K9/TrRail_act!K15*1000)</f>
        <v>0</v>
      </c>
      <c r="L27" s="28">
        <f>IF(L9=0,0,L9/TrRail_act!L15*1000)</f>
        <v>0</v>
      </c>
      <c r="M27" s="28">
        <f>IF(M9=0,0,M9/TrRail_act!M15*1000)</f>
        <v>0</v>
      </c>
      <c r="N27" s="28">
        <f>IF(N9=0,0,N9/TrRail_act!N15*1000)</f>
        <v>0</v>
      </c>
      <c r="O27" s="28">
        <f>IF(O9=0,0,O9/TrRail_act!O15*1000)</f>
        <v>0</v>
      </c>
      <c r="P27" s="28">
        <f>IF(P9=0,0,P9/TrRail_act!P15*1000)</f>
        <v>0</v>
      </c>
      <c r="Q27" s="28">
        <f>IF(Q9=0,0,Q9/TrRail_act!Q15*1000)</f>
        <v>0</v>
      </c>
      <c r="R27" s="28">
        <f>IF(R9=0,0,R9/TrRail_act!R15*1000)</f>
        <v>0</v>
      </c>
      <c r="S27" s="28">
        <f>IF(S9=0,0,S9/TrRail_act!S15*1000)</f>
        <v>0</v>
      </c>
      <c r="T27" s="28">
        <f>IF(T9=0,0,T9/TrRail_act!T15*1000)</f>
        <v>0</v>
      </c>
      <c r="U27" s="28">
        <f>IF(U9=0,0,U9/TrRail_act!U15*1000)</f>
        <v>0</v>
      </c>
      <c r="V27" s="28">
        <f>IF(V9=0,0,V9/TrRail_act!V15*1000)</f>
        <v>0</v>
      </c>
      <c r="W27" s="28">
        <f>IF(W9=0,0,W9/TrRail_act!W15*1000)</f>
        <v>0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0</v>
      </c>
      <c r="C29" s="110">
        <f>IF(C11=0,0,C11/TrRail_act!C17*1000)</f>
        <v>0</v>
      </c>
      <c r="D29" s="110">
        <f>IF(D11=0,0,D11/TrRail_act!D17*1000)</f>
        <v>0</v>
      </c>
      <c r="E29" s="110">
        <f>IF(E11=0,0,E11/TrRail_act!E17*1000)</f>
        <v>0</v>
      </c>
      <c r="F29" s="110">
        <f>IF(F11=0,0,F11/TrRail_act!F17*1000)</f>
        <v>0</v>
      </c>
      <c r="G29" s="110">
        <f>IF(G11=0,0,G11/TrRail_act!G17*1000)</f>
        <v>0</v>
      </c>
      <c r="H29" s="110">
        <f>IF(H11=0,0,H11/TrRail_act!H17*1000)</f>
        <v>0</v>
      </c>
      <c r="I29" s="110">
        <f>IF(I11=0,0,I11/TrRail_act!I17*1000)</f>
        <v>0</v>
      </c>
      <c r="J29" s="110">
        <f>IF(J11=0,0,J11/TrRail_act!J17*1000)</f>
        <v>0</v>
      </c>
      <c r="K29" s="110">
        <f>IF(K11=0,0,K11/TrRail_act!K17*1000)</f>
        <v>0</v>
      </c>
      <c r="L29" s="110">
        <f>IF(L11=0,0,L11/TrRail_act!L17*1000)</f>
        <v>0</v>
      </c>
      <c r="M29" s="110">
        <f>IF(M11=0,0,M11/TrRail_act!M17*1000)</f>
        <v>0</v>
      </c>
      <c r="N29" s="110">
        <f>IF(N11=0,0,N11/TrRail_act!N17*1000)</f>
        <v>0</v>
      </c>
      <c r="O29" s="110">
        <f>IF(O11=0,0,O11/TrRail_act!O17*1000)</f>
        <v>0</v>
      </c>
      <c r="P29" s="110">
        <f>IF(P11=0,0,P11/TrRail_act!P17*1000)</f>
        <v>0</v>
      </c>
      <c r="Q29" s="110">
        <f>IF(Q11=0,0,Q11/TrRail_act!Q17*1000)</f>
        <v>0</v>
      </c>
      <c r="R29" s="110">
        <f>IF(R11=0,0,R11/TrRail_act!R17*1000)</f>
        <v>0</v>
      </c>
      <c r="S29" s="110">
        <f>IF(S11=0,0,S11/TrRail_act!S17*1000)</f>
        <v>0</v>
      </c>
      <c r="T29" s="110">
        <f>IF(T11=0,0,T11/TrRail_act!T17*1000)</f>
        <v>0</v>
      </c>
      <c r="U29" s="110">
        <f>IF(U11=0,0,U11/TrRail_act!U17*1000)</f>
        <v>0</v>
      </c>
      <c r="V29" s="110">
        <f>IF(V11=0,0,V11/TrRail_act!V17*1000)</f>
        <v>0</v>
      </c>
      <c r="W29" s="110">
        <f>IF(W11=0,0,W11/TrRail_act!W17*1000)</f>
        <v>0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0</v>
      </c>
      <c r="C30" s="84">
        <f>IF(C12=0,0,C12/TrRail_act!C18*1000)</f>
        <v>0</v>
      </c>
      <c r="D30" s="84">
        <f>IF(D12=0,0,D12/TrRail_act!D18*1000)</f>
        <v>0</v>
      </c>
      <c r="E30" s="84">
        <f>IF(E12=0,0,E12/TrRail_act!E18*1000)</f>
        <v>0</v>
      </c>
      <c r="F30" s="84">
        <f>IF(F12=0,0,F12/TrRail_act!F18*1000)</f>
        <v>0</v>
      </c>
      <c r="G30" s="84">
        <f>IF(G12=0,0,G12/TrRail_act!G18*1000)</f>
        <v>0</v>
      </c>
      <c r="H30" s="84">
        <f>IF(H12=0,0,H12/TrRail_act!H18*1000)</f>
        <v>0</v>
      </c>
      <c r="I30" s="84">
        <f>IF(I12=0,0,I12/TrRail_act!I18*1000)</f>
        <v>0</v>
      </c>
      <c r="J30" s="84">
        <f>IF(J12=0,0,J12/TrRail_act!J18*1000)</f>
        <v>0</v>
      </c>
      <c r="K30" s="84">
        <f>IF(K12=0,0,K12/TrRail_act!K18*1000)</f>
        <v>0</v>
      </c>
      <c r="L30" s="84">
        <f>IF(L12=0,0,L12/TrRail_act!L18*1000)</f>
        <v>0</v>
      </c>
      <c r="M30" s="84">
        <f>IF(M12=0,0,M12/TrRail_act!M18*1000)</f>
        <v>0</v>
      </c>
      <c r="N30" s="84">
        <f>IF(N12=0,0,N12/TrRail_act!N18*1000)</f>
        <v>0</v>
      </c>
      <c r="O30" s="84">
        <f>IF(O12=0,0,O12/TrRail_act!O18*1000)</f>
        <v>0</v>
      </c>
      <c r="P30" s="84">
        <f>IF(P12=0,0,P12/TrRail_act!P18*1000)</f>
        <v>0</v>
      </c>
      <c r="Q30" s="84">
        <f>IF(Q12=0,0,Q12/TrRail_act!Q18*1000)</f>
        <v>0</v>
      </c>
      <c r="R30" s="84">
        <f>IF(R12=0,0,R12/TrRail_act!R18*1000)</f>
        <v>0</v>
      </c>
      <c r="S30" s="84">
        <f>IF(S12=0,0,S12/TrRail_act!S18*1000)</f>
        <v>0</v>
      </c>
      <c r="T30" s="84">
        <f>IF(T12=0,0,T12/TrRail_act!T18*1000)</f>
        <v>0</v>
      </c>
      <c r="U30" s="84">
        <f>IF(U12=0,0,U12/TrRail_act!U18*1000)</f>
        <v>0</v>
      </c>
      <c r="V30" s="84">
        <f>IF(V12=0,0,V12/TrRail_act!V18*1000)</f>
        <v>0</v>
      </c>
      <c r="W30" s="84">
        <f>IF(W12=0,0,W12/TrRail_act!W18*1000)</f>
        <v>0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0</v>
      </c>
      <c r="C33" s="28">
        <f>IF(C15=0,0,C15/TrRail_act!C21*1000)</f>
        <v>0</v>
      </c>
      <c r="D33" s="28">
        <f>IF(D15=0,0,D15/TrRail_act!D21*1000)</f>
        <v>0</v>
      </c>
      <c r="E33" s="28">
        <f>IF(E15=0,0,E15/TrRail_act!E21*1000)</f>
        <v>0</v>
      </c>
      <c r="F33" s="28">
        <f>IF(F15=0,0,F15/TrRail_act!F21*1000)</f>
        <v>0</v>
      </c>
      <c r="G33" s="28">
        <f>IF(G15=0,0,G15/TrRail_act!G21*1000)</f>
        <v>0</v>
      </c>
      <c r="H33" s="28">
        <f>IF(H15=0,0,H15/TrRail_act!H21*1000)</f>
        <v>0</v>
      </c>
      <c r="I33" s="28">
        <f>IF(I15=0,0,I15/TrRail_act!I21*1000)</f>
        <v>0</v>
      </c>
      <c r="J33" s="28">
        <f>IF(J15=0,0,J15/TrRail_act!J21*1000)</f>
        <v>0</v>
      </c>
      <c r="K33" s="28">
        <f>IF(K15=0,0,K15/TrRail_act!K21*1000)</f>
        <v>0</v>
      </c>
      <c r="L33" s="28">
        <f>IF(L15=0,0,L15/TrRail_act!L21*1000)</f>
        <v>0</v>
      </c>
      <c r="M33" s="28">
        <f>IF(M15=0,0,M15/TrRail_act!M21*1000)</f>
        <v>0</v>
      </c>
      <c r="N33" s="28">
        <f>IF(N15=0,0,N15/TrRail_act!N21*1000)</f>
        <v>0</v>
      </c>
      <c r="O33" s="28">
        <f>IF(O15=0,0,O15/TrRail_act!O21*1000)</f>
        <v>0</v>
      </c>
      <c r="P33" s="28">
        <f>IF(P15=0,0,P15/TrRail_act!P21*1000)</f>
        <v>0</v>
      </c>
      <c r="Q33" s="28">
        <f>IF(Q15=0,0,Q15/TrRail_act!Q21*1000)</f>
        <v>0</v>
      </c>
      <c r="R33" s="28">
        <f>IF(R15=0,0,R15/TrRail_act!R21*1000)</f>
        <v>0</v>
      </c>
      <c r="S33" s="28">
        <f>IF(S15=0,0,S15/TrRail_act!S21*1000)</f>
        <v>0</v>
      </c>
      <c r="T33" s="28">
        <f>IF(T15=0,0,T15/TrRail_act!T21*1000)</f>
        <v>0</v>
      </c>
      <c r="U33" s="28">
        <f>IF(U15=0,0,U15/TrRail_act!U21*1000)</f>
        <v>0</v>
      </c>
      <c r="V33" s="28">
        <f>IF(V15=0,0,V15/TrRail_act!V21*1000)</f>
        <v>0</v>
      </c>
      <c r="W33" s="28">
        <f>IF(W15=0,0,W15/TrRail_act!W21*1000)</f>
        <v>0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0</v>
      </c>
      <c r="C34" s="84">
        <f>IF(C16=0,0,C16/TrRail_act!C22*1000)</f>
        <v>0</v>
      </c>
      <c r="D34" s="84">
        <f>IF(D16=0,0,D16/TrRail_act!D22*1000)</f>
        <v>0</v>
      </c>
      <c r="E34" s="84">
        <f>IF(E16=0,0,E16/TrRail_act!E22*1000)</f>
        <v>0</v>
      </c>
      <c r="F34" s="84">
        <f>IF(F16=0,0,F16/TrRail_act!F22*1000)</f>
        <v>0</v>
      </c>
      <c r="G34" s="84">
        <f>IF(G16=0,0,G16/TrRail_act!G22*1000)</f>
        <v>0</v>
      </c>
      <c r="H34" s="84">
        <f>IF(H16=0,0,H16/TrRail_act!H22*1000)</f>
        <v>0</v>
      </c>
      <c r="I34" s="84">
        <f>IF(I16=0,0,I16/TrRail_act!I22*1000)</f>
        <v>0</v>
      </c>
      <c r="J34" s="84">
        <f>IF(J16=0,0,J16/TrRail_act!J22*1000)</f>
        <v>0</v>
      </c>
      <c r="K34" s="84">
        <f>IF(K16=0,0,K16/TrRail_act!K22*1000)</f>
        <v>0</v>
      </c>
      <c r="L34" s="84">
        <f>IF(L16=0,0,L16/TrRail_act!L22*1000)</f>
        <v>0</v>
      </c>
      <c r="M34" s="84">
        <f>IF(M16=0,0,M16/TrRail_act!M22*1000)</f>
        <v>0</v>
      </c>
      <c r="N34" s="84">
        <f>IF(N16=0,0,N16/TrRail_act!N22*1000)</f>
        <v>0</v>
      </c>
      <c r="O34" s="84">
        <f>IF(O16=0,0,O16/TrRail_act!O22*1000)</f>
        <v>0</v>
      </c>
      <c r="P34" s="84">
        <f>IF(P16=0,0,P16/TrRail_act!P22*1000)</f>
        <v>0</v>
      </c>
      <c r="Q34" s="84">
        <f>IF(Q16=0,0,Q16/TrRail_act!Q22*1000)</f>
        <v>0</v>
      </c>
      <c r="R34" s="84">
        <f>IF(R16=0,0,R16/TrRail_act!R22*1000)</f>
        <v>0</v>
      </c>
      <c r="S34" s="84">
        <f>IF(S16=0,0,S16/TrRail_act!S22*1000)</f>
        <v>0</v>
      </c>
      <c r="T34" s="84">
        <f>IF(T16=0,0,T16/TrRail_act!T22*1000)</f>
        <v>0</v>
      </c>
      <c r="U34" s="84">
        <f>IF(U16=0,0,U16/TrRail_act!U22*1000)</f>
        <v>0</v>
      </c>
      <c r="V34" s="84">
        <f>IF(V16=0,0,V16/TrRail_act!V22*1000)</f>
        <v>0</v>
      </c>
      <c r="W34" s="84">
        <f>IF(W16=0,0,W16/TrRail_act!W22*1000)</f>
        <v>0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0</v>
      </c>
      <c r="C38" s="29">
        <f>IF(C9=0,0,C9/TrRail_act!C4*1000)</f>
        <v>0</v>
      </c>
      <c r="D38" s="29">
        <f>IF(D9=0,0,D9/TrRail_act!D4*1000)</f>
        <v>0</v>
      </c>
      <c r="E38" s="29">
        <f>IF(E9=0,0,E9/TrRail_act!E4*1000)</f>
        <v>0</v>
      </c>
      <c r="F38" s="29">
        <f>IF(F9=0,0,F9/TrRail_act!F4*1000)</f>
        <v>0</v>
      </c>
      <c r="G38" s="29">
        <f>IF(G9=0,0,G9/TrRail_act!G4*1000)</f>
        <v>0</v>
      </c>
      <c r="H38" s="29">
        <f>IF(H9=0,0,H9/TrRail_act!H4*1000)</f>
        <v>0</v>
      </c>
      <c r="I38" s="29">
        <f>IF(I9=0,0,I9/TrRail_act!I4*1000)</f>
        <v>0</v>
      </c>
      <c r="J38" s="29">
        <f>IF(J9=0,0,J9/TrRail_act!J4*1000)</f>
        <v>0</v>
      </c>
      <c r="K38" s="29">
        <f>IF(K9=0,0,K9/TrRail_act!K4*1000)</f>
        <v>0</v>
      </c>
      <c r="L38" s="29">
        <f>IF(L9=0,0,L9/TrRail_act!L4*1000)</f>
        <v>0</v>
      </c>
      <c r="M38" s="29">
        <f>IF(M9=0,0,M9/TrRail_act!M4*1000)</f>
        <v>0</v>
      </c>
      <c r="N38" s="29">
        <f>IF(N9=0,0,N9/TrRail_act!N4*1000)</f>
        <v>0</v>
      </c>
      <c r="O38" s="29">
        <f>IF(O9=0,0,O9/TrRail_act!O4*1000)</f>
        <v>0</v>
      </c>
      <c r="P38" s="29">
        <f>IF(P9=0,0,P9/TrRail_act!P4*1000)</f>
        <v>0</v>
      </c>
      <c r="Q38" s="29">
        <f>IF(Q9=0,0,Q9/TrRail_act!Q4*1000)</f>
        <v>0</v>
      </c>
      <c r="R38" s="29">
        <f>IF(R9=0,0,R9/TrRail_act!R4*1000)</f>
        <v>0</v>
      </c>
      <c r="S38" s="29">
        <f>IF(S9=0,0,S9/TrRail_act!S4*1000)</f>
        <v>0</v>
      </c>
      <c r="T38" s="29">
        <f>IF(T9=0,0,T9/TrRail_act!T4*1000)</f>
        <v>0</v>
      </c>
      <c r="U38" s="29">
        <f>IF(U9=0,0,U9/TrRail_act!U4*1000)</f>
        <v>0</v>
      </c>
      <c r="V38" s="29">
        <f>IF(V9=0,0,V9/TrRail_act!V4*1000)</f>
        <v>0</v>
      </c>
      <c r="W38" s="29">
        <f>IF(W9=0,0,W9/TrRail_act!W4*1000)</f>
        <v>0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0</v>
      </c>
      <c r="C40" s="116">
        <f>IF(C11=0,0,C11/TrRail_act!C6*1000)</f>
        <v>0</v>
      </c>
      <c r="D40" s="116">
        <f>IF(D11=0,0,D11/TrRail_act!D6*1000)</f>
        <v>0</v>
      </c>
      <c r="E40" s="116">
        <f>IF(E11=0,0,E11/TrRail_act!E6*1000)</f>
        <v>0</v>
      </c>
      <c r="F40" s="116">
        <f>IF(F11=0,0,F11/TrRail_act!F6*1000)</f>
        <v>0</v>
      </c>
      <c r="G40" s="116">
        <f>IF(G11=0,0,G11/TrRail_act!G6*1000)</f>
        <v>0</v>
      </c>
      <c r="H40" s="116">
        <f>IF(H11=0,0,H11/TrRail_act!H6*1000)</f>
        <v>0</v>
      </c>
      <c r="I40" s="116">
        <f>IF(I11=0,0,I11/TrRail_act!I6*1000)</f>
        <v>0</v>
      </c>
      <c r="J40" s="116">
        <f>IF(J11=0,0,J11/TrRail_act!J6*1000)</f>
        <v>0</v>
      </c>
      <c r="K40" s="116">
        <f>IF(K11=0,0,K11/TrRail_act!K6*1000)</f>
        <v>0</v>
      </c>
      <c r="L40" s="116">
        <f>IF(L11=0,0,L11/TrRail_act!L6*1000)</f>
        <v>0</v>
      </c>
      <c r="M40" s="116">
        <f>IF(M11=0,0,M11/TrRail_act!M6*1000)</f>
        <v>0</v>
      </c>
      <c r="N40" s="116">
        <f>IF(N11=0,0,N11/TrRail_act!N6*1000)</f>
        <v>0</v>
      </c>
      <c r="O40" s="116">
        <f>IF(O11=0,0,O11/TrRail_act!O6*1000)</f>
        <v>0</v>
      </c>
      <c r="P40" s="116">
        <f>IF(P11=0,0,P11/TrRail_act!P6*1000)</f>
        <v>0</v>
      </c>
      <c r="Q40" s="116">
        <f>IF(Q11=0,0,Q11/TrRail_act!Q6*1000)</f>
        <v>0</v>
      </c>
      <c r="R40" s="116">
        <f>IF(R11=0,0,R11/TrRail_act!R6*1000)</f>
        <v>0</v>
      </c>
      <c r="S40" s="116">
        <f>IF(S11=0,0,S11/TrRail_act!S6*1000)</f>
        <v>0</v>
      </c>
      <c r="T40" s="116">
        <f>IF(T11=0,0,T11/TrRail_act!T6*1000)</f>
        <v>0</v>
      </c>
      <c r="U40" s="116">
        <f>IF(U11=0,0,U11/TrRail_act!U6*1000)</f>
        <v>0</v>
      </c>
      <c r="V40" s="116">
        <f>IF(V11=0,0,V11/TrRail_act!V6*1000)</f>
        <v>0</v>
      </c>
      <c r="W40" s="116">
        <f>IF(W11=0,0,W11/TrRail_act!W6*1000)</f>
        <v>0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0</v>
      </c>
      <c r="C41" s="87">
        <f>IF(C12=0,0,C12/TrRail_act!C7*1000)</f>
        <v>0</v>
      </c>
      <c r="D41" s="87">
        <f>IF(D12=0,0,D12/TrRail_act!D7*1000)</f>
        <v>0</v>
      </c>
      <c r="E41" s="87">
        <f>IF(E12=0,0,E12/TrRail_act!E7*1000)</f>
        <v>0</v>
      </c>
      <c r="F41" s="87">
        <f>IF(F12=0,0,F12/TrRail_act!F7*1000)</f>
        <v>0</v>
      </c>
      <c r="G41" s="87">
        <f>IF(G12=0,0,G12/TrRail_act!G7*1000)</f>
        <v>0</v>
      </c>
      <c r="H41" s="87">
        <f>IF(H12=0,0,H12/TrRail_act!H7*1000)</f>
        <v>0</v>
      </c>
      <c r="I41" s="87">
        <f>IF(I12=0,0,I12/TrRail_act!I7*1000)</f>
        <v>0</v>
      </c>
      <c r="J41" s="87">
        <f>IF(J12=0,0,J12/TrRail_act!J7*1000)</f>
        <v>0</v>
      </c>
      <c r="K41" s="87">
        <f>IF(K12=0,0,K12/TrRail_act!K7*1000)</f>
        <v>0</v>
      </c>
      <c r="L41" s="87">
        <f>IF(L12=0,0,L12/TrRail_act!L7*1000)</f>
        <v>0</v>
      </c>
      <c r="M41" s="87">
        <f>IF(M12=0,0,M12/TrRail_act!M7*1000)</f>
        <v>0</v>
      </c>
      <c r="N41" s="87">
        <f>IF(N12=0,0,N12/TrRail_act!N7*1000)</f>
        <v>0</v>
      </c>
      <c r="O41" s="87">
        <f>IF(O12=0,0,O12/TrRail_act!O7*1000)</f>
        <v>0</v>
      </c>
      <c r="P41" s="87">
        <f>IF(P12=0,0,P12/TrRail_act!P7*1000)</f>
        <v>0</v>
      </c>
      <c r="Q41" s="87">
        <f>IF(Q12=0,0,Q12/TrRail_act!Q7*1000)</f>
        <v>0</v>
      </c>
      <c r="R41" s="87">
        <f>IF(R12=0,0,R12/TrRail_act!R7*1000)</f>
        <v>0</v>
      </c>
      <c r="S41" s="87">
        <f>IF(S12=0,0,S12/TrRail_act!S7*1000)</f>
        <v>0</v>
      </c>
      <c r="T41" s="87">
        <f>IF(T12=0,0,T12/TrRail_act!T7*1000)</f>
        <v>0</v>
      </c>
      <c r="U41" s="87">
        <f>IF(U12=0,0,U12/TrRail_act!U7*1000)</f>
        <v>0</v>
      </c>
      <c r="V41" s="87">
        <f>IF(V12=0,0,V12/TrRail_act!V7*1000)</f>
        <v>0</v>
      </c>
      <c r="W41" s="87">
        <f>IF(W12=0,0,W12/TrRail_act!W7*1000)</f>
        <v>0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0</v>
      </c>
      <c r="C44" s="29">
        <f>IF(C15=0,0,C15/TrRail_act!C10*1000)</f>
        <v>0</v>
      </c>
      <c r="D44" s="29">
        <f>IF(D15=0,0,D15/TrRail_act!D10*1000)</f>
        <v>0</v>
      </c>
      <c r="E44" s="29">
        <f>IF(E15=0,0,E15/TrRail_act!E10*1000)</f>
        <v>0</v>
      </c>
      <c r="F44" s="29">
        <f>IF(F15=0,0,F15/TrRail_act!F10*1000)</f>
        <v>0</v>
      </c>
      <c r="G44" s="29">
        <f>IF(G15=0,0,G15/TrRail_act!G10*1000)</f>
        <v>0</v>
      </c>
      <c r="H44" s="29">
        <f>IF(H15=0,0,H15/TrRail_act!H10*1000)</f>
        <v>0</v>
      </c>
      <c r="I44" s="29">
        <f>IF(I15=0,0,I15/TrRail_act!I10*1000)</f>
        <v>0</v>
      </c>
      <c r="J44" s="29">
        <f>IF(J15=0,0,J15/TrRail_act!J10*1000)</f>
        <v>0</v>
      </c>
      <c r="K44" s="29">
        <f>IF(K15=0,0,K15/TrRail_act!K10*1000)</f>
        <v>0</v>
      </c>
      <c r="L44" s="29">
        <f>IF(L15=0,0,L15/TrRail_act!L10*1000)</f>
        <v>0</v>
      </c>
      <c r="M44" s="29">
        <f>IF(M15=0,0,M15/TrRail_act!M10*1000)</f>
        <v>0</v>
      </c>
      <c r="N44" s="29">
        <f>IF(N15=0,0,N15/TrRail_act!N10*1000)</f>
        <v>0</v>
      </c>
      <c r="O44" s="29">
        <f>IF(O15=0,0,O15/TrRail_act!O10*1000)</f>
        <v>0</v>
      </c>
      <c r="P44" s="29">
        <f>IF(P15=0,0,P15/TrRail_act!P10*1000)</f>
        <v>0</v>
      </c>
      <c r="Q44" s="29">
        <f>IF(Q15=0,0,Q15/TrRail_act!Q10*1000)</f>
        <v>0</v>
      </c>
      <c r="R44" s="29">
        <f>IF(R15=0,0,R15/TrRail_act!R10*1000)</f>
        <v>0</v>
      </c>
      <c r="S44" s="29">
        <f>IF(S15=0,0,S15/TrRail_act!S10*1000)</f>
        <v>0</v>
      </c>
      <c r="T44" s="29">
        <f>IF(T15=0,0,T15/TrRail_act!T10*1000)</f>
        <v>0</v>
      </c>
      <c r="U44" s="29">
        <f>IF(U15=0,0,U15/TrRail_act!U10*1000)</f>
        <v>0</v>
      </c>
      <c r="V44" s="29">
        <f>IF(V15=0,0,V15/TrRail_act!V10*1000)</f>
        <v>0</v>
      </c>
      <c r="W44" s="29">
        <f>IF(W15=0,0,W15/TrRail_act!W10*1000)</f>
        <v>0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0</v>
      </c>
      <c r="C45" s="87">
        <f>IF(C16=0,0,C16/TrRail_act!C11*1000)</f>
        <v>0</v>
      </c>
      <c r="D45" s="87">
        <f>IF(D16=0,0,D16/TrRail_act!D11*1000)</f>
        <v>0</v>
      </c>
      <c r="E45" s="87">
        <f>IF(E16=0,0,E16/TrRail_act!E11*1000)</f>
        <v>0</v>
      </c>
      <c r="F45" s="87">
        <f>IF(F16=0,0,F16/TrRail_act!F11*1000)</f>
        <v>0</v>
      </c>
      <c r="G45" s="87">
        <f>IF(G16=0,0,G16/TrRail_act!G11*1000)</f>
        <v>0</v>
      </c>
      <c r="H45" s="87">
        <f>IF(H16=0,0,H16/TrRail_act!H11*1000)</f>
        <v>0</v>
      </c>
      <c r="I45" s="87">
        <f>IF(I16=0,0,I16/TrRail_act!I11*1000)</f>
        <v>0</v>
      </c>
      <c r="J45" s="87">
        <f>IF(J16=0,0,J16/TrRail_act!J11*1000)</f>
        <v>0</v>
      </c>
      <c r="K45" s="87">
        <f>IF(K16=0,0,K16/TrRail_act!K11*1000)</f>
        <v>0</v>
      </c>
      <c r="L45" s="87">
        <f>IF(L16=0,0,L16/TrRail_act!L11*1000)</f>
        <v>0</v>
      </c>
      <c r="M45" s="87">
        <f>IF(M16=0,0,M16/TrRail_act!M11*1000)</f>
        <v>0</v>
      </c>
      <c r="N45" s="87">
        <f>IF(N16=0,0,N16/TrRail_act!N11*1000)</f>
        <v>0</v>
      </c>
      <c r="O45" s="87">
        <f>IF(O16=0,0,O16/TrRail_act!O11*1000)</f>
        <v>0</v>
      </c>
      <c r="P45" s="87">
        <f>IF(P16=0,0,P16/TrRail_act!P11*1000)</f>
        <v>0</v>
      </c>
      <c r="Q45" s="87">
        <f>IF(Q16=0,0,Q16/TrRail_act!Q11*1000)</f>
        <v>0</v>
      </c>
      <c r="R45" s="87">
        <f>IF(R16=0,0,R16/TrRail_act!R11*1000)</f>
        <v>0</v>
      </c>
      <c r="S45" s="87">
        <f>IF(S16=0,0,S16/TrRail_act!S11*1000)</f>
        <v>0</v>
      </c>
      <c r="T45" s="87">
        <f>IF(T16=0,0,T16/TrRail_act!T11*1000)</f>
        <v>0</v>
      </c>
      <c r="U45" s="87">
        <f>IF(U16=0,0,U16/TrRail_act!U11*1000)</f>
        <v>0</v>
      </c>
      <c r="V45" s="87">
        <f>IF(V16=0,0,V16/TrRail_act!V11*1000)</f>
        <v>0</v>
      </c>
      <c r="W45" s="87">
        <f>IF(W16=0,0,W16/TrRail_act!W11*1000)</f>
        <v>0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0</v>
      </c>
      <c r="C48" s="62">
        <f>IF(C8=0,0,1000000*C8/TrRail_act!C25/1000)</f>
        <v>0</v>
      </c>
      <c r="D48" s="62">
        <f>IF(D8=0,0,1000000*D8/TrRail_act!D25/1000)</f>
        <v>0</v>
      </c>
      <c r="E48" s="62">
        <f>IF(E8=0,0,1000000*E8/TrRail_act!E25/1000)</f>
        <v>0</v>
      </c>
      <c r="F48" s="62">
        <f>IF(F8=0,0,1000000*F8/TrRail_act!F25/1000)</f>
        <v>0</v>
      </c>
      <c r="G48" s="62">
        <f>IF(G8=0,0,1000000*G8/TrRail_act!G25/1000)</f>
        <v>0</v>
      </c>
      <c r="H48" s="62">
        <f>IF(H8=0,0,1000000*H8/TrRail_act!H25/1000)</f>
        <v>0</v>
      </c>
      <c r="I48" s="62">
        <f>IF(I8=0,0,1000000*I8/TrRail_act!I25/1000)</f>
        <v>0</v>
      </c>
      <c r="J48" s="62">
        <f>IF(J8=0,0,1000000*J8/TrRail_act!J25/1000)</f>
        <v>0</v>
      </c>
      <c r="K48" s="62">
        <f>IF(K8=0,0,1000000*K8/TrRail_act!K25/1000)</f>
        <v>0</v>
      </c>
      <c r="L48" s="62">
        <f>IF(L8=0,0,1000000*L8/TrRail_act!L25/1000)</f>
        <v>0</v>
      </c>
      <c r="M48" s="62">
        <f>IF(M8=0,0,1000000*M8/TrRail_act!M25/1000)</f>
        <v>0</v>
      </c>
      <c r="N48" s="62">
        <f>IF(N8=0,0,1000000*N8/TrRail_act!N25/1000)</f>
        <v>0</v>
      </c>
      <c r="O48" s="62">
        <f>IF(O8=0,0,1000000*O8/TrRail_act!O25/1000)</f>
        <v>0</v>
      </c>
      <c r="P48" s="62">
        <f>IF(P8=0,0,1000000*P8/TrRail_act!P25/1000)</f>
        <v>0</v>
      </c>
      <c r="Q48" s="62">
        <f>IF(Q8=0,0,1000000*Q8/TrRail_act!Q25/1000)</f>
        <v>0</v>
      </c>
      <c r="R48" s="62">
        <f>IF(R8=0,0,1000000*R8/TrRail_act!R25/1000)</f>
        <v>0</v>
      </c>
      <c r="S48" s="62">
        <f>IF(S8=0,0,1000000*S8/TrRail_act!S25/1000)</f>
        <v>0</v>
      </c>
      <c r="T48" s="62">
        <f>IF(T8=0,0,1000000*T8/TrRail_act!T25/1000)</f>
        <v>0</v>
      </c>
      <c r="U48" s="62">
        <f>IF(U8=0,0,1000000*U8/TrRail_act!U25/1000)</f>
        <v>0</v>
      </c>
      <c r="V48" s="62">
        <f>IF(V8=0,0,1000000*V8/TrRail_act!V25/1000)</f>
        <v>0</v>
      </c>
      <c r="W48" s="62">
        <f>IF(W8=0,0,1000000*W8/TrRail_act!W25/1000)</f>
        <v>0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0</v>
      </c>
      <c r="C49" s="29">
        <f>IF(C9=0,0,1000000*C9/TrRail_act!C26/1000)</f>
        <v>0</v>
      </c>
      <c r="D49" s="29">
        <f>IF(D9=0,0,1000000*D9/TrRail_act!D26/1000)</f>
        <v>0</v>
      </c>
      <c r="E49" s="29">
        <f>IF(E9=0,0,1000000*E9/TrRail_act!E26/1000)</f>
        <v>0</v>
      </c>
      <c r="F49" s="29">
        <f>IF(F9=0,0,1000000*F9/TrRail_act!F26/1000)</f>
        <v>0</v>
      </c>
      <c r="G49" s="29">
        <f>IF(G9=0,0,1000000*G9/TrRail_act!G26/1000)</f>
        <v>0</v>
      </c>
      <c r="H49" s="29">
        <f>IF(H9=0,0,1000000*H9/TrRail_act!H26/1000)</f>
        <v>0</v>
      </c>
      <c r="I49" s="29">
        <f>IF(I9=0,0,1000000*I9/TrRail_act!I26/1000)</f>
        <v>0</v>
      </c>
      <c r="J49" s="29">
        <f>IF(J9=0,0,1000000*J9/TrRail_act!J26/1000)</f>
        <v>0</v>
      </c>
      <c r="K49" s="29">
        <f>IF(K9=0,0,1000000*K9/TrRail_act!K26/1000)</f>
        <v>0</v>
      </c>
      <c r="L49" s="29">
        <f>IF(L9=0,0,1000000*L9/TrRail_act!L26/1000)</f>
        <v>0</v>
      </c>
      <c r="M49" s="29">
        <f>IF(M9=0,0,1000000*M9/TrRail_act!M26/1000)</f>
        <v>0</v>
      </c>
      <c r="N49" s="29">
        <f>IF(N9=0,0,1000000*N9/TrRail_act!N26/1000)</f>
        <v>0</v>
      </c>
      <c r="O49" s="29">
        <f>IF(O9=0,0,1000000*O9/TrRail_act!O26/1000)</f>
        <v>0</v>
      </c>
      <c r="P49" s="29">
        <f>IF(P9=0,0,1000000*P9/TrRail_act!P26/1000)</f>
        <v>0</v>
      </c>
      <c r="Q49" s="29">
        <f>IF(Q9=0,0,1000000*Q9/TrRail_act!Q26/1000)</f>
        <v>0</v>
      </c>
      <c r="R49" s="29">
        <f>IF(R9=0,0,1000000*R9/TrRail_act!R26/1000)</f>
        <v>0</v>
      </c>
      <c r="S49" s="29">
        <f>IF(S9=0,0,1000000*S9/TrRail_act!S26/1000)</f>
        <v>0</v>
      </c>
      <c r="T49" s="29">
        <f>IF(T9=0,0,1000000*T9/TrRail_act!T26/1000)</f>
        <v>0</v>
      </c>
      <c r="U49" s="29">
        <f>IF(U9=0,0,1000000*U9/TrRail_act!U26/1000)</f>
        <v>0</v>
      </c>
      <c r="V49" s="29">
        <f>IF(V9=0,0,1000000*V9/TrRail_act!V26/1000)</f>
        <v>0</v>
      </c>
      <c r="W49" s="29">
        <f>IF(W9=0,0,1000000*W9/TrRail_act!W26/1000)</f>
        <v>0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0</v>
      </c>
      <c r="C51" s="116">
        <f>IF(C11=0,0,1000000*C11/TrRail_act!C28/1000)</f>
        <v>0</v>
      </c>
      <c r="D51" s="116">
        <f>IF(D11=0,0,1000000*D11/TrRail_act!D28/1000)</f>
        <v>0</v>
      </c>
      <c r="E51" s="116">
        <f>IF(E11=0,0,1000000*E11/TrRail_act!E28/1000)</f>
        <v>0</v>
      </c>
      <c r="F51" s="116">
        <f>IF(F11=0,0,1000000*F11/TrRail_act!F28/1000)</f>
        <v>0</v>
      </c>
      <c r="G51" s="116">
        <f>IF(G11=0,0,1000000*G11/TrRail_act!G28/1000)</f>
        <v>0</v>
      </c>
      <c r="H51" s="116">
        <f>IF(H11=0,0,1000000*H11/TrRail_act!H28/1000)</f>
        <v>0</v>
      </c>
      <c r="I51" s="116">
        <f>IF(I11=0,0,1000000*I11/TrRail_act!I28/1000)</f>
        <v>0</v>
      </c>
      <c r="J51" s="116">
        <f>IF(J11=0,0,1000000*J11/TrRail_act!J28/1000)</f>
        <v>0</v>
      </c>
      <c r="K51" s="116">
        <f>IF(K11=0,0,1000000*K11/TrRail_act!K28/1000)</f>
        <v>0</v>
      </c>
      <c r="L51" s="116">
        <f>IF(L11=0,0,1000000*L11/TrRail_act!L28/1000)</f>
        <v>0</v>
      </c>
      <c r="M51" s="116">
        <f>IF(M11=0,0,1000000*M11/TrRail_act!M28/1000)</f>
        <v>0</v>
      </c>
      <c r="N51" s="116">
        <f>IF(N11=0,0,1000000*N11/TrRail_act!N28/1000)</f>
        <v>0</v>
      </c>
      <c r="O51" s="116">
        <f>IF(O11=0,0,1000000*O11/TrRail_act!O28/1000)</f>
        <v>0</v>
      </c>
      <c r="P51" s="116">
        <f>IF(P11=0,0,1000000*P11/TrRail_act!P28/1000)</f>
        <v>0</v>
      </c>
      <c r="Q51" s="116">
        <f>IF(Q11=0,0,1000000*Q11/TrRail_act!Q28/1000)</f>
        <v>0</v>
      </c>
      <c r="R51" s="116">
        <f>IF(R11=0,0,1000000*R11/TrRail_act!R28/1000)</f>
        <v>0</v>
      </c>
      <c r="S51" s="116">
        <f>IF(S11=0,0,1000000*S11/TrRail_act!S28/1000)</f>
        <v>0</v>
      </c>
      <c r="T51" s="116">
        <f>IF(T11=0,0,1000000*T11/TrRail_act!T28/1000)</f>
        <v>0</v>
      </c>
      <c r="U51" s="116">
        <f>IF(U11=0,0,1000000*U11/TrRail_act!U28/1000)</f>
        <v>0</v>
      </c>
      <c r="V51" s="116">
        <f>IF(V11=0,0,1000000*V11/TrRail_act!V28/1000)</f>
        <v>0</v>
      </c>
      <c r="W51" s="116">
        <f>IF(W11=0,0,1000000*W11/TrRail_act!W28/1000)</f>
        <v>0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0</v>
      </c>
      <c r="C52" s="87">
        <f>IF(C12=0,0,1000000*C12/TrRail_act!C29/1000)</f>
        <v>0</v>
      </c>
      <c r="D52" s="87">
        <f>IF(D12=0,0,1000000*D12/TrRail_act!D29/1000)</f>
        <v>0</v>
      </c>
      <c r="E52" s="87">
        <f>IF(E12=0,0,1000000*E12/TrRail_act!E29/1000)</f>
        <v>0</v>
      </c>
      <c r="F52" s="87">
        <f>IF(F12=0,0,1000000*F12/TrRail_act!F29/1000)</f>
        <v>0</v>
      </c>
      <c r="G52" s="87">
        <f>IF(G12=0,0,1000000*G12/TrRail_act!G29/1000)</f>
        <v>0</v>
      </c>
      <c r="H52" s="87">
        <f>IF(H12=0,0,1000000*H12/TrRail_act!H29/1000)</f>
        <v>0</v>
      </c>
      <c r="I52" s="87">
        <f>IF(I12=0,0,1000000*I12/TrRail_act!I29/1000)</f>
        <v>0</v>
      </c>
      <c r="J52" s="87">
        <f>IF(J12=0,0,1000000*J12/TrRail_act!J29/1000)</f>
        <v>0</v>
      </c>
      <c r="K52" s="87">
        <f>IF(K12=0,0,1000000*K12/TrRail_act!K29/1000)</f>
        <v>0</v>
      </c>
      <c r="L52" s="87">
        <f>IF(L12=0,0,1000000*L12/TrRail_act!L29/1000)</f>
        <v>0</v>
      </c>
      <c r="M52" s="87">
        <f>IF(M12=0,0,1000000*M12/TrRail_act!M29/1000)</f>
        <v>0</v>
      </c>
      <c r="N52" s="87">
        <f>IF(N12=0,0,1000000*N12/TrRail_act!N29/1000)</f>
        <v>0</v>
      </c>
      <c r="O52" s="87">
        <f>IF(O12=0,0,1000000*O12/TrRail_act!O29/1000)</f>
        <v>0</v>
      </c>
      <c r="P52" s="87">
        <f>IF(P12=0,0,1000000*P12/TrRail_act!P29/1000)</f>
        <v>0</v>
      </c>
      <c r="Q52" s="87">
        <f>IF(Q12=0,0,1000000*Q12/TrRail_act!Q29/1000)</f>
        <v>0</v>
      </c>
      <c r="R52" s="87">
        <f>IF(R12=0,0,1000000*R12/TrRail_act!R29/1000)</f>
        <v>0</v>
      </c>
      <c r="S52" s="87">
        <f>IF(S12=0,0,1000000*S12/TrRail_act!S29/1000)</f>
        <v>0</v>
      </c>
      <c r="T52" s="87">
        <f>IF(T12=0,0,1000000*T12/TrRail_act!T29/1000)</f>
        <v>0</v>
      </c>
      <c r="U52" s="87">
        <f>IF(U12=0,0,1000000*U12/TrRail_act!U29/1000)</f>
        <v>0</v>
      </c>
      <c r="V52" s="87">
        <f>IF(V12=0,0,1000000*V12/TrRail_act!V29/1000)</f>
        <v>0</v>
      </c>
      <c r="W52" s="87">
        <f>IF(W12=0,0,1000000*W12/TrRail_act!W29/1000)</f>
        <v>0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0</v>
      </c>
      <c r="C55" s="29">
        <f>IF(C15=0,0,1000000*C15/TrRail_act!C32/1000)</f>
        <v>0</v>
      </c>
      <c r="D55" s="29">
        <f>IF(D15=0,0,1000000*D15/TrRail_act!D32/1000)</f>
        <v>0</v>
      </c>
      <c r="E55" s="29">
        <f>IF(E15=0,0,1000000*E15/TrRail_act!E32/1000)</f>
        <v>0</v>
      </c>
      <c r="F55" s="29">
        <f>IF(F15=0,0,1000000*F15/TrRail_act!F32/1000)</f>
        <v>0</v>
      </c>
      <c r="G55" s="29">
        <f>IF(G15=0,0,1000000*G15/TrRail_act!G32/1000)</f>
        <v>0</v>
      </c>
      <c r="H55" s="29">
        <f>IF(H15=0,0,1000000*H15/TrRail_act!H32/1000)</f>
        <v>0</v>
      </c>
      <c r="I55" s="29">
        <f>IF(I15=0,0,1000000*I15/TrRail_act!I32/1000)</f>
        <v>0</v>
      </c>
      <c r="J55" s="29">
        <f>IF(J15=0,0,1000000*J15/TrRail_act!J32/1000)</f>
        <v>0</v>
      </c>
      <c r="K55" s="29">
        <f>IF(K15=0,0,1000000*K15/TrRail_act!K32/1000)</f>
        <v>0</v>
      </c>
      <c r="L55" s="29">
        <f>IF(L15=0,0,1000000*L15/TrRail_act!L32/1000)</f>
        <v>0</v>
      </c>
      <c r="M55" s="29">
        <f>IF(M15=0,0,1000000*M15/TrRail_act!M32/1000)</f>
        <v>0</v>
      </c>
      <c r="N55" s="29">
        <f>IF(N15=0,0,1000000*N15/TrRail_act!N32/1000)</f>
        <v>0</v>
      </c>
      <c r="O55" s="29">
        <f>IF(O15=0,0,1000000*O15/TrRail_act!O32/1000)</f>
        <v>0</v>
      </c>
      <c r="P55" s="29">
        <f>IF(P15=0,0,1000000*P15/TrRail_act!P32/1000)</f>
        <v>0</v>
      </c>
      <c r="Q55" s="29">
        <f>IF(Q15=0,0,1000000*Q15/TrRail_act!Q32/1000)</f>
        <v>0</v>
      </c>
      <c r="R55" s="29">
        <f>IF(R15=0,0,1000000*R15/TrRail_act!R32/1000)</f>
        <v>0</v>
      </c>
      <c r="S55" s="29">
        <f>IF(S15=0,0,1000000*S15/TrRail_act!S32/1000)</f>
        <v>0</v>
      </c>
      <c r="T55" s="29">
        <f>IF(T15=0,0,1000000*T15/TrRail_act!T32/1000)</f>
        <v>0</v>
      </c>
      <c r="U55" s="29">
        <f>IF(U15=0,0,1000000*U15/TrRail_act!U32/1000)</f>
        <v>0</v>
      </c>
      <c r="V55" s="29">
        <f>IF(V15=0,0,1000000*V15/TrRail_act!V32/1000)</f>
        <v>0</v>
      </c>
      <c r="W55" s="29">
        <f>IF(W15=0,0,1000000*W15/TrRail_act!W32/1000)</f>
        <v>0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0</v>
      </c>
      <c r="C56" s="87">
        <f>IF(C16=0,0,1000000*C16/TrRail_act!C33/1000)</f>
        <v>0</v>
      </c>
      <c r="D56" s="87">
        <f>IF(D16=0,0,1000000*D16/TrRail_act!D33/1000)</f>
        <v>0</v>
      </c>
      <c r="E56" s="87">
        <f>IF(E16=0,0,1000000*E16/TrRail_act!E33/1000)</f>
        <v>0</v>
      </c>
      <c r="F56" s="87">
        <f>IF(F16=0,0,1000000*F16/TrRail_act!F33/1000)</f>
        <v>0</v>
      </c>
      <c r="G56" s="87">
        <f>IF(G16=0,0,1000000*G16/TrRail_act!G33/1000)</f>
        <v>0</v>
      </c>
      <c r="H56" s="87">
        <f>IF(H16=0,0,1000000*H16/TrRail_act!H33/1000)</f>
        <v>0</v>
      </c>
      <c r="I56" s="87">
        <f>IF(I16=0,0,1000000*I16/TrRail_act!I33/1000)</f>
        <v>0</v>
      </c>
      <c r="J56" s="87">
        <f>IF(J16=0,0,1000000*J16/TrRail_act!J33/1000)</f>
        <v>0</v>
      </c>
      <c r="K56" s="87">
        <f>IF(K16=0,0,1000000*K16/TrRail_act!K33/1000)</f>
        <v>0</v>
      </c>
      <c r="L56" s="87">
        <f>IF(L16=0,0,1000000*L16/TrRail_act!L33/1000)</f>
        <v>0</v>
      </c>
      <c r="M56" s="87">
        <f>IF(M16=0,0,1000000*M16/TrRail_act!M33/1000)</f>
        <v>0</v>
      </c>
      <c r="N56" s="87">
        <f>IF(N16=0,0,1000000*N16/TrRail_act!N33/1000)</f>
        <v>0</v>
      </c>
      <c r="O56" s="87">
        <f>IF(O16=0,0,1000000*O16/TrRail_act!O33/1000)</f>
        <v>0</v>
      </c>
      <c r="P56" s="87">
        <f>IF(P16=0,0,1000000*P16/TrRail_act!P33/1000)</f>
        <v>0</v>
      </c>
      <c r="Q56" s="87">
        <f>IF(Q16=0,0,1000000*Q16/TrRail_act!Q33/1000)</f>
        <v>0</v>
      </c>
      <c r="R56" s="87">
        <f>IF(R16=0,0,1000000*R16/TrRail_act!R33/1000)</f>
        <v>0</v>
      </c>
      <c r="S56" s="87">
        <f>IF(S16=0,0,1000000*S16/TrRail_act!S33/1000)</f>
        <v>0</v>
      </c>
      <c r="T56" s="87">
        <f>IF(T16=0,0,1000000*T16/TrRail_act!T33/1000)</f>
        <v>0</v>
      </c>
      <c r="U56" s="87">
        <f>IF(U16=0,0,1000000*U16/TrRail_act!U33/1000)</f>
        <v>0</v>
      </c>
      <c r="V56" s="87">
        <f>IF(V16=0,0,1000000*V16/TrRail_act!V33/1000)</f>
        <v>0</v>
      </c>
      <c r="W56" s="87">
        <f>IF(W16=0,0,1000000*W16/TrRail_act!W33/1000)</f>
        <v>0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0</v>
      </c>
      <c r="C59" s="65">
        <f t="shared" ref="C59:V59" si="6">IF(C8=0,0,C8/C$8)</f>
        <v>0</v>
      </c>
      <c r="D59" s="65">
        <f t="shared" si="6"/>
        <v>0</v>
      </c>
      <c r="E59" s="65">
        <f t="shared" si="6"/>
        <v>0</v>
      </c>
      <c r="F59" s="65">
        <f t="shared" si="6"/>
        <v>0</v>
      </c>
      <c r="G59" s="65">
        <f t="shared" si="6"/>
        <v>0</v>
      </c>
      <c r="H59" s="65">
        <f t="shared" si="6"/>
        <v>0</v>
      </c>
      <c r="I59" s="65">
        <f t="shared" si="6"/>
        <v>0</v>
      </c>
      <c r="J59" s="65">
        <f t="shared" si="6"/>
        <v>0</v>
      </c>
      <c r="K59" s="65">
        <f t="shared" si="6"/>
        <v>0</v>
      </c>
      <c r="L59" s="65">
        <f t="shared" si="6"/>
        <v>0</v>
      </c>
      <c r="M59" s="65">
        <f t="shared" si="6"/>
        <v>0</v>
      </c>
      <c r="N59" s="65">
        <f t="shared" si="6"/>
        <v>0</v>
      </c>
      <c r="O59" s="65">
        <f t="shared" si="6"/>
        <v>0</v>
      </c>
      <c r="P59" s="65">
        <f t="shared" si="6"/>
        <v>0</v>
      </c>
      <c r="Q59" s="65">
        <f t="shared" si="6"/>
        <v>0</v>
      </c>
      <c r="R59" s="65">
        <f t="shared" si="6"/>
        <v>0</v>
      </c>
      <c r="S59" s="65">
        <f t="shared" si="6"/>
        <v>0</v>
      </c>
      <c r="T59" s="65">
        <f t="shared" si="6"/>
        <v>0</v>
      </c>
      <c r="U59" s="65">
        <f t="shared" si="6"/>
        <v>0</v>
      </c>
      <c r="V59" s="65">
        <f t="shared" si="6"/>
        <v>0</v>
      </c>
      <c r="W59" s="65">
        <f t="shared" ref="W59" si="7">IF(W8=0,0,W8/W$8)</f>
        <v>0</v>
      </c>
      <c r="DA59" s="172"/>
    </row>
    <row r="60" spans="1:105" ht="11.45" customHeight="1" x14ac:dyDescent="0.25">
      <c r="A60" s="27" t="s">
        <v>33</v>
      </c>
      <c r="B60" s="31">
        <f t="shared" si="5"/>
        <v>0</v>
      </c>
      <c r="C60" s="31">
        <f t="shared" ref="C60:V60" si="8">IF(C9=0,0,C9/C$8)</f>
        <v>0</v>
      </c>
      <c r="D60" s="31">
        <f t="shared" si="8"/>
        <v>0</v>
      </c>
      <c r="E60" s="31">
        <f t="shared" si="8"/>
        <v>0</v>
      </c>
      <c r="F60" s="31">
        <f t="shared" si="8"/>
        <v>0</v>
      </c>
      <c r="G60" s="31">
        <f t="shared" si="8"/>
        <v>0</v>
      </c>
      <c r="H60" s="31">
        <f t="shared" si="8"/>
        <v>0</v>
      </c>
      <c r="I60" s="31">
        <f t="shared" si="8"/>
        <v>0</v>
      </c>
      <c r="J60" s="31">
        <f t="shared" si="8"/>
        <v>0</v>
      </c>
      <c r="K60" s="31">
        <f t="shared" si="8"/>
        <v>0</v>
      </c>
      <c r="L60" s="31">
        <f t="shared" si="8"/>
        <v>0</v>
      </c>
      <c r="M60" s="31">
        <f t="shared" si="8"/>
        <v>0</v>
      </c>
      <c r="N60" s="31">
        <f t="shared" si="8"/>
        <v>0</v>
      </c>
      <c r="O60" s="31">
        <f t="shared" si="8"/>
        <v>0</v>
      </c>
      <c r="P60" s="31">
        <f t="shared" si="8"/>
        <v>0</v>
      </c>
      <c r="Q60" s="31">
        <f t="shared" si="8"/>
        <v>0</v>
      </c>
      <c r="R60" s="31">
        <f t="shared" si="8"/>
        <v>0</v>
      </c>
      <c r="S60" s="31">
        <f t="shared" si="8"/>
        <v>0</v>
      </c>
      <c r="T60" s="31">
        <f t="shared" si="8"/>
        <v>0</v>
      </c>
      <c r="U60" s="31">
        <f t="shared" si="8"/>
        <v>0</v>
      </c>
      <c r="V60" s="31">
        <f t="shared" si="8"/>
        <v>0</v>
      </c>
      <c r="W60" s="31">
        <f t="shared" ref="W60" si="9">IF(W9=0,0,W9/W$8)</f>
        <v>0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</v>
      </c>
      <c r="C62" s="124">
        <f t="shared" ref="C62:V62" si="12">IF(C11=0,0,C11/C$8)</f>
        <v>0</v>
      </c>
      <c r="D62" s="124">
        <f t="shared" si="12"/>
        <v>0</v>
      </c>
      <c r="E62" s="124">
        <f t="shared" si="12"/>
        <v>0</v>
      </c>
      <c r="F62" s="124">
        <f t="shared" si="12"/>
        <v>0</v>
      </c>
      <c r="G62" s="124">
        <f t="shared" si="12"/>
        <v>0</v>
      </c>
      <c r="H62" s="124">
        <f t="shared" si="12"/>
        <v>0</v>
      </c>
      <c r="I62" s="124">
        <f t="shared" si="12"/>
        <v>0</v>
      </c>
      <c r="J62" s="124">
        <f t="shared" si="12"/>
        <v>0</v>
      </c>
      <c r="K62" s="124">
        <f t="shared" si="12"/>
        <v>0</v>
      </c>
      <c r="L62" s="124">
        <f t="shared" si="12"/>
        <v>0</v>
      </c>
      <c r="M62" s="124">
        <f t="shared" si="12"/>
        <v>0</v>
      </c>
      <c r="N62" s="124">
        <f t="shared" si="12"/>
        <v>0</v>
      </c>
      <c r="O62" s="124">
        <f t="shared" si="12"/>
        <v>0</v>
      </c>
      <c r="P62" s="124">
        <f t="shared" si="12"/>
        <v>0</v>
      </c>
      <c r="Q62" s="124">
        <f t="shared" si="12"/>
        <v>0</v>
      </c>
      <c r="R62" s="124">
        <f t="shared" si="12"/>
        <v>0</v>
      </c>
      <c r="S62" s="124">
        <f t="shared" si="12"/>
        <v>0</v>
      </c>
      <c r="T62" s="124">
        <f t="shared" si="12"/>
        <v>0</v>
      </c>
      <c r="U62" s="124">
        <f t="shared" si="12"/>
        <v>0</v>
      </c>
      <c r="V62" s="124">
        <f t="shared" si="12"/>
        <v>0</v>
      </c>
      <c r="W62" s="124">
        <f t="shared" ref="W62" si="13">IF(W11=0,0,W11/W$8)</f>
        <v>0</v>
      </c>
      <c r="DA62" s="176"/>
    </row>
    <row r="63" spans="1:105" ht="11.45" customHeight="1" x14ac:dyDescent="0.25">
      <c r="A63" s="111" t="s">
        <v>92</v>
      </c>
      <c r="B63" s="125">
        <f t="shared" si="5"/>
        <v>0</v>
      </c>
      <c r="C63" s="125">
        <f t="shared" ref="C63:V63" si="14">IF(C12=0,0,C12/C$8)</f>
        <v>0</v>
      </c>
      <c r="D63" s="125">
        <f t="shared" si="14"/>
        <v>0</v>
      </c>
      <c r="E63" s="125">
        <f t="shared" si="14"/>
        <v>0</v>
      </c>
      <c r="F63" s="125">
        <f t="shared" si="14"/>
        <v>0</v>
      </c>
      <c r="G63" s="125">
        <f t="shared" si="14"/>
        <v>0</v>
      </c>
      <c r="H63" s="125">
        <f t="shared" si="14"/>
        <v>0</v>
      </c>
      <c r="I63" s="125">
        <f t="shared" si="14"/>
        <v>0</v>
      </c>
      <c r="J63" s="125">
        <f t="shared" si="14"/>
        <v>0</v>
      </c>
      <c r="K63" s="125">
        <f t="shared" si="14"/>
        <v>0</v>
      </c>
      <c r="L63" s="125">
        <f t="shared" si="14"/>
        <v>0</v>
      </c>
      <c r="M63" s="125">
        <f t="shared" si="14"/>
        <v>0</v>
      </c>
      <c r="N63" s="125">
        <f t="shared" si="14"/>
        <v>0</v>
      </c>
      <c r="O63" s="125">
        <f t="shared" si="14"/>
        <v>0</v>
      </c>
      <c r="P63" s="125">
        <f t="shared" si="14"/>
        <v>0</v>
      </c>
      <c r="Q63" s="125">
        <f t="shared" si="14"/>
        <v>0</v>
      </c>
      <c r="R63" s="125">
        <f t="shared" si="14"/>
        <v>0</v>
      </c>
      <c r="S63" s="125">
        <f t="shared" si="14"/>
        <v>0</v>
      </c>
      <c r="T63" s="125">
        <f t="shared" si="14"/>
        <v>0</v>
      </c>
      <c r="U63" s="125">
        <f t="shared" si="14"/>
        <v>0</v>
      </c>
      <c r="V63" s="125">
        <f t="shared" si="14"/>
        <v>0</v>
      </c>
      <c r="W63" s="125">
        <f t="shared" ref="W63" si="15">IF(W12=0,0,W12/W$8)</f>
        <v>0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</v>
      </c>
      <c r="C66" s="31">
        <f t="shared" ref="C66:V66" si="20">IF(C15=0,0,C15/C$8)</f>
        <v>0</v>
      </c>
      <c r="D66" s="31">
        <f t="shared" si="20"/>
        <v>0</v>
      </c>
      <c r="E66" s="31">
        <f t="shared" si="20"/>
        <v>0</v>
      </c>
      <c r="F66" s="31">
        <f t="shared" si="20"/>
        <v>0</v>
      </c>
      <c r="G66" s="31">
        <f t="shared" si="20"/>
        <v>0</v>
      </c>
      <c r="H66" s="31">
        <f t="shared" si="20"/>
        <v>0</v>
      </c>
      <c r="I66" s="31">
        <f t="shared" si="20"/>
        <v>0</v>
      </c>
      <c r="J66" s="31">
        <f t="shared" si="20"/>
        <v>0</v>
      </c>
      <c r="K66" s="31">
        <f t="shared" si="20"/>
        <v>0</v>
      </c>
      <c r="L66" s="31">
        <f t="shared" si="20"/>
        <v>0</v>
      </c>
      <c r="M66" s="31">
        <f t="shared" si="20"/>
        <v>0</v>
      </c>
      <c r="N66" s="31">
        <f t="shared" si="20"/>
        <v>0</v>
      </c>
      <c r="O66" s="31">
        <f t="shared" si="20"/>
        <v>0</v>
      </c>
      <c r="P66" s="31">
        <f t="shared" si="20"/>
        <v>0</v>
      </c>
      <c r="Q66" s="31">
        <f t="shared" si="20"/>
        <v>0</v>
      </c>
      <c r="R66" s="31">
        <f t="shared" si="20"/>
        <v>0</v>
      </c>
      <c r="S66" s="31">
        <f t="shared" si="20"/>
        <v>0</v>
      </c>
      <c r="T66" s="31">
        <f t="shared" si="20"/>
        <v>0</v>
      </c>
      <c r="U66" s="31">
        <f t="shared" si="20"/>
        <v>0</v>
      </c>
      <c r="V66" s="31">
        <f t="shared" si="20"/>
        <v>0</v>
      </c>
      <c r="W66" s="31">
        <f t="shared" ref="W66" si="21">IF(W15=0,0,W15/W$8)</f>
        <v>0</v>
      </c>
      <c r="DA66" s="173"/>
    </row>
    <row r="67" spans="1:105" ht="11.45" customHeight="1" x14ac:dyDescent="0.25">
      <c r="A67" s="83" t="s">
        <v>92</v>
      </c>
      <c r="B67" s="125">
        <f t="shared" si="5"/>
        <v>0</v>
      </c>
      <c r="C67" s="125">
        <f t="shared" ref="C67:V67" si="22">IF(C16=0,0,C16/C$8)</f>
        <v>0</v>
      </c>
      <c r="D67" s="125">
        <f t="shared" si="22"/>
        <v>0</v>
      </c>
      <c r="E67" s="125">
        <f t="shared" si="22"/>
        <v>0</v>
      </c>
      <c r="F67" s="125">
        <f t="shared" si="22"/>
        <v>0</v>
      </c>
      <c r="G67" s="125">
        <f t="shared" si="22"/>
        <v>0</v>
      </c>
      <c r="H67" s="125">
        <f t="shared" si="22"/>
        <v>0</v>
      </c>
      <c r="I67" s="125">
        <f t="shared" si="22"/>
        <v>0</v>
      </c>
      <c r="J67" s="125">
        <f t="shared" si="22"/>
        <v>0</v>
      </c>
      <c r="K67" s="125">
        <f t="shared" si="22"/>
        <v>0</v>
      </c>
      <c r="L67" s="125">
        <f t="shared" si="22"/>
        <v>0</v>
      </c>
      <c r="M67" s="125">
        <f t="shared" si="22"/>
        <v>0</v>
      </c>
      <c r="N67" s="125">
        <f t="shared" si="22"/>
        <v>0</v>
      </c>
      <c r="O67" s="125">
        <f t="shared" si="22"/>
        <v>0</v>
      </c>
      <c r="P67" s="125">
        <f t="shared" si="22"/>
        <v>0</v>
      </c>
      <c r="Q67" s="125">
        <f t="shared" si="22"/>
        <v>0</v>
      </c>
      <c r="R67" s="125">
        <f t="shared" si="22"/>
        <v>0</v>
      </c>
      <c r="S67" s="125">
        <f t="shared" si="22"/>
        <v>0</v>
      </c>
      <c r="T67" s="125">
        <f t="shared" si="22"/>
        <v>0</v>
      </c>
      <c r="U67" s="125">
        <f t="shared" si="22"/>
        <v>0</v>
      </c>
      <c r="V67" s="125">
        <f t="shared" si="22"/>
        <v>0</v>
      </c>
      <c r="W67" s="125">
        <f t="shared" ref="W67" si="23">IF(W16=0,0,W16/W$8)</f>
        <v>0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2924.999157620764</v>
      </c>
      <c r="C4" s="11">
        <f t="shared" si="0"/>
        <v>2726.78189926915</v>
      </c>
      <c r="D4" s="11">
        <f t="shared" ref="D4:V4" si="1">SUM(D5:D7)</f>
        <v>2467.2247863734869</v>
      </c>
      <c r="E4" s="11">
        <f t="shared" si="1"/>
        <v>2422.7688398071691</v>
      </c>
      <c r="F4" s="11">
        <f t="shared" si="1"/>
        <v>2506.7370625408626</v>
      </c>
      <c r="G4" s="11">
        <f t="shared" si="1"/>
        <v>2522.0476166745634</v>
      </c>
      <c r="H4" s="11">
        <f t="shared" si="1"/>
        <v>2391.9018812679778</v>
      </c>
      <c r="I4" s="11">
        <f t="shared" si="1"/>
        <v>2574.9132896341844</v>
      </c>
      <c r="J4" s="11">
        <f t="shared" si="1"/>
        <v>2665.3574522846829</v>
      </c>
      <c r="K4" s="11">
        <f t="shared" si="1"/>
        <v>2461.7170884190682</v>
      </c>
      <c r="L4" s="11">
        <f t="shared" si="1"/>
        <v>2749.9513819056501</v>
      </c>
      <c r="M4" s="11">
        <f t="shared" si="1"/>
        <v>3048.5872213340954</v>
      </c>
      <c r="N4" s="11">
        <f t="shared" si="1"/>
        <v>3119.5182921077576</v>
      </c>
      <c r="O4" s="11">
        <f t="shared" si="1"/>
        <v>3440.6809176247225</v>
      </c>
      <c r="P4" s="11">
        <f t="shared" si="1"/>
        <v>3562.5329076098233</v>
      </c>
      <c r="Q4" s="11">
        <f t="shared" si="1"/>
        <v>3756.7668018129061</v>
      </c>
      <c r="R4" s="11">
        <f t="shared" si="1"/>
        <v>4257.8474780026081</v>
      </c>
      <c r="S4" s="11">
        <f t="shared" si="1"/>
        <v>4872.9210086214198</v>
      </c>
      <c r="T4" s="11">
        <f t="shared" si="1"/>
        <v>5544.8584813308007</v>
      </c>
      <c r="U4" s="11">
        <f t="shared" si="1"/>
        <v>6065.9313093830206</v>
      </c>
      <c r="V4" s="11">
        <f t="shared" si="1"/>
        <v>1542.0908714389764</v>
      </c>
      <c r="W4" s="11">
        <f t="shared" ref="W4" si="2">SUM(W5:W7)</f>
        <v>2081.0058868932028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2692.9407923450108</v>
      </c>
      <c r="C6" s="84">
        <v>2508.6896596464976</v>
      </c>
      <c r="D6" s="84">
        <v>2306.624973669615</v>
      </c>
      <c r="E6" s="84">
        <v>2263.1153024076561</v>
      </c>
      <c r="F6" s="84">
        <v>2350.1137325766572</v>
      </c>
      <c r="G6" s="84">
        <v>2369.6899054055762</v>
      </c>
      <c r="H6" s="84">
        <v>2250.0333126000887</v>
      </c>
      <c r="I6" s="84">
        <v>2442.7429836570541</v>
      </c>
      <c r="J6" s="84">
        <v>2521.6451523915771</v>
      </c>
      <c r="K6" s="84">
        <v>2331.641334290267</v>
      </c>
      <c r="L6" s="84">
        <v>2586.7792871565366</v>
      </c>
      <c r="M6" s="84">
        <v>2828.0289371284402</v>
      </c>
      <c r="N6" s="84">
        <v>2907.3001878398609</v>
      </c>
      <c r="O6" s="84">
        <v>3150.4939750297249</v>
      </c>
      <c r="P6" s="84">
        <v>3319.5576747463747</v>
      </c>
      <c r="Q6" s="84">
        <v>3530.9252381920924</v>
      </c>
      <c r="R6" s="84">
        <v>3870.1591223238029</v>
      </c>
      <c r="S6" s="84">
        <v>4559.825154188773</v>
      </c>
      <c r="T6" s="84">
        <v>5157.0561326482812</v>
      </c>
      <c r="U6" s="84">
        <v>5456.3741534938263</v>
      </c>
      <c r="V6" s="84">
        <v>1382.6189722335153</v>
      </c>
      <c r="W6" s="84">
        <v>1891.0666535919358</v>
      </c>
      <c r="DA6" s="171" t="s">
        <v>191</v>
      </c>
    </row>
    <row r="7" spans="1:105" ht="11.45" customHeight="1" x14ac:dyDescent="0.25">
      <c r="A7" s="83" t="s">
        <v>174</v>
      </c>
      <c r="B7" s="84">
        <v>232.05836527575335</v>
      </c>
      <c r="C7" s="84">
        <v>218.09223962265224</v>
      </c>
      <c r="D7" s="84">
        <v>160.59981270387215</v>
      </c>
      <c r="E7" s="84">
        <v>159.65353739951297</v>
      </c>
      <c r="F7" s="84">
        <v>156.62332996420557</v>
      </c>
      <c r="G7" s="84">
        <v>152.3577112689874</v>
      </c>
      <c r="H7" s="84">
        <v>141.86856866788901</v>
      </c>
      <c r="I7" s="84">
        <v>132.17030597713011</v>
      </c>
      <c r="J7" s="84">
        <v>143.71229989310586</v>
      </c>
      <c r="K7" s="84">
        <v>130.07575412880135</v>
      </c>
      <c r="L7" s="84">
        <v>163.17209474911368</v>
      </c>
      <c r="M7" s="84">
        <v>220.55828420565516</v>
      </c>
      <c r="N7" s="84">
        <v>212.21810426789676</v>
      </c>
      <c r="O7" s="84">
        <v>290.18694259499779</v>
      </c>
      <c r="P7" s="84">
        <v>242.97523286344872</v>
      </c>
      <c r="Q7" s="84">
        <v>225.84156362081393</v>
      </c>
      <c r="R7" s="84">
        <v>387.6883556788049</v>
      </c>
      <c r="S7" s="84">
        <v>313.09585443264649</v>
      </c>
      <c r="T7" s="84">
        <v>387.80234868251915</v>
      </c>
      <c r="U7" s="84">
        <v>609.55715588919441</v>
      </c>
      <c r="V7" s="84">
        <v>159.47189920546117</v>
      </c>
      <c r="W7" s="84">
        <v>189.93923330126702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11.007700256482346</v>
      </c>
      <c r="C8" s="13">
        <f t="shared" si="3"/>
        <v>10.797316350814189</v>
      </c>
      <c r="D8" s="13">
        <f t="shared" ref="D8:V8" si="4">SUM(D9:D11)</f>
        <v>9.8248722863592342</v>
      </c>
      <c r="E8" s="13">
        <f t="shared" si="4"/>
        <v>14.07951236338225</v>
      </c>
      <c r="F8" s="13">
        <f t="shared" si="4"/>
        <v>11.790432738758053</v>
      </c>
      <c r="G8" s="13">
        <f t="shared" si="4"/>
        <v>12.310629129030184</v>
      </c>
      <c r="H8" s="13">
        <f t="shared" si="4"/>
        <v>14.348183275640716</v>
      </c>
      <c r="I8" s="13">
        <f t="shared" si="4"/>
        <v>16.599048048961983</v>
      </c>
      <c r="J8" s="13">
        <f t="shared" si="4"/>
        <v>17.980499942196094</v>
      </c>
      <c r="K8" s="13">
        <f t="shared" si="4"/>
        <v>20.109698933088328</v>
      </c>
      <c r="L8" s="13">
        <f t="shared" si="4"/>
        <v>16.989944791025721</v>
      </c>
      <c r="M8" s="13">
        <f t="shared" si="4"/>
        <v>15.568380565467301</v>
      </c>
      <c r="N8" s="13">
        <f t="shared" si="4"/>
        <v>17.500191445866047</v>
      </c>
      <c r="O8" s="13">
        <f t="shared" si="4"/>
        <v>14.911763780050205</v>
      </c>
      <c r="P8" s="13">
        <f t="shared" si="4"/>
        <v>12.168193558061935</v>
      </c>
      <c r="Q8" s="13">
        <f t="shared" si="4"/>
        <v>12.203608822607725</v>
      </c>
      <c r="R8" s="13">
        <f t="shared" si="4"/>
        <v>9.5310724615349969</v>
      </c>
      <c r="S8" s="13">
        <f t="shared" si="4"/>
        <v>7.7162209999506288</v>
      </c>
      <c r="T8" s="13">
        <f t="shared" si="4"/>
        <v>7.5993705911693663</v>
      </c>
      <c r="U8" s="13">
        <f t="shared" si="4"/>
        <v>5.562995180908648</v>
      </c>
      <c r="V8" s="13">
        <f t="shared" si="4"/>
        <v>6.7925692047172905</v>
      </c>
      <c r="W8" s="13">
        <f t="shared" ref="W8" si="5">SUM(W9:W11)</f>
        <v>6.310752633505718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9.0253943905459764</v>
      </c>
      <c r="C10" s="102">
        <v>8.7207145258767653</v>
      </c>
      <c r="D10" s="102">
        <v>7.809206639700097</v>
      </c>
      <c r="E10" s="102">
        <v>11.950682419181316</v>
      </c>
      <c r="F10" s="102">
        <v>9.2434560070090264</v>
      </c>
      <c r="G10" s="102">
        <v>9.3596041107877817</v>
      </c>
      <c r="H10" s="102">
        <v>10.184856028536682</v>
      </c>
      <c r="I10" s="102">
        <v>11.064541510413127</v>
      </c>
      <c r="J10" s="102">
        <v>10.650041985453628</v>
      </c>
      <c r="K10" s="102">
        <v>10.437885021863236</v>
      </c>
      <c r="L10" s="102">
        <v>11.319133424789046</v>
      </c>
      <c r="M10" s="102">
        <v>11.692318767655969</v>
      </c>
      <c r="N10" s="102">
        <v>12.143700572178147</v>
      </c>
      <c r="O10" s="102">
        <v>9.4027035792573574</v>
      </c>
      <c r="P10" s="102">
        <v>9.0012629371795736</v>
      </c>
      <c r="Q10" s="102">
        <v>10.456322900138304</v>
      </c>
      <c r="R10" s="102">
        <v>6.2802522906049534</v>
      </c>
      <c r="S10" s="102">
        <v>6.0341746736474846</v>
      </c>
      <c r="T10" s="102">
        <v>6.3066674084223422</v>
      </c>
      <c r="U10" s="102">
        <v>4.3757483033770761</v>
      </c>
      <c r="V10" s="102">
        <v>4.3571001601474411</v>
      </c>
      <c r="W10" s="102">
        <v>4.0637357411738328</v>
      </c>
      <c r="DA10" s="175" t="s">
        <v>195</v>
      </c>
    </row>
    <row r="11" spans="1:105" ht="11.45" customHeight="1" x14ac:dyDescent="0.25">
      <c r="A11" s="85" t="s">
        <v>174</v>
      </c>
      <c r="B11" s="86">
        <v>1.9823058659363693</v>
      </c>
      <c r="C11" s="86">
        <v>2.0766018249374243</v>
      </c>
      <c r="D11" s="86">
        <v>2.0156656466591372</v>
      </c>
      <c r="E11" s="86">
        <v>2.1288299442009335</v>
      </c>
      <c r="F11" s="86">
        <v>2.5469767317490257</v>
      </c>
      <c r="G11" s="86">
        <v>2.9510250182424023</v>
      </c>
      <c r="H11" s="86">
        <v>4.1633272471040339</v>
      </c>
      <c r="I11" s="86">
        <v>5.5345065385488548</v>
      </c>
      <c r="J11" s="86">
        <v>7.3304579567424666</v>
      </c>
      <c r="K11" s="86">
        <v>9.671813911225092</v>
      </c>
      <c r="L11" s="86">
        <v>5.670811366236677</v>
      </c>
      <c r="M11" s="86">
        <v>3.8760617978113312</v>
      </c>
      <c r="N11" s="86">
        <v>5.3564908736879007</v>
      </c>
      <c r="O11" s="86">
        <v>5.5090602007928471</v>
      </c>
      <c r="P11" s="86">
        <v>3.1669306208823618</v>
      </c>
      <c r="Q11" s="86">
        <v>1.7472859224694222</v>
      </c>
      <c r="R11" s="86">
        <v>3.2508201709300426</v>
      </c>
      <c r="S11" s="86">
        <v>1.6820463263031438</v>
      </c>
      <c r="T11" s="86">
        <v>1.2927031827470246</v>
      </c>
      <c r="U11" s="86">
        <v>1.1872468775315721</v>
      </c>
      <c r="V11" s="86">
        <v>2.435469044569849</v>
      </c>
      <c r="W11" s="86">
        <v>2.2470168923318852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24.480569235021136</v>
      </c>
      <c r="C13" s="54">
        <f t="shared" si="6"/>
        <v>22.951348269640025</v>
      </c>
      <c r="D13" s="54">
        <f t="shared" ref="D13:V13" si="7">SUM(D14,D18)</f>
        <v>21.542612345786619</v>
      </c>
      <c r="E13" s="54">
        <f t="shared" si="7"/>
        <v>22.136517531304243</v>
      </c>
      <c r="F13" s="54">
        <f t="shared" si="7"/>
        <v>22.442522826815424</v>
      </c>
      <c r="G13" s="54">
        <f t="shared" si="7"/>
        <v>22.849946318064447</v>
      </c>
      <c r="H13" s="54">
        <f t="shared" si="7"/>
        <v>21.662918577389153</v>
      </c>
      <c r="I13" s="54">
        <f t="shared" si="7"/>
        <v>23.923737788966527</v>
      </c>
      <c r="J13" s="54">
        <f t="shared" si="7"/>
        <v>23.645900828460448</v>
      </c>
      <c r="K13" s="54">
        <f t="shared" si="7"/>
        <v>22.594268501247409</v>
      </c>
      <c r="L13" s="54">
        <f t="shared" si="7"/>
        <v>24.640532923564503</v>
      </c>
      <c r="M13" s="54">
        <f t="shared" si="7"/>
        <v>24.702872790301292</v>
      </c>
      <c r="N13" s="54">
        <f t="shared" si="7"/>
        <v>24.52301615266563</v>
      </c>
      <c r="O13" s="54">
        <f t="shared" si="7"/>
        <v>26.742308865312168</v>
      </c>
      <c r="P13" s="54">
        <f t="shared" si="7"/>
        <v>27.482768075525097</v>
      </c>
      <c r="Q13" s="54">
        <f t="shared" si="7"/>
        <v>28.891393540919253</v>
      </c>
      <c r="R13" s="54">
        <f t="shared" si="7"/>
        <v>30.135669189642115</v>
      </c>
      <c r="S13" s="54">
        <f t="shared" si="7"/>
        <v>34.064940961953305</v>
      </c>
      <c r="T13" s="54">
        <f t="shared" si="7"/>
        <v>38.961792629988771</v>
      </c>
      <c r="U13" s="54">
        <f t="shared" si="7"/>
        <v>43.851897072514284</v>
      </c>
      <c r="V13" s="54">
        <f t="shared" si="7"/>
        <v>16.10009692979698</v>
      </c>
      <c r="W13" s="54">
        <f t="shared" ref="W13" si="8">SUM(W14,W18)</f>
        <v>21.116908159104035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23.988835196869111</v>
      </c>
      <c r="C14" s="11">
        <f t="shared" si="9"/>
        <v>22.512407511714343</v>
      </c>
      <c r="D14" s="11">
        <f t="shared" ref="D14:V14" si="10">SUM(D15:D17)</f>
        <v>21.123894826398516</v>
      </c>
      <c r="E14" s="11">
        <f t="shared" si="10"/>
        <v>21.516876581458121</v>
      </c>
      <c r="F14" s="11">
        <f t="shared" si="10"/>
        <v>21.890962869283157</v>
      </c>
      <c r="G14" s="11">
        <f t="shared" si="10"/>
        <v>22.270992986840817</v>
      </c>
      <c r="H14" s="11">
        <f t="shared" si="10"/>
        <v>20.959036147957789</v>
      </c>
      <c r="I14" s="11">
        <f t="shared" si="10"/>
        <v>23.136228806357206</v>
      </c>
      <c r="J14" s="11">
        <f t="shared" si="10"/>
        <v>22.837888798955817</v>
      </c>
      <c r="K14" s="11">
        <f t="shared" si="10"/>
        <v>21.787873011009992</v>
      </c>
      <c r="L14" s="11">
        <f t="shared" si="10"/>
        <v>23.875593003762525</v>
      </c>
      <c r="M14" s="11">
        <f t="shared" si="10"/>
        <v>23.986691843129883</v>
      </c>
      <c r="N14" s="11">
        <f t="shared" si="10"/>
        <v>23.824615266311387</v>
      </c>
      <c r="O14" s="11">
        <f t="shared" si="10"/>
        <v>26.179303019449677</v>
      </c>
      <c r="P14" s="11">
        <f t="shared" si="10"/>
        <v>27.035982895229072</v>
      </c>
      <c r="Q14" s="11">
        <f t="shared" si="10"/>
        <v>28.398782891934271</v>
      </c>
      <c r="R14" s="11">
        <f t="shared" si="10"/>
        <v>29.848750633079799</v>
      </c>
      <c r="S14" s="11">
        <f t="shared" si="10"/>
        <v>33.779834294499274</v>
      </c>
      <c r="T14" s="11">
        <f t="shared" si="10"/>
        <v>38.669748790650978</v>
      </c>
      <c r="U14" s="11">
        <f t="shared" si="10"/>
        <v>43.650778042840912</v>
      </c>
      <c r="V14" s="11">
        <f t="shared" si="10"/>
        <v>15.841799270008917</v>
      </c>
      <c r="W14" s="11">
        <f t="shared" ref="W14" si="11">SUM(W15:W17)</f>
        <v>20.868291389266219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20.744505231709763</v>
      </c>
      <c r="C16" s="84">
        <v>19.467711463283607</v>
      </c>
      <c r="D16" s="84">
        <v>18.64798814965264</v>
      </c>
      <c r="E16" s="84">
        <v>19.211606716217705</v>
      </c>
      <c r="F16" s="84">
        <v>19.667107953323125</v>
      </c>
      <c r="G16" s="84">
        <v>20.424775989177267</v>
      </c>
      <c r="H16" s="84">
        <v>19.122739454892923</v>
      </c>
      <c r="I16" s="84">
        <v>21.258279236338296</v>
      </c>
      <c r="J16" s="84">
        <v>20.850729664955452</v>
      </c>
      <c r="K16" s="84">
        <v>19.858851248062756</v>
      </c>
      <c r="L16" s="84">
        <v>21.662061053283292</v>
      </c>
      <c r="M16" s="84">
        <v>21.742304031470255</v>
      </c>
      <c r="N16" s="84">
        <v>21.512380799295681</v>
      </c>
      <c r="O16" s="84">
        <v>23.030030137460567</v>
      </c>
      <c r="P16" s="84">
        <v>24.27165626270628</v>
      </c>
      <c r="Q16" s="84">
        <v>26.17433498621029</v>
      </c>
      <c r="R16" s="84">
        <v>27.048369942245067</v>
      </c>
      <c r="S16" s="84">
        <v>31.222860087800775</v>
      </c>
      <c r="T16" s="84">
        <v>35.282803474259616</v>
      </c>
      <c r="U16" s="84">
        <v>37.510382513878469</v>
      </c>
      <c r="V16" s="84">
        <v>13.660480170033745</v>
      </c>
      <c r="W16" s="84">
        <v>18.242161750692958</v>
      </c>
      <c r="DA16" s="171" t="s">
        <v>200</v>
      </c>
    </row>
    <row r="17" spans="1:105" ht="11.45" customHeight="1" x14ac:dyDescent="0.25">
      <c r="A17" s="83" t="s">
        <v>174</v>
      </c>
      <c r="B17" s="84">
        <v>3.2443299651593471</v>
      </c>
      <c r="C17" s="84">
        <v>3.0446960484307386</v>
      </c>
      <c r="D17" s="84">
        <v>2.4759066767458751</v>
      </c>
      <c r="E17" s="84">
        <v>2.3052698652404162</v>
      </c>
      <c r="F17" s="84">
        <v>2.2238549159600338</v>
      </c>
      <c r="G17" s="84">
        <v>1.8462169976635512</v>
      </c>
      <c r="H17" s="84">
        <v>1.8362966930648661</v>
      </c>
      <c r="I17" s="84">
        <v>1.8779495700189106</v>
      </c>
      <c r="J17" s="84">
        <v>1.9871591340003645</v>
      </c>
      <c r="K17" s="84">
        <v>1.9290217629472348</v>
      </c>
      <c r="L17" s="84">
        <v>2.2135319504792328</v>
      </c>
      <c r="M17" s="84">
        <v>2.2443878116596268</v>
      </c>
      <c r="N17" s="84">
        <v>2.3122344670157071</v>
      </c>
      <c r="O17" s="84">
        <v>3.1492728819891087</v>
      </c>
      <c r="P17" s="84">
        <v>2.764326632522792</v>
      </c>
      <c r="Q17" s="84">
        <v>2.2244479057239799</v>
      </c>
      <c r="R17" s="84">
        <v>2.8003806908347326</v>
      </c>
      <c r="S17" s="84">
        <v>2.5569742066984955</v>
      </c>
      <c r="T17" s="84">
        <v>3.3869453163913597</v>
      </c>
      <c r="U17" s="84">
        <v>6.1403955289624434</v>
      </c>
      <c r="V17" s="84">
        <v>2.1813190999751706</v>
      </c>
      <c r="W17" s="84">
        <v>2.6261296385732593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0.49173403815202582</v>
      </c>
      <c r="C18" s="13">
        <f t="shared" si="12"/>
        <v>0.4389407579256816</v>
      </c>
      <c r="D18" s="13">
        <f t="shared" ref="D18:V18" si="13">SUM(D19:D21)</f>
        <v>0.41871751938810409</v>
      </c>
      <c r="E18" s="13">
        <f t="shared" si="13"/>
        <v>0.61964094984612283</v>
      </c>
      <c r="F18" s="13">
        <f t="shared" si="13"/>
        <v>0.55155995753226605</v>
      </c>
      <c r="G18" s="13">
        <f t="shared" si="13"/>
        <v>0.5789533312236288</v>
      </c>
      <c r="H18" s="13">
        <f t="shared" si="13"/>
        <v>0.70388242943136481</v>
      </c>
      <c r="I18" s="13">
        <f t="shared" si="13"/>
        <v>0.7875089826093209</v>
      </c>
      <c r="J18" s="13">
        <f t="shared" si="13"/>
        <v>0.80801202950463236</v>
      </c>
      <c r="K18" s="13">
        <f t="shared" si="13"/>
        <v>0.80639549023741786</v>
      </c>
      <c r="L18" s="13">
        <f t="shared" si="13"/>
        <v>0.76493991980198017</v>
      </c>
      <c r="M18" s="13">
        <f t="shared" si="13"/>
        <v>0.71618094717141045</v>
      </c>
      <c r="N18" s="13">
        <f t="shared" si="13"/>
        <v>0.69840088635424413</v>
      </c>
      <c r="O18" s="13">
        <f t="shared" si="13"/>
        <v>0.56300584586249136</v>
      </c>
      <c r="P18" s="13">
        <f t="shared" si="13"/>
        <v>0.44678518029602526</v>
      </c>
      <c r="Q18" s="13">
        <f t="shared" si="13"/>
        <v>0.49261064898498352</v>
      </c>
      <c r="R18" s="13">
        <f t="shared" si="13"/>
        <v>0.28691855656231713</v>
      </c>
      <c r="S18" s="13">
        <f t="shared" si="13"/>
        <v>0.28510666745402818</v>
      </c>
      <c r="T18" s="13">
        <f t="shared" si="13"/>
        <v>0.2920438393377926</v>
      </c>
      <c r="U18" s="13">
        <f t="shared" si="13"/>
        <v>0.20111902967337417</v>
      </c>
      <c r="V18" s="13">
        <f t="shared" si="13"/>
        <v>0.25829765978806352</v>
      </c>
      <c r="W18" s="13">
        <f t="shared" ref="W18" si="14">SUM(W19:W21)</f>
        <v>0.24861676983781636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0.46298129828158247</v>
      </c>
      <c r="C20" s="102">
        <v>0.41018801805523825</v>
      </c>
      <c r="D20" s="102">
        <v>0.38916609229903731</v>
      </c>
      <c r="E20" s="102">
        <v>0.58529739944531545</v>
      </c>
      <c r="F20" s="102">
        <v>0.50922953494522449</v>
      </c>
      <c r="G20" s="102">
        <v>0.52680166455696209</v>
      </c>
      <c r="H20" s="102">
        <v>0.62777097609994292</v>
      </c>
      <c r="I20" s="102">
        <v>0.6846166479527489</v>
      </c>
      <c r="J20" s="102">
        <v>0.66892506687126341</v>
      </c>
      <c r="K20" s="102">
        <v>0.64367514461940001</v>
      </c>
      <c r="L20" s="102">
        <v>0.67109601980198019</v>
      </c>
      <c r="M20" s="102">
        <v>0.65418187814355022</v>
      </c>
      <c r="N20" s="102">
        <v>0.61775785932721716</v>
      </c>
      <c r="O20" s="102">
        <v>0.48011944258046657</v>
      </c>
      <c r="P20" s="102">
        <v>0.40277533186684872</v>
      </c>
      <c r="Q20" s="102">
        <v>0.4700915606510182</v>
      </c>
      <c r="R20" s="102">
        <v>0.25544193950647337</v>
      </c>
      <c r="S20" s="102">
        <v>0.26603538440514996</v>
      </c>
      <c r="T20" s="102">
        <v>0.27671715133779262</v>
      </c>
      <c r="U20" s="102">
        <v>0.18686693518518518</v>
      </c>
      <c r="V20" s="102">
        <v>0.21645602672628594</v>
      </c>
      <c r="W20" s="102">
        <v>0.21372728177261266</v>
      </c>
      <c r="DA20" s="175" t="s">
        <v>204</v>
      </c>
    </row>
    <row r="21" spans="1:105" ht="11.45" customHeight="1" x14ac:dyDescent="0.25">
      <c r="A21" s="85" t="s">
        <v>174</v>
      </c>
      <c r="B21" s="86">
        <v>2.8752739870443352E-2</v>
      </c>
      <c r="C21" s="86">
        <v>2.8752739870443352E-2</v>
      </c>
      <c r="D21" s="86">
        <v>2.9551427089066776E-2</v>
      </c>
      <c r="E21" s="86">
        <v>3.4343550400807332E-2</v>
      </c>
      <c r="F21" s="86">
        <v>4.2330422587041595E-2</v>
      </c>
      <c r="G21" s="86">
        <v>5.2151666666666673E-2</v>
      </c>
      <c r="H21" s="86">
        <v>7.6111453331421913E-2</v>
      </c>
      <c r="I21" s="86">
        <v>0.10289233465657195</v>
      </c>
      <c r="J21" s="86">
        <v>0.13908696263336898</v>
      </c>
      <c r="K21" s="86">
        <v>0.16272034561801788</v>
      </c>
      <c r="L21" s="86">
        <v>9.3843900000000008E-2</v>
      </c>
      <c r="M21" s="86">
        <v>6.1999069027860197E-2</v>
      </c>
      <c r="N21" s="86">
        <v>8.0643027027027026E-2</v>
      </c>
      <c r="O21" s="86">
        <v>8.2886403282024762E-2</v>
      </c>
      <c r="P21" s="86">
        <v>4.4009848429176525E-2</v>
      </c>
      <c r="Q21" s="86">
        <v>2.2519088333965331E-2</v>
      </c>
      <c r="R21" s="86">
        <v>3.1476617055843779E-2</v>
      </c>
      <c r="S21" s="86">
        <v>1.907128304887824E-2</v>
      </c>
      <c r="T21" s="86">
        <v>1.5326687999999998E-2</v>
      </c>
      <c r="U21" s="86">
        <v>1.4252094488188975E-2</v>
      </c>
      <c r="V21" s="86">
        <v>4.1841633061777551E-2</v>
      </c>
      <c r="W21" s="86">
        <v>3.4889488065203693E-2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14839</v>
      </c>
      <c r="C23" s="54">
        <f t="shared" si="15"/>
        <v>13911</v>
      </c>
      <c r="D23" s="54">
        <f t="shared" ref="D23:V23" si="16">SUM(D24,D28)</f>
        <v>12920</v>
      </c>
      <c r="E23" s="54">
        <f t="shared" si="16"/>
        <v>13230</v>
      </c>
      <c r="F23" s="54">
        <f t="shared" si="16"/>
        <v>13419</v>
      </c>
      <c r="G23" s="54">
        <f t="shared" si="16"/>
        <v>13397</v>
      </c>
      <c r="H23" s="54">
        <f t="shared" si="16"/>
        <v>12869</v>
      </c>
      <c r="I23" s="54">
        <f t="shared" si="16"/>
        <v>14216</v>
      </c>
      <c r="J23" s="54">
        <f t="shared" si="16"/>
        <v>14032</v>
      </c>
      <c r="K23" s="54">
        <f t="shared" si="16"/>
        <v>13617</v>
      </c>
      <c r="L23" s="54">
        <f t="shared" si="16"/>
        <v>14919</v>
      </c>
      <c r="M23" s="54">
        <f t="shared" si="16"/>
        <v>14411</v>
      </c>
      <c r="N23" s="54">
        <f t="shared" si="16"/>
        <v>14480</v>
      </c>
      <c r="O23" s="54">
        <f t="shared" si="16"/>
        <v>15691</v>
      </c>
      <c r="P23" s="54">
        <f t="shared" si="16"/>
        <v>16364</v>
      </c>
      <c r="Q23" s="54">
        <f t="shared" si="16"/>
        <v>17354</v>
      </c>
      <c r="R23" s="54">
        <f t="shared" si="16"/>
        <v>18079</v>
      </c>
      <c r="S23" s="54">
        <f t="shared" si="16"/>
        <v>20821</v>
      </c>
      <c r="T23" s="54">
        <f t="shared" si="16"/>
        <v>23793</v>
      </c>
      <c r="U23" s="54">
        <f t="shared" si="16"/>
        <v>26027</v>
      </c>
      <c r="V23" s="54">
        <f t="shared" si="16"/>
        <v>9678</v>
      </c>
      <c r="W23" s="54">
        <f t="shared" ref="W23" si="17">SUM(W24,W28)</f>
        <v>13129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14477</v>
      </c>
      <c r="C24" s="11">
        <f t="shared" si="18"/>
        <v>13586</v>
      </c>
      <c r="D24" s="11">
        <f t="shared" ref="D24:V24" si="19">SUM(D25:D27)</f>
        <v>12609</v>
      </c>
      <c r="E24" s="11">
        <f t="shared" si="19"/>
        <v>12763</v>
      </c>
      <c r="F24" s="11">
        <f t="shared" si="19"/>
        <v>13007</v>
      </c>
      <c r="G24" s="11">
        <f t="shared" si="19"/>
        <v>12955</v>
      </c>
      <c r="H24" s="11">
        <f t="shared" si="19"/>
        <v>12348</v>
      </c>
      <c r="I24" s="11">
        <f t="shared" si="19"/>
        <v>13675</v>
      </c>
      <c r="J24" s="11">
        <f t="shared" si="19"/>
        <v>13521</v>
      </c>
      <c r="K24" s="11">
        <f t="shared" si="19"/>
        <v>13143</v>
      </c>
      <c r="L24" s="11">
        <f t="shared" si="19"/>
        <v>14466</v>
      </c>
      <c r="M24" s="11">
        <f t="shared" si="19"/>
        <v>14006</v>
      </c>
      <c r="N24" s="11">
        <f t="shared" si="19"/>
        <v>14100</v>
      </c>
      <c r="O24" s="11">
        <f t="shared" si="19"/>
        <v>15372</v>
      </c>
      <c r="P24" s="11">
        <f t="shared" si="19"/>
        <v>16093</v>
      </c>
      <c r="Q24" s="11">
        <f t="shared" si="19"/>
        <v>17033</v>
      </c>
      <c r="R24" s="11">
        <f t="shared" si="19"/>
        <v>17881</v>
      </c>
      <c r="S24" s="11">
        <f t="shared" si="19"/>
        <v>20605</v>
      </c>
      <c r="T24" s="11">
        <f t="shared" si="19"/>
        <v>23561</v>
      </c>
      <c r="U24" s="11">
        <f t="shared" si="19"/>
        <v>25868</v>
      </c>
      <c r="V24" s="11">
        <f t="shared" si="19"/>
        <v>9463</v>
      </c>
      <c r="W24" s="11">
        <f t="shared" ref="W24" si="20">SUM(W25:W27)</f>
        <v>12890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11568</v>
      </c>
      <c r="C26" s="84">
        <v>10856</v>
      </c>
      <c r="D26" s="84">
        <v>10389</v>
      </c>
      <c r="E26" s="84">
        <v>10696</v>
      </c>
      <c r="F26" s="84">
        <v>11013</v>
      </c>
      <c r="G26" s="84">
        <v>11305</v>
      </c>
      <c r="H26" s="84">
        <v>10857</v>
      </c>
      <c r="I26" s="84">
        <v>12152</v>
      </c>
      <c r="J26" s="84">
        <v>12012</v>
      </c>
      <c r="K26" s="84">
        <v>11656</v>
      </c>
      <c r="L26" s="84">
        <v>12789</v>
      </c>
      <c r="M26" s="84">
        <v>12610</v>
      </c>
      <c r="N26" s="84">
        <v>12403</v>
      </c>
      <c r="O26" s="84">
        <v>13221</v>
      </c>
      <c r="P26" s="84">
        <v>14062</v>
      </c>
      <c r="Q26" s="84">
        <v>15275</v>
      </c>
      <c r="R26" s="84">
        <v>16071</v>
      </c>
      <c r="S26" s="84">
        <v>18708</v>
      </c>
      <c r="T26" s="84">
        <v>21177</v>
      </c>
      <c r="U26" s="84">
        <v>22317</v>
      </c>
      <c r="V26" s="84">
        <v>8309</v>
      </c>
      <c r="W26" s="84">
        <v>11384</v>
      </c>
      <c r="DA26" s="171" t="s">
        <v>209</v>
      </c>
    </row>
    <row r="27" spans="1:105" ht="11.45" customHeight="1" x14ac:dyDescent="0.25">
      <c r="A27" s="83" t="s">
        <v>174</v>
      </c>
      <c r="B27" s="84">
        <v>2909</v>
      </c>
      <c r="C27" s="84">
        <v>2730</v>
      </c>
      <c r="D27" s="84">
        <v>2220</v>
      </c>
      <c r="E27" s="84">
        <v>2067</v>
      </c>
      <c r="F27" s="84">
        <v>1994</v>
      </c>
      <c r="G27" s="84">
        <v>1650</v>
      </c>
      <c r="H27" s="84">
        <v>1491</v>
      </c>
      <c r="I27" s="84">
        <v>1523</v>
      </c>
      <c r="J27" s="84">
        <v>1509</v>
      </c>
      <c r="K27" s="84">
        <v>1487</v>
      </c>
      <c r="L27" s="84">
        <v>1677</v>
      </c>
      <c r="M27" s="84">
        <v>1396</v>
      </c>
      <c r="N27" s="84">
        <v>1697</v>
      </c>
      <c r="O27" s="84">
        <v>2151</v>
      </c>
      <c r="P27" s="84">
        <v>2031</v>
      </c>
      <c r="Q27" s="84">
        <v>1758</v>
      </c>
      <c r="R27" s="84">
        <v>1810</v>
      </c>
      <c r="S27" s="84">
        <v>1897</v>
      </c>
      <c r="T27" s="84">
        <v>2384</v>
      </c>
      <c r="U27" s="84">
        <v>3551</v>
      </c>
      <c r="V27" s="84">
        <v>1154</v>
      </c>
      <c r="W27" s="84">
        <v>1506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362</v>
      </c>
      <c r="C28" s="13">
        <f t="shared" si="21"/>
        <v>325</v>
      </c>
      <c r="D28" s="13">
        <f t="shared" ref="D28:V28" si="22">SUM(D29:D31)</f>
        <v>311</v>
      </c>
      <c r="E28" s="13">
        <f t="shared" si="22"/>
        <v>467</v>
      </c>
      <c r="F28" s="13">
        <f t="shared" si="22"/>
        <v>412</v>
      </c>
      <c r="G28" s="13">
        <f t="shared" si="22"/>
        <v>442</v>
      </c>
      <c r="H28" s="13">
        <f t="shared" si="22"/>
        <v>521</v>
      </c>
      <c r="I28" s="13">
        <f t="shared" si="22"/>
        <v>541</v>
      </c>
      <c r="J28" s="13">
        <f t="shared" si="22"/>
        <v>511</v>
      </c>
      <c r="K28" s="13">
        <f t="shared" si="22"/>
        <v>474</v>
      </c>
      <c r="L28" s="13">
        <f t="shared" si="22"/>
        <v>453</v>
      </c>
      <c r="M28" s="13">
        <f t="shared" si="22"/>
        <v>405</v>
      </c>
      <c r="N28" s="13">
        <f t="shared" si="22"/>
        <v>380</v>
      </c>
      <c r="O28" s="13">
        <f t="shared" si="22"/>
        <v>319</v>
      </c>
      <c r="P28" s="13">
        <f t="shared" si="22"/>
        <v>271</v>
      </c>
      <c r="Q28" s="13">
        <f t="shared" si="22"/>
        <v>321</v>
      </c>
      <c r="R28" s="13">
        <f t="shared" si="22"/>
        <v>198</v>
      </c>
      <c r="S28" s="13">
        <f t="shared" si="22"/>
        <v>216</v>
      </c>
      <c r="T28" s="13">
        <f t="shared" si="22"/>
        <v>232</v>
      </c>
      <c r="U28" s="13">
        <f t="shared" si="22"/>
        <v>159</v>
      </c>
      <c r="V28" s="13">
        <f t="shared" si="22"/>
        <v>215</v>
      </c>
      <c r="W28" s="13">
        <f t="shared" ref="W28" si="23">SUM(W29:W31)</f>
        <v>239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326</v>
      </c>
      <c r="C30" s="102">
        <v>289</v>
      </c>
      <c r="D30" s="102">
        <v>274</v>
      </c>
      <c r="E30" s="102">
        <v>424</v>
      </c>
      <c r="F30" s="102">
        <v>359</v>
      </c>
      <c r="G30" s="102">
        <v>377</v>
      </c>
      <c r="H30" s="102">
        <v>467</v>
      </c>
      <c r="I30" s="102">
        <v>487</v>
      </c>
      <c r="J30" s="102">
        <v>455</v>
      </c>
      <c r="K30" s="102">
        <v>419</v>
      </c>
      <c r="L30" s="102">
        <v>426</v>
      </c>
      <c r="M30" s="102">
        <v>387</v>
      </c>
      <c r="N30" s="102">
        <v>352</v>
      </c>
      <c r="O30" s="102">
        <v>287</v>
      </c>
      <c r="P30" s="102">
        <v>250</v>
      </c>
      <c r="Q30" s="102">
        <v>307</v>
      </c>
      <c r="R30" s="102">
        <v>177</v>
      </c>
      <c r="S30" s="102">
        <v>195</v>
      </c>
      <c r="T30" s="102">
        <v>206</v>
      </c>
      <c r="U30" s="102">
        <v>133</v>
      </c>
      <c r="V30" s="102">
        <v>156</v>
      </c>
      <c r="W30" s="102">
        <v>177</v>
      </c>
      <c r="DA30" s="175" t="s">
        <v>213</v>
      </c>
    </row>
    <row r="31" spans="1:105" ht="11.45" customHeight="1" x14ac:dyDescent="0.25">
      <c r="A31" s="85" t="s">
        <v>174</v>
      </c>
      <c r="B31" s="86">
        <v>36</v>
      </c>
      <c r="C31" s="86">
        <v>36</v>
      </c>
      <c r="D31" s="86">
        <v>37</v>
      </c>
      <c r="E31" s="86">
        <v>43</v>
      </c>
      <c r="F31" s="86">
        <v>53</v>
      </c>
      <c r="G31" s="86">
        <v>65</v>
      </c>
      <c r="H31" s="86">
        <v>54</v>
      </c>
      <c r="I31" s="86">
        <v>54</v>
      </c>
      <c r="J31" s="86">
        <v>56</v>
      </c>
      <c r="K31" s="86">
        <v>55</v>
      </c>
      <c r="L31" s="86">
        <v>27</v>
      </c>
      <c r="M31" s="86">
        <v>18</v>
      </c>
      <c r="N31" s="86">
        <v>28</v>
      </c>
      <c r="O31" s="86">
        <v>32</v>
      </c>
      <c r="P31" s="86">
        <v>21</v>
      </c>
      <c r="Q31" s="86">
        <v>14</v>
      </c>
      <c r="R31" s="86">
        <v>21</v>
      </c>
      <c r="S31" s="86">
        <v>21</v>
      </c>
      <c r="T31" s="86">
        <v>26</v>
      </c>
      <c r="U31" s="86">
        <v>26</v>
      </c>
      <c r="V31" s="86">
        <v>59</v>
      </c>
      <c r="W31" s="86">
        <v>62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1508811</v>
      </c>
      <c r="C34" s="11">
        <f t="shared" si="24"/>
        <v>1420208</v>
      </c>
      <c r="D34" s="11">
        <f t="shared" ref="D34:V34" si="25">SUM(D35:D37)</f>
        <v>1295920</v>
      </c>
      <c r="E34" s="11">
        <f t="shared" si="25"/>
        <v>1302190</v>
      </c>
      <c r="F34" s="11">
        <f t="shared" si="25"/>
        <v>1363050</v>
      </c>
      <c r="G34" s="11">
        <f t="shared" si="25"/>
        <v>1375616</v>
      </c>
      <c r="H34" s="11">
        <f t="shared" si="25"/>
        <v>1346552</v>
      </c>
      <c r="I34" s="11">
        <f t="shared" si="25"/>
        <v>1485616</v>
      </c>
      <c r="J34" s="11">
        <f t="shared" si="25"/>
        <v>1558032</v>
      </c>
      <c r="K34" s="11">
        <f t="shared" si="25"/>
        <v>1461797</v>
      </c>
      <c r="L34" s="11">
        <f t="shared" si="25"/>
        <v>1646798</v>
      </c>
      <c r="M34" s="11">
        <f t="shared" si="25"/>
        <v>1761643</v>
      </c>
      <c r="N34" s="11">
        <f t="shared" si="25"/>
        <v>1825934</v>
      </c>
      <c r="O34" s="11">
        <f t="shared" si="25"/>
        <v>2015441</v>
      </c>
      <c r="P34" s="11">
        <f t="shared" si="25"/>
        <v>2142423</v>
      </c>
      <c r="Q34" s="11">
        <f t="shared" si="25"/>
        <v>2308492</v>
      </c>
      <c r="R34" s="11">
        <f t="shared" si="25"/>
        <v>2538175</v>
      </c>
      <c r="S34" s="11">
        <f t="shared" si="25"/>
        <v>2999108</v>
      </c>
      <c r="T34" s="11">
        <f t="shared" si="25"/>
        <v>3401828</v>
      </c>
      <c r="U34" s="11">
        <f t="shared" si="25"/>
        <v>3655851</v>
      </c>
      <c r="V34" s="11">
        <f t="shared" si="25"/>
        <v>883730</v>
      </c>
      <c r="W34" s="11">
        <f t="shared" ref="W34" si="26">SUM(W35:W37)</f>
        <v>1270343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1312379</v>
      </c>
      <c r="C36" s="84">
        <v>1235598</v>
      </c>
      <c r="D36" s="84">
        <v>1159976</v>
      </c>
      <c r="E36" s="84">
        <v>1167047</v>
      </c>
      <c r="F36" s="84">
        <v>1230472</v>
      </c>
      <c r="G36" s="84">
        <v>1247069</v>
      </c>
      <c r="H36" s="84">
        <v>1237805</v>
      </c>
      <c r="I36" s="84">
        <v>1384424</v>
      </c>
      <c r="J36" s="84">
        <v>1455006</v>
      </c>
      <c r="K36" s="84">
        <v>1367137</v>
      </c>
      <c r="L36" s="84">
        <v>1530093</v>
      </c>
      <c r="M36" s="84">
        <v>1631110</v>
      </c>
      <c r="N36" s="84">
        <v>1674701</v>
      </c>
      <c r="O36" s="84">
        <v>1821695</v>
      </c>
      <c r="P36" s="84">
        <v>1956817</v>
      </c>
      <c r="Q36" s="84">
        <v>2136728</v>
      </c>
      <c r="R36" s="84">
        <v>2341170</v>
      </c>
      <c r="S36" s="84">
        <v>2786425</v>
      </c>
      <c r="T36" s="84">
        <v>3135832</v>
      </c>
      <c r="U36" s="84">
        <v>3293164</v>
      </c>
      <c r="V36" s="84">
        <v>803643</v>
      </c>
      <c r="W36" s="84">
        <v>1176481</v>
      </c>
      <c r="DA36" s="171" t="s">
        <v>217</v>
      </c>
    </row>
    <row r="37" spans="1:105" ht="11.45" customHeight="1" x14ac:dyDescent="0.25">
      <c r="A37" s="83" t="s">
        <v>174</v>
      </c>
      <c r="B37" s="84">
        <v>196432</v>
      </c>
      <c r="C37" s="84">
        <v>184610</v>
      </c>
      <c r="D37" s="84">
        <v>135944</v>
      </c>
      <c r="E37" s="84">
        <v>135143</v>
      </c>
      <c r="F37" s="84">
        <v>132578</v>
      </c>
      <c r="G37" s="84">
        <v>128547</v>
      </c>
      <c r="H37" s="84">
        <v>108747</v>
      </c>
      <c r="I37" s="84">
        <v>101192</v>
      </c>
      <c r="J37" s="84">
        <v>103026</v>
      </c>
      <c r="K37" s="84">
        <v>94660</v>
      </c>
      <c r="L37" s="84">
        <v>116705</v>
      </c>
      <c r="M37" s="84">
        <v>130533</v>
      </c>
      <c r="N37" s="84">
        <v>151233</v>
      </c>
      <c r="O37" s="84">
        <v>193746</v>
      </c>
      <c r="P37" s="84">
        <v>185606</v>
      </c>
      <c r="Q37" s="84">
        <v>171764</v>
      </c>
      <c r="R37" s="84">
        <v>197005</v>
      </c>
      <c r="S37" s="84">
        <v>212683</v>
      </c>
      <c r="T37" s="84">
        <v>265996</v>
      </c>
      <c r="U37" s="84">
        <v>362687</v>
      </c>
      <c r="V37" s="84">
        <v>80087</v>
      </c>
      <c r="W37" s="84">
        <v>93862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7117.4490574018837</v>
      </c>
      <c r="C38" s="13">
        <f t="shared" si="27"/>
        <v>6634.8057898600509</v>
      </c>
      <c r="D38" s="13">
        <f t="shared" ref="D38:V38" si="28">SUM(D39:D41)</f>
        <v>6421.9281234505206</v>
      </c>
      <c r="E38" s="13">
        <f t="shared" si="28"/>
        <v>9374.0252793950276</v>
      </c>
      <c r="F38" s="13">
        <f t="shared" si="28"/>
        <v>8301.5906300206461</v>
      </c>
      <c r="G38" s="13">
        <f t="shared" si="28"/>
        <v>8597.2824070560964</v>
      </c>
      <c r="H38" s="13">
        <f t="shared" si="28"/>
        <v>8969.9695736141566</v>
      </c>
      <c r="I38" s="13">
        <f t="shared" si="28"/>
        <v>9139.0931034463592</v>
      </c>
      <c r="J38" s="13">
        <f t="shared" si="28"/>
        <v>8728.8871636006916</v>
      </c>
      <c r="K38" s="13">
        <f t="shared" si="28"/>
        <v>8454.0455688967668</v>
      </c>
      <c r="L38" s="13">
        <f t="shared" si="28"/>
        <v>7561.5891809435007</v>
      </c>
      <c r="M38" s="13">
        <f t="shared" si="28"/>
        <v>6985.693865822911</v>
      </c>
      <c r="N38" s="13">
        <f t="shared" si="28"/>
        <v>7439.4768469357959</v>
      </c>
      <c r="O38" s="13">
        <f t="shared" si="28"/>
        <v>6646.6451009281445</v>
      </c>
      <c r="P38" s="13">
        <f t="shared" si="28"/>
        <v>5938.1664910642412</v>
      </c>
      <c r="Q38" s="13">
        <f t="shared" si="28"/>
        <v>6503.0724313657811</v>
      </c>
      <c r="R38" s="13">
        <f t="shared" si="28"/>
        <v>5174.7683973511485</v>
      </c>
      <c r="S38" s="13">
        <f t="shared" si="28"/>
        <v>5260.3820822727994</v>
      </c>
      <c r="T38" s="13">
        <f t="shared" si="28"/>
        <v>5817.3107534103019</v>
      </c>
      <c r="U38" s="13">
        <f t="shared" si="28"/>
        <v>4540.325065528813</v>
      </c>
      <c r="V38" s="13">
        <f t="shared" si="28"/>
        <v>5696.6631841216586</v>
      </c>
      <c r="W38" s="13">
        <f t="shared" ref="W38" si="29">SUM(W39:W41)</f>
        <v>6426.3004843813032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5240.8005991135014</v>
      </c>
      <c r="C40" s="102">
        <v>4696.6083458377107</v>
      </c>
      <c r="D40" s="102">
        <v>4465.0751318833845</v>
      </c>
      <c r="E40" s="102">
        <v>7279.0222346921046</v>
      </c>
      <c r="F40" s="102">
        <v>5754.4409659700723</v>
      </c>
      <c r="G40" s="102">
        <v>5723.2452842353978</v>
      </c>
      <c r="H40" s="102">
        <v>6531.1227445364921</v>
      </c>
      <c r="I40" s="102">
        <v>6698.9943112520023</v>
      </c>
      <c r="J40" s="102">
        <v>6213.7643518819605</v>
      </c>
      <c r="K40" s="102">
        <v>5709.612563654081</v>
      </c>
      <c r="L40" s="102">
        <v>6143.2552026041503</v>
      </c>
      <c r="M40" s="102">
        <v>5994.5152689014812</v>
      </c>
      <c r="N40" s="102">
        <v>5794.5613847975856</v>
      </c>
      <c r="O40" s="102">
        <v>4747.5663911587335</v>
      </c>
      <c r="P40" s="102">
        <v>4549.4382525055953</v>
      </c>
      <c r="Q40" s="102">
        <v>5579.9600892468625</v>
      </c>
      <c r="R40" s="102">
        <v>3641.5116139975389</v>
      </c>
      <c r="S40" s="102">
        <v>3729.9783452212555</v>
      </c>
      <c r="T40" s="102">
        <v>3916.2710350646257</v>
      </c>
      <c r="U40" s="102">
        <v>2592.5212338409219</v>
      </c>
      <c r="V40" s="102">
        <v>2732.9896486063444</v>
      </c>
      <c r="W40" s="102">
        <v>3124.1081909426985</v>
      </c>
      <c r="DA40" s="175" t="s">
        <v>221</v>
      </c>
    </row>
    <row r="41" spans="1:105" ht="11.45" customHeight="1" x14ac:dyDescent="0.25">
      <c r="A41" s="85" t="s">
        <v>174</v>
      </c>
      <c r="B41" s="86">
        <v>1876.6484582883822</v>
      </c>
      <c r="C41" s="86">
        <v>1938.1974440223398</v>
      </c>
      <c r="D41" s="86">
        <v>1956.8529915671359</v>
      </c>
      <c r="E41" s="86">
        <v>2095.0030447029239</v>
      </c>
      <c r="F41" s="86">
        <v>2547.1496640505743</v>
      </c>
      <c r="G41" s="86">
        <v>2874.0371228206996</v>
      </c>
      <c r="H41" s="86">
        <v>2438.8468290776641</v>
      </c>
      <c r="I41" s="86">
        <v>2440.0987921943574</v>
      </c>
      <c r="J41" s="86">
        <v>2515.1228117187311</v>
      </c>
      <c r="K41" s="86">
        <v>2744.4330052426849</v>
      </c>
      <c r="L41" s="86">
        <v>1418.3339783393503</v>
      </c>
      <c r="M41" s="86">
        <v>991.17859692142952</v>
      </c>
      <c r="N41" s="86">
        <v>1644.9154621382104</v>
      </c>
      <c r="O41" s="86">
        <v>1899.0787097694113</v>
      </c>
      <c r="P41" s="86">
        <v>1388.7282385586461</v>
      </c>
      <c r="Q41" s="86">
        <v>923.11234211891906</v>
      </c>
      <c r="R41" s="86">
        <v>1533.2567833536098</v>
      </c>
      <c r="S41" s="86">
        <v>1530.4037370515439</v>
      </c>
      <c r="T41" s="86">
        <v>1901.0397183456762</v>
      </c>
      <c r="U41" s="86">
        <v>1947.803831687891</v>
      </c>
      <c r="V41" s="86">
        <v>2963.6735355153141</v>
      </c>
      <c r="W41" s="86">
        <v>3302.1922934386048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14.261503927254219</v>
      </c>
      <c r="C43" s="54">
        <f t="shared" si="30"/>
        <v>13.372330486314866</v>
      </c>
      <c r="D43" s="54">
        <f t="shared" ref="D43:V43" si="31">SUM(D44,D48)</f>
        <v>12.657007951841084</v>
      </c>
      <c r="E43" s="54">
        <f t="shared" si="31"/>
        <v>12.81774412400344</v>
      </c>
      <c r="F43" s="54">
        <f t="shared" si="31"/>
        <v>12.914717733327048</v>
      </c>
      <c r="G43" s="54">
        <f t="shared" si="31"/>
        <v>12.995570716475841</v>
      </c>
      <c r="H43" s="54">
        <f t="shared" si="31"/>
        <v>12.390406345749753</v>
      </c>
      <c r="I43" s="54">
        <f t="shared" si="31"/>
        <v>13.660677882272177</v>
      </c>
      <c r="J43" s="54">
        <f t="shared" si="31"/>
        <v>13.508146487969867</v>
      </c>
      <c r="K43" s="54">
        <f t="shared" si="31"/>
        <v>13.126961280103473</v>
      </c>
      <c r="L43" s="54">
        <f t="shared" si="31"/>
        <v>14.275587321021609</v>
      </c>
      <c r="M43" s="54">
        <f t="shared" si="31"/>
        <v>14.053470240354455</v>
      </c>
      <c r="N43" s="54">
        <f t="shared" si="31"/>
        <v>14.021617111959756</v>
      </c>
      <c r="O43" s="54">
        <f t="shared" si="31"/>
        <v>15.373308605791513</v>
      </c>
      <c r="P43" s="54">
        <f t="shared" si="31"/>
        <v>15.864588011942395</v>
      </c>
      <c r="Q43" s="54">
        <f t="shared" si="31"/>
        <v>16.680385925256569</v>
      </c>
      <c r="R43" s="54">
        <f t="shared" si="31"/>
        <v>17.438256717857676</v>
      </c>
      <c r="S43" s="54">
        <f t="shared" si="31"/>
        <v>19.664288889120375</v>
      </c>
      <c r="T43" s="54">
        <f t="shared" si="31"/>
        <v>22.494543506488551</v>
      </c>
      <c r="U43" s="54">
        <f t="shared" si="31"/>
        <v>25.355873858761846</v>
      </c>
      <c r="V43" s="54">
        <f t="shared" si="31"/>
        <v>24.421088540491283</v>
      </c>
      <c r="W43" s="54">
        <f t="shared" ref="W43" si="32">SUM(W44,W48)</f>
        <v>23.47032161200767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13.873299369727379</v>
      </c>
      <c r="C44" s="11">
        <f t="shared" si="33"/>
        <v>13.019458012447686</v>
      </c>
      <c r="D44" s="11">
        <f t="shared" ref="D44:V44" si="34">SUM(D45:D47)</f>
        <v>12.32418013370304</v>
      </c>
      <c r="E44" s="11">
        <f t="shared" si="34"/>
        <v>12.322490851099532</v>
      </c>
      <c r="F44" s="11">
        <f t="shared" si="34"/>
        <v>12.444684086390915</v>
      </c>
      <c r="G44" s="11">
        <f t="shared" si="34"/>
        <v>12.52676580472489</v>
      </c>
      <c r="H44" s="11">
        <f t="shared" si="34"/>
        <v>11.829571396060247</v>
      </c>
      <c r="I44" s="11">
        <f t="shared" si="34"/>
        <v>13.056398742270812</v>
      </c>
      <c r="J44" s="11">
        <f t="shared" si="34"/>
        <v>12.897860135630397</v>
      </c>
      <c r="K44" s="11">
        <f t="shared" si="34"/>
        <v>12.541723240296493</v>
      </c>
      <c r="L44" s="11">
        <f t="shared" si="34"/>
        <v>13.670240486537732</v>
      </c>
      <c r="M44" s="11">
        <f t="shared" si="34"/>
        <v>13.486943861623264</v>
      </c>
      <c r="N44" s="11">
        <f t="shared" si="34"/>
        <v>13.48713955601945</v>
      </c>
      <c r="O44" s="11">
        <f t="shared" si="34"/>
        <v>14.87765150560389</v>
      </c>
      <c r="P44" s="11">
        <f t="shared" si="34"/>
        <v>15.407751367507457</v>
      </c>
      <c r="Q44" s="11">
        <f t="shared" si="34"/>
        <v>16.247737134583282</v>
      </c>
      <c r="R44" s="11">
        <f t="shared" si="34"/>
        <v>17.044428382937074</v>
      </c>
      <c r="S44" s="11">
        <f t="shared" si="34"/>
        <v>19.298624359196097</v>
      </c>
      <c r="T44" s="11">
        <f t="shared" si="34"/>
        <v>22.137494890943035</v>
      </c>
      <c r="U44" s="11">
        <f t="shared" si="34"/>
        <v>25.027412024193087</v>
      </c>
      <c r="V44" s="11">
        <f t="shared" si="34"/>
        <v>24.102525399544589</v>
      </c>
      <c r="W44" s="11">
        <f t="shared" ref="W44" si="35">SUM(W45:W47)</f>
        <v>23.177638774896099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11.108090244252093</v>
      </c>
      <c r="C46" s="84">
        <v>10.424400978227153</v>
      </c>
      <c r="D46" s="84">
        <v>10.005644012030036</v>
      </c>
      <c r="E46" s="84">
        <v>10.280475641974057</v>
      </c>
      <c r="F46" s="84">
        <v>10.549246824033499</v>
      </c>
      <c r="G46" s="84">
        <v>10.907849454915004</v>
      </c>
      <c r="H46" s="84">
        <v>10.332583444253018</v>
      </c>
      <c r="I46" s="84">
        <v>11.525745475939154</v>
      </c>
      <c r="J46" s="84">
        <v>11.32270355942998</v>
      </c>
      <c r="K46" s="84">
        <v>11.003977635332687</v>
      </c>
      <c r="L46" s="84">
        <v>11.917889389359049</v>
      </c>
      <c r="M46" s="84">
        <v>11.842656464685691</v>
      </c>
      <c r="N46" s="84">
        <v>11.679897809480579</v>
      </c>
      <c r="O46" s="84">
        <v>12.484992996148939</v>
      </c>
      <c r="P46" s="84">
        <v>13.247113069635116</v>
      </c>
      <c r="Q46" s="84">
        <v>14.363619749258469</v>
      </c>
      <c r="R46" s="84">
        <v>14.961574527931319</v>
      </c>
      <c r="S46" s="84">
        <v>17.291216951788691</v>
      </c>
      <c r="T46" s="84">
        <v>19.53487480360679</v>
      </c>
      <c r="U46" s="84">
        <v>20.643461406909136</v>
      </c>
      <c r="V46" s="84">
        <v>19.902922057292326</v>
      </c>
      <c r="W46" s="84">
        <v>19.162382707675519</v>
      </c>
      <c r="DA46" s="171" t="s">
        <v>226</v>
      </c>
    </row>
    <row r="47" spans="1:105" ht="11.45" customHeight="1" x14ac:dyDescent="0.25">
      <c r="A47" s="83" t="s">
        <v>174</v>
      </c>
      <c r="B47" s="84">
        <v>2.7652091254752853</v>
      </c>
      <c r="C47" s="84">
        <v>2.5950570342205324</v>
      </c>
      <c r="D47" s="84">
        <v>2.318536121673004</v>
      </c>
      <c r="E47" s="84">
        <v>2.0420152091254753</v>
      </c>
      <c r="F47" s="84">
        <v>1.8954372623574145</v>
      </c>
      <c r="G47" s="84">
        <v>1.618916349809886</v>
      </c>
      <c r="H47" s="84">
        <v>1.4969879518072289</v>
      </c>
      <c r="I47" s="84">
        <v>1.5306532663316583</v>
      </c>
      <c r="J47" s="84">
        <v>1.5751565762004176</v>
      </c>
      <c r="K47" s="84">
        <v>1.5377456049638056</v>
      </c>
      <c r="L47" s="84">
        <v>1.7523510971786833</v>
      </c>
      <c r="M47" s="84">
        <v>1.6442873969375735</v>
      </c>
      <c r="N47" s="84">
        <v>1.807241746538871</v>
      </c>
      <c r="O47" s="84">
        <v>2.3926585094549497</v>
      </c>
      <c r="P47" s="84">
        <v>2.1606382978723406</v>
      </c>
      <c r="Q47" s="84">
        <v>1.8841173853248121</v>
      </c>
      <c r="R47" s="84">
        <v>2.0828538550057538</v>
      </c>
      <c r="S47" s="84">
        <v>2.0074074074074075</v>
      </c>
      <c r="T47" s="84">
        <v>2.6026200873362444</v>
      </c>
      <c r="U47" s="84">
        <v>4.3839506172839506</v>
      </c>
      <c r="V47" s="84">
        <v>4.1996033422522654</v>
      </c>
      <c r="W47" s="84">
        <v>4.0152560672205801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0.38820455752684052</v>
      </c>
      <c r="C48" s="13">
        <f t="shared" si="36"/>
        <v>0.35287247386717974</v>
      </c>
      <c r="D48" s="13">
        <f t="shared" ref="D48:V48" si="37">SUM(D49:D51)</f>
        <v>0.33282781813804396</v>
      </c>
      <c r="E48" s="13">
        <f t="shared" si="37"/>
        <v>0.4952532729039078</v>
      </c>
      <c r="F48" s="13">
        <f t="shared" si="37"/>
        <v>0.47003364693613475</v>
      </c>
      <c r="G48" s="13">
        <f t="shared" si="37"/>
        <v>0.46880491175095074</v>
      </c>
      <c r="H48" s="13">
        <f t="shared" si="37"/>
        <v>0.56083494968950465</v>
      </c>
      <c r="I48" s="13">
        <f t="shared" si="37"/>
        <v>0.60427914000136596</v>
      </c>
      <c r="J48" s="13">
        <f t="shared" si="37"/>
        <v>0.61028635233946948</v>
      </c>
      <c r="K48" s="13">
        <f t="shared" si="37"/>
        <v>0.58523803980697997</v>
      </c>
      <c r="L48" s="13">
        <f t="shared" si="37"/>
        <v>0.60534683448387583</v>
      </c>
      <c r="M48" s="13">
        <f t="shared" si="37"/>
        <v>0.56652637873119172</v>
      </c>
      <c r="N48" s="13">
        <f t="shared" si="37"/>
        <v>0.53447755594030655</v>
      </c>
      <c r="O48" s="13">
        <f t="shared" si="37"/>
        <v>0.49565710018762255</v>
      </c>
      <c r="P48" s="13">
        <f t="shared" si="37"/>
        <v>0.45683664443493843</v>
      </c>
      <c r="Q48" s="13">
        <f t="shared" si="37"/>
        <v>0.43264879067328699</v>
      </c>
      <c r="R48" s="13">
        <f t="shared" si="37"/>
        <v>0.39382833492060298</v>
      </c>
      <c r="S48" s="13">
        <f t="shared" si="37"/>
        <v>0.36566452992427884</v>
      </c>
      <c r="T48" s="13">
        <f t="shared" si="37"/>
        <v>0.35704861554551426</v>
      </c>
      <c r="U48" s="13">
        <f t="shared" si="37"/>
        <v>0.32846183456875849</v>
      </c>
      <c r="V48" s="13">
        <f t="shared" si="37"/>
        <v>0.3185631409466943</v>
      </c>
      <c r="W48" s="13">
        <f t="shared" ref="W48" si="38">SUM(W49:W51)</f>
        <v>0.29268283711157161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0.35332083659660796</v>
      </c>
      <c r="C50" s="102">
        <v>0.31798875293694717</v>
      </c>
      <c r="D50" s="102">
        <v>0.29697510495974938</v>
      </c>
      <c r="E50" s="102">
        <v>0.45358660623724112</v>
      </c>
      <c r="F50" s="102">
        <v>0.41867705778884795</v>
      </c>
      <c r="G50" s="102">
        <v>0.40569811563444591</v>
      </c>
      <c r="H50" s="102">
        <v>0.49392045154824077</v>
      </c>
      <c r="I50" s="102">
        <v>0.52556193883518521</v>
      </c>
      <c r="J50" s="102">
        <v>0.51439594138056544</v>
      </c>
      <c r="K50" s="102">
        <v>0.47946880903774924</v>
      </c>
      <c r="L50" s="102">
        <v>0.50306597580766832</v>
      </c>
      <c r="M50" s="102">
        <v>0.46773389214800748</v>
      </c>
      <c r="N50" s="102">
        <v>0.43917344145014559</v>
      </c>
      <c r="O50" s="102">
        <v>0.4038413577904848</v>
      </c>
      <c r="P50" s="102">
        <v>0.36850927413082396</v>
      </c>
      <c r="Q50" s="102">
        <v>0.34780979246219579</v>
      </c>
      <c r="R50" s="102">
        <v>0.312477708802535</v>
      </c>
      <c r="S50" s="102">
        <v>0.28780227589923413</v>
      </c>
      <c r="T50" s="102">
        <v>0.28267473361349282</v>
      </c>
      <c r="U50" s="102">
        <v>0.25757632472976033</v>
      </c>
      <c r="V50" s="102">
        <v>0.25000321250304497</v>
      </c>
      <c r="W50" s="102">
        <v>0.22644849006327111</v>
      </c>
      <c r="DA50" s="175" t="s">
        <v>230</v>
      </c>
    </row>
    <row r="51" spans="1:105" ht="11.45" customHeight="1" x14ac:dyDescent="0.25">
      <c r="A51" s="85" t="s">
        <v>174</v>
      </c>
      <c r="B51" s="86">
        <v>3.4883720930232558E-2</v>
      </c>
      <c r="C51" s="86">
        <v>3.4883720930232558E-2</v>
      </c>
      <c r="D51" s="86">
        <v>3.5852713178294575E-2</v>
      </c>
      <c r="E51" s="86">
        <v>4.1666666666666664E-2</v>
      </c>
      <c r="F51" s="86">
        <v>5.1356589147286823E-2</v>
      </c>
      <c r="G51" s="86">
        <v>6.3106796116504854E-2</v>
      </c>
      <c r="H51" s="86">
        <v>6.6914498141263934E-2</v>
      </c>
      <c r="I51" s="86">
        <v>7.8717201166180764E-2</v>
      </c>
      <c r="J51" s="86">
        <v>9.5890410958904104E-2</v>
      </c>
      <c r="K51" s="86">
        <v>0.10576923076923077</v>
      </c>
      <c r="L51" s="86">
        <v>0.10228085867620751</v>
      </c>
      <c r="M51" s="86">
        <v>9.879248658318425E-2</v>
      </c>
      <c r="N51" s="86">
        <v>9.530411449016099E-2</v>
      </c>
      <c r="O51" s="86">
        <v>9.1815742397137731E-2</v>
      </c>
      <c r="P51" s="86">
        <v>8.8327370304114472E-2</v>
      </c>
      <c r="Q51" s="86">
        <v>8.4838998211091213E-2</v>
      </c>
      <c r="R51" s="86">
        <v>8.1350626118067954E-2</v>
      </c>
      <c r="S51" s="86">
        <v>7.7862254025044694E-2</v>
      </c>
      <c r="T51" s="86">
        <v>7.4373881932021435E-2</v>
      </c>
      <c r="U51" s="86">
        <v>7.0885509838998176E-2</v>
      </c>
      <c r="V51" s="86">
        <v>6.8559928443649332E-2</v>
      </c>
      <c r="W51" s="86">
        <v>6.6234347048300501E-2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6.3990550409449254</v>
      </c>
      <c r="C53" s="54">
        <f t="shared" si="39"/>
        <v>1.1627906980000019E-3</v>
      </c>
      <c r="D53" s="54">
        <f t="shared" ref="D53:V53" si="40">SUM(D54,D58)</f>
        <v>4.008448065453056E-2</v>
      </c>
      <c r="E53" s="54">
        <f t="shared" si="40"/>
        <v>0.79649953311288346</v>
      </c>
      <c r="F53" s="54">
        <f t="shared" si="40"/>
        <v>0.62710392784506197</v>
      </c>
      <c r="G53" s="54">
        <f t="shared" si="40"/>
        <v>0.72377030904272244</v>
      </c>
      <c r="H53" s="54">
        <f t="shared" si="40"/>
        <v>0.19157368678126779</v>
      </c>
      <c r="I53" s="54">
        <f t="shared" si="40"/>
        <v>1.7294684375604101</v>
      </c>
      <c r="J53" s="54">
        <f t="shared" si="40"/>
        <v>0.57929462327957726</v>
      </c>
      <c r="K53" s="54">
        <f t="shared" si="40"/>
        <v>0.10171048311935296</v>
      </c>
      <c r="L53" s="54">
        <f t="shared" si="40"/>
        <v>1.6206606511248378</v>
      </c>
      <c r="M53" s="54">
        <f t="shared" si="40"/>
        <v>0.28507094213057371</v>
      </c>
      <c r="N53" s="54">
        <f t="shared" si="40"/>
        <v>0.43417762814418653</v>
      </c>
      <c r="O53" s="54">
        <f t="shared" si="40"/>
        <v>1.8244938833324393</v>
      </c>
      <c r="P53" s="54">
        <f t="shared" si="40"/>
        <v>1.1224239402901084</v>
      </c>
      <c r="Q53" s="54">
        <f t="shared" si="40"/>
        <v>1.4803023033475722</v>
      </c>
      <c r="R53" s="54">
        <f t="shared" si="40"/>
        <v>1.2434970162987258</v>
      </c>
      <c r="S53" s="54">
        <f t="shared" si="40"/>
        <v>2.7010017442039578</v>
      </c>
      <c r="T53" s="54">
        <f t="shared" si="40"/>
        <v>3.3047399959950448</v>
      </c>
      <c r="U53" s="54">
        <f t="shared" si="40"/>
        <v>3.3238990669980479</v>
      </c>
      <c r="V53" s="54">
        <f t="shared" si="40"/>
        <v>1.0145929461560843E-2</v>
      </c>
      <c r="W53" s="54">
        <f t="shared" ref="W53" si="41">SUM(W54,W58)</f>
        <v>0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6.214384353047711</v>
      </c>
      <c r="C54" s="11">
        <f t="shared" si="42"/>
        <v>0</v>
      </c>
      <c r="D54" s="11">
        <f t="shared" ref="D54:V54" si="43">SUM(D55:D57)</f>
        <v>3.7952697708468541E-2</v>
      </c>
      <c r="E54" s="11">
        <f t="shared" si="43"/>
        <v>0.62231166255101966</v>
      </c>
      <c r="F54" s="11">
        <f t="shared" si="43"/>
        <v>0.61625121466644184</v>
      </c>
      <c r="G54" s="11">
        <f t="shared" si="43"/>
        <v>0.70608266348850446</v>
      </c>
      <c r="H54" s="11">
        <f t="shared" si="43"/>
        <v>8.6922078116812462E-2</v>
      </c>
      <c r="I54" s="11">
        <f t="shared" si="43"/>
        <v>1.6736331141554968</v>
      </c>
      <c r="J54" s="11">
        <f t="shared" si="43"/>
        <v>0.5503841500747273</v>
      </c>
      <c r="K54" s="11">
        <f t="shared" si="43"/>
        <v>9.0668872611026297E-2</v>
      </c>
      <c r="L54" s="11">
        <f t="shared" si="43"/>
        <v>1.5753230141861723</v>
      </c>
      <c r="M54" s="11">
        <f t="shared" si="43"/>
        <v>0.28507094213057371</v>
      </c>
      <c r="N54" s="11">
        <f t="shared" si="43"/>
        <v>0.43417762814418653</v>
      </c>
      <c r="O54" s="11">
        <f t="shared" si="43"/>
        <v>1.8244938833324393</v>
      </c>
      <c r="P54" s="11">
        <f t="shared" si="43"/>
        <v>1.1224239402901084</v>
      </c>
      <c r="Q54" s="11">
        <f t="shared" si="43"/>
        <v>1.476810546427286</v>
      </c>
      <c r="R54" s="11">
        <f t="shared" si="43"/>
        <v>1.2434970162987258</v>
      </c>
      <c r="S54" s="11">
        <f t="shared" si="43"/>
        <v>2.7010017442039578</v>
      </c>
      <c r="T54" s="11">
        <f t="shared" si="43"/>
        <v>3.2856762996918718</v>
      </c>
      <c r="U54" s="11">
        <f t="shared" si="43"/>
        <v>3.3238990669980479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4.9757911971538586</v>
      </c>
      <c r="C56" s="84">
        <v>0</v>
      </c>
      <c r="D56" s="84">
        <v>3.7952697708468541E-2</v>
      </c>
      <c r="E56" s="84">
        <v>0.62231166255101966</v>
      </c>
      <c r="F56" s="84">
        <v>0.61625121466644184</v>
      </c>
      <c r="G56" s="84">
        <v>0.70608266348850446</v>
      </c>
      <c r="H56" s="84">
        <v>8.6922078116812462E-2</v>
      </c>
      <c r="I56" s="84">
        <v>1.5534658984900673</v>
      </c>
      <c r="J56" s="84">
        <v>0.41937893906496804</v>
      </c>
      <c r="K56" s="84">
        <v>4.1577942706638282E-2</v>
      </c>
      <c r="L56" s="84">
        <v>1.2742156208302946</v>
      </c>
      <c r="M56" s="84">
        <v>0.28507094213057371</v>
      </c>
      <c r="N56" s="84">
        <v>0.18472137740188904</v>
      </c>
      <c r="O56" s="84">
        <v>1.1525752192753604</v>
      </c>
      <c r="P56" s="84">
        <v>1.1224239402901084</v>
      </c>
      <c r="Q56" s="84">
        <v>1.476810546427286</v>
      </c>
      <c r="R56" s="84">
        <v>0.95825864547678385</v>
      </c>
      <c r="S56" s="84">
        <v>2.6899462906613039</v>
      </c>
      <c r="T56" s="84">
        <v>2.6039617186220347</v>
      </c>
      <c r="U56" s="84">
        <v>1.4560666359093417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1.2385931558938521</v>
      </c>
      <c r="C57" s="84">
        <v>0</v>
      </c>
      <c r="D57" s="84">
        <v>0</v>
      </c>
      <c r="E57" s="84">
        <v>0</v>
      </c>
      <c r="F57" s="84">
        <v>0</v>
      </c>
      <c r="G57" s="84">
        <v>0</v>
      </c>
      <c r="H57" s="84">
        <v>0</v>
      </c>
      <c r="I57" s="84">
        <v>0.12016721566542943</v>
      </c>
      <c r="J57" s="84">
        <v>0.13100521100975926</v>
      </c>
      <c r="K57" s="84">
        <v>4.9090929904388014E-2</v>
      </c>
      <c r="L57" s="84">
        <v>0.30110739335587766</v>
      </c>
      <c r="M57" s="84">
        <v>0</v>
      </c>
      <c r="N57" s="84">
        <v>0.24945625074229749</v>
      </c>
      <c r="O57" s="84">
        <v>0.6719186640570789</v>
      </c>
      <c r="P57" s="84">
        <v>0</v>
      </c>
      <c r="Q57" s="84">
        <v>0</v>
      </c>
      <c r="R57" s="84">
        <v>0.28523837082194192</v>
      </c>
      <c r="S57" s="84">
        <v>1.1055453542653915E-2</v>
      </c>
      <c r="T57" s="84">
        <v>0.68171458106983707</v>
      </c>
      <c r="U57" s="84">
        <v>1.8678324310887064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0.18467068789721444</v>
      </c>
      <c r="C58" s="13">
        <f t="shared" si="45"/>
        <v>1.1627906980000019E-3</v>
      </c>
      <c r="D58" s="13">
        <f t="shared" ref="D58:V58" si="46">SUM(D59:D61)</f>
        <v>2.1317829460620191E-3</v>
      </c>
      <c r="E58" s="13">
        <f t="shared" si="46"/>
        <v>0.17418787056186386</v>
      </c>
      <c r="F58" s="13">
        <f t="shared" si="46"/>
        <v>1.085271317862016E-2</v>
      </c>
      <c r="G58" s="13">
        <f t="shared" si="46"/>
        <v>1.7687645554218027E-2</v>
      </c>
      <c r="H58" s="13">
        <f t="shared" si="46"/>
        <v>0.10465160866445532</v>
      </c>
      <c r="I58" s="13">
        <f t="shared" si="46"/>
        <v>5.5835323404913428E-2</v>
      </c>
      <c r="J58" s="13">
        <f t="shared" si="46"/>
        <v>2.891047320484999E-2</v>
      </c>
      <c r="K58" s="13">
        <f t="shared" si="46"/>
        <v>1.1041610508326666E-2</v>
      </c>
      <c r="L58" s="13">
        <f t="shared" si="46"/>
        <v>4.5337636938665493E-2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3.4917569202861515E-3</v>
      </c>
      <c r="R58" s="13">
        <f t="shared" si="46"/>
        <v>0</v>
      </c>
      <c r="S58" s="13">
        <f t="shared" si="46"/>
        <v>0</v>
      </c>
      <c r="T58" s="13">
        <f t="shared" si="46"/>
        <v>1.9063696303173065E-2</v>
      </c>
      <c r="U58" s="13">
        <f t="shared" si="46"/>
        <v>0</v>
      </c>
      <c r="V58" s="13">
        <f t="shared" si="46"/>
        <v>1.0145929461560843E-2</v>
      </c>
      <c r="W58" s="13">
        <f t="shared" ref="W58" si="47">SUM(W59:W61)</f>
        <v>0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0.16994200572634621</v>
      </c>
      <c r="C60" s="102">
        <v>0</v>
      </c>
      <c r="D60" s="102">
        <v>0</v>
      </c>
      <c r="E60" s="102">
        <v>0.16721112637549176</v>
      </c>
      <c r="F60" s="102">
        <v>0</v>
      </c>
      <c r="G60" s="102">
        <v>4.7746478869999942E-3</v>
      </c>
      <c r="H60" s="102">
        <v>9.9681115941696236E-2</v>
      </c>
      <c r="I60" s="102">
        <v>4.2869829681996596E-2</v>
      </c>
      <c r="J60" s="102">
        <v>1.0574472714126648E-2</v>
      </c>
      <c r="K60" s="102">
        <v>0</v>
      </c>
      <c r="L60" s="102">
        <v>4.5337636938665493E-2</v>
      </c>
      <c r="M60" s="102">
        <v>0</v>
      </c>
      <c r="N60" s="102">
        <v>0</v>
      </c>
      <c r="O60" s="102">
        <v>0</v>
      </c>
      <c r="P60" s="102">
        <v>0</v>
      </c>
      <c r="Q60" s="102">
        <v>3.4917569202861515E-3</v>
      </c>
      <c r="R60" s="102">
        <v>0</v>
      </c>
      <c r="S60" s="102">
        <v>0</v>
      </c>
      <c r="T60" s="102">
        <v>1.9063696303173065E-2</v>
      </c>
      <c r="U60" s="102">
        <v>0</v>
      </c>
      <c r="V60" s="102">
        <v>1.0145929461560843E-2</v>
      </c>
      <c r="W60" s="102">
        <v>0</v>
      </c>
      <c r="DA60" s="175" t="s">
        <v>239</v>
      </c>
    </row>
    <row r="61" spans="1:105" ht="11.45" customHeight="1" x14ac:dyDescent="0.25">
      <c r="A61" s="85" t="s">
        <v>174</v>
      </c>
      <c r="B61" s="86">
        <v>1.4728682170868219E-2</v>
      </c>
      <c r="C61" s="86">
        <v>1.1627906980000019E-3</v>
      </c>
      <c r="D61" s="86">
        <v>2.1317829460620191E-3</v>
      </c>
      <c r="E61" s="86">
        <v>6.9767441863720914E-3</v>
      </c>
      <c r="F61" s="86">
        <v>1.085271317862016E-2</v>
      </c>
      <c r="G61" s="86">
        <v>1.2912997667218033E-2</v>
      </c>
      <c r="H61" s="86">
        <v>4.9704927227590817E-3</v>
      </c>
      <c r="I61" s="86">
        <v>1.2965493722916832E-2</v>
      </c>
      <c r="J61" s="86">
        <v>1.8336000490723342E-2</v>
      </c>
      <c r="K61" s="86">
        <v>1.1041610508326666E-2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104.22124749602818</v>
      </c>
      <c r="C66" s="14">
        <f t="shared" si="48"/>
        <v>104.53466804063007</v>
      </c>
      <c r="D66" s="14">
        <f t="shared" ref="D66:V66" si="49">IF(D34=0,0,D34/D24)</f>
        <v>102.77738123562534</v>
      </c>
      <c r="E66" s="14">
        <f t="shared" si="49"/>
        <v>102.02851994045287</v>
      </c>
      <c r="F66" s="14">
        <f t="shared" si="49"/>
        <v>104.79357269162759</v>
      </c>
      <c r="G66" s="14">
        <f t="shared" si="49"/>
        <v>106.18417599382478</v>
      </c>
      <c r="H66" s="14">
        <f t="shared" si="49"/>
        <v>109.05021056041464</v>
      </c>
      <c r="I66" s="14">
        <f t="shared" si="49"/>
        <v>108.63736745886655</v>
      </c>
      <c r="J66" s="14">
        <f t="shared" si="49"/>
        <v>115.23053028622144</v>
      </c>
      <c r="K66" s="14">
        <f t="shared" si="49"/>
        <v>111.22247584265388</v>
      </c>
      <c r="L66" s="14">
        <f t="shared" si="49"/>
        <v>113.83920918014655</v>
      </c>
      <c r="M66" s="14">
        <f t="shared" si="49"/>
        <v>125.77773811223761</v>
      </c>
      <c r="N66" s="14">
        <f t="shared" si="49"/>
        <v>129.49886524822696</v>
      </c>
      <c r="O66" s="14">
        <f t="shared" si="49"/>
        <v>131.11117616445486</v>
      </c>
      <c r="P66" s="14">
        <f t="shared" si="49"/>
        <v>133.12763313241783</v>
      </c>
      <c r="Q66" s="14">
        <f t="shared" si="49"/>
        <v>135.53055832795161</v>
      </c>
      <c r="R66" s="14">
        <f t="shared" si="49"/>
        <v>141.9481572618981</v>
      </c>
      <c r="S66" s="14">
        <f t="shared" si="49"/>
        <v>145.55243872846395</v>
      </c>
      <c r="T66" s="14">
        <f t="shared" si="49"/>
        <v>144.38385467509869</v>
      </c>
      <c r="U66" s="14">
        <f t="shared" si="49"/>
        <v>141.32716097108397</v>
      </c>
      <c r="V66" s="14">
        <f t="shared" si="49"/>
        <v>93.387931945471834</v>
      </c>
      <c r="W66" s="14">
        <f t="shared" ref="W66" si="50">IF(W34=0,0,W34/W24)</f>
        <v>98.55259891388674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113.44908367911479</v>
      </c>
      <c r="C68" s="87">
        <f t="shared" si="48"/>
        <v>113.81705969049374</v>
      </c>
      <c r="D68" s="87">
        <f t="shared" ref="D68:V68" si="53">IF(D36=0,0,D36/D26)</f>
        <v>111.65424968716913</v>
      </c>
      <c r="E68" s="87">
        <f t="shared" si="53"/>
        <v>109.11060209424083</v>
      </c>
      <c r="F68" s="87">
        <f t="shared" si="53"/>
        <v>111.7290474893308</v>
      </c>
      <c r="G68" s="87">
        <f t="shared" si="53"/>
        <v>110.31127819548873</v>
      </c>
      <c r="H68" s="87">
        <f t="shared" si="53"/>
        <v>114.00985539283411</v>
      </c>
      <c r="I68" s="87">
        <f t="shared" si="53"/>
        <v>113.92560895325872</v>
      </c>
      <c r="J68" s="87">
        <f t="shared" si="53"/>
        <v>121.12937062937063</v>
      </c>
      <c r="K68" s="87">
        <f t="shared" si="53"/>
        <v>117.29040837336994</v>
      </c>
      <c r="L68" s="87">
        <f t="shared" si="53"/>
        <v>119.64133239502698</v>
      </c>
      <c r="M68" s="87">
        <f t="shared" si="53"/>
        <v>129.35051546391753</v>
      </c>
      <c r="N68" s="87">
        <f t="shared" si="53"/>
        <v>135.0238651939047</v>
      </c>
      <c r="O68" s="87">
        <f t="shared" si="53"/>
        <v>137.78798880568792</v>
      </c>
      <c r="P68" s="87">
        <f t="shared" si="53"/>
        <v>139.15637889347178</v>
      </c>
      <c r="Q68" s="87">
        <f t="shared" si="53"/>
        <v>139.88399345335515</v>
      </c>
      <c r="R68" s="87">
        <f t="shared" si="53"/>
        <v>145.67668471159232</v>
      </c>
      <c r="S68" s="87">
        <f t="shared" si="53"/>
        <v>148.94296557622408</v>
      </c>
      <c r="T68" s="87">
        <f t="shared" si="53"/>
        <v>148.07725362421496</v>
      </c>
      <c r="U68" s="87">
        <f t="shared" si="53"/>
        <v>147.56302370390284</v>
      </c>
      <c r="V68" s="87">
        <f t="shared" si="53"/>
        <v>96.719581177036943</v>
      </c>
      <c r="W68" s="87">
        <f t="shared" ref="W68" si="54">IF(W36=0,0,W36/W26)</f>
        <v>103.34513352073085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67.525610175317979</v>
      </c>
      <c r="C69" s="87">
        <f t="shared" si="48"/>
        <v>67.622710622710628</v>
      </c>
      <c r="D69" s="87">
        <f t="shared" ref="D69:V69" si="55">IF(D37=0,0,D37/D27)</f>
        <v>61.236036036036033</v>
      </c>
      <c r="E69" s="87">
        <f t="shared" si="55"/>
        <v>65.381228834059016</v>
      </c>
      <c r="F69" s="87">
        <f t="shared" si="55"/>
        <v>66.488465396188559</v>
      </c>
      <c r="G69" s="87">
        <f t="shared" si="55"/>
        <v>77.907272727272726</v>
      </c>
      <c r="H69" s="87">
        <f t="shared" si="55"/>
        <v>72.935613682092551</v>
      </c>
      <c r="I69" s="87">
        <f t="shared" si="55"/>
        <v>66.442547603414312</v>
      </c>
      <c r="J69" s="87">
        <f t="shared" si="55"/>
        <v>68.274353876739568</v>
      </c>
      <c r="K69" s="87">
        <f t="shared" si="55"/>
        <v>63.658372562205784</v>
      </c>
      <c r="L69" s="87">
        <f t="shared" si="55"/>
        <v>69.591532498509238</v>
      </c>
      <c r="M69" s="87">
        <f t="shared" si="55"/>
        <v>93.505014326647569</v>
      </c>
      <c r="N69" s="87">
        <f t="shared" si="55"/>
        <v>89.117855038302892</v>
      </c>
      <c r="O69" s="87">
        <f t="shared" si="55"/>
        <v>90.072524407252445</v>
      </c>
      <c r="P69" s="87">
        <f t="shared" si="55"/>
        <v>91.386509108813399</v>
      </c>
      <c r="Q69" s="87">
        <f t="shared" si="55"/>
        <v>97.70420932878271</v>
      </c>
      <c r="R69" s="87">
        <f t="shared" si="55"/>
        <v>108.84254143646409</v>
      </c>
      <c r="S69" s="87">
        <f t="shared" si="55"/>
        <v>112.11544544016868</v>
      </c>
      <c r="T69" s="87">
        <f t="shared" si="55"/>
        <v>111.5755033557047</v>
      </c>
      <c r="U69" s="87">
        <f t="shared" si="55"/>
        <v>102.13658124471979</v>
      </c>
      <c r="V69" s="87">
        <f t="shared" si="55"/>
        <v>69.399480069324085</v>
      </c>
      <c r="W69" s="87">
        <f t="shared" ref="W69" si="56">IF(W37=0,0,W37/W27)</f>
        <v>62.325365205843291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19.66146148453559</v>
      </c>
      <c r="C70" s="15">
        <f t="shared" si="48"/>
        <v>20.414787045723234</v>
      </c>
      <c r="D70" s="15">
        <f t="shared" ref="D70:V70" si="57">IF(D38=0,0,D38/D28)</f>
        <v>20.64928657058045</v>
      </c>
      <c r="E70" s="15">
        <f t="shared" si="57"/>
        <v>20.072859270653165</v>
      </c>
      <c r="F70" s="15">
        <f t="shared" si="57"/>
        <v>20.149491820438463</v>
      </c>
      <c r="G70" s="15">
        <f t="shared" si="57"/>
        <v>19.45086517433506</v>
      </c>
      <c r="H70" s="15">
        <f t="shared" si="57"/>
        <v>17.216832195036769</v>
      </c>
      <c r="I70" s="15">
        <f t="shared" si="57"/>
        <v>16.892963222636524</v>
      </c>
      <c r="J70" s="15">
        <f t="shared" si="57"/>
        <v>17.081970965950472</v>
      </c>
      <c r="K70" s="15">
        <f t="shared" si="57"/>
        <v>17.835539174887693</v>
      </c>
      <c r="L70" s="15">
        <f t="shared" si="57"/>
        <v>16.692249847557395</v>
      </c>
      <c r="M70" s="15">
        <f t="shared" si="57"/>
        <v>17.248626829192371</v>
      </c>
      <c r="N70" s="15">
        <f t="shared" si="57"/>
        <v>19.577570649831042</v>
      </c>
      <c r="O70" s="15">
        <f t="shared" si="57"/>
        <v>20.835878059335876</v>
      </c>
      <c r="P70" s="15">
        <f t="shared" si="57"/>
        <v>21.912053472561777</v>
      </c>
      <c r="Q70" s="15">
        <f t="shared" si="57"/>
        <v>20.258792621077198</v>
      </c>
      <c r="R70" s="15">
        <f t="shared" si="57"/>
        <v>26.135193926015901</v>
      </c>
      <c r="S70" s="15">
        <f t="shared" si="57"/>
        <v>24.353620751262959</v>
      </c>
      <c r="T70" s="15">
        <f t="shared" si="57"/>
        <v>25.074615316423714</v>
      </c>
      <c r="U70" s="15">
        <f t="shared" si="57"/>
        <v>28.555503556784988</v>
      </c>
      <c r="V70" s="15">
        <f t="shared" si="57"/>
        <v>26.496107833123993</v>
      </c>
      <c r="W70" s="15">
        <f t="shared" ref="W70" si="58">IF(W38=0,0,W38/W28)</f>
        <v>26.888286545528466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15.181021974099199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14.420786860573124</v>
      </c>
      <c r="M72" s="41">
        <f t="shared" si="61"/>
        <v>15.48970353721313</v>
      </c>
      <c r="N72" s="41">
        <f t="shared" si="61"/>
        <v>16.461822115902233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48.059427623595738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1649.7452143015794</v>
      </c>
      <c r="C75" s="62">
        <f t="shared" si="65"/>
        <v>1649.8704816073628</v>
      </c>
      <c r="D75" s="62">
        <f t="shared" ref="D75:V75" si="66">IF(D13=0,0,D13*1000000/D23)</f>
        <v>1667.3848564850325</v>
      </c>
      <c r="E75" s="62">
        <f t="shared" si="66"/>
        <v>1673.2061626080306</v>
      </c>
      <c r="F75" s="62">
        <f t="shared" si="66"/>
        <v>1672.4437608477101</v>
      </c>
      <c r="G75" s="62">
        <f t="shared" si="66"/>
        <v>1705.6017256150219</v>
      </c>
      <c r="H75" s="62">
        <f t="shared" si="66"/>
        <v>1683.3412524197026</v>
      </c>
      <c r="I75" s="62">
        <f t="shared" si="66"/>
        <v>1682.8740706926369</v>
      </c>
      <c r="J75" s="62">
        <f t="shared" si="66"/>
        <v>1685.1411650841253</v>
      </c>
      <c r="K75" s="62">
        <f t="shared" si="66"/>
        <v>1659.2691856684592</v>
      </c>
      <c r="L75" s="62">
        <f t="shared" si="66"/>
        <v>1651.620948023628</v>
      </c>
      <c r="M75" s="62">
        <f t="shared" si="66"/>
        <v>1714.1678433350421</v>
      </c>
      <c r="N75" s="62">
        <f t="shared" si="66"/>
        <v>1693.5784635818804</v>
      </c>
      <c r="O75" s="62">
        <f t="shared" si="66"/>
        <v>1704.3087671475473</v>
      </c>
      <c r="P75" s="62">
        <f t="shared" si="66"/>
        <v>1679.4651720560437</v>
      </c>
      <c r="Q75" s="62">
        <f t="shared" si="66"/>
        <v>1664.8261807605884</v>
      </c>
      <c r="R75" s="62">
        <f t="shared" si="66"/>
        <v>1666.8880573948845</v>
      </c>
      <c r="S75" s="62">
        <f t="shared" si="66"/>
        <v>1636.0857289252824</v>
      </c>
      <c r="T75" s="62">
        <f t="shared" si="66"/>
        <v>1637.5317374853435</v>
      </c>
      <c r="U75" s="62">
        <f t="shared" si="66"/>
        <v>1684.8617617287541</v>
      </c>
      <c r="V75" s="62">
        <f t="shared" si="66"/>
        <v>1663.5768681335999</v>
      </c>
      <c r="W75" s="62">
        <f t="shared" ref="W75" si="67">IF(W13=0,0,W13*1000000/W23)</f>
        <v>1608.4171040524056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1657.0308210864898</v>
      </c>
      <c r="C76" s="14">
        <f t="shared" si="65"/>
        <v>1657.0298477634583</v>
      </c>
      <c r="D76" s="14">
        <f t="shared" ref="D76:V76" si="68">IF(D14=0,0,D14*1000000/D24)</f>
        <v>1675.3029444363958</v>
      </c>
      <c r="E76" s="14">
        <f t="shared" si="68"/>
        <v>1685.8792275686062</v>
      </c>
      <c r="F76" s="14">
        <f t="shared" si="68"/>
        <v>1683.0139824158653</v>
      </c>
      <c r="G76" s="14">
        <f t="shared" si="68"/>
        <v>1719.1040514736255</v>
      </c>
      <c r="H76" s="14">
        <f t="shared" si="68"/>
        <v>1697.3628237737116</v>
      </c>
      <c r="I76" s="14">
        <f t="shared" si="68"/>
        <v>1691.8631668268522</v>
      </c>
      <c r="J76" s="14">
        <f t="shared" si="68"/>
        <v>1689.0680274355311</v>
      </c>
      <c r="K76" s="14">
        <f t="shared" si="68"/>
        <v>1657.7549274145927</v>
      </c>
      <c r="L76" s="14">
        <f t="shared" si="68"/>
        <v>1650.4626713509281</v>
      </c>
      <c r="M76" s="14">
        <f t="shared" si="68"/>
        <v>1712.6011597265376</v>
      </c>
      <c r="N76" s="14">
        <f t="shared" si="68"/>
        <v>1689.6890259795312</v>
      </c>
      <c r="O76" s="14">
        <f t="shared" si="68"/>
        <v>1703.0511982467915</v>
      </c>
      <c r="P76" s="14">
        <f t="shared" si="68"/>
        <v>1679.9840238134016</v>
      </c>
      <c r="Q76" s="14">
        <f t="shared" si="68"/>
        <v>1667.2801556939044</v>
      </c>
      <c r="R76" s="14">
        <f t="shared" si="68"/>
        <v>1669.299850851731</v>
      </c>
      <c r="S76" s="14">
        <f t="shared" si="68"/>
        <v>1639.3998686968828</v>
      </c>
      <c r="T76" s="14">
        <f t="shared" si="68"/>
        <v>1641.2609308030635</v>
      </c>
      <c r="U76" s="14">
        <f t="shared" si="68"/>
        <v>1687.4430973728511</v>
      </c>
      <c r="V76" s="14">
        <f t="shared" si="68"/>
        <v>1674.0779108114673</v>
      </c>
      <c r="W76" s="14">
        <f t="shared" ref="W76" si="69">IF(W14=0,0,W14*1000000/W24)</f>
        <v>1618.9520084768208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1793.2663582045093</v>
      </c>
      <c r="C78" s="39">
        <f t="shared" si="65"/>
        <v>1793.2674524026902</v>
      </c>
      <c r="D78" s="39">
        <f t="shared" ref="D78:V78" si="72">IF(D16=0,0,D16*1000000/D26)</f>
        <v>1794.9743141450228</v>
      </c>
      <c r="E78" s="39">
        <f t="shared" si="72"/>
        <v>1796.148720663585</v>
      </c>
      <c r="F78" s="39">
        <f t="shared" si="72"/>
        <v>1785.8084040064584</v>
      </c>
      <c r="G78" s="39">
        <f t="shared" si="72"/>
        <v>1806.7028738768038</v>
      </c>
      <c r="H78" s="39">
        <f t="shared" si="72"/>
        <v>1761.3281251628371</v>
      </c>
      <c r="I78" s="39">
        <f t="shared" si="72"/>
        <v>1749.3646507849157</v>
      </c>
      <c r="J78" s="39">
        <f t="shared" si="72"/>
        <v>1735.8249804325219</v>
      </c>
      <c r="K78" s="39">
        <f t="shared" si="72"/>
        <v>1703.744959511218</v>
      </c>
      <c r="L78" s="39">
        <f t="shared" si="72"/>
        <v>1693.8041327143087</v>
      </c>
      <c r="M78" s="39">
        <f t="shared" si="72"/>
        <v>1724.2112633997028</v>
      </c>
      <c r="N78" s="39">
        <f t="shared" si="72"/>
        <v>1734.4497943477932</v>
      </c>
      <c r="O78" s="39">
        <f t="shared" si="72"/>
        <v>1741.928003741061</v>
      </c>
      <c r="P78" s="39">
        <f t="shared" si="72"/>
        <v>1726.0458158658996</v>
      </c>
      <c r="Q78" s="39">
        <f t="shared" si="72"/>
        <v>1713.5407519613939</v>
      </c>
      <c r="R78" s="39">
        <f t="shared" si="72"/>
        <v>1683.0545667503618</v>
      </c>
      <c r="S78" s="39">
        <f t="shared" si="72"/>
        <v>1668.9576698632015</v>
      </c>
      <c r="T78" s="39">
        <f t="shared" si="72"/>
        <v>1666.0907340161314</v>
      </c>
      <c r="U78" s="39">
        <f t="shared" si="72"/>
        <v>1680.7986070653974</v>
      </c>
      <c r="V78" s="39">
        <f t="shared" si="72"/>
        <v>1644.0582705540673</v>
      </c>
      <c r="W78" s="39">
        <f t="shared" ref="W78" si="73">IF(W16=0,0,W16*1000000/W26)</f>
        <v>1602.4386639751367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1115.2732778134573</v>
      </c>
      <c r="C79" s="39">
        <f t="shared" si="65"/>
        <v>1115.2732778134573</v>
      </c>
      <c r="D79" s="39">
        <f t="shared" ref="D79:V79" si="74">IF(D17=0,0,D17*1000000/D27)</f>
        <v>1115.2732778134573</v>
      </c>
      <c r="E79" s="39">
        <f t="shared" si="74"/>
        <v>1115.2732778134573</v>
      </c>
      <c r="F79" s="39">
        <f t="shared" si="74"/>
        <v>1115.2732778134573</v>
      </c>
      <c r="G79" s="39">
        <f t="shared" si="74"/>
        <v>1118.9193925233644</v>
      </c>
      <c r="H79" s="39">
        <f t="shared" si="74"/>
        <v>1231.5873192923314</v>
      </c>
      <c r="I79" s="39">
        <f t="shared" si="74"/>
        <v>1233.059468167374</v>
      </c>
      <c r="J79" s="39">
        <f t="shared" si="74"/>
        <v>1316.8715268392077</v>
      </c>
      <c r="K79" s="39">
        <f t="shared" si="74"/>
        <v>1297.2574061514692</v>
      </c>
      <c r="L79" s="39">
        <f t="shared" si="74"/>
        <v>1319.9355697550582</v>
      </c>
      <c r="M79" s="39">
        <f t="shared" si="74"/>
        <v>1607.7276587819674</v>
      </c>
      <c r="N79" s="39">
        <f t="shared" si="74"/>
        <v>1362.5424083769635</v>
      </c>
      <c r="O79" s="39">
        <f t="shared" si="74"/>
        <v>1464.0971092464476</v>
      </c>
      <c r="P79" s="39">
        <f t="shared" si="74"/>
        <v>1361.0667811535166</v>
      </c>
      <c r="Q79" s="39">
        <f t="shared" si="74"/>
        <v>1265.3287290807621</v>
      </c>
      <c r="R79" s="39">
        <f t="shared" si="74"/>
        <v>1547.1716523948799</v>
      </c>
      <c r="S79" s="39">
        <f t="shared" si="74"/>
        <v>1347.9041680013154</v>
      </c>
      <c r="T79" s="39">
        <f t="shared" si="74"/>
        <v>1420.698538754765</v>
      </c>
      <c r="U79" s="39">
        <f t="shared" si="74"/>
        <v>1729.2017823042645</v>
      </c>
      <c r="V79" s="39">
        <f t="shared" si="74"/>
        <v>1890.2245233753645</v>
      </c>
      <c r="W79" s="39">
        <f t="shared" ref="W79" si="75">IF(W17=0,0,W17*1000000/W27)</f>
        <v>1743.7779804603315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1358.3813208619499</v>
      </c>
      <c r="C80" s="15">
        <f t="shared" si="65"/>
        <v>1350.5869474636356</v>
      </c>
      <c r="D80" s="15">
        <f t="shared" ref="D80:V80" si="76">IF(D18=0,0,D18*1000000/D28)</f>
        <v>1346.3585832414922</v>
      </c>
      <c r="E80" s="15">
        <f t="shared" si="76"/>
        <v>1326.8542823257449</v>
      </c>
      <c r="F80" s="15">
        <f t="shared" si="76"/>
        <v>1338.7377610006458</v>
      </c>
      <c r="G80" s="15">
        <f t="shared" si="76"/>
        <v>1309.8491656643187</v>
      </c>
      <c r="H80" s="15">
        <f t="shared" si="76"/>
        <v>1351.021937488224</v>
      </c>
      <c r="I80" s="15">
        <f t="shared" si="76"/>
        <v>1455.6543116623307</v>
      </c>
      <c r="J80" s="15">
        <f t="shared" si="76"/>
        <v>1581.2368483456601</v>
      </c>
      <c r="K80" s="15">
        <f t="shared" si="76"/>
        <v>1701.2563085177592</v>
      </c>
      <c r="L80" s="15">
        <f t="shared" si="76"/>
        <v>1688.6090944856073</v>
      </c>
      <c r="M80" s="15">
        <f t="shared" si="76"/>
        <v>1768.3480177071863</v>
      </c>
      <c r="N80" s="15">
        <f t="shared" si="76"/>
        <v>1837.897069353274</v>
      </c>
      <c r="O80" s="15">
        <f t="shared" si="76"/>
        <v>1764.9086077194088</v>
      </c>
      <c r="P80" s="15">
        <f t="shared" si="76"/>
        <v>1648.6538018303515</v>
      </c>
      <c r="Q80" s="15">
        <f t="shared" si="76"/>
        <v>1534.6126136603848</v>
      </c>
      <c r="R80" s="15">
        <f t="shared" si="76"/>
        <v>1449.0836190016016</v>
      </c>
      <c r="S80" s="15">
        <f t="shared" si="76"/>
        <v>1319.9382752501306</v>
      </c>
      <c r="T80" s="15">
        <f t="shared" si="76"/>
        <v>1258.8096523180716</v>
      </c>
      <c r="U80" s="15">
        <f t="shared" si="76"/>
        <v>1264.8995576941772</v>
      </c>
      <c r="V80" s="15">
        <f t="shared" si="76"/>
        <v>1201.3844641305279</v>
      </c>
      <c r="W80" s="15">
        <f t="shared" ref="W80" si="77">IF(W18=0,0,W18*1000000/W28)</f>
        <v>1040.2375307021605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1420.1880315385965</v>
      </c>
      <c r="C82" s="41">
        <f t="shared" si="65"/>
        <v>1419.335702613281</v>
      </c>
      <c r="D82" s="41">
        <f t="shared" ref="D82:V82" si="80">IF(D20=0,0,D20*1000000/D30)</f>
        <v>1420.3142054709392</v>
      </c>
      <c r="E82" s="41">
        <f t="shared" si="80"/>
        <v>1380.4183949181968</v>
      </c>
      <c r="F82" s="41">
        <f t="shared" si="80"/>
        <v>1418.4666711566142</v>
      </c>
      <c r="G82" s="41">
        <f t="shared" si="80"/>
        <v>1397.3518953765572</v>
      </c>
      <c r="H82" s="41">
        <f t="shared" si="80"/>
        <v>1344.263332119792</v>
      </c>
      <c r="I82" s="41">
        <f t="shared" si="80"/>
        <v>1405.7836713608808</v>
      </c>
      <c r="J82" s="41">
        <f t="shared" si="80"/>
        <v>1470.164982134645</v>
      </c>
      <c r="K82" s="41">
        <f t="shared" si="80"/>
        <v>1536.2175289245824</v>
      </c>
      <c r="L82" s="41">
        <f t="shared" si="80"/>
        <v>1575.3427694882166</v>
      </c>
      <c r="M82" s="41">
        <f t="shared" si="80"/>
        <v>1690.392449983334</v>
      </c>
      <c r="N82" s="41">
        <f t="shared" si="80"/>
        <v>1754.9939185432306</v>
      </c>
      <c r="O82" s="41">
        <f t="shared" si="80"/>
        <v>1672.8900438343783</v>
      </c>
      <c r="P82" s="41">
        <f t="shared" si="80"/>
        <v>1611.1013274673949</v>
      </c>
      <c r="Q82" s="41">
        <f t="shared" si="80"/>
        <v>1531.242868570092</v>
      </c>
      <c r="R82" s="41">
        <f t="shared" si="80"/>
        <v>1443.1747994716009</v>
      </c>
      <c r="S82" s="41">
        <f t="shared" si="80"/>
        <v>1364.2840225905127</v>
      </c>
      <c r="T82" s="41">
        <f t="shared" si="80"/>
        <v>1343.2871424164691</v>
      </c>
      <c r="U82" s="41">
        <f t="shared" si="80"/>
        <v>1405.0145502645503</v>
      </c>
      <c r="V82" s="41">
        <f t="shared" si="80"/>
        <v>1387.5386328608074</v>
      </c>
      <c r="W82" s="41">
        <f t="shared" ref="W82" si="81">IF(W20=0,0,W20*1000000/W30)</f>
        <v>1207.4987670769076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798.68721862342636</v>
      </c>
      <c r="C83" s="40">
        <f t="shared" si="65"/>
        <v>798.68721862342636</v>
      </c>
      <c r="D83" s="40">
        <f t="shared" ref="D83:V83" si="82">IF(D21=0,0,D21*1000000/D31)</f>
        <v>798.68721862342636</v>
      </c>
      <c r="E83" s="40">
        <f t="shared" si="82"/>
        <v>798.68721862342636</v>
      </c>
      <c r="F83" s="40">
        <f t="shared" si="82"/>
        <v>798.68721862342636</v>
      </c>
      <c r="G83" s="40">
        <f t="shared" si="82"/>
        <v>802.33333333333337</v>
      </c>
      <c r="H83" s="40">
        <f t="shared" si="82"/>
        <v>1409.4713579892948</v>
      </c>
      <c r="I83" s="40">
        <f t="shared" si="82"/>
        <v>1905.4136047513325</v>
      </c>
      <c r="J83" s="40">
        <f t="shared" si="82"/>
        <v>2483.6957613101599</v>
      </c>
      <c r="K83" s="40">
        <f t="shared" si="82"/>
        <v>2958.5517385094158</v>
      </c>
      <c r="L83" s="40">
        <f t="shared" si="82"/>
        <v>3475.7000000000003</v>
      </c>
      <c r="M83" s="40">
        <f t="shared" si="82"/>
        <v>3444.3927237700109</v>
      </c>
      <c r="N83" s="40">
        <f t="shared" si="82"/>
        <v>2880.1081081081079</v>
      </c>
      <c r="O83" s="40">
        <f t="shared" si="82"/>
        <v>2590.200102563274</v>
      </c>
      <c r="P83" s="40">
        <f t="shared" si="82"/>
        <v>2095.707068056025</v>
      </c>
      <c r="Q83" s="40">
        <f t="shared" si="82"/>
        <v>1608.5063095689522</v>
      </c>
      <c r="R83" s="40">
        <f t="shared" si="82"/>
        <v>1498.8865264687515</v>
      </c>
      <c r="S83" s="40">
        <f t="shared" si="82"/>
        <v>908.15633566086854</v>
      </c>
      <c r="T83" s="40">
        <f t="shared" si="82"/>
        <v>589.48799999999994</v>
      </c>
      <c r="U83" s="40">
        <f t="shared" si="82"/>
        <v>548.15748031496059</v>
      </c>
      <c r="V83" s="40">
        <f t="shared" si="82"/>
        <v>709.18022138606023</v>
      </c>
      <c r="W83" s="40">
        <f t="shared" ref="W83" si="83">IF(W21=0,0,W21*1000000/W31)</f>
        <v>562.73367847102736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202044.56431724556</v>
      </c>
      <c r="C86" s="11">
        <f t="shared" si="84"/>
        <v>200705.27743774105</v>
      </c>
      <c r="D86" s="11">
        <f t="shared" ref="D86:V86" si="85">IF(D4=0,0,D4*1000000/D24)</f>
        <v>195671.72546383433</v>
      </c>
      <c r="E86" s="11">
        <f t="shared" si="85"/>
        <v>189827.53583069568</v>
      </c>
      <c r="F86" s="11">
        <f t="shared" si="85"/>
        <v>192722.15441999404</v>
      </c>
      <c r="G86" s="11">
        <f t="shared" si="85"/>
        <v>194677.5466364001</v>
      </c>
      <c r="H86" s="11">
        <f t="shared" si="85"/>
        <v>193707.63534726092</v>
      </c>
      <c r="I86" s="11">
        <f t="shared" si="85"/>
        <v>188293.47639006833</v>
      </c>
      <c r="J86" s="11">
        <f t="shared" si="85"/>
        <v>197127.24297645758</v>
      </c>
      <c r="K86" s="11">
        <f t="shared" si="85"/>
        <v>187302.52517835109</v>
      </c>
      <c r="L86" s="11">
        <f t="shared" si="85"/>
        <v>190097.56545732409</v>
      </c>
      <c r="M86" s="11">
        <f t="shared" si="85"/>
        <v>217662.94597558872</v>
      </c>
      <c r="N86" s="11">
        <f t="shared" si="85"/>
        <v>221242.43206437997</v>
      </c>
      <c r="O86" s="11">
        <f t="shared" si="85"/>
        <v>223827.79844032804</v>
      </c>
      <c r="P86" s="11">
        <f t="shared" si="85"/>
        <v>221371.5843913393</v>
      </c>
      <c r="Q86" s="11">
        <f t="shared" si="85"/>
        <v>220558.14018745415</v>
      </c>
      <c r="R86" s="11">
        <f t="shared" si="85"/>
        <v>238121.32867303889</v>
      </c>
      <c r="S86" s="11">
        <f t="shared" si="85"/>
        <v>236492.16251499247</v>
      </c>
      <c r="T86" s="11">
        <f t="shared" si="85"/>
        <v>235340.54078056113</v>
      </c>
      <c r="U86" s="11">
        <f t="shared" si="85"/>
        <v>234495.5663129357</v>
      </c>
      <c r="V86" s="11">
        <f t="shared" si="85"/>
        <v>162960.04136520938</v>
      </c>
      <c r="W86" s="11">
        <f t="shared" ref="W86" si="86">IF(W4=0,0,W4*1000000/W24)</f>
        <v>161443.43575587298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232792.25383342072</v>
      </c>
      <c r="C88" s="36">
        <f t="shared" si="84"/>
        <v>231087.84631968476</v>
      </c>
      <c r="D88" s="36">
        <f t="shared" ref="D88:V88" si="89">IF(D6=0,0,D6*1000000/D26)</f>
        <v>222025.6977254418</v>
      </c>
      <c r="E88" s="36">
        <f t="shared" si="89"/>
        <v>211585.20029989307</v>
      </c>
      <c r="F88" s="36">
        <f t="shared" si="89"/>
        <v>213394.50945034571</v>
      </c>
      <c r="G88" s="36">
        <f t="shared" si="89"/>
        <v>209614.32157501779</v>
      </c>
      <c r="H88" s="36">
        <f t="shared" si="89"/>
        <v>207242.63724786669</v>
      </c>
      <c r="I88" s="36">
        <f t="shared" si="89"/>
        <v>201015.71623247646</v>
      </c>
      <c r="J88" s="36">
        <f t="shared" si="89"/>
        <v>209927.16886376767</v>
      </c>
      <c r="K88" s="36">
        <f t="shared" si="89"/>
        <v>200037.86327129949</v>
      </c>
      <c r="L88" s="36">
        <f t="shared" si="89"/>
        <v>202265.95411342065</v>
      </c>
      <c r="M88" s="36">
        <f t="shared" si="89"/>
        <v>224268.74997053453</v>
      </c>
      <c r="N88" s="36">
        <f t="shared" si="89"/>
        <v>234402.98216881891</v>
      </c>
      <c r="O88" s="36">
        <f t="shared" si="89"/>
        <v>238294.68081307958</v>
      </c>
      <c r="P88" s="36">
        <f t="shared" si="89"/>
        <v>236065.82810029687</v>
      </c>
      <c r="Q88" s="36">
        <f t="shared" si="89"/>
        <v>231157.13506985875</v>
      </c>
      <c r="R88" s="36">
        <f t="shared" si="89"/>
        <v>240816.32271319788</v>
      </c>
      <c r="S88" s="36">
        <f t="shared" si="89"/>
        <v>243736.64497481147</v>
      </c>
      <c r="T88" s="36">
        <f t="shared" si="89"/>
        <v>243521.56266932431</v>
      </c>
      <c r="U88" s="36">
        <f t="shared" si="89"/>
        <v>244494.06969995188</v>
      </c>
      <c r="V88" s="36">
        <f t="shared" si="89"/>
        <v>166400.16515026058</v>
      </c>
      <c r="W88" s="36">
        <f t="shared" ref="W88" si="90">IF(W6=0,0,W6*1000000/W26)</f>
        <v>166116.18531201122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79772.555955913835</v>
      </c>
      <c r="C89" s="36">
        <f t="shared" si="84"/>
        <v>79887.267261044777</v>
      </c>
      <c r="D89" s="36">
        <f t="shared" ref="D89:V89" si="91">IF(D7=0,0,D7*1000000/D27)</f>
        <v>72342.257974717184</v>
      </c>
      <c r="E89" s="36">
        <f t="shared" si="91"/>
        <v>77239.253700780348</v>
      </c>
      <c r="F89" s="36">
        <f t="shared" si="91"/>
        <v>78547.306902811222</v>
      </c>
      <c r="G89" s="36">
        <f t="shared" si="91"/>
        <v>92338.00682968933</v>
      </c>
      <c r="H89" s="36">
        <f t="shared" si="91"/>
        <v>95149.945451300475</v>
      </c>
      <c r="I89" s="36">
        <f t="shared" si="91"/>
        <v>86782.866695423581</v>
      </c>
      <c r="J89" s="36">
        <f t="shared" si="91"/>
        <v>95236.77925321793</v>
      </c>
      <c r="K89" s="36">
        <f t="shared" si="91"/>
        <v>87475.288586954499</v>
      </c>
      <c r="L89" s="36">
        <f t="shared" si="91"/>
        <v>97299.99686888115</v>
      </c>
      <c r="M89" s="36">
        <f t="shared" si="91"/>
        <v>157993.04026193064</v>
      </c>
      <c r="N89" s="36">
        <f t="shared" si="91"/>
        <v>125054.86403529569</v>
      </c>
      <c r="O89" s="36">
        <f t="shared" si="91"/>
        <v>134907.92310320676</v>
      </c>
      <c r="P89" s="36">
        <f t="shared" si="91"/>
        <v>119633.30027742429</v>
      </c>
      <c r="Q89" s="36">
        <f t="shared" si="91"/>
        <v>128465.05325416038</v>
      </c>
      <c r="R89" s="36">
        <f t="shared" si="91"/>
        <v>214192.46170099717</v>
      </c>
      <c r="S89" s="36">
        <f t="shared" si="91"/>
        <v>165047.89374414683</v>
      </c>
      <c r="T89" s="36">
        <f t="shared" si="91"/>
        <v>162668.77042051978</v>
      </c>
      <c r="U89" s="36">
        <f t="shared" si="91"/>
        <v>171657.88676124875</v>
      </c>
      <c r="V89" s="36">
        <f t="shared" si="91"/>
        <v>138190.55390421246</v>
      </c>
      <c r="W89" s="36">
        <f t="shared" ref="W89" si="92">IF(W7=0,0,W7*1000000/W27)</f>
        <v>126121.66885874304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30408.011758238525</v>
      </c>
      <c r="C90" s="13">
        <f t="shared" si="84"/>
        <v>33222.511848659036</v>
      </c>
      <c r="D90" s="13">
        <f t="shared" ref="D90:V90" si="93">IF(D8=0,0,D8*1000000/D28)</f>
        <v>31591.229216589178</v>
      </c>
      <c r="E90" s="13">
        <f t="shared" si="93"/>
        <v>30148.848743859209</v>
      </c>
      <c r="F90" s="13">
        <f t="shared" si="93"/>
        <v>28617.555191160325</v>
      </c>
      <c r="G90" s="13">
        <f t="shared" si="93"/>
        <v>27852.102101878245</v>
      </c>
      <c r="H90" s="13">
        <f t="shared" si="93"/>
        <v>27539.699185490819</v>
      </c>
      <c r="I90" s="13">
        <f t="shared" si="93"/>
        <v>30682.159055382592</v>
      </c>
      <c r="J90" s="13">
        <f t="shared" si="93"/>
        <v>35186.888340892554</v>
      </c>
      <c r="K90" s="13">
        <f t="shared" si="93"/>
        <v>42425.525175291834</v>
      </c>
      <c r="L90" s="13">
        <f t="shared" si="93"/>
        <v>37505.396889681506</v>
      </c>
      <c r="M90" s="13">
        <f t="shared" si="93"/>
        <v>38440.445840660002</v>
      </c>
      <c r="N90" s="13">
        <f t="shared" si="93"/>
        <v>46053.135383858025</v>
      </c>
      <c r="O90" s="13">
        <f t="shared" si="93"/>
        <v>46745.341003292182</v>
      </c>
      <c r="P90" s="13">
        <f t="shared" si="93"/>
        <v>44901.083240080938</v>
      </c>
      <c r="Q90" s="13">
        <f t="shared" si="93"/>
        <v>38017.472967625312</v>
      </c>
      <c r="R90" s="13">
        <f t="shared" si="93"/>
        <v>48136.729603712105</v>
      </c>
      <c r="S90" s="13">
        <f t="shared" si="93"/>
        <v>35723.245370141798</v>
      </c>
      <c r="T90" s="13">
        <f t="shared" si="93"/>
        <v>32755.907720557614</v>
      </c>
      <c r="U90" s="13">
        <f t="shared" si="93"/>
        <v>34987.391074897161</v>
      </c>
      <c r="V90" s="13">
        <f t="shared" si="93"/>
        <v>31593.345138219956</v>
      </c>
      <c r="W90" s="13">
        <f t="shared" ref="W90" si="94">IF(W8=0,0,W8*1000000/W28)</f>
        <v>26404.822734333549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27685.258866705452</v>
      </c>
      <c r="C92" s="34">
        <f t="shared" si="84"/>
        <v>30175.482788500922</v>
      </c>
      <c r="D92" s="34">
        <f t="shared" ref="D92:V92" si="97">IF(D10=0,0,D10*1000000/D30)</f>
        <v>28500.754159489406</v>
      </c>
      <c r="E92" s="34">
        <f t="shared" si="97"/>
        <v>28185.571743352157</v>
      </c>
      <c r="F92" s="34">
        <f t="shared" si="97"/>
        <v>25747.788320359403</v>
      </c>
      <c r="G92" s="34">
        <f t="shared" si="97"/>
        <v>24826.536102885362</v>
      </c>
      <c r="H92" s="34">
        <f t="shared" si="97"/>
        <v>21809.113551470415</v>
      </c>
      <c r="I92" s="34">
        <f t="shared" si="97"/>
        <v>22719.797762655293</v>
      </c>
      <c r="J92" s="34">
        <f t="shared" si="97"/>
        <v>23406.685682315667</v>
      </c>
      <c r="K92" s="34">
        <f t="shared" si="97"/>
        <v>24911.420099912259</v>
      </c>
      <c r="L92" s="34">
        <f t="shared" si="97"/>
        <v>26570.735738941421</v>
      </c>
      <c r="M92" s="34">
        <f t="shared" si="97"/>
        <v>30212.70999394307</v>
      </c>
      <c r="N92" s="34">
        <f t="shared" si="97"/>
        <v>34499.149352778826</v>
      </c>
      <c r="O92" s="34">
        <f t="shared" si="97"/>
        <v>32762.033377203337</v>
      </c>
      <c r="P92" s="34">
        <f t="shared" si="97"/>
        <v>36005.051748718295</v>
      </c>
      <c r="Q92" s="34">
        <f t="shared" si="97"/>
        <v>34059.683713805549</v>
      </c>
      <c r="R92" s="34">
        <f t="shared" si="97"/>
        <v>35481.65135935002</v>
      </c>
      <c r="S92" s="34">
        <f t="shared" si="97"/>
        <v>30944.485505884539</v>
      </c>
      <c r="T92" s="34">
        <f t="shared" si="97"/>
        <v>30614.890332147294</v>
      </c>
      <c r="U92" s="34">
        <f t="shared" si="97"/>
        <v>32900.363183286288</v>
      </c>
      <c r="V92" s="34">
        <f t="shared" si="97"/>
        <v>27930.129231714363</v>
      </c>
      <c r="W92" s="34">
        <f t="shared" ref="W92" si="98">IF(W10=0,0,W10*1000000/W30)</f>
        <v>22958.958989682669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55064.051831565812</v>
      </c>
      <c r="C93" s="35">
        <f t="shared" si="84"/>
        <v>57683.384026039566</v>
      </c>
      <c r="D93" s="35">
        <f t="shared" ref="D93:V93" si="99">IF(D11=0,0,D11*1000000/D31)</f>
        <v>54477.449909706411</v>
      </c>
      <c r="E93" s="35">
        <f t="shared" si="99"/>
        <v>49507.673120951942</v>
      </c>
      <c r="F93" s="35">
        <f t="shared" si="99"/>
        <v>48056.164749981617</v>
      </c>
      <c r="G93" s="35">
        <f t="shared" si="99"/>
        <v>45400.384896036958</v>
      </c>
      <c r="H93" s="35">
        <f t="shared" si="99"/>
        <v>77098.652724148778</v>
      </c>
      <c r="I93" s="35">
        <f t="shared" si="99"/>
        <v>102490.8618249788</v>
      </c>
      <c r="J93" s="35">
        <f t="shared" si="99"/>
        <v>130901.03494182976</v>
      </c>
      <c r="K93" s="35">
        <f t="shared" si="99"/>
        <v>175851.16202227439</v>
      </c>
      <c r="L93" s="35">
        <f t="shared" si="99"/>
        <v>210030.05060135841</v>
      </c>
      <c r="M93" s="35">
        <f t="shared" si="99"/>
        <v>215336.76654507394</v>
      </c>
      <c r="N93" s="35">
        <f t="shared" si="99"/>
        <v>191303.2454888536</v>
      </c>
      <c r="O93" s="35">
        <f t="shared" si="99"/>
        <v>172158.13127477648</v>
      </c>
      <c r="P93" s="35">
        <f t="shared" si="99"/>
        <v>150806.22004201723</v>
      </c>
      <c r="Q93" s="35">
        <f t="shared" si="99"/>
        <v>124806.13731924444</v>
      </c>
      <c r="R93" s="35">
        <f t="shared" si="99"/>
        <v>154800.9605204782</v>
      </c>
      <c r="S93" s="35">
        <f t="shared" si="99"/>
        <v>80097.44410967351</v>
      </c>
      <c r="T93" s="35">
        <f t="shared" si="99"/>
        <v>49719.35318257787</v>
      </c>
      <c r="U93" s="35">
        <f t="shared" si="99"/>
        <v>45663.341443522004</v>
      </c>
      <c r="V93" s="35">
        <f t="shared" si="99"/>
        <v>41279.136348641507</v>
      </c>
      <c r="W93" s="35">
        <f t="shared" ref="W93" si="100">IF(W11=0,0,W11*1000000/W31)</f>
        <v>36242.207940836859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1040.493350188837</v>
      </c>
      <c r="C95" s="62">
        <f t="shared" si="101"/>
        <v>1040.2823961190911</v>
      </c>
      <c r="D95" s="62">
        <f t="shared" ref="D95:V95" si="102">IF(D23=0,0,D23/D43)</f>
        <v>1020.7783742539769</v>
      </c>
      <c r="E95" s="62">
        <f t="shared" si="102"/>
        <v>1032.1629041747324</v>
      </c>
      <c r="F95" s="62">
        <f t="shared" si="102"/>
        <v>1039.0470993703275</v>
      </c>
      <c r="G95" s="62">
        <f t="shared" si="102"/>
        <v>1030.8897002126444</v>
      </c>
      <c r="H95" s="62">
        <f t="shared" si="102"/>
        <v>1038.6261467860913</v>
      </c>
      <c r="I95" s="62">
        <f t="shared" si="102"/>
        <v>1040.6511391684653</v>
      </c>
      <c r="J95" s="62">
        <f t="shared" si="102"/>
        <v>1038.7805619739665</v>
      </c>
      <c r="K95" s="62">
        <f t="shared" si="102"/>
        <v>1037.3307050611386</v>
      </c>
      <c r="L95" s="62">
        <f t="shared" si="102"/>
        <v>1045.0708376832195</v>
      </c>
      <c r="M95" s="62">
        <f t="shared" si="102"/>
        <v>1025.4406743338666</v>
      </c>
      <c r="N95" s="62">
        <f t="shared" si="102"/>
        <v>1032.691157116911</v>
      </c>
      <c r="O95" s="62">
        <f t="shared" si="102"/>
        <v>1020.6651282658052</v>
      </c>
      <c r="P95" s="62">
        <f t="shared" si="102"/>
        <v>1031.4796695433668</v>
      </c>
      <c r="Q95" s="62">
        <f t="shared" si="102"/>
        <v>1040.3836024994769</v>
      </c>
      <c r="R95" s="62">
        <f t="shared" si="102"/>
        <v>1036.7435399368887</v>
      </c>
      <c r="S95" s="62">
        <f t="shared" si="102"/>
        <v>1058.8229311215823</v>
      </c>
      <c r="T95" s="62">
        <f t="shared" si="102"/>
        <v>1057.7231759842964</v>
      </c>
      <c r="U95" s="62">
        <f t="shared" si="102"/>
        <v>1026.4682710198231</v>
      </c>
      <c r="V95" s="62">
        <f t="shared" si="102"/>
        <v>396.29683107505355</v>
      </c>
      <c r="W95" s="62">
        <f t="shared" ref="W95" si="103">IF(W23=0,0,W23/W43)</f>
        <v>559.38730695888978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1043.5152889146141</v>
      </c>
      <c r="C96" s="11">
        <f t="shared" si="104"/>
        <v>1043.5150209026101</v>
      </c>
      <c r="D96" s="11">
        <f t="shared" ref="D96:V96" si="105">IF(D24=0,0,D24/D44)</f>
        <v>1023.1106542753348</v>
      </c>
      <c r="E96" s="11">
        <f t="shared" si="105"/>
        <v>1035.748385145781</v>
      </c>
      <c r="F96" s="11">
        <f t="shared" si="105"/>
        <v>1045.1852300713697</v>
      </c>
      <c r="G96" s="11">
        <f t="shared" si="105"/>
        <v>1034.1855353529149</v>
      </c>
      <c r="H96" s="11">
        <f t="shared" si="105"/>
        <v>1043.824800289249</v>
      </c>
      <c r="I96" s="11">
        <f t="shared" si="105"/>
        <v>1047.3791640359782</v>
      </c>
      <c r="J96" s="11">
        <f t="shared" si="105"/>
        <v>1048.3134301207203</v>
      </c>
      <c r="K96" s="11">
        <f t="shared" si="105"/>
        <v>1047.9421167397163</v>
      </c>
      <c r="L96" s="11">
        <f t="shared" si="105"/>
        <v>1058.2110837220398</v>
      </c>
      <c r="M96" s="11">
        <f t="shared" si="105"/>
        <v>1038.4858233045441</v>
      </c>
      <c r="N96" s="11">
        <f t="shared" si="105"/>
        <v>1045.4403575669255</v>
      </c>
      <c r="O96" s="11">
        <f t="shared" si="105"/>
        <v>1033.2275893281885</v>
      </c>
      <c r="P96" s="11">
        <f t="shared" si="105"/>
        <v>1044.4742789617974</v>
      </c>
      <c r="Q96" s="11">
        <f t="shared" si="105"/>
        <v>1048.3305988343009</v>
      </c>
      <c r="R96" s="11">
        <f t="shared" si="105"/>
        <v>1049.0818230020789</v>
      </c>
      <c r="S96" s="11">
        <f t="shared" si="105"/>
        <v>1067.6926819491875</v>
      </c>
      <c r="T96" s="11">
        <f t="shared" si="105"/>
        <v>1064.3028994956135</v>
      </c>
      <c r="U96" s="11">
        <f t="shared" si="105"/>
        <v>1033.586691863879</v>
      </c>
      <c r="V96" s="11">
        <f t="shared" si="105"/>
        <v>392.6144602332335</v>
      </c>
      <c r="W96" s="11">
        <f t="shared" ref="W96" si="106">IF(W24=0,0,W24/W44)</f>
        <v>556.13948103985774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1041.4031346194624</v>
      </c>
      <c r="C98" s="36">
        <f t="shared" si="104"/>
        <v>1041.4027647894879</v>
      </c>
      <c r="D98" s="36">
        <f t="shared" ref="D98:V98" si="109">IF(D26=0,0,D26/D46)</f>
        <v>1038.313974343785</v>
      </c>
      <c r="E98" s="36">
        <f t="shared" si="109"/>
        <v>1040.4187872718071</v>
      </c>
      <c r="F98" s="36">
        <f t="shared" si="109"/>
        <v>1043.9607854192936</v>
      </c>
      <c r="G98" s="36">
        <f t="shared" si="109"/>
        <v>1036.4096100451811</v>
      </c>
      <c r="H98" s="36">
        <f t="shared" si="109"/>
        <v>1050.7536724553299</v>
      </c>
      <c r="I98" s="36">
        <f t="shared" si="109"/>
        <v>1054.3352727481445</v>
      </c>
      <c r="J98" s="36">
        <f t="shared" si="109"/>
        <v>1060.8773723476975</v>
      </c>
      <c r="K98" s="36">
        <f t="shared" si="109"/>
        <v>1059.2533342283189</v>
      </c>
      <c r="L98" s="36">
        <f t="shared" si="109"/>
        <v>1073.0926913467351</v>
      </c>
      <c r="M98" s="36">
        <f t="shared" si="109"/>
        <v>1064.7948826010866</v>
      </c>
      <c r="N98" s="36">
        <f t="shared" si="109"/>
        <v>1061.9099757818497</v>
      </c>
      <c r="O98" s="36">
        <f t="shared" si="109"/>
        <v>1058.9513349409235</v>
      </c>
      <c r="P98" s="36">
        <f t="shared" si="109"/>
        <v>1061.5143032358317</v>
      </c>
      <c r="Q98" s="36">
        <f t="shared" si="109"/>
        <v>1063.4505971789306</v>
      </c>
      <c r="R98" s="36">
        <f t="shared" si="109"/>
        <v>1074.1516522875002</v>
      </c>
      <c r="S98" s="36">
        <f t="shared" si="109"/>
        <v>1081.9365723165454</v>
      </c>
      <c r="T98" s="36">
        <f t="shared" si="109"/>
        <v>1084.0612091401792</v>
      </c>
      <c r="U98" s="36">
        <f t="shared" si="109"/>
        <v>1081.0687006458495</v>
      </c>
      <c r="V98" s="36">
        <f t="shared" si="109"/>
        <v>417.47638744109065</v>
      </c>
      <c r="W98" s="36">
        <f t="shared" ref="W98" si="110">IF(W26=0,0,W26/W46)</f>
        <v>594.08060958098508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1052</v>
      </c>
      <c r="C99" s="36">
        <f t="shared" si="104"/>
        <v>1052</v>
      </c>
      <c r="D99" s="36">
        <f t="shared" ref="D99:V99" si="111">IF(D27=0,0,D27/D47)</f>
        <v>957.50071747775814</v>
      </c>
      <c r="E99" s="36">
        <f t="shared" si="111"/>
        <v>1012.2353598361419</v>
      </c>
      <c r="F99" s="36">
        <f t="shared" si="111"/>
        <v>1052</v>
      </c>
      <c r="G99" s="36">
        <f t="shared" si="111"/>
        <v>1019.2002818389994</v>
      </c>
      <c r="H99" s="36">
        <f t="shared" si="111"/>
        <v>996</v>
      </c>
      <c r="I99" s="36">
        <f t="shared" si="111"/>
        <v>995</v>
      </c>
      <c r="J99" s="36">
        <f t="shared" si="111"/>
        <v>958</v>
      </c>
      <c r="K99" s="36">
        <f t="shared" si="111"/>
        <v>967</v>
      </c>
      <c r="L99" s="36">
        <f t="shared" si="111"/>
        <v>957</v>
      </c>
      <c r="M99" s="36">
        <f t="shared" si="111"/>
        <v>849</v>
      </c>
      <c r="N99" s="36">
        <f t="shared" si="111"/>
        <v>939</v>
      </c>
      <c r="O99" s="36">
        <f t="shared" si="111"/>
        <v>899.00000000000011</v>
      </c>
      <c r="P99" s="36">
        <f t="shared" si="111"/>
        <v>939.99999999999989</v>
      </c>
      <c r="Q99" s="36">
        <f t="shared" si="111"/>
        <v>933.06288328576193</v>
      </c>
      <c r="R99" s="36">
        <f t="shared" si="111"/>
        <v>869</v>
      </c>
      <c r="S99" s="36">
        <f t="shared" si="111"/>
        <v>944.99999999999989</v>
      </c>
      <c r="T99" s="36">
        <f t="shared" si="111"/>
        <v>916</v>
      </c>
      <c r="U99" s="36">
        <f t="shared" si="111"/>
        <v>810</v>
      </c>
      <c r="V99" s="36">
        <f t="shared" si="111"/>
        <v>274.787856364812</v>
      </c>
      <c r="W99" s="36">
        <f t="shared" ref="W99" si="112">IF(W27=0,0,W27/W47)</f>
        <v>375.0694787051217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932.49806830248576</v>
      </c>
      <c r="C100" s="13">
        <f t="shared" si="104"/>
        <v>921.01261523257585</v>
      </c>
      <c r="D100" s="13">
        <f t="shared" ref="D100:V100" si="113">IF(D28=0,0,D28/D48)</f>
        <v>934.41708610729575</v>
      </c>
      <c r="E100" s="13">
        <f t="shared" si="113"/>
        <v>942.95187038695315</v>
      </c>
      <c r="F100" s="13">
        <f t="shared" si="113"/>
        <v>876.53299436238024</v>
      </c>
      <c r="G100" s="13">
        <f t="shared" si="113"/>
        <v>942.82288628155277</v>
      </c>
      <c r="H100" s="13">
        <f t="shared" si="113"/>
        <v>928.97206261564384</v>
      </c>
      <c r="I100" s="13">
        <f t="shared" si="113"/>
        <v>895.28160776620075</v>
      </c>
      <c r="J100" s="13">
        <f t="shared" si="113"/>
        <v>837.3118586727926</v>
      </c>
      <c r="K100" s="13">
        <f t="shared" si="113"/>
        <v>809.92684644411031</v>
      </c>
      <c r="L100" s="13">
        <f t="shared" si="113"/>
        <v>748.33132709157042</v>
      </c>
      <c r="M100" s="13">
        <f t="shared" si="113"/>
        <v>714.88286371951347</v>
      </c>
      <c r="N100" s="13">
        <f t="shared" si="113"/>
        <v>710.97466259638509</v>
      </c>
      <c r="O100" s="13">
        <f t="shared" si="113"/>
        <v>643.5900946021917</v>
      </c>
      <c r="P100" s="13">
        <f t="shared" si="113"/>
        <v>593.20985586696986</v>
      </c>
      <c r="Q100" s="13">
        <f t="shared" si="113"/>
        <v>741.94128567991743</v>
      </c>
      <c r="R100" s="13">
        <f t="shared" si="113"/>
        <v>502.75712142428102</v>
      </c>
      <c r="S100" s="13">
        <f t="shared" si="113"/>
        <v>590.70536604884512</v>
      </c>
      <c r="T100" s="13">
        <f t="shared" si="113"/>
        <v>649.77145940067692</v>
      </c>
      <c r="U100" s="13">
        <f t="shared" si="113"/>
        <v>484.07450506008718</v>
      </c>
      <c r="V100" s="13">
        <f t="shared" si="113"/>
        <v>674.90545001870225</v>
      </c>
      <c r="W100" s="13">
        <f t="shared" ref="W100" si="114">IF(W28=0,0,W28/W48)</f>
        <v>816.58358364516073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922.6741426863523</v>
      </c>
      <c r="C102" s="34">
        <f t="shared" si="104"/>
        <v>908.83717531136949</v>
      </c>
      <c r="D102" s="34">
        <f t="shared" ref="D102:V102" si="117">IF(D30=0,0,D30/D50)</f>
        <v>922.63625948423078</v>
      </c>
      <c r="E102" s="34">
        <f t="shared" si="117"/>
        <v>934.771869736898</v>
      </c>
      <c r="F102" s="34">
        <f t="shared" si="117"/>
        <v>857.46279458440029</v>
      </c>
      <c r="G102" s="34">
        <f t="shared" si="117"/>
        <v>929.26238863701224</v>
      </c>
      <c r="H102" s="34">
        <f t="shared" si="117"/>
        <v>945.4963821322724</v>
      </c>
      <c r="I102" s="34">
        <f t="shared" si="117"/>
        <v>926.62722319532713</v>
      </c>
      <c r="J102" s="34">
        <f t="shared" si="117"/>
        <v>884.53263993266512</v>
      </c>
      <c r="K102" s="34">
        <f t="shared" si="117"/>
        <v>873.88374822732533</v>
      </c>
      <c r="L102" s="34">
        <f t="shared" si="117"/>
        <v>846.80741788601483</v>
      </c>
      <c r="M102" s="34">
        <f t="shared" si="117"/>
        <v>827.39353828466972</v>
      </c>
      <c r="N102" s="34">
        <f t="shared" si="117"/>
        <v>801.50566217688413</v>
      </c>
      <c r="O102" s="34">
        <f t="shared" si="117"/>
        <v>710.67510660683058</v>
      </c>
      <c r="P102" s="34">
        <f t="shared" si="117"/>
        <v>678.40897787350627</v>
      </c>
      <c r="Q102" s="34">
        <f t="shared" si="117"/>
        <v>882.66634998026541</v>
      </c>
      <c r="R102" s="34">
        <f t="shared" si="117"/>
        <v>566.44040523176056</v>
      </c>
      <c r="S102" s="34">
        <f t="shared" si="117"/>
        <v>677.54849884604027</v>
      </c>
      <c r="T102" s="34">
        <f t="shared" si="117"/>
        <v>728.75278722883024</v>
      </c>
      <c r="U102" s="34">
        <f t="shared" si="117"/>
        <v>516.35180422555811</v>
      </c>
      <c r="V102" s="34">
        <f t="shared" si="117"/>
        <v>623.99198169543502</v>
      </c>
      <c r="W102" s="34">
        <f t="shared" ref="W102" si="118">IF(W30=0,0,W30/W50)</f>
        <v>781.63471061584517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1032</v>
      </c>
      <c r="C103" s="35">
        <f t="shared" si="104"/>
        <v>1032</v>
      </c>
      <c r="D103" s="35">
        <f t="shared" ref="D103:V103" si="119">IF(D31=0,0,D31/D51)</f>
        <v>1032</v>
      </c>
      <c r="E103" s="35">
        <f t="shared" si="119"/>
        <v>1032</v>
      </c>
      <c r="F103" s="35">
        <f t="shared" si="119"/>
        <v>1032</v>
      </c>
      <c r="G103" s="35">
        <f t="shared" si="119"/>
        <v>1030</v>
      </c>
      <c r="H103" s="35">
        <f t="shared" si="119"/>
        <v>807.00000000000011</v>
      </c>
      <c r="I103" s="35">
        <f t="shared" si="119"/>
        <v>686</v>
      </c>
      <c r="J103" s="35">
        <f t="shared" si="119"/>
        <v>584</v>
      </c>
      <c r="K103" s="35">
        <f t="shared" si="119"/>
        <v>520</v>
      </c>
      <c r="L103" s="35">
        <f t="shared" si="119"/>
        <v>263.97901180585922</v>
      </c>
      <c r="M103" s="35">
        <f t="shared" si="119"/>
        <v>182.20009053870533</v>
      </c>
      <c r="N103" s="35">
        <f t="shared" si="119"/>
        <v>293.79633974659788</v>
      </c>
      <c r="O103" s="35">
        <f t="shared" si="119"/>
        <v>348.52411105698985</v>
      </c>
      <c r="P103" s="35">
        <f t="shared" si="119"/>
        <v>237.75189873417727</v>
      </c>
      <c r="Q103" s="35">
        <f t="shared" si="119"/>
        <v>165.01845018450189</v>
      </c>
      <c r="R103" s="35">
        <f t="shared" si="119"/>
        <v>258.14183617372191</v>
      </c>
      <c r="S103" s="35">
        <f t="shared" si="119"/>
        <v>269.70706490522696</v>
      </c>
      <c r="T103" s="35">
        <f t="shared" si="119"/>
        <v>349.58508719182214</v>
      </c>
      <c r="U103" s="35">
        <f t="shared" si="119"/>
        <v>366.78864353312321</v>
      </c>
      <c r="V103" s="35">
        <f t="shared" si="119"/>
        <v>860.56099151989611</v>
      </c>
      <c r="W103" s="35">
        <f t="shared" ref="W103" si="120">IF(W31=0,0,W31/W51)</f>
        <v>936.0702228224178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0.9206637838950652</v>
      </c>
      <c r="C108" s="43">
        <f t="shared" si="127"/>
        <v>0.92001845117091807</v>
      </c>
      <c r="D108" s="43">
        <f t="shared" ref="D108:V108" si="128">IF(D6=0,0,D6/D$4)</f>
        <v>0.93490669614261868</v>
      </c>
      <c r="E108" s="43">
        <f t="shared" si="128"/>
        <v>0.93410286001027654</v>
      </c>
      <c r="F108" s="43">
        <f t="shared" si="128"/>
        <v>0.93751904325958713</v>
      </c>
      <c r="G108" s="43">
        <f t="shared" si="128"/>
        <v>0.93958967695071594</v>
      </c>
      <c r="H108" s="43">
        <f t="shared" si="128"/>
        <v>0.9406879647618811</v>
      </c>
      <c r="I108" s="43">
        <f t="shared" si="128"/>
        <v>0.94866999735128654</v>
      </c>
      <c r="J108" s="43">
        <f t="shared" si="128"/>
        <v>0.94608141592043538</v>
      </c>
      <c r="K108" s="43">
        <f t="shared" si="128"/>
        <v>0.947160559293864</v>
      </c>
      <c r="L108" s="43">
        <f t="shared" si="128"/>
        <v>0.9406636437928444</v>
      </c>
      <c r="M108" s="43">
        <f t="shared" si="128"/>
        <v>0.92765229655816228</v>
      </c>
      <c r="N108" s="43">
        <f t="shared" si="128"/>
        <v>0.93197087357852681</v>
      </c>
      <c r="O108" s="43">
        <f t="shared" si="128"/>
        <v>0.91566002499431753</v>
      </c>
      <c r="P108" s="43">
        <f t="shared" si="128"/>
        <v>0.93179705586875106</v>
      </c>
      <c r="Q108" s="43">
        <f t="shared" si="128"/>
        <v>0.93988406107298728</v>
      </c>
      <c r="R108" s="43">
        <f t="shared" si="128"/>
        <v>0.90894733602325439</v>
      </c>
      <c r="S108" s="43">
        <f t="shared" si="128"/>
        <v>0.9357478083722881</v>
      </c>
      <c r="T108" s="43">
        <f t="shared" si="128"/>
        <v>0.930060911385164</v>
      </c>
      <c r="U108" s="43">
        <f t="shared" si="128"/>
        <v>0.89951136522988528</v>
      </c>
      <c r="V108" s="43">
        <f t="shared" si="128"/>
        <v>0.89658722312735528</v>
      </c>
      <c r="W108" s="43">
        <f t="shared" ref="W108" si="129">IF(W6=0,0,W6/W$4)</f>
        <v>0.90872720039017618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7.9336216104934854E-2</v>
      </c>
      <c r="C109" s="43">
        <f t="shared" si="130"/>
        <v>7.9981548829081914E-2</v>
      </c>
      <c r="D109" s="43">
        <f t="shared" ref="D109:V109" si="131">IF(D7=0,0,D7/D$4)</f>
        <v>6.5093303857381338E-2</v>
      </c>
      <c r="E109" s="43">
        <f t="shared" si="131"/>
        <v>6.5897139989723477E-2</v>
      </c>
      <c r="F109" s="43">
        <f t="shared" si="131"/>
        <v>6.2480956740412992E-2</v>
      </c>
      <c r="G109" s="43">
        <f t="shared" si="131"/>
        <v>6.04103230492841E-2</v>
      </c>
      <c r="H109" s="43">
        <f t="shared" si="131"/>
        <v>5.9312035238118822E-2</v>
      </c>
      <c r="I109" s="43">
        <f t="shared" si="131"/>
        <v>5.1330002648713437E-2</v>
      </c>
      <c r="J109" s="43">
        <f t="shared" si="131"/>
        <v>5.3918584079564638E-2</v>
      </c>
      <c r="K109" s="43">
        <f t="shared" si="131"/>
        <v>5.2839440706136095E-2</v>
      </c>
      <c r="L109" s="43">
        <f t="shared" si="131"/>
        <v>5.9336356207155688E-2</v>
      </c>
      <c r="M109" s="43">
        <f t="shared" si="131"/>
        <v>7.2347703441837705E-2</v>
      </c>
      <c r="N109" s="43">
        <f t="shared" si="131"/>
        <v>6.8029126421473185E-2</v>
      </c>
      <c r="O109" s="43">
        <f t="shared" si="131"/>
        <v>8.4339975005682494E-2</v>
      </c>
      <c r="P109" s="43">
        <f t="shared" si="131"/>
        <v>6.8202944131248971E-2</v>
      </c>
      <c r="Q109" s="43">
        <f t="shared" si="131"/>
        <v>6.0115938927012814E-2</v>
      </c>
      <c r="R109" s="43">
        <f t="shared" si="131"/>
        <v>9.1052663976745538E-2</v>
      </c>
      <c r="S109" s="43">
        <f t="shared" si="131"/>
        <v>6.4252191627711869E-2</v>
      </c>
      <c r="T109" s="43">
        <f t="shared" si="131"/>
        <v>6.9939088614835873E-2</v>
      </c>
      <c r="U109" s="43">
        <f t="shared" si="131"/>
        <v>0.10048863477011477</v>
      </c>
      <c r="V109" s="43">
        <f t="shared" si="131"/>
        <v>0.10341277687264476</v>
      </c>
      <c r="W109" s="43">
        <f t="shared" ref="W109" si="132">IF(W7=0,0,W7/W$4)</f>
        <v>9.1272799609823832E-2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0.81991643851593743</v>
      </c>
      <c r="C112" s="44">
        <f t="shared" si="139"/>
        <v>0.80767426298657685</v>
      </c>
      <c r="D112" s="44">
        <f t="shared" ref="D112:V112" si="140">IF(D10=0,0,D10/D$8)</f>
        <v>0.79484052434374441</v>
      </c>
      <c r="E112" s="44">
        <f t="shared" si="140"/>
        <v>0.8487994548918073</v>
      </c>
      <c r="F112" s="44">
        <f t="shared" si="140"/>
        <v>0.78397936800262746</v>
      </c>
      <c r="G112" s="44">
        <f t="shared" si="140"/>
        <v>0.76028641694001864</v>
      </c>
      <c r="H112" s="44">
        <f t="shared" si="140"/>
        <v>0.70983593064550388</v>
      </c>
      <c r="I112" s="44">
        <f t="shared" si="140"/>
        <v>0.66657687102153096</v>
      </c>
      <c r="J112" s="44">
        <f t="shared" si="140"/>
        <v>0.59231067098754198</v>
      </c>
      <c r="K112" s="44">
        <f t="shared" si="140"/>
        <v>0.51904730431785973</v>
      </c>
      <c r="L112" s="44">
        <f t="shared" si="140"/>
        <v>0.66622543887063945</v>
      </c>
      <c r="M112" s="44">
        <f t="shared" si="140"/>
        <v>0.75102986585458076</v>
      </c>
      <c r="N112" s="44">
        <f t="shared" si="140"/>
        <v>0.69391815568090665</v>
      </c>
      <c r="O112" s="44">
        <f t="shared" si="140"/>
        <v>0.63055609771909227</v>
      </c>
      <c r="P112" s="44">
        <f t="shared" si="140"/>
        <v>0.73973699499675216</v>
      </c>
      <c r="Q112" s="44">
        <f t="shared" si="140"/>
        <v>0.85682219514997093</v>
      </c>
      <c r="R112" s="44">
        <f t="shared" si="140"/>
        <v>0.65892398950385345</v>
      </c>
      <c r="S112" s="44">
        <f t="shared" si="140"/>
        <v>0.78201164451952498</v>
      </c>
      <c r="T112" s="44">
        <f t="shared" si="140"/>
        <v>0.82989338824334036</v>
      </c>
      <c r="U112" s="44">
        <f t="shared" si="140"/>
        <v>0.7865813578976264</v>
      </c>
      <c r="V112" s="44">
        <f t="shared" si="140"/>
        <v>0.64145097809552387</v>
      </c>
      <c r="W112" s="44">
        <f t="shared" ref="W112" si="141">IF(W10=0,0,W10/W$8)</f>
        <v>0.64393836633656265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0.18008356148406252</v>
      </c>
      <c r="C113" s="45">
        <f t="shared" si="142"/>
        <v>0.19232573701342323</v>
      </c>
      <c r="D113" s="45">
        <f t="shared" ref="D113:V113" si="143">IF(D11=0,0,D11/D$8)</f>
        <v>0.20515947565625556</v>
      </c>
      <c r="E113" s="45">
        <f t="shared" si="143"/>
        <v>0.15120054510819261</v>
      </c>
      <c r="F113" s="45">
        <f t="shared" si="143"/>
        <v>0.21602063199737245</v>
      </c>
      <c r="G113" s="45">
        <f t="shared" si="143"/>
        <v>0.23971358305998131</v>
      </c>
      <c r="H113" s="45">
        <f t="shared" si="143"/>
        <v>0.29016406935449612</v>
      </c>
      <c r="I113" s="45">
        <f t="shared" si="143"/>
        <v>0.33342312897846899</v>
      </c>
      <c r="J113" s="45">
        <f t="shared" si="143"/>
        <v>0.40768932901245808</v>
      </c>
      <c r="K113" s="45">
        <f t="shared" si="143"/>
        <v>0.48095269568214027</v>
      </c>
      <c r="L113" s="45">
        <f t="shared" si="143"/>
        <v>0.33377456112936066</v>
      </c>
      <c r="M113" s="45">
        <f t="shared" si="143"/>
        <v>0.24897013414541921</v>
      </c>
      <c r="N113" s="45">
        <f t="shared" si="143"/>
        <v>0.30608184431909335</v>
      </c>
      <c r="O113" s="45">
        <f t="shared" si="143"/>
        <v>0.36944390228090773</v>
      </c>
      <c r="P113" s="45">
        <f t="shared" si="143"/>
        <v>0.26026300500324784</v>
      </c>
      <c r="Q113" s="45">
        <f t="shared" si="143"/>
        <v>0.14317780485002909</v>
      </c>
      <c r="R113" s="45">
        <f t="shared" si="143"/>
        <v>0.34107601049614639</v>
      </c>
      <c r="S113" s="45">
        <f t="shared" si="143"/>
        <v>0.21798835548047499</v>
      </c>
      <c r="T113" s="45">
        <f t="shared" si="143"/>
        <v>0.17010661175665964</v>
      </c>
      <c r="U113" s="45">
        <f t="shared" si="143"/>
        <v>0.21341864210237366</v>
      </c>
      <c r="V113" s="45">
        <f t="shared" si="143"/>
        <v>0.35854902190447602</v>
      </c>
      <c r="W113" s="45">
        <f t="shared" ref="W113" si="144">IF(W11=0,0,W11/W$8)</f>
        <v>0.35606163366343729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0.86475666957006814</v>
      </c>
      <c r="C118" s="43">
        <f t="shared" si="151"/>
        <v>0.86475475593419193</v>
      </c>
      <c r="D118" s="43">
        <f t="shared" ref="D118:V118" si="152">IF(D16=0,0,D16/D$14)</f>
        <v>0.8827911851912964</v>
      </c>
      <c r="E118" s="43">
        <f t="shared" si="152"/>
        <v>0.89286224436371264</v>
      </c>
      <c r="F118" s="43">
        <f t="shared" si="152"/>
        <v>0.89841219277382778</v>
      </c>
      <c r="G118" s="43">
        <f t="shared" si="152"/>
        <v>0.91710216968078528</v>
      </c>
      <c r="H118" s="43">
        <f t="shared" si="152"/>
        <v>0.91238639601068716</v>
      </c>
      <c r="I118" s="43">
        <f t="shared" si="152"/>
        <v>0.91883078328206624</v>
      </c>
      <c r="J118" s="43">
        <f t="shared" si="152"/>
        <v>0.91298849243493907</v>
      </c>
      <c r="K118" s="43">
        <f t="shared" si="152"/>
        <v>0.91146351174470075</v>
      </c>
      <c r="L118" s="43">
        <f t="shared" si="152"/>
        <v>0.90728892261941285</v>
      </c>
      <c r="M118" s="43">
        <f t="shared" si="152"/>
        <v>0.90643195708947033</v>
      </c>
      <c r="N118" s="43">
        <f t="shared" si="152"/>
        <v>0.90294766815037453</v>
      </c>
      <c r="O118" s="43">
        <f t="shared" si="152"/>
        <v>0.87970371557831828</v>
      </c>
      <c r="P118" s="43">
        <f t="shared" si="152"/>
        <v>0.89775379562728597</v>
      </c>
      <c r="Q118" s="43">
        <f t="shared" si="152"/>
        <v>0.92167101265611773</v>
      </c>
      <c r="R118" s="43">
        <f t="shared" si="152"/>
        <v>0.90618097469944969</v>
      </c>
      <c r="S118" s="43">
        <f t="shared" si="152"/>
        <v>0.92430471433322348</v>
      </c>
      <c r="T118" s="43">
        <f t="shared" si="152"/>
        <v>0.91241356816855734</v>
      </c>
      <c r="U118" s="43">
        <f t="shared" si="152"/>
        <v>0.85932907031036254</v>
      </c>
      <c r="V118" s="43">
        <f t="shared" si="152"/>
        <v>0.86230610154840426</v>
      </c>
      <c r="W118" s="43">
        <f t="shared" ref="W118" si="153">IF(W16=0,0,W16/W$14)</f>
        <v>0.87415694032698654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0.13524333042993181</v>
      </c>
      <c r="C119" s="43">
        <f t="shared" si="154"/>
        <v>0.13524524406580812</v>
      </c>
      <c r="D119" s="43">
        <f t="shared" ref="D119:V119" si="155">IF(D17=0,0,D17/D$14)</f>
        <v>0.11720881480870357</v>
      </c>
      <c r="E119" s="43">
        <f t="shared" si="155"/>
        <v>0.10713775563628745</v>
      </c>
      <c r="F119" s="43">
        <f t="shared" si="155"/>
        <v>0.10158780722617233</v>
      </c>
      <c r="G119" s="43">
        <f t="shared" si="155"/>
        <v>8.289783031921473E-2</v>
      </c>
      <c r="H119" s="43">
        <f t="shared" si="155"/>
        <v>8.761360398931281E-2</v>
      </c>
      <c r="I119" s="43">
        <f t="shared" si="155"/>
        <v>8.1169216717933784E-2</v>
      </c>
      <c r="J119" s="43">
        <f t="shared" si="155"/>
        <v>8.7011507565060944E-2</v>
      </c>
      <c r="K119" s="43">
        <f t="shared" si="155"/>
        <v>8.8536488255299112E-2</v>
      </c>
      <c r="L119" s="43">
        <f t="shared" si="155"/>
        <v>9.2711077380587162E-2</v>
      </c>
      <c r="M119" s="43">
        <f t="shared" si="155"/>
        <v>9.3568042910529586E-2</v>
      </c>
      <c r="N119" s="43">
        <f t="shared" si="155"/>
        <v>9.7052331849625528E-2</v>
      </c>
      <c r="O119" s="43">
        <f t="shared" si="155"/>
        <v>0.12029628442168169</v>
      </c>
      <c r="P119" s="43">
        <f t="shared" si="155"/>
        <v>0.10224620437271401</v>
      </c>
      <c r="Q119" s="43">
        <f t="shared" si="155"/>
        <v>7.8328987343882273E-2</v>
      </c>
      <c r="R119" s="43">
        <f t="shared" si="155"/>
        <v>9.3819025300550377E-2</v>
      </c>
      <c r="S119" s="43">
        <f t="shared" si="155"/>
        <v>7.5695285666776482E-2</v>
      </c>
      <c r="T119" s="43">
        <f t="shared" si="155"/>
        <v>8.7586431831442546E-2</v>
      </c>
      <c r="U119" s="43">
        <f t="shared" si="155"/>
        <v>0.14067092968963743</v>
      </c>
      <c r="V119" s="43">
        <f t="shared" si="155"/>
        <v>0.13769389845159569</v>
      </c>
      <c r="W119" s="43">
        <f t="shared" ref="W119" si="156">IF(W17=0,0,W17/W$14)</f>
        <v>0.12584305967301335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0.94152786335780547</v>
      </c>
      <c r="C122" s="44">
        <f t="shared" si="163"/>
        <v>0.93449516967546775</v>
      </c>
      <c r="D122" s="44">
        <f t="shared" ref="D122:V122" si="164">IF(D20=0,0,D20/D$18)</f>
        <v>0.92942395357077012</v>
      </c>
      <c r="E122" s="44">
        <f t="shared" si="164"/>
        <v>0.94457507947249775</v>
      </c>
      <c r="F122" s="44">
        <f t="shared" si="164"/>
        <v>0.92325327100170207</v>
      </c>
      <c r="G122" s="44">
        <f t="shared" si="164"/>
        <v>0.90992077624556855</v>
      </c>
      <c r="H122" s="44">
        <f t="shared" si="164"/>
        <v>0.89186908189637726</v>
      </c>
      <c r="I122" s="44">
        <f t="shared" si="164"/>
        <v>0.86934455742250705</v>
      </c>
      <c r="J122" s="44">
        <f t="shared" si="164"/>
        <v>0.8278652327507563</v>
      </c>
      <c r="K122" s="44">
        <f t="shared" si="164"/>
        <v>0.79821272863255976</v>
      </c>
      <c r="L122" s="44">
        <f t="shared" si="164"/>
        <v>0.87731860036237441</v>
      </c>
      <c r="M122" s="44">
        <f t="shared" si="164"/>
        <v>0.9134309991452183</v>
      </c>
      <c r="N122" s="44">
        <f t="shared" si="164"/>
        <v>0.8845318947861085</v>
      </c>
      <c r="O122" s="44">
        <f t="shared" si="164"/>
        <v>0.8527787874830185</v>
      </c>
      <c r="P122" s="44">
        <f t="shared" si="164"/>
        <v>0.90149662439560541</v>
      </c>
      <c r="Q122" s="44">
        <f t="shared" si="164"/>
        <v>0.95428623319376971</v>
      </c>
      <c r="R122" s="44">
        <f t="shared" si="164"/>
        <v>0.89029424435638682</v>
      </c>
      <c r="S122" s="44">
        <f t="shared" si="164"/>
        <v>0.93310825306478196</v>
      </c>
      <c r="T122" s="44">
        <f t="shared" si="164"/>
        <v>0.94751922165263569</v>
      </c>
      <c r="U122" s="44">
        <f t="shared" si="164"/>
        <v>0.92913602202966572</v>
      </c>
      <c r="V122" s="44">
        <f t="shared" si="164"/>
        <v>0.83801001876629788</v>
      </c>
      <c r="W122" s="44">
        <f t="shared" ref="W122" si="165">IF(W20=0,0,W20/W$18)</f>
        <v>0.85966558857649211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5.8472136642194528E-2</v>
      </c>
      <c r="C123" s="45">
        <f t="shared" si="166"/>
        <v>6.5504830324532234E-2</v>
      </c>
      <c r="D123" s="45">
        <f t="shared" ref="D123:V123" si="167">IF(D21=0,0,D21/D$18)</f>
        <v>7.0576046429229836E-2</v>
      </c>
      <c r="E123" s="45">
        <f t="shared" si="167"/>
        <v>5.5424920527502197E-2</v>
      </c>
      <c r="F123" s="45">
        <f t="shared" si="167"/>
        <v>7.6746728998298028E-2</v>
      </c>
      <c r="G123" s="45">
        <f t="shared" si="167"/>
        <v>9.0079223754431365E-2</v>
      </c>
      <c r="H123" s="45">
        <f t="shared" si="167"/>
        <v>0.10813091810362273</v>
      </c>
      <c r="I123" s="45">
        <f t="shared" si="167"/>
        <v>0.13065544257749287</v>
      </c>
      <c r="J123" s="45">
        <f t="shared" si="167"/>
        <v>0.17213476724924376</v>
      </c>
      <c r="K123" s="45">
        <f t="shared" si="167"/>
        <v>0.20178727136744029</v>
      </c>
      <c r="L123" s="45">
        <f t="shared" si="167"/>
        <v>0.1226813996376256</v>
      </c>
      <c r="M123" s="45">
        <f t="shared" si="167"/>
        <v>8.6569000854781697E-2</v>
      </c>
      <c r="N123" s="45">
        <f t="shared" si="167"/>
        <v>0.11546810521389161</v>
      </c>
      <c r="O123" s="45">
        <f t="shared" si="167"/>
        <v>0.14722121251698148</v>
      </c>
      <c r="P123" s="45">
        <f t="shared" si="167"/>
        <v>9.8503375604394566E-2</v>
      </c>
      <c r="Q123" s="45">
        <f t="shared" si="167"/>
        <v>4.5713766806230349E-2</v>
      </c>
      <c r="R123" s="45">
        <f t="shared" si="167"/>
        <v>0.10970575564361322</v>
      </c>
      <c r="S123" s="45">
        <f t="shared" si="167"/>
        <v>6.6891746935218113E-2</v>
      </c>
      <c r="T123" s="45">
        <f t="shared" si="167"/>
        <v>5.2480778347364414E-2</v>
      </c>
      <c r="U123" s="45">
        <f t="shared" si="167"/>
        <v>7.0863977970334197E-2</v>
      </c>
      <c r="V123" s="45">
        <f t="shared" si="167"/>
        <v>0.16198998123370201</v>
      </c>
      <c r="W123" s="45">
        <f t="shared" ref="W123" si="168">IF(W21=0,0,W21/W$18)</f>
        <v>0.14033441142350792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126.40206362854684</v>
      </c>
      <c r="C3" s="79">
        <f t="shared" si="0"/>
        <v>94.802751504729144</v>
      </c>
      <c r="D3" s="79">
        <f t="shared" ref="D3" si="1">SUM(D4:D5)</f>
        <v>91.638005159071369</v>
      </c>
      <c r="E3" s="79">
        <f t="shared" ref="E3" si="2">SUM(E4:E5)</f>
        <v>81.104901117798789</v>
      </c>
      <c r="F3" s="79">
        <f t="shared" ref="F3" si="3">SUM(F4:F5)</f>
        <v>104.28254514187446</v>
      </c>
      <c r="G3" s="79">
        <f t="shared" ref="G3" si="4">SUM(G4:G5)</f>
        <v>88.32519346517627</v>
      </c>
      <c r="H3" s="79">
        <f t="shared" ref="H3" si="5">SUM(H4:H5)</f>
        <v>89.352278589853782</v>
      </c>
      <c r="I3" s="79">
        <f t="shared" ref="I3" si="6">SUM(I4:I5)</f>
        <v>93.460361134995708</v>
      </c>
      <c r="J3" s="79">
        <f t="shared" ref="J3" si="7">SUM(J4:J5)</f>
        <v>96.541530524505575</v>
      </c>
      <c r="K3" s="79">
        <f t="shared" ref="K3" si="8">SUM(K4:K5)</f>
        <v>90.379277730008582</v>
      </c>
      <c r="L3" s="79">
        <f t="shared" ref="L3" si="9">SUM(L4:L5)</f>
        <v>101.67669819432498</v>
      </c>
      <c r="M3" s="79">
        <f t="shared" ref="M3" si="10">SUM(M4:M5)</f>
        <v>104.7577815993121</v>
      </c>
      <c r="N3" s="79">
        <f t="shared" ref="N3" si="11">SUM(N4:N5)</f>
        <v>99.622613929492672</v>
      </c>
      <c r="O3" s="79">
        <f t="shared" ref="O3" si="12">SUM(O4:O5)</f>
        <v>104.7577815993121</v>
      </c>
      <c r="P3" s="79">
        <f t="shared" ref="P3" si="13">SUM(P4:P5)</f>
        <v>111.9470335339639</v>
      </c>
      <c r="Q3" s="79">
        <f t="shared" ref="Q3" si="14">SUM(Q4:Q5)</f>
        <v>116.05520206362849</v>
      </c>
      <c r="R3" s="79">
        <f t="shared" ref="R3" si="15">SUM(R4:R5)</f>
        <v>124.27153912295793</v>
      </c>
      <c r="S3" s="79">
        <f t="shared" ref="S3" si="16">SUM(S4:S5)</f>
        <v>139.38435081685299</v>
      </c>
      <c r="T3" s="79">
        <f t="shared" ref="T3" si="17">SUM(T4:T5)</f>
        <v>156.79914015477212</v>
      </c>
      <c r="U3" s="79">
        <f t="shared" ref="U3" si="18">SUM(U4:U5)</f>
        <v>164.81943250214951</v>
      </c>
      <c r="V3" s="79">
        <f t="shared" ref="V3:W3" si="19">SUM(V4:V5)</f>
        <v>59.202751504729129</v>
      </c>
      <c r="W3" s="79">
        <f t="shared" si="19"/>
        <v>77.196990541702476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126.40206362854684</v>
      </c>
      <c r="C5" s="96">
        <f t="shared" si="23"/>
        <v>94.802751504729144</v>
      </c>
      <c r="D5" s="96">
        <f t="shared" ref="D5:V5" si="24">SUM(D8:D9,D12:D13)</f>
        <v>91.638005159071369</v>
      </c>
      <c r="E5" s="96">
        <f t="shared" si="24"/>
        <v>81.104901117798789</v>
      </c>
      <c r="F5" s="96">
        <f t="shared" si="24"/>
        <v>104.28254514187446</v>
      </c>
      <c r="G5" s="96">
        <f t="shared" si="24"/>
        <v>88.32519346517627</v>
      </c>
      <c r="H5" s="96">
        <f t="shared" si="24"/>
        <v>89.352278589853782</v>
      </c>
      <c r="I5" s="96">
        <f t="shared" si="24"/>
        <v>93.460361134995708</v>
      </c>
      <c r="J5" s="96">
        <f t="shared" si="24"/>
        <v>96.541530524505575</v>
      </c>
      <c r="K5" s="96">
        <f t="shared" si="24"/>
        <v>90.379277730008582</v>
      </c>
      <c r="L5" s="96">
        <f t="shared" si="24"/>
        <v>101.67669819432498</v>
      </c>
      <c r="M5" s="96">
        <f t="shared" si="24"/>
        <v>104.7577815993121</v>
      </c>
      <c r="N5" s="96">
        <f t="shared" si="24"/>
        <v>99.622613929492672</v>
      </c>
      <c r="O5" s="96">
        <f t="shared" si="24"/>
        <v>104.7577815993121</v>
      </c>
      <c r="P5" s="96">
        <f t="shared" si="24"/>
        <v>111.9470335339639</v>
      </c>
      <c r="Q5" s="96">
        <f t="shared" si="24"/>
        <v>116.05520206362849</v>
      </c>
      <c r="R5" s="96">
        <f t="shared" si="24"/>
        <v>124.27153912295793</v>
      </c>
      <c r="S5" s="96">
        <f t="shared" si="24"/>
        <v>139.38435081685299</v>
      </c>
      <c r="T5" s="96">
        <f t="shared" si="24"/>
        <v>156.79914015477212</v>
      </c>
      <c r="U5" s="96">
        <f t="shared" si="24"/>
        <v>164.81943250214951</v>
      </c>
      <c r="V5" s="96">
        <f t="shared" si="24"/>
        <v>59.202751504729129</v>
      </c>
      <c r="W5" s="96">
        <f t="shared" ref="W5" si="25">SUM(W8:W9,W12:W13)</f>
        <v>77.196990541702476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123.69992256878189</v>
      </c>
      <c r="C6" s="21">
        <f t="shared" si="26"/>
        <v>92.871251903385257</v>
      </c>
      <c r="D6" s="21">
        <f t="shared" ref="D6:V6" si="27">SUM(D7:D9)</f>
        <v>89.74166102244051</v>
      </c>
      <c r="E6" s="21">
        <f t="shared" si="27"/>
        <v>78.691646346849112</v>
      </c>
      <c r="F6" s="21">
        <f t="shared" si="27"/>
        <v>101.55418880371427</v>
      </c>
      <c r="G6" s="21">
        <f t="shared" si="27"/>
        <v>85.930773625251305</v>
      </c>
      <c r="H6" s="21">
        <f t="shared" si="27"/>
        <v>86.320891144566929</v>
      </c>
      <c r="I6" s="21">
        <f t="shared" si="27"/>
        <v>90.296309460226198</v>
      </c>
      <c r="J6" s="21">
        <f t="shared" si="27"/>
        <v>93.121213704602852</v>
      </c>
      <c r="K6" s="21">
        <f t="shared" si="27"/>
        <v>86.90831890979716</v>
      </c>
      <c r="L6" s="21">
        <f t="shared" si="27"/>
        <v>98.431916162446399</v>
      </c>
      <c r="M6" s="21">
        <f t="shared" si="27"/>
        <v>101.71495657323179</v>
      </c>
      <c r="N6" s="21">
        <f t="shared" si="27"/>
        <v>96.838625049132617</v>
      </c>
      <c r="O6" s="21">
        <f t="shared" si="27"/>
        <v>102.6904747283187</v>
      </c>
      <c r="P6" s="21">
        <f t="shared" si="27"/>
        <v>110.26739184942019</v>
      </c>
      <c r="Q6" s="21">
        <f t="shared" si="27"/>
        <v>114.29480739658491</v>
      </c>
      <c r="R6" s="21">
        <f t="shared" si="27"/>
        <v>123.18502854624391</v>
      </c>
      <c r="S6" s="21">
        <f t="shared" si="27"/>
        <v>138.32745758524266</v>
      </c>
      <c r="T6" s="21">
        <f t="shared" si="27"/>
        <v>155.66848196859826</v>
      </c>
      <c r="U6" s="21">
        <f t="shared" si="27"/>
        <v>164.02930701484075</v>
      </c>
      <c r="V6" s="21">
        <f t="shared" si="27"/>
        <v>58.250468121433229</v>
      </c>
      <c r="W6" s="21">
        <f t="shared" ref="W6" si="28">SUM(W7:W9)</f>
        <v>76.265726327874972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107.71716305336959</v>
      </c>
      <c r="C8" s="96">
        <v>80.871582797415144</v>
      </c>
      <c r="D8" s="96">
        <v>79.704933963882112</v>
      </c>
      <c r="E8" s="96">
        <v>70.650334536156109</v>
      </c>
      <c r="F8" s="96">
        <v>91.716338331924334</v>
      </c>
      <c r="G8" s="96">
        <v>77.917874289154895</v>
      </c>
      <c r="H8" s="96">
        <v>78.02456663043408</v>
      </c>
      <c r="I8" s="96">
        <v>81.947043191455379</v>
      </c>
      <c r="J8" s="96">
        <v>83.968084439551617</v>
      </c>
      <c r="K8" s="96">
        <v>77.839560120821517</v>
      </c>
      <c r="L8" s="96">
        <v>88.316193153317201</v>
      </c>
      <c r="M8" s="96">
        <v>91.392374000422421</v>
      </c>
      <c r="N8" s="96">
        <v>86.84509032593057</v>
      </c>
      <c r="O8" s="96">
        <v>92.321263237156131</v>
      </c>
      <c r="P8" s="96">
        <v>99.494553109517554</v>
      </c>
      <c r="Q8" s="96">
        <v>103.1447149537354</v>
      </c>
      <c r="R8" s="96">
        <v>111.62859944514778</v>
      </c>
      <c r="S8" s="96">
        <v>125.87614860333645</v>
      </c>
      <c r="T8" s="96">
        <v>142.12361465101486</v>
      </c>
      <c r="U8" s="96">
        <v>149.60982128488766</v>
      </c>
      <c r="V8" s="96">
        <v>49.984072093986754</v>
      </c>
      <c r="W8" s="96">
        <v>66.917683607430206</v>
      </c>
      <c r="DA8" s="171" t="s">
        <v>281</v>
      </c>
    </row>
    <row r="9" spans="1:105" ht="11.45" customHeight="1" x14ac:dyDescent="0.25">
      <c r="A9" s="83" t="s">
        <v>174</v>
      </c>
      <c r="B9" s="96">
        <v>15.982759515412299</v>
      </c>
      <c r="C9" s="96">
        <v>11.999669105970113</v>
      </c>
      <c r="D9" s="96">
        <v>10.036727058558393</v>
      </c>
      <c r="E9" s="96">
        <v>8.0413118106930082</v>
      </c>
      <c r="F9" s="96">
        <v>9.8378504717899311</v>
      </c>
      <c r="G9" s="96">
        <v>8.0128993360964174</v>
      </c>
      <c r="H9" s="96">
        <v>8.2963245141328503</v>
      </c>
      <c r="I9" s="96">
        <v>8.3492662687708137</v>
      </c>
      <c r="J9" s="96">
        <v>9.1531292650512377</v>
      </c>
      <c r="K9" s="96">
        <v>9.0687587889756411</v>
      </c>
      <c r="L9" s="96">
        <v>10.115723009129196</v>
      </c>
      <c r="M9" s="96">
        <v>10.322582572809363</v>
      </c>
      <c r="N9" s="96">
        <v>9.9935347232020479</v>
      </c>
      <c r="O9" s="96">
        <v>10.369211491162575</v>
      </c>
      <c r="P9" s="96">
        <v>10.772838739902642</v>
      </c>
      <c r="Q9" s="96">
        <v>11.150092442849513</v>
      </c>
      <c r="R9" s="96">
        <v>11.556429101096123</v>
      </c>
      <c r="S9" s="96">
        <v>12.451308981906209</v>
      </c>
      <c r="T9" s="96">
        <v>13.544867317583396</v>
      </c>
      <c r="U9" s="96">
        <v>14.419485729953092</v>
      </c>
      <c r="V9" s="96">
        <v>8.2663960274464792</v>
      </c>
      <c r="W9" s="96">
        <v>9.34804272044477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2.7021410597649558</v>
      </c>
      <c r="C10" s="22">
        <f t="shared" si="29"/>
        <v>1.9314996013438877</v>
      </c>
      <c r="D10" s="22">
        <f t="shared" ref="D10:V10" si="30">SUM(D11:D13)</f>
        <v>1.8963441366308593</v>
      </c>
      <c r="E10" s="22">
        <f t="shared" si="30"/>
        <v>2.4132547709496772</v>
      </c>
      <c r="F10" s="22">
        <f t="shared" si="30"/>
        <v>2.7283563381602041</v>
      </c>
      <c r="G10" s="22">
        <f t="shared" si="30"/>
        <v>2.394419839924959</v>
      </c>
      <c r="H10" s="22">
        <f t="shared" si="30"/>
        <v>3.0313874452868657</v>
      </c>
      <c r="I10" s="22">
        <f t="shared" si="30"/>
        <v>3.1640516747695226</v>
      </c>
      <c r="J10" s="22">
        <f t="shared" si="30"/>
        <v>3.4203168199027245</v>
      </c>
      <c r="K10" s="22">
        <f t="shared" si="30"/>
        <v>3.4709588202114205</v>
      </c>
      <c r="L10" s="22">
        <f t="shared" si="30"/>
        <v>3.2447820318785832</v>
      </c>
      <c r="M10" s="22">
        <f t="shared" si="30"/>
        <v>3.0428250260802994</v>
      </c>
      <c r="N10" s="22">
        <f t="shared" si="30"/>
        <v>2.7839888803600554</v>
      </c>
      <c r="O10" s="22">
        <f t="shared" si="30"/>
        <v>2.0673068709933924</v>
      </c>
      <c r="P10" s="22">
        <f t="shared" si="30"/>
        <v>1.6796416845437143</v>
      </c>
      <c r="Q10" s="22">
        <f t="shared" si="30"/>
        <v>1.7603946670435757</v>
      </c>
      <c r="R10" s="22">
        <f t="shared" si="30"/>
        <v>1.0865105767140222</v>
      </c>
      <c r="S10" s="22">
        <f t="shared" si="30"/>
        <v>1.0568932316103345</v>
      </c>
      <c r="T10" s="22">
        <f t="shared" si="30"/>
        <v>1.1306581861738543</v>
      </c>
      <c r="U10" s="22">
        <f t="shared" si="30"/>
        <v>0.79012548730876753</v>
      </c>
      <c r="V10" s="22">
        <f t="shared" si="30"/>
        <v>0.95228338329590478</v>
      </c>
      <c r="W10" s="22">
        <f t="shared" ref="W10" si="31">SUM(W11:W13)</f>
        <v>0.93126421382750124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2.5246289413752123</v>
      </c>
      <c r="C12" s="97">
        <v>1.7894870968663967</v>
      </c>
      <c r="D12" s="97">
        <v>1.7462173026094874</v>
      </c>
      <c r="E12" s="97">
        <v>2.2631230910988336</v>
      </c>
      <c r="F12" s="97">
        <v>2.4936804904511298</v>
      </c>
      <c r="G12" s="97">
        <v>2.1111263714585817</v>
      </c>
      <c r="H12" s="97">
        <v>2.6668330413633399</v>
      </c>
      <c r="I12" s="97">
        <v>2.678493629466153</v>
      </c>
      <c r="J12" s="97">
        <v>2.6671349960438686</v>
      </c>
      <c r="K12" s="97">
        <v>2.4655192324414772</v>
      </c>
      <c r="L12" s="97">
        <v>2.5848487722847588</v>
      </c>
      <c r="M12" s="97">
        <v>2.6018330280657374</v>
      </c>
      <c r="N12" s="97">
        <v>2.3371875832589493</v>
      </c>
      <c r="O12" s="97">
        <v>1.7427188806040601</v>
      </c>
      <c r="P12" s="97">
        <v>1.497640328386479</v>
      </c>
      <c r="Q12" s="97">
        <v>1.647731855484891</v>
      </c>
      <c r="R12" s="97">
        <v>0.95440684052696989</v>
      </c>
      <c r="S12" s="97">
        <v>0.95143624038365915</v>
      </c>
      <c r="T12" s="97">
        <v>1.042895916488408</v>
      </c>
      <c r="U12" s="97">
        <v>0.74894484686072427</v>
      </c>
      <c r="V12" s="97">
        <v>0.78743561964886988</v>
      </c>
      <c r="W12" s="97">
        <v>0.78115475633339171</v>
      </c>
      <c r="DA12" s="175" t="s">
        <v>285</v>
      </c>
    </row>
    <row r="13" spans="1:105" ht="11.45" customHeight="1" x14ac:dyDescent="0.25">
      <c r="A13" s="85" t="s">
        <v>174</v>
      </c>
      <c r="B13" s="98">
        <v>0.17751211838974357</v>
      </c>
      <c r="C13" s="98">
        <v>0.142012504477491</v>
      </c>
      <c r="D13" s="98">
        <v>0.150126834021372</v>
      </c>
      <c r="E13" s="98">
        <v>0.15013167985084344</v>
      </c>
      <c r="F13" s="98">
        <v>0.23467584770907421</v>
      </c>
      <c r="G13" s="98">
        <v>0.28329346846637743</v>
      </c>
      <c r="H13" s="98">
        <v>0.364554403923526</v>
      </c>
      <c r="I13" s="98">
        <v>0.48555804530336977</v>
      </c>
      <c r="J13" s="98">
        <v>0.75318182385885601</v>
      </c>
      <c r="K13" s="98">
        <v>1.0054395877699434</v>
      </c>
      <c r="L13" s="98">
        <v>0.65993325959382432</v>
      </c>
      <c r="M13" s="98">
        <v>0.44099199801456207</v>
      </c>
      <c r="N13" s="98">
        <v>0.44680129710110622</v>
      </c>
      <c r="O13" s="98">
        <v>0.32458799038933239</v>
      </c>
      <c r="P13" s="98">
        <v>0.18200135615723545</v>
      </c>
      <c r="Q13" s="98">
        <v>0.11266281155868479</v>
      </c>
      <c r="R13" s="98">
        <v>0.13210373618705223</v>
      </c>
      <c r="S13" s="98">
        <v>0.10545699122667532</v>
      </c>
      <c r="T13" s="98">
        <v>8.776226968544637E-2</v>
      </c>
      <c r="U13" s="98">
        <v>4.1180640448043218E-2</v>
      </c>
      <c r="V13" s="98">
        <v>0.16484776364703485</v>
      </c>
      <c r="W13" s="98">
        <v>0.15010945749410953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516.33629273505619</v>
      </c>
      <c r="C17" s="62">
        <f>IF(C3=0,0,C3/TrAvia_act!C13*100)</f>
        <v>413.05961807103915</v>
      </c>
      <c r="D17" s="62">
        <f>IF(D3=0,0,D3/TrAvia_act!D13*100)</f>
        <v>425.38018921829723</v>
      </c>
      <c r="E17" s="62">
        <f>IF(E3=0,0,E3/TrAvia_act!E13*100)</f>
        <v>366.38509649543886</v>
      </c>
      <c r="F17" s="62">
        <f>IF(F3=0,0,F3/TrAvia_act!F13*100)</f>
        <v>464.66498417581016</v>
      </c>
      <c r="G17" s="62">
        <f>IF(G3=0,0,G3/TrAvia_act!G13*100)</f>
        <v>386.5444243750768</v>
      </c>
      <c r="H17" s="62">
        <f>IF(H3=0,0,H3/TrAvia_act!H13*100)</f>
        <v>412.46648400883498</v>
      </c>
      <c r="I17" s="62">
        <f>IF(I3=0,0,I3/TrAvia_act!I13*100)</f>
        <v>390.65952803620434</v>
      </c>
      <c r="J17" s="62">
        <f>IF(J3=0,0,J3/TrAvia_act!J13*100)</f>
        <v>408.28019716765118</v>
      </c>
      <c r="K17" s="62">
        <f>IF(K3=0,0,K3/TrAvia_act!K13*100)</f>
        <v>400.0097534691987</v>
      </c>
      <c r="L17" s="62">
        <f>IF(L3=0,0,L3/TrAvia_act!L13*100)</f>
        <v>412.64001273725864</v>
      </c>
      <c r="M17" s="62">
        <f>IF(M3=0,0,M3/TrAvia_act!M13*100)</f>
        <v>424.07125069454077</v>
      </c>
      <c r="N17" s="62">
        <f>IF(N3=0,0,N3/TrAvia_act!N13*100)</f>
        <v>406.24127680421475</v>
      </c>
      <c r="O17" s="62">
        <f>IF(O3=0,0,O3/TrAvia_act!O13*100)</f>
        <v>391.73050512177321</v>
      </c>
      <c r="P17" s="62">
        <f>IF(P3=0,0,P3/TrAvia_act!P13*100)</f>
        <v>407.33536456853062</v>
      </c>
      <c r="Q17" s="62">
        <f>IF(Q3=0,0,Q3/TrAvia_act!Q13*100)</f>
        <v>401.69471887625639</v>
      </c>
      <c r="R17" s="62">
        <f>IF(R3=0,0,R3/TrAvia_act!R13*100)</f>
        <v>412.37358407714106</v>
      </c>
      <c r="S17" s="62">
        <f>IF(S3=0,0,S3/TrAvia_act!S13*100)</f>
        <v>409.17244204981768</v>
      </c>
      <c r="T17" s="62">
        <f>IF(T3=0,0,T3/TrAvia_act!T13*100)</f>
        <v>402.44334146495174</v>
      </c>
      <c r="U17" s="62">
        <f>IF(U3=0,0,U3/TrAvia_act!U13*100)</f>
        <v>375.85473720692437</v>
      </c>
      <c r="V17" s="62">
        <f>IF(V3=0,0,V3/TrAvia_act!V13*100)</f>
        <v>367.71673961267055</v>
      </c>
      <c r="W17" s="62">
        <f>IF(W3=0,0,W3/TrAvia_act!W13*100)</f>
        <v>365.56957088635579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515.656227380838</v>
      </c>
      <c r="C18" s="14">
        <f>IF(C6=0,0,C6/TrAvia_act!C14*100)</f>
        <v>412.53362997742312</v>
      </c>
      <c r="D18" s="14">
        <f>IF(D6=0,0,D6/TrAvia_act!D14*100)</f>
        <v>424.83482217630825</v>
      </c>
      <c r="E18" s="14">
        <f>IF(E6=0,0,E6/TrAvia_act!E14*100)</f>
        <v>365.72058239466122</v>
      </c>
      <c r="F18" s="14">
        <f>IF(F6=0,0,F6/TrAvia_act!F14*100)</f>
        <v>463.90919124993138</v>
      </c>
      <c r="G18" s="14">
        <f>IF(G6=0,0,G6/TrAvia_act!G14*100)</f>
        <v>385.84168059333916</v>
      </c>
      <c r="H18" s="14">
        <f>IF(H6=0,0,H6/TrAvia_act!H14*100)</f>
        <v>411.85525200297855</v>
      </c>
      <c r="I18" s="14">
        <f>IF(I6=0,0,I6/TrAvia_act!I14*100)</f>
        <v>390.28101863954265</v>
      </c>
      <c r="J18" s="14">
        <f>IF(J6=0,0,J6/TrAvia_act!J14*100)</f>
        <v>407.74878328009237</v>
      </c>
      <c r="K18" s="14">
        <f>IF(K6=0,0,K6/TrAvia_act!K14*100)</f>
        <v>398.88390604204488</v>
      </c>
      <c r="L18" s="14">
        <f>IF(L6=0,0,L6/TrAvia_act!L14*100)</f>
        <v>412.27003721723116</v>
      </c>
      <c r="M18" s="14">
        <f>IF(M6=0,0,M6/TrAvia_act!M14*100)</f>
        <v>424.04745614124505</v>
      </c>
      <c r="N18" s="14">
        <f>IF(N6=0,0,N6/TrAvia_act!N14*100)</f>
        <v>406.46459120817326</v>
      </c>
      <c r="O18" s="14">
        <f>IF(O6=0,0,O6/TrAvia_act!O14*100)</f>
        <v>392.25824557676629</v>
      </c>
      <c r="P18" s="14">
        <f>IF(P6=0,0,P6/TrAvia_act!P14*100)</f>
        <v>407.85420036968077</v>
      </c>
      <c r="Q18" s="14">
        <f>IF(Q6=0,0,Q6/TrAvia_act!Q14*100)</f>
        <v>402.46375287106605</v>
      </c>
      <c r="R18" s="14">
        <f>IF(R6=0,0,R6/TrAvia_act!R14*100)</f>
        <v>412.69743601839212</v>
      </c>
      <c r="S18" s="14">
        <f>IF(S6=0,0,S6/TrAvia_act!S14*100)</f>
        <v>409.49714666826526</v>
      </c>
      <c r="T18" s="14">
        <f>IF(T6=0,0,T6/TrAvia_act!T14*100)</f>
        <v>402.55881363841075</v>
      </c>
      <c r="U18" s="14">
        <f>IF(U6=0,0,U6/TrAvia_act!U14*100)</f>
        <v>375.77636497992029</v>
      </c>
      <c r="V18" s="14">
        <f>IF(V6=0,0,V6/TrAvia_act!V14*100)</f>
        <v>367.7010870331552</v>
      </c>
      <c r="W18" s="14">
        <f>IF(W6=0,0,W6/TrAvia_act!W14*100)</f>
        <v>365.46224559190739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519.25636138438551</v>
      </c>
      <c r="C20" s="87">
        <f>IF(C8=0,0,C8/TrAvia_act!C16*100)</f>
        <v>415.4139172955185</v>
      </c>
      <c r="D20" s="87">
        <f>IF(D8=0,0,D8/TrAvia_act!D16*100)</f>
        <v>427.41840741338518</v>
      </c>
      <c r="E20" s="87">
        <f>IF(E8=0,0,E8/TrAvia_act!E16*100)</f>
        <v>367.74818254277398</v>
      </c>
      <c r="F20" s="87">
        <f>IF(F8=0,0,F8/TrAvia_act!F16*100)</f>
        <v>466.34379874051149</v>
      </c>
      <c r="G20" s="87">
        <f>IF(G8=0,0,G8/TrAvia_act!G16*100)</f>
        <v>381.48704460916593</v>
      </c>
      <c r="H20" s="87">
        <f>IF(H8=0,0,H8/TrAvia_act!H16*100)</f>
        <v>408.01981752917726</v>
      </c>
      <c r="I20" s="87">
        <f>IF(I8=0,0,I8/TrAvia_act!I16*100)</f>
        <v>385.48295598346192</v>
      </c>
      <c r="J20" s="87">
        <f>IF(J8=0,0,J8/TrAvia_act!J16*100)</f>
        <v>402.71053238333286</v>
      </c>
      <c r="K20" s="87">
        <f>IF(K8=0,0,K8/TrAvia_act!K16*100)</f>
        <v>391.96406251552349</v>
      </c>
      <c r="L20" s="87">
        <f>IF(L8=0,0,L8/TrAvia_act!L16*100)</f>
        <v>407.69986261270941</v>
      </c>
      <c r="M20" s="87">
        <f>IF(M8=0,0,M8/TrAvia_act!M16*100)</f>
        <v>420.34355635970888</v>
      </c>
      <c r="N20" s="87">
        <f>IF(N8=0,0,N8/TrAvia_act!N16*100)</f>
        <v>403.69818262409103</v>
      </c>
      <c r="O20" s="87">
        <f>IF(O8=0,0,O8/TrAvia_act!O16*100)</f>
        <v>400.87339307032295</v>
      </c>
      <c r="P20" s="87">
        <f>IF(P8=0,0,P8/TrAvia_act!P16*100)</f>
        <v>409.92074060636827</v>
      </c>
      <c r="Q20" s="87">
        <f>IF(Q8=0,0,Q8/TrAvia_act!Q16*100)</f>
        <v>394.06813967986676</v>
      </c>
      <c r="R20" s="87">
        <f>IF(R8=0,0,R8/TrAvia_act!R16*100)</f>
        <v>412.69991383400304</v>
      </c>
      <c r="S20" s="87">
        <f>IF(S8=0,0,S8/TrAvia_act!S16*100)</f>
        <v>403.15380541489236</v>
      </c>
      <c r="T20" s="87">
        <f>IF(T8=0,0,T8/TrAvia_act!T16*100)</f>
        <v>402.81270379974313</v>
      </c>
      <c r="U20" s="87">
        <f>IF(U8=0,0,U8/TrAvia_act!U16*100)</f>
        <v>398.8490952592486</v>
      </c>
      <c r="V20" s="87">
        <f>IF(V8=0,0,V8/TrAvia_act!V16*100)</f>
        <v>365.90274625656355</v>
      </c>
      <c r="W20" s="87">
        <f>IF(W8=0,0,W8/TrAvia_act!W16*100)</f>
        <v>366.82978981308634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492.63668267562599</v>
      </c>
      <c r="C21" s="87">
        <f>IF(C9=0,0,C9/TrAvia_act!C17*100)</f>
        <v>394.11714388222242</v>
      </c>
      <c r="D21" s="87">
        <f>IF(D9=0,0,D9/TrAvia_act!D17*100)</f>
        <v>405.37582263600615</v>
      </c>
      <c r="E21" s="87">
        <f>IF(E9=0,0,E9/TrAvia_act!E17*100)</f>
        <v>348.82301338955739</v>
      </c>
      <c r="F21" s="87">
        <f>IF(F9=0,0,F9/TrAvia_act!F17*100)</f>
        <v>442.378250540816</v>
      </c>
      <c r="G21" s="87">
        <f>IF(G9=0,0,G9/TrAvia_act!G17*100)</f>
        <v>434.01720091608985</v>
      </c>
      <c r="H21" s="87">
        <f>IF(H9=0,0,H9/TrAvia_act!H17*100)</f>
        <v>451.79651771228168</v>
      </c>
      <c r="I21" s="87">
        <f>IF(I9=0,0,I9/TrAvia_act!I17*100)</f>
        <v>444.59480712715509</v>
      </c>
      <c r="J21" s="87">
        <f>IF(J9=0,0,J9/TrAvia_act!J17*100)</f>
        <v>460.61380331554051</v>
      </c>
      <c r="K21" s="87">
        <f>IF(K9=0,0,K9/TrAvia_act!K17*100)</f>
        <v>470.12216052555243</v>
      </c>
      <c r="L21" s="87">
        <f>IF(L9=0,0,L9/TrAvia_act!L17*100)</f>
        <v>456.99466894702505</v>
      </c>
      <c r="M21" s="87">
        <f>IF(M9=0,0,M9/TrAvia_act!M17*100)</f>
        <v>459.92865044015116</v>
      </c>
      <c r="N21" s="87">
        <f>IF(N9=0,0,N9/TrAvia_act!N17*100)</f>
        <v>432.20248057716378</v>
      </c>
      <c r="O21" s="87">
        <f>IF(O9=0,0,O9/TrAvia_act!O17*100)</f>
        <v>329.25732001392299</v>
      </c>
      <c r="P21" s="87">
        <f>IF(P9=0,0,P9/TrAvia_act!P17*100)</f>
        <v>389.70932787602914</v>
      </c>
      <c r="Q21" s="87">
        <f>IF(Q9=0,0,Q9/TrAvia_act!Q17*100)</f>
        <v>501.2521270629868</v>
      </c>
      <c r="R21" s="87">
        <f>IF(R9=0,0,R9/TrAvia_act!R17*100)</f>
        <v>412.67350324613909</v>
      </c>
      <c r="S21" s="87">
        <f>IF(S9=0,0,S9/TrAvia_act!S17*100)</f>
        <v>486.95481359520807</v>
      </c>
      <c r="T21" s="87">
        <f>IF(T9=0,0,T9/TrAvia_act!T17*100)</f>
        <v>399.91396530767884</v>
      </c>
      <c r="U21" s="87">
        <f>IF(U9=0,0,U9/TrAvia_act!U17*100)</f>
        <v>234.82991709476386</v>
      </c>
      <c r="V21" s="87">
        <f>IF(V9=0,0,V9/TrAvia_act!V17*100)</f>
        <v>378.96317084192651</v>
      </c>
      <c r="W21" s="87">
        <f>IF(W9=0,0,W9/TrAvia_act!W17*100)</f>
        <v>355.96272869162067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549.51271421433603</v>
      </c>
      <c r="C22" s="15">
        <f>IF(C10=0,0,C10/TrAvia_act!C18*100)</f>
        <v>440.03651209599354</v>
      </c>
      <c r="D22" s="15">
        <f>IF(D10=0,0,D10/TrAvia_act!D18*100)</f>
        <v>452.8934302539086</v>
      </c>
      <c r="E22" s="15">
        <f>IF(E10=0,0,E10/TrAvia_act!E18*100)</f>
        <v>389.46018198909667</v>
      </c>
      <c r="F22" s="15">
        <f>IF(F10=0,0,F10/TrAvia_act!F18*100)</f>
        <v>494.66178624843275</v>
      </c>
      <c r="G22" s="15">
        <f>IF(G10=0,0,G10/TrAvia_act!G18*100)</f>
        <v>413.57734912144082</v>
      </c>
      <c r="H22" s="15">
        <f>IF(H10=0,0,H10/TrAvia_act!H18*100)</f>
        <v>430.66673048449127</v>
      </c>
      <c r="I22" s="15">
        <f>IF(I10=0,0,I10/TrAvia_act!I18*100)</f>
        <v>401.77975675728794</v>
      </c>
      <c r="J22" s="15">
        <f>IF(J10=0,0,J10/TrAvia_act!J18*100)</f>
        <v>423.30023502244353</v>
      </c>
      <c r="K22" s="15">
        <f>IF(K10=0,0,K10/TrAvia_act!K18*100)</f>
        <v>430.42884815607113</v>
      </c>
      <c r="L22" s="15">
        <f>IF(L10=0,0,L10/TrAvia_act!L18*100)</f>
        <v>424.18782807394325</v>
      </c>
      <c r="M22" s="15">
        <f>IF(M10=0,0,M10/TrAvia_act!M18*100)</f>
        <v>424.86818981963654</v>
      </c>
      <c r="N22" s="15">
        <f>IF(N10=0,0,N10/TrAvia_act!N18*100)</f>
        <v>398.62333149273172</v>
      </c>
      <c r="O22" s="15">
        <f>IF(O10=0,0,O10/TrAvia_act!O18*100)</f>
        <v>367.19101341237439</v>
      </c>
      <c r="P22" s="15">
        <f>IF(P10=0,0,P10/TrAvia_act!P18*100)</f>
        <v>375.93943546445263</v>
      </c>
      <c r="Q22" s="15">
        <f>IF(Q10=0,0,Q10/TrAvia_act!Q18*100)</f>
        <v>357.36025412175746</v>
      </c>
      <c r="R22" s="15">
        <f>IF(R10=0,0,R10/TrAvia_act!R18*100)</f>
        <v>378.6825745019521</v>
      </c>
      <c r="S22" s="15">
        <f>IF(S10=0,0,S10/TrAvia_act!S18*100)</f>
        <v>370.70098747541658</v>
      </c>
      <c r="T22" s="15">
        <f>IF(T10=0,0,T10/TrAvia_act!T18*100)</f>
        <v>387.15358239968833</v>
      </c>
      <c r="U22" s="15">
        <f>IF(U10=0,0,U10/TrAvia_act!U18*100)</f>
        <v>392.86460788517365</v>
      </c>
      <c r="V22" s="15">
        <f>IF(V10=0,0,V10/TrAvia_act!V18*100)</f>
        <v>368.67673678393572</v>
      </c>
      <c r="W22" s="15">
        <f>IF(W10=0,0,W10/TrAvia_act!W18*100)</f>
        <v>374.57819697159039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545.29825518778262</v>
      </c>
      <c r="C24" s="101">
        <f>IF(C12=0,0,C12/TrAvia_act!C20*100)</f>
        <v>436.26020705105384</v>
      </c>
      <c r="D24" s="101">
        <f>IF(D12=0,0,D12/TrAvia_act!D20*100)</f>
        <v>448.7074637704265</v>
      </c>
      <c r="E24" s="101">
        <f>IF(E12=0,0,E12/TrAvia_act!E20*100)</f>
        <v>386.66207867036286</v>
      </c>
      <c r="F24" s="101">
        <f>IF(F12=0,0,F12/TrAvia_act!F20*100)</f>
        <v>489.69675152863311</v>
      </c>
      <c r="G24" s="101">
        <f>IF(G12=0,0,G12/TrAvia_act!G20*100)</f>
        <v>400.74405862669965</v>
      </c>
      <c r="H24" s="101">
        <f>IF(H12=0,0,H12/TrAvia_act!H20*100)</f>
        <v>424.80986584170665</v>
      </c>
      <c r="I24" s="101">
        <f>IF(I12=0,0,I12/TrAvia_act!I20*100)</f>
        <v>391.23992054178302</v>
      </c>
      <c r="J24" s="101">
        <f>IF(J12=0,0,J12/TrAvia_act!J20*100)</f>
        <v>398.71954694697763</v>
      </c>
      <c r="K24" s="101">
        <f>IF(K12=0,0,K12/TrAvia_act!K20*100)</f>
        <v>383.03781854110883</v>
      </c>
      <c r="L24" s="101">
        <f>IF(L12=0,0,L12/TrAvia_act!L20*100)</f>
        <v>385.16824657184947</v>
      </c>
      <c r="M24" s="101">
        <f>IF(M12=0,0,M12/TrAvia_act!M20*100)</f>
        <v>397.72318906926444</v>
      </c>
      <c r="N24" s="101">
        <f>IF(N12=0,0,N12/TrAvia_act!N20*100)</f>
        <v>378.33392938202599</v>
      </c>
      <c r="O24" s="101">
        <f>IF(O12=0,0,O12/TrAvia_act!O20*100)</f>
        <v>362.97611095222118</v>
      </c>
      <c r="P24" s="101">
        <f>IF(P12=0,0,P12/TrAvia_act!P20*100)</f>
        <v>371.83020157788008</v>
      </c>
      <c r="Q24" s="101">
        <f>IF(Q12=0,0,Q12/TrAvia_act!Q20*100)</f>
        <v>350.51296245416268</v>
      </c>
      <c r="R24" s="101">
        <f>IF(R12=0,0,R12/TrAvia_act!R20*100)</f>
        <v>373.62965626197939</v>
      </c>
      <c r="S24" s="101">
        <f>IF(S12=0,0,S12/TrAvia_act!S20*100)</f>
        <v>357.63522304036826</v>
      </c>
      <c r="T24" s="101">
        <f>IF(T12=0,0,T12/TrAvia_act!T20*100)</f>
        <v>376.88155990567054</v>
      </c>
      <c r="U24" s="101">
        <f>IF(U12=0,0,U12/TrAvia_act!U20*100)</f>
        <v>400.79045879278732</v>
      </c>
      <c r="V24" s="101">
        <f>IF(V12=0,0,V12/TrAvia_act!V20*100)</f>
        <v>363.78549101088413</v>
      </c>
      <c r="W24" s="101">
        <f>IF(W12=0,0,W12/TrAvia_act!W20*100)</f>
        <v>365.49136350523224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617.37461956527773</v>
      </c>
      <c r="C25" s="88">
        <f>IF(C13=0,0,C13/TrAvia_act!C21*100)</f>
        <v>493.90946781900976</v>
      </c>
      <c r="D25" s="88">
        <f>IF(D13=0,0,D13/TrAvia_act!D21*100)</f>
        <v>508.01889725628462</v>
      </c>
      <c r="E25" s="88">
        <f>IF(E13=0,0,E13/TrAvia_act!E21*100)</f>
        <v>437.14664936713763</v>
      </c>
      <c r="F25" s="88">
        <f>IF(F13=0,0,F13/TrAvia_act!F21*100)</f>
        <v>554.3905148277787</v>
      </c>
      <c r="G25" s="88">
        <f>IF(G13=0,0,G13/TrAvia_act!G21*100)</f>
        <v>543.2107669292335</v>
      </c>
      <c r="H25" s="88">
        <f>IF(H13=0,0,H13/TrAvia_act!H21*100)</f>
        <v>478.97443547175448</v>
      </c>
      <c r="I25" s="88">
        <f>IF(I13=0,0,I13/TrAvia_act!I21*100)</f>
        <v>471.90886174760942</v>
      </c>
      <c r="J25" s="88">
        <f>IF(J13=0,0,J13/TrAvia_act!J21*100)</f>
        <v>541.51863668504382</v>
      </c>
      <c r="K25" s="88">
        <f>IF(K13=0,0,K13/TrAvia_act!K21*100)</f>
        <v>617.89420613092159</v>
      </c>
      <c r="L25" s="88">
        <f>IF(L13=0,0,L13/TrAvia_act!L21*100)</f>
        <v>703.2244606136619</v>
      </c>
      <c r="M25" s="88">
        <f>IF(M13=0,0,M13/TrAvia_act!M21*100)</f>
        <v>711.2880966267345</v>
      </c>
      <c r="N25" s="88">
        <f>IF(N13=0,0,N13/TrAvia_act!N21*100)</f>
        <v>554.04827121799815</v>
      </c>
      <c r="O25" s="88">
        <f>IF(O13=0,0,O13/TrAvia_act!O21*100)</f>
        <v>391.60583345003761</v>
      </c>
      <c r="P25" s="88">
        <f>IF(P13=0,0,P13/TrAvia_act!P21*100)</f>
        <v>413.54688246682718</v>
      </c>
      <c r="Q25" s="88">
        <f>IF(Q13=0,0,Q13/TrAvia_act!Q21*100)</f>
        <v>500.29916792304834</v>
      </c>
      <c r="R25" s="88">
        <f>IF(R13=0,0,R13/TrAvia_act!R21*100)</f>
        <v>419.68848162012557</v>
      </c>
      <c r="S25" s="88">
        <f>IF(S13=0,0,S13/TrAvia_act!S21*100)</f>
        <v>552.96222575270428</v>
      </c>
      <c r="T25" s="88">
        <f>IF(T13=0,0,T13/TrAvia_act!T21*100)</f>
        <v>572.61079292177396</v>
      </c>
      <c r="U25" s="88">
        <f>IF(U13=0,0,U13/TrAvia_act!U21*100)</f>
        <v>288.94448098257084</v>
      </c>
      <c r="V25" s="88">
        <f>IF(V13=0,0,V13/TrAvia_act!V21*100)</f>
        <v>393.9802335239724</v>
      </c>
      <c r="W25" s="88">
        <f>IF(W13=0,0,W13/TrAvia_act!W21*100)</f>
        <v>430.24264848362191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42.290583997774945</v>
      </c>
      <c r="C28" s="14">
        <f>IF(C6=0,0,C6/TrAvia_act!C4*1000)</f>
        <v>34.058921957886405</v>
      </c>
      <c r="D28" s="14">
        <f>IF(D6=0,0,D6/TrAvia_act!D4*1000)</f>
        <v>36.373524422292128</v>
      </c>
      <c r="E28" s="14">
        <f>IF(E6=0,0,E6/TrAvia_act!E4*1000)</f>
        <v>32.480047231048367</v>
      </c>
      <c r="F28" s="14">
        <f>IF(F6=0,0,F6/TrAvia_act!F4*1000)</f>
        <v>40.51250141918657</v>
      </c>
      <c r="G28" s="14">
        <f>IF(G6=0,0,G6/TrAvia_act!G4*1000)</f>
        <v>34.071828405268178</v>
      </c>
      <c r="H28" s="14">
        <f>IF(H6=0,0,H6/TrAvia_act!H4*1000)</f>
        <v>36.088809420061629</v>
      </c>
      <c r="I28" s="14">
        <f>IF(I6=0,0,I6/TrAvia_act!I4*1000)</f>
        <v>35.067708813237168</v>
      </c>
      <c r="J28" s="14">
        <f>IF(J6=0,0,J6/TrAvia_act!J4*1000)</f>
        <v>34.937607946274333</v>
      </c>
      <c r="K28" s="14">
        <f>IF(K6=0,0,K6/TrAvia_act!K4*1000)</f>
        <v>35.303942649888455</v>
      </c>
      <c r="L28" s="14">
        <f>IF(L6=0,0,L6/TrAvia_act!L4*1000)</f>
        <v>35.79405687319295</v>
      </c>
      <c r="M28" s="14">
        <f>IF(M6=0,0,M6/TrAvia_act!M4*1000)</f>
        <v>33.364620786122764</v>
      </c>
      <c r="N28" s="14">
        <f>IF(N6=0,0,N6/TrAvia_act!N4*1000)</f>
        <v>31.042813659445443</v>
      </c>
      <c r="O28" s="14">
        <f>IF(O6=0,0,O6/TrAvia_act!O4*1000)</f>
        <v>29.845974441364699</v>
      </c>
      <c r="P28" s="14">
        <f>IF(P6=0,0,P6/TrAvia_act!P4*1000)</f>
        <v>30.951964433474064</v>
      </c>
      <c r="Q28" s="14">
        <f>IF(Q6=0,0,Q6/TrAvia_act!Q4*1000)</f>
        <v>30.423716303452633</v>
      </c>
      <c r="R28" s="14">
        <f>IF(R6=0,0,R6/TrAvia_act!R4*1000)</f>
        <v>28.931291969159741</v>
      </c>
      <c r="S28" s="14">
        <f>IF(S6=0,0,S6/TrAvia_act!S4*1000)</f>
        <v>28.386968994676227</v>
      </c>
      <c r="T28" s="14">
        <f>IF(T6=0,0,T6/TrAvia_act!T4*1000)</f>
        <v>28.07438323137092</v>
      </c>
      <c r="U28" s="14">
        <f>IF(U6=0,0,U6/TrAvia_act!U4*1000)</f>
        <v>27.041075582427681</v>
      </c>
      <c r="V28" s="14">
        <f>IF(V6=0,0,V6/TrAvia_act!V4*1000)</f>
        <v>37.773693626159513</v>
      </c>
      <c r="W28" s="14">
        <f>IF(W6=0,0,W6/TrAvia_act!W4*1000)</f>
        <v>36.648491389774208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39.999825974476614</v>
      </c>
      <c r="C30" s="87">
        <f>IF(C8=0,0,C8/TrAvia_act!C6*1000)</f>
        <v>32.236583144688709</v>
      </c>
      <c r="D30" s="87">
        <f>IF(D8=0,0,D8/TrAvia_act!D6*1000)</f>
        <v>34.554786700795731</v>
      </c>
      <c r="E30" s="87">
        <f>IF(E8=0,0,E8/TrAvia_act!E6*1000)</f>
        <v>31.218177200690334</v>
      </c>
      <c r="F30" s="87">
        <f>IF(F8=0,0,F8/TrAvia_act!F6*1000)</f>
        <v>39.026340325821948</v>
      </c>
      <c r="G30" s="87">
        <f>IF(G8=0,0,G8/TrAvia_act!G6*1000)</f>
        <v>32.881042414627295</v>
      </c>
      <c r="H30" s="87">
        <f>IF(H8=0,0,H8/TrAvia_act!H6*1000)</f>
        <v>34.67707175422688</v>
      </c>
      <c r="I30" s="87">
        <f>IF(I8=0,0,I8/TrAvia_act!I6*1000)</f>
        <v>33.547140955767553</v>
      </c>
      <c r="J30" s="87">
        <f>IF(J8=0,0,J8/TrAvia_act!J6*1000)</f>
        <v>33.298929613436954</v>
      </c>
      <c r="K30" s="87">
        <f>IF(K8=0,0,K8/TrAvia_act!K6*1000)</f>
        <v>33.384019650052764</v>
      </c>
      <c r="L30" s="87">
        <f>IF(L8=0,0,L8/TrAvia_act!L6*1000)</f>
        <v>34.141371701795613</v>
      </c>
      <c r="M30" s="87">
        <f>IF(M8=0,0,M8/TrAvia_act!M6*1000)</f>
        <v>32.316633256667295</v>
      </c>
      <c r="N30" s="87">
        <f>IF(N8=0,0,N8/TrAvia_act!N6*1000)</f>
        <v>29.871387443639566</v>
      </c>
      <c r="O30" s="87">
        <f>IF(O8=0,0,O8/TrAvia_act!O6*1000)</f>
        <v>29.303742196899485</v>
      </c>
      <c r="P30" s="87">
        <f>IF(P8=0,0,P8/TrAvia_act!P6*1000)</f>
        <v>29.972232103820662</v>
      </c>
      <c r="Q30" s="87">
        <f>IF(Q8=0,0,Q8/TrAvia_act!Q6*1000)</f>
        <v>29.211809368851902</v>
      </c>
      <c r="R30" s="87">
        <f>IF(R8=0,0,R8/TrAvia_act!R6*1000)</f>
        <v>28.843413388677767</v>
      </c>
      <c r="S30" s="87">
        <f>IF(S8=0,0,S8/TrAvia_act!S6*1000)</f>
        <v>27.605477040649983</v>
      </c>
      <c r="T30" s="87">
        <f>IF(T8=0,0,T8/TrAvia_act!T6*1000)</f>
        <v>27.55905908242087</v>
      </c>
      <c r="U30" s="87">
        <f>IF(U8=0,0,U8/TrAvia_act!U6*1000)</f>
        <v>27.419274609144882</v>
      </c>
      <c r="V30" s="87">
        <f>IF(V8=0,0,V8/TrAvia_act!V6*1000)</f>
        <v>36.151733122279744</v>
      </c>
      <c r="W30" s="87">
        <f>IF(W8=0,0,W8/TrAvia_act!W6*1000)</f>
        <v>35.386210993845836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68.873877898864365</v>
      </c>
      <c r="C31" s="87">
        <f>IF(C9=0,0,C9/TrAvia_act!C7*1000)</f>
        <v>55.021073316190396</v>
      </c>
      <c r="D31" s="87">
        <f>IF(D9=0,0,D9/TrAvia_act!D7*1000)</f>
        <v>62.49526004781201</v>
      </c>
      <c r="E31" s="87">
        <f>IF(E9=0,0,E9/TrAvia_act!E7*1000)</f>
        <v>50.367263648976554</v>
      </c>
      <c r="F31" s="87">
        <f>IF(F9=0,0,F9/TrAvia_act!F7*1000)</f>
        <v>62.812165173848982</v>
      </c>
      <c r="G31" s="87">
        <f>IF(G9=0,0,G9/TrAvia_act!G7*1000)</f>
        <v>52.592673317004945</v>
      </c>
      <c r="H31" s="87">
        <f>IF(H9=0,0,H9/TrAvia_act!H7*1000)</f>
        <v>58.478947042557053</v>
      </c>
      <c r="I31" s="87">
        <f>IF(I9=0,0,I9/TrAvia_act!I7*1000)</f>
        <v>63.170514791843772</v>
      </c>
      <c r="J31" s="87">
        <f>IF(J9=0,0,J9/TrAvia_act!J7*1000)</f>
        <v>63.690646325049379</v>
      </c>
      <c r="K31" s="87">
        <f>IF(K9=0,0,K9/TrAvia_act!K7*1000)</f>
        <v>69.71905602019983</v>
      </c>
      <c r="L31" s="87">
        <f>IF(L9=0,0,L9/TrAvia_act!L7*1000)</f>
        <v>61.994197136971813</v>
      </c>
      <c r="M31" s="87">
        <f>IF(M9=0,0,M9/TrAvia_act!M7*1000)</f>
        <v>46.80206236635518</v>
      </c>
      <c r="N31" s="87">
        <f>IF(N9=0,0,N9/TrAvia_act!N7*1000)</f>
        <v>47.090867943041076</v>
      </c>
      <c r="O31" s="87">
        <f>IF(O9=0,0,O9/TrAvia_act!O7*1000)</f>
        <v>35.73286722840065</v>
      </c>
      <c r="P31" s="87">
        <f>IF(P9=0,0,P9/TrAvia_act!P7*1000)</f>
        <v>44.337188662998187</v>
      </c>
      <c r="Q31" s="87">
        <f>IF(Q9=0,0,Q9/TrAvia_act!Q7*1000)</f>
        <v>49.371303776351915</v>
      </c>
      <c r="R31" s="87">
        <f>IF(R9=0,0,R9/TrAvia_act!R7*1000)</f>
        <v>29.808553524549197</v>
      </c>
      <c r="S31" s="87">
        <f>IF(S9=0,0,S9/TrAvia_act!S7*1000)</f>
        <v>39.768361048628151</v>
      </c>
      <c r="T31" s="87">
        <f>IF(T9=0,0,T9/TrAvia_act!T7*1000)</f>
        <v>34.927244158266113</v>
      </c>
      <c r="U31" s="87">
        <f>IF(U9=0,0,U9/TrAvia_act!U7*1000)</f>
        <v>23.655674600224483</v>
      </c>
      <c r="V31" s="87">
        <f>IF(V9=0,0,V9/TrAvia_act!V7*1000)</f>
        <v>51.836066847088716</v>
      </c>
      <c r="W31" s="87">
        <f>IF(W9=0,0,W9/TrAvia_act!W7*1000)</f>
        <v>49.215965327277182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245.47734738449901</v>
      </c>
      <c r="C32" s="15">
        <f>IF(C10=0,0,C10/TrAvia_act!C8*1000)</f>
        <v>178.8870066031028</v>
      </c>
      <c r="D32" s="15">
        <f>IF(D10=0,0,D10/TrAvia_act!D8*1000)</f>
        <v>193.0146348328341</v>
      </c>
      <c r="E32" s="15">
        <f>IF(E10=0,0,E10/TrAvia_act!E8*1000)</f>
        <v>171.40187164621042</v>
      </c>
      <c r="F32" s="15">
        <f>IF(F10=0,0,F10/TrAvia_act!F8*1000)</f>
        <v>231.4042578938961</v>
      </c>
      <c r="G32" s="15">
        <f>IF(G10=0,0,G10/TrAvia_act!G8*1000)</f>
        <v>194.5002009912379</v>
      </c>
      <c r="H32" s="15">
        <f>IF(H10=0,0,H10/TrAvia_act!H8*1000)</f>
        <v>211.2732592727144</v>
      </c>
      <c r="I32" s="15">
        <f>IF(I10=0,0,I10/TrAvia_act!I8*1000)</f>
        <v>190.61645375304434</v>
      </c>
      <c r="J32" s="15">
        <f>IF(J10=0,0,J10/TrAvia_act!J8*1000)</f>
        <v>190.22367736705857</v>
      </c>
      <c r="K32" s="15">
        <f>IF(K10=0,0,K10/TrAvia_act!K8*1000)</f>
        <v>172.6012324580521</v>
      </c>
      <c r="L32" s="15">
        <f>IF(L10=0,0,L10/TrAvia_act!L8*1000)</f>
        <v>190.98249416281291</v>
      </c>
      <c r="M32" s="15">
        <f>IF(M10=0,0,M10/TrAvia_act!M8*1000)</f>
        <v>195.44903937084391</v>
      </c>
      <c r="N32" s="15">
        <f>IF(N10=0,0,N10/TrAvia_act!N8*1000)</f>
        <v>159.0833385435734</v>
      </c>
      <c r="O32" s="15">
        <f>IF(O10=0,0,O10/TrAvia_act!O8*1000)</f>
        <v>138.63597234279902</v>
      </c>
      <c r="P32" s="15">
        <f>IF(P10=0,0,P10/TrAvia_act!P8*1000)</f>
        <v>138.03541803712366</v>
      </c>
      <c r="Q32" s="15">
        <f>IF(Q10=0,0,Q10/TrAvia_act!Q8*1000)</f>
        <v>144.25197436535058</v>
      </c>
      <c r="R32" s="15">
        <f>IF(R10=0,0,R10/TrAvia_act!R8*1000)</f>
        <v>113.99667572551826</v>
      </c>
      <c r="S32" s="15">
        <f>IF(S10=0,0,S10/TrAvia_act!S8*1000)</f>
        <v>136.970316378587</v>
      </c>
      <c r="T32" s="15">
        <f>IF(T10=0,0,T10/TrAvia_act!T8*1000)</f>
        <v>148.78313573596523</v>
      </c>
      <c r="U32" s="15">
        <f>IF(U10=0,0,U10/TrAvia_act!U8*1000)</f>
        <v>142.03238752036992</v>
      </c>
      <c r="V32" s="15">
        <f>IF(V10=0,0,V10/TrAvia_act!V8*1000)</f>
        <v>140.19487392702084</v>
      </c>
      <c r="W32" s="15">
        <f>IF(W10=0,0,W10/TrAvia_act!W8*1000)</f>
        <v>147.56785250670964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279.72505489840307</v>
      </c>
      <c r="C34" s="101">
        <f>IF(C12=0,0,C12/TrAvia_act!C10*1000)</f>
        <v>205.19959592261563</v>
      </c>
      <c r="D34" s="101">
        <f>IF(D12=0,0,D12/TrAvia_act!D10*1000)</f>
        <v>223.61007758869457</v>
      </c>
      <c r="E34" s="101">
        <f>IF(E12=0,0,E12/TrAvia_act!E10*1000)</f>
        <v>189.37187113820647</v>
      </c>
      <c r="F34" s="101">
        <f>IF(F12=0,0,F12/TrAvia_act!F10*1000)</f>
        <v>269.77793679769223</v>
      </c>
      <c r="G34" s="101">
        <f>IF(G12=0,0,G12/TrAvia_act!G10*1000)</f>
        <v>225.55722939449115</v>
      </c>
      <c r="H34" s="101">
        <f>IF(H12=0,0,H12/TrAvia_act!H10*1000)</f>
        <v>261.84297881984878</v>
      </c>
      <c r="I34" s="101">
        <f>IF(I12=0,0,I12/TrAvia_act!I10*1000)</f>
        <v>242.07904384879873</v>
      </c>
      <c r="J34" s="101">
        <f>IF(J12=0,0,J12/TrAvia_act!J10*1000)</f>
        <v>250.434223610271</v>
      </c>
      <c r="K34" s="101">
        <f>IF(K12=0,0,K12/TrAvia_act!K10*1000)</f>
        <v>236.20869814882906</v>
      </c>
      <c r="L34" s="101">
        <f>IF(L12=0,0,L12/TrAvia_act!L10*1000)</f>
        <v>228.36101274536682</v>
      </c>
      <c r="M34" s="101">
        <f>IF(M12=0,0,M12/TrAvia_act!M10*1000)</f>
        <v>222.52498240666276</v>
      </c>
      <c r="N34" s="101">
        <f>IF(N12=0,0,N12/TrAvia_act!N10*1000)</f>
        <v>192.4609034426926</v>
      </c>
      <c r="O34" s="101">
        <f>IF(O12=0,0,O12/TrAvia_act!O10*1000)</f>
        <v>185.34231839963024</v>
      </c>
      <c r="P34" s="101">
        <f>IF(P12=0,0,P12/TrAvia_act!P10*1000)</f>
        <v>166.38113327414305</v>
      </c>
      <c r="Q34" s="101">
        <f>IF(Q12=0,0,Q12/TrAvia_act!Q10*1000)</f>
        <v>157.58234239907577</v>
      </c>
      <c r="R34" s="101">
        <f>IF(R12=0,0,R12/TrAvia_act!R10*1000)</f>
        <v>151.96950637711328</v>
      </c>
      <c r="S34" s="101">
        <f>IF(S12=0,0,S12/TrAvia_act!S10*1000)</f>
        <v>157.67462691108068</v>
      </c>
      <c r="T34" s="101">
        <f>IF(T12=0,0,T12/TrAvia_act!T10*1000)</f>
        <v>165.36402650560828</v>
      </c>
      <c r="U34" s="101">
        <f>IF(U12=0,0,U12/TrAvia_act!U10*1000)</f>
        <v>171.15811855145103</v>
      </c>
      <c r="V34" s="101">
        <f>IF(V12=0,0,V12/TrAvia_act!V10*1000)</f>
        <v>180.72470007717786</v>
      </c>
      <c r="W34" s="101">
        <f>IF(W12=0,0,W12/TrAvia_act!W10*1000)</f>
        <v>192.22577600672201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89.548298998698314</v>
      </c>
      <c r="C35" s="88">
        <f>IF(C13=0,0,C13/TrAvia_act!C11*1000)</f>
        <v>68.386968927839774</v>
      </c>
      <c r="D35" s="88">
        <f>IF(D13=0,0,D13/TrAvia_act!D11*1000)</f>
        <v>74.48002810892747</v>
      </c>
      <c r="E35" s="88">
        <f>IF(E13=0,0,E13/TrAvia_act!E11*1000)</f>
        <v>70.523096623951375</v>
      </c>
      <c r="F35" s="88">
        <f>IF(F13=0,0,F13/TrAvia_act!F11*1000)</f>
        <v>92.138983754249196</v>
      </c>
      <c r="G35" s="88">
        <f>IF(G13=0,0,G13/TrAvia_act!G11*1000)</f>
        <v>95.998328280898107</v>
      </c>
      <c r="H35" s="88">
        <f>IF(H13=0,0,H13/TrAvia_act!H11*1000)</f>
        <v>87.563235433175748</v>
      </c>
      <c r="I35" s="88">
        <f>IF(I13=0,0,I13/TrAvia_act!I11*1000)</f>
        <v>87.73285240903931</v>
      </c>
      <c r="J35" s="88">
        <f>IF(J13=0,0,J13/TrAvia_act!J11*1000)</f>
        <v>102.74689907553299</v>
      </c>
      <c r="K35" s="88">
        <f>IF(K13=0,0,K13/TrAvia_act!K11*1000)</f>
        <v>103.95563820795103</v>
      </c>
      <c r="L35" s="88">
        <f>IF(L13=0,0,L13/TrAvia_act!L11*1000)</f>
        <v>116.37369275285489</v>
      </c>
      <c r="M35" s="88">
        <f>IF(M13=0,0,M13/TrAvia_act!M11*1000)</f>
        <v>113.77321132072093</v>
      </c>
      <c r="N35" s="88">
        <f>IF(N13=0,0,N13/TrAvia_act!N11*1000)</f>
        <v>83.413060460137999</v>
      </c>
      <c r="O35" s="88">
        <f>IF(O13=0,0,O13/TrAvia_act!O11*1000)</f>
        <v>58.918940537737939</v>
      </c>
      <c r="P35" s="88">
        <f>IF(P13=0,0,P13/TrAvia_act!P11*1000)</f>
        <v>57.469322174960283</v>
      </c>
      <c r="Q35" s="88">
        <f>IF(Q13=0,0,Q13/TrAvia_act!Q11*1000)</f>
        <v>64.478749648174087</v>
      </c>
      <c r="R35" s="88">
        <f>IF(R13=0,0,R13/TrAvia_act!R11*1000)</f>
        <v>40.637048265040768</v>
      </c>
      <c r="S35" s="88">
        <f>IF(S13=0,0,S13/TrAvia_act!S11*1000)</f>
        <v>62.695652062361525</v>
      </c>
      <c r="T35" s="88">
        <f>IF(T13=0,0,T13/TrAvia_act!T11*1000)</f>
        <v>67.890503293222736</v>
      </c>
      <c r="U35" s="88">
        <f>IF(U13=0,0,U13/TrAvia_act!U11*1000)</f>
        <v>34.685827545541905</v>
      </c>
      <c r="V35" s="88">
        <f>IF(V13=0,0,V13/TrAvia_act!V11*1000)</f>
        <v>67.686248780119541</v>
      </c>
      <c r="W35" s="88">
        <f>IF(W13=0,0,W13/TrAvia_act!W11*1000)</f>
        <v>66.803884744422433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8518.2332790987821</v>
      </c>
      <c r="C37" s="62">
        <f>IF(C3=0,0,C3/TrAvia_act!C23*1000000)</f>
        <v>6814.948709994188</v>
      </c>
      <c r="D37" s="62">
        <f>IF(D3=0,0,D3/TrAvia_act!D23*1000000)</f>
        <v>7092.7248575132644</v>
      </c>
      <c r="E37" s="62">
        <f>IF(E3=0,0,E3/TrAvia_act!E23*1000000)</f>
        <v>6130.3780134390618</v>
      </c>
      <c r="F37" s="62">
        <f>IF(F3=0,0,F3/TrAvia_act!F23*1000000)</f>
        <v>7771.2605366923372</v>
      </c>
      <c r="G37" s="62">
        <f>IF(G3=0,0,G3/TrAvia_act!G23*1000000)</f>
        <v>6592.9083724099628</v>
      </c>
      <c r="H37" s="62">
        <f>IF(H3=0,0,H3/TrAvia_act!H23*1000000)</f>
        <v>6943.2184777258353</v>
      </c>
      <c r="I37" s="62">
        <f>IF(I3=0,0,I3/TrAvia_act!I23*1000000)</f>
        <v>6574.3079020115156</v>
      </c>
      <c r="J37" s="62">
        <f>IF(J3=0,0,J3/TrAvia_act!J23*1000000)</f>
        <v>6880.0976713587215</v>
      </c>
      <c r="K37" s="62">
        <f>IF(K3=0,0,K3/TrAvia_act!K23*1000000)</f>
        <v>6637.2385789827849</v>
      </c>
      <c r="L37" s="62">
        <f>IF(L3=0,0,L3/TrAvia_act!L23*1000000)</f>
        <v>6815.2488902959303</v>
      </c>
      <c r="M37" s="62">
        <f>IF(M3=0,0,M3/TrAvia_act!M23*1000000)</f>
        <v>7269.2930122345497</v>
      </c>
      <c r="N37" s="62">
        <f>IF(N3=0,0,N3/TrAvia_act!N23*1000000)</f>
        <v>6880.0147741362343</v>
      </c>
      <c r="O37" s="62">
        <f>IF(O3=0,0,O3/TrAvia_act!O23*1000000)</f>
        <v>6676.2973423817539</v>
      </c>
      <c r="P37" s="62">
        <f>IF(P3=0,0,P3/TrAvia_act!P23*1000000)</f>
        <v>6841.0555813959854</v>
      </c>
      <c r="Q37" s="62">
        <f>IF(Q3=0,0,Q3/TrAvia_act!Q23*1000000)</f>
        <v>6687.5188465845622</v>
      </c>
      <c r="R37" s="62">
        <f>IF(R3=0,0,R3/TrAvia_act!R23*1000000)</f>
        <v>6873.8060248331176</v>
      </c>
      <c r="S37" s="62">
        <f>IF(S3=0,0,S3/TrAvia_act!S23*1000000)</f>
        <v>6694.411931072138</v>
      </c>
      <c r="T37" s="62">
        <f>IF(T3=0,0,T3/TrAvia_act!T23*1000000)</f>
        <v>6590.1374418850974</v>
      </c>
      <c r="U37" s="62">
        <f>IF(U3=0,0,U3/TrAvia_act!U23*1000000)</f>
        <v>6332.6327468455647</v>
      </c>
      <c r="V37" s="62">
        <f>IF(V3=0,0,V3/TrAvia_act!V23*1000000)</f>
        <v>6117.2506204514493</v>
      </c>
      <c r="W37" s="62">
        <f>IF(W3=0,0,W3/TrAvia_act!W23*1000000)</f>
        <v>5879.8835053471303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8544.5826185523165</v>
      </c>
      <c r="C38" s="14">
        <f>IF(C6=0,0,C6/TrAvia_act!C24*1000000)</f>
        <v>6835.8053807879623</v>
      </c>
      <c r="D38" s="14">
        <f>IF(D6=0,0,D6/TrAvia_act!D24*1000000)</f>
        <v>7117.2702849108182</v>
      </c>
      <c r="E38" s="14">
        <f>IF(E6=0,0,E6/TrAvia_act!E24*1000000)</f>
        <v>6165.6073295345232</v>
      </c>
      <c r="F38" s="14">
        <f>IF(F6=0,0,F6/TrAvia_act!F24*1000000)</f>
        <v>7807.6565544487021</v>
      </c>
      <c r="G38" s="14">
        <f>IF(G6=0,0,G6/TrAvia_act!G24*1000000)</f>
        <v>6633.0199633540187</v>
      </c>
      <c r="H38" s="14">
        <f>IF(H6=0,0,H6/TrAvia_act!H24*1000000)</f>
        <v>6990.6779352580934</v>
      </c>
      <c r="I38" s="14">
        <f>IF(I6=0,0,I6/TrAvia_act!I24*1000000)</f>
        <v>6603.0208014790642</v>
      </c>
      <c r="J38" s="14">
        <f>IF(J6=0,0,J6/TrAvia_act!J24*1000000)</f>
        <v>6887.154330641436</v>
      </c>
      <c r="K38" s="14">
        <f>IF(K6=0,0,K6/TrAvia_act!K24*1000000)</f>
        <v>6612.5176070757943</v>
      </c>
      <c r="L38" s="14">
        <f>IF(L6=0,0,L6/TrAvia_act!L24*1000000)</f>
        <v>6804.3630694349786</v>
      </c>
      <c r="M38" s="14">
        <f>IF(M6=0,0,M6/TrAvia_act!M24*1000000)</f>
        <v>7262.2416516658423</v>
      </c>
      <c r="N38" s="14">
        <f>IF(N6=0,0,N6/TrAvia_act!N24*1000000)</f>
        <v>6867.9875921370649</v>
      </c>
      <c r="O38" s="14">
        <f>IF(O6=0,0,O6/TrAvia_act!O24*1000000)</f>
        <v>6680.3587515169602</v>
      </c>
      <c r="P38" s="14">
        <f>IF(P6=0,0,P6/TrAvia_act!P24*1000000)</f>
        <v>6851.8854066625363</v>
      </c>
      <c r="Q38" s="14">
        <f>IF(Q6=0,0,Q6/TrAvia_act!Q24*1000000)</f>
        <v>6710.1982854802391</v>
      </c>
      <c r="R38" s="14">
        <f>IF(R6=0,0,R6/TrAvia_act!R24*1000000)</f>
        <v>6889.1576839239369</v>
      </c>
      <c r="S38" s="14">
        <f>IF(S6=0,0,S6/TrAvia_act!S24*1000000)</f>
        <v>6713.2956847970227</v>
      </c>
      <c r="T38" s="14">
        <f>IF(T6=0,0,T6/TrAvia_act!T24*1000000)</f>
        <v>6607.0405317515497</v>
      </c>
      <c r="U38" s="14">
        <f>IF(U6=0,0,U6/TrAvia_act!U24*1000000)</f>
        <v>6341.012332412276</v>
      </c>
      <c r="V38" s="14">
        <f>IF(V6=0,0,V6/TrAvia_act!V24*1000000)</f>
        <v>6155.6026758357002</v>
      </c>
      <c r="W38" s="14">
        <f>IF(W6=0,0,W6/TrAvia_act!W24*1000000)</f>
        <v>5916.6583652346762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9311.6496415430156</v>
      </c>
      <c r="C40" s="87">
        <f>IF(C8=0,0,C8/TrAvia_act!C26*1000000)</f>
        <v>7449.4825716115647</v>
      </c>
      <c r="D40" s="87">
        <f>IF(D8=0,0,D8/TrAvia_act!D26*1000000)</f>
        <v>7672.0506269979896</v>
      </c>
      <c r="E40" s="87">
        <f>IF(E8=0,0,E8/TrAvia_act!E26*1000000)</f>
        <v>6605.3042760056196</v>
      </c>
      <c r="F40" s="87">
        <f>IF(F8=0,0,F8/TrAvia_act!F26*1000000)</f>
        <v>8328.0067494710183</v>
      </c>
      <c r="G40" s="87">
        <f>IF(G8=0,0,G8/TrAvia_act!G26*1000000)</f>
        <v>6892.3373984214859</v>
      </c>
      <c r="H40" s="87">
        <f>IF(H8=0,0,H8/TrAvia_act!H26*1000000)</f>
        <v>7186.5678023794862</v>
      </c>
      <c r="I40" s="87">
        <f>IF(I8=0,0,I8/TrAvia_act!I26*1000000)</f>
        <v>6743.5025667754589</v>
      </c>
      <c r="J40" s="87">
        <f>IF(J8=0,0,J8/TrAvia_act!J26*1000000)</f>
        <v>6990.3500199426917</v>
      </c>
      <c r="K40" s="87">
        <f>IF(K8=0,0,K8/TrAvia_act!K26*1000000)</f>
        <v>6678.06795820363</v>
      </c>
      <c r="L40" s="87">
        <f>IF(L8=0,0,L8/TrAvia_act!L26*1000000)</f>
        <v>6905.6371220046285</v>
      </c>
      <c r="M40" s="87">
        <f>IF(M8=0,0,M8/TrAvia_act!M26*1000000)</f>
        <v>7247.6109437289788</v>
      </c>
      <c r="N40" s="87">
        <f>IF(N8=0,0,N8/TrAvia_act!N26*1000000)</f>
        <v>7001.9422983093255</v>
      </c>
      <c r="O40" s="87">
        <f>IF(O8=0,0,O8/TrAvia_act!O26*1000000)</f>
        <v>6982.9258934389336</v>
      </c>
      <c r="P40" s="87">
        <f>IF(P8=0,0,P8/TrAvia_act!P26*1000000)</f>
        <v>7075.4197916027269</v>
      </c>
      <c r="Q40" s="87">
        <f>IF(Q8=0,0,Q8/TrAvia_act!Q26*1000000)</f>
        <v>6752.518163910664</v>
      </c>
      <c r="R40" s="87">
        <f>IF(R8=0,0,R8/TrAvia_act!R26*1000000)</f>
        <v>6945.964746757998</v>
      </c>
      <c r="S40" s="87">
        <f>IF(S8=0,0,S8/TrAvia_act!S26*1000000)</f>
        <v>6728.4663568172145</v>
      </c>
      <c r="T40" s="87">
        <f>IF(T8=0,0,T8/TrAvia_act!T26*1000000)</f>
        <v>6711.2251334473658</v>
      </c>
      <c r="U40" s="87">
        <f>IF(U8=0,0,U8/TrAvia_act!U26*1000000)</f>
        <v>6703.8500374103887</v>
      </c>
      <c r="V40" s="87">
        <f>IF(V8=0,0,V8/TrAvia_act!V26*1000000)</f>
        <v>6015.6543620154953</v>
      </c>
      <c r="W40" s="87">
        <f>IF(W8=0,0,W8/TrAvia_act!W26*1000000)</f>
        <v>5878.2223829436225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5494.2452785879341</v>
      </c>
      <c r="C41" s="87">
        <f>IF(C9=0,0,C9/TrAvia_act!C27*1000000)</f>
        <v>4395.4831890000414</v>
      </c>
      <c r="D41" s="87">
        <f>IF(D9=0,0,D9/TrAvia_act!D27*1000000)</f>
        <v>4521.0482245758521</v>
      </c>
      <c r="E41" s="87">
        <f>IF(E9=0,0,E9/TrAvia_act!E27*1000000)</f>
        <v>3890.3298551973912</v>
      </c>
      <c r="F41" s="87">
        <f>IF(F9=0,0,F9/TrAvia_act!F27*1000000)</f>
        <v>4933.726415140387</v>
      </c>
      <c r="G41" s="87">
        <f>IF(G9=0,0,G9/TrAvia_act!G27*1000000)</f>
        <v>4856.3026279372225</v>
      </c>
      <c r="H41" s="87">
        <f>IF(H9=0,0,H9/TrAvia_act!H27*1000000)</f>
        <v>5564.2686211487926</v>
      </c>
      <c r="I41" s="87">
        <f>IF(I9=0,0,I9/TrAvia_act!I27*1000000)</f>
        <v>5482.1183642618607</v>
      </c>
      <c r="J41" s="87">
        <f>IF(J9=0,0,J9/TrAvia_act!J27*1000000)</f>
        <v>6065.6920245535048</v>
      </c>
      <c r="K41" s="87">
        <f>IF(K9=0,0,K9/TrAvia_act!K27*1000000)</f>
        <v>6098.6945453770286</v>
      </c>
      <c r="L41" s="87">
        <f>IF(L9=0,0,L9/TrAvia_act!L27*1000000)</f>
        <v>6032.0351873161571</v>
      </c>
      <c r="M41" s="87">
        <f>IF(M9=0,0,M9/TrAvia_act!M27*1000000)</f>
        <v>7394.4001237889424</v>
      </c>
      <c r="N41" s="87">
        <f>IF(N9=0,0,N9/TrAvia_act!N27*1000000)</f>
        <v>5888.9420879210656</v>
      </c>
      <c r="O41" s="87">
        <f>IF(O9=0,0,O9/TrAvia_act!O27*1000000)</f>
        <v>4820.6469043061725</v>
      </c>
      <c r="P41" s="87">
        <f>IF(P9=0,0,P9/TrAvia_act!P27*1000000)</f>
        <v>5304.2042047772729</v>
      </c>
      <c r="Q41" s="87">
        <f>IF(Q9=0,0,Q9/TrAvia_act!Q27*1000000)</f>
        <v>6342.487168856378</v>
      </c>
      <c r="R41" s="87">
        <f>IF(R9=0,0,R9/TrAvia_act!R27*1000000)</f>
        <v>6384.7674591691284</v>
      </c>
      <c r="S41" s="87">
        <f>IF(S9=0,0,S9/TrAvia_act!S27*1000000)</f>
        <v>6563.6842287328463</v>
      </c>
      <c r="T41" s="87">
        <f>IF(T9=0,0,T9/TrAvia_act!T27*1000000)</f>
        <v>5681.5718614024308</v>
      </c>
      <c r="U41" s="87">
        <f>IF(U9=0,0,U9/TrAvia_act!U27*1000000)</f>
        <v>4060.683111786283</v>
      </c>
      <c r="V41" s="87">
        <f>IF(V9=0,0,V9/TrAvia_act!V27*1000000)</f>
        <v>7163.2547898149733</v>
      </c>
      <c r="W41" s="87">
        <f>IF(W9=0,0,W9/TrAvia_act!W27*1000000)</f>
        <v>6207.1996815702323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7464.4780656490484</v>
      </c>
      <c r="C42" s="15">
        <f>IF(C10=0,0,C10/TrAvia_act!C28*1000000)</f>
        <v>5943.0756964427319</v>
      </c>
      <c r="D42" s="15">
        <f>IF(D10=0,0,D10/TrAvia_act!D28*1000000)</f>
        <v>6097.5695711603194</v>
      </c>
      <c r="E42" s="15">
        <f>IF(E10=0,0,E10/TrAvia_act!E28*1000000)</f>
        <v>5167.5691026759687</v>
      </c>
      <c r="F42" s="15">
        <f>IF(F10=0,0,F10/TrAvia_act!F28*1000000)</f>
        <v>6622.2241217480678</v>
      </c>
      <c r="G42" s="15">
        <f>IF(G10=0,0,G10/TrAvia_act!G28*1000000)</f>
        <v>5417.2394568437985</v>
      </c>
      <c r="H42" s="15">
        <f>IF(H10=0,0,H10/TrAvia_act!H28*1000000)</f>
        <v>5818.4020063087628</v>
      </c>
      <c r="I42" s="15">
        <f>IF(I10=0,0,I10/TrAvia_act!I28*1000000)</f>
        <v>5848.5243526238864</v>
      </c>
      <c r="J42" s="15">
        <f>IF(J10=0,0,J10/TrAvia_act!J28*1000000)</f>
        <v>6693.3792953086586</v>
      </c>
      <c r="K42" s="15">
        <f>IF(K10=0,0,K10/TrAvia_act!K28*1000000)</f>
        <v>7322.6979329354863</v>
      </c>
      <c r="L42" s="15">
        <f>IF(L10=0,0,L10/TrAvia_act!L28*1000000)</f>
        <v>7162.8742425575783</v>
      </c>
      <c r="M42" s="15">
        <f>IF(M10=0,0,M10/TrAvia_act!M28*1000000)</f>
        <v>7513.1482125439497</v>
      </c>
      <c r="N42" s="15">
        <f>IF(N10=0,0,N10/TrAvia_act!N28*1000000)</f>
        <v>7326.2865272633035</v>
      </c>
      <c r="O42" s="15">
        <f>IF(O10=0,0,O10/TrAvia_act!O28*1000000)</f>
        <v>6480.5858024871231</v>
      </c>
      <c r="P42" s="15">
        <f>IF(P10=0,0,P10/TrAvia_act!P28*1000000)</f>
        <v>6197.9397953642592</v>
      </c>
      <c r="Q42" s="15">
        <f>IF(Q10=0,0,Q10/TrAvia_act!Q28*1000000)</f>
        <v>5484.0955359612954</v>
      </c>
      <c r="R42" s="15">
        <f>IF(R10=0,0,R10/TrAvia_act!R28*1000000)</f>
        <v>5487.4271551213242</v>
      </c>
      <c r="S42" s="15">
        <f>IF(S10=0,0,S10/TrAvia_act!S28*1000000)</f>
        <v>4893.024220418215</v>
      </c>
      <c r="T42" s="15">
        <f>IF(T10=0,0,T10/TrAvia_act!T28*1000000)</f>
        <v>4873.5266645424754</v>
      </c>
      <c r="U42" s="15">
        <f>IF(U10=0,0,U10/TrAvia_act!U28*1000000)</f>
        <v>4969.3426874765255</v>
      </c>
      <c r="V42" s="15">
        <f>IF(V10=0,0,V10/TrAvia_act!V28*1000000)</f>
        <v>4429.2250385856032</v>
      </c>
      <c r="W42" s="15">
        <f>IF(W10=0,0,W10/TrAvia_act!W28*1000000)</f>
        <v>3896.5029867259468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7744.2605563656816</v>
      </c>
      <c r="C44" s="101">
        <f>IF(C12=0,0,C12/TrAvia_act!C30*1000000)</f>
        <v>6191.9968749702311</v>
      </c>
      <c r="D44" s="101">
        <f>IF(D12=0,0,D12/TrAvia_act!D30*1000000)</f>
        <v>6373.0558489397354</v>
      </c>
      <c r="E44" s="101">
        <f>IF(E12=0,0,E12/TrAvia_act!E30*1000000)</f>
        <v>5337.5544601387583</v>
      </c>
      <c r="F44" s="101">
        <f>IF(F12=0,0,F12/TrAvia_act!F30*1000000)</f>
        <v>6946.1852101702789</v>
      </c>
      <c r="G44" s="101">
        <f>IF(G12=0,0,G12/TrAvia_act!G30*1000000)</f>
        <v>5599.8046988291289</v>
      </c>
      <c r="H44" s="101">
        <f>IF(H12=0,0,H12/TrAvia_act!H30*1000000)</f>
        <v>5710.5632577373444</v>
      </c>
      <c r="I44" s="101">
        <f>IF(I12=0,0,I12/TrAvia_act!I30*1000000)</f>
        <v>5499.986918821669</v>
      </c>
      <c r="J44" s="101">
        <f>IF(J12=0,0,J12/TrAvia_act!J30*1000000)</f>
        <v>5861.8351561403706</v>
      </c>
      <c r="K44" s="101">
        <f>IF(K12=0,0,K12/TrAvia_act!K30*1000000)</f>
        <v>5884.2941108388477</v>
      </c>
      <c r="L44" s="101">
        <f>IF(L12=0,0,L12/TrAvia_act!L30*1000000)</f>
        <v>6067.7201227341757</v>
      </c>
      <c r="M44" s="101">
        <f>IF(M12=0,0,M12/TrAvia_act!M30*1000000)</f>
        <v>6723.0827598597862</v>
      </c>
      <c r="N44" s="101">
        <f>IF(N12=0,0,N12/TrAvia_act!N30*1000000)</f>
        <v>6639.7374524401966</v>
      </c>
      <c r="O44" s="101">
        <f>IF(O12=0,0,O12/TrAvia_act!O30*1000000)</f>
        <v>6072.1912216169339</v>
      </c>
      <c r="P44" s="101">
        <f>IF(P12=0,0,P12/TrAvia_act!P30*1000000)</f>
        <v>5990.5613135459162</v>
      </c>
      <c r="Q44" s="101">
        <f>IF(Q12=0,0,Q12/TrAvia_act!Q30*1000000)</f>
        <v>5367.2047409931301</v>
      </c>
      <c r="R44" s="101">
        <f>IF(R12=0,0,R12/TrAvia_act!R30*1000000)</f>
        <v>5392.1290425252537</v>
      </c>
      <c r="S44" s="101">
        <f>IF(S12=0,0,S12/TrAvia_act!S30*1000000)</f>
        <v>4879.1602070956878</v>
      </c>
      <c r="T44" s="101">
        <f>IF(T12=0,0,T12/TrAvia_act!T30*1000000)</f>
        <v>5062.6015363514953</v>
      </c>
      <c r="U44" s="101">
        <f>IF(U12=0,0,U12/TrAvia_act!U30*1000000)</f>
        <v>5631.1642621107094</v>
      </c>
      <c r="V44" s="101">
        <f>IF(V12=0,0,V12/TrAvia_act!V30*1000000)</f>
        <v>5047.6642285183962</v>
      </c>
      <c r="W44" s="101">
        <f>IF(W12=0,0,W12/TrAvia_act!W30*1000000)</f>
        <v>4413.3037080982585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4930.8921774928776</v>
      </c>
      <c r="C45" s="88">
        <f>IF(C13=0,0,C13/TrAvia_act!C31*1000000)</f>
        <v>3944.7917910414167</v>
      </c>
      <c r="D45" s="88">
        <f>IF(D13=0,0,D13/TrAvia_act!D31*1000000)</f>
        <v>4057.4820005776214</v>
      </c>
      <c r="E45" s="88">
        <f>IF(E13=0,0,E13/TrAvia_act!E31*1000000)</f>
        <v>3491.4344151358937</v>
      </c>
      <c r="F45" s="88">
        <f>IF(F13=0,0,F13/TrAvia_act!F31*1000000)</f>
        <v>4427.8461831900795</v>
      </c>
      <c r="G45" s="88">
        <f>IF(G13=0,0,G13/TrAvia_act!G31*1000000)</f>
        <v>4358.3610533288838</v>
      </c>
      <c r="H45" s="88">
        <f>IF(H13=0,0,H13/TrAvia_act!H31*1000000)</f>
        <v>6751.0074800652965</v>
      </c>
      <c r="I45" s="88">
        <f>IF(I13=0,0,I13/TrAvia_act!I31*1000000)</f>
        <v>8991.8156537661071</v>
      </c>
      <c r="J45" s="88">
        <f>IF(J13=0,0,J13/TrAvia_act!J31*1000000)</f>
        <v>13449.675426050999</v>
      </c>
      <c r="K45" s="88">
        <f>IF(K13=0,0,K13/TrAvia_act!K31*1000000)</f>
        <v>18280.719777635335</v>
      </c>
      <c r="L45" s="88">
        <f>IF(L13=0,0,L13/TrAvia_act!L31*1000000)</f>
        <v>24441.972577549048</v>
      </c>
      <c r="M45" s="88">
        <f>IF(M13=0,0,M13/TrAvia_act!M31*1000000)</f>
        <v>24499.555445253449</v>
      </c>
      <c r="N45" s="88">
        <f>IF(N13=0,0,N13/TrAvia_act!N31*1000000)</f>
        <v>15957.189182182366</v>
      </c>
      <c r="O45" s="88">
        <f>IF(O13=0,0,O13/TrAvia_act!O31*1000000)</f>
        <v>10143.374699666638</v>
      </c>
      <c r="P45" s="88">
        <f>IF(P13=0,0,P13/TrAvia_act!P31*1000000)</f>
        <v>8666.7312455826395</v>
      </c>
      <c r="Q45" s="88">
        <f>IF(Q13=0,0,Q13/TrAvia_act!Q31*1000000)</f>
        <v>8047.3436827632004</v>
      </c>
      <c r="R45" s="88">
        <f>IF(R13=0,0,R13/TrAvia_act!R31*1000000)</f>
        <v>6290.6541041453447</v>
      </c>
      <c r="S45" s="88">
        <f>IF(S13=0,0,S13/TrAvia_act!S31*1000000)</f>
        <v>5021.7614869845393</v>
      </c>
      <c r="T45" s="88">
        <f>IF(T13=0,0,T13/TrAvia_act!T31*1000000)</f>
        <v>3375.4719109787065</v>
      </c>
      <c r="U45" s="88">
        <f>IF(U13=0,0,U13/TrAvia_act!U31*1000000)</f>
        <v>1583.8707864632008</v>
      </c>
      <c r="V45" s="88">
        <f>IF(V13=0,0,V13/TrAvia_act!V31*1000000)</f>
        <v>2794.0298923226246</v>
      </c>
      <c r="W45" s="88">
        <f>IF(W13=0,0,W13/TrAvia_act!W31*1000000)</f>
        <v>2421.1202821630568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0.97862265075271526</v>
      </c>
      <c r="C48" s="16">
        <f t="shared" si="35"/>
        <v>0.97962612296914675</v>
      </c>
      <c r="D48" s="16">
        <f t="shared" ref="D48:V48" si="36">IF(D6=0,0,D6/D$3)</f>
        <v>0.97930613904854147</v>
      </c>
      <c r="E48" s="16">
        <f t="shared" si="36"/>
        <v>0.97024526585089343</v>
      </c>
      <c r="F48" s="16">
        <f t="shared" si="36"/>
        <v>0.97383688387689116</v>
      </c>
      <c r="G48" s="16">
        <f t="shared" si="36"/>
        <v>0.9728908622105763</v>
      </c>
      <c r="H48" s="16">
        <f t="shared" si="36"/>
        <v>0.96607375331521683</v>
      </c>
      <c r="I48" s="16">
        <f t="shared" si="36"/>
        <v>0.96614552269705767</v>
      </c>
      <c r="J48" s="16">
        <f t="shared" si="36"/>
        <v>0.96457154966033476</v>
      </c>
      <c r="K48" s="16">
        <f t="shared" si="36"/>
        <v>0.96159563444863683</v>
      </c>
      <c r="L48" s="16">
        <f t="shared" si="36"/>
        <v>0.96808726001628076</v>
      </c>
      <c r="M48" s="16">
        <f t="shared" si="36"/>
        <v>0.97095370883550391</v>
      </c>
      <c r="N48" s="16">
        <f t="shared" si="36"/>
        <v>0.97205464933563768</v>
      </c>
      <c r="O48" s="16">
        <f t="shared" si="36"/>
        <v>0.98026583954497404</v>
      </c>
      <c r="P48" s="16">
        <f t="shared" si="36"/>
        <v>0.98499610367938761</v>
      </c>
      <c r="Q48" s="16">
        <f t="shared" si="36"/>
        <v>0.98483140233491284</v>
      </c>
      <c r="R48" s="16">
        <f t="shared" si="36"/>
        <v>0.99125696370720096</v>
      </c>
      <c r="S48" s="16">
        <f t="shared" si="36"/>
        <v>0.99241741827244967</v>
      </c>
      <c r="T48" s="16">
        <f t="shared" si="36"/>
        <v>0.99278913018873816</v>
      </c>
      <c r="U48" s="16">
        <f t="shared" si="36"/>
        <v>0.99520611450170804</v>
      </c>
      <c r="V48" s="16">
        <f t="shared" si="36"/>
        <v>0.98391487964508151</v>
      </c>
      <c r="W48" s="16">
        <f t="shared" ref="W48" si="37">IF(W6=0,0,W6/W$3)</f>
        <v>0.98793652178287406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0.85217883285445484</v>
      </c>
      <c r="C50" s="103">
        <f t="shared" si="41"/>
        <v>0.85305100868703099</v>
      </c>
      <c r="D50" s="103">
        <f t="shared" ref="D50:V50" si="42">IF(D8=0,0,D8/D$3)</f>
        <v>0.86978032559225793</v>
      </c>
      <c r="E50" s="103">
        <f t="shared" si="42"/>
        <v>0.87109821431804468</v>
      </c>
      <c r="F50" s="103">
        <f t="shared" si="42"/>
        <v>0.87949846455268199</v>
      </c>
      <c r="G50" s="103">
        <f t="shared" si="42"/>
        <v>0.88217043441716725</v>
      </c>
      <c r="H50" s="103">
        <f t="shared" si="42"/>
        <v>0.87322414001979354</v>
      </c>
      <c r="I50" s="103">
        <f t="shared" si="42"/>
        <v>0.87681068419037778</v>
      </c>
      <c r="J50" s="103">
        <f t="shared" si="42"/>
        <v>0.86976127251512358</v>
      </c>
      <c r="K50" s="103">
        <f t="shared" si="42"/>
        <v>0.86125450519036939</v>
      </c>
      <c r="L50" s="103">
        <f t="shared" si="42"/>
        <v>0.86859816183769933</v>
      </c>
      <c r="M50" s="103">
        <f t="shared" si="42"/>
        <v>0.87241608790446701</v>
      </c>
      <c r="N50" s="103">
        <f t="shared" si="42"/>
        <v>0.87174073135036068</v>
      </c>
      <c r="O50" s="103">
        <f t="shared" si="42"/>
        <v>0.88128310687482492</v>
      </c>
      <c r="P50" s="103">
        <f t="shared" si="42"/>
        <v>0.88876453416098466</v>
      </c>
      <c r="Q50" s="103">
        <f t="shared" si="42"/>
        <v>0.88875563628061438</v>
      </c>
      <c r="R50" s="103">
        <f t="shared" si="42"/>
        <v>0.89826359464896588</v>
      </c>
      <c r="S50" s="103">
        <f t="shared" si="42"/>
        <v>0.90308666550905758</v>
      </c>
      <c r="T50" s="103">
        <f t="shared" si="42"/>
        <v>0.90640557410409617</v>
      </c>
      <c r="U50" s="103">
        <f t="shared" si="42"/>
        <v>0.90771955110897806</v>
      </c>
      <c r="V50" s="103">
        <f t="shared" si="42"/>
        <v>0.8442863012877706</v>
      </c>
      <c r="W50" s="103">
        <f t="shared" ref="W50" si="43">IF(W8=0,0,W8/W$3)</f>
        <v>0.86684316497131708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0.1264438178982604</v>
      </c>
      <c r="C51" s="103">
        <f t="shared" si="44"/>
        <v>0.12657511428211576</v>
      </c>
      <c r="D51" s="103">
        <f t="shared" ref="D51:V51" si="45">IF(D9=0,0,D9/D$3)</f>
        <v>0.10952581345628347</v>
      </c>
      <c r="E51" s="103">
        <f t="shared" si="45"/>
        <v>9.9147051532848862E-2</v>
      </c>
      <c r="F51" s="103">
        <f t="shared" si="45"/>
        <v>9.4338419324209222E-2</v>
      </c>
      <c r="G51" s="103">
        <f t="shared" si="45"/>
        <v>9.072042779340915E-2</v>
      </c>
      <c r="H51" s="103">
        <f t="shared" si="45"/>
        <v>9.2849613295423253E-2</v>
      </c>
      <c r="I51" s="103">
        <f t="shared" si="45"/>
        <v>8.9334838506679795E-2</v>
      </c>
      <c r="J51" s="103">
        <f t="shared" si="45"/>
        <v>9.4810277145211175E-2</v>
      </c>
      <c r="K51" s="103">
        <f t="shared" si="45"/>
        <v>0.10034112925826742</v>
      </c>
      <c r="L51" s="103">
        <f t="shared" si="45"/>
        <v>9.9489098178581481E-2</v>
      </c>
      <c r="M51" s="103">
        <f t="shared" si="45"/>
        <v>9.8537620931036851E-2</v>
      </c>
      <c r="N51" s="103">
        <f t="shared" si="45"/>
        <v>0.10031391798527706</v>
      </c>
      <c r="O51" s="103">
        <f t="shared" si="45"/>
        <v>9.8982732670149121E-2</v>
      </c>
      <c r="P51" s="103">
        <f t="shared" si="45"/>
        <v>9.6231569518403032E-2</v>
      </c>
      <c r="Q51" s="103">
        <f t="shared" si="45"/>
        <v>9.6075766054298517E-2</v>
      </c>
      <c r="R51" s="103">
        <f t="shared" si="45"/>
        <v>9.2993369058235048E-2</v>
      </c>
      <c r="S51" s="103">
        <f t="shared" si="45"/>
        <v>8.9330752763392141E-2</v>
      </c>
      <c r="T51" s="103">
        <f t="shared" si="45"/>
        <v>8.6383556084641988E-2</v>
      </c>
      <c r="U51" s="103">
        <f t="shared" si="45"/>
        <v>8.7486563392730032E-2</v>
      </c>
      <c r="V51" s="103">
        <f t="shared" si="45"/>
        <v>0.13962857835731093</v>
      </c>
      <c r="W51" s="103">
        <f t="shared" ref="W51" si="46">IF(W9=0,0,W9/W$3)</f>
        <v>0.12109335681155702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2.1377349247284756E-2</v>
      </c>
      <c r="C52" s="17">
        <f t="shared" si="47"/>
        <v>2.0373877030853232E-2</v>
      </c>
      <c r="D52" s="17">
        <f t="shared" ref="D52:V52" si="48">IF(D10=0,0,D10/D$3)</f>
        <v>2.0693860951458497E-2</v>
      </c>
      <c r="E52" s="17">
        <f t="shared" si="48"/>
        <v>2.9754734149106545E-2</v>
      </c>
      <c r="F52" s="17">
        <f t="shared" si="48"/>
        <v>2.6163116123108867E-2</v>
      </c>
      <c r="G52" s="17">
        <f t="shared" si="48"/>
        <v>2.7109137789423584E-2</v>
      </c>
      <c r="H52" s="17">
        <f t="shared" si="48"/>
        <v>3.3926246684783355E-2</v>
      </c>
      <c r="I52" s="17">
        <f t="shared" si="48"/>
        <v>3.3854477302942512E-2</v>
      </c>
      <c r="J52" s="17">
        <f t="shared" si="48"/>
        <v>3.5428450339665268E-2</v>
      </c>
      <c r="K52" s="17">
        <f t="shared" si="48"/>
        <v>3.8404365551363111E-2</v>
      </c>
      <c r="L52" s="17">
        <f t="shared" si="48"/>
        <v>3.1912739983719185E-2</v>
      </c>
      <c r="M52" s="17">
        <f t="shared" si="48"/>
        <v>2.9046291164495988E-2</v>
      </c>
      <c r="N52" s="17">
        <f t="shared" si="48"/>
        <v>2.7945350664362285E-2</v>
      </c>
      <c r="O52" s="17">
        <f t="shared" si="48"/>
        <v>1.9734160455025972E-2</v>
      </c>
      <c r="P52" s="17">
        <f t="shared" si="48"/>
        <v>1.5003896320612404E-2</v>
      </c>
      <c r="Q52" s="17">
        <f t="shared" si="48"/>
        <v>1.5168597665087179E-2</v>
      </c>
      <c r="R52" s="17">
        <f t="shared" si="48"/>
        <v>8.743036292799081E-3</v>
      </c>
      <c r="S52" s="17">
        <f t="shared" si="48"/>
        <v>7.5825817275503313E-3</v>
      </c>
      <c r="T52" s="17">
        <f t="shared" si="48"/>
        <v>7.2108698112618008E-3</v>
      </c>
      <c r="U52" s="17">
        <f t="shared" si="48"/>
        <v>4.7938854982919749E-3</v>
      </c>
      <c r="V52" s="17">
        <f t="shared" si="48"/>
        <v>1.6085120354918575E-2</v>
      </c>
      <c r="W52" s="17">
        <f t="shared" ref="W52" si="49">IF(W10=0,0,W10/W$3)</f>
        <v>1.2063478217125891E-2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1.9973004149633568E-2</v>
      </c>
      <c r="C54" s="104">
        <f t="shared" si="53"/>
        <v>1.8875898309524592E-2</v>
      </c>
      <c r="D54" s="104">
        <f t="shared" ref="D54:V54" si="54">IF(D12=0,0,D12/D$3)</f>
        <v>1.9055601434997266E-2</v>
      </c>
      <c r="E54" s="104">
        <f t="shared" si="54"/>
        <v>2.7903653908804067E-2</v>
      </c>
      <c r="F54" s="104">
        <f t="shared" si="54"/>
        <v>2.3912731388158238E-2</v>
      </c>
      <c r="G54" s="104">
        <f t="shared" si="54"/>
        <v>2.3901746360634125E-2</v>
      </c>
      <c r="H54" s="104">
        <f t="shared" si="54"/>
        <v>2.9846279059146084E-2</v>
      </c>
      <c r="I54" s="104">
        <f t="shared" si="54"/>
        <v>2.8659140591135657E-2</v>
      </c>
      <c r="J54" s="104">
        <f t="shared" si="54"/>
        <v>2.7626814921551897E-2</v>
      </c>
      <c r="K54" s="104">
        <f t="shared" si="54"/>
        <v>2.7279696124666554E-2</v>
      </c>
      <c r="L54" s="104">
        <f t="shared" si="54"/>
        <v>2.5422233591265758E-2</v>
      </c>
      <c r="M54" s="104">
        <f t="shared" si="54"/>
        <v>2.483665641200274E-2</v>
      </c>
      <c r="N54" s="104">
        <f t="shared" si="54"/>
        <v>2.3460412160165565E-2</v>
      </c>
      <c r="O54" s="104">
        <f t="shared" si="54"/>
        <v>1.6635698599172168E-2</v>
      </c>
      <c r="P54" s="104">
        <f t="shared" si="54"/>
        <v>1.3378115356063508E-2</v>
      </c>
      <c r="Q54" s="104">
        <f t="shared" si="54"/>
        <v>1.4197828500453643E-2</v>
      </c>
      <c r="R54" s="104">
        <f t="shared" si="54"/>
        <v>7.6800114270947559E-3</v>
      </c>
      <c r="S54" s="104">
        <f t="shared" si="54"/>
        <v>6.8259903985478177E-3</v>
      </c>
      <c r="T54" s="104">
        <f t="shared" si="54"/>
        <v>6.65115838938271E-3</v>
      </c>
      <c r="U54" s="104">
        <f t="shared" si="54"/>
        <v>4.5440324328926253E-3</v>
      </c>
      <c r="V54" s="104">
        <f t="shared" si="54"/>
        <v>1.3300659169295017E-2</v>
      </c>
      <c r="W54" s="104">
        <f t="shared" ref="W54" si="55">IF(W12=0,0,W12/W$3)</f>
        <v>1.0118979390931118E-2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1.4043450976511901E-3</v>
      </c>
      <c r="C55" s="105">
        <f t="shared" si="56"/>
        <v>1.4979787213286403E-3</v>
      </c>
      <c r="D55" s="105">
        <f t="shared" ref="D55:V55" si="57">IF(D13=0,0,D13/D$3)</f>
        <v>1.6382595164612305E-3</v>
      </c>
      <c r="E55" s="105">
        <f t="shared" si="57"/>
        <v>1.8510802403024749E-3</v>
      </c>
      <c r="F55" s="105">
        <f t="shared" si="57"/>
        <v>2.2503847349506292E-3</v>
      </c>
      <c r="G55" s="105">
        <f t="shared" si="57"/>
        <v>3.2073914287894627E-3</v>
      </c>
      <c r="H55" s="105">
        <f t="shared" si="57"/>
        <v>4.0799676256372741E-3</v>
      </c>
      <c r="I55" s="105">
        <f t="shared" si="57"/>
        <v>5.1953367118068548E-3</v>
      </c>
      <c r="J55" s="105">
        <f t="shared" si="57"/>
        <v>7.8016354181133733E-3</v>
      </c>
      <c r="K55" s="105">
        <f t="shared" si="57"/>
        <v>1.1124669426696555E-2</v>
      </c>
      <c r="L55" s="105">
        <f t="shared" si="57"/>
        <v>6.4905063924534292E-3</v>
      </c>
      <c r="M55" s="105">
        <f t="shared" si="57"/>
        <v>4.2096347524932494E-3</v>
      </c>
      <c r="N55" s="105">
        <f t="shared" si="57"/>
        <v>4.4849385041967199E-3</v>
      </c>
      <c r="O55" s="105">
        <f t="shared" si="57"/>
        <v>3.0984618558538074E-3</v>
      </c>
      <c r="P55" s="105">
        <f t="shared" si="57"/>
        <v>1.6257809645488961E-3</v>
      </c>
      <c r="Q55" s="105">
        <f t="shared" si="57"/>
        <v>9.7076916463353555E-4</v>
      </c>
      <c r="R55" s="105">
        <f t="shared" si="57"/>
        <v>1.0630248657043258E-3</v>
      </c>
      <c r="S55" s="105">
        <f t="shared" si="57"/>
        <v>7.5659132900251309E-4</v>
      </c>
      <c r="T55" s="105">
        <f t="shared" si="57"/>
        <v>5.5971142187909097E-4</v>
      </c>
      <c r="U55" s="105">
        <f t="shared" si="57"/>
        <v>2.4985306539934942E-4</v>
      </c>
      <c r="V55" s="105">
        <f t="shared" si="57"/>
        <v>2.7844611856235563E-3</v>
      </c>
      <c r="W55" s="105">
        <f t="shared" ref="W55" si="58">IF(W13=0,0,W13/W$3)</f>
        <v>1.9444988261947741E-3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332.36682789854228</v>
      </c>
      <c r="C57" s="62">
        <v>332.37679317399522</v>
      </c>
      <c r="D57" s="62">
        <v>331.0385255595188</v>
      </c>
      <c r="E57" s="62">
        <v>330.58551889610271</v>
      </c>
      <c r="F57" s="62">
        <v>330.19853012752918</v>
      </c>
      <c r="G57" s="62">
        <v>329.15059471849446</v>
      </c>
      <c r="H57" s="62">
        <v>329.22604893826156</v>
      </c>
      <c r="I57" s="62">
        <v>328.83163535574653</v>
      </c>
      <c r="J57" s="62">
        <v>329.04804002756993</v>
      </c>
      <c r="K57" s="62">
        <v>329.87959370704209</v>
      </c>
      <c r="L57" s="62">
        <v>331.12384990294333</v>
      </c>
      <c r="M57" s="62">
        <v>328.80662939221617</v>
      </c>
      <c r="N57" s="62">
        <v>327.37923701989791</v>
      </c>
      <c r="O57" s="62">
        <v>328.95750302781602</v>
      </c>
      <c r="P57" s="62">
        <v>327.82555002831066</v>
      </c>
      <c r="Q57" s="62">
        <v>326.81819485383437</v>
      </c>
      <c r="R57" s="62">
        <v>327.76081212483297</v>
      </c>
      <c r="S57" s="62">
        <v>327.49779336808217</v>
      </c>
      <c r="T57" s="62">
        <v>328.64592682185992</v>
      </c>
      <c r="U57" s="62">
        <v>332.28285884629759</v>
      </c>
      <c r="V57" s="62">
        <v>332.3341131657923</v>
      </c>
      <c r="W57" s="62">
        <v>331.37343739337331</v>
      </c>
      <c r="DA57" s="172" t="s">
        <v>313</v>
      </c>
    </row>
    <row r="58" spans="1:105" ht="11.45" customHeight="1" x14ac:dyDescent="0.25">
      <c r="A58" s="10" t="s">
        <v>33</v>
      </c>
      <c r="B58" s="14">
        <v>332.0138996793541</v>
      </c>
      <c r="C58" s="14">
        <v>332.01307757352021</v>
      </c>
      <c r="D58" s="14">
        <v>330.62190152729312</v>
      </c>
      <c r="E58" s="14">
        <v>330.04317826561459</v>
      </c>
      <c r="F58" s="14">
        <v>329.61550554260759</v>
      </c>
      <c r="G58" s="14">
        <v>328.45606742078945</v>
      </c>
      <c r="H58" s="14">
        <v>328.64676047165813</v>
      </c>
      <c r="I58" s="14">
        <v>328.32904209614748</v>
      </c>
      <c r="J58" s="14">
        <v>328.25524847148978</v>
      </c>
      <c r="K58" s="14">
        <v>328.47544902259716</v>
      </c>
      <c r="L58" s="14">
        <v>330.29391871270929</v>
      </c>
      <c r="M58" s="14">
        <v>328.39631441149749</v>
      </c>
      <c r="N58" s="14">
        <v>327.0577722932739</v>
      </c>
      <c r="O58" s="14">
        <v>328.76969670866106</v>
      </c>
      <c r="P58" s="14">
        <v>327.88718008137158</v>
      </c>
      <c r="Q58" s="14">
        <v>327.01034825624998</v>
      </c>
      <c r="R58" s="14">
        <v>327.78871140047539</v>
      </c>
      <c r="S58" s="14">
        <v>327.51792903042895</v>
      </c>
      <c r="T58" s="14">
        <v>328.60837395967877</v>
      </c>
      <c r="U58" s="14">
        <v>332.2635843549869</v>
      </c>
      <c r="V58" s="14">
        <v>332.15195490471501</v>
      </c>
      <c r="W58" s="14">
        <v>331.15638175749416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323.05993605706493</v>
      </c>
      <c r="C60" s="87">
        <v>323.05883886665066</v>
      </c>
      <c r="D60" s="87">
        <v>322.83564837901821</v>
      </c>
      <c r="E60" s="87">
        <v>322.93678755273299</v>
      </c>
      <c r="F60" s="87">
        <v>322.87050664248687</v>
      </c>
      <c r="G60" s="87">
        <v>322.99107382570025</v>
      </c>
      <c r="H60" s="87">
        <v>323.3685520008508</v>
      </c>
      <c r="I60" s="87">
        <v>323.14289379591224</v>
      </c>
      <c r="J60" s="87">
        <v>322.74208209195473</v>
      </c>
      <c r="K60" s="87">
        <v>322.45301527509048</v>
      </c>
      <c r="L60" s="87">
        <v>323.89435065552402</v>
      </c>
      <c r="M60" s="87">
        <v>322.93846518477562</v>
      </c>
      <c r="N60" s="87">
        <v>321.76511045493277</v>
      </c>
      <c r="O60" s="87">
        <v>322.59370835374426</v>
      </c>
      <c r="P60" s="87">
        <v>322.38707843157084</v>
      </c>
      <c r="Q60" s="87">
        <v>322.48833811556125</v>
      </c>
      <c r="R60" s="87">
        <v>323.08971369873143</v>
      </c>
      <c r="S60" s="87">
        <v>323.51672754045848</v>
      </c>
      <c r="T60" s="87">
        <v>324.2266345301756</v>
      </c>
      <c r="U60" s="87">
        <v>322.3231774992737</v>
      </c>
      <c r="V60" s="87">
        <v>321.47027136901727</v>
      </c>
      <c r="W60" s="87">
        <v>322.1957606751991</v>
      </c>
      <c r="DA60" s="171" t="s">
        <v>316</v>
      </c>
    </row>
    <row r="61" spans="1:105" ht="11.45" customHeight="1" x14ac:dyDescent="0.25">
      <c r="A61" s="83" t="s">
        <v>174</v>
      </c>
      <c r="B61" s="87">
        <v>389.26625908848507</v>
      </c>
      <c r="C61" s="87">
        <v>389.26625908848507</v>
      </c>
      <c r="D61" s="87">
        <v>389.26625908848513</v>
      </c>
      <c r="E61" s="87">
        <v>389.26625908848513</v>
      </c>
      <c r="F61" s="87">
        <v>389.26625908848507</v>
      </c>
      <c r="G61" s="87">
        <v>388.91552050958944</v>
      </c>
      <c r="H61" s="87">
        <v>383.61271763808736</v>
      </c>
      <c r="I61" s="87">
        <v>387.03593736509299</v>
      </c>
      <c r="J61" s="87">
        <v>386.10342973223902</v>
      </c>
      <c r="K61" s="87">
        <v>390.47506885079503</v>
      </c>
      <c r="L61" s="87">
        <v>392.92135625178548</v>
      </c>
      <c r="M61" s="87">
        <v>381.26873540257537</v>
      </c>
      <c r="N61" s="87">
        <v>376.29921321654035</v>
      </c>
      <c r="O61" s="87">
        <v>373.93351809606116</v>
      </c>
      <c r="P61" s="87">
        <v>376.17980045527963</v>
      </c>
      <c r="Q61" s="87">
        <v>380.21933010242407</v>
      </c>
      <c r="R61" s="87">
        <v>373.17547921047708</v>
      </c>
      <c r="S61" s="87">
        <v>376.37604968615329</v>
      </c>
      <c r="T61" s="87">
        <v>374.25423969550195</v>
      </c>
      <c r="U61" s="87">
        <v>392.98743540703532</v>
      </c>
      <c r="V61" s="87">
        <v>399.04584774397773</v>
      </c>
      <c r="W61" s="87">
        <v>393.40049064265287</v>
      </c>
      <c r="DA61" s="171" t="s">
        <v>317</v>
      </c>
    </row>
    <row r="62" spans="1:105" ht="11.45" customHeight="1" x14ac:dyDescent="0.25">
      <c r="A62" s="12" t="s">
        <v>34</v>
      </c>
      <c r="B62" s="15">
        <v>349.5841369102348</v>
      </c>
      <c r="C62" s="15">
        <v>351.03105042492382</v>
      </c>
      <c r="D62" s="15">
        <v>352.05680597860834</v>
      </c>
      <c r="E62" s="15">
        <v>349.41816127427609</v>
      </c>
      <c r="F62" s="15">
        <v>353.33829828165852</v>
      </c>
      <c r="G62" s="15">
        <v>355.86745036498854</v>
      </c>
      <c r="H62" s="15">
        <v>346.47513401834334</v>
      </c>
      <c r="I62" s="15">
        <v>343.59732426520969</v>
      </c>
      <c r="J62" s="15">
        <v>351.45573290512664</v>
      </c>
      <c r="K62" s="15">
        <v>367.81795824918879</v>
      </c>
      <c r="L62" s="15">
        <v>357.0279749279361</v>
      </c>
      <c r="M62" s="15">
        <v>342.54910472612528</v>
      </c>
      <c r="N62" s="15">
        <v>338.3453935399566</v>
      </c>
      <c r="O62" s="15">
        <v>337.69034048280048</v>
      </c>
      <c r="P62" s="15">
        <v>324.09617597144563</v>
      </c>
      <c r="Q62" s="15">
        <v>315.74063741898618</v>
      </c>
      <c r="R62" s="15">
        <v>324.8583908542422</v>
      </c>
      <c r="S62" s="15">
        <v>325.11209210210961</v>
      </c>
      <c r="T62" s="15">
        <v>333.61833010969792</v>
      </c>
      <c r="U62" s="15">
        <v>336.46618522501467</v>
      </c>
      <c r="V62" s="15">
        <v>343.50616408459405</v>
      </c>
      <c r="W62" s="15">
        <v>349.59256340068731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337.63235440623902</v>
      </c>
      <c r="C64" s="101">
        <v>337.64243639710838</v>
      </c>
      <c r="D64" s="101">
        <v>337.63086295380361</v>
      </c>
      <c r="E64" s="101">
        <v>338.11604215213003</v>
      </c>
      <c r="F64" s="101">
        <v>337.65272843276261</v>
      </c>
      <c r="G64" s="101">
        <v>337.55509981089619</v>
      </c>
      <c r="H64" s="101">
        <v>333.69616497561663</v>
      </c>
      <c r="I64" s="101">
        <v>326.63500960589585</v>
      </c>
      <c r="J64" s="101">
        <v>319.66367989208106</v>
      </c>
      <c r="K64" s="101">
        <v>316.64705032026114</v>
      </c>
      <c r="L64" s="101">
        <v>313.00998227481085</v>
      </c>
      <c r="M64" s="101">
        <v>312.92241035835309</v>
      </c>
      <c r="N64" s="101">
        <v>312.54546563347105</v>
      </c>
      <c r="O64" s="101">
        <v>310.67827098714696</v>
      </c>
      <c r="P64" s="101">
        <v>311.04450826385062</v>
      </c>
      <c r="Q64" s="101">
        <v>310.6665846853241</v>
      </c>
      <c r="R64" s="101">
        <v>312.92666653961527</v>
      </c>
      <c r="S64" s="101">
        <v>314.37549005582014</v>
      </c>
      <c r="T64" s="101">
        <v>319.11824805530358</v>
      </c>
      <c r="U64" s="101">
        <v>321.15071463004693</v>
      </c>
      <c r="V64" s="101">
        <v>320.80310081545053</v>
      </c>
      <c r="W64" s="101">
        <v>320.41570852830534</v>
      </c>
      <c r="DA64" s="175" t="s">
        <v>320</v>
      </c>
    </row>
    <row r="65" spans="1:105" ht="11.45" customHeight="1" x14ac:dyDescent="0.25">
      <c r="A65" s="85" t="s">
        <v>174</v>
      </c>
      <c r="B65" s="88">
        <v>542.03368451551307</v>
      </c>
      <c r="C65" s="88">
        <v>542.03368451551307</v>
      </c>
      <c r="D65" s="88">
        <v>542.03368451551307</v>
      </c>
      <c r="E65" s="88">
        <v>542.03368451551307</v>
      </c>
      <c r="F65" s="88">
        <v>542.03368451551307</v>
      </c>
      <c r="G65" s="88">
        <v>540.84671124856163</v>
      </c>
      <c r="H65" s="88">
        <v>451.87669342059462</v>
      </c>
      <c r="I65" s="88">
        <v>456.45979397531408</v>
      </c>
      <c r="J65" s="88">
        <v>504.35648496040312</v>
      </c>
      <c r="K65" s="88">
        <v>570.23543368141497</v>
      </c>
      <c r="L65" s="88">
        <v>671.80921983767655</v>
      </c>
      <c r="M65" s="88">
        <v>655.15454975280659</v>
      </c>
      <c r="N65" s="88">
        <v>535.98316610230677</v>
      </c>
      <c r="O65" s="88">
        <v>494.15773725317672</v>
      </c>
      <c r="P65" s="88">
        <v>443.54420817274115</v>
      </c>
      <c r="Q65" s="88">
        <v>421.66274816425494</v>
      </c>
      <c r="R65" s="88">
        <v>421.68781808200083</v>
      </c>
      <c r="S65" s="88">
        <v>474.88261594516814</v>
      </c>
      <c r="T65" s="88">
        <v>595.41144550789966</v>
      </c>
      <c r="U65" s="88">
        <v>537.275620874786</v>
      </c>
      <c r="V65" s="88">
        <v>460.95413420800327</v>
      </c>
      <c r="W65" s="88">
        <v>528.3251911450144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1.5535133153922092</v>
      </c>
      <c r="C67" s="59">
        <f t="shared" ref="C67:W67" si="60">IF(C3=0,0,C17/C57)</f>
        <v>1.2427450608887951</v>
      </c>
      <c r="D67" s="59">
        <f t="shared" si="60"/>
        <v>1.2849869618628915</v>
      </c>
      <c r="E67" s="59">
        <f t="shared" si="60"/>
        <v>1.1082914270379378</v>
      </c>
      <c r="F67" s="59">
        <f t="shared" si="60"/>
        <v>1.4072291115176903</v>
      </c>
      <c r="G67" s="59">
        <f t="shared" si="60"/>
        <v>1.1743695152842373</v>
      </c>
      <c r="H67" s="59">
        <f t="shared" si="60"/>
        <v>1.2528367221822814</v>
      </c>
      <c r="I67" s="59">
        <f t="shared" si="60"/>
        <v>1.188022945582986</v>
      </c>
      <c r="J67" s="59">
        <f t="shared" si="60"/>
        <v>1.2407920652967348</v>
      </c>
      <c r="K67" s="59">
        <f t="shared" si="60"/>
        <v>1.2125932040053302</v>
      </c>
      <c r="L67" s="59">
        <f t="shared" si="60"/>
        <v>1.2461802822666164</v>
      </c>
      <c r="M67" s="59">
        <f t="shared" si="60"/>
        <v>1.2897284080871996</v>
      </c>
      <c r="N67" s="59">
        <f t="shared" si="60"/>
        <v>1.240888947332734</v>
      </c>
      <c r="O67" s="59">
        <f t="shared" si="60"/>
        <v>1.1908240472285236</v>
      </c>
      <c r="P67" s="59">
        <f t="shared" si="60"/>
        <v>1.2425369667902748</v>
      </c>
      <c r="Q67" s="59">
        <f t="shared" si="60"/>
        <v>1.2291075747967755</v>
      </c>
      <c r="R67" s="59">
        <f t="shared" si="60"/>
        <v>1.2581540221473517</v>
      </c>
      <c r="S67" s="59">
        <f t="shared" si="60"/>
        <v>1.2493899205908221</v>
      </c>
      <c r="T67" s="59">
        <f t="shared" si="60"/>
        <v>1.2245499141180385</v>
      </c>
      <c r="U67" s="59">
        <f t="shared" si="60"/>
        <v>1.1311288777035038</v>
      </c>
      <c r="V67" s="59">
        <f t="shared" si="60"/>
        <v>1.1064670313553602</v>
      </c>
      <c r="W67" s="59">
        <f t="shared" si="60"/>
        <v>1.1031951557794546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1.5531163842201738</v>
      </c>
      <c r="C68" s="23">
        <f t="shared" ref="C68:W68" si="62">IF(C6=0,0,C18/C58)</f>
        <v>1.2425222313300976</v>
      </c>
      <c r="D68" s="23">
        <f t="shared" si="62"/>
        <v>1.2849566837943971</v>
      </c>
      <c r="E68" s="23">
        <f t="shared" si="62"/>
        <v>1.1080992017969657</v>
      </c>
      <c r="F68" s="23">
        <f t="shared" si="62"/>
        <v>1.4074252680748491</v>
      </c>
      <c r="G68" s="23">
        <f t="shared" si="62"/>
        <v>1.1747132078368101</v>
      </c>
      <c r="H68" s="23">
        <f t="shared" si="62"/>
        <v>1.2531851870741204</v>
      </c>
      <c r="I68" s="23">
        <f t="shared" si="62"/>
        <v>1.1886886890902975</v>
      </c>
      <c r="J68" s="23">
        <f t="shared" si="62"/>
        <v>1.2421698820620897</v>
      </c>
      <c r="K68" s="23">
        <f t="shared" si="62"/>
        <v>1.2143492222294032</v>
      </c>
      <c r="L68" s="23">
        <f t="shared" si="62"/>
        <v>1.2481914254552926</v>
      </c>
      <c r="M68" s="23">
        <f t="shared" si="62"/>
        <v>1.2912674032324607</v>
      </c>
      <c r="N68" s="23">
        <f t="shared" si="62"/>
        <v>1.2427914137557783</v>
      </c>
      <c r="O68" s="23">
        <f t="shared" si="62"/>
        <v>1.1931094912447651</v>
      </c>
      <c r="P68" s="23">
        <f t="shared" si="62"/>
        <v>1.2438857788476629</v>
      </c>
      <c r="Q68" s="23">
        <f t="shared" si="62"/>
        <v>1.2307370547053444</v>
      </c>
      <c r="R68" s="23">
        <f t="shared" si="62"/>
        <v>1.2590349260508231</v>
      </c>
      <c r="S68" s="23">
        <f t="shared" si="62"/>
        <v>1.2503045188412261</v>
      </c>
      <c r="T68" s="23">
        <f t="shared" si="62"/>
        <v>1.2250412513462177</v>
      </c>
      <c r="U68" s="23">
        <f t="shared" si="62"/>
        <v>1.1309586204260194</v>
      </c>
      <c r="V68" s="23">
        <f t="shared" si="62"/>
        <v>1.1070267135372971</v>
      </c>
      <c r="W68" s="23">
        <f t="shared" si="62"/>
        <v>1.1035941498465078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1.6073065813170491</v>
      </c>
      <c r="C70" s="91">
        <f t="shared" ref="C70:W70" si="64">IF(C8=0,0,C20/C60)</f>
        <v>1.2858769589863763</v>
      </c>
      <c r="D70" s="91">
        <f t="shared" si="64"/>
        <v>1.3239504669310369</v>
      </c>
      <c r="E70" s="91">
        <f t="shared" si="64"/>
        <v>1.1387621253361344</v>
      </c>
      <c r="F70" s="91">
        <f t="shared" si="64"/>
        <v>1.4443679095684387</v>
      </c>
      <c r="G70" s="91">
        <f t="shared" si="64"/>
        <v>1.1811070816620541</v>
      </c>
      <c r="H70" s="91">
        <f t="shared" si="64"/>
        <v>1.2617795237185085</v>
      </c>
      <c r="I70" s="91">
        <f t="shared" si="64"/>
        <v>1.1929179424472254</v>
      </c>
      <c r="J70" s="91">
        <f t="shared" si="64"/>
        <v>1.2477781941946875</v>
      </c>
      <c r="K70" s="91">
        <f t="shared" si="64"/>
        <v>1.2155695371033572</v>
      </c>
      <c r="L70" s="91">
        <f t="shared" si="64"/>
        <v>1.2587433580967773</v>
      </c>
      <c r="M70" s="91">
        <f t="shared" si="64"/>
        <v>1.3016212117042205</v>
      </c>
      <c r="N70" s="91">
        <f t="shared" si="64"/>
        <v>1.2546362843793595</v>
      </c>
      <c r="O70" s="91">
        <f t="shared" si="64"/>
        <v>1.2426571960006736</v>
      </c>
      <c r="P70" s="91">
        <f t="shared" si="64"/>
        <v>1.2715172785480517</v>
      </c>
      <c r="Q70" s="91">
        <f t="shared" si="64"/>
        <v>1.2219608993695004</v>
      </c>
      <c r="R70" s="91">
        <f t="shared" si="64"/>
        <v>1.2773539247332077</v>
      </c>
      <c r="S70" s="91">
        <f t="shared" si="64"/>
        <v>1.2461606188955858</v>
      </c>
      <c r="T70" s="91">
        <f t="shared" si="64"/>
        <v>1.2423800542587859</v>
      </c>
      <c r="U70" s="91">
        <f t="shared" si="64"/>
        <v>1.2374198416437097</v>
      </c>
      <c r="V70" s="91">
        <f t="shared" si="64"/>
        <v>1.1382164350635771</v>
      </c>
      <c r="W70" s="91">
        <f t="shared" si="64"/>
        <v>1.1385307772031246</v>
      </c>
      <c r="DA70" s="171"/>
    </row>
    <row r="71" spans="1:105" ht="11.45" customHeight="1" x14ac:dyDescent="0.25">
      <c r="A71" s="83" t="s">
        <v>174</v>
      </c>
      <c r="B71" s="91">
        <f t="shared" si="61"/>
        <v>1.2655519741916381</v>
      </c>
      <c r="C71" s="91">
        <f t="shared" ref="C71:W71" si="65">IF(C9=0,0,C21/C61)</f>
        <v>1.0124616112506033</v>
      </c>
      <c r="D71" s="91">
        <f t="shared" si="65"/>
        <v>1.0413844333316828</v>
      </c>
      <c r="E71" s="91">
        <f t="shared" si="65"/>
        <v>0.89610390123811245</v>
      </c>
      <c r="F71" s="91">
        <f t="shared" si="65"/>
        <v>1.13644129233471</v>
      </c>
      <c r="G71" s="91">
        <f t="shared" si="65"/>
        <v>1.1159678079892632</v>
      </c>
      <c r="H71" s="91">
        <f t="shared" si="65"/>
        <v>1.177741239899458</v>
      </c>
      <c r="I71" s="91">
        <f t="shared" si="65"/>
        <v>1.148717119536542</v>
      </c>
      <c r="J71" s="91">
        <f t="shared" si="65"/>
        <v>1.1929803463154267</v>
      </c>
      <c r="K71" s="91">
        <f t="shared" si="65"/>
        <v>1.2039748450756826</v>
      </c>
      <c r="L71" s="91">
        <f t="shared" si="65"/>
        <v>1.1630690510346837</v>
      </c>
      <c r="M71" s="91">
        <f t="shared" si="65"/>
        <v>1.2063109500822826</v>
      </c>
      <c r="N71" s="91">
        <f t="shared" si="65"/>
        <v>1.1485606809612277</v>
      </c>
      <c r="O71" s="91">
        <f t="shared" si="65"/>
        <v>0.88052368691201111</v>
      </c>
      <c r="P71" s="91">
        <f t="shared" si="65"/>
        <v>1.0359655872122191</v>
      </c>
      <c r="Q71" s="91">
        <f t="shared" si="65"/>
        <v>1.3183236289642579</v>
      </c>
      <c r="R71" s="91">
        <f t="shared" si="65"/>
        <v>1.1058430315926102</v>
      </c>
      <c r="S71" s="91">
        <f t="shared" si="65"/>
        <v>1.2937986197614393</v>
      </c>
      <c r="T71" s="91">
        <f t="shared" si="65"/>
        <v>1.0685622843793405</v>
      </c>
      <c r="U71" s="91">
        <f t="shared" si="65"/>
        <v>0.59755069993914589</v>
      </c>
      <c r="V71" s="91">
        <f t="shared" si="65"/>
        <v>0.94967325931195756</v>
      </c>
      <c r="W71" s="91">
        <f t="shared" si="65"/>
        <v>0.90483549756159565</v>
      </c>
      <c r="DA71" s="171"/>
    </row>
    <row r="72" spans="1:105" ht="11.45" customHeight="1" x14ac:dyDescent="0.25">
      <c r="A72" s="12" t="s">
        <v>34</v>
      </c>
      <c r="B72" s="24">
        <f t="shared" si="61"/>
        <v>1.571904031662164</v>
      </c>
      <c r="C72" s="24">
        <f t="shared" ref="C72:W72" si="66">IF(C10=0,0,C22/C62)</f>
        <v>1.2535543837598653</v>
      </c>
      <c r="D72" s="24">
        <f t="shared" si="66"/>
        <v>1.286421459727233</v>
      </c>
      <c r="E72" s="24">
        <f t="shared" si="66"/>
        <v>1.1145962779060861</v>
      </c>
      <c r="F72" s="24">
        <f t="shared" si="66"/>
        <v>1.3999665155293193</v>
      </c>
      <c r="G72" s="24">
        <f t="shared" si="66"/>
        <v>1.1621668368300142</v>
      </c>
      <c r="H72" s="24">
        <f t="shared" si="66"/>
        <v>1.2429946284736573</v>
      </c>
      <c r="I72" s="24">
        <f t="shared" si="66"/>
        <v>1.1693331943620418</v>
      </c>
      <c r="J72" s="24">
        <f t="shared" si="66"/>
        <v>1.2044197757807265</v>
      </c>
      <c r="K72" s="24">
        <f t="shared" si="66"/>
        <v>1.170222493227111</v>
      </c>
      <c r="L72" s="24">
        <f t="shared" si="66"/>
        <v>1.1881080975785243</v>
      </c>
      <c r="M72" s="24">
        <f t="shared" si="66"/>
        <v>1.2403132396429031</v>
      </c>
      <c r="N72" s="24">
        <f t="shared" si="66"/>
        <v>1.1781550424615332</v>
      </c>
      <c r="O72" s="24">
        <f t="shared" si="66"/>
        <v>1.087360132621491</v>
      </c>
      <c r="P72" s="24">
        <f t="shared" si="66"/>
        <v>1.159962576965347</v>
      </c>
      <c r="Q72" s="24">
        <f t="shared" si="66"/>
        <v>1.1318158379706513</v>
      </c>
      <c r="R72" s="24">
        <f t="shared" si="66"/>
        <v>1.1656850651330715</v>
      </c>
      <c r="S72" s="24">
        <f t="shared" si="66"/>
        <v>1.1402251607392955</v>
      </c>
      <c r="T72" s="24">
        <f t="shared" si="66"/>
        <v>1.1604685578049243</v>
      </c>
      <c r="U72" s="24">
        <f t="shared" si="66"/>
        <v>1.167619883176201</v>
      </c>
      <c r="V72" s="24">
        <f t="shared" si="66"/>
        <v>1.0732754614940272</v>
      </c>
      <c r="W72" s="24">
        <f t="shared" si="66"/>
        <v>1.0714707238845516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1.6150651679894401</v>
      </c>
      <c r="C74" s="93">
        <f t="shared" ref="C74:W74" si="68">IF(C12=0,0,C24/C64)</f>
        <v>1.2920775353544689</v>
      </c>
      <c r="D74" s="93">
        <f t="shared" si="68"/>
        <v>1.3289882916652112</v>
      </c>
      <c r="E74" s="93">
        <f t="shared" si="68"/>
        <v>1.1435780337698094</v>
      </c>
      <c r="F74" s="93">
        <f t="shared" si="68"/>
        <v>1.4502970368449053</v>
      </c>
      <c r="G74" s="93">
        <f t="shared" si="68"/>
        <v>1.1871959832667405</v>
      </c>
      <c r="H74" s="93">
        <f t="shared" si="68"/>
        <v>1.2730438957029901</v>
      </c>
      <c r="I74" s="93">
        <f t="shared" si="68"/>
        <v>1.1977893031547253</v>
      </c>
      <c r="J74" s="93">
        <f t="shared" si="68"/>
        <v>1.2473095069217308</v>
      </c>
      <c r="K74" s="93">
        <f t="shared" si="68"/>
        <v>1.2096680457111448</v>
      </c>
      <c r="L74" s="93">
        <f t="shared" si="68"/>
        <v>1.2305302334852899</v>
      </c>
      <c r="M74" s="93">
        <f t="shared" si="68"/>
        <v>1.2709961827719498</v>
      </c>
      <c r="N74" s="93">
        <f t="shared" si="68"/>
        <v>1.2104924594417457</v>
      </c>
      <c r="O74" s="93">
        <f t="shared" si="68"/>
        <v>1.1683343987943007</v>
      </c>
      <c r="P74" s="93">
        <f t="shared" si="68"/>
        <v>1.1954244222259878</v>
      </c>
      <c r="Q74" s="93">
        <f t="shared" si="68"/>
        <v>1.1282609064930469</v>
      </c>
      <c r="R74" s="93">
        <f t="shared" si="68"/>
        <v>1.1939847133950772</v>
      </c>
      <c r="S74" s="93">
        <f t="shared" si="68"/>
        <v>1.1376052979730289</v>
      </c>
      <c r="T74" s="93">
        <f t="shared" si="68"/>
        <v>1.1810091155939053</v>
      </c>
      <c r="U74" s="93">
        <f t="shared" si="68"/>
        <v>1.2479824597447409</v>
      </c>
      <c r="V74" s="93">
        <f t="shared" si="68"/>
        <v>1.1339837117726621</v>
      </c>
      <c r="W74" s="93">
        <f t="shared" si="68"/>
        <v>1.1406786676719531</v>
      </c>
      <c r="DA74" s="175"/>
    </row>
    <row r="75" spans="1:105" ht="11.45" customHeight="1" x14ac:dyDescent="0.25">
      <c r="A75" s="85" t="s">
        <v>174</v>
      </c>
      <c r="B75" s="94">
        <f t="shared" si="61"/>
        <v>1.1389967767724745</v>
      </c>
      <c r="C75" s="94">
        <f t="shared" ref="C75:W75" si="69">IF(C13=0,0,C25/C65)</f>
        <v>0.91121545012554295</v>
      </c>
      <c r="D75" s="94">
        <f t="shared" si="69"/>
        <v>0.93724598999851472</v>
      </c>
      <c r="E75" s="94">
        <f t="shared" si="69"/>
        <v>0.80649351111430134</v>
      </c>
      <c r="F75" s="94">
        <f t="shared" si="69"/>
        <v>1.0227971631012389</v>
      </c>
      <c r="G75" s="94">
        <f t="shared" si="69"/>
        <v>1.0043710271903372</v>
      </c>
      <c r="H75" s="94">
        <f t="shared" si="69"/>
        <v>1.0599671159095121</v>
      </c>
      <c r="I75" s="94">
        <f t="shared" si="69"/>
        <v>1.0338454075828873</v>
      </c>
      <c r="J75" s="94">
        <f t="shared" si="69"/>
        <v>1.0736823116838843</v>
      </c>
      <c r="K75" s="94">
        <f t="shared" si="69"/>
        <v>1.0835773605681143</v>
      </c>
      <c r="L75" s="94">
        <f t="shared" si="69"/>
        <v>1.0467621459312153</v>
      </c>
      <c r="M75" s="94">
        <f t="shared" si="69"/>
        <v>1.0856798550740545</v>
      </c>
      <c r="N75" s="94">
        <f t="shared" si="69"/>
        <v>1.0337046128651048</v>
      </c>
      <c r="O75" s="94">
        <f t="shared" si="69"/>
        <v>0.79247131822080996</v>
      </c>
      <c r="P75" s="94">
        <f t="shared" si="69"/>
        <v>0.93236902849099701</v>
      </c>
      <c r="Q75" s="94">
        <f t="shared" si="69"/>
        <v>1.1864912660678322</v>
      </c>
      <c r="R75" s="94">
        <f t="shared" si="69"/>
        <v>0.99525872843334906</v>
      </c>
      <c r="S75" s="94">
        <f t="shared" si="69"/>
        <v>1.1644187577852956</v>
      </c>
      <c r="T75" s="94">
        <f t="shared" si="69"/>
        <v>0.96170605594140668</v>
      </c>
      <c r="U75" s="94">
        <f t="shared" si="69"/>
        <v>0.53779562994523133</v>
      </c>
      <c r="V75" s="94">
        <f t="shared" si="69"/>
        <v>0.85470593338076184</v>
      </c>
      <c r="W75" s="94">
        <f t="shared" si="69"/>
        <v>0.81435194780543629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380.42512200000016</v>
      </c>
      <c r="C3" s="79">
        <f t="shared" si="0"/>
        <v>285.30142199999989</v>
      </c>
      <c r="D3" s="79">
        <f t="shared" ref="D3" si="1">SUM(D4:D5)</f>
        <v>275.85872999999987</v>
      </c>
      <c r="E3" s="79">
        <f t="shared" ref="E3" si="2">SUM(E4:E5)</f>
        <v>244.15083000000001</v>
      </c>
      <c r="F3" s="79">
        <f t="shared" ref="F3" si="3">SUM(F4:F5)</f>
        <v>313.8385320000001</v>
      </c>
      <c r="G3" s="79">
        <f t="shared" ref="G3" si="4">SUM(G4:G5)</f>
        <v>265.88614247999993</v>
      </c>
      <c r="H3" s="79">
        <f t="shared" ref="H3" si="5">SUM(H4:H5)</f>
        <v>268.97798628000004</v>
      </c>
      <c r="I3" s="79">
        <f t="shared" ref="I3" si="6">SUM(I4:I5)</f>
        <v>281.34458495999996</v>
      </c>
      <c r="J3" s="79">
        <f t="shared" ref="J3" si="7">SUM(J4:J5)</f>
        <v>290.6198575200001</v>
      </c>
      <c r="K3" s="79">
        <f t="shared" ref="K3" si="8">SUM(K4:K5)</f>
        <v>272.06957123999996</v>
      </c>
      <c r="L3" s="79">
        <f t="shared" ref="L3" si="9">SUM(L4:L5)</f>
        <v>306.07829999999996</v>
      </c>
      <c r="M3" s="79">
        <f t="shared" ref="M3" si="10">SUM(M4:M5)</f>
        <v>315.35331372000007</v>
      </c>
      <c r="N3" s="79">
        <f t="shared" ref="N3" si="11">SUM(N4:N5)</f>
        <v>299.89487124000004</v>
      </c>
      <c r="O3" s="79">
        <f t="shared" ref="O3" si="12">SUM(O4:O5)</f>
        <v>315.35331371999996</v>
      </c>
      <c r="P3" s="79">
        <f t="shared" ref="P3" si="13">SUM(P4:P5)</f>
        <v>336.99518496000007</v>
      </c>
      <c r="Q3" s="79">
        <f t="shared" ref="Q3" si="14">SUM(Q4:Q5)</f>
        <v>349.3620424799999</v>
      </c>
      <c r="R3" s="79">
        <f t="shared" ref="R3" si="15">SUM(R4:R5)</f>
        <v>374.09575752000018</v>
      </c>
      <c r="S3" s="79">
        <f t="shared" ref="S3" si="16">SUM(S4:S5)</f>
        <v>419.58999360000013</v>
      </c>
      <c r="T3" s="79">
        <f t="shared" ref="T3" si="17">SUM(T4:T5)</f>
        <v>472.01280660000015</v>
      </c>
      <c r="U3" s="79">
        <f t="shared" ref="U3" si="18">SUM(U4:U5)</f>
        <v>496.1557850399999</v>
      </c>
      <c r="V3" s="79">
        <f t="shared" ref="V3:W3" si="19">SUM(V4:V5)</f>
        <v>178.21783511999999</v>
      </c>
      <c r="W3" s="79">
        <f t="shared" si="19"/>
        <v>232.38413640000005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380.42512200000016</v>
      </c>
      <c r="C5" s="96">
        <f t="shared" si="23"/>
        <v>285.30142199999989</v>
      </c>
      <c r="D5" s="96">
        <f t="shared" ref="D5:V5" si="24">SUM(D8:D9,D12:D13)</f>
        <v>275.85872999999987</v>
      </c>
      <c r="E5" s="96">
        <f t="shared" si="24"/>
        <v>244.15083000000001</v>
      </c>
      <c r="F5" s="96">
        <f t="shared" si="24"/>
        <v>313.8385320000001</v>
      </c>
      <c r="G5" s="96">
        <f t="shared" si="24"/>
        <v>265.88614247999993</v>
      </c>
      <c r="H5" s="96">
        <f t="shared" si="24"/>
        <v>268.97798628000004</v>
      </c>
      <c r="I5" s="96">
        <f t="shared" si="24"/>
        <v>281.34458495999996</v>
      </c>
      <c r="J5" s="96">
        <f t="shared" si="24"/>
        <v>290.6198575200001</v>
      </c>
      <c r="K5" s="96">
        <f t="shared" si="24"/>
        <v>272.06957123999996</v>
      </c>
      <c r="L5" s="96">
        <f t="shared" si="24"/>
        <v>306.07829999999996</v>
      </c>
      <c r="M5" s="96">
        <f t="shared" si="24"/>
        <v>315.35331372000007</v>
      </c>
      <c r="N5" s="96">
        <f t="shared" si="24"/>
        <v>299.89487124000004</v>
      </c>
      <c r="O5" s="96">
        <f t="shared" si="24"/>
        <v>315.35331371999996</v>
      </c>
      <c r="P5" s="96">
        <f t="shared" si="24"/>
        <v>336.99518496000007</v>
      </c>
      <c r="Q5" s="96">
        <f t="shared" si="24"/>
        <v>349.3620424799999</v>
      </c>
      <c r="R5" s="96">
        <f t="shared" si="24"/>
        <v>374.09575752000018</v>
      </c>
      <c r="S5" s="96">
        <f t="shared" si="24"/>
        <v>419.58999360000013</v>
      </c>
      <c r="T5" s="96">
        <f t="shared" si="24"/>
        <v>472.01280660000015</v>
      </c>
      <c r="U5" s="96">
        <f t="shared" si="24"/>
        <v>496.1557850399999</v>
      </c>
      <c r="V5" s="96">
        <f t="shared" si="24"/>
        <v>178.21783511999999</v>
      </c>
      <c r="W5" s="96">
        <f t="shared" ref="W5" si="25">SUM(W8:W9,W12:W13)</f>
        <v>232.38413640000005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372.29264130456522</v>
      </c>
      <c r="C6" s="21">
        <f t="shared" si="26"/>
        <v>279.48872591144436</v>
      </c>
      <c r="D6" s="21">
        <f t="shared" ref="D6:V6" si="27">SUM(D7:D9)</f>
        <v>270.15014779913395</v>
      </c>
      <c r="E6" s="21">
        <f t="shared" si="27"/>
        <v>236.8861869610663</v>
      </c>
      <c r="F6" s="21">
        <f t="shared" si="27"/>
        <v>305.62753804337808</v>
      </c>
      <c r="G6" s="21">
        <f t="shared" si="27"/>
        <v>258.67819840721131</v>
      </c>
      <c r="H6" s="21">
        <f t="shared" si="27"/>
        <v>259.85257276468849</v>
      </c>
      <c r="I6" s="21">
        <f t="shared" si="27"/>
        <v>271.81981109416586</v>
      </c>
      <c r="J6" s="21">
        <f t="shared" si="27"/>
        <v>280.32364633013214</v>
      </c>
      <c r="K6" s="21">
        <f t="shared" si="27"/>
        <v>261.6209119706964</v>
      </c>
      <c r="L6" s="21">
        <f t="shared" si="27"/>
        <v>296.31050279744113</v>
      </c>
      <c r="M6" s="21">
        <f t="shared" si="27"/>
        <v>306.19346955000026</v>
      </c>
      <c r="N6" s="21">
        <f t="shared" si="27"/>
        <v>291.51420390075447</v>
      </c>
      <c r="O6" s="21">
        <f t="shared" si="27"/>
        <v>309.13008082702532</v>
      </c>
      <c r="P6" s="21">
        <f t="shared" si="27"/>
        <v>331.93894414431463</v>
      </c>
      <c r="Q6" s="21">
        <f t="shared" si="27"/>
        <v>344.06271021816769</v>
      </c>
      <c r="R6" s="21">
        <f t="shared" si="27"/>
        <v>370.82502473502069</v>
      </c>
      <c r="S6" s="21">
        <f t="shared" si="27"/>
        <v>416.40841818146583</v>
      </c>
      <c r="T6" s="21">
        <f t="shared" si="27"/>
        <v>468.60918370235925</v>
      </c>
      <c r="U6" s="21">
        <f t="shared" si="27"/>
        <v>493.77727101720296</v>
      </c>
      <c r="V6" s="21">
        <f t="shared" si="27"/>
        <v>175.35117979270177</v>
      </c>
      <c r="W6" s="21">
        <f t="shared" ref="W6" si="28">SUM(W7:W9)</f>
        <v>229.58077543253302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324.19023645447373</v>
      </c>
      <c r="C8" s="96">
        <v>243.37666581694424</v>
      </c>
      <c r="D8" s="96">
        <v>239.93649599686671</v>
      </c>
      <c r="E8" s="96">
        <v>212.67935203726847</v>
      </c>
      <c r="F8" s="96">
        <v>276.02050701146783</v>
      </c>
      <c r="G8" s="96">
        <v>234.5568938170864</v>
      </c>
      <c r="H8" s="96">
        <v>234.87807075360882</v>
      </c>
      <c r="I8" s="96">
        <v>246.68593803203541</v>
      </c>
      <c r="J8" s="96">
        <v>252.76989709475913</v>
      </c>
      <c r="K8" s="96">
        <v>234.32114395566217</v>
      </c>
      <c r="L8" s="96">
        <v>265.85904875840782</v>
      </c>
      <c r="M8" s="96">
        <v>275.11930426331253</v>
      </c>
      <c r="N8" s="96">
        <v>261.4305743829799</v>
      </c>
      <c r="O8" s="96">
        <v>277.91554807843289</v>
      </c>
      <c r="P8" s="96">
        <v>299.5093685754693</v>
      </c>
      <c r="Q8" s="96">
        <v>310.49748435660734</v>
      </c>
      <c r="R8" s="96">
        <v>336.0365998928433</v>
      </c>
      <c r="S8" s="96">
        <v>378.92612820119092</v>
      </c>
      <c r="T8" s="96">
        <v>427.83503895075887</v>
      </c>
      <c r="U8" s="96">
        <v>450.3703064766313</v>
      </c>
      <c r="V8" s="96">
        <v>150.46687683697854</v>
      </c>
      <c r="W8" s="96">
        <v>201.44060028610227</v>
      </c>
      <c r="DA8" s="171" t="s">
        <v>328</v>
      </c>
    </row>
    <row r="9" spans="1:105" ht="11.45" customHeight="1" x14ac:dyDescent="0.25">
      <c r="A9" s="83" t="s">
        <v>174</v>
      </c>
      <c r="B9" s="96">
        <v>48.10240485009151</v>
      </c>
      <c r="C9" s="96">
        <v>36.112060094500137</v>
      </c>
      <c r="D9" s="96">
        <v>30.213651802267261</v>
      </c>
      <c r="E9" s="96">
        <v>24.206834923797825</v>
      </c>
      <c r="F9" s="96">
        <v>29.607031031910257</v>
      </c>
      <c r="G9" s="96">
        <v>24.121304590124936</v>
      </c>
      <c r="H9" s="96">
        <v>24.974502011079661</v>
      </c>
      <c r="I9" s="96">
        <v>25.133873062130451</v>
      </c>
      <c r="J9" s="96">
        <v>27.553749235372987</v>
      </c>
      <c r="K9" s="96">
        <v>27.299768015034239</v>
      </c>
      <c r="L9" s="96">
        <v>30.451454039033312</v>
      </c>
      <c r="M9" s="96">
        <v>31.074165286687702</v>
      </c>
      <c r="N9" s="96">
        <v>30.083629517774593</v>
      </c>
      <c r="O9" s="96">
        <v>31.214532748592426</v>
      </c>
      <c r="P9" s="96">
        <v>32.429575568845337</v>
      </c>
      <c r="Q9" s="96">
        <v>33.565225861560371</v>
      </c>
      <c r="R9" s="96">
        <v>34.788424842177392</v>
      </c>
      <c r="S9" s="96">
        <v>37.482289980274899</v>
      </c>
      <c r="T9" s="96">
        <v>40.774144751600382</v>
      </c>
      <c r="U9" s="96">
        <v>43.406964540571686</v>
      </c>
      <c r="V9" s="96">
        <v>24.884302955723239</v>
      </c>
      <c r="W9" s="96">
        <v>28.140175146430735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8.1324806954349143</v>
      </c>
      <c r="C10" s="22">
        <f t="shared" si="29"/>
        <v>5.8126960885555654</v>
      </c>
      <c r="D10" s="22">
        <f t="shared" ref="D10:V10" si="30">SUM(D11:D13)</f>
        <v>5.7085822008659317</v>
      </c>
      <c r="E10" s="22">
        <f t="shared" si="30"/>
        <v>7.2646430389337056</v>
      </c>
      <c r="F10" s="22">
        <f t="shared" si="30"/>
        <v>8.2109939566220174</v>
      </c>
      <c r="G10" s="22">
        <f t="shared" si="30"/>
        <v>7.2079440727886315</v>
      </c>
      <c r="H10" s="22">
        <f t="shared" si="30"/>
        <v>9.1254135153115516</v>
      </c>
      <c r="I10" s="22">
        <f t="shared" si="30"/>
        <v>9.5247738658340992</v>
      </c>
      <c r="J10" s="22">
        <f t="shared" si="30"/>
        <v>10.296211189867917</v>
      </c>
      <c r="K10" s="22">
        <f t="shared" si="30"/>
        <v>10.448659269303588</v>
      </c>
      <c r="L10" s="22">
        <f t="shared" si="30"/>
        <v>9.7677972025587945</v>
      </c>
      <c r="M10" s="22">
        <f t="shared" si="30"/>
        <v>9.1598441699997686</v>
      </c>
      <c r="N10" s="22">
        <f t="shared" si="30"/>
        <v>8.3806673392455782</v>
      </c>
      <c r="O10" s="22">
        <f t="shared" si="30"/>
        <v>6.2232328929746235</v>
      </c>
      <c r="P10" s="22">
        <f t="shared" si="30"/>
        <v>5.0562408156854426</v>
      </c>
      <c r="Q10" s="22">
        <f t="shared" si="30"/>
        <v>5.2993322618322143</v>
      </c>
      <c r="R10" s="22">
        <f t="shared" si="30"/>
        <v>3.2707327849795274</v>
      </c>
      <c r="S10" s="22">
        <f t="shared" si="30"/>
        <v>3.1815754185343215</v>
      </c>
      <c r="T10" s="22">
        <f t="shared" si="30"/>
        <v>3.4036228976408962</v>
      </c>
      <c r="U10" s="22">
        <f t="shared" si="30"/>
        <v>2.3785140227969257</v>
      </c>
      <c r="V10" s="22">
        <f t="shared" si="30"/>
        <v>2.8666553272982345</v>
      </c>
      <c r="W10" s="22">
        <f t="shared" ref="W10" si="31">SUM(W11:W13)</f>
        <v>2.8033609674670124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7.5982325403308577</v>
      </c>
      <c r="C12" s="97">
        <v>5.3853206292347622</v>
      </c>
      <c r="D12" s="97">
        <v>5.2566540112445228</v>
      </c>
      <c r="E12" s="97">
        <v>6.8127002618672572</v>
      </c>
      <c r="F12" s="97">
        <v>7.5047365149699035</v>
      </c>
      <c r="G12" s="97">
        <v>6.3551431383643857</v>
      </c>
      <c r="H12" s="97">
        <v>8.0279920392800452</v>
      </c>
      <c r="I12" s="97">
        <v>8.0630940149233492</v>
      </c>
      <c r="J12" s="97">
        <v>8.0289010162328225</v>
      </c>
      <c r="K12" s="97">
        <v>7.42197522819552</v>
      </c>
      <c r="L12" s="97">
        <v>7.7811940398175157</v>
      </c>
      <c r="M12" s="97">
        <v>7.8323219012501495</v>
      </c>
      <c r="N12" s="97">
        <v>7.0356572840101848</v>
      </c>
      <c r="O12" s="97">
        <v>5.2461226792961044</v>
      </c>
      <c r="P12" s="97">
        <v>4.5083604588328399</v>
      </c>
      <c r="Q12" s="97">
        <v>4.9601823636992393</v>
      </c>
      <c r="R12" s="97">
        <v>2.873059692581271</v>
      </c>
      <c r="S12" s="97">
        <v>2.8641172676403412</v>
      </c>
      <c r="T12" s="97">
        <v>3.13943193851367</v>
      </c>
      <c r="U12" s="97">
        <v>2.254547978989061</v>
      </c>
      <c r="V12" s="97">
        <v>2.3704146828207358</v>
      </c>
      <c r="W12" s="97">
        <v>2.3514902870109262</v>
      </c>
      <c r="DA12" s="175" t="s">
        <v>332</v>
      </c>
    </row>
    <row r="13" spans="1:105" ht="11.45" customHeight="1" x14ac:dyDescent="0.25">
      <c r="A13" s="85" t="s">
        <v>174</v>
      </c>
      <c r="B13" s="98">
        <v>0.53424815510405599</v>
      </c>
      <c r="C13" s="98">
        <v>0.42737545932080284</v>
      </c>
      <c r="D13" s="98">
        <v>0.45192818962140902</v>
      </c>
      <c r="E13" s="98">
        <v>0.45194277706644875</v>
      </c>
      <c r="F13" s="98">
        <v>0.70625744165211468</v>
      </c>
      <c r="G13" s="98">
        <v>0.85280093442424576</v>
      </c>
      <c r="H13" s="98">
        <v>1.0974214760315069</v>
      </c>
      <c r="I13" s="98">
        <v>1.4616798509107505</v>
      </c>
      <c r="J13" s="98">
        <v>2.2673101736350945</v>
      </c>
      <c r="K13" s="98">
        <v>3.0266840411080684</v>
      </c>
      <c r="L13" s="98">
        <v>1.9866031627412781</v>
      </c>
      <c r="M13" s="98">
        <v>1.3275222687496184</v>
      </c>
      <c r="N13" s="98">
        <v>1.3450100552353941</v>
      </c>
      <c r="O13" s="98">
        <v>0.97711021367851902</v>
      </c>
      <c r="P13" s="98">
        <v>0.54788035685260261</v>
      </c>
      <c r="Q13" s="98">
        <v>0.33914989813297525</v>
      </c>
      <c r="R13" s="98">
        <v>0.39767309239825632</v>
      </c>
      <c r="S13" s="98">
        <v>0.31745815089398005</v>
      </c>
      <c r="T13" s="98">
        <v>0.26419095912722645</v>
      </c>
      <c r="U13" s="98">
        <v>0.12396604380786465</v>
      </c>
      <c r="V13" s="98">
        <v>0.49624064447749866</v>
      </c>
      <c r="W13" s="98">
        <v>0.4518706804560863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3.0096432849224808</v>
      </c>
      <c r="C19" s="98">
        <f>IF(C5=0,0,C5/TrAvia_ene!C5)</f>
        <v>3.0094213245041512</v>
      </c>
      <c r="D19" s="98">
        <f>IF(D5=0,0,D5/TrAvia_ene!D5)</f>
        <v>3.0103091999999987</v>
      </c>
      <c r="E19" s="98">
        <f>IF(E5=0,0,E5/TrAvia_ene!E5)</f>
        <v>3.0103092000000005</v>
      </c>
      <c r="F19" s="98">
        <f>IF(F5=0,0,F5/TrAvia_ene!F5)</f>
        <v>3.0095020367313494</v>
      </c>
      <c r="G19" s="98">
        <f>IF(G5=0,0,G5/TrAvia_ene!G5)</f>
        <v>3.0103091999999991</v>
      </c>
      <c r="H19" s="98">
        <f>IF(H5=0,0,H5/TrAvia_ene!H5)</f>
        <v>3.0103092000000018</v>
      </c>
      <c r="I19" s="98">
        <f>IF(I5=0,0,I5/TrAvia_ene!I5)</f>
        <v>3.0103091999999996</v>
      </c>
      <c r="J19" s="98">
        <f>IF(J5=0,0,J5/TrAvia_ene!J5)</f>
        <v>3.0103092000000014</v>
      </c>
      <c r="K19" s="98">
        <f>IF(K5=0,0,K5/TrAvia_ene!K5)</f>
        <v>3.0103092</v>
      </c>
      <c r="L19" s="98">
        <f>IF(L5=0,0,L5/TrAvia_ene!L5)</f>
        <v>3.0103092000000005</v>
      </c>
      <c r="M19" s="98">
        <f>IF(M5=0,0,M5/TrAvia_ene!M5)</f>
        <v>3.0103092000000014</v>
      </c>
      <c r="N19" s="98">
        <f>IF(N5=0,0,N5/TrAvia_ene!N5)</f>
        <v>3.0103092000000009</v>
      </c>
      <c r="O19" s="98">
        <f>IF(O5=0,0,O5/TrAvia_ene!O5)</f>
        <v>3.0103092000000005</v>
      </c>
      <c r="P19" s="98">
        <f>IF(P5=0,0,P5/TrAvia_ene!P5)</f>
        <v>3.0103092</v>
      </c>
      <c r="Q19" s="98">
        <f>IF(Q5=0,0,Q5/TrAvia_ene!Q5)</f>
        <v>3.0103092000000009</v>
      </c>
      <c r="R19" s="98">
        <f>IF(R5=0,0,R5/TrAvia_ene!R5)</f>
        <v>3.0103092</v>
      </c>
      <c r="S19" s="98">
        <f>IF(S5=0,0,S5/TrAvia_ene!S5)</f>
        <v>3.0103092000000005</v>
      </c>
      <c r="T19" s="98">
        <f>IF(T5=0,0,T5/TrAvia_ene!T5)</f>
        <v>3.0103022639925787</v>
      </c>
      <c r="U19" s="98">
        <f>IF(U5=0,0,U5/TrAvia_ene!U5)</f>
        <v>3.0102990740095481</v>
      </c>
      <c r="V19" s="98">
        <f>IF(V5=0,0,V5/TrAvia_ene!V5)</f>
        <v>3.0102964911312258</v>
      </c>
      <c r="W19" s="98">
        <f>IF(W5=0,0,W5/TrAvia_ene!W5)</f>
        <v>3.0102745556442922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15539.880561918302</v>
      </c>
      <c r="C21" s="54">
        <f>IF(C3=0,0,C3/TrAvia_act!C13*1000)</f>
        <v>12430.704229145254</v>
      </c>
      <c r="D21" s="54">
        <f>IF(D3=0,0,D3/TrAvia_act!D13*1000)</f>
        <v>12805.258971015801</v>
      </c>
      <c r="E21" s="54">
        <f>IF(E3=0,0,E3/TrAvia_act!E13*1000)</f>
        <v>11029.324267231075</v>
      </c>
      <c r="F21" s="54">
        <f>IF(F3=0,0,F3/TrAvia_act!F13*1000)</f>
        <v>13984.102162748408</v>
      </c>
      <c r="G21" s="54">
        <f>IF(G3=0,0,G3/TrAvia_act!G13*1000)</f>
        <v>11636.182369049977</v>
      </c>
      <c r="H21" s="54">
        <f>IF(H3=0,0,H3/TrAvia_act!H13*1000)</f>
        <v>12416.516515034498</v>
      </c>
      <c r="I21" s="54">
        <f>IF(I3=0,0,I3/TrAvia_act!I13*1000)</f>
        <v>11760.059713150436</v>
      </c>
      <c r="J21" s="54">
        <f>IF(J3=0,0,J3/TrAvia_act!J13*1000)</f>
        <v>12290.496337115948</v>
      </c>
      <c r="K21" s="54">
        <f>IF(K3=0,0,K3/TrAvia_act!K13*1000)</f>
        <v>12041.53040958061</v>
      </c>
      <c r="L21" s="54">
        <f>IF(L3=0,0,L3/TrAvia_act!L13*1000)</f>
        <v>12421.740266310871</v>
      </c>
      <c r="M21" s="54">
        <f>IF(M3=0,0,M3/TrAvia_act!M13*1000)</f>
        <v>12765.855874212832</v>
      </c>
      <c r="N21" s="54">
        <f>IF(N3=0,0,N3/TrAvia_act!N13*1000)</f>
        <v>12229.118529834746</v>
      </c>
      <c r="O21" s="54">
        <f>IF(O3=0,0,O3/TrAvia_act!O13*1000)</f>
        <v>11792.299434887213</v>
      </c>
      <c r="P21" s="54">
        <f>IF(P3=0,0,P3/TrAvia_act!P13*1000)</f>
        <v>12262.053954460018</v>
      </c>
      <c r="Q21" s="54">
        <f>IF(Q3=0,0,Q3/TrAvia_act!Q13*1000)</f>
        <v>12092.253078246085</v>
      </c>
      <c r="R21" s="54">
        <f>IF(R3=0,0,R3/TrAvia_act!R13*1000)</f>
        <v>12413.719939843913</v>
      </c>
      <c r="S21" s="54">
        <f>IF(S3=0,0,S3/TrAvia_act!S13*1000)</f>
        <v>12317.355666890333</v>
      </c>
      <c r="T21" s="54">
        <f>IF(T3=0,0,T3/TrAvia_act!T13*1000)</f>
        <v>12114.761019406826</v>
      </c>
      <c r="U21" s="54">
        <f>IF(U3=0,0,U3/TrAvia_act!U13*1000)</f>
        <v>11314.351673761064</v>
      </c>
      <c r="V21" s="54">
        <f>IF(V3=0,0,V3/TrAvia_act!V13*1000)</f>
        <v>11069.364109862368</v>
      </c>
      <c r="W21" s="54">
        <f>IF(W3=0,0,W3/TrAvia_act!W13*1000)</f>
        <v>11004.647775569993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15519.413020651991</v>
      </c>
      <c r="C22" s="11">
        <f>IF(C6=0,0,C6/TrAvia_act!C14*1000)</f>
        <v>12414.875031291622</v>
      </c>
      <c r="D22" s="11">
        <f>IF(D6=0,0,D6/TrAvia_act!D14*1000)</f>
        <v>12788.841736777042</v>
      </c>
      <c r="E22" s="11">
        <f>IF(E6=0,0,E6/TrAvia_act!E14*1000)</f>
        <v>11009.320338120067</v>
      </c>
      <c r="F22" s="11">
        <f>IF(F6=0,0,F6/TrAvia_act!F14*1000)</f>
        <v>13961.356559250617</v>
      </c>
      <c r="G22" s="11">
        <f>IF(G6=0,0,G6/TrAvia_act!G14*1000)</f>
        <v>11615.0276083359</v>
      </c>
      <c r="H22" s="11">
        <f>IF(H6=0,0,H6/TrAvia_act!H14*1000)</f>
        <v>12398.116541728856</v>
      </c>
      <c r="I22" s="11">
        <f>IF(I6=0,0,I6/TrAvia_act!I14*1000)</f>
        <v>11748.665409959862</v>
      </c>
      <c r="J22" s="11">
        <f>IF(J6=0,0,J6/TrAvia_act!J14*1000)</f>
        <v>12274.499135968688</v>
      </c>
      <c r="K22" s="11">
        <f>IF(K6=0,0,K6/TrAvia_act!K14*1000)</f>
        <v>12007.638920903035</v>
      </c>
      <c r="L22" s="11">
        <f>IF(L6=0,0,L6/TrAvia_act!L14*1000)</f>
        <v>12410.602859193736</v>
      </c>
      <c r="M22" s="11">
        <f>IF(M6=0,0,M6/TrAvia_act!M14*1000)</f>
        <v>12765.13958458587</v>
      </c>
      <c r="N22" s="11">
        <f>IF(N6=0,0,N6/TrAvia_act!N14*1000)</f>
        <v>12235.840983882035</v>
      </c>
      <c r="O22" s="11">
        <f>IF(O6=0,0,O6/TrAvia_act!O14*1000)</f>
        <v>11808.186054355989</v>
      </c>
      <c r="P22" s="11">
        <f>IF(P6=0,0,P6/TrAvia_act!P14*1000)</f>
        <v>12277.672516314935</v>
      </c>
      <c r="Q22" s="11">
        <f>IF(Q6=0,0,Q6/TrAvia_act!Q14*1000)</f>
        <v>12115.403379342966</v>
      </c>
      <c r="R22" s="11">
        <f>IF(R6=0,0,R6/TrAvia_act!R14*1000)</f>
        <v>12423.468884625772</v>
      </c>
      <c r="S22" s="11">
        <f>IF(S6=0,0,S6/TrAvia_act!S14*1000)</f>
        <v>12327.130279892284</v>
      </c>
      <c r="T22" s="11">
        <f>IF(T6=0,0,T6/TrAvia_act!T14*1000)</f>
        <v>12118.237080858744</v>
      </c>
      <c r="U22" s="11">
        <f>IF(U6=0,0,U6/TrAvia_act!U14*1000)</f>
        <v>11311.992435337279</v>
      </c>
      <c r="V22" s="11">
        <f>IF(V6=0,0,V6/TrAvia_act!V14*1000)</f>
        <v>11068.892920810446</v>
      </c>
      <c r="W22" s="11">
        <f>IF(W6=0,0,W6/TrAvia_act!W14*1000)</f>
        <v>11001.416989539441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15627.764211937967</v>
      </c>
      <c r="C24" s="84">
        <f>IF(C8=0,0,C8/TrAvia_act!C16*1000)</f>
        <v>12501.555012049375</v>
      </c>
      <c r="D24" s="84">
        <f>IF(D8=0,0,D8/TrAvia_act!D16*1000)</f>
        <v>12866.615640858612</v>
      </c>
      <c r="E24" s="84">
        <f>IF(E8=0,0,E8/TrAvia_act!E16*1000)</f>
        <v>11070.357371917918</v>
      </c>
      <c r="F24" s="84">
        <f>IF(F8=0,0,F8/TrAvia_act!F16*1000)</f>
        <v>14034.626121266039</v>
      </c>
      <c r="G24" s="84">
        <f>IF(G8=0,0,G8/TrAvia_act!G16*1000)</f>
        <v>11483.939600677824</v>
      </c>
      <c r="H24" s="84">
        <f>IF(H8=0,0,H8/TrAvia_act!H16*1000)</f>
        <v>12282.658104904041</v>
      </c>
      <c r="I24" s="84">
        <f>IF(I8=0,0,I8/TrAvia_act!I16*1000)</f>
        <v>11604.228888402102</v>
      </c>
      <c r="J24" s="84">
        <f>IF(J8=0,0,J8/TrAvia_act!J16*1000)</f>
        <v>12122.832205704452</v>
      </c>
      <c r="K24" s="84">
        <f>IF(K8=0,0,K8/TrAvia_act!K16*1000)</f>
        <v>11799.330234598558</v>
      </c>
      <c r="L24" s="84">
        <f>IF(L8=0,0,L8/TrAvia_act!L16*1000)</f>
        <v>12273.026472617752</v>
      </c>
      <c r="M24" s="84">
        <f>IF(M8=0,0,M8/TrAvia_act!M16*1000)</f>
        <v>12653.640748703505</v>
      </c>
      <c r="N24" s="84">
        <f>IF(N8=0,0,N8/TrAvia_act!N16*1000)</f>
        <v>12152.563531765818</v>
      </c>
      <c r="O24" s="84">
        <f>IF(O8=0,0,O8/TrAvia_act!O16*1000)</f>
        <v>12067.528631948093</v>
      </c>
      <c r="P24" s="84">
        <f>IF(P8=0,0,P8/TrAvia_act!P16*1000)</f>
        <v>12339.881767181641</v>
      </c>
      <c r="Q24" s="84">
        <f>IF(Q8=0,0,Q8/TrAvia_act!Q16*1000)</f>
        <v>11862.669463051883</v>
      </c>
      <c r="R24" s="84">
        <f>IF(R8=0,0,R8/TrAvia_act!R16*1000)</f>
        <v>12423.543474537069</v>
      </c>
      <c r="S24" s="84">
        <f>IF(S8=0,0,S8/TrAvia_act!S16*1000)</f>
        <v>12136.176094554607</v>
      </c>
      <c r="T24" s="84">
        <f>IF(T8=0,0,T8/TrAvia_act!T16*1000)</f>
        <v>12125.879942133388</v>
      </c>
      <c r="U24" s="84">
        <f>IF(U8=0,0,U8/TrAvia_act!U16*1000)</f>
        <v>12006.550621284621</v>
      </c>
      <c r="V24" s="84">
        <f>IF(V8=0,0,V8/TrAvia_act!V16*1000)</f>
        <v>11014.757531514124</v>
      </c>
      <c r="W24" s="84">
        <f>IF(W8=0,0,W8/TrAvia_act!W16*1000)</f>
        <v>11042.583825266775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14826.606839211847</v>
      </c>
      <c r="C25" s="84">
        <f>IF(C9=0,0,C9/TrAvia_act!C17*1000)</f>
        <v>11860.645371518312</v>
      </c>
      <c r="D25" s="84">
        <f>IF(D9=0,0,D9/TrAvia_act!D17*1000)</f>
        <v>12203.065683387373</v>
      </c>
      <c r="E25" s="84">
        <f>IF(E9=0,0,E9/TrAvia_act!E17*1000)</f>
        <v>10500.651263783078</v>
      </c>
      <c r="F25" s="84">
        <f>IF(F9=0,0,F9/TrAvia_act!F17*1000)</f>
        <v>13313.382460082366</v>
      </c>
      <c r="G25" s="84">
        <f>IF(G9=0,0,G9/TrAvia_act!G17*1000)</f>
        <v>13065.259728759538</v>
      </c>
      <c r="H25" s="84">
        <f>IF(H9=0,0,H9/TrAvia_act!H17*1000)</f>
        <v>13600.472137972451</v>
      </c>
      <c r="I25" s="84">
        <f>IF(I9=0,0,I9/TrAvia_act!I17*1000)</f>
        <v>13383.678381671003</v>
      </c>
      <c r="J25" s="84">
        <f>IF(J9=0,0,J9/TrAvia_act!J17*1000)</f>
        <v>13865.899697677627</v>
      </c>
      <c r="K25" s="84">
        <f>IF(K9=0,0,K9/TrAvia_act!K17*1000)</f>
        <v>14152.130649539478</v>
      </c>
      <c r="L25" s="84">
        <f>IF(L9=0,0,L9/TrAvia_act!L17*1000)</f>
        <v>13756.952562821842</v>
      </c>
      <c r="M25" s="84">
        <f>IF(M9=0,0,M9/TrAvia_act!M17*1000)</f>
        <v>13845.274477635714</v>
      </c>
      <c r="N25" s="84">
        <f>IF(N9=0,0,N9/TrAvia_act!N17*1000)</f>
        <v>13010.63103544258</v>
      </c>
      <c r="O25" s="84">
        <f>IF(O9=0,0,O9/TrAvia_act!O17*1000)</f>
        <v>9911.6633960525669</v>
      </c>
      <c r="P25" s="84">
        <f>IF(P9=0,0,P9/TrAvia_act!P17*1000)</f>
        <v>11731.455750310271</v>
      </c>
      <c r="Q25" s="84">
        <f>IF(Q9=0,0,Q9/TrAvia_act!Q17*1000)</f>
        <v>15089.238896172787</v>
      </c>
      <c r="R25" s="84">
        <f>IF(R9=0,0,R9/TrAvia_act!R17*1000)</f>
        <v>12422.748434180825</v>
      </c>
      <c r="S25" s="84">
        <f>IF(S9=0,0,S9/TrAvia_act!S17*1000)</f>
        <v>14658.845553499401</v>
      </c>
      <c r="T25" s="84">
        <f>IF(T9=0,0,T9/TrAvia_act!T17*1000)</f>
        <v>12038.619151679552</v>
      </c>
      <c r="U25" s="84">
        <f>IF(U9=0,0,U9/TrAvia_act!U17*1000)</f>
        <v>7069.0828198010659</v>
      </c>
      <c r="V25" s="84">
        <f>IF(V9=0,0,V9/TrAvia_act!V17*1000)</f>
        <v>11407.915034534146</v>
      </c>
      <c r="W25" s="84">
        <f>IF(W9=0,0,W9/TrAvia_act!W17*1000)</f>
        <v>10715.455449380981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16538.372503147028</v>
      </c>
      <c r="C26" s="13">
        <f>IF(C10=0,0,C10/TrAvia_act!C18*1000)</f>
        <v>13242.552630621125</v>
      </c>
      <c r="D26" s="13">
        <f>IF(D10=0,0,D10/TrAvia_act!D18*1000)</f>
        <v>13633.49259712899</v>
      </c>
      <c r="E26" s="13">
        <f>IF(E10=0,0,E10/TrAvia_act!E18*1000)</f>
        <v>11723.955688754519</v>
      </c>
      <c r="F26" s="13">
        <f>IF(F10=0,0,F10/TrAvia_act!F18*1000)</f>
        <v>14886.856532078249</v>
      </c>
      <c r="G26" s="13">
        <f>IF(G10=0,0,G10/TrAvia_act!G18*1000)</f>
        <v>12449.956989718852</v>
      </c>
      <c r="H26" s="13">
        <f>IF(H10=0,0,H10/TrAvia_act!H18*1000)</f>
        <v>12964.400209113852</v>
      </c>
      <c r="I26" s="13">
        <f>IF(I10=0,0,I10/TrAvia_act!I18*1000)</f>
        <v>12094.812981402258</v>
      </c>
      <c r="J26" s="13">
        <f>IF(J10=0,0,J10/TrAvia_act!J18*1000)</f>
        <v>12742.645918502243</v>
      </c>
      <c r="K26" s="13">
        <f>IF(K10=0,0,K10/TrAvia_act!K18*1000)</f>
        <v>12957.239215496242</v>
      </c>
      <c r="L26" s="13">
        <f>IF(L10=0,0,L10/TrAvia_act!L18*1000)</f>
        <v>12769.365213790101</v>
      </c>
      <c r="M26" s="13">
        <f>IF(M10=0,0,M10/TrAvia_act!M18*1000)</f>
        <v>12789.846206013988</v>
      </c>
      <c r="N26" s="13">
        <f>IF(N10=0,0,N10/TrAvia_act!N18*1000)</f>
        <v>11999.794821272208</v>
      </c>
      <c r="O26" s="13">
        <f>IF(O10=0,0,O10/TrAvia_act!O18*1000)</f>
        <v>11053.584858325941</v>
      </c>
      <c r="P26" s="13">
        <f>IF(P10=0,0,P10/TrAvia_act!P18*1000)</f>
        <v>11316.939412214484</v>
      </c>
      <c r="Q26" s="13">
        <f>IF(Q10=0,0,Q10/TrAvia_act!Q18*1000)</f>
        <v>10757.648606970648</v>
      </c>
      <c r="R26" s="13">
        <f>IF(R10=0,0,R10/TrAvia_act!R18*1000)</f>
        <v>11399.516379029121</v>
      </c>
      <c r="S26" s="13">
        <f>IF(S10=0,0,S10/TrAvia_act!S18*1000)</f>
        <v>11159.245930463314</v>
      </c>
      <c r="T26" s="13">
        <f>IF(T10=0,0,T10/TrAvia_act!T18*1000)</f>
        <v>11654.493056106192</v>
      </c>
      <c r="U26" s="13">
        <f>IF(U10=0,0,U10/TrAvia_act!U18*1000)</f>
        <v>11826.399653278624</v>
      </c>
      <c r="V26" s="13">
        <f>IF(V10=0,0,V10/TrAvia_act!V18*1000)</f>
        <v>11098.262871023924</v>
      </c>
      <c r="W26" s="13">
        <f>IF(W10=0,0,W10/TrAvia_act!W18*1000)</f>
        <v>11275.832154426944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16411.532320058548</v>
      </c>
      <c r="C28" s="102">
        <f>IF(C12=0,0,C12/TrAvia_act!C20*1000)</f>
        <v>13128.907701320384</v>
      </c>
      <c r="D28" s="102">
        <f>IF(D12=0,0,D12/TrAvia_act!D20*1000)</f>
        <v>13507.482062967814</v>
      </c>
      <c r="E28" s="102">
        <f>IF(E12=0,0,E12/TrAvia_act!E20*1000)</f>
        <v>11639.724127125171</v>
      </c>
      <c r="F28" s="102">
        <f>IF(F12=0,0,F12/TrAvia_act!F20*1000)</f>
        <v>14737.433711061465</v>
      </c>
      <c r="G28" s="102">
        <f>IF(G12=0,0,G12/TrAvia_act!G20*1000)</f>
        <v>12063.635265292933</v>
      </c>
      <c r="H28" s="102">
        <f>IF(H12=0,0,H12/TrAvia_act!H20*1000)</f>
        <v>12788.090473940556</v>
      </c>
      <c r="I28" s="102">
        <f>IF(I12=0,0,I12/TrAvia_act!I20*1000)</f>
        <v>11777.53132214198</v>
      </c>
      <c r="J28" s="102">
        <f>IF(J12=0,0,J12/TrAvia_act!J20*1000)</f>
        <v>12002.691203943188</v>
      </c>
      <c r="K28" s="102">
        <f>IF(K12=0,0,K12/TrAvia_act!K20*1000)</f>
        <v>11530.622691022309</v>
      </c>
      <c r="L28" s="102">
        <f>IF(L12=0,0,L12/TrAvia_act!L20*1000)</f>
        <v>11594.75516203107</v>
      </c>
      <c r="M28" s="102">
        <f>IF(M12=0,0,M12/TrAvia_act!M20*1000)</f>
        <v>11972.697751085465</v>
      </c>
      <c r="N28" s="102">
        <f>IF(N12=0,0,N12/TrAvia_act!N20*1000)</f>
        <v>11389.021082908637</v>
      </c>
      <c r="O28" s="102">
        <f>IF(O12=0,0,O12/TrAvia_act!O20*1000)</f>
        <v>10926.703261796923</v>
      </c>
      <c r="P28" s="102">
        <f>IF(P12=0,0,P12/TrAvia_act!P20*1000)</f>
        <v>11193.238766477471</v>
      </c>
      <c r="Q28" s="102">
        <f>IF(Q12=0,0,Q12/TrAvia_act!Q20*1000)</f>
        <v>10551.52395595021</v>
      </c>
      <c r="R28" s="102">
        <f>IF(R12=0,0,R12/TrAvia_act!R20*1000)</f>
        <v>11247.407916382746</v>
      </c>
      <c r="S28" s="102">
        <f>IF(S12=0,0,S12/TrAvia_act!S20*1000)</f>
        <v>10765.926021624728</v>
      </c>
      <c r="T28" s="102">
        <f>IF(T12=0,0,T12/TrAvia_act!T20*1000)</f>
        <v>11345.274130410948</v>
      </c>
      <c r="U28" s="102">
        <f>IF(U12=0,0,U12/TrAvia_act!U20*1000)</f>
        <v>12064.991469757897</v>
      </c>
      <c r="V28" s="102">
        <f>IF(V12=0,0,V12/TrAvia_act!V20*1000)</f>
        <v>10951.021871145145</v>
      </c>
      <c r="W28" s="102">
        <f>IF(W12=0,0,W12/TrAvia_act!W20*1000)</f>
        <v>11002.293518675397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18580.773780562085</v>
      </c>
      <c r="C29" s="86">
        <f>IF(C13=0,0,C13/TrAvia_act!C21*1000)</f>
        <v>14863.816848290255</v>
      </c>
      <c r="D29" s="86">
        <f>IF(D13=0,0,D13/TrAvia_act!D21*1000)</f>
        <v>15292.939601844479</v>
      </c>
      <c r="E29" s="86">
        <f>IF(E13=0,0,E13/TrAvia_act!E21*1000)</f>
        <v>13159.465803390693</v>
      </c>
      <c r="F29" s="86">
        <f>IF(F13=0,0,F13/TrAvia_act!F21*1000)</f>
        <v>16684.393835187409</v>
      </c>
      <c r="G29" s="86">
        <f>IF(G13=0,0,G13/TrAvia_act!G21*1000)</f>
        <v>16352.323692261269</v>
      </c>
      <c r="H29" s="86">
        <f>IF(H13=0,0,H13/TrAvia_act!H21*1000)</f>
        <v>14418.611496654295</v>
      </c>
      <c r="I29" s="86">
        <f>IF(I13=0,0,I13/TrAvia_act!I21*1000)</f>
        <v>14205.915880803565</v>
      </c>
      <c r="J29" s="86">
        <f>IF(J13=0,0,J13/TrAvia_act!J21*1000)</f>
        <v>16301.385339844455</v>
      </c>
      <c r="K29" s="86">
        <f>IF(K13=0,0,K13/TrAvia_act!K21*1000)</f>
        <v>18600.526133426098</v>
      </c>
      <c r="L29" s="86">
        <f>IF(L13=0,0,L13/TrAvia_act!L21*1000)</f>
        <v>21169.230634503445</v>
      </c>
      <c r="M29" s="86">
        <f>IF(M13=0,0,M13/TrAvia_act!M21*1000)</f>
        <v>21411.971011259484</v>
      </c>
      <c r="N29" s="86">
        <f>IF(N13=0,0,N13/TrAvia_act!N21*1000)</f>
        <v>16678.566080916356</v>
      </c>
      <c r="O29" s="86">
        <f>IF(O13=0,0,O13/TrAvia_act!O21*1000)</f>
        <v>11788.54643208316</v>
      </c>
      <c r="P29" s="86">
        <f>IF(P13=0,0,P13/TrAvia_act!P21*1000)</f>
        <v>12449.039849212088</v>
      </c>
      <c r="Q29" s="86">
        <f>IF(Q13=0,0,Q13/TrAvia_act!Q21*1000)</f>
        <v>15060.551879510977</v>
      </c>
      <c r="R29" s="86">
        <f>IF(R13=0,0,R13/TrAvia_act!R21*1000)</f>
        <v>12633.920973550952</v>
      </c>
      <c r="S29" s="86">
        <f>IF(S13=0,0,S13/TrAvia_act!S21*1000)</f>
        <v>16645.872754358428</v>
      </c>
      <c r="T29" s="86">
        <f>IF(T13=0,0,T13/TrAvia_act!T21*1000)</f>
        <v>17237.315663190016</v>
      </c>
      <c r="U29" s="86">
        <f>IF(U13=0,0,U13/TrAvia_act!U21*1000)</f>
        <v>8698.0930354200245</v>
      </c>
      <c r="V29" s="86">
        <f>IF(V13=0,0,V13/TrAvia_act!V21*1000)</f>
        <v>11859.973145522752</v>
      </c>
      <c r="W29" s="86">
        <f>IF(W13=0,0,W13/TrAvia_act!W21*1000)</f>
        <v>12951.484974832581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127.27957214435348</v>
      </c>
      <c r="C32" s="14">
        <f>IF(C6=0,0,C6/TrAvia_act!C4*1000)</f>
        <v>102.49764602968604</v>
      </c>
      <c r="D32" s="14">
        <f>IF(D6=0,0,D6/TrAvia_act!D4*1000)</f>
        <v>109.49555520485063</v>
      </c>
      <c r="E32" s="14">
        <f>IF(E6=0,0,E6/TrAvia_act!E4*1000)</f>
        <v>97.774984996059445</v>
      </c>
      <c r="F32" s="14">
        <f>IF(F6=0,0,F6/TrAvia_act!F4*1000)</f>
        <v>121.92245553412366</v>
      </c>
      <c r="G32" s="14">
        <f>IF(G6=0,0,G6/TrAvia_act!G4*1000)</f>
        <v>102.56673850920012</v>
      </c>
      <c r="H32" s="14">
        <f>IF(H6=0,0,H6/TrAvia_act!H4*1000)</f>
        <v>108.63847501425825</v>
      </c>
      <c r="I32" s="14">
        <f>IF(I6=0,0,I6/TrAvia_act!I4*1000)</f>
        <v>105.56464646340889</v>
      </c>
      <c r="J32" s="14">
        <f>IF(J6=0,0,J6/TrAvia_act!J4*1000)</f>
        <v>105.17300262666276</v>
      </c>
      <c r="K32" s="14">
        <f>IF(K6=0,0,K6/TrAvia_act!K4*1000)</f>
        <v>106.2757833552316</v>
      </c>
      <c r="L32" s="14">
        <f>IF(L6=0,0,L6/TrAvia_act!L4*1000)</f>
        <v>107.75117871069601</v>
      </c>
      <c r="M32" s="14">
        <f>IF(M6=0,0,M6/TrAvia_act!M4*1000)</f>
        <v>100.43782490697663</v>
      </c>
      <c r="N32" s="14">
        <f>IF(N6=0,0,N6/TrAvia_act!N4*1000)</f>
        <v>93.448467552914323</v>
      </c>
      <c r="O32" s="14">
        <f>IF(O6=0,0,O6/TrAvia_act!O4*1000)</f>
        <v>89.845611443805026</v>
      </c>
      <c r="P32" s="14">
        <f>IF(P6=0,0,P6/TrAvia_act!P4*1000)</f>
        <v>93.174983292159766</v>
      </c>
      <c r="Q32" s="14">
        <f>IF(Q6=0,0,Q6/TrAvia_act!Q4*1000)</f>
        <v>91.584793086473468</v>
      </c>
      <c r="R32" s="14">
        <f>IF(R6=0,0,R6/TrAvia_act!R4*1000)</f>
        <v>87.0921343826477</v>
      </c>
      <c r="S32" s="14">
        <f>IF(S6=0,0,S6/TrAvia_act!S4*1000)</f>
        <v>85.453553924788622</v>
      </c>
      <c r="T32" s="14">
        <f>IF(T6=0,0,T6/TrAvia_act!T4*1000)</f>
        <v>84.512379401591161</v>
      </c>
      <c r="U32" s="14">
        <f>IF(U6=0,0,U6/TrAvia_act!U4*1000)</f>
        <v>81.401724786004237</v>
      </c>
      <c r="V32" s="14">
        <f>IF(V6=0,0,V6/TrAvia_act!V4*1000)</f>
        <v>113.71001737989391</v>
      </c>
      <c r="W32" s="14">
        <f>IF(W6=0,0,W6/TrAvia_act!W4*1000)</f>
        <v>110.3220211333862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120.38520764215137</v>
      </c>
      <c r="C34" s="87">
        <f>IF(C8=0,0,C8/TrAvia_act!C6*1000)</f>
        <v>97.013460744777305</v>
      </c>
      <c r="D34" s="87">
        <f>IF(D8=0,0,D8/TrAvia_act!D6*1000)</f>
        <v>104.02059230944299</v>
      </c>
      <c r="E34" s="87">
        <f>IF(E8=0,0,E8/TrAvia_act!E6*1000)</f>
        <v>93.97636603446837</v>
      </c>
      <c r="F34" s="87">
        <f>IF(F8=0,0,F8/TrAvia_act!F6*1000)</f>
        <v>117.44985069673196</v>
      </c>
      <c r="G34" s="87">
        <f>IF(G8=0,0,G8/TrAvia_act!G6*1000)</f>
        <v>98.982104486342749</v>
      </c>
      <c r="H34" s="87">
        <f>IF(H8=0,0,H8/TrAvia_act!H6*1000)</f>
        <v>104.38870813080938</v>
      </c>
      <c r="I34" s="87">
        <f>IF(I8=0,0,I8/TrAvia_act!I6*1000)</f>
        <v>100.98726705284382</v>
      </c>
      <c r="J34" s="87">
        <f>IF(J8=0,0,J8/TrAvia_act!J6*1000)</f>
        <v>100.24007416548172</v>
      </c>
      <c r="K34" s="87">
        <f>IF(K8=0,0,K8/TrAvia_act!K6*1000)</f>
        <v>100.49622148553463</v>
      </c>
      <c r="L34" s="87">
        <f>IF(L8=0,0,L8/TrAvia_act!L6*1000)</f>
        <v>102.776085334535</v>
      </c>
      <c r="M34" s="87">
        <f>IF(M8=0,0,M8/TrAvia_act!M6*1000)</f>
        <v>97.283058405571566</v>
      </c>
      <c r="N34" s="87">
        <f>IF(N8=0,0,N8/TrAvia_act!N6*1000)</f>
        <v>89.922112438352698</v>
      </c>
      <c r="O34" s="87">
        <f>IF(O8=0,0,O8/TrAvia_act!O6*1000)</f>
        <v>88.213324729754731</v>
      </c>
      <c r="P34" s="87">
        <f>IF(P8=0,0,P8/TrAvia_act!P6*1000)</f>
        <v>90.225686046666681</v>
      </c>
      <c r="Q34" s="87">
        <f>IF(Q8=0,0,Q8/TrAvia_act!Q6*1000)</f>
        <v>87.936578491701098</v>
      </c>
      <c r="R34" s="87">
        <f>IF(R8=0,0,R8/TrAvia_act!R6*1000)</f>
        <v>86.827592683339873</v>
      </c>
      <c r="S34" s="87">
        <f>IF(S8=0,0,S8/TrAvia_act!S6*1000)</f>
        <v>83.101021505857432</v>
      </c>
      <c r="T34" s="87">
        <f>IF(T8=0,0,T8/TrAvia_act!T6*1000)</f>
        <v>82.961097949316795</v>
      </c>
      <c r="U34" s="87">
        <f>IF(U8=0,0,U8/TrAvia_act!U6*1000)</f>
        <v>82.54021696592234</v>
      </c>
      <c r="V34" s="87">
        <f>IF(V8=0,0,V8/TrAvia_act!V6*1000)</f>
        <v>108.82743536631124</v>
      </c>
      <c r="W34" s="87">
        <f>IF(W8=0,0,W8/TrAvia_act!W6*1000)</f>
        <v>106.52221057543441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207.28580412488796</v>
      </c>
      <c r="C35" s="87">
        <f>IF(C9=0,0,C9/TrAvia_act!C7*1000)</f>
        <v>165.58159133484978</v>
      </c>
      <c r="D35" s="87">
        <f>IF(D9=0,0,D9/TrAvia_act!D7*1000)</f>
        <v>188.13005627832089</v>
      </c>
      <c r="E35" s="87">
        <f>IF(E9=0,0,E9/TrAvia_act!E7*1000)</f>
        <v>151.62103714133971</v>
      </c>
      <c r="F35" s="87">
        <f>IF(F9=0,0,F9/TrAvia_act!F7*1000)</f>
        <v>189.03333902220439</v>
      </c>
      <c r="G35" s="87">
        <f>IF(G9=0,0,G9/TrAvia_act!G7*1000)</f>
        <v>158.32020833877451</v>
      </c>
      <c r="H35" s="87">
        <f>IF(H9=0,0,H9/TrAvia_act!H7*1000)</f>
        <v>176.0397122885224</v>
      </c>
      <c r="I35" s="87">
        <f>IF(I9=0,0,I9/TrAvia_act!I7*1000)</f>
        <v>190.16278184662335</v>
      </c>
      <c r="J35" s="87">
        <f>IF(J9=0,0,J9/TrAvia_act!J7*1000)</f>
        <v>191.72853858624239</v>
      </c>
      <c r="K35" s="87">
        <f>IF(K9=0,0,K9/TrAvia_act!K7*1000)</f>
        <v>209.87591575292299</v>
      </c>
      <c r="L35" s="87">
        <f>IF(L9=0,0,L9/TrAvia_act!L7*1000)</f>
        <v>186.62170198803994</v>
      </c>
      <c r="M35" s="87">
        <f>IF(M9=0,0,M9/TrAvia_act!M7*1000)</f>
        <v>140.88867892041279</v>
      </c>
      <c r="N35" s="87">
        <f>IF(N9=0,0,N9/TrAvia_act!N7*1000)</f>
        <v>141.7580730049217</v>
      </c>
      <c r="O35" s="87">
        <f>IF(O9=0,0,O9/TrAvia_act!O7*1000)</f>
        <v>107.56697896003298</v>
      </c>
      <c r="P35" s="87">
        <f>IF(P9=0,0,P9/TrAvia_act!P7*1000)</f>
        <v>133.46864693435913</v>
      </c>
      <c r="Q35" s="87">
        <f>IF(Q9=0,0,Q9/TrAvia_act!Q7*1000)</f>
        <v>148.62288997394697</v>
      </c>
      <c r="R35" s="87">
        <f>IF(R9=0,0,R9/TrAvia_act!R7*1000)</f>
        <v>89.732962913642879</v>
      </c>
      <c r="S35" s="87">
        <f>IF(S9=0,0,S9/TrAvia_act!S7*1000)</f>
        <v>119.715063133607</v>
      </c>
      <c r="T35" s="87">
        <f>IF(T9=0,0,T9/TrAvia_act!T7*1000)</f>
        <v>105.14156216465005</v>
      </c>
      <c r="U35" s="87">
        <f>IF(U9=0,0,U9/TrAvia_act!U7*1000)</f>
        <v>71.210655344126948</v>
      </c>
      <c r="V35" s="87">
        <f>IF(V9=0,0,V9/TrAvia_act!V7*1000)</f>
        <v>156.04193014383483</v>
      </c>
      <c r="W35" s="87">
        <f>IF(W9=0,0,W9/TrAvia_act!W7*1000)</f>
        <v>148.1535681561742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738.79925015634046</v>
      </c>
      <c r="C36" s="15">
        <f>IF(C10=0,0,C10/TrAvia_act!C8*1000)</f>
        <v>538.34637234809281</v>
      </c>
      <c r="D36" s="15">
        <f>IF(D10=0,0,D10/TrAvia_act!D8*1000)</f>
        <v>581.03373097192082</v>
      </c>
      <c r="E36" s="15">
        <f>IF(E10=0,0,E10/TrAvia_act!E8*1000)</f>
        <v>515.9726311138063</v>
      </c>
      <c r="F36" s="15">
        <f>IF(F10=0,0,F10/TrAvia_act!F8*1000)</f>
        <v>696.41158543998654</v>
      </c>
      <c r="G36" s="15">
        <f>IF(G10=0,0,G10/TrAvia_act!G8*1000)</f>
        <v>585.50574444577262</v>
      </c>
      <c r="H36" s="15">
        <f>IF(H10=0,0,H10/TrAvia_act!H8*1000)</f>
        <v>635.99783610263773</v>
      </c>
      <c r="I36" s="15">
        <f>IF(I10=0,0,I10/TrAvia_act!I8*1000)</f>
        <v>573.81446440416369</v>
      </c>
      <c r="J36" s="15">
        <f>IF(J10=0,0,J10/TrAvia_act!J8*1000)</f>
        <v>572.63208603588828</v>
      </c>
      <c r="K36" s="15">
        <f>IF(K10=0,0,K10/TrAvia_act!K8*1000)</f>
        <v>519.58307799981299</v>
      </c>
      <c r="L36" s="15">
        <f>IF(L10=0,0,L10/TrAvia_act!L8*1000)</f>
        <v>574.9163592172622</v>
      </c>
      <c r="M36" s="15">
        <f>IF(M10=0,0,M10/TrAvia_act!M8*1000)</f>
        <v>588.36204134921377</v>
      </c>
      <c r="N36" s="15">
        <f>IF(N10=0,0,N10/TrAvia_act!N8*1000)</f>
        <v>478.89003758443374</v>
      </c>
      <c r="O36" s="15">
        <f>IF(O10=0,0,O10/TrAvia_act!O8*1000)</f>
        <v>417.33714299447354</v>
      </c>
      <c r="P36" s="15">
        <f>IF(P10=0,0,P10/TrAvia_act!P8*1000)</f>
        <v>415.52928884299945</v>
      </c>
      <c r="Q36" s="15">
        <f>IF(Q10=0,0,Q10/TrAvia_act!Q8*1000)</f>
        <v>434.24304555017909</v>
      </c>
      <c r="R36" s="15">
        <f>IF(R10=0,0,R10/TrAvia_act!R8*1000)</f>
        <v>343.16524170594437</v>
      </c>
      <c r="S36" s="15">
        <f>IF(S10=0,0,S10/TrAvia_act!S8*1000)</f>
        <v>412.32300352137116</v>
      </c>
      <c r="T36" s="15">
        <f>IF(T10=0,0,T10/TrAvia_act!T8*1000)</f>
        <v>447.88221034989135</v>
      </c>
      <c r="U36" s="15">
        <f>IF(U10=0,0,U10/TrAvia_act!U8*1000)</f>
        <v>427.55996463193486</v>
      </c>
      <c r="V36" s="15">
        <f>IF(V10=0,0,V10/TrAvia_act!V8*1000)</f>
        <v>422.02813705709548</v>
      </c>
      <c r="W36" s="15">
        <f>IF(W10=0,0,W10/TrAvia_act!W8*1000)</f>
        <v>444.21975163201785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841.87263309955097</v>
      </c>
      <c r="C38" s="101">
        <f>IF(C12=0,0,C12/TrAvia_act!C10*1000)</f>
        <v>617.53203974915482</v>
      </c>
      <c r="D38" s="101">
        <f>IF(D12=0,0,D12/TrAvia_act!D10*1000)</f>
        <v>673.1354737779609</v>
      </c>
      <c r="E38" s="101">
        <f>IF(E12=0,0,E12/TrAvia_act!E10*1000)</f>
        <v>570.0678859085574</v>
      </c>
      <c r="F38" s="101">
        <f>IF(F12=0,0,F12/TrAvia_act!F10*1000)</f>
        <v>811.89725025783582</v>
      </c>
      <c r="G38" s="101">
        <f>IF(G12=0,0,G12/TrAvia_act!G10*1000)</f>
        <v>678.99700277274701</v>
      </c>
      <c r="H38" s="101">
        <f>IF(H12=0,0,H12/TrAvia_act!H10*1000)</f>
        <v>788.22832809679619</v>
      </c>
      <c r="I38" s="101">
        <f>IF(I12=0,0,I12/TrAvia_act!I10*1000)</f>
        <v>728.73277282524191</v>
      </c>
      <c r="J38" s="101">
        <f>IF(J12=0,0,J12/TrAvia_act!J10*1000)</f>
        <v>753.88444732885614</v>
      </c>
      <c r="K38" s="101">
        <f>IF(K12=0,0,K12/TrAvia_act!K10*1000)</f>
        <v>711.06121715744337</v>
      </c>
      <c r="L38" s="101">
        <f>IF(L12=0,0,L12/TrAvia_act!L10*1000)</f>
        <v>687.43725758869516</v>
      </c>
      <c r="M38" s="101">
        <f>IF(M12=0,0,M12/TrAvia_act!M10*1000)</f>
        <v>669.86900176861514</v>
      </c>
      <c r="N38" s="101">
        <f>IF(N12=0,0,N12/TrAvia_act!N10*1000)</f>
        <v>579.36682827384959</v>
      </c>
      <c r="O38" s="101">
        <f>IF(O12=0,0,O12/TrAvia_act!O10*1000)</f>
        <v>557.93768622773632</v>
      </c>
      <c r="P38" s="101">
        <f>IF(P12=0,0,P12/TrAvia_act!P10*1000)</f>
        <v>500.85865620157909</v>
      </c>
      <c r="Q38" s="101">
        <f>IF(Q12=0,0,Q12/TrAvia_act!Q10*1000)</f>
        <v>474.37157508148795</v>
      </c>
      <c r="R38" s="101">
        <f>IF(R12=0,0,R12/TrAvia_act!R10*1000)</f>
        <v>457.47520316648291</v>
      </c>
      <c r="S38" s="101">
        <f>IF(S12=0,0,S12/TrAvia_act!S10*1000)</f>
        <v>474.64937999699384</v>
      </c>
      <c r="T38" s="101">
        <f>IF(T12=0,0,T12/TrAvia_act!T10*1000)</f>
        <v>497.79570337276135</v>
      </c>
      <c r="U38" s="101">
        <f>IF(U12=0,0,U12/TrAvia_act!U10*1000)</f>
        <v>515.23712578464938</v>
      </c>
      <c r="V38" s="101">
        <f>IF(V12=0,0,V12/TrAvia_act!V10*1000)</f>
        <v>544.03493050307168</v>
      </c>
      <c r="W38" s="101">
        <f>IF(W12=0,0,W12/TrAvia_act!W10*1000)</f>
        <v>578.65236245201447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269.50843675766276</v>
      </c>
      <c r="C39" s="88">
        <f>IF(C13=0,0,C13/TrAvia_act!C11*1000)</f>
        <v>205.80520260964389</v>
      </c>
      <c r="D39" s="88">
        <f>IF(D13=0,0,D13/TrAvia_act!D11*1000)</f>
        <v>224.20791383256292</v>
      </c>
      <c r="E39" s="88">
        <f>IF(E13=0,0,E13/TrAvia_act!E11*1000)</f>
        <v>212.29632657956981</v>
      </c>
      <c r="F39" s="88">
        <f>IF(F13=0,0,F13/TrAvia_act!F11*1000)</f>
        <v>277.2924592707696</v>
      </c>
      <c r="G39" s="88">
        <f>IF(G13=0,0,G13/TrAvia_act!G11*1000)</f>
        <v>288.98465080860768</v>
      </c>
      <c r="H39" s="88">
        <f>IF(H13=0,0,H13/TrAvia_act!H11*1000)</f>
        <v>263.59241320625506</v>
      </c>
      <c r="I39" s="88">
        <f>IF(I13=0,0,I13/TrAvia_act!I11*1000)</f>
        <v>264.10301274917322</v>
      </c>
      <c r="J39" s="88">
        <f>IF(J13=0,0,J13/TrAvia_act!J11*1000)</f>
        <v>309.29993555854855</v>
      </c>
      <c r="K39" s="88">
        <f>IF(K13=0,0,K13/TrAvia_act!K11*1000)</f>
        <v>312.93861408926648</v>
      </c>
      <c r="L39" s="88">
        <f>IF(L13=0,0,L13/TrAvia_act!L11*1000)</f>
        <v>350.32079793189246</v>
      </c>
      <c r="M39" s="88">
        <f>IF(M13=0,0,M13/TrAvia_act!M11*1000)</f>
        <v>342.49254475231049</v>
      </c>
      <c r="N39" s="88">
        <f>IF(N13=0,0,N13/TrAvia_act!N11*1000)</f>
        <v>251.09910330330976</v>
      </c>
      <c r="O39" s="88">
        <f>IF(O13=0,0,O13/TrAvia_act!O11*1000)</f>
        <v>177.36422875500548</v>
      </c>
      <c r="P39" s="88">
        <f>IF(P13=0,0,P13/TrAvia_act!P11*1000)</f>
        <v>173.00042926104697</v>
      </c>
      <c r="Q39" s="88">
        <f>IF(Q13=0,0,Q13/TrAvia_act!Q11*1000)</f>
        <v>194.10097327039526</v>
      </c>
      <c r="R39" s="88">
        <f>IF(R13=0,0,R13/TrAvia_act!R11*1000)</f>
        <v>122.33008025309628</v>
      </c>
      <c r="S39" s="88">
        <f>IF(S13=0,0,S13/TrAvia_act!S11*1000)</f>
        <v>188.73329820332592</v>
      </c>
      <c r="T39" s="88">
        <f>IF(T13=0,0,T13/TrAvia_act!T11*1000)</f>
        <v>204.37093576718399</v>
      </c>
      <c r="U39" s="88">
        <f>IF(U13=0,0,U13/TrAvia_act!U11*1000)</f>
        <v>104.41471454159968</v>
      </c>
      <c r="V39" s="88">
        <f>IF(V13=0,0,V13/TrAvia_act!V11*1000)</f>
        <v>203.75567720062907</v>
      </c>
      <c r="W39" s="88">
        <f>IF(W13=0,0,W13/TrAvia_act!W11*1000)</f>
        <v>201.09803446432875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25636.843587842857</v>
      </c>
      <c r="C41" s="54">
        <f>IF(C3=0,0,C3/TrAvia_act!C23*1000000)</f>
        <v>20509.051973258564</v>
      </c>
      <c r="D41" s="54">
        <f>IF(D3=0,0,D3/TrAvia_act!D23*1000000)</f>
        <v>21351.294891640857</v>
      </c>
      <c r="E41" s="54">
        <f>IF(E3=0,0,E3/TrAvia_act!E23*1000000)</f>
        <v>18454.333333333332</v>
      </c>
      <c r="F41" s="54">
        <f>IF(F3=0,0,F3/TrAvia_act!F23*1000000)</f>
        <v>23387.62441314555</v>
      </c>
      <c r="G41" s="54">
        <f>IF(G3=0,0,G3/TrAvia_act!G23*1000000)</f>
        <v>19846.69272822273</v>
      </c>
      <c r="H41" s="54">
        <f>IF(H3=0,0,H3/TrAvia_act!H23*1000000)</f>
        <v>20901.234461108095</v>
      </c>
      <c r="I41" s="54">
        <f>IF(I3=0,0,I3/TrAvia_act!I23*1000000)</f>
        <v>19790.699561057958</v>
      </c>
      <c r="J41" s="54">
        <f>IF(J3=0,0,J3/TrAvia_act!J23*1000000)</f>
        <v>20711.221316989744</v>
      </c>
      <c r="K41" s="54">
        <f>IF(K3=0,0,K3/TrAvia_act!K23*1000000)</f>
        <v>19980.140356906802</v>
      </c>
      <c r="L41" s="54">
        <f>IF(L3=0,0,L3/TrAvia_act!L23*1000000)</f>
        <v>20516.006434747633</v>
      </c>
      <c r="M41" s="54">
        <f>IF(M3=0,0,M3/TrAvia_act!M23*1000000)</f>
        <v>21882.819632225386</v>
      </c>
      <c r="N41" s="54">
        <f>IF(N3=0,0,N3/TrAvia_act!N23*1000000)</f>
        <v>20710.971770718235</v>
      </c>
      <c r="O41" s="54">
        <f>IF(O3=0,0,O3/TrAvia_act!O23*1000000)</f>
        <v>20097.719311707344</v>
      </c>
      <c r="P41" s="54">
        <f>IF(P3=0,0,P3/TrAvia_act!P23*1000000)</f>
        <v>20593.692554387686</v>
      </c>
      <c r="Q41" s="54">
        <f>IF(Q3=0,0,Q3/TrAvia_act!Q23*1000000)</f>
        <v>20131.499509046898</v>
      </c>
      <c r="R41" s="54">
        <f>IF(R3=0,0,R3/TrAvia_act!R23*1000000)</f>
        <v>20692.281515570561</v>
      </c>
      <c r="S41" s="54">
        <f>IF(S3=0,0,S3/TrAvia_act!S23*1000000)</f>
        <v>20152.249824696224</v>
      </c>
      <c r="T41" s="54">
        <f>IF(T3=0,0,T3/TrAvia_act!T23*1000000)</f>
        <v>19838.305661328966</v>
      </c>
      <c r="U41" s="54">
        <f>IF(U3=0,0,U3/TrAvia_act!U23*1000000)</f>
        <v>19063.118493871745</v>
      </c>
      <c r="V41" s="54">
        <f>IF(V3=0,0,V3/TrAvia_act!V23*1000000)</f>
        <v>18414.738078115312</v>
      </c>
      <c r="W41" s="54">
        <f>IF(W3=0,0,W3/TrAvia_act!W23*1000000)</f>
        <v>17700.063706299035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25716.145700391324</v>
      </c>
      <c r="C42" s="11">
        <f>IF(C6=0,0,C6/TrAvia_act!C24*1000000)</f>
        <v>20571.818483103514</v>
      </c>
      <c r="D42" s="11">
        <f>IF(D6=0,0,D6/TrAvia_act!D24*1000000)</f>
        <v>21425.184217553648</v>
      </c>
      <c r="E42" s="11">
        <f>IF(E6=0,0,E6/TrAvia_act!E24*1000000)</f>
        <v>18560.384467685206</v>
      </c>
      <c r="F42" s="11">
        <f>IF(F6=0,0,F6/TrAvia_act!F24*1000000)</f>
        <v>23497.158302712236</v>
      </c>
      <c r="G42" s="11">
        <f>IF(G6=0,0,G6/TrAvia_act!G24*1000000)</f>
        <v>19967.44101946826</v>
      </c>
      <c r="H42" s="11">
        <f>IF(H6=0,0,H6/TrAvia_act!H24*1000000)</f>
        <v>21044.102102744451</v>
      </c>
      <c r="I42" s="11">
        <f>IF(I6=0,0,I6/TrAvia_act!I24*1000000)</f>
        <v>19877.13426648379</v>
      </c>
      <c r="J42" s="11">
        <f>IF(J6=0,0,J6/TrAvia_act!J24*1000000)</f>
        <v>20732.464043349763</v>
      </c>
      <c r="K42" s="11">
        <f>IF(K6=0,0,K6/TrAvia_act!K24*1000000)</f>
        <v>19905.72258774225</v>
      </c>
      <c r="L42" s="11">
        <f>IF(L6=0,0,L6/TrAvia_act!L24*1000000)</f>
        <v>20483.236748060357</v>
      </c>
      <c r="M42" s="11">
        <f>IF(M6=0,0,M6/TrAvia_act!M24*1000000)</f>
        <v>21861.592856632888</v>
      </c>
      <c r="N42" s="11">
        <f>IF(N6=0,0,N6/TrAvia_act!N24*1000000)</f>
        <v>20674.766234096063</v>
      </c>
      <c r="O42" s="11">
        <f>IF(O6=0,0,O6/TrAvia_act!O24*1000000)</f>
        <v>20109.945408992018</v>
      </c>
      <c r="P42" s="11">
        <f>IF(P6=0,0,P6/TrAvia_act!P24*1000000)</f>
        <v>20626.293677021975</v>
      </c>
      <c r="Q42" s="11">
        <f>IF(Q6=0,0,Q6/TrAvia_act!Q24*1000000)</f>
        <v>20199.771632605392</v>
      </c>
      <c r="R42" s="11">
        <f>IF(R6=0,0,R6/TrAvia_act!R24*1000000)</f>
        <v>20738.494756166921</v>
      </c>
      <c r="S42" s="11">
        <f>IF(S6=0,0,S6/TrAvia_act!S24*1000000)</f>
        <v>20209.095762264784</v>
      </c>
      <c r="T42" s="11">
        <f>IF(T6=0,0,T6/TrAvia_act!T24*1000000)</f>
        <v>19889.189071022418</v>
      </c>
      <c r="U42" s="11">
        <f>IF(U6=0,0,U6/TrAvia_act!U24*1000000)</f>
        <v>19088.3435525438</v>
      </c>
      <c r="V42" s="11">
        <f>IF(V6=0,0,V6/TrAvia_act!V24*1000000)</f>
        <v>18530.189135866192</v>
      </c>
      <c r="W42" s="11">
        <f>IF(W6=0,0,W6/TrAvia_act!W24*1000000)</f>
        <v>17810.7661313059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28024.743815220758</v>
      </c>
      <c r="C44" s="84">
        <f>IF(C8=0,0,C8/TrAvia_act!C26*1000000)</f>
        <v>22418.631707529865</v>
      </c>
      <c r="D44" s="84">
        <f>IF(D8=0,0,D8/TrAvia_act!D26*1000000)</f>
        <v>23095.244585317811</v>
      </c>
      <c r="E44" s="84">
        <f>IF(E8=0,0,E8/TrAvia_act!E26*1000000)</f>
        <v>19884.008230859057</v>
      </c>
      <c r="F44" s="84">
        <f>IF(F8=0,0,F8/TrAvia_act!F26*1000000)</f>
        <v>25063.153274445456</v>
      </c>
      <c r="G44" s="84">
        <f>IF(G8=0,0,G8/TrAvia_act!G26*1000000)</f>
        <v>20748.06667997226</v>
      </c>
      <c r="H44" s="84">
        <f>IF(H8=0,0,H8/TrAvia_act!H26*1000000)</f>
        <v>21633.791171926761</v>
      </c>
      <c r="I44" s="84">
        <f>IF(I8=0,0,I8/TrAvia_act!I26*1000000)</f>
        <v>20300.027816987771</v>
      </c>
      <c r="J44" s="84">
        <f>IF(J8=0,0,J8/TrAvia_act!J26*1000000)</f>
        <v>21043.114976253673</v>
      </c>
      <c r="K44" s="84">
        <f>IF(K8=0,0,K8/TrAvia_act!K26*1000000)</f>
        <v>20103.049412805605</v>
      </c>
      <c r="L44" s="84">
        <f>IF(L8=0,0,L8/TrAvia_act!L26*1000000)</f>
        <v>20788.10296023206</v>
      </c>
      <c r="M44" s="84">
        <f>IF(M8=0,0,M8/TrAvia_act!M26*1000000)</f>
        <v>21817.549901928036</v>
      </c>
      <c r="N44" s="84">
        <f>IF(N8=0,0,N8/TrAvia_act!N26*1000000)</f>
        <v>21078.011318469715</v>
      </c>
      <c r="O44" s="84">
        <f>IF(O8=0,0,O8/TrAvia_act!O26*1000000)</f>
        <v>21020.766059937439</v>
      </c>
      <c r="P44" s="84">
        <f>IF(P8=0,0,P8/TrAvia_act!P26*1000000)</f>
        <v>21299.201292523772</v>
      </c>
      <c r="Q44" s="84">
        <f>IF(Q8=0,0,Q8/TrAvia_act!Q26*1000000)</f>
        <v>20327.167551987386</v>
      </c>
      <c r="R44" s="84">
        <f>IF(R8=0,0,R8/TrAvia_act!R26*1000000)</f>
        <v>20909.501580041273</v>
      </c>
      <c r="S44" s="84">
        <f>IF(S8=0,0,S8/TrAvia_act!S26*1000000)</f>
        <v>20254.764175817349</v>
      </c>
      <c r="T44" s="84">
        <f>IF(T8=0,0,T8/TrAvia_act!T26*1000000)</f>
        <v>20202.816213380502</v>
      </c>
      <c r="U44" s="84">
        <f>IF(U8=0,0,U8/TrAvia_act!U26*1000000)</f>
        <v>20180.593559915367</v>
      </c>
      <c r="V44" s="84">
        <f>IF(V8=0,0,V8/TrAvia_act!V26*1000000)</f>
        <v>18108.9032178335</v>
      </c>
      <c r="W44" s="84">
        <f>IF(W8=0,0,W8/TrAvia_act!W26*1000000)</f>
        <v>17695.063271793944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16535.718408419219</v>
      </c>
      <c r="C45" s="84">
        <f>IF(C9=0,0,C9/TrAvia_act!C27*1000000)</f>
        <v>13227.86084047624</v>
      </c>
      <c r="D45" s="84">
        <f>IF(D9=0,0,D9/TrAvia_act!D27*1000000)</f>
        <v>13609.753064084351</v>
      </c>
      <c r="E45" s="84">
        <f>IF(E9=0,0,E9/TrAvia_act!E27*1000000)</f>
        <v>11711.095754135376</v>
      </c>
      <c r="F45" s="84">
        <f>IF(F9=0,0,F9/TrAvia_act!F27*1000000)</f>
        <v>14848.059695040249</v>
      </c>
      <c r="G45" s="84">
        <f>IF(G9=0,0,G9/TrAvia_act!G27*1000000)</f>
        <v>14618.972478863598</v>
      </c>
      <c r="H45" s="84">
        <f>IF(H9=0,0,H9/TrAvia_act!H27*1000000)</f>
        <v>16750.169021515536</v>
      </c>
      <c r="I45" s="84">
        <f>IF(I9=0,0,I9/TrAvia_act!I27*1000000)</f>
        <v>16502.87134742643</v>
      </c>
      <c r="J45" s="84">
        <f>IF(J9=0,0,J9/TrAvia_act!J27*1000000)</f>
        <v>18259.608505880042</v>
      </c>
      <c r="K45" s="84">
        <f>IF(K9=0,0,K9/TrAvia_act!K27*1000000)</f>
        <v>18358.95629793829</v>
      </c>
      <c r="L45" s="84">
        <f>IF(L9=0,0,L9/TrAvia_act!L27*1000000)</f>
        <v>18158.291019101558</v>
      </c>
      <c r="M45" s="84">
        <f>IF(M9=0,0,M9/TrAvia_act!M27*1000000)</f>
        <v>22259.430721122993</v>
      </c>
      <c r="N45" s="84">
        <f>IF(N9=0,0,N9/TrAvia_act!N27*1000000)</f>
        <v>17727.536545536001</v>
      </c>
      <c r="O45" s="84">
        <f>IF(O9=0,0,O9/TrAvia_act!O27*1000000)</f>
        <v>14511.637725984392</v>
      </c>
      <c r="P45" s="84">
        <f>IF(P9=0,0,P9/TrAvia_act!P27*1000000)</f>
        <v>15967.294716319711</v>
      </c>
      <c r="Q45" s="84">
        <f>IF(Q9=0,0,Q9/TrAvia_act!Q27*1000000)</f>
        <v>19092.847475290313</v>
      </c>
      <c r="R45" s="84">
        <f>IF(R9=0,0,R9/TrAvia_act!R27*1000000)</f>
        <v>19220.124222197453</v>
      </c>
      <c r="S45" s="84">
        <f>IF(S9=0,0,S9/TrAvia_act!S27*1000000)</f>
        <v>19758.719019649394</v>
      </c>
      <c r="T45" s="84">
        <f>IF(T9=0,0,T9/TrAvia_act!T27*1000000)</f>
        <v>17103.248637416265</v>
      </c>
      <c r="U45" s="84">
        <f>IF(U9=0,0,U9/TrAvia_act!U27*1000000)</f>
        <v>12223.870611256458</v>
      </c>
      <c r="V45" s="84">
        <f>IF(V9=0,0,V9/TrAvia_act!V27*1000000)</f>
        <v>21563.520758858962</v>
      </c>
      <c r="W45" s="84">
        <f>IF(W9=0,0,W9/TrAvia_act!W27*1000000)</f>
        <v>18685.375263234218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22465.416285731808</v>
      </c>
      <c r="C46" s="13">
        <f>IF(C10=0,0,C10/TrAvia_act!C28*1000000)</f>
        <v>17885.218734017122</v>
      </c>
      <c r="D46" s="13">
        <f>IF(D10=0,0,D10/TrAvia_act!D28*1000000)</f>
        <v>18355.56977770396</v>
      </c>
      <c r="E46" s="13">
        <f>IF(E10=0,0,E10/TrAvia_act!E28*1000000)</f>
        <v>15555.98081142121</v>
      </c>
      <c r="F46" s="13">
        <f>IF(F10=0,0,F10/TrAvia_act!F28*1000000)</f>
        <v>19929.596982092276</v>
      </c>
      <c r="G46" s="13">
        <f>IF(G10=0,0,G10/TrAvia_act!G28*1000000)</f>
        <v>16307.565775539888</v>
      </c>
      <c r="H46" s="13">
        <f>IF(H10=0,0,H10/TrAvia_act!H28*1000000)</f>
        <v>17515.189088889732</v>
      </c>
      <c r="I46" s="13">
        <f>IF(I10=0,0,I10/TrAvia_act!I28*1000000)</f>
        <v>17605.866665127724</v>
      </c>
      <c r="J46" s="13">
        <f>IF(J10=0,0,J10/TrAvia_act!J28*1000000)</f>
        <v>20149.141271757173</v>
      </c>
      <c r="K46" s="13">
        <f>IF(K10=0,0,K10/TrAvia_act!K28*1000000)</f>
        <v>22043.584956336686</v>
      </c>
      <c r="L46" s="13">
        <f>IF(L10=0,0,L10/TrAvia_act!L28*1000000)</f>
        <v>21562.466230814116</v>
      </c>
      <c r="M46" s="13">
        <f>IF(M10=0,0,M10/TrAvia_act!M28*1000000)</f>
        <v>22616.899185184615</v>
      </c>
      <c r="N46" s="13">
        <f>IF(N10=0,0,N10/TrAvia_act!N28*1000000)</f>
        <v>22054.387734856784</v>
      </c>
      <c r="O46" s="13">
        <f>IF(O10=0,0,O10/TrAvia_act!O28*1000000)</f>
        <v>19508.567062616374</v>
      </c>
      <c r="P46" s="13">
        <f>IF(P10=0,0,P10/TrAvia_act!P28*1000000)</f>
        <v>18657.715187031154</v>
      </c>
      <c r="Q46" s="13">
        <f>IF(Q10=0,0,Q10/TrAvia_act!Q28*1000000)</f>
        <v>16508.823245583222</v>
      </c>
      <c r="R46" s="13">
        <f>IF(R10=0,0,R10/TrAvia_act!R28*1000000)</f>
        <v>16518.852449391554</v>
      </c>
      <c r="S46" s="13">
        <f>IF(S10=0,0,S10/TrAvia_act!S28*1000000)</f>
        <v>14729.515826547786</v>
      </c>
      <c r="T46" s="13">
        <f>IF(T10=0,0,T10/TrAvia_act!T28*1000000)</f>
        <v>14670.788351900414</v>
      </c>
      <c r="U46" s="13">
        <f>IF(U10=0,0,U10/TrAvia_act!U28*1000000)</f>
        <v>14959.207690546702</v>
      </c>
      <c r="V46" s="13">
        <f>IF(V10=0,0,V10/TrAvia_act!V28*1000000)</f>
        <v>13333.280592084811</v>
      </c>
      <c r="W46" s="13">
        <f>IF(W10=0,0,W10/TrAvia_act!W28*1000000)</f>
        <v>11729.543796933107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23307.461780156005</v>
      </c>
      <c r="C48" s="102">
        <f>IF(C12=0,0,C12/TrAvia_act!C30*1000000)</f>
        <v>18634.327436798485</v>
      </c>
      <c r="D48" s="102">
        <f>IF(D12=0,0,D12/TrAvia_act!D30*1000000)</f>
        <v>19184.868654177091</v>
      </c>
      <c r="E48" s="102">
        <f>IF(E12=0,0,E12/TrAvia_act!E30*1000000)</f>
        <v>16067.689296856741</v>
      </c>
      <c r="F48" s="102">
        <f>IF(F12=0,0,F12/TrAvia_act!F30*1000000)</f>
        <v>20904.558537520621</v>
      </c>
      <c r="G48" s="102">
        <f>IF(G12=0,0,G12/TrAvia_act!G30*1000000)</f>
        <v>16857.143603088556</v>
      </c>
      <c r="H48" s="102">
        <f>IF(H12=0,0,H12/TrAvia_act!H30*1000000)</f>
        <v>17190.561111948704</v>
      </c>
      <c r="I48" s="102">
        <f>IF(I12=0,0,I12/TrAvia_act!I30*1000000)</f>
        <v>16556.66122160852</v>
      </c>
      <c r="J48" s="102">
        <f>IF(J12=0,0,J12/TrAvia_act!J30*1000000)</f>
        <v>17645.936299412799</v>
      </c>
      <c r="K48" s="102">
        <f>IF(K12=0,0,K12/TrAvia_act!K30*1000000)</f>
        <v>17713.544697364006</v>
      </c>
      <c r="L48" s="102">
        <f>IF(L12=0,0,L12/TrAvia_act!L30*1000000)</f>
        <v>18265.713708491821</v>
      </c>
      <c r="M48" s="102">
        <f>IF(M12=0,0,M12/TrAvia_act!M30*1000000)</f>
        <v>20238.557884367314</v>
      </c>
      <c r="N48" s="102">
        <f>IF(N12=0,0,N12/TrAvia_act!N30*1000000)</f>
        <v>19987.662738665298</v>
      </c>
      <c r="O48" s="102">
        <f>IF(O12=0,0,O12/TrAvia_act!O30*1000000)</f>
        <v>18279.173098592699</v>
      </c>
      <c r="P48" s="102">
        <f>IF(P12=0,0,P12/TrAvia_act!P30*1000000)</f>
        <v>18033.441835331359</v>
      </c>
      <c r="Q48" s="102">
        <f>IF(Q12=0,0,Q12/TrAvia_act!Q30*1000000)</f>
        <v>16156.945810095243</v>
      </c>
      <c r="R48" s="102">
        <f>IF(R12=0,0,R12/TrAvia_act!R30*1000000)</f>
        <v>16231.975664300968</v>
      </c>
      <c r="S48" s="102">
        <f>IF(S12=0,0,S12/TrAvia_act!S30*1000000)</f>
        <v>14687.780859694058</v>
      </c>
      <c r="T48" s="102">
        <f>IF(T12=0,0,T12/TrAvia_act!T30*1000000)</f>
        <v>15239.960866571213</v>
      </c>
      <c r="U48" s="102">
        <f>IF(U12=0,0,U12/TrAvia_act!U30*1000000)</f>
        <v>16951.488563827526</v>
      </c>
      <c r="V48" s="102">
        <f>IF(V12=0,0,V12/TrAvia_act!V30*1000000)</f>
        <v>15194.965915517536</v>
      </c>
      <c r="W48" s="102">
        <f>IF(W12=0,0,W12/TrAvia_act!W30*1000000)</f>
        <v>13285.255858818791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14840.226530668222</v>
      </c>
      <c r="C49" s="86">
        <f>IF(C13=0,0,C13/TrAvia_act!C31*1000000)</f>
        <v>11871.540536688968</v>
      </c>
      <c r="D49" s="86">
        <f>IF(D13=0,0,D13/TrAvia_act!D31*1000000)</f>
        <v>12214.275395173217</v>
      </c>
      <c r="E49" s="86">
        <f>IF(E13=0,0,E13/TrAvia_act!E31*1000000)</f>
        <v>10510.297141080204</v>
      </c>
      <c r="F49" s="86">
        <f>IF(F13=0,0,F13/TrAvia_act!F31*1000000)</f>
        <v>13325.612106643674</v>
      </c>
      <c r="G49" s="86">
        <f>IF(G13=0,0,G13/TrAvia_act!G31*1000000)</f>
        <v>13120.014375757628</v>
      </c>
      <c r="H49" s="86">
        <f>IF(H13=0,0,H13/TrAvia_act!H31*1000000)</f>
        <v>20322.619926509386</v>
      </c>
      <c r="I49" s="86">
        <f>IF(I13=0,0,I13/TrAvia_act!I31*1000000)</f>
        <v>27068.14538723612</v>
      </c>
      <c r="J49" s="86">
        <f>IF(J13=0,0,J13/TrAvia_act!J31*1000000)</f>
        <v>40487.68167205526</v>
      </c>
      <c r="K49" s="86">
        <f>IF(K13=0,0,K13/TrAvia_act!K31*1000000)</f>
        <v>55030.618929237608</v>
      </c>
      <c r="L49" s="86">
        <f>IF(L13=0,0,L13/TrAvia_act!L31*1000000)</f>
        <v>73577.894916343634</v>
      </c>
      <c r="M49" s="86">
        <f>IF(M13=0,0,M13/TrAvia_act!M31*1000000)</f>
        <v>73751.237152756585</v>
      </c>
      <c r="N49" s="86">
        <f>IF(N13=0,0,N13/TrAvia_act!N31*1000000)</f>
        <v>48036.073401264075</v>
      </c>
      <c r="O49" s="86">
        <f>IF(O13=0,0,O13/TrAvia_act!O31*1000000)</f>
        <v>30534.694177453719</v>
      </c>
      <c r="P49" s="86">
        <f>IF(P13=0,0,P13/TrAvia_act!P31*1000000)</f>
        <v>26089.540802504886</v>
      </c>
      <c r="Q49" s="86">
        <f>IF(Q13=0,0,Q13/TrAvia_act!Q31*1000000)</f>
        <v>24224.992723783947</v>
      </c>
      <c r="R49" s="86">
        <f>IF(R13=0,0,R13/TrAvia_act!R31*1000000)</f>
        <v>18936.813923726491</v>
      </c>
      <c r="S49" s="86">
        <f>IF(S13=0,0,S13/TrAvia_act!S31*1000000)</f>
        <v>15117.054804475241</v>
      </c>
      <c r="T49" s="86">
        <f>IF(T13=0,0,T13/TrAvia_act!T31*1000000)</f>
        <v>10161.190735662556</v>
      </c>
      <c r="U49" s="86">
        <f>IF(U13=0,0,U13/TrAvia_act!U31*1000000)</f>
        <v>4767.9247618409481</v>
      </c>
      <c r="V49" s="86">
        <f>IF(V13=0,0,V13/TrAvia_act!V31*1000000)</f>
        <v>8410.8583809745542</v>
      </c>
      <c r="W49" s="86">
        <f>IF(W13=0,0,W13/TrAvia_act!W31*1000000)</f>
        <v>7288.2367815497792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0.97862265075271515</v>
      </c>
      <c r="C52" s="16">
        <f t="shared" si="35"/>
        <v>0.97962612296914686</v>
      </c>
      <c r="D52" s="16">
        <f t="shared" ref="D52:V52" si="36">IF(D6=0,0,D6/D$3)</f>
        <v>0.97930613904854158</v>
      </c>
      <c r="E52" s="16">
        <f t="shared" si="36"/>
        <v>0.97024526585089343</v>
      </c>
      <c r="F52" s="16">
        <f t="shared" si="36"/>
        <v>0.97383688387689116</v>
      </c>
      <c r="G52" s="16">
        <f t="shared" si="36"/>
        <v>0.97289086221057641</v>
      </c>
      <c r="H52" s="16">
        <f t="shared" si="36"/>
        <v>0.96607375331521661</v>
      </c>
      <c r="I52" s="16">
        <f t="shared" si="36"/>
        <v>0.96614552269705745</v>
      </c>
      <c r="J52" s="16">
        <f t="shared" si="36"/>
        <v>0.96457154966033454</v>
      </c>
      <c r="K52" s="16">
        <f t="shared" si="36"/>
        <v>0.96159563444863694</v>
      </c>
      <c r="L52" s="16">
        <f t="shared" si="36"/>
        <v>0.96808726001628076</v>
      </c>
      <c r="M52" s="16">
        <f t="shared" si="36"/>
        <v>0.97095370883550391</v>
      </c>
      <c r="N52" s="16">
        <f t="shared" si="36"/>
        <v>0.97205464933563768</v>
      </c>
      <c r="O52" s="16">
        <f t="shared" si="36"/>
        <v>0.98026583954497404</v>
      </c>
      <c r="P52" s="16">
        <f t="shared" si="36"/>
        <v>0.98499610367938761</v>
      </c>
      <c r="Q52" s="16">
        <f t="shared" si="36"/>
        <v>0.98483140233491284</v>
      </c>
      <c r="R52" s="16">
        <f t="shared" si="36"/>
        <v>0.99125696370720107</v>
      </c>
      <c r="S52" s="16">
        <f t="shared" si="36"/>
        <v>0.99241741827244978</v>
      </c>
      <c r="T52" s="16">
        <f t="shared" si="36"/>
        <v>0.99278913018873816</v>
      </c>
      <c r="U52" s="16">
        <f t="shared" si="36"/>
        <v>0.99520611450170804</v>
      </c>
      <c r="V52" s="16">
        <f t="shared" si="36"/>
        <v>0.98391487964508151</v>
      </c>
      <c r="W52" s="16">
        <f t="shared" ref="W52" si="37">IF(W6=0,0,W6/W$3)</f>
        <v>0.98793652178287406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0.85217883285445484</v>
      </c>
      <c r="C54" s="103">
        <f t="shared" si="41"/>
        <v>0.8530510086870311</v>
      </c>
      <c r="D54" s="103">
        <f t="shared" ref="D54:V54" si="42">IF(D8=0,0,D8/D$3)</f>
        <v>0.86978032559225815</v>
      </c>
      <c r="E54" s="103">
        <f t="shared" si="42"/>
        <v>0.87109821431804457</v>
      </c>
      <c r="F54" s="103">
        <f t="shared" si="42"/>
        <v>0.87949846455268199</v>
      </c>
      <c r="G54" s="103">
        <f t="shared" si="42"/>
        <v>0.88217043441716736</v>
      </c>
      <c r="H54" s="103">
        <f t="shared" si="42"/>
        <v>0.87322414001979343</v>
      </c>
      <c r="I54" s="103">
        <f t="shared" si="42"/>
        <v>0.87681068419037766</v>
      </c>
      <c r="J54" s="103">
        <f t="shared" si="42"/>
        <v>0.86976127251512336</v>
      </c>
      <c r="K54" s="103">
        <f t="shared" si="42"/>
        <v>0.86125450519036961</v>
      </c>
      <c r="L54" s="103">
        <f t="shared" si="42"/>
        <v>0.86859816183769922</v>
      </c>
      <c r="M54" s="103">
        <f t="shared" si="42"/>
        <v>0.87241608790446701</v>
      </c>
      <c r="N54" s="103">
        <f t="shared" si="42"/>
        <v>0.87174073135036068</v>
      </c>
      <c r="O54" s="103">
        <f t="shared" si="42"/>
        <v>0.88128310687482481</v>
      </c>
      <c r="P54" s="103">
        <f t="shared" si="42"/>
        <v>0.88876453416098455</v>
      </c>
      <c r="Q54" s="103">
        <f t="shared" si="42"/>
        <v>0.88875563628061438</v>
      </c>
      <c r="R54" s="103">
        <f t="shared" si="42"/>
        <v>0.89826359464896599</v>
      </c>
      <c r="S54" s="103">
        <f t="shared" si="42"/>
        <v>0.90308666550905758</v>
      </c>
      <c r="T54" s="103">
        <f t="shared" si="42"/>
        <v>0.90640557410409617</v>
      </c>
      <c r="U54" s="103">
        <f t="shared" si="42"/>
        <v>0.90771955110897806</v>
      </c>
      <c r="V54" s="103">
        <f t="shared" si="42"/>
        <v>0.8442863012877706</v>
      </c>
      <c r="W54" s="103">
        <f t="shared" ref="W54" si="43">IF(W8=0,0,W8/W$3)</f>
        <v>0.86684316497131697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0.1264438178982604</v>
      </c>
      <c r="C55" s="103">
        <f t="shared" si="44"/>
        <v>0.12657511428211582</v>
      </c>
      <c r="D55" s="103">
        <f t="shared" ref="D55:V55" si="45">IF(D9=0,0,D9/D$3)</f>
        <v>0.1095258134562835</v>
      </c>
      <c r="E55" s="103">
        <f t="shared" si="45"/>
        <v>9.9147051532848862E-2</v>
      </c>
      <c r="F55" s="103">
        <f t="shared" si="45"/>
        <v>9.4338419324209194E-2</v>
      </c>
      <c r="G55" s="103">
        <f t="shared" si="45"/>
        <v>9.0720427793409164E-2</v>
      </c>
      <c r="H55" s="103">
        <f t="shared" si="45"/>
        <v>9.2849613295423239E-2</v>
      </c>
      <c r="I55" s="103">
        <f t="shared" si="45"/>
        <v>8.9334838506679795E-2</v>
      </c>
      <c r="J55" s="103">
        <f t="shared" si="45"/>
        <v>9.4810277145211147E-2</v>
      </c>
      <c r="K55" s="103">
        <f t="shared" si="45"/>
        <v>0.10034112925826745</v>
      </c>
      <c r="L55" s="103">
        <f t="shared" si="45"/>
        <v>9.9489098178581481E-2</v>
      </c>
      <c r="M55" s="103">
        <f t="shared" si="45"/>
        <v>9.8537620931036823E-2</v>
      </c>
      <c r="N55" s="103">
        <f t="shared" si="45"/>
        <v>0.10031391798527707</v>
      </c>
      <c r="O55" s="103">
        <f t="shared" si="45"/>
        <v>9.8982732670149121E-2</v>
      </c>
      <c r="P55" s="103">
        <f t="shared" si="45"/>
        <v>9.6231569518403032E-2</v>
      </c>
      <c r="Q55" s="103">
        <f t="shared" si="45"/>
        <v>9.6075766054298517E-2</v>
      </c>
      <c r="R55" s="103">
        <f t="shared" si="45"/>
        <v>9.2993369058235062E-2</v>
      </c>
      <c r="S55" s="103">
        <f t="shared" si="45"/>
        <v>8.9330752763392141E-2</v>
      </c>
      <c r="T55" s="103">
        <f t="shared" si="45"/>
        <v>8.6383556084641988E-2</v>
      </c>
      <c r="U55" s="103">
        <f t="shared" si="45"/>
        <v>8.7486563392730032E-2</v>
      </c>
      <c r="V55" s="103">
        <f t="shared" si="45"/>
        <v>0.13962857835731093</v>
      </c>
      <c r="W55" s="103">
        <f t="shared" ref="W55" si="46">IF(W9=0,0,W9/W$3)</f>
        <v>0.121093356811557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2.1377349247284756E-2</v>
      </c>
      <c r="C56" s="17">
        <f t="shared" si="47"/>
        <v>2.0373877030853242E-2</v>
      </c>
      <c r="D56" s="17">
        <f t="shared" ref="D56:V56" si="48">IF(D10=0,0,D10/D$3)</f>
        <v>2.0693860951458504E-2</v>
      </c>
      <c r="E56" s="17">
        <f t="shared" si="48"/>
        <v>2.9754734149106538E-2</v>
      </c>
      <c r="F56" s="17">
        <f t="shared" si="48"/>
        <v>2.6163116123108857E-2</v>
      </c>
      <c r="G56" s="17">
        <f t="shared" si="48"/>
        <v>2.7109137789423591E-2</v>
      </c>
      <c r="H56" s="17">
        <f t="shared" si="48"/>
        <v>3.3926246684783348E-2</v>
      </c>
      <c r="I56" s="17">
        <f t="shared" si="48"/>
        <v>3.3854477302942512E-2</v>
      </c>
      <c r="J56" s="17">
        <f t="shared" si="48"/>
        <v>3.5428450339665261E-2</v>
      </c>
      <c r="K56" s="17">
        <f t="shared" si="48"/>
        <v>3.8404365551363118E-2</v>
      </c>
      <c r="L56" s="17">
        <f t="shared" si="48"/>
        <v>3.1912739983719185E-2</v>
      </c>
      <c r="M56" s="17">
        <f t="shared" si="48"/>
        <v>2.9046291164495985E-2</v>
      </c>
      <c r="N56" s="17">
        <f t="shared" si="48"/>
        <v>2.7945350664362288E-2</v>
      </c>
      <c r="O56" s="17">
        <f t="shared" si="48"/>
        <v>1.9734160455025976E-2</v>
      </c>
      <c r="P56" s="17">
        <f t="shared" si="48"/>
        <v>1.5003896320612407E-2</v>
      </c>
      <c r="Q56" s="17">
        <f t="shared" si="48"/>
        <v>1.5168597665087179E-2</v>
      </c>
      <c r="R56" s="17">
        <f t="shared" si="48"/>
        <v>8.7430362927990845E-3</v>
      </c>
      <c r="S56" s="17">
        <f t="shared" si="48"/>
        <v>7.5825817275503313E-3</v>
      </c>
      <c r="T56" s="17">
        <f t="shared" si="48"/>
        <v>7.2108698112618016E-3</v>
      </c>
      <c r="U56" s="17">
        <f t="shared" si="48"/>
        <v>4.7938854982919749E-3</v>
      </c>
      <c r="V56" s="17">
        <f t="shared" si="48"/>
        <v>1.6085120354918575E-2</v>
      </c>
      <c r="W56" s="17">
        <f t="shared" ref="W56" si="49">IF(W10=0,0,W10/W$3)</f>
        <v>1.2063478217125891E-2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1.9973004149633562E-2</v>
      </c>
      <c r="C58" s="104">
        <f t="shared" si="53"/>
        <v>1.8875898309524599E-2</v>
      </c>
      <c r="D58" s="104">
        <f t="shared" ref="D58:V58" si="54">IF(D12=0,0,D12/D$3)</f>
        <v>1.9055601434997273E-2</v>
      </c>
      <c r="E58" s="104">
        <f t="shared" si="54"/>
        <v>2.7903653908804064E-2</v>
      </c>
      <c r="F58" s="104">
        <f t="shared" si="54"/>
        <v>2.3912731388158231E-2</v>
      </c>
      <c r="G58" s="104">
        <f t="shared" si="54"/>
        <v>2.3901746360634128E-2</v>
      </c>
      <c r="H58" s="104">
        <f t="shared" si="54"/>
        <v>2.9846279059146073E-2</v>
      </c>
      <c r="I58" s="104">
        <f t="shared" si="54"/>
        <v>2.8659140591135657E-2</v>
      </c>
      <c r="J58" s="104">
        <f t="shared" si="54"/>
        <v>2.762681492155189E-2</v>
      </c>
      <c r="K58" s="104">
        <f t="shared" si="54"/>
        <v>2.7279696124666561E-2</v>
      </c>
      <c r="L58" s="104">
        <f t="shared" si="54"/>
        <v>2.5422233591265754E-2</v>
      </c>
      <c r="M58" s="104">
        <f t="shared" si="54"/>
        <v>2.4836656412002733E-2</v>
      </c>
      <c r="N58" s="104">
        <f t="shared" si="54"/>
        <v>2.3460412160165568E-2</v>
      </c>
      <c r="O58" s="104">
        <f t="shared" si="54"/>
        <v>1.6635698599172168E-2</v>
      </c>
      <c r="P58" s="104">
        <f t="shared" si="54"/>
        <v>1.337811535606351E-2</v>
      </c>
      <c r="Q58" s="104">
        <f t="shared" si="54"/>
        <v>1.4197828500453645E-2</v>
      </c>
      <c r="R58" s="104">
        <f t="shared" si="54"/>
        <v>7.6800114270947576E-3</v>
      </c>
      <c r="S58" s="104">
        <f t="shared" si="54"/>
        <v>6.8259903985478177E-3</v>
      </c>
      <c r="T58" s="104">
        <f t="shared" si="54"/>
        <v>6.6511583893827109E-3</v>
      </c>
      <c r="U58" s="104">
        <f t="shared" si="54"/>
        <v>4.5440324328926253E-3</v>
      </c>
      <c r="V58" s="104">
        <f t="shared" si="54"/>
        <v>1.3300659169295018E-2</v>
      </c>
      <c r="W58" s="104">
        <f t="shared" ref="W58" si="55">IF(W12=0,0,W12/W$3)</f>
        <v>1.0118979390931118E-2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1.4043450976511896E-3</v>
      </c>
      <c r="C59" s="105">
        <f t="shared" si="56"/>
        <v>1.497978721328641E-3</v>
      </c>
      <c r="D59" s="105">
        <f t="shared" ref="D59:V59" si="57">IF(D13=0,0,D13/D$3)</f>
        <v>1.6382595164612308E-3</v>
      </c>
      <c r="E59" s="105">
        <f t="shared" si="57"/>
        <v>1.8510802403024749E-3</v>
      </c>
      <c r="F59" s="105">
        <f t="shared" si="57"/>
        <v>2.2503847349506288E-3</v>
      </c>
      <c r="G59" s="105">
        <f t="shared" si="57"/>
        <v>3.2073914287894631E-3</v>
      </c>
      <c r="H59" s="105">
        <f t="shared" si="57"/>
        <v>4.0799676256372732E-3</v>
      </c>
      <c r="I59" s="105">
        <f t="shared" si="57"/>
        <v>5.1953367118068548E-3</v>
      </c>
      <c r="J59" s="105">
        <f t="shared" si="57"/>
        <v>7.8016354181133715E-3</v>
      </c>
      <c r="K59" s="105">
        <f t="shared" si="57"/>
        <v>1.1124669426696557E-2</v>
      </c>
      <c r="L59" s="105">
        <f t="shared" si="57"/>
        <v>6.4905063924534292E-3</v>
      </c>
      <c r="M59" s="105">
        <f t="shared" si="57"/>
        <v>4.2096347524932494E-3</v>
      </c>
      <c r="N59" s="105">
        <f t="shared" si="57"/>
        <v>4.4849385041967208E-3</v>
      </c>
      <c r="O59" s="105">
        <f t="shared" si="57"/>
        <v>3.0984618558538074E-3</v>
      </c>
      <c r="P59" s="105">
        <f t="shared" si="57"/>
        <v>1.6257809645488963E-3</v>
      </c>
      <c r="Q59" s="105">
        <f t="shared" si="57"/>
        <v>9.7076916463353555E-4</v>
      </c>
      <c r="R59" s="105">
        <f t="shared" si="57"/>
        <v>1.063024865704326E-3</v>
      </c>
      <c r="S59" s="105">
        <f t="shared" si="57"/>
        <v>7.5659132900251309E-4</v>
      </c>
      <c r="T59" s="105">
        <f t="shared" si="57"/>
        <v>5.5971142187909097E-4</v>
      </c>
      <c r="U59" s="105">
        <f t="shared" si="57"/>
        <v>2.4985306539934942E-4</v>
      </c>
      <c r="V59" s="105">
        <f t="shared" si="57"/>
        <v>2.7844611856235563E-3</v>
      </c>
      <c r="W59" s="105">
        <f t="shared" ref="W59" si="58">IF(W13=0,0,W13/W$3)</f>
        <v>1.9444988261947739E-3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2113343</v>
      </c>
      <c r="C4" s="11">
        <f t="shared" si="0"/>
        <v>1993718</v>
      </c>
      <c r="D4" s="11">
        <f t="shared" ref="D4" si="1">SUM(D5:D7)</f>
        <v>1780723</v>
      </c>
      <c r="E4" s="11">
        <f t="shared" ref="E4" si="2">SUM(E5:E7)</f>
        <v>1859707</v>
      </c>
      <c r="F4" s="11">
        <f t="shared" ref="F4" si="3">SUM(F5:F7)</f>
        <v>1894179</v>
      </c>
      <c r="G4" s="11">
        <f t="shared" ref="G4" si="4">SUM(G5:G7)</f>
        <v>2014181</v>
      </c>
      <c r="H4" s="11">
        <f t="shared" ref="H4" si="5">SUM(H5:H7)</f>
        <v>1921363</v>
      </c>
      <c r="I4" s="11">
        <f t="shared" ref="I4" si="6">SUM(I5:I7)</f>
        <v>2185563</v>
      </c>
      <c r="J4" s="11">
        <f t="shared" ref="J4" si="7">SUM(J5:J7)</f>
        <v>2170429</v>
      </c>
      <c r="K4" s="11">
        <f t="shared" ref="K4" si="8">SUM(K5:K7)</f>
        <v>2119050</v>
      </c>
      <c r="L4" s="11">
        <f t="shared" ref="L4" si="9">SUM(L5:L7)</f>
        <v>2338413</v>
      </c>
      <c r="M4" s="11">
        <f t="shared" ref="M4" si="10">SUM(M5:M7)</f>
        <v>2311492</v>
      </c>
      <c r="N4" s="11">
        <f t="shared" ref="N4" si="11">SUM(N5:N7)</f>
        <v>2337178</v>
      </c>
      <c r="O4" s="11">
        <f t="shared" ref="O4" si="12">SUM(O5:O7)</f>
        <v>2584511</v>
      </c>
      <c r="P4" s="11">
        <f t="shared" ref="P4" si="13">SUM(P5:P7)</f>
        <v>2719000</v>
      </c>
      <c r="Q4" s="11">
        <f t="shared" ref="Q4" si="14">SUM(Q5:Q7)</f>
        <v>2853579</v>
      </c>
      <c r="R4" s="11">
        <f t="shared" ref="R4" si="15">SUM(R5:R7)</f>
        <v>3094912</v>
      </c>
      <c r="S4" s="11">
        <f t="shared" ref="S4" si="16">SUM(S5:S7)</f>
        <v>3647788</v>
      </c>
      <c r="T4" s="11">
        <f t="shared" ref="T4" si="17">SUM(T5:T7)</f>
        <v>4164066</v>
      </c>
      <c r="U4" s="11">
        <f t="shared" ref="U4" si="18">SUM(U5:U7)</f>
        <v>4478017</v>
      </c>
      <c r="V4" s="11">
        <f t="shared" ref="V4:W4" si="19">SUM(V5:V7)</f>
        <v>1553429</v>
      </c>
      <c r="W4" s="11">
        <f t="shared" si="19"/>
        <v>2095107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1724589</v>
      </c>
      <c r="C6" s="84">
        <v>1629703</v>
      </c>
      <c r="D6" s="84">
        <v>1521037</v>
      </c>
      <c r="E6" s="84">
        <v>1595861</v>
      </c>
      <c r="F6" s="84">
        <v>1650533</v>
      </c>
      <c r="G6" s="84">
        <v>1778194</v>
      </c>
      <c r="H6" s="84">
        <v>1717205</v>
      </c>
      <c r="I6" s="84">
        <v>1977074</v>
      </c>
      <c r="J6" s="84">
        <v>1982501</v>
      </c>
      <c r="K6" s="84">
        <v>1930075</v>
      </c>
      <c r="L6" s="84">
        <v>2126120</v>
      </c>
      <c r="M6" s="84">
        <v>2117290</v>
      </c>
      <c r="N6" s="84">
        <v>2099713</v>
      </c>
      <c r="O6" s="84">
        <v>2266666</v>
      </c>
      <c r="P6" s="84">
        <v>2406265</v>
      </c>
      <c r="Q6" s="84">
        <v>2594612</v>
      </c>
      <c r="R6" s="84">
        <v>2787596</v>
      </c>
      <c r="S6" s="84">
        <v>3354121</v>
      </c>
      <c r="T6" s="84">
        <v>3792185</v>
      </c>
      <c r="U6" s="84">
        <v>3945863</v>
      </c>
      <c r="V6" s="84">
        <v>1397972</v>
      </c>
      <c r="W6" s="84">
        <v>1926532</v>
      </c>
      <c r="DA6" s="171" t="s">
        <v>363</v>
      </c>
    </row>
    <row r="7" spans="1:105" ht="11.45" customHeight="1" x14ac:dyDescent="0.25">
      <c r="A7" s="85" t="s">
        <v>174</v>
      </c>
      <c r="B7" s="86">
        <v>388754</v>
      </c>
      <c r="C7" s="86">
        <v>364015</v>
      </c>
      <c r="D7" s="86">
        <v>259686</v>
      </c>
      <c r="E7" s="86">
        <v>263846</v>
      </c>
      <c r="F7" s="86">
        <v>243646</v>
      </c>
      <c r="G7" s="86">
        <v>235987</v>
      </c>
      <c r="H7" s="86">
        <v>204158</v>
      </c>
      <c r="I7" s="86">
        <v>208489</v>
      </c>
      <c r="J7" s="86">
        <v>187928</v>
      </c>
      <c r="K7" s="86">
        <v>188975</v>
      </c>
      <c r="L7" s="86">
        <v>212293</v>
      </c>
      <c r="M7" s="86">
        <v>194202</v>
      </c>
      <c r="N7" s="86">
        <v>237465</v>
      </c>
      <c r="O7" s="86">
        <v>317845</v>
      </c>
      <c r="P7" s="86">
        <v>312735</v>
      </c>
      <c r="Q7" s="86">
        <v>258967</v>
      </c>
      <c r="R7" s="86">
        <v>307316</v>
      </c>
      <c r="S7" s="86">
        <v>293667</v>
      </c>
      <c r="T7" s="86">
        <v>371881</v>
      </c>
      <c r="U7" s="86">
        <v>532154</v>
      </c>
      <c r="V7" s="86">
        <v>155457</v>
      </c>
      <c r="W7" s="86">
        <v>168575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145.97934654969953</v>
      </c>
      <c r="C12" s="14">
        <f>IF(C4=0,0,C4/TrAvia_act!C24)</f>
        <v>146.74797585750036</v>
      </c>
      <c r="D12" s="14">
        <f>IF(D4=0,0,D4/TrAvia_act!D24)</f>
        <v>141.2263462606075</v>
      </c>
      <c r="E12" s="14">
        <f>IF(E4=0,0,E4/TrAvia_act!E24)</f>
        <v>145.71080466974848</v>
      </c>
      <c r="F12" s="14">
        <f>IF(F4=0,0,F4/TrAvia_act!F24)</f>
        <v>145.6276620281387</v>
      </c>
      <c r="G12" s="14">
        <f>IF(G4=0,0,G4/TrAvia_act!G24)</f>
        <v>155.4751833269008</v>
      </c>
      <c r="H12" s="14">
        <f>IF(H4=0,0,H4/TrAvia_act!H24)</f>
        <v>155.60114998380305</v>
      </c>
      <c r="I12" s="14">
        <f>IF(I4=0,0,I4/TrAvia_act!I24)</f>
        <v>159.8217915904936</v>
      </c>
      <c r="J12" s="14">
        <f>IF(J4=0,0,J4/TrAvia_act!J24)</f>
        <v>160.52281635973671</v>
      </c>
      <c r="K12" s="14">
        <f>IF(K4=0,0,K4/TrAvia_act!K24)</f>
        <v>161.23031271399225</v>
      </c>
      <c r="L12" s="14">
        <f>IF(L4=0,0,L4/TrAvia_act!L24)</f>
        <v>161.64890087100787</v>
      </c>
      <c r="M12" s="14">
        <f>IF(M4=0,0,M4/TrAvia_act!M24)</f>
        <v>165.0358417820934</v>
      </c>
      <c r="N12" s="14">
        <f>IF(N4=0,0,N4/TrAvia_act!N24)</f>
        <v>165.757304964539</v>
      </c>
      <c r="O12" s="14">
        <f>IF(O4=0,0,O4/TrAvia_act!O24)</f>
        <v>168.13108248763987</v>
      </c>
      <c r="P12" s="14">
        <f>IF(P4=0,0,P4/TrAvia_act!P24)</f>
        <v>168.95544646740819</v>
      </c>
      <c r="Q12" s="14">
        <f>IF(Q4=0,0,Q4/TrAvia_act!Q24)</f>
        <v>167.53237832442906</v>
      </c>
      <c r="R12" s="14">
        <f>IF(R4=0,0,R4/TrAvia_act!R24)</f>
        <v>173.08383200044742</v>
      </c>
      <c r="S12" s="14">
        <f>IF(S4=0,0,S4/TrAvia_act!S24)</f>
        <v>177.03411793254065</v>
      </c>
      <c r="T12" s="14">
        <f>IF(T4=0,0,T4/TrAvia_act!T24)</f>
        <v>176.7355375408514</v>
      </c>
      <c r="U12" s="14">
        <f>IF(U4=0,0,U4/TrAvia_act!U24)</f>
        <v>173.11029070666461</v>
      </c>
      <c r="V12" s="14">
        <f>IF(V4=0,0,V4/TrAvia_act!V24)</f>
        <v>164.15819507555744</v>
      </c>
      <c r="W12" s="14">
        <f>IF(W4=0,0,W4/TrAvia_act!W24)</f>
        <v>162.53739332816136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149.08272821576764</v>
      </c>
      <c r="C14" s="87">
        <f>IF(C6=0,0,C6/TrAvia_act!C26)</f>
        <v>150.12002579218864</v>
      </c>
      <c r="D14" s="87">
        <f>IF(D6=0,0,D6/TrAvia_act!D26)</f>
        <v>146.40841274424872</v>
      </c>
      <c r="E14" s="87">
        <f>IF(E6=0,0,E6/TrAvia_act!E26)</f>
        <v>149.2016641735228</v>
      </c>
      <c r="F14" s="87">
        <f>IF(F6=0,0,F6/TrAvia_act!F26)</f>
        <v>149.87133387814401</v>
      </c>
      <c r="G14" s="87">
        <f>IF(G6=0,0,G6/TrAvia_act!G26)</f>
        <v>157.29270234409555</v>
      </c>
      <c r="H14" s="87">
        <f>IF(H6=0,0,H6/TrAvia_act!H26)</f>
        <v>158.16569954867828</v>
      </c>
      <c r="I14" s="87">
        <f>IF(I6=0,0,I6/TrAvia_act!I26)</f>
        <v>162.69535878867677</v>
      </c>
      <c r="J14" s="87">
        <f>IF(J6=0,0,J6/TrAvia_act!J26)</f>
        <v>165.04337329337329</v>
      </c>
      <c r="K14" s="87">
        <f>IF(K6=0,0,K6/TrAvia_act!K26)</f>
        <v>165.58639327385038</v>
      </c>
      <c r="L14" s="87">
        <f>IF(L6=0,0,L6/TrAvia_act!L26)</f>
        <v>166.24599264993353</v>
      </c>
      <c r="M14" s="87">
        <f>IF(M6=0,0,M6/TrAvia_act!M26)</f>
        <v>167.90563045202219</v>
      </c>
      <c r="N14" s="87">
        <f>IF(N6=0,0,N6/TrAvia_act!N26)</f>
        <v>169.29073611223092</v>
      </c>
      <c r="O14" s="87">
        <f>IF(O6=0,0,O6/TrAvia_act!O26)</f>
        <v>171.44436880720068</v>
      </c>
      <c r="P14" s="87">
        <f>IF(P6=0,0,P6/TrAvia_act!P26)</f>
        <v>171.11826198264828</v>
      </c>
      <c r="Q14" s="87">
        <f>IF(Q6=0,0,Q6/TrAvia_act!Q26)</f>
        <v>169.86003273322422</v>
      </c>
      <c r="R14" s="87">
        <f>IF(R6=0,0,R6/TrAvia_act!R26)</f>
        <v>173.45504324559766</v>
      </c>
      <c r="S14" s="87">
        <f>IF(S6=0,0,S6/TrAvia_act!S26)</f>
        <v>179.28805858456275</v>
      </c>
      <c r="T14" s="87">
        <f>IF(T6=0,0,T6/TrAvia_act!T26)</f>
        <v>179.07092600462767</v>
      </c>
      <c r="U14" s="87">
        <f>IF(U6=0,0,U6/TrAvia_act!U26)</f>
        <v>176.80974145270423</v>
      </c>
      <c r="V14" s="87">
        <f>IF(V6=0,0,V6/TrAvia_act!V26)</f>
        <v>168.24792393789866</v>
      </c>
      <c r="W14" s="87">
        <f>IF(W6=0,0,W6/TrAvia_act!W26)</f>
        <v>169.231553056922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133.63836369886559</v>
      </c>
      <c r="C15" s="88">
        <f>IF(C7=0,0,C7/TrAvia_act!C27)</f>
        <v>133.33882783882783</v>
      </c>
      <c r="D15" s="88">
        <f>IF(D7=0,0,D7/TrAvia_act!D27)</f>
        <v>116.97567567567567</v>
      </c>
      <c r="E15" s="88">
        <f>IF(E7=0,0,E7/TrAvia_act!E27)</f>
        <v>127.64683115626512</v>
      </c>
      <c r="F15" s="88">
        <f>IF(F7=0,0,F7/TrAvia_act!F27)</f>
        <v>122.18956870611835</v>
      </c>
      <c r="G15" s="88">
        <f>IF(G7=0,0,G7/TrAvia_act!G27)</f>
        <v>143.02242424242425</v>
      </c>
      <c r="H15" s="88">
        <f>IF(H7=0,0,H7/TrAvia_act!H27)</f>
        <v>136.92689470154258</v>
      </c>
      <c r="I15" s="88">
        <f>IF(I7=0,0,I7/TrAvia_act!I27)</f>
        <v>136.89363099146422</v>
      </c>
      <c r="J15" s="88">
        <f>IF(J7=0,0,J7/TrAvia_act!J27)</f>
        <v>124.53810470510271</v>
      </c>
      <c r="K15" s="88">
        <f>IF(K7=0,0,K7/TrAvia_act!K27)</f>
        <v>127.08473436449226</v>
      </c>
      <c r="L15" s="88">
        <f>IF(L7=0,0,L7/TrAvia_act!L27)</f>
        <v>126.59093619558736</v>
      </c>
      <c r="M15" s="88">
        <f>IF(M7=0,0,M7/TrAvia_act!M27)</f>
        <v>139.11318051575932</v>
      </c>
      <c r="N15" s="88">
        <f>IF(N7=0,0,N7/TrAvia_act!N27)</f>
        <v>139.93223335297583</v>
      </c>
      <c r="O15" s="88">
        <f>IF(O7=0,0,O7/TrAvia_act!O27)</f>
        <v>147.76615527661554</v>
      </c>
      <c r="P15" s="88">
        <f>IF(P7=0,0,P7/TrAvia_act!P27)</f>
        <v>153.98079763663219</v>
      </c>
      <c r="Q15" s="88">
        <f>IF(Q7=0,0,Q7/TrAvia_act!Q27)</f>
        <v>147.30773606370877</v>
      </c>
      <c r="R15" s="88">
        <f>IF(R7=0,0,R7/TrAvia_act!R27)</f>
        <v>169.78784530386741</v>
      </c>
      <c r="S15" s="88">
        <f>IF(S7=0,0,S7/TrAvia_act!S27)</f>
        <v>154.80600948866632</v>
      </c>
      <c r="T15" s="88">
        <f>IF(T7=0,0,T7/TrAvia_act!T27)</f>
        <v>155.9903523489933</v>
      </c>
      <c r="U15" s="88">
        <f>IF(U7=0,0,U7/TrAvia_act!U27)</f>
        <v>149.8603210363278</v>
      </c>
      <c r="V15" s="88">
        <f>IF(V7=0,0,V7/TrAvia_act!V27)</f>
        <v>134.71143847487002</v>
      </c>
      <c r="W15" s="88">
        <f>IF(W7=0,0,W7/TrAvia_act!W27)</f>
        <v>111.93559096945552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0.71394515703319339</v>
      </c>
      <c r="C18" s="25">
        <f>IF(TrAvia_act!C34=0,0,(TrAvia_act!C34/TrAvia_act!C24)/TrAvia_png!C12)</f>
        <v>0.71234146454012059</v>
      </c>
      <c r="D18" s="25">
        <f>IF(TrAvia_act!D34=0,0,(TrAvia_act!D34/TrAvia_act!D24)/TrAvia_png!D12)</f>
        <v>0.7277493467540993</v>
      </c>
      <c r="E18" s="25">
        <f>IF(TrAvia_act!E34=0,0,(TrAvia_act!E34/TrAvia_act!E24)/TrAvia_png!E12)</f>
        <v>0.70021245282186928</v>
      </c>
      <c r="F18" s="25">
        <f>IF(TrAvia_act!F34=0,0,(TrAvia_act!F34/TrAvia_act!F24)/TrAvia_png!F12)</f>
        <v>0.71959936204550889</v>
      </c>
      <c r="G18" s="25">
        <f>IF(TrAvia_act!G34=0,0,(TrAvia_act!G34/TrAvia_act!G24)/TrAvia_png!G12)</f>
        <v>0.68296543359310813</v>
      </c>
      <c r="H18" s="25">
        <f>IF(TrAvia_act!H34=0,0,(TrAvia_act!H34/TrAvia_act!H24)/TrAvia_png!H12)</f>
        <v>0.70083164919903207</v>
      </c>
      <c r="I18" s="25">
        <f>IF(TrAvia_act!I34=0,0,(TrAvia_act!I34/TrAvia_act!I24)/TrAvia_png!I12)</f>
        <v>0.67974064348636942</v>
      </c>
      <c r="J18" s="25">
        <f>IF(TrAvia_act!J34=0,0,(TrAvia_act!J34/TrAvia_act!J24)/TrAvia_png!J12)</f>
        <v>0.71784518175899792</v>
      </c>
      <c r="K18" s="25">
        <f>IF(TrAvia_act!K34=0,0,(TrAvia_act!K34/TrAvia_act!K24)/TrAvia_png!K12)</f>
        <v>0.68983601142021178</v>
      </c>
      <c r="L18" s="25">
        <f>IF(TrAvia_act!L34=0,0,(TrAvia_act!L34/TrAvia_act!L24)/TrAvia_png!L12)</f>
        <v>0.70423744650752462</v>
      </c>
      <c r="M18" s="25">
        <f>IF(TrAvia_act!M34=0,0,(TrAvia_act!M34/TrAvia_act!M24)/TrAvia_png!M12)</f>
        <v>0.7621237711400255</v>
      </c>
      <c r="N18" s="25">
        <f>IF(TrAvia_act!N34=0,0,(TrAvia_act!N34/TrAvia_act!N24)/TrAvia_png!N12)</f>
        <v>0.78125585642171891</v>
      </c>
      <c r="O18" s="25">
        <f>IF(TrAvia_act!O34=0,0,(TrAvia_act!O34/TrAvia_act!O24)/TrAvia_png!O12)</f>
        <v>0.77981521456089764</v>
      </c>
      <c r="P18" s="25">
        <f>IF(TrAvia_act!P34=0,0,(TrAvia_act!P34/TrAvia_act!P24)/TrAvia_png!P12)</f>
        <v>0.78794520044133876</v>
      </c>
      <c r="Q18" s="25">
        <f>IF(TrAvia_act!Q34=0,0,(TrAvia_act!Q34/TrAvia_act!Q24)/TrAvia_png!Q12)</f>
        <v>0.80898128280310433</v>
      </c>
      <c r="R18" s="25">
        <f>IF(TrAvia_act!R34=0,0,(TrAvia_act!R34/TrAvia_act!R24)/TrAvia_png!R12)</f>
        <v>0.82011217120228286</v>
      </c>
      <c r="S18" s="25">
        <f>IF(TrAvia_act!S34=0,0,(TrAvia_act!S34/TrAvia_act!S24)/TrAvia_png!S12)</f>
        <v>0.82217168322281875</v>
      </c>
      <c r="T18" s="25">
        <f>IF(TrAvia_act!T34=0,0,(TrAvia_act!T34/TrAvia_act!T24)/TrAvia_png!T12)</f>
        <v>0.81694862665481294</v>
      </c>
      <c r="U18" s="25">
        <f>IF(TrAvia_act!U34=0,0,(TrAvia_act!U34/TrAvia_act!U24)/TrAvia_png!U12)</f>
        <v>0.8163995357766618</v>
      </c>
      <c r="V18" s="25">
        <f>IF(TrAvia_act!V34=0,0,(TrAvia_act!V34/TrAvia_act!V24)/TrAvia_png!V12)</f>
        <v>0.56888985592518226</v>
      </c>
      <c r="W18" s="25">
        <f>IF(TrAvia_act!W34=0,0,(TrAvia_act!W34/TrAvia_act!W24)/TrAvia_png!W12)</f>
        <v>0.6063380056483989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0.76098073222083629</v>
      </c>
      <c r="C20" s="89">
        <f>IF(TrAvia_act!C36=0,0,(TrAvia_act!C36/TrAvia_act!C26)/TrAvia_png!C14)</f>
        <v>0.7581737285873561</v>
      </c>
      <c r="D20" s="89">
        <f>IF(TrAvia_act!D36=0,0,(TrAvia_act!D36/TrAvia_act!D26)/TrAvia_png!D14)</f>
        <v>0.76262181656330519</v>
      </c>
      <c r="E20" s="89">
        <f>IF(TrAvia_act!E36=0,0,(TrAvia_act!E36/TrAvia_act!E26)/TrAvia_png!E14)</f>
        <v>0.73129614671954513</v>
      </c>
      <c r="F20" s="89">
        <f>IF(TrAvia_act!F36=0,0,(TrAvia_act!F36/TrAvia_act!F26)/TrAvia_png!F14)</f>
        <v>0.74549978703848996</v>
      </c>
      <c r="G20" s="89">
        <f>IF(TrAvia_act!G36=0,0,(TrAvia_act!G36/TrAvia_act!G26)/TrAvia_png!G14)</f>
        <v>0.70131211780041991</v>
      </c>
      <c r="H20" s="89">
        <f>IF(TrAvia_act!H36=0,0,(TrAvia_act!H36/TrAvia_act!H26)/TrAvia_png!H14)</f>
        <v>0.72082541106041498</v>
      </c>
      <c r="I20" s="89">
        <f>IF(TrAvia_act!I36=0,0,(TrAvia_act!I36/TrAvia_act!I26)/TrAvia_png!I14)</f>
        <v>0.70023883779767471</v>
      </c>
      <c r="J20" s="89">
        <f>IF(TrAvia_act!J36=0,0,(TrAvia_act!J36/TrAvia_act!J26)/TrAvia_png!J14)</f>
        <v>0.73392447216924483</v>
      </c>
      <c r="K20" s="89">
        <f>IF(TrAvia_act!K36=0,0,(TrAvia_act!K36/TrAvia_act!K26)/TrAvia_png!K14)</f>
        <v>0.7083336139787314</v>
      </c>
      <c r="L20" s="89">
        <f>IF(TrAvia_act!L36=0,0,(TrAvia_act!L36/TrAvia_act!L26)/TrAvia_png!L14)</f>
        <v>0.71966445920267907</v>
      </c>
      <c r="M20" s="89">
        <f>IF(TrAvia_act!M36=0,0,(TrAvia_act!M36/TrAvia_act!M26)/TrAvia_png!M14)</f>
        <v>0.77037628288992066</v>
      </c>
      <c r="N20" s="89">
        <f>IF(TrAvia_act!N36=0,0,(TrAvia_act!N36/TrAvia_act!N26)/TrAvia_png!N14)</f>
        <v>0.79758567004157233</v>
      </c>
      <c r="O20" s="89">
        <f>IF(TrAvia_act!O36=0,0,(TrAvia_act!O36/TrAvia_act!O26)/TrAvia_png!O14)</f>
        <v>0.80368920696741375</v>
      </c>
      <c r="P20" s="89">
        <f>IF(TrAvia_act!P36=0,0,(TrAvia_act!P36/TrAvia_act!P26)/TrAvia_png!P14)</f>
        <v>0.81321757994235888</v>
      </c>
      <c r="Q20" s="89">
        <f>IF(TrAvia_act!Q36=0,0,(TrAvia_act!Q36/TrAvia_act!Q26)/TrAvia_png!Q14)</f>
        <v>0.8235250588527302</v>
      </c>
      <c r="R20" s="89">
        <f>IF(TrAvia_act!R36=0,0,(TrAvia_act!R36/TrAvia_act!R26)/TrAvia_png!R14)</f>
        <v>0.83985269027506138</v>
      </c>
      <c r="S20" s="89">
        <f>IF(TrAvia_act!S36=0,0,(TrAvia_act!S36/TrAvia_act!S26)/TrAvia_png!S14)</f>
        <v>0.83074671426582414</v>
      </c>
      <c r="T20" s="89">
        <f>IF(TrAvia_act!T36=0,0,(TrAvia_act!T36/TrAvia_act!T26)/TrAvia_png!T14)</f>
        <v>0.82691957275291161</v>
      </c>
      <c r="U20" s="89">
        <f>IF(TrAvia_act!U36=0,0,(TrAvia_act!U36/TrAvia_act!U26)/TrAvia_png!U14)</f>
        <v>0.83458650236969689</v>
      </c>
      <c r="V20" s="89">
        <f>IF(TrAvia_act!V36=0,0,(TrAvia_act!V36/TrAvia_act!V26)/TrAvia_png!V14)</f>
        <v>0.57486344504754028</v>
      </c>
      <c r="W20" s="89">
        <f>IF(TrAvia_act!W36=0,0,(TrAvia_act!W36/TrAvia_act!W26)/TrAvia_png!W14)</f>
        <v>0.61067296053218945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0.505286119242503</v>
      </c>
      <c r="C21" s="90">
        <f>IF(TrAvia_act!C37=0,0,(TrAvia_act!C37/TrAvia_act!C27)/TrAvia_png!C15)</f>
        <v>0.50714943065533025</v>
      </c>
      <c r="D21" s="90">
        <f>IF(TrAvia_act!D37=0,0,(TrAvia_act!D37/TrAvia_act!D27)/TrAvia_png!D15)</f>
        <v>0.52349375784601404</v>
      </c>
      <c r="E21" s="90">
        <f>IF(TrAvia_act!E37=0,0,(TrAvia_act!E37/TrAvia_act!E27)/TrAvia_png!E15)</f>
        <v>0.51220408874873968</v>
      </c>
      <c r="F21" s="90">
        <f>IF(TrAvia_act!F37=0,0,(TrAvia_act!F37/TrAvia_act!F27)/TrAvia_png!F15)</f>
        <v>0.54414191080502039</v>
      </c>
      <c r="G21" s="90">
        <f>IF(TrAvia_act!G37=0,0,(TrAvia_act!G37/TrAvia_act!G27)/TrAvia_png!G15)</f>
        <v>0.54472068376647864</v>
      </c>
      <c r="H21" s="90">
        <f>IF(TrAvia_act!H37=0,0,(TrAvia_act!H37/TrAvia_act!H27)/TrAvia_png!H15)</f>
        <v>0.53266097826193437</v>
      </c>
      <c r="I21" s="90">
        <f>IF(TrAvia_act!I37=0,0,(TrAvia_act!I37/TrAvia_act!I27)/TrAvia_png!I15)</f>
        <v>0.48535893980018124</v>
      </c>
      <c r="J21" s="90">
        <f>IF(TrAvia_act!J37=0,0,(TrAvia_act!J37/TrAvia_act!J27)/TrAvia_png!J15)</f>
        <v>0.54822059512153598</v>
      </c>
      <c r="K21" s="90">
        <f>IF(TrAvia_act!K37=0,0,(TrAvia_act!K37/TrAvia_act!K27)/TrAvia_png!K15)</f>
        <v>0.50091281915597308</v>
      </c>
      <c r="L21" s="90">
        <f>IF(TrAvia_act!L37=0,0,(TrAvia_act!L37/TrAvia_act!L27)/TrAvia_png!L15)</f>
        <v>0.5497355070586406</v>
      </c>
      <c r="M21" s="90">
        <f>IF(TrAvia_act!M37=0,0,(TrAvia_act!M37/TrAvia_act!M27)/TrAvia_png!M15)</f>
        <v>0.67215064726418883</v>
      </c>
      <c r="N21" s="90">
        <f>IF(TrAvia_act!N37=0,0,(TrAvia_act!N37/TrAvia_act!N27)/TrAvia_png!N15)</f>
        <v>0.63686438001389689</v>
      </c>
      <c r="O21" s="90">
        <f>IF(TrAvia_act!O37=0,0,(TrAvia_act!O37/TrAvia_act!O27)/TrAvia_png!O15)</f>
        <v>0.60956126413818057</v>
      </c>
      <c r="P21" s="90">
        <f>IF(TrAvia_act!P37=0,0,(TrAvia_act!P37/TrAvia_act!P27)/TrAvia_png!P15)</f>
        <v>0.5934928933442053</v>
      </c>
      <c r="Q21" s="90">
        <f>IF(TrAvia_act!Q37=0,0,(TrAvia_act!Q37/TrAvia_act!Q27)/TrAvia_png!Q15)</f>
        <v>0.66326597597377268</v>
      </c>
      <c r="R21" s="90">
        <f>IF(TrAvia_act!R37=0,0,(TrAvia_act!R37/TrAvia_act!R27)/TrAvia_png!R15)</f>
        <v>0.641050254461206</v>
      </c>
      <c r="S21" s="90">
        <f>IF(TrAvia_act!S37=0,0,(TrAvia_act!S37/TrAvia_act!S27)/TrAvia_png!S15)</f>
        <v>0.72423186806825413</v>
      </c>
      <c r="T21" s="90">
        <f>IF(TrAvia_act!T37=0,0,(TrAvia_act!T37/TrAvia_act!T27)/TrAvia_png!T15)</f>
        <v>0.71527182082440344</v>
      </c>
      <c r="U21" s="90">
        <f>IF(TrAvia_act!U37=0,0,(TrAvia_act!U37/TrAvia_act!U27)/TrAvia_png!U15)</f>
        <v>0.68154519180537954</v>
      </c>
      <c r="V21" s="90">
        <f>IF(TrAvia_act!V37=0,0,(TrAvia_act!V37/TrAvia_act!V27)/TrAvia_png!V15)</f>
        <v>0.51517139787851296</v>
      </c>
      <c r="W21" s="90">
        <f>IF(TrAvia_act!W37=0,0,(TrAvia_act!W37/TrAvia_act!W27)/TrAvia_png!W15)</f>
        <v>0.55679667803648225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3.5323916675108542E-2</v>
      </c>
      <c r="C24" s="23">
        <f>IF(TrAvia_ene!C6=0,0,TrAvia_ene!C6/(C12*TrAvia_act!C14))</f>
        <v>2.8111708360326136E-2</v>
      </c>
      <c r="D24" s="23">
        <f>IF(TrAvia_ene!D6=0,0,TrAvia_ene!D6/(D12*TrAvia_act!D14))</f>
        <v>3.008183907784125E-2</v>
      </c>
      <c r="E24" s="23">
        <f>IF(TrAvia_ene!E6=0,0,TrAvia_ene!E6/(E12*TrAvia_act!E14))</f>
        <v>2.5099070945600901E-2</v>
      </c>
      <c r="F24" s="23">
        <f>IF(TrAvia_ene!F6=0,0,TrAvia_ene!F6/(F12*TrAvia_act!F14))</f>
        <v>3.1855842824716443E-2</v>
      </c>
      <c r="G24" s="23">
        <f>IF(TrAvia_ene!G6=0,0,TrAvia_ene!G6/(G12*TrAvia_act!G14))</f>
        <v>2.481693041532369E-2</v>
      </c>
      <c r="H24" s="23">
        <f>IF(TrAvia_ene!H6=0,0,TrAvia_ene!H6/(H12*TrAvia_act!H14))</f>
        <v>2.6468650909446986E-2</v>
      </c>
      <c r="I24" s="23">
        <f>IF(TrAvia_ene!I6=0,0,TrAvia_ene!I6/(I12*TrAvia_act!I14))</f>
        <v>2.4419762458898441E-2</v>
      </c>
      <c r="J24" s="23">
        <f>IF(TrAvia_ene!J6=0,0,TrAvia_ene!J6/(J12*TrAvia_act!J14))</f>
        <v>2.5401297617798736E-2</v>
      </c>
      <c r="K24" s="23">
        <f>IF(TrAvia_ene!K6=0,0,TrAvia_ene!K6/(K12*TrAvia_act!K14))</f>
        <v>2.4740006970626439E-2</v>
      </c>
      <c r="L24" s="23">
        <f>IF(TrAvia_ene!L6=0,0,TrAvia_ene!L6/(L12*TrAvia_act!L14))</f>
        <v>2.5504042093438869E-2</v>
      </c>
      <c r="M24" s="23">
        <f>IF(TrAvia_ene!M6=0,0,TrAvia_ene!M6/(M12*TrAvia_act!M14))</f>
        <v>2.5694264443546753E-2</v>
      </c>
      <c r="N24" s="23">
        <f>IF(TrAvia_ene!N6=0,0,TrAvia_ene!N6/(N12*TrAvia_act!N14))</f>
        <v>2.4521669877241883E-2</v>
      </c>
      <c r="O24" s="23">
        <f>IF(TrAvia_ene!O6=0,0,TrAvia_ene!O6/(O12*TrAvia_act!O14))</f>
        <v>2.3330501402416361E-2</v>
      </c>
      <c r="P24" s="23">
        <f>IF(TrAvia_ene!P6=0,0,TrAvia_ene!P6/(P12*TrAvia_act!P14))</f>
        <v>2.413974860812531E-2</v>
      </c>
      <c r="Q24" s="23">
        <f>IF(TrAvia_ene!Q6=0,0,TrAvia_ene!Q6/(Q12*TrAvia_act!Q14))</f>
        <v>2.4023043001973544E-2</v>
      </c>
      <c r="R24" s="23">
        <f>IF(TrAvia_ene!R6=0,0,TrAvia_ene!R6/(R12*TrAvia_act!R14))</f>
        <v>2.3843788946001917E-2</v>
      </c>
      <c r="S24" s="23">
        <f>IF(TrAvia_ene!S6=0,0,TrAvia_ene!S6/(S12*TrAvia_act!S14))</f>
        <v>2.3130973365501521E-2</v>
      </c>
      <c r="T24" s="23">
        <f>IF(TrAvia_ene!T6=0,0,TrAvia_ene!T6/(T12*TrAvia_act!T14))</f>
        <v>2.2777468484252161E-2</v>
      </c>
      <c r="U24" s="23">
        <f>IF(TrAvia_ene!U6=0,0,TrAvia_ene!U6/(U12*TrAvia_act!U14))</f>
        <v>2.1707338335920961E-2</v>
      </c>
      <c r="V24" s="23">
        <f>IF(TrAvia_ene!V6=0,0,TrAvia_ene!V6/(V12*TrAvia_act!V14))</f>
        <v>2.2399191637305263E-2</v>
      </c>
      <c r="W24" s="23">
        <f>IF(TrAvia_ene!W6=0,0,TrAvia_ene!W6/(W12*TrAvia_act!W14))</f>
        <v>2.2484810301715792E-2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3.4830081767276554E-2</v>
      </c>
      <c r="C26" s="93">
        <f>IF(TrAvia_ene!C8=0,0,TrAvia_ene!C8/(C14*TrAvia_act!C16))</f>
        <v>2.7672118699911267E-2</v>
      </c>
      <c r="D26" s="93">
        <f>IF(TrAvia_ene!D8=0,0,TrAvia_ene!D8/(D14*TrAvia_act!D16))</f>
        <v>2.9193568825858007E-2</v>
      </c>
      <c r="E26" s="93">
        <f>IF(TrAvia_ene!E8=0,0,TrAvia_ene!E8/(E14*TrAvia_act!E16))</f>
        <v>2.4647726590708779E-2</v>
      </c>
      <c r="F26" s="93">
        <f>IF(TrAvia_ene!F8=0,0,TrAvia_ene!F8/(F14*TrAvia_act!F16))</f>
        <v>3.1116277320897272E-2</v>
      </c>
      <c r="G26" s="93">
        <f>IF(TrAvia_ene!G8=0,0,TrAvia_ene!G8/(G14*TrAvia_act!G16))</f>
        <v>2.4253321287253365E-2</v>
      </c>
      <c r="H26" s="93">
        <f>IF(TrAvia_ene!H8=0,0,TrAvia_ene!H8/(H14*TrAvia_act!H16))</f>
        <v>2.5796984977997834E-2</v>
      </c>
      <c r="I26" s="93">
        <f>IF(TrAvia_ene!I8=0,0,TrAvia_ene!I8/(I14*TrAvia_act!I16))</f>
        <v>2.3693543494634137E-2</v>
      </c>
      <c r="J26" s="93">
        <f>IF(TrAvia_ene!J8=0,0,TrAvia_ene!J8/(J14*TrAvia_act!J16))</f>
        <v>2.4400284867390203E-2</v>
      </c>
      <c r="K26" s="93">
        <f>IF(TrAvia_ene!K8=0,0,TrAvia_ene!K8/(K14*TrAvia_act!K16))</f>
        <v>2.3671272425584197E-2</v>
      </c>
      <c r="L26" s="93">
        <f>IF(TrAvia_ene!L8=0,0,TrAvia_ene!L8/(L14*TrAvia_act!L16))</f>
        <v>2.4523891139512068E-2</v>
      </c>
      <c r="M26" s="93">
        <f>IF(TrAvia_ene!M8=0,0,TrAvia_ene!M8/(M14*TrAvia_act!M16))</f>
        <v>2.5034512257158581E-2</v>
      </c>
      <c r="N26" s="93">
        <f>IF(TrAvia_ene!N8=0,0,TrAvia_ene!N8/(N14*TrAvia_act!N16))</f>
        <v>2.3846442628523999E-2</v>
      </c>
      <c r="O26" s="93">
        <f>IF(TrAvia_ene!O8=0,0,TrAvia_ene!O8/(O14*TrAvia_act!O16))</f>
        <v>2.3382126567314015E-2</v>
      </c>
      <c r="P26" s="93">
        <f>IF(TrAvia_ene!P8=0,0,TrAvia_ene!P8/(P14*TrAvia_act!P16))</f>
        <v>2.3955405802797078E-2</v>
      </c>
      <c r="Q26" s="93">
        <f>IF(TrAvia_ene!Q8=0,0,TrAvia_ene!Q8/(Q14*TrAvia_act!Q16))</f>
        <v>2.3199579874023418E-2</v>
      </c>
      <c r="R26" s="93">
        <f>IF(TrAvia_ene!R8=0,0,TrAvia_ene!R8/(R14*TrAvia_act!R16))</f>
        <v>2.3792903689151022E-2</v>
      </c>
      <c r="S26" s="93">
        <f>IF(TrAvia_ene!S8=0,0,TrAvia_ene!S8/(S14*TrAvia_act!S16))</f>
        <v>2.2486372410839704E-2</v>
      </c>
      <c r="T26" s="93">
        <f>IF(TrAvia_ene!T8=0,0,TrAvia_ene!T8/(T14*TrAvia_act!T16))</f>
        <v>2.2494589869342239E-2</v>
      </c>
      <c r="U26" s="93">
        <f>IF(TrAvia_ene!U8=0,0,TrAvia_ene!U8/(U14*TrAvia_act!U16))</f>
        <v>2.2558095045115988E-2</v>
      </c>
      <c r="V26" s="93">
        <f>IF(TrAvia_ene!V8=0,0,TrAvia_ene!V8/(V14*TrAvia_act!V16))</f>
        <v>2.1747831277348806E-2</v>
      </c>
      <c r="W26" s="93">
        <f>IF(TrAvia_ene!W8=0,0,TrAvia_ene!W8/(W14*TrAvia_act!W16))</f>
        <v>2.1676205364002128E-2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3.6863417737268193E-2</v>
      </c>
      <c r="C27" s="94">
        <f>IF(TrAvia_ene!C9=0,0,TrAvia_ene!C9/(C15*TrAvia_act!C17))</f>
        <v>2.9557567759528239E-2</v>
      </c>
      <c r="D27" s="94">
        <f>IF(TrAvia_ene!D9=0,0,TrAvia_ene!D9/(D15*TrAvia_act!D17))</f>
        <v>3.4654710929812683E-2</v>
      </c>
      <c r="E27" s="94">
        <f>IF(TrAvia_ene!E9=0,0,TrAvia_ene!E9/(E15*TrAvia_act!E17))</f>
        <v>2.732719725431559E-2</v>
      </c>
      <c r="F27" s="94">
        <f>IF(TrAvia_ene!F9=0,0,TrAvia_ene!F9/(F15*TrAvia_act!F17))</f>
        <v>3.6204256650155843E-2</v>
      </c>
      <c r="G27" s="94">
        <f>IF(TrAvia_ene!G9=0,0,TrAvia_ene!G9/(G15*TrAvia_act!G17))</f>
        <v>3.0346094552307891E-2</v>
      </c>
      <c r="H27" s="94">
        <f>IF(TrAvia_ene!H9=0,0,TrAvia_ene!H9/(H15*TrAvia_act!H17))</f>
        <v>3.2995454888322374E-2</v>
      </c>
      <c r="I27" s="94">
        <f>IF(TrAvia_ene!I9=0,0,TrAvia_ene!I9/(I15*TrAvia_act!I17))</f>
        <v>3.2477391673165351E-2</v>
      </c>
      <c r="J27" s="94">
        <f>IF(TrAvia_ene!J9=0,0,TrAvia_ene!J9/(J15*TrAvia_act!J17))</f>
        <v>3.6985772700350701E-2</v>
      </c>
      <c r="K27" s="94">
        <f>IF(TrAvia_ene!K9=0,0,TrAvia_ene!K9/(K15*TrAvia_act!K17))</f>
        <v>3.6992811361370365E-2</v>
      </c>
      <c r="L27" s="94">
        <f>IF(TrAvia_ene!L9=0,0,TrAvia_ene!L9/(L15*TrAvia_act!L17))</f>
        <v>3.6100109745689259E-2</v>
      </c>
      <c r="M27" s="94">
        <f>IF(TrAvia_ene!M9=0,0,TrAvia_ene!M9/(M15*TrAvia_act!M17))</f>
        <v>3.3061471870240833E-2</v>
      </c>
      <c r="N27" s="94">
        <f>IF(TrAvia_ene!N9=0,0,TrAvia_ene!N9/(N15*TrAvia_act!N17))</f>
        <v>3.088655631522317E-2</v>
      </c>
      <c r="O27" s="94">
        <f>IF(TrAvia_ene!O9=0,0,TrAvia_ene!O9/(O15*TrAvia_act!O17))</f>
        <v>2.2282322998629783E-2</v>
      </c>
      <c r="P27" s="94">
        <f>IF(TrAvia_ene!P9=0,0,TrAvia_ene!P9/(P15*TrAvia_act!P17))</f>
        <v>2.5308956302179646E-2</v>
      </c>
      <c r="Q27" s="94">
        <f>IF(TrAvia_ene!Q9=0,0,TrAvia_ene!Q9/(Q15*TrAvia_act!Q17))</f>
        <v>3.4027549432040789E-2</v>
      </c>
      <c r="R27" s="94">
        <f>IF(TrAvia_ene!R9=0,0,TrAvia_ene!R9/(R15*TrAvia_act!R17))</f>
        <v>2.4305244142039849E-2</v>
      </c>
      <c r="S27" s="94">
        <f>IF(TrAvia_ene!S9=0,0,TrAvia_ene!S9/(S15*TrAvia_act!S17))</f>
        <v>3.1455808156521152E-2</v>
      </c>
      <c r="T27" s="94">
        <f>IF(TrAvia_ene!T9=0,0,TrAvia_ene!T9/(T15*TrAvia_act!T17))</f>
        <v>2.5637096095081663E-2</v>
      </c>
      <c r="U27" s="94">
        <f>IF(TrAvia_ene!U9=0,0,TrAvia_ene!U9/(U15*TrAvia_act!U17))</f>
        <v>1.5669919527120088E-2</v>
      </c>
      <c r="V27" s="94">
        <f>IF(TrAvia_ene!V9=0,0,TrAvia_ene!V9/(V15*TrAvia_act!V17))</f>
        <v>2.8131476816842159E-2</v>
      </c>
      <c r="W27" s="94">
        <f>IF(TrAvia_ene!W9=0,0,TrAvia_ene!W9/(W15*TrAvia_act!W17))</f>
        <v>3.1800674442211518E-2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2.113</v>
      </c>
      <c r="H3" s="54">
        <f t="shared" si="0"/>
        <v>2.3559999999999999</v>
      </c>
      <c r="I3" s="54">
        <f t="shared" si="0"/>
        <v>2.5960000000000001</v>
      </c>
      <c r="J3" s="54">
        <f t="shared" si="0"/>
        <v>2.5790000000000002</v>
      </c>
      <c r="K3" s="54">
        <f t="shared" si="0"/>
        <v>2.39</v>
      </c>
      <c r="L3" s="54">
        <f t="shared" si="0"/>
        <v>4.218</v>
      </c>
      <c r="M3" s="54">
        <f t="shared" si="0"/>
        <v>3.7639999999999998</v>
      </c>
      <c r="N3" s="54">
        <f t="shared" si="0"/>
        <v>3.7450000000000001</v>
      </c>
      <c r="O3" s="54">
        <f t="shared" si="0"/>
        <v>3.516</v>
      </c>
      <c r="P3" s="54">
        <f t="shared" si="0"/>
        <v>3.714</v>
      </c>
      <c r="Q3" s="54">
        <f t="shared" si="0"/>
        <v>3.95</v>
      </c>
      <c r="R3" s="54">
        <f t="shared" ref="R3:V3" si="1">SUM(R4:R5)</f>
        <v>3.6509999999999998</v>
      </c>
      <c r="S3" s="54">
        <f t="shared" si="1"/>
        <v>4.2480000000000002</v>
      </c>
      <c r="T3" s="54">
        <f t="shared" si="1"/>
        <v>3.5030000000000001</v>
      </c>
      <c r="U3" s="54">
        <f t="shared" si="1"/>
        <v>4.6820000000000004</v>
      </c>
      <c r="V3" s="54">
        <f t="shared" si="1"/>
        <v>5.5529999999999999</v>
      </c>
      <c r="W3" s="54">
        <f t="shared" ref="W3" si="2">SUM(W4:W5)</f>
        <v>6.5570000000000004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2.113</v>
      </c>
      <c r="H4" s="56">
        <v>2.3559999999999999</v>
      </c>
      <c r="I4" s="56">
        <v>2.5960000000000001</v>
      </c>
      <c r="J4" s="56">
        <v>2.5790000000000002</v>
      </c>
      <c r="K4" s="56">
        <v>2.39</v>
      </c>
      <c r="L4" s="56">
        <v>4.218</v>
      </c>
      <c r="M4" s="56">
        <v>3.7639999999999998</v>
      </c>
      <c r="N4" s="56">
        <v>3.7450000000000001</v>
      </c>
      <c r="O4" s="56">
        <v>3.516</v>
      </c>
      <c r="P4" s="56">
        <v>3.714</v>
      </c>
      <c r="Q4" s="56">
        <v>3.95</v>
      </c>
      <c r="R4" s="56">
        <v>3.6509999999999998</v>
      </c>
      <c r="S4" s="56">
        <v>4.2480000000000002</v>
      </c>
      <c r="T4" s="56">
        <v>3.5030000000000001</v>
      </c>
      <c r="U4" s="56">
        <v>4.6820000000000004</v>
      </c>
      <c r="V4" s="56">
        <v>5.5529999999999999</v>
      </c>
      <c r="W4" s="56">
        <v>6.5570000000000004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5.0000000000000001E-3</v>
      </c>
      <c r="H7" s="59">
        <f t="shared" si="3"/>
        <v>5.0000000000000001E-3</v>
      </c>
      <c r="I7" s="59">
        <f t="shared" si="3"/>
        <v>6.0000000000000001E-3</v>
      </c>
      <c r="J7" s="59">
        <f t="shared" si="3"/>
        <v>5.0000000000000001E-3</v>
      </c>
      <c r="K7" s="59">
        <f t="shared" si="3"/>
        <v>5.0000000000000001E-3</v>
      </c>
      <c r="L7" s="59">
        <f t="shared" si="3"/>
        <v>8.0000000000000002E-3</v>
      </c>
      <c r="M7" s="59">
        <f t="shared" si="3"/>
        <v>8.0000000000000002E-3</v>
      </c>
      <c r="N7" s="59">
        <f t="shared" si="3"/>
        <v>7.0000000000000001E-3</v>
      </c>
      <c r="O7" s="59">
        <f t="shared" si="3"/>
        <v>8.9999999999999993E-3</v>
      </c>
      <c r="P7" s="59">
        <f t="shared" si="3"/>
        <v>6.0000000000000001E-3</v>
      </c>
      <c r="Q7" s="59">
        <f t="shared" si="3"/>
        <v>7.0000000000000001E-3</v>
      </c>
      <c r="R7" s="59">
        <f t="shared" ref="R7:V7" si="4">SUM(R8:R9)</f>
        <v>7.0000000000000001E-3</v>
      </c>
      <c r="S7" s="59">
        <f t="shared" si="4"/>
        <v>8.0000000000000002E-3</v>
      </c>
      <c r="T7" s="59">
        <f t="shared" si="4"/>
        <v>7.0000000000000001E-3</v>
      </c>
      <c r="U7" s="59">
        <f t="shared" si="4"/>
        <v>8.9999999999999993E-3</v>
      </c>
      <c r="V7" s="59">
        <f t="shared" si="4"/>
        <v>0.01</v>
      </c>
      <c r="W7" s="59">
        <f t="shared" ref="W7" si="5">SUM(W8:W9)</f>
        <v>1.2E-2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5.0000000000000001E-3</v>
      </c>
      <c r="H8" s="60">
        <v>5.0000000000000001E-3</v>
      </c>
      <c r="I8" s="60">
        <v>6.0000000000000001E-3</v>
      </c>
      <c r="J8" s="60">
        <v>5.0000000000000001E-3</v>
      </c>
      <c r="K8" s="60">
        <v>5.0000000000000001E-3</v>
      </c>
      <c r="L8" s="60">
        <v>8.0000000000000002E-3</v>
      </c>
      <c r="M8" s="60">
        <v>8.0000000000000002E-3</v>
      </c>
      <c r="N8" s="60">
        <v>7.0000000000000001E-3</v>
      </c>
      <c r="O8" s="60">
        <v>8.9999999999999993E-3</v>
      </c>
      <c r="P8" s="60">
        <v>6.0000000000000001E-3</v>
      </c>
      <c r="Q8" s="60">
        <v>7.0000000000000001E-3</v>
      </c>
      <c r="R8" s="60">
        <v>7.0000000000000001E-3</v>
      </c>
      <c r="S8" s="60">
        <v>8.0000000000000002E-3</v>
      </c>
      <c r="T8" s="60">
        <v>7.0000000000000001E-3</v>
      </c>
      <c r="U8" s="60">
        <v>8.9999999999999993E-3</v>
      </c>
      <c r="V8" s="60">
        <v>0.01</v>
      </c>
      <c r="W8" s="60">
        <v>1.2E-2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422.59999999999997</v>
      </c>
      <c r="H13" s="62">
        <f t="shared" si="7"/>
        <v>471.2</v>
      </c>
      <c r="I13" s="62">
        <f t="shared" si="7"/>
        <v>432.66666666666669</v>
      </c>
      <c r="J13" s="62">
        <f t="shared" si="7"/>
        <v>515.80000000000007</v>
      </c>
      <c r="K13" s="62">
        <f t="shared" si="7"/>
        <v>478</v>
      </c>
      <c r="L13" s="62">
        <f t="shared" si="7"/>
        <v>527.25</v>
      </c>
      <c r="M13" s="62">
        <f t="shared" si="7"/>
        <v>470.49999999999994</v>
      </c>
      <c r="N13" s="62">
        <f t="shared" si="7"/>
        <v>535</v>
      </c>
      <c r="O13" s="62">
        <f t="shared" si="7"/>
        <v>390.66666666666669</v>
      </c>
      <c r="P13" s="62">
        <f t="shared" si="7"/>
        <v>619</v>
      </c>
      <c r="Q13" s="62">
        <f t="shared" si="7"/>
        <v>564.28571428571433</v>
      </c>
      <c r="R13" s="62">
        <f t="shared" si="7"/>
        <v>521.57142857142856</v>
      </c>
      <c r="S13" s="62">
        <f t="shared" si="7"/>
        <v>531</v>
      </c>
      <c r="T13" s="62">
        <f t="shared" si="7"/>
        <v>500.42857142857144</v>
      </c>
      <c r="U13" s="62">
        <f t="shared" si="7"/>
        <v>520.22222222222229</v>
      </c>
      <c r="V13" s="62">
        <f t="shared" si="7"/>
        <v>555.29999999999995</v>
      </c>
      <c r="W13" s="62">
        <f t="shared" ref="W13" si="8">IF(W3=0,0,W3/W7)</f>
        <v>546.41666666666674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422.59999999999997</v>
      </c>
      <c r="H14" s="63">
        <f t="shared" si="9"/>
        <v>471.2</v>
      </c>
      <c r="I14" s="63">
        <f t="shared" si="9"/>
        <v>432.66666666666669</v>
      </c>
      <c r="J14" s="63">
        <f t="shared" si="9"/>
        <v>515.80000000000007</v>
      </c>
      <c r="K14" s="63">
        <f t="shared" si="9"/>
        <v>478</v>
      </c>
      <c r="L14" s="63">
        <f t="shared" si="9"/>
        <v>527.25</v>
      </c>
      <c r="M14" s="63">
        <f t="shared" si="9"/>
        <v>470.49999999999994</v>
      </c>
      <c r="N14" s="63">
        <f t="shared" si="9"/>
        <v>535</v>
      </c>
      <c r="O14" s="63">
        <f t="shared" si="9"/>
        <v>390.66666666666669</v>
      </c>
      <c r="P14" s="63">
        <f t="shared" si="9"/>
        <v>619</v>
      </c>
      <c r="Q14" s="63">
        <f t="shared" si="9"/>
        <v>564.28571428571433</v>
      </c>
      <c r="R14" s="63">
        <f t="shared" si="9"/>
        <v>521.57142857142856</v>
      </c>
      <c r="S14" s="63">
        <f t="shared" si="9"/>
        <v>531</v>
      </c>
      <c r="T14" s="63">
        <f t="shared" si="9"/>
        <v>500.42857142857144</v>
      </c>
      <c r="U14" s="63">
        <f t="shared" si="9"/>
        <v>520.22222222222229</v>
      </c>
      <c r="V14" s="63">
        <f t="shared" si="9"/>
        <v>555.29999999999995</v>
      </c>
      <c r="W14" s="63">
        <f t="shared" ref="W14" si="10">IF(W4=0,0,W4/W8)</f>
        <v>546.41666666666674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8.0012897678417882</v>
      </c>
      <c r="H3" s="62">
        <f t="shared" si="0"/>
        <v>9.028374892519345</v>
      </c>
      <c r="I3" s="62">
        <f t="shared" si="0"/>
        <v>10.055374032674118</v>
      </c>
      <c r="J3" s="62">
        <f t="shared" si="0"/>
        <v>9.9837489251934652</v>
      </c>
      <c r="K3" s="62">
        <f t="shared" si="0"/>
        <v>9.1717110920034379</v>
      </c>
      <c r="L3" s="62">
        <f t="shared" si="0"/>
        <v>17.244625967325888</v>
      </c>
      <c r="M3" s="62">
        <f t="shared" si="0"/>
        <v>16.368013757523642</v>
      </c>
      <c r="N3" s="62">
        <f t="shared" si="0"/>
        <v>14.255460017196899</v>
      </c>
      <c r="O3" s="62">
        <f t="shared" si="0"/>
        <v>11.319088564058466</v>
      </c>
      <c r="P3" s="62">
        <f t="shared" si="0"/>
        <v>11.308684436801373</v>
      </c>
      <c r="Q3" s="62">
        <f t="shared" si="0"/>
        <v>12.332932072226994</v>
      </c>
      <c r="R3" s="62">
        <f t="shared" si="0"/>
        <v>11.297420464316421</v>
      </c>
      <c r="S3" s="62">
        <f t="shared" si="0"/>
        <v>13.368099742046432</v>
      </c>
      <c r="T3" s="62">
        <f t="shared" si="0"/>
        <v>10.79105760963027</v>
      </c>
      <c r="U3" s="62">
        <f t="shared" si="0"/>
        <v>14.896216680997419</v>
      </c>
      <c r="V3" s="62">
        <f t="shared" si="0"/>
        <v>18.004385210662079</v>
      </c>
      <c r="W3" s="62">
        <f t="shared" ref="W3" si="1">SUM(W4,W10)</f>
        <v>21.656491831470333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8.0012897678417882</v>
      </c>
      <c r="H4" s="71">
        <f t="shared" si="2"/>
        <v>9.028374892519345</v>
      </c>
      <c r="I4" s="71">
        <f t="shared" si="2"/>
        <v>10.055374032674118</v>
      </c>
      <c r="J4" s="71">
        <f t="shared" si="2"/>
        <v>9.9837489251934652</v>
      </c>
      <c r="K4" s="71">
        <f t="shared" si="2"/>
        <v>9.1717110920034379</v>
      </c>
      <c r="L4" s="71">
        <f t="shared" si="2"/>
        <v>17.244625967325888</v>
      </c>
      <c r="M4" s="71">
        <f t="shared" si="2"/>
        <v>16.368013757523642</v>
      </c>
      <c r="N4" s="71">
        <f t="shared" si="2"/>
        <v>14.255460017196899</v>
      </c>
      <c r="O4" s="71">
        <f t="shared" si="2"/>
        <v>11.319088564058466</v>
      </c>
      <c r="P4" s="71">
        <f t="shared" si="2"/>
        <v>11.308684436801373</v>
      </c>
      <c r="Q4" s="71">
        <f t="shared" si="2"/>
        <v>12.332932072226994</v>
      </c>
      <c r="R4" s="71">
        <f t="shared" si="2"/>
        <v>11.297420464316421</v>
      </c>
      <c r="S4" s="71">
        <f t="shared" si="2"/>
        <v>13.368099742046432</v>
      </c>
      <c r="T4" s="71">
        <f t="shared" si="2"/>
        <v>10.79105760963027</v>
      </c>
      <c r="U4" s="71">
        <f t="shared" si="2"/>
        <v>14.896216680997419</v>
      </c>
      <c r="V4" s="71">
        <f t="shared" si="2"/>
        <v>18.004385210662079</v>
      </c>
      <c r="W4" s="71">
        <f t="shared" ref="W4" si="3">SUM(W5:W9)</f>
        <v>21.656491831470333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5.135167669819432</v>
      </c>
      <c r="H5" s="73">
        <v>6.1622527944969896</v>
      </c>
      <c r="I5" s="73">
        <v>7.1892519346517627</v>
      </c>
      <c r="J5" s="73">
        <v>6.1622527944969896</v>
      </c>
      <c r="K5" s="73">
        <v>8.2163370593293195</v>
      </c>
      <c r="L5" s="73">
        <v>14.378503869303531</v>
      </c>
      <c r="M5" s="73">
        <v>15.40558899398108</v>
      </c>
      <c r="N5" s="73">
        <v>12.32441960447119</v>
      </c>
      <c r="O5" s="73">
        <v>11.297420464316421</v>
      </c>
      <c r="P5" s="73">
        <v>11.297420464316421</v>
      </c>
      <c r="Q5" s="73">
        <v>12.32441960447119</v>
      </c>
      <c r="R5" s="73">
        <v>11.297420464316421</v>
      </c>
      <c r="S5" s="73">
        <v>12.98890799656062</v>
      </c>
      <c r="T5" s="73">
        <v>10.447033533963889</v>
      </c>
      <c r="U5" s="73">
        <v>14.51926053310404</v>
      </c>
      <c r="V5" s="73">
        <v>17.608598452278589</v>
      </c>
      <c r="W5" s="73">
        <v>21.124075666380051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2.8661220980223563</v>
      </c>
      <c r="H6" s="73">
        <v>2.8661220980223554</v>
      </c>
      <c r="I6" s="73">
        <v>2.8661220980223554</v>
      </c>
      <c r="J6" s="73">
        <v>3.8214961306964756</v>
      </c>
      <c r="K6" s="73">
        <v>0.95537403267411847</v>
      </c>
      <c r="L6" s="73">
        <v>2.8661220980223572</v>
      </c>
      <c r="M6" s="73">
        <v>0.95537403267411847</v>
      </c>
      <c r="N6" s="73">
        <v>1.9107480653482369</v>
      </c>
      <c r="O6" s="73">
        <v>0</v>
      </c>
      <c r="P6" s="73">
        <v>0</v>
      </c>
      <c r="Q6" s="73">
        <v>0</v>
      </c>
      <c r="R6" s="73">
        <v>0</v>
      </c>
      <c r="S6" s="73">
        <v>0.33069647463456597</v>
      </c>
      <c r="T6" s="73">
        <v>0.34402407566638082</v>
      </c>
      <c r="U6" s="73">
        <v>0.37695614789337917</v>
      </c>
      <c r="V6" s="73">
        <v>0.39578675838349042</v>
      </c>
      <c r="W6" s="73">
        <v>0.53241616509028233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7.0507308684436797E-3</v>
      </c>
      <c r="N7" s="73">
        <v>2.0292347377472049E-2</v>
      </c>
      <c r="O7" s="73">
        <v>2.1668099742046431E-2</v>
      </c>
      <c r="P7" s="73">
        <v>1.1263972484952711E-2</v>
      </c>
      <c r="Q7" s="73">
        <v>8.5124677558039551E-3</v>
      </c>
      <c r="R7" s="73">
        <v>0</v>
      </c>
      <c r="S7" s="73">
        <v>4.8495270851246768E-2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160025.79535683576</v>
      </c>
      <c r="H19" s="62">
        <f>IF(H3=0,0,H3/TrNavi_act!H7*100)</f>
        <v>180567.49785038689</v>
      </c>
      <c r="I19" s="62">
        <f>IF(I3=0,0,I3/TrNavi_act!I7*100)</f>
        <v>167589.56721123529</v>
      </c>
      <c r="J19" s="62">
        <f>IF(J3=0,0,J3/TrNavi_act!J7*100)</f>
        <v>199674.97850386929</v>
      </c>
      <c r="K19" s="62">
        <f>IF(K3=0,0,K3/TrNavi_act!K7*100)</f>
        <v>183434.22184006876</v>
      </c>
      <c r="L19" s="62">
        <f>IF(L3=0,0,L3/TrNavi_act!L7*100)</f>
        <v>215557.82459157359</v>
      </c>
      <c r="M19" s="62">
        <f>IF(M3=0,0,M3/TrNavi_act!M7*100)</f>
        <v>204600.17196904551</v>
      </c>
      <c r="N19" s="62">
        <f>IF(N3=0,0,N3/TrNavi_act!N7*100)</f>
        <v>203649.42881709855</v>
      </c>
      <c r="O19" s="62">
        <f>IF(O3=0,0,O3/TrNavi_act!O7*100)</f>
        <v>125767.65071176075</v>
      </c>
      <c r="P19" s="62">
        <f>IF(P3=0,0,P3/TrNavi_act!P7*100)</f>
        <v>188478.07394668955</v>
      </c>
      <c r="Q19" s="62">
        <f>IF(Q3=0,0,Q3/TrNavi_act!Q7*100)</f>
        <v>176184.74388895705</v>
      </c>
      <c r="R19" s="62">
        <f>IF(R3=0,0,R3/TrNavi_act!R7*100)</f>
        <v>161391.72091880601</v>
      </c>
      <c r="S19" s="62">
        <f>IF(S3=0,0,S3/TrNavi_act!S7*100)</f>
        <v>167101.2467755804</v>
      </c>
      <c r="T19" s="62">
        <f>IF(T3=0,0,T3/TrNavi_act!T7*100)</f>
        <v>154157.96585186099</v>
      </c>
      <c r="U19" s="62">
        <f>IF(U3=0,0,U3/TrNavi_act!U7*100)</f>
        <v>165513.51867774912</v>
      </c>
      <c r="V19" s="62">
        <f>IF(V3=0,0,V3/TrNavi_act!V7*100)</f>
        <v>180043.85210662079</v>
      </c>
      <c r="W19" s="62">
        <f>IF(W3=0,0,W3/TrNavi_act!W7*100)</f>
        <v>180470.76526225277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160025.79535683576</v>
      </c>
      <c r="H20" s="63">
        <f>IF(H4=0,0,H4/TrNavi_act!H8*100)</f>
        <v>180567.49785038689</v>
      </c>
      <c r="I20" s="63">
        <f>IF(I4=0,0,I4/TrNavi_act!I8*100)</f>
        <v>167589.56721123529</v>
      </c>
      <c r="J20" s="63">
        <f>IF(J4=0,0,J4/TrNavi_act!J8*100)</f>
        <v>199674.97850386929</v>
      </c>
      <c r="K20" s="63">
        <f>IF(K4=0,0,K4/TrNavi_act!K8*100)</f>
        <v>183434.22184006876</v>
      </c>
      <c r="L20" s="63">
        <f>IF(L4=0,0,L4/TrNavi_act!L8*100)</f>
        <v>215557.82459157359</v>
      </c>
      <c r="M20" s="63">
        <f>IF(M4=0,0,M4/TrNavi_act!M8*100)</f>
        <v>204600.17196904551</v>
      </c>
      <c r="N20" s="63">
        <f>IF(N4=0,0,N4/TrNavi_act!N8*100)</f>
        <v>203649.42881709855</v>
      </c>
      <c r="O20" s="63">
        <f>IF(O4=0,0,O4/TrNavi_act!O8*100)</f>
        <v>125767.65071176075</v>
      </c>
      <c r="P20" s="63">
        <f>IF(P4=0,0,P4/TrNavi_act!P8*100)</f>
        <v>188478.07394668955</v>
      </c>
      <c r="Q20" s="63">
        <f>IF(Q4=0,0,Q4/TrNavi_act!Q8*100)</f>
        <v>176184.74388895705</v>
      </c>
      <c r="R20" s="63">
        <f>IF(R4=0,0,R4/TrNavi_act!R8*100)</f>
        <v>161391.72091880601</v>
      </c>
      <c r="S20" s="63">
        <f>IF(S4=0,0,S4/TrNavi_act!S8*100)</f>
        <v>167101.2467755804</v>
      </c>
      <c r="T20" s="63">
        <f>IF(T4=0,0,T4/TrNavi_act!T8*100)</f>
        <v>154157.96585186099</v>
      </c>
      <c r="U20" s="63">
        <f>IF(U4=0,0,U4/TrNavi_act!U8*100)</f>
        <v>165513.51867774912</v>
      </c>
      <c r="V20" s="63">
        <f>IF(V4=0,0,V4/TrNavi_act!V8*100)</f>
        <v>180043.85210662079</v>
      </c>
      <c r="W20" s="63">
        <f>IF(W4=0,0,W4/TrNavi_act!W8*100)</f>
        <v>180470.76526225277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3786.6965299771832</v>
      </c>
      <c r="H23" s="62">
        <f>IF(H3=0,0,H3/TrNavi_act!H3*1000)</f>
        <v>3832.077628403797</v>
      </c>
      <c r="I23" s="62">
        <f>IF(I3=0,0,I3/TrNavi_act!I3*1000)</f>
        <v>3873.4106443274723</v>
      </c>
      <c r="J23" s="62">
        <f>IF(J3=0,0,J3/TrNavi_act!J3*1000)</f>
        <v>3871.1705797570626</v>
      </c>
      <c r="K23" s="62">
        <f>IF(K3=0,0,K3/TrNavi_act!K3*1000)</f>
        <v>3837.5360217587609</v>
      </c>
      <c r="L23" s="62">
        <f>IF(L3=0,0,L3/TrNavi_act!L3*1000)</f>
        <v>4088.3418604376216</v>
      </c>
      <c r="M23" s="62">
        <f>IF(M3=0,0,M3/TrNavi_act!M3*1000)</f>
        <v>4348.5690110317855</v>
      </c>
      <c r="N23" s="62">
        <f>IF(N3=0,0,N3/TrNavi_act!N3*1000)</f>
        <v>3806.5313797588515</v>
      </c>
      <c r="O23" s="62">
        <f>IF(O3=0,0,O3/TrNavi_act!O3*1000)</f>
        <v>3219.3084653181077</v>
      </c>
      <c r="P23" s="62">
        <f>IF(P3=0,0,P3/TrNavi_act!P3*1000)</f>
        <v>3044.8800314489426</v>
      </c>
      <c r="Q23" s="62">
        <f>IF(Q3=0,0,Q3/TrNavi_act!Q3*1000)</f>
        <v>3122.2612841080995</v>
      </c>
      <c r="R23" s="62">
        <f>IF(R3=0,0,R3/TrNavi_act!R3*1000)</f>
        <v>3094.3359255865303</v>
      </c>
      <c r="S23" s="62">
        <f>IF(S3=0,0,S3/TrNavi_act!S3*1000)</f>
        <v>3146.9161351333405</v>
      </c>
      <c r="T23" s="62">
        <f>IF(T3=0,0,T3/TrNavi_act!T3*1000)</f>
        <v>3080.5188722895432</v>
      </c>
      <c r="U23" s="62">
        <f>IF(U3=0,0,U3/TrNavi_act!U3*1000)</f>
        <v>3181.5926272954757</v>
      </c>
      <c r="V23" s="62">
        <f>IF(V3=0,0,V3/TrNavi_act!V3*1000)</f>
        <v>3242.2807870812317</v>
      </c>
      <c r="W23" s="62">
        <f>IF(W3=0,0,W3/TrNavi_act!W3*1000)</f>
        <v>3302.8049155818717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3786.6965299771832</v>
      </c>
      <c r="H24" s="63">
        <f>IF(H4=0,0,H4/TrNavi_act!H4*1000)</f>
        <v>3832.077628403797</v>
      </c>
      <c r="I24" s="63">
        <f>IF(I4=0,0,I4/TrNavi_act!I4*1000)</f>
        <v>3873.4106443274723</v>
      </c>
      <c r="J24" s="63">
        <f>IF(J4=0,0,J4/TrNavi_act!J4*1000)</f>
        <v>3871.1705797570626</v>
      </c>
      <c r="K24" s="63">
        <f>IF(K4=0,0,K4/TrNavi_act!K4*1000)</f>
        <v>3837.5360217587609</v>
      </c>
      <c r="L24" s="63">
        <f>IF(L4=0,0,L4/TrNavi_act!L4*1000)</f>
        <v>4088.3418604376216</v>
      </c>
      <c r="M24" s="63">
        <f>IF(M4=0,0,M4/TrNavi_act!M4*1000)</f>
        <v>4348.5690110317855</v>
      </c>
      <c r="N24" s="63">
        <f>IF(N4=0,0,N4/TrNavi_act!N4*1000)</f>
        <v>3806.5313797588515</v>
      </c>
      <c r="O24" s="63">
        <f>IF(O4=0,0,O4/TrNavi_act!O4*1000)</f>
        <v>3219.3084653181077</v>
      </c>
      <c r="P24" s="63">
        <f>IF(P4=0,0,P4/TrNavi_act!P4*1000)</f>
        <v>3044.8800314489426</v>
      </c>
      <c r="Q24" s="63">
        <f>IF(Q4=0,0,Q4/TrNavi_act!Q4*1000)</f>
        <v>3122.2612841080995</v>
      </c>
      <c r="R24" s="63">
        <f>IF(R4=0,0,R4/TrNavi_act!R4*1000)</f>
        <v>3094.3359255865303</v>
      </c>
      <c r="S24" s="63">
        <f>IF(S4=0,0,S4/TrNavi_act!S4*1000)</f>
        <v>3146.9161351333405</v>
      </c>
      <c r="T24" s="63">
        <f>IF(T4=0,0,T4/TrNavi_act!T4*1000)</f>
        <v>3080.5188722895432</v>
      </c>
      <c r="U24" s="63">
        <f>IF(U4=0,0,U4/TrNavi_act!U4*1000)</f>
        <v>3181.5926272954757</v>
      </c>
      <c r="V24" s="63">
        <f>IF(V4=0,0,V4/TrNavi_act!V4*1000)</f>
        <v>3242.2807870812317</v>
      </c>
      <c r="W24" s="63">
        <f>IF(W4=0,0,W4/TrNavi_act!W4*1000)</f>
        <v>3302.8049155818717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25.219347840000001</v>
      </c>
      <c r="H3" s="54">
        <f t="shared" si="1"/>
        <v>28.405796039999998</v>
      </c>
      <c r="I3" s="54">
        <f t="shared" si="1"/>
        <v>31.591977480000004</v>
      </c>
      <c r="J3" s="54">
        <f t="shared" si="1"/>
        <v>31.501765080000002</v>
      </c>
      <c r="K3" s="54">
        <f t="shared" si="1"/>
        <v>28.586487599999998</v>
      </c>
      <c r="L3" s="54">
        <f t="shared" si="1"/>
        <v>53.896047840000016</v>
      </c>
      <c r="M3" s="54">
        <f t="shared" si="1"/>
        <v>50.890557959999995</v>
      </c>
      <c r="N3" s="54">
        <f t="shared" si="1"/>
        <v>44.427449159999988</v>
      </c>
      <c r="O3" s="54">
        <f t="shared" si="1"/>
        <v>35.049329639999996</v>
      </c>
      <c r="P3" s="54">
        <f t="shared" si="1"/>
        <v>35.049329639999996</v>
      </c>
      <c r="Q3" s="54">
        <f t="shared" si="1"/>
        <v>38.235511079999988</v>
      </c>
      <c r="R3" s="54">
        <f t="shared" si="1"/>
        <v>35.049329639999996</v>
      </c>
      <c r="S3" s="54">
        <f t="shared" si="1"/>
        <v>41.256532440000001</v>
      </c>
      <c r="T3" s="54">
        <f t="shared" si="1"/>
        <v>33.409242720000009</v>
      </c>
      <c r="U3" s="54">
        <f t="shared" si="1"/>
        <v>46.138547160000002</v>
      </c>
      <c r="V3" s="54">
        <f t="shared" si="1"/>
        <v>55.812916079999994</v>
      </c>
      <c r="W3" s="54">
        <f t="shared" ref="W3" si="2">SUM(W4:W5)</f>
        <v>67.134630600000008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25.219347840000001</v>
      </c>
      <c r="H4" s="56">
        <v>28.405796039999998</v>
      </c>
      <c r="I4" s="56">
        <v>31.591977480000004</v>
      </c>
      <c r="J4" s="56">
        <v>31.501765080000002</v>
      </c>
      <c r="K4" s="56">
        <v>28.586487599999998</v>
      </c>
      <c r="L4" s="56">
        <v>53.896047840000016</v>
      </c>
      <c r="M4" s="56">
        <v>50.890557959999995</v>
      </c>
      <c r="N4" s="56">
        <v>44.427449159999988</v>
      </c>
      <c r="O4" s="56">
        <v>35.049329639999996</v>
      </c>
      <c r="P4" s="56">
        <v>35.049329639999996</v>
      </c>
      <c r="Q4" s="56">
        <v>38.235511079999988</v>
      </c>
      <c r="R4" s="56">
        <v>35.049329639999996</v>
      </c>
      <c r="S4" s="56">
        <v>41.256532440000001</v>
      </c>
      <c r="T4" s="56">
        <v>33.409242720000009</v>
      </c>
      <c r="U4" s="56">
        <v>46.138547160000002</v>
      </c>
      <c r="V4" s="56">
        <v>55.812916079999994</v>
      </c>
      <c r="W4" s="56">
        <v>67.134630600000008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3.1519103259276773</v>
      </c>
      <c r="H9" s="79">
        <f>IF(H3=0,0,H3/TrNavi_ene!H3)</f>
        <v>3.1462800756685718</v>
      </c>
      <c r="I9" s="79">
        <f>IF(I3=0,0,I3/TrNavi_ene!I3)</f>
        <v>3.1418003325728558</v>
      </c>
      <c r="J9" s="79">
        <f>IF(J3=0,0,J3/TrNavi_ene!J3)</f>
        <v>3.1553042164859488</v>
      </c>
      <c r="K9" s="79">
        <f>IF(K3=0,0,K3/TrNavi_ene!K3)</f>
        <v>3.1168107361039499</v>
      </c>
      <c r="L9" s="79">
        <f>IF(L3=0,0,L3/TrNavi_ene!L3)</f>
        <v>3.1253822461628977</v>
      </c>
      <c r="M9" s="79">
        <f>IF(M3=0,0,M3/TrNavi_ene!M3)</f>
        <v>3.1091468222042451</v>
      </c>
      <c r="N9" s="79">
        <f>IF(N3=0,0,N3/TrNavi_ene!N3)</f>
        <v>3.1165216069074924</v>
      </c>
      <c r="O9" s="79">
        <f>IF(O3=0,0,O3/TrNavi_ene!O3)</f>
        <v>3.0964798483238511</v>
      </c>
      <c r="P9" s="79">
        <f>IF(P3=0,0,P3/TrNavi_ene!P3)</f>
        <v>3.0993286474543797</v>
      </c>
      <c r="Q9" s="79">
        <f>IF(Q3=0,0,Q3/TrNavi_ene!Q3)</f>
        <v>3.1002774406018188</v>
      </c>
      <c r="R9" s="79">
        <f>IF(R3=0,0,R3/TrNavi_ene!R3)</f>
        <v>3.1024188000000001</v>
      </c>
      <c r="S9" s="79">
        <f>IF(S3=0,0,S3/TrNavi_ene!S3)</f>
        <v>3.0861927451241709</v>
      </c>
      <c r="T9" s="79">
        <f>IF(T3=0,0,T3/TrNavi_ene!T3)</f>
        <v>3.0960118950884459</v>
      </c>
      <c r="U9" s="79">
        <f>IF(U3=0,0,U3/TrNavi_ene!U3)</f>
        <v>3.0973332456191596</v>
      </c>
      <c r="V9" s="79">
        <f>IF(V3=0,0,V3/TrNavi_ene!V3)</f>
        <v>3.0999623384500765</v>
      </c>
      <c r="W9" s="79">
        <f>IF(W3=0,0,W3/TrNavi_ene!W3)</f>
        <v>3.0999771857066292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3.1519103259276773</v>
      </c>
      <c r="H10" s="80">
        <f>IF(H4=0,0,H4/TrNavi_ene!H4)</f>
        <v>3.1462800756685718</v>
      </c>
      <c r="I10" s="80">
        <f>IF(I4=0,0,I4/TrNavi_ene!I4)</f>
        <v>3.1418003325728558</v>
      </c>
      <c r="J10" s="80">
        <f>IF(J4=0,0,J4/TrNavi_ene!J4)</f>
        <v>3.1553042164859488</v>
      </c>
      <c r="K10" s="80">
        <f>IF(K4=0,0,K4/TrNavi_ene!K4)</f>
        <v>3.1168107361039499</v>
      </c>
      <c r="L10" s="80">
        <f>IF(L4=0,0,L4/TrNavi_ene!L4)</f>
        <v>3.1253822461628977</v>
      </c>
      <c r="M10" s="80">
        <f>IF(M4=0,0,M4/TrNavi_ene!M4)</f>
        <v>3.1091468222042451</v>
      </c>
      <c r="N10" s="80">
        <f>IF(N4=0,0,N4/TrNavi_ene!N4)</f>
        <v>3.1165216069074924</v>
      </c>
      <c r="O10" s="80">
        <f>IF(O4=0,0,O4/TrNavi_ene!O4)</f>
        <v>3.0964798483238511</v>
      </c>
      <c r="P10" s="80">
        <f>IF(P4=0,0,P4/TrNavi_ene!P4)</f>
        <v>3.0993286474543797</v>
      </c>
      <c r="Q10" s="80">
        <f>IF(Q4=0,0,Q4/TrNavi_ene!Q4)</f>
        <v>3.1002774406018188</v>
      </c>
      <c r="R10" s="80">
        <f>IF(R4=0,0,R4/TrNavi_ene!R4)</f>
        <v>3.1024188000000001</v>
      </c>
      <c r="S10" s="80">
        <f>IF(S4=0,0,S4/TrNavi_ene!S4)</f>
        <v>3.0861927451241709</v>
      </c>
      <c r="T10" s="80">
        <f>IF(T4=0,0,T4/TrNavi_ene!T4)</f>
        <v>3.0960118950884459</v>
      </c>
      <c r="U10" s="80">
        <f>IF(U4=0,0,U4/TrNavi_ene!U4)</f>
        <v>3.0973332456191596</v>
      </c>
      <c r="V10" s="80">
        <f>IF(V4=0,0,V4/TrNavi_ene!V4)</f>
        <v>3.0999623384500765</v>
      </c>
      <c r="W10" s="80">
        <f>IF(W4=0,0,W4/TrNavi_ene!W4)</f>
        <v>3.0999771857066292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5043869.568</v>
      </c>
      <c r="H13" s="54">
        <f>IF(H3=0,0,H3/TrNavi_act!H7*1000)</f>
        <v>5681159.2079999987</v>
      </c>
      <c r="I13" s="54">
        <f>IF(I3=0,0,I3/TrNavi_act!I7*1000)</f>
        <v>5265329.58</v>
      </c>
      <c r="J13" s="54">
        <f>IF(J3=0,0,J3/TrNavi_act!J7*1000)</f>
        <v>6300353.0159999998</v>
      </c>
      <c r="K13" s="54">
        <f>IF(K3=0,0,K3/TrNavi_act!K7*1000)</f>
        <v>5717297.5199999996</v>
      </c>
      <c r="L13" s="54">
        <f>IF(L3=0,0,L3/TrNavi_act!L7*1000)</f>
        <v>6737005.9800000014</v>
      </c>
      <c r="M13" s="54">
        <f>IF(M3=0,0,M3/TrNavi_act!M7*1000)</f>
        <v>6361319.7449999992</v>
      </c>
      <c r="N13" s="54">
        <f>IF(N3=0,0,N3/TrNavi_act!N7*1000)</f>
        <v>6346778.4514285699</v>
      </c>
      <c r="O13" s="54">
        <f>IF(O3=0,0,O3/TrNavi_act!O7*1000)</f>
        <v>3894369.96</v>
      </c>
      <c r="P13" s="54">
        <f>IF(P3=0,0,P3/TrNavi_act!P7*1000)</f>
        <v>5841554.9399999995</v>
      </c>
      <c r="Q13" s="54">
        <f>IF(Q3=0,0,Q3/TrNavi_act!Q7*1000)</f>
        <v>5462215.8685714267</v>
      </c>
      <c r="R13" s="54">
        <f>IF(R3=0,0,R3/TrNavi_act!R7*1000)</f>
        <v>5007047.0914285704</v>
      </c>
      <c r="S13" s="54">
        <f>IF(S3=0,0,S3/TrNavi_act!S7*1000)</f>
        <v>5157066.5550000006</v>
      </c>
      <c r="T13" s="54">
        <f>IF(T3=0,0,T3/TrNavi_act!T7*1000)</f>
        <v>4772748.9600000009</v>
      </c>
      <c r="U13" s="54">
        <f>IF(U3=0,0,U3/TrNavi_act!U7*1000)</f>
        <v>5126505.24</v>
      </c>
      <c r="V13" s="54">
        <f>IF(V3=0,0,V3/TrNavi_act!V7*1000)</f>
        <v>5581291.6079999991</v>
      </c>
      <c r="W13" s="54">
        <f>IF(W3=0,0,W3/TrNavi_act!W7*1000)</f>
        <v>5594552.5500000007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5043869.568</v>
      </c>
      <c r="H14" s="56">
        <f>IF(H4=0,0,H4/TrNavi_act!H8*1000)</f>
        <v>5681159.2079999987</v>
      </c>
      <c r="I14" s="56">
        <f>IF(I4=0,0,I4/TrNavi_act!I8*1000)</f>
        <v>5265329.58</v>
      </c>
      <c r="J14" s="56">
        <f>IF(J4=0,0,J4/TrNavi_act!J8*1000)</f>
        <v>6300353.0159999998</v>
      </c>
      <c r="K14" s="56">
        <f>IF(K4=0,0,K4/TrNavi_act!K8*1000)</f>
        <v>5717297.5199999996</v>
      </c>
      <c r="L14" s="56">
        <f>IF(L4=0,0,L4/TrNavi_act!L8*1000)</f>
        <v>6737005.9800000014</v>
      </c>
      <c r="M14" s="56">
        <f>IF(M4=0,0,M4/TrNavi_act!M8*1000)</f>
        <v>6361319.7449999992</v>
      </c>
      <c r="N14" s="56">
        <f>IF(N4=0,0,N4/TrNavi_act!N8*1000)</f>
        <v>6346778.4514285699</v>
      </c>
      <c r="O14" s="56">
        <f>IF(O4=0,0,O4/TrNavi_act!O8*1000)</f>
        <v>3894369.96</v>
      </c>
      <c r="P14" s="56">
        <f>IF(P4=0,0,P4/TrNavi_act!P8*1000)</f>
        <v>5841554.9399999995</v>
      </c>
      <c r="Q14" s="56">
        <f>IF(Q4=0,0,Q4/TrNavi_act!Q8*1000)</f>
        <v>5462215.8685714267</v>
      </c>
      <c r="R14" s="56">
        <f>IF(R4=0,0,R4/TrNavi_act!R8*1000)</f>
        <v>5007047.0914285704</v>
      </c>
      <c r="S14" s="56">
        <f>IF(S4=0,0,S4/TrNavi_act!S8*1000)</f>
        <v>5157066.5550000006</v>
      </c>
      <c r="T14" s="56">
        <f>IF(T4=0,0,T4/TrNavi_act!T8*1000)</f>
        <v>4772748.9600000009</v>
      </c>
      <c r="U14" s="56">
        <f>IF(U4=0,0,U4/TrNavi_act!U8*1000)</f>
        <v>5126505.24</v>
      </c>
      <c r="V14" s="56">
        <f>IF(V4=0,0,V4/TrNavi_act!V8*1000)</f>
        <v>5581291.6079999991</v>
      </c>
      <c r="W14" s="56">
        <f>IF(W4=0,0,W4/TrNavi_act!W8*1000)</f>
        <v>5594552.5500000007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11935.32789398959</v>
      </c>
      <c r="H17" s="62">
        <f>IF(H3=0,0,H3/TrNavi_act!H3*1000)</f>
        <v>12056.789490662139</v>
      </c>
      <c r="I17" s="62">
        <f>IF(I3=0,0,I3/TrNavi_act!I3*1000)</f>
        <v>12169.482850539292</v>
      </c>
      <c r="J17" s="62">
        <f>IF(J3=0,0,J3/TrNavi_act!J3*1000)</f>
        <v>12214.720853043815</v>
      </c>
      <c r="K17" s="62">
        <f>IF(K3=0,0,K3/TrNavi_act!K3*1000)</f>
        <v>11960.873472803347</v>
      </c>
      <c r="L17" s="62">
        <f>IF(L3=0,0,L3/TrNavi_act!L3*1000)</f>
        <v>12777.631066856333</v>
      </c>
      <c r="M17" s="62">
        <f>IF(M3=0,0,M3/TrNavi_act!M3*1000)</f>
        <v>13520.339521785334</v>
      </c>
      <c r="N17" s="62">
        <f>IF(N3=0,0,N3/TrNavi_act!N3*1000)</f>
        <v>11863.137292389849</v>
      </c>
      <c r="O17" s="62">
        <f>IF(O3=0,0,O3/TrNavi_act!O3*1000)</f>
        <v>9968.5237883959035</v>
      </c>
      <c r="P17" s="62">
        <f>IF(P3=0,0,P3/TrNavi_act!P3*1000)</f>
        <v>9437.0839095315023</v>
      </c>
      <c r="Q17" s="62">
        <f>IF(Q3=0,0,Q3/TrNavi_act!Q3*1000)</f>
        <v>9679.8762227848056</v>
      </c>
      <c r="R17" s="62">
        <f>IF(R3=0,0,R3/TrNavi_act!R3*1000)</f>
        <v>9599.9259490550521</v>
      </c>
      <c r="S17" s="62">
        <f>IF(S3=0,0,S3/TrNavi_act!S3*1000)</f>
        <v>9711.9897457627103</v>
      </c>
      <c r="T17" s="62">
        <f>IF(T3=0,0,T3/TrNavi_act!T3*1000)</f>
        <v>9537.3230716528706</v>
      </c>
      <c r="U17" s="62">
        <f>IF(U3=0,0,U3/TrNavi_act!U3*1000)</f>
        <v>9854.452618539086</v>
      </c>
      <c r="V17" s="62">
        <f>IF(V3=0,0,V3/TrNavi_act!V3*1000)</f>
        <v>10050.948330632091</v>
      </c>
      <c r="W17" s="62">
        <f>IF(W3=0,0,W3/TrNavi_act!W3*1000)</f>
        <v>10238.61988714351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11935.32789398959</v>
      </c>
      <c r="H18" s="63">
        <f>IF(H4=0,0,H4/TrNavi_act!H4*1000)</f>
        <v>12056.789490662139</v>
      </c>
      <c r="I18" s="63">
        <f>IF(I4=0,0,I4/TrNavi_act!I4*1000)</f>
        <v>12169.482850539292</v>
      </c>
      <c r="J18" s="63">
        <f>IF(J4=0,0,J4/TrNavi_act!J4*1000)</f>
        <v>12214.720853043815</v>
      </c>
      <c r="K18" s="63">
        <f>IF(K4=0,0,K4/TrNavi_act!K4*1000)</f>
        <v>11960.873472803347</v>
      </c>
      <c r="L18" s="63">
        <f>IF(L4=0,0,L4/TrNavi_act!L4*1000)</f>
        <v>12777.631066856333</v>
      </c>
      <c r="M18" s="63">
        <f>IF(M4=0,0,M4/TrNavi_act!M4*1000)</f>
        <v>13520.339521785334</v>
      </c>
      <c r="N18" s="63">
        <f>IF(N4=0,0,N4/TrNavi_act!N4*1000)</f>
        <v>11863.137292389849</v>
      </c>
      <c r="O18" s="63">
        <f>IF(O4=0,0,O4/TrNavi_act!O4*1000)</f>
        <v>9968.5237883959035</v>
      </c>
      <c r="P18" s="63">
        <f>IF(P4=0,0,P4/TrNavi_act!P4*1000)</f>
        <v>9437.0839095315023</v>
      </c>
      <c r="Q18" s="63">
        <f>IF(Q4=0,0,Q4/TrNavi_act!Q4*1000)</f>
        <v>9679.8762227848056</v>
      </c>
      <c r="R18" s="63">
        <f>IF(R4=0,0,R4/TrNavi_act!R4*1000)</f>
        <v>9599.9259490550521</v>
      </c>
      <c r="S18" s="63">
        <f>IF(S4=0,0,S4/TrNavi_act!S4*1000)</f>
        <v>9711.9897457627103</v>
      </c>
      <c r="T18" s="63">
        <f>IF(T4=0,0,T4/TrNavi_act!T4*1000)</f>
        <v>9537.3230716528706</v>
      </c>
      <c r="U18" s="63">
        <f>IF(U4=0,0,U4/TrNavi_act!U4*1000)</f>
        <v>9854.452618539086</v>
      </c>
      <c r="V18" s="63">
        <f>IF(V4=0,0,V4/TrNavi_act!V4*1000)</f>
        <v>10050.948330632091</v>
      </c>
      <c r="W18" s="63">
        <f>IF(W4=0,0,W4/TrNavi_act!W4*1000)</f>
        <v>10238.61988714351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3259.7195629999997</v>
      </c>
      <c r="C3" s="54">
        <f t="shared" si="0"/>
        <v>3524.284983</v>
      </c>
      <c r="D3" s="54">
        <f t="shared" si="0"/>
        <v>3627.9979960000001</v>
      </c>
      <c r="E3" s="54">
        <f t="shared" si="0"/>
        <v>4480.6051710000002</v>
      </c>
      <c r="F3" s="54">
        <f t="shared" si="0"/>
        <v>5813.5357339999991</v>
      </c>
      <c r="G3" s="54">
        <f t="shared" si="0"/>
        <v>4202.0340670000005</v>
      </c>
      <c r="H3" s="54">
        <f t="shared" si="0"/>
        <v>4552.4063559999995</v>
      </c>
      <c r="I3" s="54">
        <f t="shared" si="0"/>
        <v>4588.8240889999997</v>
      </c>
      <c r="J3" s="54">
        <f t="shared" si="0"/>
        <v>4559.9663149999997</v>
      </c>
      <c r="K3" s="54">
        <f t="shared" si="0"/>
        <v>5021.8026890000001</v>
      </c>
      <c r="L3" s="54">
        <f t="shared" si="0"/>
        <v>4713.7001720000007</v>
      </c>
      <c r="M3" s="54">
        <f t="shared" si="0"/>
        <v>4301.350735</v>
      </c>
      <c r="N3" s="54">
        <f t="shared" si="0"/>
        <v>4149.4414569999999</v>
      </c>
      <c r="O3" s="54">
        <f t="shared" si="0"/>
        <v>4778.8879159999997</v>
      </c>
      <c r="P3" s="54">
        <f t="shared" si="0"/>
        <v>5638.1130699999994</v>
      </c>
      <c r="Q3" s="54">
        <f t="shared" si="0"/>
        <v>4301.8621290000001</v>
      </c>
      <c r="R3" s="54">
        <f t="shared" ref="R3:W3" si="1">SUM(R4:R5)</f>
        <v>4131.8831330000003</v>
      </c>
      <c r="S3" s="54">
        <f t="shared" si="1"/>
        <v>5188.1001259999994</v>
      </c>
      <c r="T3" s="54">
        <f t="shared" si="1"/>
        <v>6249.2826379999997</v>
      </c>
      <c r="U3" s="54">
        <f t="shared" si="1"/>
        <v>7524.9993930000001</v>
      </c>
      <c r="V3" s="54">
        <f t="shared" si="1"/>
        <v>4809.8320970000004</v>
      </c>
      <c r="W3" s="54">
        <f t="shared" si="1"/>
        <v>3584.0949070000001</v>
      </c>
      <c r="DA3" s="172" t="s">
        <v>387</v>
      </c>
    </row>
    <row r="4" spans="1:105" ht="11.45" customHeight="1" x14ac:dyDescent="0.25">
      <c r="A4" s="55" t="s">
        <v>170</v>
      </c>
      <c r="B4" s="56">
        <v>1522.218494</v>
      </c>
      <c r="C4" s="56">
        <v>1628.68119</v>
      </c>
      <c r="D4" s="56">
        <v>1674.852026</v>
      </c>
      <c r="E4" s="56">
        <v>2071.8792210000001</v>
      </c>
      <c r="F4" s="56">
        <v>1809.0398349999998</v>
      </c>
      <c r="G4" s="56">
        <v>1927.44812</v>
      </c>
      <c r="H4" s="56">
        <v>1994.113977</v>
      </c>
      <c r="I4" s="56">
        <v>1928.9974400000001</v>
      </c>
      <c r="J4" s="56">
        <v>2327.0264809999999</v>
      </c>
      <c r="K4" s="56">
        <v>2375.707782</v>
      </c>
      <c r="L4" s="56">
        <v>2237.3457050000002</v>
      </c>
      <c r="M4" s="56">
        <v>1792.064018</v>
      </c>
      <c r="N4" s="56">
        <v>2136.7020390000002</v>
      </c>
      <c r="O4" s="56">
        <v>2365.616974</v>
      </c>
      <c r="P4" s="56">
        <v>2175.269104</v>
      </c>
      <c r="Q4" s="56">
        <v>2256.7434910000002</v>
      </c>
      <c r="R4" s="56">
        <v>1738.402855</v>
      </c>
      <c r="S4" s="56">
        <v>2101.2633639999999</v>
      </c>
      <c r="T4" s="56">
        <v>2909.6905269999997</v>
      </c>
      <c r="U4" s="56">
        <v>2551.9599009999997</v>
      </c>
      <c r="V4" s="56">
        <v>2808.3685100000002</v>
      </c>
      <c r="W4" s="56">
        <v>1924.0334620000001</v>
      </c>
      <c r="DA4" s="181" t="s">
        <v>388</v>
      </c>
    </row>
    <row r="5" spans="1:105" ht="11.45" customHeight="1" x14ac:dyDescent="0.25">
      <c r="A5" s="57" t="s">
        <v>171</v>
      </c>
      <c r="B5" s="58">
        <v>1737.5010689999999</v>
      </c>
      <c r="C5" s="58">
        <v>1895.603793</v>
      </c>
      <c r="D5" s="58">
        <v>1953.14597</v>
      </c>
      <c r="E5" s="58">
        <v>2408.72595</v>
      </c>
      <c r="F5" s="58">
        <v>4004.4958989999996</v>
      </c>
      <c r="G5" s="58">
        <v>2274.585947</v>
      </c>
      <c r="H5" s="58">
        <v>2558.292379</v>
      </c>
      <c r="I5" s="58">
        <v>2659.8266490000001</v>
      </c>
      <c r="J5" s="58">
        <v>2232.9398340000002</v>
      </c>
      <c r="K5" s="58">
        <v>2646.0949070000001</v>
      </c>
      <c r="L5" s="58">
        <v>2476.3544670000001</v>
      </c>
      <c r="M5" s="58">
        <v>2509.286717</v>
      </c>
      <c r="N5" s="58">
        <v>2012.7394179999999</v>
      </c>
      <c r="O5" s="58">
        <v>2413.2709420000001</v>
      </c>
      <c r="P5" s="58">
        <v>3462.8439659999999</v>
      </c>
      <c r="Q5" s="58">
        <v>2045.1186379999999</v>
      </c>
      <c r="R5" s="58">
        <v>2393.480278</v>
      </c>
      <c r="S5" s="58">
        <v>3086.8367619999999</v>
      </c>
      <c r="T5" s="58">
        <v>3339.5921109999999</v>
      </c>
      <c r="U5" s="58">
        <v>4973.0394919999999</v>
      </c>
      <c r="V5" s="58">
        <v>2001.463587</v>
      </c>
      <c r="W5" s="58">
        <v>1660.061445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0.28762100000000002</v>
      </c>
      <c r="C7" s="59">
        <f t="shared" si="2"/>
        <v>0.30401100000000003</v>
      </c>
      <c r="D7" s="59">
        <f t="shared" si="2"/>
        <v>0.308836</v>
      </c>
      <c r="E7" s="59">
        <f t="shared" si="2"/>
        <v>0.38000099999999992</v>
      </c>
      <c r="F7" s="59">
        <f t="shared" si="2"/>
        <v>0.41506299999999996</v>
      </c>
      <c r="G7" s="59">
        <f t="shared" si="2"/>
        <v>0.32591999999999999</v>
      </c>
      <c r="H7" s="59">
        <f t="shared" si="2"/>
        <v>0.31845899999999999</v>
      </c>
      <c r="I7" s="59">
        <f t="shared" si="2"/>
        <v>0.33721000000000001</v>
      </c>
      <c r="J7" s="59">
        <f t="shared" si="2"/>
        <v>0.50445200000000001</v>
      </c>
      <c r="K7" s="59">
        <f t="shared" si="2"/>
        <v>0.49823700000000004</v>
      </c>
      <c r="L7" s="59">
        <f t="shared" si="2"/>
        <v>0.48174100000000003</v>
      </c>
      <c r="M7" s="59">
        <f t="shared" si="2"/>
        <v>0.38840799999999998</v>
      </c>
      <c r="N7" s="59">
        <f t="shared" si="2"/>
        <v>0.40645699999999996</v>
      </c>
      <c r="O7" s="59">
        <f t="shared" si="2"/>
        <v>0.431504</v>
      </c>
      <c r="P7" s="59">
        <f t="shared" si="2"/>
        <v>0.43492399999999998</v>
      </c>
      <c r="Q7" s="59">
        <f t="shared" si="2"/>
        <v>0.39446500000000001</v>
      </c>
      <c r="R7" s="59">
        <f t="shared" si="2"/>
        <v>0.30267100000000002</v>
      </c>
      <c r="S7" s="59">
        <f t="shared" si="2"/>
        <v>0.36644600000000005</v>
      </c>
      <c r="T7" s="59">
        <f t="shared" si="2"/>
        <v>0.50138700000000003</v>
      </c>
      <c r="U7" s="59">
        <f t="shared" si="2"/>
        <v>0.53342500000000004</v>
      </c>
      <c r="V7" s="59">
        <f t="shared" si="2"/>
        <v>0.46524099999999996</v>
      </c>
      <c r="W7" s="59">
        <f t="shared" si="2"/>
        <v>0.33704200000000001</v>
      </c>
      <c r="DA7" s="172" t="s">
        <v>961</v>
      </c>
    </row>
    <row r="8" spans="1:105" ht="11.45" customHeight="1" x14ac:dyDescent="0.25">
      <c r="A8" s="55" t="s">
        <v>170</v>
      </c>
      <c r="B8" s="60">
        <v>0.19423499999999999</v>
      </c>
      <c r="C8" s="60">
        <v>0.20510700000000001</v>
      </c>
      <c r="D8" s="60">
        <v>0.20763999999999999</v>
      </c>
      <c r="E8" s="60">
        <v>0.25484199999999996</v>
      </c>
      <c r="F8" s="60">
        <v>0.225077</v>
      </c>
      <c r="G8" s="60">
        <v>0.219332</v>
      </c>
      <c r="H8" s="60">
        <v>0.19644499999999998</v>
      </c>
      <c r="I8" s="60">
        <v>0.19136699999999998</v>
      </c>
      <c r="J8" s="60">
        <v>0.37764000000000003</v>
      </c>
      <c r="K8" s="60">
        <v>0.36852000000000001</v>
      </c>
      <c r="L8" s="60">
        <v>0.35763700000000004</v>
      </c>
      <c r="M8" s="60">
        <v>0.28047499999999997</v>
      </c>
      <c r="N8" s="60">
        <v>0.32719599999999999</v>
      </c>
      <c r="O8" s="60">
        <v>0.348663</v>
      </c>
      <c r="P8" s="60">
        <v>0.321438</v>
      </c>
      <c r="Q8" s="60">
        <v>0.321992</v>
      </c>
      <c r="R8" s="60">
        <v>0.23088900000000001</v>
      </c>
      <c r="S8" s="60">
        <v>0.27331100000000003</v>
      </c>
      <c r="T8" s="60">
        <v>0.39139500000000005</v>
      </c>
      <c r="U8" s="60">
        <v>0.379135</v>
      </c>
      <c r="V8" s="60">
        <v>0.39126699999999998</v>
      </c>
      <c r="W8" s="60">
        <v>0.27832299999999999</v>
      </c>
      <c r="DA8" s="181" t="s">
        <v>962</v>
      </c>
    </row>
    <row r="9" spans="1:105" ht="11.45" customHeight="1" x14ac:dyDescent="0.25">
      <c r="A9" s="57" t="s">
        <v>171</v>
      </c>
      <c r="B9" s="61">
        <v>9.3385999999999997E-2</v>
      </c>
      <c r="C9" s="61">
        <v>9.8903999999999992E-2</v>
      </c>
      <c r="D9" s="61">
        <v>0.10119600000000001</v>
      </c>
      <c r="E9" s="61">
        <v>0.12515899999999999</v>
      </c>
      <c r="F9" s="61">
        <v>0.18998599999999999</v>
      </c>
      <c r="G9" s="61">
        <v>0.106588</v>
      </c>
      <c r="H9" s="61">
        <v>0.12201400000000001</v>
      </c>
      <c r="I9" s="61">
        <v>0.145843</v>
      </c>
      <c r="J9" s="61">
        <v>0.12681200000000001</v>
      </c>
      <c r="K9" s="61">
        <v>0.129717</v>
      </c>
      <c r="L9" s="61">
        <v>0.12410399999999999</v>
      </c>
      <c r="M9" s="61">
        <v>0.107933</v>
      </c>
      <c r="N9" s="61">
        <v>7.9260999999999998E-2</v>
      </c>
      <c r="O9" s="61">
        <v>8.2840999999999998E-2</v>
      </c>
      <c r="P9" s="61">
        <v>0.113486</v>
      </c>
      <c r="Q9" s="61">
        <v>7.2472999999999996E-2</v>
      </c>
      <c r="R9" s="61">
        <v>7.1781999999999999E-2</v>
      </c>
      <c r="S9" s="61">
        <v>9.3134999999999996E-2</v>
      </c>
      <c r="T9" s="61">
        <v>0.10999200000000001</v>
      </c>
      <c r="U9" s="61">
        <v>0.15428999999999998</v>
      </c>
      <c r="V9" s="61">
        <v>7.3973999999999998E-2</v>
      </c>
      <c r="W9" s="61">
        <v>5.8719E-2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11333.385124869184</v>
      </c>
      <c r="C13" s="62">
        <f t="shared" si="3"/>
        <v>11592.62323731707</v>
      </c>
      <c r="D13" s="62">
        <f t="shared" si="3"/>
        <v>11747.328666347188</v>
      </c>
      <c r="E13" s="62">
        <f t="shared" si="3"/>
        <v>11791.03521043366</v>
      </c>
      <c r="F13" s="62">
        <f t="shared" si="3"/>
        <v>14006.393569169017</v>
      </c>
      <c r="G13" s="62">
        <f t="shared" si="3"/>
        <v>12892.838939003439</v>
      </c>
      <c r="H13" s="62">
        <f t="shared" si="3"/>
        <v>14295.109750391728</v>
      </c>
      <c r="I13" s="62">
        <f t="shared" si="3"/>
        <v>13608.20879867145</v>
      </c>
      <c r="J13" s="62">
        <f t="shared" si="3"/>
        <v>9039.4454080863979</v>
      </c>
      <c r="K13" s="62">
        <f t="shared" si="3"/>
        <v>10079.144441300023</v>
      </c>
      <c r="L13" s="62">
        <f t="shared" si="3"/>
        <v>9784.7187015429463</v>
      </c>
      <c r="M13" s="62">
        <f t="shared" si="3"/>
        <v>11074.310351486067</v>
      </c>
      <c r="N13" s="62">
        <f t="shared" si="3"/>
        <v>10208.80796000561</v>
      </c>
      <c r="O13" s="62">
        <f t="shared" si="3"/>
        <v>11074.956236790389</v>
      </c>
      <c r="P13" s="62">
        <f t="shared" si="3"/>
        <v>12963.444348897738</v>
      </c>
      <c r="Q13" s="62">
        <f t="shared" si="3"/>
        <v>10905.561023157949</v>
      </c>
      <c r="R13" s="62">
        <f t="shared" si="3"/>
        <v>13651.400804834291</v>
      </c>
      <c r="S13" s="62">
        <f t="shared" si="3"/>
        <v>14157.884452279459</v>
      </c>
      <c r="T13" s="62">
        <f t="shared" si="3"/>
        <v>12463.990167275975</v>
      </c>
      <c r="U13" s="62">
        <f t="shared" si="3"/>
        <v>14106.949229976097</v>
      </c>
      <c r="V13" s="62">
        <f t="shared" si="3"/>
        <v>10338.366775499151</v>
      </c>
      <c r="W13" s="62">
        <f t="shared" si="3"/>
        <v>10633.971157897235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7836.9938167683476</v>
      </c>
      <c r="C14" s="63">
        <f t="shared" si="3"/>
        <v>7940.6416650821275</v>
      </c>
      <c r="D14" s="63">
        <f t="shared" si="3"/>
        <v>8066.1338181467927</v>
      </c>
      <c r="E14" s="63">
        <f t="shared" si="3"/>
        <v>8130.0539981635702</v>
      </c>
      <c r="F14" s="63">
        <f t="shared" si="3"/>
        <v>8037.4264585008677</v>
      </c>
      <c r="G14" s="63">
        <f t="shared" si="3"/>
        <v>8787.8108073605308</v>
      </c>
      <c r="H14" s="63">
        <f t="shared" si="3"/>
        <v>10151.003980757974</v>
      </c>
      <c r="I14" s="63">
        <f t="shared" si="3"/>
        <v>10080.094478149316</v>
      </c>
      <c r="J14" s="63">
        <f t="shared" si="3"/>
        <v>6162.0233052642716</v>
      </c>
      <c r="K14" s="63">
        <f t="shared" si="3"/>
        <v>6446.6183165092798</v>
      </c>
      <c r="L14" s="63">
        <f t="shared" si="3"/>
        <v>6255.9122937503671</v>
      </c>
      <c r="M14" s="63">
        <f t="shared" si="3"/>
        <v>6389.3894928246727</v>
      </c>
      <c r="N14" s="63">
        <f t="shared" si="3"/>
        <v>6530.3427884203975</v>
      </c>
      <c r="O14" s="63">
        <f t="shared" si="3"/>
        <v>6784.8236664056694</v>
      </c>
      <c r="P14" s="63">
        <f t="shared" si="3"/>
        <v>6767.3053714868811</v>
      </c>
      <c r="Q14" s="63">
        <f t="shared" si="3"/>
        <v>7008.6942874357128</v>
      </c>
      <c r="R14" s="63">
        <f t="shared" si="3"/>
        <v>7529.1713983775753</v>
      </c>
      <c r="S14" s="63">
        <f t="shared" si="3"/>
        <v>7688.1770730047447</v>
      </c>
      <c r="T14" s="63">
        <f t="shared" si="3"/>
        <v>7434.1535456508118</v>
      </c>
      <c r="U14" s="63">
        <f t="shared" si="3"/>
        <v>6731.0058448837481</v>
      </c>
      <c r="V14" s="63">
        <f t="shared" si="3"/>
        <v>7177.6268123813161</v>
      </c>
      <c r="W14" s="63">
        <f t="shared" si="3"/>
        <v>6912.9517215609212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18605.58401687619</v>
      </c>
      <c r="C15" s="64">
        <f t="shared" si="3"/>
        <v>19166.098368114537</v>
      </c>
      <c r="D15" s="64">
        <f t="shared" si="3"/>
        <v>19300.624234159452</v>
      </c>
      <c r="E15" s="64">
        <f t="shared" si="3"/>
        <v>19245.327543364841</v>
      </c>
      <c r="F15" s="64">
        <f t="shared" si="3"/>
        <v>21077.847309801775</v>
      </c>
      <c r="G15" s="64">
        <f t="shared" si="3"/>
        <v>21339.981489473488</v>
      </c>
      <c r="H15" s="64">
        <f t="shared" si="3"/>
        <v>20967.20359139115</v>
      </c>
      <c r="I15" s="64">
        <f t="shared" si="3"/>
        <v>18237.602414925641</v>
      </c>
      <c r="J15" s="64">
        <f t="shared" si="3"/>
        <v>17608.269201652842</v>
      </c>
      <c r="K15" s="64">
        <f t="shared" si="3"/>
        <v>20398.983225020624</v>
      </c>
      <c r="L15" s="64">
        <f t="shared" si="3"/>
        <v>19953.865040611101</v>
      </c>
      <c r="M15" s="64">
        <f t="shared" si="3"/>
        <v>23248.558985667034</v>
      </c>
      <c r="N15" s="64">
        <f t="shared" si="3"/>
        <v>25393.818119882413</v>
      </c>
      <c r="O15" s="64">
        <f t="shared" si="3"/>
        <v>29131.359375188615</v>
      </c>
      <c r="P15" s="64">
        <f t="shared" si="3"/>
        <v>30513.402234636869</v>
      </c>
      <c r="Q15" s="64">
        <f t="shared" si="3"/>
        <v>28219.042098436661</v>
      </c>
      <c r="R15" s="64">
        <f t="shared" si="3"/>
        <v>33343.739071076314</v>
      </c>
      <c r="S15" s="64">
        <f t="shared" si="3"/>
        <v>33143.681344285178</v>
      </c>
      <c r="T15" s="64">
        <f t="shared" si="3"/>
        <v>30362.13643719543</v>
      </c>
      <c r="U15" s="64">
        <f t="shared" si="3"/>
        <v>32231.768047183876</v>
      </c>
      <c r="V15" s="64">
        <f t="shared" si="3"/>
        <v>27056.311501338307</v>
      </c>
      <c r="W15" s="64">
        <f t="shared" si="3"/>
        <v>28271.282634241048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0.46697835951233335</v>
      </c>
      <c r="C18" s="66">
        <f t="shared" si="4"/>
        <v>0.46213095645108904</v>
      </c>
      <c r="D18" s="66">
        <f t="shared" si="4"/>
        <v>0.46164634816407984</v>
      </c>
      <c r="E18" s="66">
        <f t="shared" si="4"/>
        <v>0.46241057668055796</v>
      </c>
      <c r="F18" s="66">
        <f t="shared" si="4"/>
        <v>0.31117721087013794</v>
      </c>
      <c r="G18" s="66">
        <f t="shared" si="4"/>
        <v>0.45869407274369911</v>
      </c>
      <c r="H18" s="66">
        <f t="shared" si="4"/>
        <v>0.43803514472555583</v>
      </c>
      <c r="I18" s="66">
        <f t="shared" si="4"/>
        <v>0.42036857429859964</v>
      </c>
      <c r="J18" s="66">
        <f t="shared" si="4"/>
        <v>0.51031659452072076</v>
      </c>
      <c r="K18" s="66">
        <f t="shared" si="4"/>
        <v>0.47307867893811628</v>
      </c>
      <c r="L18" s="66">
        <f t="shared" si="4"/>
        <v>0.47464743690957012</v>
      </c>
      <c r="M18" s="66">
        <f t="shared" si="4"/>
        <v>0.41662820086211827</v>
      </c>
      <c r="N18" s="66">
        <f t="shared" si="4"/>
        <v>0.5149372659289938</v>
      </c>
      <c r="O18" s="66">
        <f t="shared" si="4"/>
        <v>0.49501411533000689</v>
      </c>
      <c r="P18" s="66">
        <f t="shared" si="4"/>
        <v>0.38581509043769502</v>
      </c>
      <c r="Q18" s="66">
        <f t="shared" si="4"/>
        <v>0.52459688928352455</v>
      </c>
      <c r="R18" s="66">
        <f t="shared" si="4"/>
        <v>0.42072895070916805</v>
      </c>
      <c r="S18" s="66">
        <f t="shared" si="4"/>
        <v>0.4050159620994177</v>
      </c>
      <c r="T18" s="66">
        <f t="shared" si="4"/>
        <v>0.46560392537009782</v>
      </c>
      <c r="U18" s="66">
        <f t="shared" si="4"/>
        <v>0.33913091120962963</v>
      </c>
      <c r="V18" s="66">
        <f t="shared" si="4"/>
        <v>0.58388077865579602</v>
      </c>
      <c r="W18" s="66">
        <f t="shared" si="4"/>
        <v>0.53682547809831194</v>
      </c>
      <c r="DA18" s="181"/>
    </row>
    <row r="19" spans="1:105" ht="11.45" customHeight="1" x14ac:dyDescent="0.25">
      <c r="A19" s="57" t="s">
        <v>171</v>
      </c>
      <c r="B19" s="67">
        <f t="shared" si="4"/>
        <v>0.53302164048766676</v>
      </c>
      <c r="C19" s="67">
        <f t="shared" si="4"/>
        <v>0.53786904354891096</v>
      </c>
      <c r="D19" s="67">
        <f t="shared" si="4"/>
        <v>0.5383536518359201</v>
      </c>
      <c r="E19" s="67">
        <f t="shared" si="4"/>
        <v>0.53758942331944204</v>
      </c>
      <c r="F19" s="67">
        <f t="shared" si="4"/>
        <v>0.68882278912986206</v>
      </c>
      <c r="G19" s="67">
        <f t="shared" si="4"/>
        <v>0.54130592725630078</v>
      </c>
      <c r="H19" s="67">
        <f t="shared" si="4"/>
        <v>0.56196485527444429</v>
      </c>
      <c r="I19" s="67">
        <f t="shared" si="4"/>
        <v>0.57963142570140047</v>
      </c>
      <c r="J19" s="67">
        <f t="shared" si="4"/>
        <v>0.48968340547927935</v>
      </c>
      <c r="K19" s="67">
        <f t="shared" si="4"/>
        <v>0.52692132106188372</v>
      </c>
      <c r="L19" s="67">
        <f t="shared" si="4"/>
        <v>0.52535256309042977</v>
      </c>
      <c r="M19" s="67">
        <f t="shared" si="4"/>
        <v>0.58337179913788173</v>
      </c>
      <c r="N19" s="67">
        <f t="shared" si="4"/>
        <v>0.48506273407100631</v>
      </c>
      <c r="O19" s="67">
        <f t="shared" si="4"/>
        <v>0.50498588466999328</v>
      </c>
      <c r="P19" s="67">
        <f t="shared" si="4"/>
        <v>0.61418490956230509</v>
      </c>
      <c r="Q19" s="67">
        <f t="shared" si="4"/>
        <v>0.47540311071647545</v>
      </c>
      <c r="R19" s="67">
        <f t="shared" si="4"/>
        <v>0.57927104929083184</v>
      </c>
      <c r="S19" s="67">
        <f t="shared" si="4"/>
        <v>0.59498403790058241</v>
      </c>
      <c r="T19" s="67">
        <f t="shared" si="4"/>
        <v>0.53439607462990224</v>
      </c>
      <c r="U19" s="67">
        <f t="shared" si="4"/>
        <v>0.66086908879037032</v>
      </c>
      <c r="V19" s="67">
        <f t="shared" si="4"/>
        <v>0.41611922134420398</v>
      </c>
      <c r="W19" s="67">
        <f t="shared" si="4"/>
        <v>0.46317452190168801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0.6753157801412274</v>
      </c>
      <c r="C22" s="66">
        <f t="shared" si="5"/>
        <v>0.67466966655811789</v>
      </c>
      <c r="D22" s="66">
        <f t="shared" si="5"/>
        <v>0.67233094587418563</v>
      </c>
      <c r="E22" s="66">
        <f t="shared" si="5"/>
        <v>0.67063507727611249</v>
      </c>
      <c r="F22" s="66">
        <f t="shared" si="5"/>
        <v>0.54227189607360815</v>
      </c>
      <c r="G22" s="66">
        <f t="shared" si="5"/>
        <v>0.67296269023073152</v>
      </c>
      <c r="H22" s="66">
        <f t="shared" si="5"/>
        <v>0.61686119720277954</v>
      </c>
      <c r="I22" s="66">
        <f t="shared" si="5"/>
        <v>0.56750096379110937</v>
      </c>
      <c r="J22" s="66">
        <f t="shared" si="5"/>
        <v>0.74861433793502652</v>
      </c>
      <c r="K22" s="66">
        <f t="shared" si="5"/>
        <v>0.73964799884392363</v>
      </c>
      <c r="L22" s="66">
        <f t="shared" si="5"/>
        <v>0.74238439327356409</v>
      </c>
      <c r="M22" s="66">
        <f t="shared" si="5"/>
        <v>0.72211437457518901</v>
      </c>
      <c r="N22" s="66">
        <f t="shared" si="5"/>
        <v>0.80499536236305447</v>
      </c>
      <c r="O22" s="66">
        <f t="shared" si="5"/>
        <v>0.80801800215061736</v>
      </c>
      <c r="P22" s="66">
        <f t="shared" si="5"/>
        <v>0.73906705539358608</v>
      </c>
      <c r="Q22" s="66">
        <f t="shared" si="5"/>
        <v>0.81627520819337585</v>
      </c>
      <c r="R22" s="66">
        <f t="shared" si="5"/>
        <v>0.76283819725047985</v>
      </c>
      <c r="S22" s="66">
        <f t="shared" si="5"/>
        <v>0.74584249793966917</v>
      </c>
      <c r="T22" s="66">
        <f t="shared" si="5"/>
        <v>0.78062454750522059</v>
      </c>
      <c r="U22" s="66">
        <f t="shared" si="5"/>
        <v>0.71075596381871864</v>
      </c>
      <c r="V22" s="66">
        <f t="shared" si="5"/>
        <v>0.84099853624250664</v>
      </c>
      <c r="W22" s="66">
        <f t="shared" si="5"/>
        <v>0.82578135662617713</v>
      </c>
      <c r="DA22" s="181"/>
    </row>
    <row r="23" spans="1:105" ht="11.45" customHeight="1" x14ac:dyDescent="0.25">
      <c r="A23" s="57" t="s">
        <v>171</v>
      </c>
      <c r="B23" s="67">
        <f t="shared" si="5"/>
        <v>0.32468421985877244</v>
      </c>
      <c r="C23" s="67">
        <f t="shared" si="5"/>
        <v>0.325330333441882</v>
      </c>
      <c r="D23" s="67">
        <f t="shared" si="5"/>
        <v>0.32766905412581437</v>
      </c>
      <c r="E23" s="67">
        <f t="shared" si="5"/>
        <v>0.32936492272388762</v>
      </c>
      <c r="F23" s="67">
        <f t="shared" si="5"/>
        <v>0.4577281039263919</v>
      </c>
      <c r="G23" s="67">
        <f t="shared" si="5"/>
        <v>0.32703730976926854</v>
      </c>
      <c r="H23" s="67">
        <f t="shared" si="5"/>
        <v>0.3831388027972204</v>
      </c>
      <c r="I23" s="67">
        <f t="shared" si="5"/>
        <v>0.43249903620889057</v>
      </c>
      <c r="J23" s="67">
        <f t="shared" si="5"/>
        <v>0.25138566206497348</v>
      </c>
      <c r="K23" s="67">
        <f t="shared" si="5"/>
        <v>0.26035200115607632</v>
      </c>
      <c r="L23" s="67">
        <f t="shared" si="5"/>
        <v>0.25761560672643596</v>
      </c>
      <c r="M23" s="67">
        <f t="shared" si="5"/>
        <v>0.27788562542481104</v>
      </c>
      <c r="N23" s="67">
        <f t="shared" si="5"/>
        <v>0.19500463763694562</v>
      </c>
      <c r="O23" s="67">
        <f t="shared" si="5"/>
        <v>0.19198199784938261</v>
      </c>
      <c r="P23" s="67">
        <f t="shared" si="5"/>
        <v>0.26093294460641403</v>
      </c>
      <c r="Q23" s="67">
        <f t="shared" si="5"/>
        <v>0.18372479180662415</v>
      </c>
      <c r="R23" s="67">
        <f t="shared" si="5"/>
        <v>0.23716180274952009</v>
      </c>
      <c r="S23" s="67">
        <f t="shared" si="5"/>
        <v>0.25415750206033083</v>
      </c>
      <c r="T23" s="67">
        <f t="shared" si="5"/>
        <v>0.21937545249477949</v>
      </c>
      <c r="U23" s="67">
        <f t="shared" si="5"/>
        <v>0.28924403618128131</v>
      </c>
      <c r="V23" s="67">
        <f t="shared" si="5"/>
        <v>0.15900146375749344</v>
      </c>
      <c r="W23" s="67">
        <f t="shared" si="5"/>
        <v>0.17421864337382284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658.31659501289766</v>
      </c>
      <c r="C3" s="62">
        <f t="shared" ref="C3:W3" si="0">SUM(C4,C10)</f>
        <v>724.99286328460869</v>
      </c>
      <c r="D3" s="62">
        <f t="shared" si="0"/>
        <v>743.07351676698215</v>
      </c>
      <c r="E3" s="62">
        <f t="shared" si="0"/>
        <v>915.98357695614777</v>
      </c>
      <c r="F3" s="62">
        <f t="shared" si="0"/>
        <v>980.94006878761809</v>
      </c>
      <c r="G3" s="62">
        <f t="shared" si="0"/>
        <v>658.49819432502136</v>
      </c>
      <c r="H3" s="62">
        <f t="shared" si="0"/>
        <v>752.57953568357698</v>
      </c>
      <c r="I3" s="62">
        <f t="shared" si="0"/>
        <v>842.17059329320716</v>
      </c>
      <c r="J3" s="62">
        <f t="shared" si="0"/>
        <v>912.34350816852975</v>
      </c>
      <c r="K3" s="62">
        <f t="shared" si="0"/>
        <v>1132.7266552020637</v>
      </c>
      <c r="L3" s="62">
        <f t="shared" si="0"/>
        <v>1449.4362854686158</v>
      </c>
      <c r="M3" s="62">
        <f t="shared" si="0"/>
        <v>1334.3365434221841</v>
      </c>
      <c r="N3" s="62">
        <f t="shared" si="0"/>
        <v>1185.2249355116078</v>
      </c>
      <c r="O3" s="62">
        <f t="shared" si="0"/>
        <v>1187.0640584694759</v>
      </c>
      <c r="P3" s="62">
        <f t="shared" si="0"/>
        <v>1223.4498710232153</v>
      </c>
      <c r="Q3" s="62">
        <f t="shared" si="0"/>
        <v>1536.6628546861562</v>
      </c>
      <c r="R3" s="62">
        <f t="shared" si="0"/>
        <v>1751.8390369733443</v>
      </c>
      <c r="S3" s="62">
        <f t="shared" si="0"/>
        <v>2134.42287188306</v>
      </c>
      <c r="T3" s="62">
        <f t="shared" si="0"/>
        <v>2207.1673258813407</v>
      </c>
      <c r="U3" s="62">
        <f t="shared" si="0"/>
        <v>2262.3583834909714</v>
      </c>
      <c r="V3" s="62">
        <f t="shared" si="0"/>
        <v>2185.7777300085986</v>
      </c>
      <c r="W3" s="62">
        <f t="shared" si="0"/>
        <v>1939.3180567497845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332.95105454547587</v>
      </c>
      <c r="C4" s="71">
        <f t="shared" ref="C4:W4" si="1">SUM(C5:C9)</f>
        <v>366.69081591256014</v>
      </c>
      <c r="D4" s="71">
        <f t="shared" si="1"/>
        <v>374.49407715368613</v>
      </c>
      <c r="E4" s="71">
        <f t="shared" si="1"/>
        <v>461.76206091261804</v>
      </c>
      <c r="F4" s="71">
        <f t="shared" si="1"/>
        <v>420.0653988939431</v>
      </c>
      <c r="G4" s="71">
        <f t="shared" si="1"/>
        <v>333.76623161349744</v>
      </c>
      <c r="H4" s="71">
        <f t="shared" si="1"/>
        <v>344.6908714815691</v>
      </c>
      <c r="I4" s="71">
        <f t="shared" si="1"/>
        <v>352.13154798504502</v>
      </c>
      <c r="J4" s="71">
        <f t="shared" si="1"/>
        <v>480.4327191692305</v>
      </c>
      <c r="K4" s="71">
        <f t="shared" si="1"/>
        <v>589.25531154160024</v>
      </c>
      <c r="L4" s="71">
        <f t="shared" si="1"/>
        <v>753.47188285675702</v>
      </c>
      <c r="M4" s="71">
        <f t="shared" si="1"/>
        <v>672.80939078735605</v>
      </c>
      <c r="N4" s="71">
        <f t="shared" si="1"/>
        <v>662.79649530795803</v>
      </c>
      <c r="O4" s="71">
        <f t="shared" si="1"/>
        <v>664.75125128027014</v>
      </c>
      <c r="P4" s="71">
        <f t="shared" si="1"/>
        <v>626.96220376584017</v>
      </c>
      <c r="Q4" s="71">
        <f t="shared" si="1"/>
        <v>869.05563984272362</v>
      </c>
      <c r="R4" s="71">
        <f t="shared" si="1"/>
        <v>920.94969404699498</v>
      </c>
      <c r="S4" s="71">
        <f t="shared" si="1"/>
        <v>1095.5167291771781</v>
      </c>
      <c r="T4" s="71">
        <f t="shared" si="1"/>
        <v>1184.8243693113754</v>
      </c>
      <c r="U4" s="71">
        <f t="shared" si="1"/>
        <v>1083.4175001773933</v>
      </c>
      <c r="V4" s="71">
        <f t="shared" si="1"/>
        <v>1189.8571105990163</v>
      </c>
      <c r="W4" s="71">
        <f t="shared" si="1"/>
        <v>1004.1392578213172</v>
      </c>
      <c r="DA4" s="186" t="s">
        <v>969</v>
      </c>
    </row>
    <row r="5" spans="1:105" ht="11.45" customHeight="1" x14ac:dyDescent="0.25">
      <c r="A5" s="72" t="s">
        <v>145</v>
      </c>
      <c r="B5" s="73">
        <v>110.0432578845607</v>
      </c>
      <c r="C5" s="73">
        <v>98.012595821210667</v>
      </c>
      <c r="D5" s="73">
        <v>121.08008751071773</v>
      </c>
      <c r="E5" s="73">
        <v>123.6671063836263</v>
      </c>
      <c r="F5" s="73">
        <v>145.99886653489037</v>
      </c>
      <c r="G5" s="73">
        <v>129.07585543750841</v>
      </c>
      <c r="H5" s="73">
        <v>152.04407381835333</v>
      </c>
      <c r="I5" s="73">
        <v>144.63527035893341</v>
      </c>
      <c r="J5" s="73">
        <v>196.92037433510384</v>
      </c>
      <c r="K5" s="73">
        <v>308.14357124935481</v>
      </c>
      <c r="L5" s="73">
        <v>221.31739033632584</v>
      </c>
      <c r="M5" s="73">
        <v>190.80272685526978</v>
      </c>
      <c r="N5" s="73">
        <v>196.3515320114544</v>
      </c>
      <c r="O5" s="73">
        <v>154.63223527195271</v>
      </c>
      <c r="P5" s="73">
        <v>159.79883695591491</v>
      </c>
      <c r="Q5" s="73">
        <v>230.7865076315278</v>
      </c>
      <c r="R5" s="73">
        <v>228.14998943558751</v>
      </c>
      <c r="S5" s="73">
        <v>278.35259082365621</v>
      </c>
      <c r="T5" s="73">
        <v>315.91531164593346</v>
      </c>
      <c r="U5" s="73">
        <v>320.19570641650029</v>
      </c>
      <c r="V5" s="73">
        <v>347.31837690580505</v>
      </c>
      <c r="W5" s="73">
        <v>327.87648743316146</v>
      </c>
      <c r="DA5" s="187" t="s">
        <v>970</v>
      </c>
    </row>
    <row r="6" spans="1:105" ht="11.45" customHeight="1" x14ac:dyDescent="0.25">
      <c r="A6" s="72" t="s">
        <v>146</v>
      </c>
      <c r="B6" s="73">
        <v>222.90779666091515</v>
      </c>
      <c r="C6" s="73">
        <v>268.67822009134949</v>
      </c>
      <c r="D6" s="73">
        <v>253.41398964296837</v>
      </c>
      <c r="E6" s="73">
        <v>338.09495452899176</v>
      </c>
      <c r="F6" s="73">
        <v>274.06653235905276</v>
      </c>
      <c r="G6" s="73">
        <v>204.690376175989</v>
      </c>
      <c r="H6" s="73">
        <v>192.64679766321578</v>
      </c>
      <c r="I6" s="73">
        <v>207.49627762611158</v>
      </c>
      <c r="J6" s="73">
        <v>283.51234483412662</v>
      </c>
      <c r="K6" s="73">
        <v>281.11174029224543</v>
      </c>
      <c r="L6" s="73">
        <v>532.15449252043118</v>
      </c>
      <c r="M6" s="73">
        <v>482.00666393208627</v>
      </c>
      <c r="N6" s="73">
        <v>466.44496329650366</v>
      </c>
      <c r="O6" s="73">
        <v>510.11901600831743</v>
      </c>
      <c r="P6" s="73">
        <v>467.16336680992526</v>
      </c>
      <c r="Q6" s="73">
        <v>638.26913221119582</v>
      </c>
      <c r="R6" s="73">
        <v>692.79970461140749</v>
      </c>
      <c r="S6" s="73">
        <v>817.16413835352205</v>
      </c>
      <c r="T6" s="73">
        <v>868.90905766544188</v>
      </c>
      <c r="U6" s="73">
        <v>763.22179376089309</v>
      </c>
      <c r="V6" s="73">
        <v>842.53873369321116</v>
      </c>
      <c r="W6" s="73">
        <v>676.26277038815579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325.36554046742179</v>
      </c>
      <c r="C10" s="71">
        <f t="shared" ref="C10:W10" si="2">SUM(C11:C15)</f>
        <v>358.30204737204855</v>
      </c>
      <c r="D10" s="71">
        <f t="shared" si="2"/>
        <v>368.57943961329602</v>
      </c>
      <c r="E10" s="71">
        <f t="shared" si="2"/>
        <v>454.22151604352979</v>
      </c>
      <c r="F10" s="71">
        <f t="shared" si="2"/>
        <v>560.87466989367499</v>
      </c>
      <c r="G10" s="71">
        <f t="shared" si="2"/>
        <v>324.73196271152398</v>
      </c>
      <c r="H10" s="71">
        <f t="shared" si="2"/>
        <v>407.88866420200793</v>
      </c>
      <c r="I10" s="71">
        <f t="shared" si="2"/>
        <v>490.03904530816214</v>
      </c>
      <c r="J10" s="71">
        <f t="shared" si="2"/>
        <v>431.9107889992992</v>
      </c>
      <c r="K10" s="71">
        <f t="shared" si="2"/>
        <v>543.4713436604635</v>
      </c>
      <c r="L10" s="71">
        <f t="shared" si="2"/>
        <v>695.96440261185876</v>
      </c>
      <c r="M10" s="71">
        <f t="shared" si="2"/>
        <v>661.5271526348281</v>
      </c>
      <c r="N10" s="71">
        <f t="shared" si="2"/>
        <v>522.42844020364976</v>
      </c>
      <c r="O10" s="71">
        <f t="shared" si="2"/>
        <v>522.31280718920573</v>
      </c>
      <c r="P10" s="71">
        <f t="shared" si="2"/>
        <v>596.48766725737516</v>
      </c>
      <c r="Q10" s="71">
        <f t="shared" si="2"/>
        <v>667.60721484343242</v>
      </c>
      <c r="R10" s="71">
        <f t="shared" si="2"/>
        <v>830.88934292634917</v>
      </c>
      <c r="S10" s="71">
        <f t="shared" si="2"/>
        <v>1038.9061427058821</v>
      </c>
      <c r="T10" s="71">
        <f t="shared" si="2"/>
        <v>1022.3429565699653</v>
      </c>
      <c r="U10" s="71">
        <f t="shared" si="2"/>
        <v>1178.9408833135783</v>
      </c>
      <c r="V10" s="71">
        <f t="shared" si="2"/>
        <v>995.92061940958229</v>
      </c>
      <c r="W10" s="71">
        <f t="shared" si="2"/>
        <v>935.17879892846736</v>
      </c>
      <c r="DA10" s="186" t="s">
        <v>975</v>
      </c>
    </row>
    <row r="11" spans="1:105" ht="11.45" customHeight="1" x14ac:dyDescent="0.25">
      <c r="A11" s="72" t="s">
        <v>145</v>
      </c>
      <c r="B11" s="73">
        <v>21.417533173048909</v>
      </c>
      <c r="C11" s="73">
        <v>19.069691367095427</v>
      </c>
      <c r="D11" s="73">
        <v>23.732208276040662</v>
      </c>
      <c r="E11" s="73">
        <v>24.226272808119212</v>
      </c>
      <c r="F11" s="73">
        <v>38.86785745479142</v>
      </c>
      <c r="G11" s="73">
        <v>24.979776548733984</v>
      </c>
      <c r="H11" s="73">
        <v>35.903733576315695</v>
      </c>
      <c r="I11" s="73">
        <v>40.231453630748362</v>
      </c>
      <c r="J11" s="73">
        <v>35.190029792153268</v>
      </c>
      <c r="K11" s="73">
        <v>56.454709060189515</v>
      </c>
      <c r="L11" s="73">
        <v>40.577106654215868</v>
      </c>
      <c r="M11" s="73">
        <v>37.199594726845433</v>
      </c>
      <c r="N11" s="73">
        <v>30.623704445983279</v>
      </c>
      <c r="O11" s="73">
        <v>24.072235923232189</v>
      </c>
      <c r="P11" s="73">
        <v>30.203054703586385</v>
      </c>
      <c r="Q11" s="73">
        <v>35.216157888678488</v>
      </c>
      <c r="R11" s="73">
        <v>40.933759489605876</v>
      </c>
      <c r="S11" s="73">
        <v>52.468475384426313</v>
      </c>
      <c r="T11" s="73">
        <v>54.16112859482314</v>
      </c>
      <c r="U11" s="73">
        <v>67.866288424428348</v>
      </c>
      <c r="V11" s="73">
        <v>57.656859551632522</v>
      </c>
      <c r="W11" s="73">
        <v>61.071835868644257</v>
      </c>
      <c r="DA11" s="187" t="s">
        <v>976</v>
      </c>
    </row>
    <row r="12" spans="1:105" ht="11.45" customHeight="1" x14ac:dyDescent="0.25">
      <c r="A12" s="72" t="s">
        <v>146</v>
      </c>
      <c r="B12" s="73">
        <v>303.94800729437287</v>
      </c>
      <c r="C12" s="73">
        <v>339.23235600495315</v>
      </c>
      <c r="D12" s="73">
        <v>344.84723133725538</v>
      </c>
      <c r="E12" s="73">
        <v>429.99524323541056</v>
      </c>
      <c r="F12" s="73">
        <v>522.00681243888357</v>
      </c>
      <c r="G12" s="73">
        <v>299.75218616279</v>
      </c>
      <c r="H12" s="73">
        <v>371.98493062569224</v>
      </c>
      <c r="I12" s="73">
        <v>449.80759167741377</v>
      </c>
      <c r="J12" s="73">
        <v>396.72075920714593</v>
      </c>
      <c r="K12" s="73">
        <v>487.01663460027402</v>
      </c>
      <c r="L12" s="73">
        <v>655.38729595764289</v>
      </c>
      <c r="M12" s="73">
        <v>624.32755790798262</v>
      </c>
      <c r="N12" s="73">
        <v>491.80473575766649</v>
      </c>
      <c r="O12" s="73">
        <v>498.24057126597359</v>
      </c>
      <c r="P12" s="73">
        <v>566.28461255378875</v>
      </c>
      <c r="Q12" s="73">
        <v>632.39105695475394</v>
      </c>
      <c r="R12" s="73">
        <v>789.95558343674327</v>
      </c>
      <c r="S12" s="73">
        <v>986.43766732145582</v>
      </c>
      <c r="T12" s="73">
        <v>968.18182797514214</v>
      </c>
      <c r="U12" s="73">
        <v>1111.0745948891499</v>
      </c>
      <c r="V12" s="73">
        <v>938.26375985794982</v>
      </c>
      <c r="W12" s="73">
        <v>874.1069630598231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228883.35518369576</v>
      </c>
      <c r="C19" s="62">
        <f>IF(C3=0,0,C3/MBunk_act!C7*100)</f>
        <v>238475.86544059546</v>
      </c>
      <c r="D19" s="62">
        <f>IF(D3=0,0,D3/MBunk_act!D7*100)</f>
        <v>240604.56577827135</v>
      </c>
      <c r="E19" s="62">
        <f>IF(E3=0,0,E3/MBunk_act!E7*100)</f>
        <v>241047.67538931424</v>
      </c>
      <c r="F19" s="62">
        <f>IF(F3=0,0,F3/MBunk_act!F7*100)</f>
        <v>236335.22351730175</v>
      </c>
      <c r="G19" s="62">
        <f>IF(G3=0,0,G3/MBunk_act!G7*100)</f>
        <v>202042.89222049012</v>
      </c>
      <c r="H19" s="62">
        <f>IF(H3=0,0,H3/MBunk_act!H7*100)</f>
        <v>236319.1292077087</v>
      </c>
      <c r="I19" s="62">
        <f>IF(I3=0,0,I3/MBunk_act!I7*100)</f>
        <v>249746.62474221023</v>
      </c>
      <c r="J19" s="62">
        <f>IF(J3=0,0,J3/MBunk_act!J7*100)</f>
        <v>180858.33898339776</v>
      </c>
      <c r="K19" s="62">
        <f>IF(K3=0,0,K3/MBunk_act!K7*100)</f>
        <v>227346.95640870981</v>
      </c>
      <c r="L19" s="62">
        <f>IF(L3=0,0,L3/MBunk_act!L7*100)</f>
        <v>300874.59557492839</v>
      </c>
      <c r="M19" s="62">
        <f>IF(M3=0,0,M3/MBunk_act!M7*100)</f>
        <v>343539.92281883594</v>
      </c>
      <c r="N19" s="62">
        <f>IF(N3=0,0,N3/MBunk_act!N7*100)</f>
        <v>291599.0954791301</v>
      </c>
      <c r="O19" s="62">
        <f>IF(O3=0,0,O3/MBunk_act!O7*100)</f>
        <v>275099.20150670118</v>
      </c>
      <c r="P19" s="62">
        <f>IF(P3=0,0,P3/MBunk_act!P7*100)</f>
        <v>281301.99092788983</v>
      </c>
      <c r="Q19" s="62">
        <f>IF(Q3=0,0,Q3/MBunk_act!Q7*100)</f>
        <v>389556.19755520922</v>
      </c>
      <c r="R19" s="62">
        <f>IF(R3=0,0,R3/MBunk_act!R7*100)</f>
        <v>578793.15724775218</v>
      </c>
      <c r="S19" s="62">
        <f>IF(S3=0,0,S3/MBunk_act!S7*100)</f>
        <v>582465.86724457622</v>
      </c>
      <c r="T19" s="62">
        <f>IF(T3=0,0,T3/MBunk_act!T7*100)</f>
        <v>440212.31621109857</v>
      </c>
      <c r="U19" s="62">
        <f>IF(U3=0,0,U3/MBunk_act!U7*100)</f>
        <v>424119.30139962904</v>
      </c>
      <c r="V19" s="62">
        <f>IF(V3=0,0,V3/MBunk_act!V7*100)</f>
        <v>469816.23072957864</v>
      </c>
      <c r="W19" s="62">
        <f>IF(W3=0,0,W3/MBunk_act!W7*100)</f>
        <v>575393.58796523407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171416.61108733024</v>
      </c>
      <c r="C20" s="63">
        <f>IF(C4=0,0,C4/MBunk_act!C8*100)</f>
        <v>178780.2541661475</v>
      </c>
      <c r="D20" s="63">
        <f>IF(D4=0,0,D4/MBunk_act!D8*100)</f>
        <v>180357.38641576102</v>
      </c>
      <c r="E20" s="63">
        <f>IF(E4=0,0,E4/MBunk_act!E8*100)</f>
        <v>181195.43125254792</v>
      </c>
      <c r="F20" s="63">
        <f>IF(F4=0,0,F4/MBunk_act!F8*100)</f>
        <v>186631.86327076648</v>
      </c>
      <c r="G20" s="63">
        <f>IF(G4=0,0,G4/MBunk_act!G8*100)</f>
        <v>152173.97899690762</v>
      </c>
      <c r="H20" s="63">
        <f>IF(H4=0,0,H4/MBunk_act!H8*100)</f>
        <v>175464.31392072546</v>
      </c>
      <c r="I20" s="63">
        <f>IF(I4=0,0,I4/MBunk_act!I8*100)</f>
        <v>184008.50093539903</v>
      </c>
      <c r="J20" s="63">
        <f>IF(J4=0,0,J4/MBunk_act!J8*100)</f>
        <v>127219.76463542803</v>
      </c>
      <c r="K20" s="63">
        <f>IF(K4=0,0,K4/MBunk_act!K8*100)</f>
        <v>159897.78344230982</v>
      </c>
      <c r="L20" s="63">
        <f>IF(L4=0,0,L4/MBunk_act!L8*100)</f>
        <v>210680.62948094212</v>
      </c>
      <c r="M20" s="63">
        <f>IF(M4=0,0,M4/MBunk_act!M8*100)</f>
        <v>239882.12524729694</v>
      </c>
      <c r="N20" s="63">
        <f>IF(N4=0,0,N4/MBunk_act!N8*100)</f>
        <v>202568.64243693629</v>
      </c>
      <c r="O20" s="63">
        <f>IF(O4=0,0,O4/MBunk_act!O8*100)</f>
        <v>190657.23959246324</v>
      </c>
      <c r="P20" s="63">
        <f>IF(P4=0,0,P4/MBunk_act!P8*100)</f>
        <v>195049.18639546045</v>
      </c>
      <c r="Q20" s="63">
        <f>IF(Q4=0,0,Q4/MBunk_act!Q8*100)</f>
        <v>269899.76143591257</v>
      </c>
      <c r="R20" s="63">
        <f>IF(R4=0,0,R4/MBunk_act!R8*100)</f>
        <v>398871.18660784833</v>
      </c>
      <c r="S20" s="63">
        <f>IF(S4=0,0,S4/MBunk_act!S8*100)</f>
        <v>400831.55422839848</v>
      </c>
      <c r="T20" s="63">
        <f>IF(T4=0,0,T4/MBunk_act!T8*100)</f>
        <v>302718.32019095169</v>
      </c>
      <c r="U20" s="63">
        <f>IF(U4=0,0,U4/MBunk_act!U8*100)</f>
        <v>285760.34926276741</v>
      </c>
      <c r="V20" s="63">
        <f>IF(V4=0,0,V4/MBunk_act!V8*100)</f>
        <v>304103.6199319177</v>
      </c>
      <c r="W20" s="63">
        <f>IF(W4=0,0,W4/MBunk_act!W8*100)</f>
        <v>360781.98992584774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348409.33380530466</v>
      </c>
      <c r="C21" s="64">
        <f>IF(C10=0,0,C10/MBunk_act!C9*100)</f>
        <v>362272.55457013729</v>
      </c>
      <c r="D21" s="64">
        <f>IF(D10=0,0,D10/MBunk_act!D9*100)</f>
        <v>364223.32860320172</v>
      </c>
      <c r="E21" s="64">
        <f>IF(E10=0,0,E10/MBunk_act!E9*100)</f>
        <v>362915.58421170659</v>
      </c>
      <c r="F21" s="64">
        <f>IF(F10=0,0,F10/MBunk_act!F9*100)</f>
        <v>295218.94765597204</v>
      </c>
      <c r="G21" s="64">
        <f>IF(G10=0,0,G10/MBunk_act!G9*100)</f>
        <v>304660.90245761618</v>
      </c>
      <c r="H21" s="64">
        <f>IF(H10=0,0,H10/MBunk_act!H9*100)</f>
        <v>334296.60875146126</v>
      </c>
      <c r="I21" s="64">
        <f>IF(I10=0,0,I10/MBunk_act!I9*100)</f>
        <v>336004.50162720331</v>
      </c>
      <c r="J21" s="64">
        <f>IF(J10=0,0,J10/MBunk_act!J9*100)</f>
        <v>340591.4180040526</v>
      </c>
      <c r="K21" s="64">
        <f>IF(K10=0,0,K10/MBunk_act!K9*100)</f>
        <v>418966.93853578443</v>
      </c>
      <c r="L21" s="64">
        <f>IF(L10=0,0,L10/MBunk_act!L9*100)</f>
        <v>560791.27394109685</v>
      </c>
      <c r="M21" s="64">
        <f>IF(M10=0,0,M10/MBunk_act!M9*100)</f>
        <v>612905.36965972232</v>
      </c>
      <c r="N21" s="64">
        <f>IF(N10=0,0,N10/MBunk_act!N9*100)</f>
        <v>659124.21014578384</v>
      </c>
      <c r="O21" s="64">
        <f>IF(O10=0,0,O10/MBunk_act!O9*100)</f>
        <v>630500.36478217994</v>
      </c>
      <c r="P21" s="64">
        <f>IF(P10=0,0,P10/MBunk_act!P9*100)</f>
        <v>525604.62722923979</v>
      </c>
      <c r="Q21" s="64">
        <f>IF(Q10=0,0,Q10/MBunk_act!Q9*100)</f>
        <v>921180.5980757419</v>
      </c>
      <c r="R21" s="64">
        <f>IF(R10=0,0,R10/MBunk_act!R9*100)</f>
        <v>1157517.6826033674</v>
      </c>
      <c r="S21" s="64">
        <f>IF(S10=0,0,S10/MBunk_act!S9*100)</f>
        <v>1115484.128099943</v>
      </c>
      <c r="T21" s="64">
        <f>IF(T10=0,0,T10/MBunk_act!T9*100)</f>
        <v>929470.2856298323</v>
      </c>
      <c r="U21" s="64">
        <f>IF(U10=0,0,U10/MBunk_act!U9*100)</f>
        <v>764107.12509791844</v>
      </c>
      <c r="V21" s="64">
        <f>IF(V10=0,0,V10/MBunk_act!V9*100)</f>
        <v>1346311.7033141134</v>
      </c>
      <c r="W21" s="64">
        <f>IF(W10=0,0,W10/MBunk_act!W9*100)</f>
        <v>1592634.0689188633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201.95497873045028</v>
      </c>
      <c r="C23" s="62">
        <f>IF(C3=0,0,C3/MBunk_act!C3*1000)</f>
        <v>205.7134615338253</v>
      </c>
      <c r="D23" s="62">
        <f>IF(D3=0,0,D3/MBunk_act!D3*1000)</f>
        <v>204.81640772300531</v>
      </c>
      <c r="E23" s="62">
        <f>IF(E3=0,0,E3/MBunk_act!E3*1000)</f>
        <v>204.4330044710712</v>
      </c>
      <c r="F23" s="62">
        <f>IF(F3=0,0,F3/MBunk_act!F3*1000)</f>
        <v>168.73381598923845</v>
      </c>
      <c r="G23" s="62">
        <f>IF(G3=0,0,G3/MBunk_act!G3*1000)</f>
        <v>156.70938974446474</v>
      </c>
      <c r="H23" s="62">
        <f>IF(H3=0,0,H3/MBunk_act!H3*1000)</f>
        <v>165.31466587812162</v>
      </c>
      <c r="I23" s="62">
        <f>IF(I3=0,0,I3/MBunk_act!I3*1000)</f>
        <v>183.52644968718636</v>
      </c>
      <c r="J23" s="62">
        <f>IF(J3=0,0,J3/MBunk_act!J3*1000)</f>
        <v>200.07680871838409</v>
      </c>
      <c r="K23" s="62">
        <f>IF(K3=0,0,K3/MBunk_act!K3*1000)</f>
        <v>225.56176045770238</v>
      </c>
      <c r="L23" s="62">
        <f>IF(L3=0,0,L3/MBunk_act!L3*1000)</f>
        <v>307.49437439369984</v>
      </c>
      <c r="M23" s="62">
        <f>IF(M3=0,0,M3/MBunk_act!M3*1000)</f>
        <v>310.21337845452035</v>
      </c>
      <c r="N23" s="62">
        <f>IF(N3=0,0,N3/MBunk_act!N3*1000)</f>
        <v>285.63481321375531</v>
      </c>
      <c r="O23" s="62">
        <f>IF(O3=0,0,O3/MBunk_act!O3*1000)</f>
        <v>248.39755175992204</v>
      </c>
      <c r="P23" s="62">
        <f>IF(P3=0,0,P3/MBunk_act!P3*1000)</f>
        <v>216.99633473707817</v>
      </c>
      <c r="Q23" s="62">
        <f>IF(Q3=0,0,Q3/MBunk_act!Q3*1000)</f>
        <v>357.20876415985117</v>
      </c>
      <c r="R23" s="62">
        <f>IF(R3=0,0,R3/MBunk_act!R3*1000)</f>
        <v>423.98078081685765</v>
      </c>
      <c r="S23" s="62">
        <f>IF(S3=0,0,S3/MBunk_act!S3*1000)</f>
        <v>411.40741698227208</v>
      </c>
      <c r="T23" s="62">
        <f>IF(T3=0,0,T3/MBunk_act!T3*1000)</f>
        <v>353.18731024585492</v>
      </c>
      <c r="U23" s="62">
        <f>IF(U3=0,0,U3/MBunk_act!U3*1000)</f>
        <v>300.64565660902127</v>
      </c>
      <c r="V23" s="62">
        <f>IF(V3=0,0,V3/MBunk_act!V3*1000)</f>
        <v>454.43950764350313</v>
      </c>
      <c r="W23" s="62">
        <f>IF(W3=0,0,W3/MBunk_act!W3*1000)</f>
        <v>541.09004004390465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218.7275058461324</v>
      </c>
      <c r="C24" s="63">
        <f>IF(C4=0,0,C4/MBunk_act!C4*1000)</f>
        <v>225.14585307672164</v>
      </c>
      <c r="D24" s="63">
        <f>IF(D4=0,0,D4/MBunk_act!D4*1000)</f>
        <v>223.59830679972328</v>
      </c>
      <c r="E24" s="63">
        <f>IF(E4=0,0,E4/MBunk_act!E4*1000)</f>
        <v>222.87112889222706</v>
      </c>
      <c r="F24" s="63">
        <f>IF(F4=0,0,F4/MBunk_act!F4*1000)</f>
        <v>232.20350971096397</v>
      </c>
      <c r="G24" s="63">
        <f>IF(G4=0,0,G4/MBunk_act!G4*1000)</f>
        <v>173.16483289495619</v>
      </c>
      <c r="H24" s="63">
        <f>IF(H4=0,0,H4/MBunk_act!H4*1000)</f>
        <v>172.85414748465459</v>
      </c>
      <c r="I24" s="63">
        <f>IF(I4=0,0,I4/MBunk_act!I4*1000)</f>
        <v>182.54640503050382</v>
      </c>
      <c r="J24" s="63">
        <f>IF(J4=0,0,J4/MBunk_act!J4*1000)</f>
        <v>206.45777909788666</v>
      </c>
      <c r="K24" s="63">
        <f>IF(K4=0,0,K4/MBunk_act!K4*1000)</f>
        <v>248.03358224702748</v>
      </c>
      <c r="L24" s="63">
        <f>IF(L4=0,0,L4/MBunk_act!L4*1000)</f>
        <v>336.77043345286552</v>
      </c>
      <c r="M24" s="63">
        <f>IF(M4=0,0,M4/MBunk_act!M4*1000)</f>
        <v>375.43825668584793</v>
      </c>
      <c r="N24" s="63">
        <f>IF(N4=0,0,N4/MBunk_act!N4*1000)</f>
        <v>310.19603258213488</v>
      </c>
      <c r="O24" s="63">
        <f>IF(O4=0,0,O4/MBunk_act!O4*1000)</f>
        <v>281.00544533895885</v>
      </c>
      <c r="P24" s="63">
        <f>IF(P4=0,0,P4/MBunk_act!P4*1000)</f>
        <v>288.22282383956485</v>
      </c>
      <c r="Q24" s="63">
        <f>IF(Q4=0,0,Q4/MBunk_act!Q4*1000)</f>
        <v>385.09278671171921</v>
      </c>
      <c r="R24" s="63">
        <f>IF(R4=0,0,R4/MBunk_act!R4*1000)</f>
        <v>529.7677068339807</v>
      </c>
      <c r="S24" s="63">
        <f>IF(S4=0,0,S4/MBunk_act!S4*1000)</f>
        <v>521.36098118216569</v>
      </c>
      <c r="T24" s="63">
        <f>IF(T4=0,0,T4/MBunk_act!T4*1000)</f>
        <v>407.1994455482432</v>
      </c>
      <c r="U24" s="63">
        <f>IF(U4=0,0,U4/MBunk_act!U4*1000)</f>
        <v>424.54330875373478</v>
      </c>
      <c r="V24" s="63">
        <f>IF(V4=0,0,V4/MBunk_act!V4*1000)</f>
        <v>423.68268493333028</v>
      </c>
      <c r="W24" s="63">
        <f>IF(W4=0,0,W4/MBunk_act!W4*1000)</f>
        <v>521.89282445094875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187.26062750262503</v>
      </c>
      <c r="C25" s="64">
        <f>IF(C10=0,0,C10/MBunk_act!C5*1000)</f>
        <v>189.01737203479448</v>
      </c>
      <c r="D25" s="64">
        <f>IF(D10=0,0,D10/MBunk_act!D5*1000)</f>
        <v>188.71064696372693</v>
      </c>
      <c r="E25" s="64">
        <f>IF(E10=0,0,E10/MBunk_act!E5*1000)</f>
        <v>188.57334768346303</v>
      </c>
      <c r="F25" s="64">
        <f>IF(F10=0,0,F10/MBunk_act!F5*1000)</f>
        <v>140.06124217376183</v>
      </c>
      <c r="G25" s="64">
        <f>IF(G10=0,0,G10/MBunk_act!G5*1000)</f>
        <v>142.76530774307292</v>
      </c>
      <c r="H25" s="64">
        <f>IF(H10=0,0,H10/MBunk_act!H5*1000)</f>
        <v>159.43786079738305</v>
      </c>
      <c r="I25" s="64">
        <f>IF(I10=0,0,I10/MBunk_act!I5*1000)</f>
        <v>184.23721165903774</v>
      </c>
      <c r="J25" s="64">
        <f>IF(J10=0,0,J10/MBunk_act!J5*1000)</f>
        <v>193.42697121650218</v>
      </c>
      <c r="K25" s="64">
        <f>IF(K10=0,0,K10/MBunk_act!K5*1000)</f>
        <v>205.38618710264706</v>
      </c>
      <c r="L25" s="64">
        <f>IF(L10=0,0,L10/MBunk_act!L5*1000)</f>
        <v>281.04393449577128</v>
      </c>
      <c r="M25" s="64">
        <f>IF(M10=0,0,M10/MBunk_act!M5*1000)</f>
        <v>263.63155240614464</v>
      </c>
      <c r="N25" s="64">
        <f>IF(N10=0,0,N10/MBunk_act!N5*1000)</f>
        <v>259.56089274724474</v>
      </c>
      <c r="O25" s="64">
        <f>IF(O10=0,0,O10/MBunk_act!O5*1000)</f>
        <v>216.43355418531604</v>
      </c>
      <c r="P25" s="64">
        <f>IF(P10=0,0,P10/MBunk_act!P5*1000)</f>
        <v>172.25369468390744</v>
      </c>
      <c r="Q25" s="64">
        <f>IF(Q10=0,0,Q10/MBunk_act!Q5*1000)</f>
        <v>326.43935781462102</v>
      </c>
      <c r="R25" s="64">
        <f>IF(R10=0,0,R10/MBunk_act!R5*1000)</f>
        <v>347.14693518203671</v>
      </c>
      <c r="S25" s="64">
        <f>IF(S10=0,0,S10/MBunk_act!S5*1000)</f>
        <v>336.56011730039199</v>
      </c>
      <c r="T25" s="64">
        <f>IF(T10=0,0,T10/MBunk_act!T5*1000)</f>
        <v>306.12809067387491</v>
      </c>
      <c r="U25" s="64">
        <f>IF(U10=0,0,U10/MBunk_act!U5*1000)</f>
        <v>237.06646311779949</v>
      </c>
      <c r="V25" s="64">
        <f>IF(V10=0,0,V10/MBunk_act!V5*1000)</f>
        <v>497.59617206045243</v>
      </c>
      <c r="W25" s="64">
        <f>IF(W10=0,0,W10/MBunk_act!W5*1000)</f>
        <v>563.33987018683354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0.50576129641537093</v>
      </c>
      <c r="C28" s="77">
        <f t="shared" si="3"/>
        <v>0.50578541456429371</v>
      </c>
      <c r="D28" s="77">
        <f t="shared" si="3"/>
        <v>0.50397984681658681</v>
      </c>
      <c r="E28" s="77">
        <f t="shared" si="3"/>
        <v>0.50411609173940974</v>
      </c>
      <c r="F28" s="77">
        <f t="shared" si="3"/>
        <v>0.42822738336412153</v>
      </c>
      <c r="G28" s="77">
        <f t="shared" si="3"/>
        <v>0.50685975222091073</v>
      </c>
      <c r="H28" s="77">
        <f t="shared" si="3"/>
        <v>0.45801254902378163</v>
      </c>
      <c r="I28" s="77">
        <f t="shared" si="3"/>
        <v>0.41812377538388845</v>
      </c>
      <c r="J28" s="77">
        <f t="shared" si="3"/>
        <v>0.52659191945549977</v>
      </c>
      <c r="K28" s="77">
        <f t="shared" si="3"/>
        <v>0.5202096276585676</v>
      </c>
      <c r="L28" s="77">
        <f t="shared" si="3"/>
        <v>0.51983787794656511</v>
      </c>
      <c r="M28" s="77">
        <f t="shared" si="3"/>
        <v>0.50422765838503991</v>
      </c>
      <c r="N28" s="77">
        <f t="shared" si="3"/>
        <v>0.55921578718883336</v>
      </c>
      <c r="O28" s="77">
        <f t="shared" si="3"/>
        <v>0.55999610681276768</v>
      </c>
      <c r="P28" s="77">
        <f t="shared" si="3"/>
        <v>0.51245434620176877</v>
      </c>
      <c r="Q28" s="77">
        <f t="shared" si="3"/>
        <v>0.56554737247176912</v>
      </c>
      <c r="R28" s="77">
        <f t="shared" si="3"/>
        <v>0.52570451657369255</v>
      </c>
      <c r="S28" s="77">
        <f t="shared" si="3"/>
        <v>0.51326133336018664</v>
      </c>
      <c r="T28" s="77">
        <f t="shared" si="3"/>
        <v>0.53680767897298631</v>
      </c>
      <c r="U28" s="77">
        <f t="shared" si="3"/>
        <v>0.47888853865213304</v>
      </c>
      <c r="V28" s="77">
        <f t="shared" si="3"/>
        <v>0.54436326908424282</v>
      </c>
      <c r="W28" s="77">
        <f t="shared" si="3"/>
        <v>0.51777956396910585</v>
      </c>
      <c r="DA28" s="184"/>
    </row>
    <row r="29" spans="1:105" ht="11.45" customHeight="1" x14ac:dyDescent="0.25">
      <c r="A29" s="57" t="s">
        <v>171</v>
      </c>
      <c r="B29" s="78">
        <f>IF(B10=0,0,B10/B$3)</f>
        <v>0.49423870358462901</v>
      </c>
      <c r="C29" s="78">
        <f t="shared" ref="C29:W29" si="4">IF(C10=0,0,C10/C$3)</f>
        <v>0.49421458543570623</v>
      </c>
      <c r="D29" s="78">
        <f t="shared" si="4"/>
        <v>0.49602015318341314</v>
      </c>
      <c r="E29" s="78">
        <f t="shared" si="4"/>
        <v>0.49588390826059037</v>
      </c>
      <c r="F29" s="78">
        <f t="shared" si="4"/>
        <v>0.57177261663587842</v>
      </c>
      <c r="G29" s="78">
        <f t="shared" si="4"/>
        <v>0.49314024777908938</v>
      </c>
      <c r="H29" s="78">
        <f t="shared" si="4"/>
        <v>0.54198745097621848</v>
      </c>
      <c r="I29" s="78">
        <f t="shared" si="4"/>
        <v>0.58187622461611155</v>
      </c>
      <c r="J29" s="78">
        <f t="shared" si="4"/>
        <v>0.47340808054450018</v>
      </c>
      <c r="K29" s="78">
        <f t="shared" si="4"/>
        <v>0.4797903723414324</v>
      </c>
      <c r="L29" s="78">
        <f t="shared" si="4"/>
        <v>0.48016212205343489</v>
      </c>
      <c r="M29" s="78">
        <f t="shared" si="4"/>
        <v>0.49577234161496009</v>
      </c>
      <c r="N29" s="78">
        <f t="shared" si="4"/>
        <v>0.44078421281116664</v>
      </c>
      <c r="O29" s="78">
        <f t="shared" si="4"/>
        <v>0.44000389318723226</v>
      </c>
      <c r="P29" s="78">
        <f t="shared" si="4"/>
        <v>0.48754565379823123</v>
      </c>
      <c r="Q29" s="78">
        <f t="shared" si="4"/>
        <v>0.43445262752823077</v>
      </c>
      <c r="R29" s="78">
        <f t="shared" si="4"/>
        <v>0.47429548342630745</v>
      </c>
      <c r="S29" s="78">
        <f t="shared" si="4"/>
        <v>0.48673866663981347</v>
      </c>
      <c r="T29" s="78">
        <f t="shared" si="4"/>
        <v>0.46319232102701369</v>
      </c>
      <c r="U29" s="78">
        <f t="shared" si="4"/>
        <v>0.52111146134786701</v>
      </c>
      <c r="V29" s="78">
        <f t="shared" si="4"/>
        <v>0.45563673091575713</v>
      </c>
      <c r="W29" s="78">
        <f t="shared" si="4"/>
        <v>0.4822204360308941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2115.16649676</v>
      </c>
      <c r="C3" s="62">
        <f t="shared" ref="C3:W3" si="1">SUM(C4:C5)</f>
        <v>2333.22308892</v>
      </c>
      <c r="D3" s="62">
        <f t="shared" si="1"/>
        <v>2387.9836508400003</v>
      </c>
      <c r="E3" s="62">
        <f t="shared" si="1"/>
        <v>2947.8873909600006</v>
      </c>
      <c r="F3" s="62">
        <f t="shared" si="1"/>
        <v>3153.2759071200003</v>
      </c>
      <c r="G3" s="62">
        <f t="shared" si="1"/>
        <v>2112.6331817999999</v>
      </c>
      <c r="H3" s="62">
        <f t="shared" si="1"/>
        <v>2412.8289039600008</v>
      </c>
      <c r="I3" s="62">
        <f t="shared" si="1"/>
        <v>2703.5818761600003</v>
      </c>
      <c r="J3" s="62">
        <f t="shared" si="1"/>
        <v>2924.4556504800003</v>
      </c>
      <c r="K3" s="62">
        <f t="shared" si="1"/>
        <v>3620.3204664000004</v>
      </c>
      <c r="L3" s="62">
        <f t="shared" si="1"/>
        <v>4660.8343801200008</v>
      </c>
      <c r="M3" s="62">
        <f t="shared" si="1"/>
        <v>4292.5267818000011</v>
      </c>
      <c r="N3" s="62">
        <f t="shared" si="1"/>
        <v>3809.46011688</v>
      </c>
      <c r="O3" s="62">
        <f t="shared" si="1"/>
        <v>3822.0892491600021</v>
      </c>
      <c r="P3" s="62">
        <f t="shared" si="1"/>
        <v>3938.4396007199989</v>
      </c>
      <c r="Q3" s="62">
        <f t="shared" si="1"/>
        <v>4942.9317322799998</v>
      </c>
      <c r="R3" s="62">
        <f t="shared" si="1"/>
        <v>5639.8023575999987</v>
      </c>
      <c r="S3" s="62">
        <f t="shared" si="1"/>
        <v>6871.0672061999994</v>
      </c>
      <c r="T3" s="62">
        <f t="shared" si="1"/>
        <v>7101.3779665199991</v>
      </c>
      <c r="U3" s="62">
        <f t="shared" si="1"/>
        <v>7277.7442172400024</v>
      </c>
      <c r="V3" s="62">
        <f t="shared" si="1"/>
        <v>7027.2414302400011</v>
      </c>
      <c r="W3" s="62">
        <f t="shared" si="1"/>
        <v>6230.7827024399994</v>
      </c>
      <c r="DA3" s="172" t="s">
        <v>985</v>
      </c>
    </row>
    <row r="4" spans="1:105" ht="11.45" customHeight="1" x14ac:dyDescent="0.25">
      <c r="A4" s="55" t="s">
        <v>170</v>
      </c>
      <c r="B4" s="63">
        <v>1063.751533082687</v>
      </c>
      <c r="C4" s="63">
        <v>1174.7502461464549</v>
      </c>
      <c r="D4" s="63">
        <v>1196.8502572808732</v>
      </c>
      <c r="E4" s="63">
        <v>1479.2919854375771</v>
      </c>
      <c r="F4" s="63">
        <v>1341.0850287615376</v>
      </c>
      <c r="G4" s="63">
        <v>1063.7635547729985</v>
      </c>
      <c r="H4" s="63">
        <v>1095.9923690838637</v>
      </c>
      <c r="I4" s="63">
        <v>1121.1281332423509</v>
      </c>
      <c r="J4" s="63">
        <v>1529.6748131023414</v>
      </c>
      <c r="K4" s="63">
        <v>1866.9563914569515</v>
      </c>
      <c r="L4" s="63">
        <v>2411.110140812591</v>
      </c>
      <c r="M4" s="63">
        <v>2153.9326643134186</v>
      </c>
      <c r="N4" s="63">
        <v>2120.7183961044043</v>
      </c>
      <c r="O4" s="63">
        <v>2132.8170670708141</v>
      </c>
      <c r="P4" s="63">
        <v>2009.6446741298469</v>
      </c>
      <c r="Q4" s="63">
        <v>2784.3606269845764</v>
      </c>
      <c r="R4" s="63">
        <v>2952.891900173458</v>
      </c>
      <c r="S4" s="63">
        <v>3511.6546891909188</v>
      </c>
      <c r="T4" s="63">
        <v>3795.8736966566657</v>
      </c>
      <c r="U4" s="63">
        <v>3466.6649020012469</v>
      </c>
      <c r="V4" s="63">
        <v>3807.8439278535498</v>
      </c>
      <c r="W4" s="63">
        <v>3208.6959511959194</v>
      </c>
      <c r="DA4" s="181" t="s">
        <v>986</v>
      </c>
    </row>
    <row r="5" spans="1:105" ht="11.45" customHeight="1" x14ac:dyDescent="0.25">
      <c r="A5" s="57" t="s">
        <v>171</v>
      </c>
      <c r="B5" s="64">
        <v>1051.4149636773127</v>
      </c>
      <c r="C5" s="64">
        <v>1158.4728427735449</v>
      </c>
      <c r="D5" s="64">
        <v>1191.1333935591274</v>
      </c>
      <c r="E5" s="64">
        <v>1468.5954055224233</v>
      </c>
      <c r="F5" s="64">
        <v>1812.1908783584627</v>
      </c>
      <c r="G5" s="64">
        <v>1048.8696270270011</v>
      </c>
      <c r="H5" s="64">
        <v>1316.8365348761372</v>
      </c>
      <c r="I5" s="64">
        <v>1582.4537429176494</v>
      </c>
      <c r="J5" s="64">
        <v>1394.7808373776591</v>
      </c>
      <c r="K5" s="64">
        <v>1753.3640749430488</v>
      </c>
      <c r="L5" s="64">
        <v>2249.7242393074102</v>
      </c>
      <c r="M5" s="64">
        <v>2138.5941174865825</v>
      </c>
      <c r="N5" s="64">
        <v>1688.7417207755955</v>
      </c>
      <c r="O5" s="64">
        <v>1689.2721820891879</v>
      </c>
      <c r="P5" s="64">
        <v>1928.794926590152</v>
      </c>
      <c r="Q5" s="64">
        <v>2158.5711052954239</v>
      </c>
      <c r="R5" s="64">
        <v>2686.9104574265407</v>
      </c>
      <c r="S5" s="64">
        <v>3359.4125170090811</v>
      </c>
      <c r="T5" s="64">
        <v>3305.5042698633333</v>
      </c>
      <c r="U5" s="64">
        <v>3811.079315238755</v>
      </c>
      <c r="V5" s="64">
        <v>3219.3975023864518</v>
      </c>
      <c r="W5" s="64">
        <v>3022.0867512440796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3.2129928256154017</v>
      </c>
      <c r="C9" s="79">
        <f>IF(C3=0,0,C3/MBunk_ene!C3)</f>
        <v>3.2182704231725001</v>
      </c>
      <c r="D9" s="79">
        <f>IF(D3=0,0,D3/MBunk_ene!D3)</f>
        <v>3.2136573258993426</v>
      </c>
      <c r="E9" s="79">
        <f>IF(E3=0,0,E3/MBunk_ene!E3)</f>
        <v>3.2182753764603023</v>
      </c>
      <c r="F9" s="79">
        <f>IF(F3=0,0,F3/MBunk_ene!F3)</f>
        <v>3.2145449120222569</v>
      </c>
      <c r="G9" s="79">
        <f>IF(G3=0,0,G3/MBunk_ene!G3)</f>
        <v>3.2082596429372243</v>
      </c>
      <c r="H9" s="79">
        <f>IF(H3=0,0,H3/MBunk_ene!H3)</f>
        <v>3.2060782808403094</v>
      </c>
      <c r="I9" s="79">
        <f>IF(I3=0,0,I3/MBunk_ene!I3)</f>
        <v>3.2102544278920586</v>
      </c>
      <c r="J9" s="79">
        <f>IF(J3=0,0,J3/MBunk_ene!J3)</f>
        <v>3.2054326295921749</v>
      </c>
      <c r="K9" s="79">
        <f>IF(K3=0,0,K3/MBunk_ene!K3)</f>
        <v>3.1961113034407953</v>
      </c>
      <c r="L9" s="79">
        <f>IF(L3=0,0,L3/MBunk_ene!L3)</f>
        <v>3.2156186697182836</v>
      </c>
      <c r="M9" s="79">
        <f>IF(M3=0,0,M3/MBunk_ene!M3)</f>
        <v>3.2169746103115195</v>
      </c>
      <c r="N9" s="79">
        <f>IF(N3=0,0,N3/MBunk_ene!N3)</f>
        <v>3.2141241740207138</v>
      </c>
      <c r="O9" s="79">
        <f>IF(O3=0,0,O3/MBunk_ene!O3)</f>
        <v>3.2197834833681664</v>
      </c>
      <c r="P9" s="79">
        <f>IF(P3=0,0,P3/MBunk_ene!P3)</f>
        <v>3.2191262543729229</v>
      </c>
      <c r="Q9" s="79">
        <f>IF(Q3=0,0,Q3/MBunk_ene!Q3)</f>
        <v>3.2166663736330965</v>
      </c>
      <c r="R9" s="79">
        <f>IF(R3=0,0,R3/MBunk_ene!R3)</f>
        <v>3.2193610477729142</v>
      </c>
      <c r="S9" s="79">
        <f>IF(S3=0,0,S3/MBunk_ene!S3)</f>
        <v>3.219168655243144</v>
      </c>
      <c r="T9" s="79">
        <f>IF(T3=0,0,T3/MBunk_ene!T3)</f>
        <v>3.2174171315644853</v>
      </c>
      <c r="U9" s="79">
        <f>IF(U3=0,0,U3/MBunk_ene!U3)</f>
        <v>3.2168838811514702</v>
      </c>
      <c r="V9" s="79">
        <f>IF(V3=0,0,V3/MBunk_ene!V3)</f>
        <v>3.2149844578260738</v>
      </c>
      <c r="W9" s="79">
        <f>IF(W3=0,0,W3/MBunk_ene!W3)</f>
        <v>3.2128730409918056</v>
      </c>
      <c r="DA9" s="172"/>
    </row>
    <row r="10" spans="1:105" ht="11.45" customHeight="1" x14ac:dyDescent="0.25">
      <c r="A10" s="55" t="s">
        <v>170</v>
      </c>
      <c r="B10" s="80">
        <f>IF(B4=0,0,B4/MBunk_ene!B4)</f>
        <v>3.1949186481323948</v>
      </c>
      <c r="C10" s="80">
        <f>IF(C4=0,0,C4/MBunk_ene!C4)</f>
        <v>3.2036533100043112</v>
      </c>
      <c r="D10" s="80">
        <f>IF(D4=0,0,D4/MBunk_ene!D4)</f>
        <v>3.1959123796494806</v>
      </c>
      <c r="E10" s="80">
        <f>IF(E4=0,0,E4/MBunk_ene!E4)</f>
        <v>3.2035806114385657</v>
      </c>
      <c r="F10" s="80">
        <f>IF(F4=0,0,F4/MBunk_ene!F4)</f>
        <v>3.1925624731117903</v>
      </c>
      <c r="G10" s="80">
        <f>IF(G4=0,0,G4/MBunk_ene!G4)</f>
        <v>3.1871515270749162</v>
      </c>
      <c r="H10" s="80">
        <f>IF(H4=0,0,H4/MBunk_ene!H4)</f>
        <v>3.1796385102193438</v>
      </c>
      <c r="I10" s="80">
        <f>IF(I4=0,0,I4/MBunk_ene!I4)</f>
        <v>3.1838332567974428</v>
      </c>
      <c r="J10" s="80">
        <f>IF(J4=0,0,J4/MBunk_ene!J4)</f>
        <v>3.1839521998990241</v>
      </c>
      <c r="K10" s="80">
        <f>IF(K4=0,0,K4/MBunk_ene!K4)</f>
        <v>3.1683318841414434</v>
      </c>
      <c r="L10" s="80">
        <f>IF(L4=0,0,L4/MBunk_ene!L4)</f>
        <v>3.2000001535172995</v>
      </c>
      <c r="M10" s="80">
        <f>IF(M4=0,0,M4/MBunk_ene!M4)</f>
        <v>3.2014010116487466</v>
      </c>
      <c r="N10" s="80">
        <f>IF(N4=0,0,N4/MBunk_ene!N4)</f>
        <v>3.1996523987638854</v>
      </c>
      <c r="O10" s="80">
        <f>IF(O4=0,0,O4/MBunk_ene!O4)</f>
        <v>3.2084438546947287</v>
      </c>
      <c r="P10" s="80">
        <f>IF(P4=0,0,P4/MBunk_ene!P4)</f>
        <v>3.2053681419054336</v>
      </c>
      <c r="Q10" s="80">
        <f>IF(Q4=0,0,Q4/MBunk_ene!Q4)</f>
        <v>3.2038922473231666</v>
      </c>
      <c r="R10" s="80">
        <f>IF(R4=0,0,R4/MBunk_ene!R4)</f>
        <v>3.2063552648542117</v>
      </c>
      <c r="S10" s="80">
        <f>IF(S4=0,0,S4/MBunk_ene!S4)</f>
        <v>3.2054779225767334</v>
      </c>
      <c r="T10" s="80">
        <f>IF(T4=0,0,T4/MBunk_ene!T4)</f>
        <v>3.2037437741619397</v>
      </c>
      <c r="U10" s="80">
        <f>IF(U4=0,0,U4/MBunk_ene!U4)</f>
        <v>3.1997497746100949</v>
      </c>
      <c r="V10" s="80">
        <f>IF(V4=0,0,V4/MBunk_ene!V4)</f>
        <v>3.2002531177349067</v>
      </c>
      <c r="W10" s="80">
        <f>IF(W4=0,0,W4/MBunk_ene!W4)</f>
        <v>3.1954690808103976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3.2314883812429693</v>
      </c>
      <c r="C11" s="81">
        <f>IF(C5=0,0,C5/MBunk_ene!C10)</f>
        <v>3.2332297603943818</v>
      </c>
      <c r="D11" s="81">
        <f>IF(D5=0,0,D5/MBunk_ene!D10)</f>
        <v>3.2316870273850156</v>
      </c>
      <c r="E11" s="81">
        <f>IF(E5=0,0,E5/MBunk_ene!E10)</f>
        <v>3.2332140897123027</v>
      </c>
      <c r="F11" s="81">
        <f>IF(F5=0,0,F5/MBunk_ene!F10)</f>
        <v>3.2310085935989936</v>
      </c>
      <c r="G11" s="81">
        <f>IF(G5=0,0,G5/MBunk_ene!G10)</f>
        <v>3.2299550012536513</v>
      </c>
      <c r="H11" s="81">
        <f>IF(H5=0,0,H5/MBunk_ene!H10)</f>
        <v>3.2284215043151345</v>
      </c>
      <c r="I11" s="81">
        <f>IF(I5=0,0,I5/MBunk_ene!I10)</f>
        <v>3.2292401147800782</v>
      </c>
      <c r="J11" s="81">
        <f>IF(J5=0,0,J5/MBunk_ene!J10)</f>
        <v>3.2293262240780054</v>
      </c>
      <c r="K11" s="81">
        <f>IF(K5=0,0,K5/MBunk_ene!K10)</f>
        <v>3.2262309602812689</v>
      </c>
      <c r="L11" s="81">
        <f>IF(L5=0,0,L5/MBunk_ene!L10)</f>
        <v>3.2325277426036507</v>
      </c>
      <c r="M11" s="81">
        <f>IF(M5=0,0,M5/MBunk_ene!M10)</f>
        <v>3.2328138141702483</v>
      </c>
      <c r="N11" s="81">
        <f>IF(N5=0,0,N5/MBunk_ene!N10)</f>
        <v>3.232484280751065</v>
      </c>
      <c r="O11" s="81">
        <f>IF(O5=0,0,O5/MBunk_ene!O10)</f>
        <v>3.2342155100119072</v>
      </c>
      <c r="P11" s="81">
        <f>IF(P5=0,0,P5/MBunk_ene!P10)</f>
        <v>3.2335872683817066</v>
      </c>
      <c r="Q11" s="81">
        <f>IF(Q5=0,0,Q5/MBunk_ene!Q10)</f>
        <v>3.2332950532921565</v>
      </c>
      <c r="R11" s="81">
        <f>IF(R5=0,0,R5/MBunk_ene!R10)</f>
        <v>3.2337765314974209</v>
      </c>
      <c r="S11" s="81">
        <f>IF(S5=0,0,S5/MBunk_ene!S10)</f>
        <v>3.2336054037175352</v>
      </c>
      <c r="T11" s="81">
        <f>IF(T5=0,0,T5/MBunk_ene!T10)</f>
        <v>3.2332636016328022</v>
      </c>
      <c r="U11" s="81">
        <f>IF(U5=0,0,U5/MBunk_ene!U10)</f>
        <v>3.2326297010984839</v>
      </c>
      <c r="V11" s="81">
        <f>IF(V5=0,0,V5/MBunk_ene!V10)</f>
        <v>3.2325844446267484</v>
      </c>
      <c r="W11" s="81">
        <f>IF(W5=0,0,W5/MBunk_ene!W10)</f>
        <v>3.2315603761620793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735400.57810799626</v>
      </c>
      <c r="C13" s="62">
        <f>IF(C3=0,0,C3/MBunk_act!C7*100)</f>
        <v>767479.82438793324</v>
      </c>
      <c r="D13" s="62">
        <f>IF(D3=0,0,D3/MBunk_act!D7*100)</f>
        <v>773220.62545817206</v>
      </c>
      <c r="E13" s="62">
        <f>IF(E3=0,0,E3/MBunk_act!E7*100)</f>
        <v>775757.7982584259</v>
      </c>
      <c r="F13" s="62">
        <f>IF(F3=0,0,F3/MBunk_act!F7*100)</f>
        <v>759710.19028918515</v>
      </c>
      <c r="G13" s="62">
        <f>IF(G3=0,0,G3/MBunk_act!G7*100)</f>
        <v>648206.05725331372</v>
      </c>
      <c r="H13" s="62">
        <f>IF(H3=0,0,H3/MBunk_act!H7*100)</f>
        <v>757657.62749992963</v>
      </c>
      <c r="I13" s="62">
        <f>IF(I3=0,0,I3/MBunk_act!I7*100)</f>
        <v>801750.20792977675</v>
      </c>
      <c r="J13" s="62">
        <f>IF(J3=0,0,J3/MBunk_act!J7*100)</f>
        <v>579729.22111122566</v>
      </c>
      <c r="K13" s="62">
        <f>IF(K3=0,0,K3/MBunk_act!K7*100)</f>
        <v>726626.17718073935</v>
      </c>
      <c r="L13" s="62">
        <f>IF(L3=0,0,L3/MBunk_act!L7*100)</f>
        <v>967497.96677467786</v>
      </c>
      <c r="M13" s="62">
        <f>IF(M3=0,0,M3/MBunk_act!M7*100)</f>
        <v>1105159.2093365744</v>
      </c>
      <c r="N13" s="62">
        <f>IF(N3=0,0,N3/MBunk_act!N7*100)</f>
        <v>937235.70190204633</v>
      </c>
      <c r="O13" s="62">
        <f>IF(O3=0,0,O3/MBunk_act!O7*100)</f>
        <v>885759.86529904744</v>
      </c>
      <c r="P13" s="62">
        <f>IF(P3=0,0,P3/MBunk_act!P7*100)</f>
        <v>905546.62440334377</v>
      </c>
      <c r="Q13" s="62">
        <f>IF(Q3=0,0,Q3/MBunk_act!Q7*100)</f>
        <v>1253072.3213162129</v>
      </c>
      <c r="R13" s="62">
        <f>IF(R3=0,0,R3/MBunk_act!R7*100)</f>
        <v>1863344.1451609167</v>
      </c>
      <c r="S13" s="62">
        <f>IF(S3=0,0,S3/MBunk_act!S7*100)</f>
        <v>1875055.8625827539</v>
      </c>
      <c r="T13" s="62">
        <f>IF(T3=0,0,T3/MBunk_act!T7*100)</f>
        <v>1416346.6477032709</v>
      </c>
      <c r="U13" s="62">
        <f>IF(U3=0,0,U3/MBunk_act!U7*100)</f>
        <v>1364342.5443576889</v>
      </c>
      <c r="V13" s="62">
        <f>IF(V3=0,0,V3/MBunk_act!V7*100)</f>
        <v>1510451.879830024</v>
      </c>
      <c r="W13" s="62">
        <f>IF(W3=0,0,W3/MBunk_act!W7*100)</f>
        <v>1848666.546733048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547662.12736256956</v>
      </c>
      <c r="C14" s="63">
        <f>IF(C4=0,0,C4/MBunk_act!C8*100)</f>
        <v>572749.95302279037</v>
      </c>
      <c r="D14" s="63">
        <f>IF(D4=0,0,D4/MBunk_act!D8*100)</f>
        <v>576406.40400735568</v>
      </c>
      <c r="E14" s="63">
        <f>IF(E4=0,0,E4/MBunk_act!E8*100)</f>
        <v>580474.17044191202</v>
      </c>
      <c r="F14" s="63">
        <f>IF(F4=0,0,F4/MBunk_act!F8*100)</f>
        <v>595833.88296517974</v>
      </c>
      <c r="G14" s="63">
        <f>IF(G4=0,0,G4/MBunk_act!G8*100)</f>
        <v>485001.52954106033</v>
      </c>
      <c r="H14" s="63">
        <f>IF(H4=0,0,H4/MBunk_act!H8*100)</f>
        <v>557913.08971155481</v>
      </c>
      <c r="I14" s="63">
        <f>IF(I4=0,0,I4/MBunk_act!I8*100)</f>
        <v>585852.38481156679</v>
      </c>
      <c r="J14" s="63">
        <f>IF(J4=0,0,J4/MBunk_act!J8*100)</f>
        <v>405061.64948160719</v>
      </c>
      <c r="K14" s="63">
        <f>IF(K4=0,0,K4/MBunk_act!K8*100)</f>
        <v>506609.24548381398</v>
      </c>
      <c r="L14" s="63">
        <f>IF(L4=0,0,L4/MBunk_act!L8*100)</f>
        <v>674178.04668213602</v>
      </c>
      <c r="M14" s="63">
        <f>IF(M4=0,0,M4/MBunk_act!M8*100)</f>
        <v>767958.87844314787</v>
      </c>
      <c r="N14" s="63">
        <f>IF(N4=0,0,N4/MBunk_act!N8*100)</f>
        <v>648149.24268768704</v>
      </c>
      <c r="O14" s="63">
        <f>IF(O4=0,0,O4/MBunk_act!O8*100)</f>
        <v>611713.04872349917</v>
      </c>
      <c r="P14" s="63">
        <f>IF(P4=0,0,P4/MBunk_act!P8*100)</f>
        <v>625204.44817658362</v>
      </c>
      <c r="Q14" s="63">
        <f>IF(Q4=0,0,Q4/MBunk_act!Q8*100)</f>
        <v>864729.7532188925</v>
      </c>
      <c r="R14" s="63">
        <f>IF(R4=0,0,R4/MBunk_act!R8*100)</f>
        <v>1278922.7291787213</v>
      </c>
      <c r="S14" s="63">
        <f>IF(S4=0,0,S4/MBunk_act!S8*100)</f>
        <v>1284856.6977512499</v>
      </c>
      <c r="T14" s="63">
        <f>IF(T4=0,0,T4/MBunk_act!T8*100)</f>
        <v>969831.93363652204</v>
      </c>
      <c r="U14" s="63">
        <f>IF(U4=0,0,U4/MBunk_act!U8*100)</f>
        <v>914361.6131460421</v>
      </c>
      <c r="V14" s="63">
        <f>IF(V4=0,0,V4/MBunk_act!V8*100)</f>
        <v>973208.55780159077</v>
      </c>
      <c r="W14" s="63">
        <f>IF(W4=0,0,W4/MBunk_act!W8*100)</f>
        <v>1152867.6937212949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1125880.7141084452</v>
      </c>
      <c r="C15" s="64">
        <f>IF(C5=0,0,C5/MBunk_act!C9*100)</f>
        <v>1171310.4048102656</v>
      </c>
      <c r="D15" s="64">
        <f>IF(D5=0,0,D5/MBunk_act!D9*100)</f>
        <v>1177055.8061179565</v>
      </c>
      <c r="E15" s="64">
        <f>IF(E5=0,0,E5/MBunk_act!E9*100)</f>
        <v>1173383.7802494615</v>
      </c>
      <c r="F15" s="64">
        <f>IF(F5=0,0,F5/MBunk_act!F9*100)</f>
        <v>953854.9568696972</v>
      </c>
      <c r="G15" s="64">
        <f>IF(G5=0,0,G5/MBunk_act!G9*100)</f>
        <v>984041.0055794284</v>
      </c>
      <c r="H15" s="64">
        <f>IF(H5=0,0,H5/MBunk_act!H9*100)</f>
        <v>1079250.3605128403</v>
      </c>
      <c r="I15" s="64">
        <f>IF(I5=0,0,I5/MBunk_act!I9*100)</f>
        <v>1085039.215401253</v>
      </c>
      <c r="J15" s="64">
        <f>IF(J5=0,0,J5/MBunk_act!J9*100)</f>
        <v>1099880.7978564007</v>
      </c>
      <c r="K15" s="64">
        <f>IF(K5=0,0,K5/MBunk_act!K9*100)</f>
        <v>1351684.1084384073</v>
      </c>
      <c r="L15" s="64">
        <f>IF(L5=0,0,L5/MBunk_act!L9*100)</f>
        <v>1812773.3508246394</v>
      </c>
      <c r="M15" s="64">
        <f>IF(M5=0,0,M5/MBunk_act!M9*100)</f>
        <v>1981408.9458150726</v>
      </c>
      <c r="N15" s="64">
        <f>IF(N5=0,0,N5/MBunk_act!N9*100)</f>
        <v>2130608.6483587078</v>
      </c>
      <c r="O15" s="64">
        <f>IF(O5=0,0,O5/MBunk_act!O9*100)</f>
        <v>2039174.0588466916</v>
      </c>
      <c r="P15" s="64">
        <f>IF(P5=0,0,P5/MBunk_act!P9*100)</f>
        <v>1699588.4308109828</v>
      </c>
      <c r="Q15" s="64">
        <f>IF(Q5=0,0,Q5/MBunk_act!Q9*100)</f>
        <v>2978448.6709470064</v>
      </c>
      <c r="R15" s="64">
        <f>IF(R5=0,0,R5/MBunk_act!R9*100)</f>
        <v>3743153.5167960501</v>
      </c>
      <c r="S15" s="64">
        <f>IF(S5=0,0,S5/MBunk_act!S9*100)</f>
        <v>3607035.5043851198</v>
      </c>
      <c r="T15" s="64">
        <f>IF(T5=0,0,T5/MBunk_act!T9*100)</f>
        <v>3005222.4433261808</v>
      </c>
      <c r="U15" s="64">
        <f>IF(U5=0,0,U5/MBunk_act!U9*100)</f>
        <v>2470075.3874125062</v>
      </c>
      <c r="V15" s="64">
        <f>IF(V5=0,0,V5/MBunk_act!V9*100)</f>
        <v>4352066.2697521457</v>
      </c>
      <c r="W15" s="64">
        <f>IF(W5=0,0,W5/MBunk_act!W9*100)</f>
        <v>5146693.1508439844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648.87989775824781</v>
      </c>
      <c r="C17" s="62">
        <f>IF(C3=0,0,C3/MBunk_act!C3*1000)</f>
        <v>662.04154890274378</v>
      </c>
      <c r="D17" s="62">
        <f>IF(D3=0,0,D3/MBunk_act!D3*1000)</f>
        <v>658.20974914342264</v>
      </c>
      <c r="E17" s="62">
        <f>IF(E3=0,0,E3/MBunk_act!E3*1000)</f>
        <v>657.92170442504732</v>
      </c>
      <c r="F17" s="62">
        <f>IF(F3=0,0,F3/MBunk_act!F3*1000)</f>
        <v>542.40242967430618</v>
      </c>
      <c r="G17" s="62">
        <f>IF(G3=0,0,G3/MBunk_act!G3*1000)</f>
        <v>502.76441078648668</v>
      </c>
      <c r="H17" s="62">
        <f>IF(H3=0,0,H3/MBunk_act!H3*1000)</f>
        <v>530.01175977621824</v>
      </c>
      <c r="I17" s="62">
        <f>IF(I3=0,0,I3/MBunk_act!I3*1000)</f>
        <v>589.16659774359903</v>
      </c>
      <c r="J17" s="62">
        <f>IF(J3=0,0,J3/MBunk_act!J3*1000)</f>
        <v>641.33273109058052</v>
      </c>
      <c r="K17" s="62">
        <f>IF(K3=0,0,K3/MBunk_act!K3*1000)</f>
        <v>720.92049222286767</v>
      </c>
      <c r="L17" s="62">
        <f>IF(L3=0,0,L3/MBunk_act!L3*1000)</f>
        <v>988.78465113372511</v>
      </c>
      <c r="M17" s="62">
        <f>IF(M3=0,0,M3/MBunk_act!M3*1000)</f>
        <v>997.94856226715058</v>
      </c>
      <c r="N17" s="62">
        <f>IF(N3=0,0,N3/MBunk_act!N3*1000)</f>
        <v>918.06575809222227</v>
      </c>
      <c r="O17" s="62">
        <f>IF(O3=0,0,O3/MBunk_act!O3*1000)</f>
        <v>799.78633446568631</v>
      </c>
      <c r="P17" s="62">
        <f>IF(P3=0,0,P3/MBunk_act!P3*1000)</f>
        <v>698.53859825482346</v>
      </c>
      <c r="Q17" s="62">
        <f>IF(Q3=0,0,Q3/MBunk_act!Q3*1000)</f>
        <v>1149.0214200400285</v>
      </c>
      <c r="R17" s="62">
        <f>IF(R3=0,0,R3/MBunk_act!R3*1000)</f>
        <v>1364.9472107661372</v>
      </c>
      <c r="S17" s="62">
        <f>IF(S3=0,0,S3/MBunk_act!S3*1000)</f>
        <v>1324.3898612838761</v>
      </c>
      <c r="T17" s="62">
        <f>IF(T3=0,0,T3/MBunk_act!T3*1000)</f>
        <v>1136.3509026361946</v>
      </c>
      <c r="U17" s="62">
        <f>IF(U3=0,0,U3/MBunk_act!U3*1000)</f>
        <v>967.14216668376048</v>
      </c>
      <c r="V17" s="62">
        <f>IF(V3=0,0,V3/MBunk_act!V3*1000)</f>
        <v>1461.0159540959962</v>
      </c>
      <c r="W17" s="62">
        <f>IF(W3=0,0,W3/MBunk_act!W3*1000)</f>
        <v>1738.4536024062377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698.81658728729587</v>
      </c>
      <c r="C18" s="63">
        <f>IF(C4=0,0,C4/MBunk_act!C4*1000)</f>
        <v>721.28925744298351</v>
      </c>
      <c r="D18" s="63">
        <f>IF(D4=0,0,D4/MBunk_act!D4*1000)</f>
        <v>714.60059676989829</v>
      </c>
      <c r="E18" s="63">
        <f>IF(E4=0,0,E4/MBunk_act!E4*1000)</f>
        <v>713.98562736856422</v>
      </c>
      <c r="F18" s="63">
        <f>IF(F4=0,0,F4/MBunk_act!F4*1000)</f>
        <v>741.32421122807273</v>
      </c>
      <c r="G18" s="63">
        <f>IF(G4=0,0,G4/MBunk_act!G4*1000)</f>
        <v>551.90256159683224</v>
      </c>
      <c r="H18" s="63">
        <f>IF(H4=0,0,H4/MBunk_act!H4*1000)</f>
        <v>549.61370399334191</v>
      </c>
      <c r="I18" s="63">
        <f>IF(I4=0,0,I4/MBunk_act!I4*1000)</f>
        <v>581.19731524493409</v>
      </c>
      <c r="J18" s="63">
        <f>IF(J4=0,0,J4/MBunk_act!J4*1000)</f>
        <v>657.3516999449829</v>
      </c>
      <c r="K18" s="63">
        <f>IF(K4=0,0,K4/MBunk_act!K4*1000)</f>
        <v>785.85270697107626</v>
      </c>
      <c r="L18" s="63">
        <f>IF(L4=0,0,L4/MBunk_act!L4*1000)</f>
        <v>1077.665438749257</v>
      </c>
      <c r="M18" s="63">
        <f>IF(M4=0,0,M4/MBunk_act!M4*1000)</f>
        <v>1201.9284147657154</v>
      </c>
      <c r="N18" s="63">
        <f>IF(N4=0,0,N4/MBunk_act!N4*1000)</f>
        <v>992.51947973846814</v>
      </c>
      <c r="O18" s="63">
        <f>IF(O4=0,0,O4/MBunk_act!O4*1000)</f>
        <v>901.59019423353777</v>
      </c>
      <c r="P18" s="63">
        <f>IF(P4=0,0,P4/MBunk_act!P4*1000)</f>
        <v>923.86025730536323</v>
      </c>
      <c r="Q18" s="63">
        <f>IF(Q4=0,0,Q4/MBunk_act!Q4*1000)</f>
        <v>1233.7957938457509</v>
      </c>
      <c r="R18" s="63">
        <f>IF(R4=0,0,R4/MBunk_act!R4*1000)</f>
        <v>1698.6234759568765</v>
      </c>
      <c r="S18" s="63">
        <f>IF(S4=0,0,S4/MBunk_act!S4*1000)</f>
        <v>1671.2111148723759</v>
      </c>
      <c r="T18" s="63">
        <f>IF(T4=0,0,T4/MBunk_act!T4*1000)</f>
        <v>1304.5626885173779</v>
      </c>
      <c r="U18" s="63">
        <f>IF(U4=0,0,U4/MBunk_act!U4*1000)</f>
        <v>1358.4323564969868</v>
      </c>
      <c r="V18" s="63">
        <f>IF(V4=0,0,V4/MBunk_act!V4*1000)</f>
        <v>1355.8918333881863</v>
      </c>
      <c r="W18" s="63">
        <f>IF(W4=0,0,W4/MBunk_act!W4*1000)</f>
        <v>1667.6923840298155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605.13054203900049</v>
      </c>
      <c r="C19" s="64">
        <f>IF(C5=0,0,C5/MBunk_act!C5*1000)</f>
        <v>611.13659249443435</v>
      </c>
      <c r="D19" s="64">
        <f>IF(D5=0,0,D5/MBunk_act!D5*1000)</f>
        <v>609.8537497221098</v>
      </c>
      <c r="E19" s="64">
        <f>IF(E5=0,0,E5/MBunk_act!E5*1000)</f>
        <v>609.69800467438949</v>
      </c>
      <c r="F19" s="64">
        <f>IF(F5=0,0,F5/MBunk_act!F5*1000)</f>
        <v>452.53907709357424</v>
      </c>
      <c r="G19" s="64">
        <f>IF(G5=0,0,G5/MBunk_act!G5*1000)</f>
        <v>461.12551975025508</v>
      </c>
      <c r="H19" s="64">
        <f>IF(H5=0,0,H5/MBunk_act!H5*1000)</f>
        <v>514.73261840027442</v>
      </c>
      <c r="I19" s="64">
        <f>IF(I5=0,0,I5/MBunk_act!I5*1000)</f>
        <v>594.94619452459267</v>
      </c>
      <c r="J19" s="64">
        <f>IF(J5=0,0,J5/MBunk_act!J5*1000)</f>
        <v>624.63879059343208</v>
      </c>
      <c r="K19" s="64">
        <f>IF(K5=0,0,K5/MBunk_act!K5*1000)</f>
        <v>662.62327564468137</v>
      </c>
      <c r="L19" s="64">
        <f>IF(L5=0,0,L5/MBunk_act!L5*1000)</f>
        <v>908.482315148064</v>
      </c>
      <c r="M19" s="64">
        <f>IF(M5=0,0,M5/MBunk_act!M5*1000)</f>
        <v>852.27172446973213</v>
      </c>
      <c r="N19" s="64">
        <f>IF(N5=0,0,N5/MBunk_act!N5*1000)</f>
        <v>839.02650570318167</v>
      </c>
      <c r="O19" s="64">
        <f>IF(O5=0,0,O5/MBunk_act!O5*1000)</f>
        <v>699.9927578331517</v>
      </c>
      <c r="P19" s="64">
        <f>IF(P5=0,0,P5/MBunk_act!P5*1000)</f>
        <v>556.99735406159277</v>
      </c>
      <c r="Q19" s="64">
        <f>IF(Q5=0,0,Q5/MBunk_act!Q5*1000)</f>
        <v>1055.4747608218825</v>
      </c>
      <c r="R19" s="64">
        <f>IF(R5=0,0,R5/MBunk_act!R5*1000)</f>
        <v>1122.5956119729267</v>
      </c>
      <c r="S19" s="64">
        <f>IF(S5=0,0,S5/MBunk_act!S5*1000)</f>
        <v>1088.3026139783549</v>
      </c>
      <c r="T19" s="64">
        <f>IF(T5=0,0,T5/MBunk_act!T5*1000)</f>
        <v>989.79281301318576</v>
      </c>
      <c r="U19" s="64">
        <f>IF(U5=0,0,U5/MBunk_act!U5*1000)</f>
        <v>766.34808980896685</v>
      </c>
      <c r="V19" s="64">
        <f>IF(V5=0,0,V5/MBunk_act!V5*1000)</f>
        <v>1608.5216455084335</v>
      </c>
      <c r="W19" s="64">
        <f>IF(W5=0,0,W5/MBunk_act!W5*1000)</f>
        <v>1820.4668028080609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0.50291621709786705</v>
      </c>
      <c r="C22" s="77">
        <f t="shared" si="2"/>
        <v>0.5034881798166253</v>
      </c>
      <c r="D22" s="77">
        <f t="shared" si="2"/>
        <v>0.50119700646186061</v>
      </c>
      <c r="E22" s="77">
        <f t="shared" si="2"/>
        <v>0.50181427892190789</v>
      </c>
      <c r="F22" s="77">
        <f t="shared" si="2"/>
        <v>0.42529898057236565</v>
      </c>
      <c r="G22" s="77">
        <f t="shared" si="2"/>
        <v>0.5035249677687319</v>
      </c>
      <c r="H22" s="77">
        <f t="shared" si="2"/>
        <v>0.45423542766960845</v>
      </c>
      <c r="I22" s="77">
        <f t="shared" si="2"/>
        <v>0.41468251549116453</v>
      </c>
      <c r="J22" s="77">
        <f t="shared" si="2"/>
        <v>0.52306309136583107</v>
      </c>
      <c r="K22" s="77">
        <f t="shared" si="2"/>
        <v>0.51568815766009479</v>
      </c>
      <c r="L22" s="77">
        <f t="shared" si="2"/>
        <v>0.51731298393626102</v>
      </c>
      <c r="M22" s="77">
        <f t="shared" si="2"/>
        <v>0.50178665709109493</v>
      </c>
      <c r="N22" s="77">
        <f t="shared" si="2"/>
        <v>0.55669788658695862</v>
      </c>
      <c r="O22" s="77">
        <f t="shared" si="2"/>
        <v>0.5580238785736239</v>
      </c>
      <c r="P22" s="77">
        <f t="shared" si="2"/>
        <v>0.51026418527846851</v>
      </c>
      <c r="Q22" s="77">
        <f t="shared" si="2"/>
        <v>0.56330145302254642</v>
      </c>
      <c r="R22" s="77">
        <f t="shared" si="2"/>
        <v>0.52358074147655986</v>
      </c>
      <c r="S22" s="77">
        <f t="shared" si="2"/>
        <v>0.51107849534963545</v>
      </c>
      <c r="T22" s="77">
        <f t="shared" si="2"/>
        <v>0.53452635735664389</v>
      </c>
      <c r="U22" s="77">
        <f t="shared" si="2"/>
        <v>0.47633783196023594</v>
      </c>
      <c r="V22" s="77">
        <f t="shared" si="2"/>
        <v>0.54186894895448334</v>
      </c>
      <c r="W22" s="77">
        <f t="shared" si="2"/>
        <v>0.51497477996454299</v>
      </c>
      <c r="DA22" s="184"/>
    </row>
    <row r="23" spans="1:105" ht="11.45" customHeight="1" x14ac:dyDescent="0.25">
      <c r="A23" s="57" t="s">
        <v>171</v>
      </c>
      <c r="B23" s="78">
        <f t="shared" si="2"/>
        <v>0.49708378290213284</v>
      </c>
      <c r="C23" s="78">
        <f t="shared" si="2"/>
        <v>0.49651182018337464</v>
      </c>
      <c r="D23" s="78">
        <f t="shared" si="2"/>
        <v>0.49880299353813945</v>
      </c>
      <c r="E23" s="78">
        <f t="shared" si="2"/>
        <v>0.49818572107809206</v>
      </c>
      <c r="F23" s="78">
        <f t="shared" si="2"/>
        <v>0.57470101942763441</v>
      </c>
      <c r="G23" s="78">
        <f t="shared" si="2"/>
        <v>0.49647503223126793</v>
      </c>
      <c r="H23" s="78">
        <f t="shared" si="2"/>
        <v>0.54576457233039155</v>
      </c>
      <c r="I23" s="78">
        <f t="shared" si="2"/>
        <v>0.58531748450883547</v>
      </c>
      <c r="J23" s="78">
        <f t="shared" si="2"/>
        <v>0.47693690863416899</v>
      </c>
      <c r="K23" s="78">
        <f t="shared" si="2"/>
        <v>0.4843118423399051</v>
      </c>
      <c r="L23" s="78">
        <f t="shared" si="2"/>
        <v>0.48268701606373909</v>
      </c>
      <c r="M23" s="78">
        <f t="shared" si="2"/>
        <v>0.49821334290890501</v>
      </c>
      <c r="N23" s="78">
        <f t="shared" si="2"/>
        <v>0.44330211341304132</v>
      </c>
      <c r="O23" s="78">
        <f t="shared" si="2"/>
        <v>0.44197612142637616</v>
      </c>
      <c r="P23" s="78">
        <f t="shared" si="2"/>
        <v>0.48973581472153155</v>
      </c>
      <c r="Q23" s="78">
        <f t="shared" si="2"/>
        <v>0.43669854697745364</v>
      </c>
      <c r="R23" s="78">
        <f t="shared" si="2"/>
        <v>0.47641925852344008</v>
      </c>
      <c r="S23" s="78">
        <f t="shared" si="2"/>
        <v>0.48892150465036466</v>
      </c>
      <c r="T23" s="78">
        <f t="shared" si="2"/>
        <v>0.46547364264335617</v>
      </c>
      <c r="U23" s="78">
        <f t="shared" si="2"/>
        <v>0.52366216803976406</v>
      </c>
      <c r="V23" s="78">
        <f t="shared" si="2"/>
        <v>0.45813105104551671</v>
      </c>
      <c r="W23" s="78">
        <f t="shared" si="2"/>
        <v>0.48502522003545689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2024-05-20T16:53:54Z</dcterms:created>
  <dcterms:modified xsi:type="dcterms:W3CDTF">2024-05-20T16:53:54Z</dcterms:modified>
</cp:coreProperties>
</file>