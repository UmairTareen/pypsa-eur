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MT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U94" i="59"/>
  <c r="Y20" i="59"/>
  <c r="Y93" i="59"/>
  <c r="W20" i="59"/>
  <c r="V20" i="59"/>
  <c r="X122" i="59"/>
  <c r="T90" i="59"/>
  <c r="Y89" i="59"/>
  <c r="U121" i="59"/>
  <c r="Y120" i="59"/>
  <c r="T119" i="59"/>
  <c r="Y118" i="59"/>
  <c r="W117" i="59"/>
  <c r="W84" i="59"/>
  <c r="U116" i="59"/>
  <c r="V115" i="59"/>
  <c r="U115" i="59"/>
  <c r="U113" i="59"/>
  <c r="Y80" i="59"/>
  <c r="X112" i="59"/>
  <c r="W80" i="59"/>
  <c r="Y111" i="59"/>
  <c r="W111" i="59"/>
  <c r="U110" i="59"/>
  <c r="Y75" i="59"/>
  <c r="Y107" i="59"/>
  <c r="W75" i="59"/>
  <c r="T106" i="59"/>
  <c r="O106" i="59"/>
  <c r="M106" i="59"/>
  <c r="L106" i="59"/>
  <c r="G106" i="59"/>
  <c r="Y73" i="59"/>
  <c r="Y105" i="59"/>
  <c r="W72" i="59"/>
  <c r="W104" i="59"/>
  <c r="U104" i="59"/>
  <c r="Y71" i="59"/>
  <c r="V103" i="59"/>
  <c r="U103" i="59"/>
  <c r="X102" i="59"/>
  <c r="V101" i="59"/>
  <c r="U101" i="59"/>
  <c r="Y68" i="59"/>
  <c r="U100" i="59"/>
  <c r="T98" i="59"/>
  <c r="Y82" i="59"/>
  <c r="Y97" i="59"/>
  <c r="W65" i="59"/>
  <c r="V113" i="59"/>
  <c r="T112" i="59"/>
  <c r="V111" i="59"/>
  <c r="X110" i="59"/>
  <c r="T80" i="59"/>
  <c r="W78" i="59"/>
  <c r="Y122" i="59"/>
  <c r="W122" i="59"/>
  <c r="W87" i="59"/>
  <c r="T118" i="59"/>
  <c r="W85" i="59"/>
  <c r="Y114" i="59"/>
  <c r="W81" i="59"/>
  <c r="W113" i="59"/>
  <c r="W110" i="59"/>
  <c r="Y77" i="59"/>
  <c r="U109" i="59"/>
  <c r="U108" i="59"/>
  <c r="W73" i="59"/>
  <c r="W105" i="59"/>
  <c r="Y102" i="59"/>
  <c r="W69" i="59"/>
  <c r="W101" i="59"/>
  <c r="Y99" i="59"/>
  <c r="W67" i="59"/>
  <c r="W98" i="59"/>
  <c r="U20" i="59"/>
  <c r="W5" i="59"/>
  <c r="T5" i="59"/>
  <c r="Y5" i="59"/>
  <c r="U5" i="59"/>
  <c r="Y67" i="59" l="1"/>
  <c r="T71" i="59"/>
  <c r="W74" i="59"/>
  <c r="T83" i="59"/>
  <c r="W90" i="59"/>
  <c r="U71" i="59"/>
  <c r="Y69" i="59"/>
  <c r="V94" i="59"/>
  <c r="Y70" i="59"/>
  <c r="X20" i="59"/>
  <c r="Y95" i="59" s="1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Y65" i="59"/>
  <c r="Y72" i="59"/>
  <c r="Y84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X95" i="59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4" i="4"/>
  <c r="B6" i="4"/>
  <c r="B7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F95" i="59" l="1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<sst xmlns="http://schemas.openxmlformats.org/spreadsheetml/2006/main" count="722" uniqueCount="281">
  <si>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</si>
  <si>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</si>
  <si>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</si>
  <si>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</si>
  <si>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</si>
  <si>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</si>
  <si>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</si>
  <si>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</si>
  <si>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</si>
  <si>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</si>
  <si>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</si>
  <si>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</si>
  <si>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</si>
  <si>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</si>
  <si>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</si>
  <si>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</si>
  <si>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</si>
  <si>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</si>
  <si>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</si>
  <si>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</si>
  <si>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</si>
  <si>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</si>
  <si>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</si>
  <si>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</si>
  <si>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</si>
  <si>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</si>
  <si>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</si>
  <si>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</si>
  <si>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</si>
  <si>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</si>
  <si>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</si>
  <si>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</si>
  <si>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</si>
  <si>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</si>
  <si>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</si>
  <si>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</si>
  <si>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</si>
  <si>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</si>
  <si>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</si>
  <si>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</si>
  <si>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</si>
  <si>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</si>
  <si>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</si>
  <si>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</si>
  <si>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</si>
  <si>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</si>
  <si>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</si>
  <si>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</si>
  <si>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</si>
  <si>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</si>
  <si>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</si>
  <si>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</si>
  <si>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</si>
  <si>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</si>
  <si>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</si>
  <si>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</si>
  <si>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</si>
  <si>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</si>
  <si>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</si>
  <si>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</si>
  <si>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</si>
  <si>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</si>
  <si>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</si>
  <si>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</si>
  <si>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</si>
  <si>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</si>
  <si>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</si>
  <si>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</si>
  <si>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</si>
  <si>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</si>
  <si>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</si>
  <si>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</si>
  <si>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</si>
  <si>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</si>
  <si>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</si>
  <si>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</si>
  <si>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</si>
  <si>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</si>
  <si>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</si>
  <si>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</si>
  <si>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</si>
  <si>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</si>
  <si>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</si>
  <si>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</si>
  <si>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</si>
  <si>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</si>
  <si>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</si>
  <si>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</si>
  <si>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</si>
  <si>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</si>
  <si>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</si>
  <si>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</si>
  <si>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</si>
  <si>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</si>
  <si>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</si>
  <si>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</si>
  <si>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</si>
  <si>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</si>
  <si>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</si>
  <si>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</si>
  <si>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</si>
  <si>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</si>
  <si>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</si>
  <si>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</si>
  <si>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</si>
  <si>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</si>
  <si>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</si>
  <si>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</si>
  <si>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</si>
  <si>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</si>
  <si>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</si>
  <si>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</si>
  <si>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</si>
  <si>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</si>
  <si>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</si>
  <si>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</si>
  <si>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</si>
  <si>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</si>
  <si>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</si>
  <si>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</si>
  <si>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</si>
  <si>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</si>
  <si>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</si>
  <si>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</si>
  <si>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</si>
  <si>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</si>
  <si>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</si>
  <si>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</si>
  <si>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</si>
  <si>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</si>
  <si>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</si>
  <si>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</si>
  <si>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</si>
  <si>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</si>
  <si>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</si>
  <si>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</si>
  <si>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</si>
  <si>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</si>
  <si>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</si>
  <si>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</si>
  <si>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</si>
  <si>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</si>
  <si>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</si>
  <si>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</si>
  <si>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</si>
  <si>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</si>
  <si>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</si>
  <si>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</si>
  <si>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</si>
  <si>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</si>
  <si>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</si>
  <si>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</si>
  <si>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</si>
  <si>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</si>
  <si>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</si>
  <si>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</si>
  <si>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</si>
  <si>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</si>
  <si>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</si>
  <si>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</si>
  <si>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</si>
  <si>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</si>
  <si>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</si>
  <si>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</si>
  <si>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</si>
  <si>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</si>
  <si>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</si>
  <si>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</si>
  <si>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</si>
  <si>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</si>
  <si>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</si>
  <si>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</si>
  <si>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</si>
  <si>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</si>
  <si>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</si>
  <si>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</si>
  <si>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</si>
  <si>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</si>
  <si>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</si>
  <si>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</si>
  <si>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</si>
  <si>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</si>
  <si>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</si>
  <si>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</si>
  <si>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</si>
  <si>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</si>
  <si>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</si>
  <si>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</si>
  <si>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</si>
  <si>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</si>
  <si>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</si>
  <si>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</si>
  <si>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</si>
  <si>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</si>
  <si>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</si>
  <si>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</si>
  <si>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</si>
  <si>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</si>
  <si>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</si>
  <si>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</si>
  <si>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</si>
  <si>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</si>
  <si>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</si>
  <si>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</si>
  <si>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</si>
  <si>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</si>
  <si>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</si>
  <si>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</si>
  <si>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</si>
  <si>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</si>
  <si>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</si>
  <si>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</si>
  <si>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</si>
  <si>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</si>
  <si>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</si>
  <si>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</si>
  <si>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</si>
  <si>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</si>
  <si>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</si>
  <si>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</si>
  <si>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</si>
  <si>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</si>
  <si>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</si>
  <si>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</si>
  <si>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</si>
  <si>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</si>
  <si>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</si>
  <si>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</si>
  <si>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</si>
  <si>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</si>
  <si>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</si>
  <si>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</si>
  <si>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</si>
  <si>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</si>
  <si>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</si>
  <si>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</si>
  <si>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</si>
  <si>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</si>
  <si>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</si>
  <si>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</si>
  <si>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</si>
  <si>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</si>
  <si>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</si>
  <si>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</si>
  <si>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</si>
  <si>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</si>
  <si>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</si>
  <si>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</si>
  <si>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</si>
  <si>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</si>
  <si>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</si>
  <si>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</si>
  <si>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</si>
  <si>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</si>
  <si>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</si>
  <si>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</si>
  <si>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</si>
  <si>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</si>
  <si>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</si>
  <si>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</si>
  <si>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</si>
  <si>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</si>
  <si>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</si>
  <si>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</si>
  <si>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</si>
  <si>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</si>
  <si>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</si>
  <si>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</si>
  <si>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</si>
  <si>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</si>
  <si>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</si>
  <si>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</si>
  <si>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</si>
  <si>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</si>
  <si>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</si>
  <si>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</si>
  <si>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</si>
  <si>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</si>
  <si>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</si>
  <si>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MT</t>
  </si>
  <si>
    <t>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</si>
</sst>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45432.787268518521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4972.0409209823447</v>
      </c>
      <c r="E2" s="19">
        <v>5144.5340715836846</v>
      </c>
      <c r="F2" s="19">
        <v>5342.2111742815796</v>
      </c>
      <c r="G2" s="19">
        <v>5435.2833672579236</v>
      </c>
      <c r="H2" s="19">
        <v>5533.1858647320369</v>
      </c>
      <c r="I2" s="19">
        <v>5805.534497424992</v>
      </c>
      <c r="J2" s="19">
        <v>6088.2618370797063</v>
      </c>
      <c r="K2" s="19">
        <v>6524.6591094406149</v>
      </c>
      <c r="L2" s="19">
        <v>6993.1124921427472</v>
      </c>
      <c r="M2" s="19">
        <v>7053.5019076737071</v>
      </c>
      <c r="N2" s="19">
        <v>7680.2938790228081</v>
      </c>
      <c r="O2" s="19">
        <v>7802.8487263488669</v>
      </c>
      <c r="P2" s="19">
        <v>8298.5192542653913</v>
      </c>
      <c r="Q2" s="19">
        <v>8951.8908366576343</v>
      </c>
      <c r="R2" s="19">
        <v>9860.9595731154459</v>
      </c>
      <c r="S2" s="19">
        <v>11264.581461000002</v>
      </c>
      <c r="T2" s="19">
        <v>11877.998826436073</v>
      </c>
      <c r="U2" s="19">
        <v>13450.559988864996</v>
      </c>
      <c r="V2" s="19">
        <v>14698.284727595254</v>
      </c>
      <c r="W2" s="19">
        <v>16107.229047641009</v>
      </c>
      <c r="X2" s="19">
        <v>15045.80718516167</v>
      </c>
      <c r="Y2" s="19">
        <v>17271.343333185112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3045.8726530821737</v>
      </c>
      <c r="E3" s="23">
        <v>3201.0891247876907</v>
      </c>
      <c r="F3" s="23">
        <v>3136.9663859264429</v>
      </c>
      <c r="G3" s="23">
        <v>3205.1517101270379</v>
      </c>
      <c r="H3" s="23">
        <v>3378.5808166284305</v>
      </c>
      <c r="I3" s="23">
        <v>3607.7165539712873</v>
      </c>
      <c r="J3" s="23">
        <v>3800.6308501377348</v>
      </c>
      <c r="K3" s="23">
        <v>3912.9761787593739</v>
      </c>
      <c r="L3" s="23">
        <v>4045.2785573324263</v>
      </c>
      <c r="M3" s="23">
        <v>4170.2748573272065</v>
      </c>
      <c r="N3" s="23">
        <v>4348.4366835046158</v>
      </c>
      <c r="O3" s="23">
        <v>4617.1470488412797</v>
      </c>
      <c r="P3" s="23">
        <v>4766.1685245833887</v>
      </c>
      <c r="Q3" s="23">
        <v>4968.4746764985248</v>
      </c>
      <c r="R3" s="23">
        <v>5129.3525800847328</v>
      </c>
      <c r="S3" s="23">
        <v>5333.394330000001</v>
      </c>
      <c r="T3" s="23">
        <v>5545.4227487963853</v>
      </c>
      <c r="U3" s="23">
        <v>5914.723905393882</v>
      </c>
      <c r="V3" s="23">
        <v>6538.9590263140008</v>
      </c>
      <c r="W3" s="23">
        <v>6948.7859457088643</v>
      </c>
      <c r="X3" s="23">
        <v>6283.5873645733236</v>
      </c>
      <c r="Y3" s="23">
        <v>6876.8810952172662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3933.6</v>
      </c>
      <c r="E4" s="27">
        <v>4050.4</v>
      </c>
      <c r="F4" s="27">
        <v>4196.6000000000004</v>
      </c>
      <c r="G4" s="27">
        <v>4283.1000000000004</v>
      </c>
      <c r="H4" s="27">
        <v>4302.1000000000004</v>
      </c>
      <c r="I4" s="27">
        <v>4475.2999999999993</v>
      </c>
      <c r="J4" s="27">
        <v>4698.3999999999996</v>
      </c>
      <c r="K4" s="27">
        <v>5052.1000000000013</v>
      </c>
      <c r="L4" s="27">
        <v>5461.8</v>
      </c>
      <c r="M4" s="27">
        <v>5477.9</v>
      </c>
      <c r="N4" s="27">
        <v>6007</v>
      </c>
      <c r="O4" s="27">
        <v>6042.9</v>
      </c>
      <c r="P4" s="27">
        <v>6477.6</v>
      </c>
      <c r="Q4" s="27">
        <v>7019.2</v>
      </c>
      <c r="R4" s="27">
        <v>7716.2</v>
      </c>
      <c r="S4" s="27">
        <v>8888.7999999999993</v>
      </c>
      <c r="T4" s="27">
        <v>9355.7000000000007</v>
      </c>
      <c r="U4" s="27">
        <v>10629</v>
      </c>
      <c r="V4" s="27">
        <v>11575</v>
      </c>
      <c r="W4" s="27">
        <v>12798.1</v>
      </c>
      <c r="X4" s="27">
        <v>12139.4</v>
      </c>
      <c r="Y4" s="27">
        <v>13994.4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94.8</v>
      </c>
      <c r="J6" s="19">
        <v>101</v>
      </c>
      <c r="K6" s="19">
        <v>106</v>
      </c>
      <c r="L6" s="19">
        <v>65.8</v>
      </c>
      <c r="M6" s="19">
        <v>90.1</v>
      </c>
      <c r="N6" s="19">
        <v>86.3</v>
      </c>
      <c r="O6" s="19">
        <v>68.7</v>
      </c>
      <c r="P6" s="19">
        <v>77.7</v>
      </c>
      <c r="Q6" s="19">
        <v>85</v>
      </c>
      <c r="R6" s="19">
        <v>87.9</v>
      </c>
      <c r="S6" s="19">
        <v>92.3</v>
      </c>
      <c r="T6" s="19">
        <v>97.7</v>
      </c>
      <c r="U6" s="19">
        <v>79.599999999999994</v>
      </c>
      <c r="V6" s="19">
        <v>86.8</v>
      </c>
      <c r="W6" s="19">
        <v>66.5</v>
      </c>
      <c r="X6" s="19">
        <v>102</v>
      </c>
      <c r="Y6" s="19">
        <v>138.4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1271.3</v>
      </c>
      <c r="E7" s="23">
        <v>1191.0999999999999</v>
      </c>
      <c r="F7" s="23">
        <v>1276.3000000000006</v>
      </c>
      <c r="G7" s="23">
        <v>1288.7000000000007</v>
      </c>
      <c r="H7" s="23">
        <v>1188.4000000000005</v>
      </c>
      <c r="I7" s="23">
        <v>1080.0999999999992</v>
      </c>
      <c r="J7" s="23">
        <v>1077.5999999999992</v>
      </c>
      <c r="K7" s="23">
        <v>1057.5000000000016</v>
      </c>
      <c r="L7" s="23">
        <v>1196.0999999999999</v>
      </c>
      <c r="M7" s="23">
        <v>1097.7999999999997</v>
      </c>
      <c r="N7" s="23">
        <v>911.50000000000045</v>
      </c>
      <c r="O7" s="23">
        <v>862.80000000000041</v>
      </c>
      <c r="P7" s="23">
        <v>833.19999999999982</v>
      </c>
      <c r="Q7" s="23">
        <v>855.39999999999895</v>
      </c>
      <c r="R7" s="23">
        <v>853.09999999999991</v>
      </c>
      <c r="S7" s="23">
        <v>908.39999999999873</v>
      </c>
      <c r="T7" s="23">
        <v>967.39999999999941</v>
      </c>
      <c r="U7" s="23">
        <v>997.60000000000059</v>
      </c>
      <c r="V7" s="23">
        <v>1087.599999999999</v>
      </c>
      <c r="W7" s="23">
        <v>1164.0000000000005</v>
      </c>
      <c r="X7" s="23">
        <v>1168.8000000000002</v>
      </c>
      <c r="Y7" s="23">
        <v>1267.0999999999988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285.7</v>
      </c>
      <c r="O8" s="23">
        <v>268.60000000000002</v>
      </c>
      <c r="P8" s="23">
        <v>266.10000000000002</v>
      </c>
      <c r="Q8" s="23">
        <v>303.39999999999998</v>
      </c>
      <c r="R8" s="23">
        <v>283.5</v>
      </c>
      <c r="S8" s="23">
        <v>320.5</v>
      </c>
      <c r="T8" s="23">
        <v>333.6</v>
      </c>
      <c r="U8" s="23">
        <v>403.9</v>
      </c>
      <c r="V8" s="23">
        <v>465.5</v>
      </c>
      <c r="W8" s="23">
        <v>615.79999999999984</v>
      </c>
      <c r="X8" s="23">
        <v>626.9</v>
      </c>
      <c r="Y8" s="23">
        <v>659.1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1080</v>
      </c>
      <c r="E9" s="23">
        <v>1104.8</v>
      </c>
      <c r="F9" s="23">
        <v>1106.5999999999999</v>
      </c>
      <c r="G9" s="23">
        <v>1093.8</v>
      </c>
      <c r="H9" s="23">
        <v>1082.3</v>
      </c>
      <c r="I9" s="23">
        <v>1060.2</v>
      </c>
      <c r="J9" s="23">
        <v>1103.5999999999999</v>
      </c>
      <c r="K9" s="23">
        <v>1195.2</v>
      </c>
      <c r="L9" s="23">
        <v>1219.5</v>
      </c>
      <c r="M9" s="23">
        <v>1176.0999999999999</v>
      </c>
      <c r="N9" s="23">
        <v>1260.2</v>
      </c>
      <c r="O9" s="23">
        <v>1299.1999999999998</v>
      </c>
      <c r="P9" s="23">
        <v>1408.8</v>
      </c>
      <c r="Q9" s="23">
        <v>1582.1</v>
      </c>
      <c r="R9" s="23">
        <v>1666.3</v>
      </c>
      <c r="S9" s="23">
        <v>1928.5</v>
      </c>
      <c r="T9" s="23">
        <v>1903.5</v>
      </c>
      <c r="U9" s="23">
        <v>2214.1999999999998</v>
      </c>
      <c r="V9" s="23">
        <v>2338.3000000000002</v>
      </c>
      <c r="W9" s="23">
        <v>2474.3000000000006</v>
      </c>
      <c r="X9" s="23">
        <v>1590.6</v>
      </c>
      <c r="Y9" s="23">
        <v>2135.1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174.3</v>
      </c>
      <c r="E10" s="23">
        <v>195</v>
      </c>
      <c r="F10" s="23">
        <v>198.3</v>
      </c>
      <c r="G10" s="23">
        <v>204.9</v>
      </c>
      <c r="H10" s="23">
        <v>218.9</v>
      </c>
      <c r="I10" s="23">
        <v>244</v>
      </c>
      <c r="J10" s="23">
        <v>269</v>
      </c>
      <c r="K10" s="23">
        <v>264</v>
      </c>
      <c r="L10" s="23">
        <v>286.10000000000002</v>
      </c>
      <c r="M10" s="23">
        <v>286.89999999999998</v>
      </c>
      <c r="N10" s="23">
        <v>324.49999999999994</v>
      </c>
      <c r="O10" s="23">
        <v>368.4</v>
      </c>
      <c r="P10" s="23">
        <v>372.8</v>
      </c>
      <c r="Q10" s="23">
        <v>373</v>
      </c>
      <c r="R10" s="23">
        <v>474.6</v>
      </c>
      <c r="S10" s="23">
        <v>557.5</v>
      </c>
      <c r="T10" s="23">
        <v>679</v>
      </c>
      <c r="U10" s="23">
        <v>786.9</v>
      </c>
      <c r="V10" s="23">
        <v>895.7</v>
      </c>
      <c r="W10" s="23">
        <v>1054.5</v>
      </c>
      <c r="X10" s="23">
        <v>1031.5999999999999</v>
      </c>
      <c r="Y10" s="23">
        <v>1249.9000000000003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154</v>
      </c>
      <c r="E11" s="23">
        <v>157.30000000000001</v>
      </c>
      <c r="F11" s="23">
        <v>141.30000000000001</v>
      </c>
      <c r="G11" s="23">
        <v>156.5</v>
      </c>
      <c r="H11" s="23">
        <v>215.1</v>
      </c>
      <c r="I11" s="23">
        <v>305.39999999999998</v>
      </c>
      <c r="J11" s="23">
        <v>362.9</v>
      </c>
      <c r="K11" s="23">
        <v>415.9</v>
      </c>
      <c r="L11" s="23">
        <v>386.3</v>
      </c>
      <c r="M11" s="23">
        <v>462.2</v>
      </c>
      <c r="N11" s="23">
        <v>530.4</v>
      </c>
      <c r="O11" s="23">
        <v>507.9</v>
      </c>
      <c r="P11" s="23">
        <v>621.29999999999995</v>
      </c>
      <c r="Q11" s="23">
        <v>659.7</v>
      </c>
      <c r="R11" s="23">
        <v>647.4</v>
      </c>
      <c r="S11" s="23">
        <v>740.7</v>
      </c>
      <c r="T11" s="23">
        <v>823.7</v>
      </c>
      <c r="U11" s="23">
        <v>930.1</v>
      </c>
      <c r="V11" s="23">
        <v>1024.7</v>
      </c>
      <c r="W11" s="23">
        <v>1113.5999999999997</v>
      </c>
      <c r="X11" s="23">
        <v>1233.4000000000001</v>
      </c>
      <c r="Y11" s="23">
        <v>1261.3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237.2</v>
      </c>
      <c r="E12" s="23">
        <v>244.6</v>
      </c>
      <c r="F12" s="23">
        <v>256.39999999999998</v>
      </c>
      <c r="G12" s="23">
        <v>272.39999999999998</v>
      </c>
      <c r="H12" s="23">
        <v>291.39999999999998</v>
      </c>
      <c r="I12" s="23">
        <v>286</v>
      </c>
      <c r="J12" s="23">
        <v>301.99999999999994</v>
      </c>
      <c r="K12" s="23">
        <v>320.3</v>
      </c>
      <c r="L12" s="23">
        <v>342.7</v>
      </c>
      <c r="M12" s="23">
        <v>375.8</v>
      </c>
      <c r="N12" s="23">
        <v>402.8</v>
      </c>
      <c r="O12" s="23">
        <v>393.7</v>
      </c>
      <c r="P12" s="23">
        <v>410.4</v>
      </c>
      <c r="Q12" s="23">
        <v>428.7</v>
      </c>
      <c r="R12" s="23">
        <v>442.7</v>
      </c>
      <c r="S12" s="23">
        <v>512.6</v>
      </c>
      <c r="T12" s="23">
        <v>583.70000000000005</v>
      </c>
      <c r="U12" s="23">
        <v>662</v>
      </c>
      <c r="V12" s="23">
        <v>697.5</v>
      </c>
      <c r="W12" s="23">
        <v>770.6</v>
      </c>
      <c r="X12" s="23">
        <v>767.4</v>
      </c>
      <c r="Y12" s="23">
        <v>822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266.7</v>
      </c>
      <c r="E13" s="23">
        <v>289.2</v>
      </c>
      <c r="F13" s="23">
        <v>302.8</v>
      </c>
      <c r="G13" s="23">
        <v>327.10000000000002</v>
      </c>
      <c r="H13" s="23">
        <v>339.6</v>
      </c>
      <c r="I13" s="23">
        <v>364.4</v>
      </c>
      <c r="J13" s="23">
        <v>408.9</v>
      </c>
      <c r="K13" s="23">
        <v>438.5</v>
      </c>
      <c r="L13" s="23">
        <v>469.79999999999995</v>
      </c>
      <c r="M13" s="23">
        <v>486.3</v>
      </c>
      <c r="N13" s="23">
        <v>568.09999999999991</v>
      </c>
      <c r="O13" s="23">
        <v>598.90000000000009</v>
      </c>
      <c r="P13" s="23">
        <v>692.6</v>
      </c>
      <c r="Q13" s="23">
        <v>763.9</v>
      </c>
      <c r="R13" s="23">
        <v>877.3</v>
      </c>
      <c r="S13" s="23">
        <v>1114.8</v>
      </c>
      <c r="T13" s="23">
        <v>1345.4</v>
      </c>
      <c r="U13" s="23">
        <v>1674.2</v>
      </c>
      <c r="V13" s="23">
        <v>1798.2</v>
      </c>
      <c r="W13" s="23">
        <v>2096.5</v>
      </c>
      <c r="X13" s="23">
        <v>1944.8</v>
      </c>
      <c r="Y13" s="23">
        <v>2275.9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639</v>
      </c>
      <c r="E14" s="23">
        <v>733.8</v>
      </c>
      <c r="F14" s="23">
        <v>763.4</v>
      </c>
      <c r="G14" s="23">
        <v>774.2</v>
      </c>
      <c r="H14" s="23">
        <v>810.6</v>
      </c>
      <c r="I14" s="23">
        <v>831.5</v>
      </c>
      <c r="J14" s="23">
        <v>858.1</v>
      </c>
      <c r="K14" s="23">
        <v>903.7</v>
      </c>
      <c r="L14" s="23">
        <v>969.7</v>
      </c>
      <c r="M14" s="23">
        <v>1031.8</v>
      </c>
      <c r="N14" s="23">
        <v>1089.0999999999999</v>
      </c>
      <c r="O14" s="23">
        <v>1150.7</v>
      </c>
      <c r="P14" s="23">
        <v>1218.7</v>
      </c>
      <c r="Q14" s="23">
        <v>1294.4000000000001</v>
      </c>
      <c r="R14" s="23">
        <v>1409.3</v>
      </c>
      <c r="S14" s="23">
        <v>1513.7</v>
      </c>
      <c r="T14" s="23">
        <v>1626.7</v>
      </c>
      <c r="U14" s="23">
        <v>1738.8</v>
      </c>
      <c r="V14" s="23">
        <v>1909.1</v>
      </c>
      <c r="W14" s="23">
        <v>2117</v>
      </c>
      <c r="X14" s="23">
        <v>2200.6</v>
      </c>
      <c r="Y14" s="23">
        <v>2460.6000000000004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111.1</v>
      </c>
      <c r="E15" s="23">
        <v>134.6</v>
      </c>
      <c r="F15" s="23">
        <v>151.50000000000003</v>
      </c>
      <c r="G15" s="23">
        <v>165.5</v>
      </c>
      <c r="H15" s="23">
        <v>155.80000000000004</v>
      </c>
      <c r="I15" s="23">
        <v>208.9</v>
      </c>
      <c r="J15" s="23">
        <v>215.3</v>
      </c>
      <c r="K15" s="23">
        <v>351</v>
      </c>
      <c r="L15" s="23">
        <v>525.79999999999984</v>
      </c>
      <c r="M15" s="23">
        <v>470.9</v>
      </c>
      <c r="N15" s="23">
        <v>548.4</v>
      </c>
      <c r="O15" s="23">
        <v>524</v>
      </c>
      <c r="P15" s="23">
        <v>576.00000000000011</v>
      </c>
      <c r="Q15" s="23">
        <v>673.6</v>
      </c>
      <c r="R15" s="23">
        <v>974.1</v>
      </c>
      <c r="S15" s="23">
        <v>1199.8</v>
      </c>
      <c r="T15" s="23">
        <v>995</v>
      </c>
      <c r="U15" s="23">
        <v>1141.7</v>
      </c>
      <c r="V15" s="23">
        <v>1271.5999999999999</v>
      </c>
      <c r="W15" s="23">
        <v>1325.3</v>
      </c>
      <c r="X15" s="23">
        <v>1473.3</v>
      </c>
      <c r="Y15" s="23">
        <v>1725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3933.6</v>
      </c>
      <c r="E16" s="30">
        <f t="shared" ref="E16:S16" si="0">SUM(E6:E15)</f>
        <v>4050.3999999999992</v>
      </c>
      <c r="F16" s="30">
        <f t="shared" si="0"/>
        <v>4196.6000000000013</v>
      </c>
      <c r="G16" s="30">
        <f t="shared" si="0"/>
        <v>4283.1000000000013</v>
      </c>
      <c r="H16" s="30">
        <f t="shared" si="0"/>
        <v>4302.1000000000013</v>
      </c>
      <c r="I16" s="30">
        <f t="shared" si="0"/>
        <v>4475.2999999999993</v>
      </c>
      <c r="J16" s="30">
        <f t="shared" si="0"/>
        <v>4698.3999999999996</v>
      </c>
      <c r="K16" s="30">
        <f t="shared" si="0"/>
        <v>5052.1000000000022</v>
      </c>
      <c r="L16" s="30">
        <f t="shared" si="0"/>
        <v>5461.7999999999993</v>
      </c>
      <c r="M16" s="30">
        <f t="shared" si="0"/>
        <v>5477.9</v>
      </c>
      <c r="N16" s="30">
        <f t="shared" si="0"/>
        <v>6007</v>
      </c>
      <c r="O16" s="30">
        <f t="shared" si="0"/>
        <v>6042.9000000000005</v>
      </c>
      <c r="P16" s="30">
        <f t="shared" si="0"/>
        <v>6477.6</v>
      </c>
      <c r="Q16" s="30">
        <f t="shared" si="0"/>
        <v>7019.1999999999989</v>
      </c>
      <c r="R16" s="30">
        <f t="shared" si="0"/>
        <v>7716.2000000000007</v>
      </c>
      <c r="S16" s="30">
        <f t="shared" si="0"/>
        <v>8888.7999999999993</v>
      </c>
      <c r="T16" s="30">
        <f t="shared" ref="T16:Y16" si="1">SUM(T6:T15)</f>
        <v>9355.7000000000007</v>
      </c>
      <c r="U16" s="30">
        <f t="shared" si="1"/>
        <v>10629</v>
      </c>
      <c r="V16" s="30">
        <f t="shared" si="1"/>
        <v>11575</v>
      </c>
      <c r="W16" s="30">
        <f t="shared" si="1"/>
        <v>12798.099999999999</v>
      </c>
      <c r="X16" s="30">
        <f t="shared" si="1"/>
        <v>12139.399999999998</v>
      </c>
      <c r="Y16" s="30">
        <f t="shared" si="1"/>
        <v>13994.4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94.8</v>
      </c>
      <c r="J18" s="19">
        <v>101</v>
      </c>
      <c r="K18" s="19">
        <v>106</v>
      </c>
      <c r="L18" s="19">
        <v>65.8</v>
      </c>
      <c r="M18" s="19">
        <v>90.1</v>
      </c>
      <c r="N18" s="19">
        <v>86.3</v>
      </c>
      <c r="O18" s="19">
        <v>68.7</v>
      </c>
      <c r="P18" s="19">
        <v>77.7</v>
      </c>
      <c r="Q18" s="19">
        <v>85</v>
      </c>
      <c r="R18" s="19">
        <v>87.9</v>
      </c>
      <c r="S18" s="19">
        <v>92.3</v>
      </c>
      <c r="T18" s="19">
        <v>97.7</v>
      </c>
      <c r="U18" s="19">
        <v>79.599999999999994</v>
      </c>
      <c r="V18" s="19">
        <v>86.8</v>
      </c>
      <c r="W18" s="19">
        <v>66.5</v>
      </c>
      <c r="X18" s="19">
        <v>102</v>
      </c>
      <c r="Y18" s="19">
        <v>138.4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1170.9999999999998</v>
      </c>
      <c r="E20" s="23">
        <v>1082.0999999999997</v>
      </c>
      <c r="F20" s="23">
        <v>1163.0000000000007</v>
      </c>
      <c r="G20" s="23">
        <v>1192.8000000000006</v>
      </c>
      <c r="H20" s="23">
        <v>1101.1000000000006</v>
      </c>
      <c r="I20" s="23">
        <v>1008.1999999999991</v>
      </c>
      <c r="J20" s="23">
        <v>974.69999999999902</v>
      </c>
      <c r="K20" s="23">
        <v>952.50000000000159</v>
      </c>
      <c r="L20" s="23">
        <v>1091.0999999999999</v>
      </c>
      <c r="M20" s="23">
        <v>945.89999999999975</v>
      </c>
      <c r="N20" s="23">
        <v>765.90000000000043</v>
      </c>
      <c r="O20" s="23">
        <v>778.00000000000045</v>
      </c>
      <c r="P20" s="23">
        <v>805.9</v>
      </c>
      <c r="Q20" s="23">
        <v>749.49999999999909</v>
      </c>
      <c r="R20" s="23">
        <v>745.79999999999973</v>
      </c>
      <c r="S20" s="23">
        <v>744.49999999999864</v>
      </c>
      <c r="T20" s="23">
        <v>757.89999999999941</v>
      </c>
      <c r="U20" s="23">
        <v>822.00000000000057</v>
      </c>
      <c r="V20" s="23">
        <v>884.99999999999898</v>
      </c>
      <c r="W20" s="23">
        <v>953.00000000000034</v>
      </c>
      <c r="X20" s="23">
        <v>966.40000000000032</v>
      </c>
      <c r="Y20" s="23">
        <v>1030.1999999999989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31.900000000000091</v>
      </c>
      <c r="E21" s="23">
        <v>38.700000000000045</v>
      </c>
      <c r="F21" s="23">
        <v>43.399999999999984</v>
      </c>
      <c r="G21" s="23">
        <v>33.10000000000003</v>
      </c>
      <c r="H21" s="23">
        <v>43.500000000000107</v>
      </c>
      <c r="I21" s="23">
        <v>25.400000000000091</v>
      </c>
      <c r="J21" s="23">
        <v>54.500000000000121</v>
      </c>
      <c r="K21" s="23">
        <v>55.799999999999955</v>
      </c>
      <c r="L21" s="23">
        <v>43.100000000000016</v>
      </c>
      <c r="M21" s="23">
        <v>83.700000000000031</v>
      </c>
      <c r="N21" s="23">
        <v>78.700000000000045</v>
      </c>
      <c r="O21" s="23">
        <v>19.000000000000114</v>
      </c>
      <c r="P21" s="23">
        <v>-33.60000000000003</v>
      </c>
      <c r="Q21" s="23">
        <v>41.299999999999955</v>
      </c>
      <c r="R21" s="23">
        <v>41.000000000000107</v>
      </c>
      <c r="S21" s="23">
        <v>84.600000000000023</v>
      </c>
      <c r="T21" s="23">
        <v>130.9</v>
      </c>
      <c r="U21" s="23">
        <v>93.700000000000031</v>
      </c>
      <c r="V21" s="23">
        <v>111.5</v>
      </c>
      <c r="W21" s="23">
        <v>114.20000000000003</v>
      </c>
      <c r="X21" s="23">
        <v>106.70000000000003</v>
      </c>
      <c r="Y21" s="23">
        <v>140.79999999999995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68.400000000000006</v>
      </c>
      <c r="E22" s="23">
        <v>70.3</v>
      </c>
      <c r="F22" s="23">
        <v>69.90000000000002</v>
      </c>
      <c r="G22" s="23">
        <v>62.8</v>
      </c>
      <c r="H22" s="23">
        <v>43.8</v>
      </c>
      <c r="I22" s="23">
        <v>46.5</v>
      </c>
      <c r="J22" s="23">
        <v>48.4</v>
      </c>
      <c r="K22" s="23">
        <v>49.2</v>
      </c>
      <c r="L22" s="23">
        <v>61.9</v>
      </c>
      <c r="M22" s="23">
        <v>68.2</v>
      </c>
      <c r="N22" s="23">
        <v>66.900000000000006</v>
      </c>
      <c r="O22" s="23">
        <v>65.8</v>
      </c>
      <c r="P22" s="23">
        <v>60.9</v>
      </c>
      <c r="Q22" s="23">
        <v>64.599999999999994</v>
      </c>
      <c r="R22" s="23">
        <v>66.3</v>
      </c>
      <c r="S22" s="23">
        <v>79.3</v>
      </c>
      <c r="T22" s="23">
        <v>78.599999999999994</v>
      </c>
      <c r="U22" s="23">
        <v>81.900000000000006</v>
      </c>
      <c r="V22" s="23">
        <v>91.1</v>
      </c>
      <c r="W22" s="23">
        <v>96.8</v>
      </c>
      <c r="X22" s="23">
        <v>95.7</v>
      </c>
      <c r="Y22" s="23">
        <v>96.1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285.7</v>
      </c>
      <c r="O23" s="23">
        <v>268.60000000000002</v>
      </c>
      <c r="P23" s="23">
        <v>266.10000000000002</v>
      </c>
      <c r="Q23" s="23">
        <v>303.39999999999998</v>
      </c>
      <c r="R23" s="23">
        <v>283.5</v>
      </c>
      <c r="S23" s="23">
        <v>320.5</v>
      </c>
      <c r="T23" s="23">
        <v>333.6</v>
      </c>
      <c r="U23" s="23">
        <v>403.9</v>
      </c>
      <c r="V23" s="23">
        <v>465.5</v>
      </c>
      <c r="W23" s="23">
        <v>615.79999999999984</v>
      </c>
      <c r="X23" s="23">
        <v>626.9</v>
      </c>
      <c r="Y23" s="23">
        <v>659.1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522.20000000000005</v>
      </c>
      <c r="E24" s="23">
        <v>519.50000000000011</v>
      </c>
      <c r="F24" s="23">
        <v>547.39999999999986</v>
      </c>
      <c r="G24" s="23">
        <v>546.6</v>
      </c>
      <c r="H24" s="23">
        <v>535.70000000000005</v>
      </c>
      <c r="I24" s="23">
        <v>543.30000000000007</v>
      </c>
      <c r="J24" s="23">
        <v>562.6</v>
      </c>
      <c r="K24" s="23">
        <v>589.99999999999989</v>
      </c>
      <c r="L24" s="23">
        <v>602.40000000000009</v>
      </c>
      <c r="M24" s="23">
        <v>575.09999999999991</v>
      </c>
      <c r="N24" s="23">
        <v>624.4</v>
      </c>
      <c r="O24" s="23">
        <v>668.4</v>
      </c>
      <c r="P24" s="23">
        <v>697.89999999999986</v>
      </c>
      <c r="Q24" s="23">
        <v>790.4</v>
      </c>
      <c r="R24" s="23">
        <v>839.70000000000016</v>
      </c>
      <c r="S24" s="23">
        <v>975.3</v>
      </c>
      <c r="T24" s="23">
        <v>917.59999999999991</v>
      </c>
      <c r="U24" s="23">
        <v>1048.5000000000002</v>
      </c>
      <c r="V24" s="23">
        <v>1079</v>
      </c>
      <c r="W24" s="23">
        <v>1151.0000000000007</v>
      </c>
      <c r="X24" s="23">
        <v>995.9</v>
      </c>
      <c r="Y24" s="23">
        <v>1225.8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307</v>
      </c>
      <c r="E25" s="23">
        <v>328.4</v>
      </c>
      <c r="F25" s="23">
        <v>300.2</v>
      </c>
      <c r="G25" s="23">
        <v>282</v>
      </c>
      <c r="H25" s="23">
        <v>290.2</v>
      </c>
      <c r="I25" s="23">
        <v>272.89999999999998</v>
      </c>
      <c r="J25" s="23">
        <v>297</v>
      </c>
      <c r="K25" s="23">
        <v>346.1</v>
      </c>
      <c r="L25" s="23">
        <v>340.7</v>
      </c>
      <c r="M25" s="23">
        <v>344.4</v>
      </c>
      <c r="N25" s="23">
        <v>342.3</v>
      </c>
      <c r="O25" s="23">
        <v>322.8</v>
      </c>
      <c r="P25" s="23">
        <v>389.8</v>
      </c>
      <c r="Q25" s="23">
        <v>420</v>
      </c>
      <c r="R25" s="23">
        <v>439.5</v>
      </c>
      <c r="S25" s="23">
        <v>504.6</v>
      </c>
      <c r="T25" s="23">
        <v>526</v>
      </c>
      <c r="U25" s="23">
        <v>602.79999999999984</v>
      </c>
      <c r="V25" s="23">
        <v>625.9</v>
      </c>
      <c r="W25" s="23">
        <v>694.2</v>
      </c>
      <c r="X25" s="23">
        <v>404.6</v>
      </c>
      <c r="Y25" s="23">
        <v>590.5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250.8</v>
      </c>
      <c r="E26" s="23">
        <v>256.89999999999998</v>
      </c>
      <c r="F26" s="23">
        <v>259</v>
      </c>
      <c r="G26" s="23">
        <v>265.2</v>
      </c>
      <c r="H26" s="23">
        <v>256.39999999999998</v>
      </c>
      <c r="I26" s="23">
        <v>244</v>
      </c>
      <c r="J26" s="23">
        <v>244</v>
      </c>
      <c r="K26" s="23">
        <v>259.10000000000002</v>
      </c>
      <c r="L26" s="23">
        <v>276.39999999999998</v>
      </c>
      <c r="M26" s="23">
        <v>256.60000000000008</v>
      </c>
      <c r="N26" s="23">
        <v>293.5</v>
      </c>
      <c r="O26" s="23">
        <v>308</v>
      </c>
      <c r="P26" s="23">
        <v>321.10000000000008</v>
      </c>
      <c r="Q26" s="23">
        <v>371.7</v>
      </c>
      <c r="R26" s="23">
        <v>387.1</v>
      </c>
      <c r="S26" s="23">
        <v>448.6</v>
      </c>
      <c r="T26" s="23">
        <v>459.9</v>
      </c>
      <c r="U26" s="23">
        <v>562.9</v>
      </c>
      <c r="V26" s="23">
        <v>633.4</v>
      </c>
      <c r="W26" s="23">
        <v>629.09999999999991</v>
      </c>
      <c r="X26" s="23">
        <v>190.1</v>
      </c>
      <c r="Y26" s="23">
        <v>318.8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174.3</v>
      </c>
      <c r="E27" s="23">
        <v>195</v>
      </c>
      <c r="F27" s="23">
        <v>198.3</v>
      </c>
      <c r="G27" s="23">
        <v>204.9</v>
      </c>
      <c r="H27" s="23">
        <v>218.9</v>
      </c>
      <c r="I27" s="23">
        <v>244</v>
      </c>
      <c r="J27" s="23">
        <v>269</v>
      </c>
      <c r="K27" s="23">
        <v>264</v>
      </c>
      <c r="L27" s="23">
        <v>286.10000000000002</v>
      </c>
      <c r="M27" s="23">
        <v>286.89999999999998</v>
      </c>
      <c r="N27" s="23">
        <v>324.49999999999994</v>
      </c>
      <c r="O27" s="23">
        <v>368.4</v>
      </c>
      <c r="P27" s="23">
        <v>372.8</v>
      </c>
      <c r="Q27" s="23">
        <v>373</v>
      </c>
      <c r="R27" s="23">
        <v>474.6</v>
      </c>
      <c r="S27" s="23">
        <v>557.5</v>
      </c>
      <c r="T27" s="23">
        <v>679</v>
      </c>
      <c r="U27" s="23">
        <v>786.9</v>
      </c>
      <c r="V27" s="23">
        <v>895.7</v>
      </c>
      <c r="W27" s="23">
        <v>1054.5</v>
      </c>
      <c r="X27" s="23">
        <v>1031.5999999999999</v>
      </c>
      <c r="Y27" s="23">
        <v>1249.9000000000003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154</v>
      </c>
      <c r="E28" s="23">
        <v>157.30000000000001</v>
      </c>
      <c r="F28" s="23">
        <v>141.30000000000001</v>
      </c>
      <c r="G28" s="23">
        <v>156.5</v>
      </c>
      <c r="H28" s="23">
        <v>215.1</v>
      </c>
      <c r="I28" s="23">
        <v>305.39999999999998</v>
      </c>
      <c r="J28" s="23">
        <v>362.9</v>
      </c>
      <c r="K28" s="23">
        <v>415.9</v>
      </c>
      <c r="L28" s="23">
        <v>386.3</v>
      </c>
      <c r="M28" s="23">
        <v>462.2</v>
      </c>
      <c r="N28" s="23">
        <v>530.4</v>
      </c>
      <c r="O28" s="23">
        <v>507.9</v>
      </c>
      <c r="P28" s="23">
        <v>621.29999999999995</v>
      </c>
      <c r="Q28" s="23">
        <v>659.7</v>
      </c>
      <c r="R28" s="23">
        <v>647.4</v>
      </c>
      <c r="S28" s="23">
        <v>740.7</v>
      </c>
      <c r="T28" s="23">
        <v>823.7</v>
      </c>
      <c r="U28" s="23">
        <v>930.1</v>
      </c>
      <c r="V28" s="23">
        <v>1024.7</v>
      </c>
      <c r="W28" s="23">
        <v>1113.5999999999997</v>
      </c>
      <c r="X28" s="23">
        <v>1233.4000000000001</v>
      </c>
      <c r="Y28" s="23">
        <v>1261.3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237.2</v>
      </c>
      <c r="E29" s="23">
        <v>244.6</v>
      </c>
      <c r="F29" s="23">
        <v>256.39999999999998</v>
      </c>
      <c r="G29" s="23">
        <v>272.39999999999998</v>
      </c>
      <c r="H29" s="23">
        <v>291.39999999999998</v>
      </c>
      <c r="I29" s="23">
        <v>286</v>
      </c>
      <c r="J29" s="23">
        <v>301.99999999999994</v>
      </c>
      <c r="K29" s="23">
        <v>320.3</v>
      </c>
      <c r="L29" s="23">
        <v>342.7</v>
      </c>
      <c r="M29" s="23">
        <v>375.8</v>
      </c>
      <c r="N29" s="23">
        <v>402.8</v>
      </c>
      <c r="O29" s="23">
        <v>393.7</v>
      </c>
      <c r="P29" s="23">
        <v>410.4</v>
      </c>
      <c r="Q29" s="23">
        <v>428.7</v>
      </c>
      <c r="R29" s="23">
        <v>442.7</v>
      </c>
      <c r="S29" s="23">
        <v>512.6</v>
      </c>
      <c r="T29" s="23">
        <v>583.70000000000005</v>
      </c>
      <c r="U29" s="23">
        <v>662</v>
      </c>
      <c r="V29" s="23">
        <v>697.5</v>
      </c>
      <c r="W29" s="23">
        <v>770.6</v>
      </c>
      <c r="X29" s="23">
        <v>767.4</v>
      </c>
      <c r="Y29" s="23">
        <v>822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132.50000000000003</v>
      </c>
      <c r="E30" s="23">
        <v>145.20000000000002</v>
      </c>
      <c r="F30" s="23">
        <v>163.4</v>
      </c>
      <c r="G30" s="23">
        <v>168.40000000000003</v>
      </c>
      <c r="H30" s="23">
        <v>169.3</v>
      </c>
      <c r="I30" s="23">
        <v>197.2</v>
      </c>
      <c r="J30" s="23">
        <v>222.1</v>
      </c>
      <c r="K30" s="23">
        <v>242.6</v>
      </c>
      <c r="L30" s="23">
        <v>260.89999999999998</v>
      </c>
      <c r="M30" s="23">
        <v>270.99999999999994</v>
      </c>
      <c r="N30" s="23">
        <v>326.79999999999995</v>
      </c>
      <c r="O30" s="23">
        <v>349</v>
      </c>
      <c r="P30" s="23">
        <v>397.1</v>
      </c>
      <c r="Q30" s="23">
        <v>420.8</v>
      </c>
      <c r="R30" s="23">
        <v>499.10000000000008</v>
      </c>
      <c r="S30" s="23">
        <v>629.4</v>
      </c>
      <c r="T30" s="23">
        <v>776.3</v>
      </c>
      <c r="U30" s="23">
        <v>933.60000000000014</v>
      </c>
      <c r="V30" s="23">
        <v>958.49999999999989</v>
      </c>
      <c r="W30" s="23">
        <v>1141.3000000000002</v>
      </c>
      <c r="X30" s="23">
        <v>1122.8999999999999</v>
      </c>
      <c r="Y30" s="23">
        <v>1255.4999999999998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134.19999999999999</v>
      </c>
      <c r="E31" s="23">
        <v>144</v>
      </c>
      <c r="F31" s="23">
        <v>139.39999999999998</v>
      </c>
      <c r="G31" s="23">
        <v>158.69999999999999</v>
      </c>
      <c r="H31" s="23">
        <v>170.3</v>
      </c>
      <c r="I31" s="23">
        <v>167.2</v>
      </c>
      <c r="J31" s="23">
        <v>186.8</v>
      </c>
      <c r="K31" s="23">
        <v>195.9</v>
      </c>
      <c r="L31" s="23">
        <v>208.9</v>
      </c>
      <c r="M31" s="23">
        <v>215.3</v>
      </c>
      <c r="N31" s="23">
        <v>241.3</v>
      </c>
      <c r="O31" s="23">
        <v>249.90000000000003</v>
      </c>
      <c r="P31" s="23">
        <v>295.5</v>
      </c>
      <c r="Q31" s="23">
        <v>343.1</v>
      </c>
      <c r="R31" s="23">
        <v>378.2</v>
      </c>
      <c r="S31" s="23">
        <v>485.4</v>
      </c>
      <c r="T31" s="23">
        <v>569.1</v>
      </c>
      <c r="U31" s="23">
        <v>740.6</v>
      </c>
      <c r="V31" s="23">
        <v>839.7</v>
      </c>
      <c r="W31" s="23">
        <v>955.2</v>
      </c>
      <c r="X31" s="23">
        <v>821.9</v>
      </c>
      <c r="Y31" s="23">
        <v>1020.4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263.39999999999998</v>
      </c>
      <c r="E32" s="23">
        <v>305.60000000000002</v>
      </c>
      <c r="F32" s="23">
        <v>305.80000000000013</v>
      </c>
      <c r="G32" s="23">
        <v>308.09999999999991</v>
      </c>
      <c r="H32" s="23">
        <v>318</v>
      </c>
      <c r="I32" s="23">
        <v>321.70000000000005</v>
      </c>
      <c r="J32" s="23">
        <v>326.99999999999989</v>
      </c>
      <c r="K32" s="23">
        <v>344.59999999999991</v>
      </c>
      <c r="L32" s="23">
        <v>362.3</v>
      </c>
      <c r="M32" s="23">
        <v>381.79999999999978</v>
      </c>
      <c r="N32" s="23">
        <v>387.49999999999977</v>
      </c>
      <c r="O32" s="23">
        <v>402.40000000000009</v>
      </c>
      <c r="P32" s="23">
        <v>422.10000000000008</v>
      </c>
      <c r="Q32" s="23">
        <v>435.10000000000019</v>
      </c>
      <c r="R32" s="23">
        <v>463.4</v>
      </c>
      <c r="S32" s="23">
        <v>496.69999999999993</v>
      </c>
      <c r="T32" s="23">
        <v>549.6</v>
      </c>
      <c r="U32" s="23">
        <v>594.0999999999998</v>
      </c>
      <c r="V32" s="23">
        <v>643.40000000000009</v>
      </c>
      <c r="W32" s="23">
        <v>709.69999999999982</v>
      </c>
      <c r="X32" s="23">
        <v>758.29999999999984</v>
      </c>
      <c r="Y32" s="23">
        <v>844.70000000000027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205.3</v>
      </c>
      <c r="E33" s="23">
        <v>236.3</v>
      </c>
      <c r="F33" s="23">
        <v>254.59999999999997</v>
      </c>
      <c r="G33" s="23">
        <v>255.9</v>
      </c>
      <c r="H33" s="23">
        <v>262.3</v>
      </c>
      <c r="I33" s="23">
        <v>270.89999999999992</v>
      </c>
      <c r="J33" s="23">
        <v>278.60000000000002</v>
      </c>
      <c r="K33" s="23">
        <v>289.60000000000002</v>
      </c>
      <c r="L33" s="23">
        <v>304.2</v>
      </c>
      <c r="M33" s="23">
        <v>319.60000000000008</v>
      </c>
      <c r="N33" s="23">
        <v>343.5</v>
      </c>
      <c r="O33" s="23">
        <v>369.8</v>
      </c>
      <c r="P33" s="23">
        <v>396.3</v>
      </c>
      <c r="Q33" s="23">
        <v>423.8</v>
      </c>
      <c r="R33" s="23">
        <v>459.6</v>
      </c>
      <c r="S33" s="23">
        <v>489.1</v>
      </c>
      <c r="T33" s="23">
        <v>504.2</v>
      </c>
      <c r="U33" s="23">
        <v>536.20000000000005</v>
      </c>
      <c r="V33" s="23">
        <v>596</v>
      </c>
      <c r="W33" s="23">
        <v>638.70000000000005</v>
      </c>
      <c r="X33" s="23">
        <v>640.6</v>
      </c>
      <c r="Y33" s="23">
        <v>711.3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170.3</v>
      </c>
      <c r="E34" s="23">
        <v>191.9</v>
      </c>
      <c r="F34" s="23">
        <v>202.99999999999997</v>
      </c>
      <c r="G34" s="23">
        <v>210.2</v>
      </c>
      <c r="H34" s="23">
        <v>230.3</v>
      </c>
      <c r="I34" s="23">
        <v>238.9</v>
      </c>
      <c r="J34" s="23">
        <v>252.5</v>
      </c>
      <c r="K34" s="23">
        <v>269.5</v>
      </c>
      <c r="L34" s="23">
        <v>303.20000000000005</v>
      </c>
      <c r="M34" s="23">
        <v>330.4</v>
      </c>
      <c r="N34" s="23">
        <v>358.1</v>
      </c>
      <c r="O34" s="23">
        <v>378.5</v>
      </c>
      <c r="P34" s="23">
        <v>400.3</v>
      </c>
      <c r="Q34" s="23">
        <v>435.5</v>
      </c>
      <c r="R34" s="23">
        <v>486.3</v>
      </c>
      <c r="S34" s="23">
        <v>527.9</v>
      </c>
      <c r="T34" s="23">
        <v>572.90000000000009</v>
      </c>
      <c r="U34" s="23">
        <v>608.49999999999989</v>
      </c>
      <c r="V34" s="23">
        <v>669.7</v>
      </c>
      <c r="W34" s="23">
        <v>768.6</v>
      </c>
      <c r="X34" s="23">
        <v>801.7</v>
      </c>
      <c r="Y34" s="23">
        <v>904.6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59.399999999999991</v>
      </c>
      <c r="E35" s="23">
        <v>77.199999999999989</v>
      </c>
      <c r="F35" s="23">
        <v>88.200000000000017</v>
      </c>
      <c r="G35" s="23">
        <v>99.700000000000017</v>
      </c>
      <c r="H35" s="23">
        <v>97.500000000000014</v>
      </c>
      <c r="I35" s="23">
        <v>148.60000000000002</v>
      </c>
      <c r="J35" s="23">
        <v>152.50000000000003</v>
      </c>
      <c r="K35" s="23">
        <v>282.29999999999995</v>
      </c>
      <c r="L35" s="23">
        <v>454.89999999999986</v>
      </c>
      <c r="M35" s="23">
        <v>401.89999999999992</v>
      </c>
      <c r="N35" s="23">
        <v>471.7</v>
      </c>
      <c r="O35" s="23">
        <v>449.40000000000009</v>
      </c>
      <c r="P35" s="23">
        <v>496.9</v>
      </c>
      <c r="Q35" s="23">
        <v>589.9</v>
      </c>
      <c r="R35" s="23">
        <v>884.6</v>
      </c>
      <c r="S35" s="23">
        <v>1100</v>
      </c>
      <c r="T35" s="23">
        <v>895.1</v>
      </c>
      <c r="U35" s="23">
        <v>1034.2</v>
      </c>
      <c r="V35" s="23">
        <v>1152.9000000000001</v>
      </c>
      <c r="W35" s="23">
        <v>1191.3000000000002</v>
      </c>
      <c r="X35" s="23">
        <v>1346</v>
      </c>
      <c r="Y35" s="23">
        <v>1583.8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50.800000000000011</v>
      </c>
      <c r="E36" s="23">
        <v>56.6</v>
      </c>
      <c r="F36" s="23">
        <v>62.2</v>
      </c>
      <c r="G36" s="23">
        <v>65</v>
      </c>
      <c r="H36" s="23">
        <v>57.2</v>
      </c>
      <c r="I36" s="23">
        <v>59</v>
      </c>
      <c r="J36" s="23">
        <v>60.9</v>
      </c>
      <c r="K36" s="23">
        <v>66.2</v>
      </c>
      <c r="L36" s="23">
        <v>67.500000000000014</v>
      </c>
      <c r="M36" s="23">
        <v>64.900000000000006</v>
      </c>
      <c r="N36" s="23">
        <v>71.5</v>
      </c>
      <c r="O36" s="23">
        <v>68.8</v>
      </c>
      <c r="P36" s="23">
        <v>71.7</v>
      </c>
      <c r="Q36" s="23">
        <v>74.8</v>
      </c>
      <c r="R36" s="23">
        <v>81.599999999999994</v>
      </c>
      <c r="S36" s="23">
        <v>90.5</v>
      </c>
      <c r="T36" s="23">
        <v>90.4</v>
      </c>
      <c r="U36" s="23">
        <v>97.2</v>
      </c>
      <c r="V36" s="23">
        <v>106.1</v>
      </c>
      <c r="W36" s="23">
        <v>121.4</v>
      </c>
      <c r="X36" s="23">
        <v>113.2</v>
      </c>
      <c r="Y36" s="23">
        <v>128.1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0.89999999999999991</v>
      </c>
      <c r="E37" s="23">
        <v>0.79999999999999982</v>
      </c>
      <c r="F37" s="23">
        <v>1.1000000000000001</v>
      </c>
      <c r="G37" s="23">
        <v>0.80000000000000016</v>
      </c>
      <c r="H37" s="23">
        <v>1.1000000000000003</v>
      </c>
      <c r="I37" s="23">
        <v>1.3</v>
      </c>
      <c r="J37" s="23">
        <v>1.9</v>
      </c>
      <c r="K37" s="23">
        <v>2.4999999999999996</v>
      </c>
      <c r="L37" s="23">
        <v>3.4</v>
      </c>
      <c r="M37" s="23">
        <v>4.0999999999999996</v>
      </c>
      <c r="N37" s="23">
        <v>5.2</v>
      </c>
      <c r="O37" s="23">
        <v>5.8</v>
      </c>
      <c r="P37" s="23">
        <v>7.4</v>
      </c>
      <c r="Q37" s="23">
        <v>8.8999999999999986</v>
      </c>
      <c r="R37" s="23">
        <v>7.8999999999999986</v>
      </c>
      <c r="S37" s="23">
        <v>9.3000000000000007</v>
      </c>
      <c r="T37" s="23">
        <v>9.5</v>
      </c>
      <c r="U37" s="23">
        <v>10.3</v>
      </c>
      <c r="V37" s="23">
        <v>12.6</v>
      </c>
      <c r="W37" s="23">
        <v>12.6</v>
      </c>
      <c r="X37" s="23">
        <v>14.1</v>
      </c>
      <c r="Y37" s="23">
        <v>13.1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3933.6000000000008</v>
      </c>
      <c r="E39" s="30">
        <f t="shared" ref="E39:S39" si="2">SUM(E18:E38)</f>
        <v>4050.4</v>
      </c>
      <c r="F39" s="30">
        <f t="shared" si="2"/>
        <v>4196.6000000000013</v>
      </c>
      <c r="G39" s="30">
        <f t="shared" si="2"/>
        <v>4283.1000000000004</v>
      </c>
      <c r="H39" s="30">
        <f t="shared" si="2"/>
        <v>4302.1000000000013</v>
      </c>
      <c r="I39" s="30">
        <f t="shared" si="2"/>
        <v>4475.3</v>
      </c>
      <c r="J39" s="30">
        <f t="shared" si="2"/>
        <v>4698.3999999999987</v>
      </c>
      <c r="K39" s="30">
        <f t="shared" si="2"/>
        <v>5052.1000000000022</v>
      </c>
      <c r="L39" s="30">
        <f t="shared" si="2"/>
        <v>5461.7999999999993</v>
      </c>
      <c r="M39" s="30">
        <f t="shared" si="2"/>
        <v>5477.9</v>
      </c>
      <c r="N39" s="30">
        <f t="shared" si="2"/>
        <v>6007.0000000000009</v>
      </c>
      <c r="O39" s="30">
        <f t="shared" si="2"/>
        <v>6042.9000000000015</v>
      </c>
      <c r="P39" s="30">
        <f t="shared" si="2"/>
        <v>6477.5999999999995</v>
      </c>
      <c r="Q39" s="30">
        <f t="shared" si="2"/>
        <v>7019.1999999999989</v>
      </c>
      <c r="R39" s="30">
        <f t="shared" si="2"/>
        <v>7716.2000000000007</v>
      </c>
      <c r="S39" s="30">
        <f t="shared" si="2"/>
        <v>8888.7999999999956</v>
      </c>
      <c r="T39" s="30">
        <f t="shared" ref="T39:Y39" si="3">SUM(T18:T38)</f>
        <v>9355.7000000000007</v>
      </c>
      <c r="U39" s="30">
        <f t="shared" si="3"/>
        <v>10629.000000000004</v>
      </c>
      <c r="V39" s="30">
        <f t="shared" si="3"/>
        <v>11575</v>
      </c>
      <c r="W39" s="30">
        <f t="shared" si="3"/>
        <v>12798.100000000002</v>
      </c>
      <c r="X39" s="30">
        <f t="shared" si="3"/>
        <v>12139.4</v>
      </c>
      <c r="Y39" s="30">
        <f t="shared" si="3"/>
        <v>13994.4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93.9</v>
      </c>
      <c r="O41" s="19">
        <v>98.1</v>
      </c>
      <c r="P41" s="19">
        <v>99.9</v>
      </c>
      <c r="Q41" s="19">
        <v>112.2</v>
      </c>
      <c r="R41" s="19">
        <v>136.9</v>
      </c>
      <c r="S41" s="19">
        <v>153.4</v>
      </c>
      <c r="T41" s="19">
        <v>134.30000000000001</v>
      </c>
      <c r="U41" s="19">
        <v>143</v>
      </c>
      <c r="V41" s="19">
        <v>142</v>
      </c>
      <c r="W41" s="19">
        <v>147.30000000000001</v>
      </c>
      <c r="X41" s="19">
        <v>135.9</v>
      </c>
      <c r="Y41" s="19">
        <v>143.4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27.3</v>
      </c>
      <c r="O42" s="23">
        <v>30.099999999999994</v>
      </c>
      <c r="P42" s="23">
        <v>30.7</v>
      </c>
      <c r="Q42" s="23">
        <v>19.3</v>
      </c>
      <c r="R42" s="23">
        <v>16.3</v>
      </c>
      <c r="S42" s="23">
        <v>16.7</v>
      </c>
      <c r="T42" s="23">
        <v>14.5</v>
      </c>
      <c r="U42" s="23">
        <v>17.399999999999999</v>
      </c>
      <c r="V42" s="23">
        <v>18.399999999999999</v>
      </c>
      <c r="W42" s="23">
        <v>16.8</v>
      </c>
      <c r="X42" s="23">
        <v>16.100000000000001</v>
      </c>
      <c r="Y42" s="23">
        <v>19.600000000000001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67.900000000000006</v>
      </c>
      <c r="O43" s="23">
        <v>72.3</v>
      </c>
      <c r="P43" s="23">
        <v>65.5</v>
      </c>
      <c r="Q43" s="23">
        <v>66.2</v>
      </c>
      <c r="R43" s="23">
        <v>69.999999999999986</v>
      </c>
      <c r="S43" s="23">
        <v>74.7</v>
      </c>
      <c r="T43" s="23">
        <v>70.7</v>
      </c>
      <c r="U43" s="23">
        <v>59.3</v>
      </c>
      <c r="V43" s="23">
        <v>80.2</v>
      </c>
      <c r="W43" s="23">
        <v>86.6</v>
      </c>
      <c r="X43" s="23">
        <v>103.9</v>
      </c>
      <c r="Y43" s="23">
        <v>111.3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12.832823199595568</v>
      </c>
      <c r="O45" s="23">
        <v>8.1999999999999993</v>
      </c>
      <c r="P45" s="23">
        <v>8.4</v>
      </c>
      <c r="Q45" s="23">
        <v>8.1999999999999993</v>
      </c>
      <c r="R45" s="23">
        <v>9.8999999999999986</v>
      </c>
      <c r="S45" s="23">
        <v>10.3</v>
      </c>
      <c r="T45" s="23">
        <v>9.1999999999999993</v>
      </c>
      <c r="U45" s="23">
        <v>10.6</v>
      </c>
      <c r="V45" s="23">
        <v>11.455922603224582</v>
      </c>
      <c r="W45" s="23">
        <v>12.4</v>
      </c>
      <c r="X45" s="23">
        <v>11.6</v>
      </c>
      <c r="Y45" s="23">
        <v>11.9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64.400000000000006</v>
      </c>
      <c r="V46" s="23">
        <v>60.1</v>
      </c>
      <c r="W46" s="23">
        <v>54.6</v>
      </c>
      <c r="X46" s="23">
        <v>63.1</v>
      </c>
      <c r="Y46" s="23">
        <v>54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19.399999999999995</v>
      </c>
      <c r="S50" s="23">
        <v>14.6</v>
      </c>
      <c r="T50" s="23">
        <v>20.399999999999999</v>
      </c>
      <c r="U50" s="23">
        <v>21.1</v>
      </c>
      <c r="V50" s="23">
        <v>16.399999999999999</v>
      </c>
      <c r="W50" s="23">
        <v>7.8</v>
      </c>
      <c r="X50" s="23">
        <v>14.7</v>
      </c>
      <c r="Y50" s="23">
        <v>18.600000000000001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21</v>
      </c>
      <c r="W51" s="23">
        <v>22.8</v>
      </c>
      <c r="X51" s="23">
        <v>21.6</v>
      </c>
      <c r="Y51" s="23">
        <v>24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30.4</v>
      </c>
      <c r="O52" s="23">
        <v>32.599999999999994</v>
      </c>
      <c r="P52" s="23">
        <v>41.3</v>
      </c>
      <c r="Q52" s="23">
        <v>46.5</v>
      </c>
      <c r="R52" s="23">
        <v>57.6</v>
      </c>
      <c r="S52" s="23">
        <v>58.9</v>
      </c>
      <c r="T52" s="23">
        <v>66.900000000000006</v>
      </c>
      <c r="U52" s="23">
        <v>71.09999999999998</v>
      </c>
      <c r="V52" s="23">
        <v>62</v>
      </c>
      <c r="W52" s="23">
        <v>64.5</v>
      </c>
      <c r="X52" s="23">
        <v>71.3</v>
      </c>
      <c r="Y52" s="23">
        <v>83.6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1170.9999999999998</v>
      </c>
      <c r="E53" s="23">
        <v>1082.0999999999997</v>
      </c>
      <c r="F53" s="23">
        <v>1163.0000000000007</v>
      </c>
      <c r="G53" s="23">
        <v>1192.8000000000006</v>
      </c>
      <c r="H53" s="23">
        <v>1101.1000000000006</v>
      </c>
      <c r="I53" s="23">
        <v>1008.1999999999991</v>
      </c>
      <c r="J53" s="23">
        <v>974.69999999999902</v>
      </c>
      <c r="K53" s="23">
        <v>952.50000000000159</v>
      </c>
      <c r="L53" s="23">
        <v>1091.0999999999999</v>
      </c>
      <c r="M53" s="23">
        <v>945.89999999999975</v>
      </c>
      <c r="N53" s="23">
        <v>533.56717680040481</v>
      </c>
      <c r="O53" s="23">
        <v>536.70000000000039</v>
      </c>
      <c r="P53" s="23">
        <v>560.1</v>
      </c>
      <c r="Q53" s="23">
        <v>497.09999999999911</v>
      </c>
      <c r="R53" s="23">
        <v>435.69999999999976</v>
      </c>
      <c r="S53" s="23">
        <v>415.89999999999867</v>
      </c>
      <c r="T53" s="23">
        <v>441.89999999999935</v>
      </c>
      <c r="U53" s="23">
        <v>435.10000000000059</v>
      </c>
      <c r="V53" s="23">
        <v>473.4440773967745</v>
      </c>
      <c r="W53" s="23">
        <v>540.20000000000027</v>
      </c>
      <c r="X53" s="23">
        <v>528.20000000000027</v>
      </c>
      <c r="Y53" s="23">
        <v>563.79999999999893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1170.9999999999998</v>
      </c>
      <c r="E54" s="30">
        <f t="shared" ref="E54:S54" si="4">SUM(E41:E53)</f>
        <v>1082.0999999999997</v>
      </c>
      <c r="F54" s="30">
        <f t="shared" si="4"/>
        <v>1163.0000000000007</v>
      </c>
      <c r="G54" s="30">
        <f t="shared" si="4"/>
        <v>1192.8000000000006</v>
      </c>
      <c r="H54" s="30">
        <f t="shared" si="4"/>
        <v>1101.1000000000006</v>
      </c>
      <c r="I54" s="30">
        <f t="shared" si="4"/>
        <v>1008.1999999999991</v>
      </c>
      <c r="J54" s="30">
        <f t="shared" si="4"/>
        <v>974.69999999999902</v>
      </c>
      <c r="K54" s="30">
        <f t="shared" si="4"/>
        <v>952.50000000000159</v>
      </c>
      <c r="L54" s="30">
        <f t="shared" si="4"/>
        <v>1091.0999999999999</v>
      </c>
      <c r="M54" s="30">
        <f t="shared" si="4"/>
        <v>945.89999999999975</v>
      </c>
      <c r="N54" s="30">
        <f t="shared" si="4"/>
        <v>765.90000000000043</v>
      </c>
      <c r="O54" s="30">
        <f t="shared" si="4"/>
        <v>778.00000000000034</v>
      </c>
      <c r="P54" s="30">
        <f t="shared" si="4"/>
        <v>805.90000000000009</v>
      </c>
      <c r="Q54" s="30">
        <f t="shared" si="4"/>
        <v>749.49999999999909</v>
      </c>
      <c r="R54" s="30">
        <f t="shared" si="4"/>
        <v>745.79999999999973</v>
      </c>
      <c r="S54" s="30">
        <f t="shared" si="4"/>
        <v>744.49999999999864</v>
      </c>
      <c r="T54" s="30">
        <f t="shared" ref="T54:Y54" si="5">SUM(T41:T53)</f>
        <v>757.89999999999941</v>
      </c>
      <c r="U54" s="30">
        <f t="shared" si="5"/>
        <v>822.00000000000057</v>
      </c>
      <c r="V54" s="30">
        <f t="shared" si="5"/>
        <v>884.99999999999909</v>
      </c>
      <c r="W54" s="30">
        <f t="shared" si="5"/>
        <v>953.00000000000034</v>
      </c>
      <c r="X54" s="30">
        <f t="shared" si="5"/>
        <v>966.40000000000032</v>
      </c>
      <c r="Y54" s="30">
        <f t="shared" si="5"/>
        <v>1030.1999999999989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93.9</v>
      </c>
      <c r="O56" s="19">
        <v>98.1</v>
      </c>
      <c r="P56" s="19">
        <v>99.9</v>
      </c>
      <c r="Q56" s="19">
        <v>112.2</v>
      </c>
      <c r="R56" s="19">
        <v>136.9</v>
      </c>
      <c r="S56" s="19">
        <v>153.4</v>
      </c>
      <c r="T56" s="19">
        <v>134.30000000000001</v>
      </c>
      <c r="U56" s="19">
        <v>143</v>
      </c>
      <c r="V56" s="19">
        <v>142</v>
      </c>
      <c r="W56" s="19">
        <v>147.30000000000001</v>
      </c>
      <c r="X56" s="19">
        <v>135.9</v>
      </c>
      <c r="Y56" s="19">
        <v>143.4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27.3</v>
      </c>
      <c r="O57" s="23">
        <v>30.099999999999994</v>
      </c>
      <c r="P57" s="23">
        <v>30.7</v>
      </c>
      <c r="Q57" s="23">
        <v>19.3</v>
      </c>
      <c r="R57" s="23">
        <v>16.3</v>
      </c>
      <c r="S57" s="23">
        <v>16.7</v>
      </c>
      <c r="T57" s="23">
        <v>14.5</v>
      </c>
      <c r="U57" s="23">
        <v>17.399999999999999</v>
      </c>
      <c r="V57" s="23">
        <v>18.399999999999999</v>
      </c>
      <c r="W57" s="23">
        <v>16.8</v>
      </c>
      <c r="X57" s="23">
        <v>16.100000000000001</v>
      </c>
      <c r="Y57" s="23">
        <v>19.600000000000001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67.900000000000006</v>
      </c>
      <c r="O60" s="23">
        <v>72.3</v>
      </c>
      <c r="P60" s="23">
        <v>65.5</v>
      </c>
      <c r="Q60" s="23">
        <v>66.2</v>
      </c>
      <c r="R60" s="23">
        <v>69.999999999999986</v>
      </c>
      <c r="S60" s="23">
        <v>74.7</v>
      </c>
      <c r="T60" s="23">
        <v>70.7</v>
      </c>
      <c r="U60" s="23">
        <v>59.3</v>
      </c>
      <c r="V60" s="23">
        <v>80.2</v>
      </c>
      <c r="W60" s="23">
        <v>86.6</v>
      </c>
      <c r="X60" s="23">
        <v>103.9</v>
      </c>
      <c r="Y60" s="23">
        <v>111.3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12.832823199595568</v>
      </c>
      <c r="O62" s="23">
        <v>8.1999999999999993</v>
      </c>
      <c r="P62" s="23">
        <v>8.4</v>
      </c>
      <c r="Q62" s="23">
        <v>8.1999999999999993</v>
      </c>
      <c r="R62" s="23">
        <v>9.8999999999999986</v>
      </c>
      <c r="S62" s="23">
        <v>10.3</v>
      </c>
      <c r="T62" s="23">
        <v>9.1999999999999993</v>
      </c>
      <c r="U62" s="23">
        <v>10.6</v>
      </c>
      <c r="V62" s="23">
        <v>11.455922603224582</v>
      </c>
      <c r="W62" s="23">
        <v>12.4</v>
      </c>
      <c r="X62" s="23">
        <v>11.6</v>
      </c>
      <c r="Y62" s="23">
        <v>11.9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64.400000000000006</v>
      </c>
      <c r="V63" s="23">
        <v>60.1</v>
      </c>
      <c r="W63" s="23">
        <v>54.6</v>
      </c>
      <c r="X63" s="23">
        <v>63.1</v>
      </c>
      <c r="Y63" s="23">
        <v>54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19.399999999999995</v>
      </c>
      <c r="S69" s="23">
        <v>14.6</v>
      </c>
      <c r="T69" s="23">
        <v>20.399999999999999</v>
      </c>
      <c r="U69" s="23">
        <v>21.1</v>
      </c>
      <c r="V69" s="23">
        <v>16.399999999999999</v>
      </c>
      <c r="W69" s="23">
        <v>7.8</v>
      </c>
      <c r="X69" s="23">
        <v>14.7</v>
      </c>
      <c r="Y69" s="23">
        <v>18.600000000000001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21</v>
      </c>
      <c r="W70" s="23">
        <v>22.8</v>
      </c>
      <c r="X70" s="23">
        <v>21.6</v>
      </c>
      <c r="Y70" s="23">
        <v>24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30.4</v>
      </c>
      <c r="O72" s="23">
        <v>32.599999999999994</v>
      </c>
      <c r="P72" s="23">
        <v>41.3</v>
      </c>
      <c r="Q72" s="23">
        <v>46.5</v>
      </c>
      <c r="R72" s="23">
        <v>57.6</v>
      </c>
      <c r="S72" s="23">
        <v>58.9</v>
      </c>
      <c r="T72" s="23">
        <v>66.900000000000006</v>
      </c>
      <c r="U72" s="23">
        <v>71.09999999999998</v>
      </c>
      <c r="V72" s="23">
        <v>62</v>
      </c>
      <c r="W72" s="23">
        <v>64.5</v>
      </c>
      <c r="X72" s="23">
        <v>71.3</v>
      </c>
      <c r="Y72" s="23">
        <v>83.6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1170.9999999999998</v>
      </c>
      <c r="E73" s="23">
        <v>1082.0999999999997</v>
      </c>
      <c r="F73" s="23">
        <v>1163.0000000000007</v>
      </c>
      <c r="G73" s="23">
        <v>1192.8000000000006</v>
      </c>
      <c r="H73" s="23">
        <v>1101.1000000000006</v>
      </c>
      <c r="I73" s="23">
        <v>1008.1999999999991</v>
      </c>
      <c r="J73" s="23">
        <v>974.69999999999902</v>
      </c>
      <c r="K73" s="23">
        <v>952.50000000000159</v>
      </c>
      <c r="L73" s="23">
        <v>1091.0999999999999</v>
      </c>
      <c r="M73" s="23">
        <v>945.89999999999975</v>
      </c>
      <c r="N73" s="23">
        <v>533.56717680040481</v>
      </c>
      <c r="O73" s="23">
        <v>536.70000000000039</v>
      </c>
      <c r="P73" s="23">
        <v>560.1</v>
      </c>
      <c r="Q73" s="23">
        <v>497.09999999999911</v>
      </c>
      <c r="R73" s="23">
        <v>435.69999999999976</v>
      </c>
      <c r="S73" s="23">
        <v>415.89999999999867</v>
      </c>
      <c r="T73" s="23">
        <v>441.89999999999935</v>
      </c>
      <c r="U73" s="23">
        <v>435.10000000000059</v>
      </c>
      <c r="V73" s="23">
        <v>473.4440773967745</v>
      </c>
      <c r="W73" s="23">
        <v>540.20000000000027</v>
      </c>
      <c r="X73" s="23">
        <v>528.20000000000027</v>
      </c>
      <c r="Y73" s="23">
        <v>563.79999999999893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1170.9999999999998</v>
      </c>
      <c r="E75" s="30">
        <f t="shared" ref="E75:S75" si="6">SUM(E56:E74)</f>
        <v>1082.0999999999997</v>
      </c>
      <c r="F75" s="30">
        <f t="shared" si="6"/>
        <v>1163.0000000000007</v>
      </c>
      <c r="G75" s="30">
        <f t="shared" si="6"/>
        <v>1192.8000000000006</v>
      </c>
      <c r="H75" s="30">
        <f t="shared" si="6"/>
        <v>1101.1000000000006</v>
      </c>
      <c r="I75" s="30">
        <f t="shared" si="6"/>
        <v>1008.1999999999991</v>
      </c>
      <c r="J75" s="30">
        <f t="shared" si="6"/>
        <v>974.69999999999902</v>
      </c>
      <c r="K75" s="30">
        <f t="shared" si="6"/>
        <v>952.50000000000159</v>
      </c>
      <c r="L75" s="30">
        <f t="shared" si="6"/>
        <v>1091.0999999999999</v>
      </c>
      <c r="M75" s="30">
        <f t="shared" si="6"/>
        <v>945.89999999999975</v>
      </c>
      <c r="N75" s="30">
        <f t="shared" si="6"/>
        <v>765.90000000000043</v>
      </c>
      <c r="O75" s="30">
        <f t="shared" si="6"/>
        <v>778.00000000000034</v>
      </c>
      <c r="P75" s="30">
        <f t="shared" si="6"/>
        <v>805.90000000000009</v>
      </c>
      <c r="Q75" s="30">
        <f t="shared" si="6"/>
        <v>749.49999999999909</v>
      </c>
      <c r="R75" s="30">
        <f t="shared" si="6"/>
        <v>745.79999999999973</v>
      </c>
      <c r="S75" s="30">
        <f t="shared" si="6"/>
        <v>744.49999999999864</v>
      </c>
      <c r="T75" s="30">
        <f t="shared" ref="T75:Y75" si="7">SUM(T56:T74)</f>
        <v>757.89999999999941</v>
      </c>
      <c r="U75" s="30">
        <f t="shared" si="7"/>
        <v>822.00000000000057</v>
      </c>
      <c r="V75" s="30">
        <f t="shared" si="7"/>
        <v>884.99999999999909</v>
      </c>
      <c r="W75" s="30">
        <f t="shared" si="7"/>
        <v>953.00000000000034</v>
      </c>
      <c r="X75" s="30">
        <f t="shared" si="7"/>
        <v>966.40000000000032</v>
      </c>
      <c r="Y75" s="30">
        <f t="shared" si="7"/>
        <v>1030.1999999999989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6043.6384555328787</v>
      </c>
      <c r="E2" s="19">
        <v>5972.5020276811183</v>
      </c>
      <c r="F2" s="19">
        <v>6125.8269588587964</v>
      </c>
      <c r="G2" s="19">
        <v>6375.3998255306778</v>
      </c>
      <c r="H2" s="19">
        <v>6384.2733442546214</v>
      </c>
      <c r="I2" s="19">
        <v>6600.3484588382998</v>
      </c>
      <c r="J2" s="19">
        <v>6766.0133992862056</v>
      </c>
      <c r="K2" s="19">
        <v>7089.0926676379486</v>
      </c>
      <c r="L2" s="19">
        <v>7360.3187969211431</v>
      </c>
      <c r="M2" s="19">
        <v>7276.8277513630392</v>
      </c>
      <c r="N2" s="19">
        <v>7680.2938790228072</v>
      </c>
      <c r="O2" s="19">
        <v>7716.1195426890417</v>
      </c>
      <c r="P2" s="19">
        <v>8033.8831435179118</v>
      </c>
      <c r="Q2" s="19">
        <v>8473.5584615056414</v>
      </c>
      <c r="R2" s="19">
        <v>9120.3843628518734</v>
      </c>
      <c r="S2" s="19">
        <v>9996.7000000000007</v>
      </c>
      <c r="T2" s="19">
        <v>10334.715726933146</v>
      </c>
      <c r="U2" s="19">
        <v>11458.109353401935</v>
      </c>
      <c r="V2" s="19">
        <v>12307.750372704799</v>
      </c>
      <c r="W2" s="19">
        <v>13184.706913250011</v>
      </c>
      <c r="X2" s="19">
        <v>12110.471180445331</v>
      </c>
      <c r="Y2" s="19">
        <v>13630.930677219974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3590.0528666016526</v>
      </c>
      <c r="E3" s="23">
        <v>3672.1950244779696</v>
      </c>
      <c r="F3" s="23">
        <v>3590.0279079039174</v>
      </c>
      <c r="G3" s="23">
        <v>3785.5526410533353</v>
      </c>
      <c r="H3" s="23">
        <v>3890.581318088934</v>
      </c>
      <c r="I3" s="23">
        <v>4059.3610661962862</v>
      </c>
      <c r="J3" s="23">
        <v>4163.1587106621992</v>
      </c>
      <c r="K3" s="23">
        <v>4231.5254117563954</v>
      </c>
      <c r="L3" s="23">
        <v>4214.3586253827834</v>
      </c>
      <c r="M3" s="23">
        <v>4261.3832308017481</v>
      </c>
      <c r="N3" s="23">
        <v>4348.4366835046158</v>
      </c>
      <c r="O3" s="23">
        <v>4498.1704406851577</v>
      </c>
      <c r="P3" s="23">
        <v>4523.0543531040466</v>
      </c>
      <c r="Q3" s="23">
        <v>4661.0766701050934</v>
      </c>
      <c r="R3" s="23">
        <v>4786.8979040303984</v>
      </c>
      <c r="S3" s="23">
        <v>4899</v>
      </c>
      <c r="T3" s="23">
        <v>5046.0642323618567</v>
      </c>
      <c r="U3" s="23">
        <v>5325.2697921057015</v>
      </c>
      <c r="V3" s="23">
        <v>5834.345161196321</v>
      </c>
      <c r="W3" s="23">
        <v>6085.8703839662849</v>
      </c>
      <c r="X3" s="23">
        <v>5437.6048084713511</v>
      </c>
      <c r="Y3" s="23">
        <v>5878.8820742864054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5277.2374193375281</v>
      </c>
      <c r="E4" s="27">
        <v>5172.131984880989</v>
      </c>
      <c r="F4" s="27">
        <v>5334.7740418229205</v>
      </c>
      <c r="G4" s="27">
        <v>5593.412907775486</v>
      </c>
      <c r="H4" s="27">
        <v>5525.9270676788319</v>
      </c>
      <c r="I4" s="27">
        <v>5662.9295945740741</v>
      </c>
      <c r="J4" s="27">
        <v>5814.4197213078232</v>
      </c>
      <c r="K4" s="27">
        <v>6077.5680585128794</v>
      </c>
      <c r="L4" s="27">
        <v>6364.4732395679184</v>
      </c>
      <c r="M4" s="27">
        <v>6293.8324371524423</v>
      </c>
      <c r="N4" s="27">
        <v>6668.9610764482541</v>
      </c>
      <c r="O4" s="27">
        <v>6627.2221795729465</v>
      </c>
      <c r="P4" s="27">
        <v>6953.9452495974228</v>
      </c>
      <c r="Q4" s="27">
        <v>7411.1771599919757</v>
      </c>
      <c r="R4" s="27">
        <v>8013.0847915260392</v>
      </c>
      <c r="S4" s="27">
        <v>8888.7999999999993</v>
      </c>
      <c r="T4" s="27">
        <v>9184.4107397045118</v>
      </c>
      <c r="U4" s="27">
        <v>10187.865427010447</v>
      </c>
      <c r="V4" s="27">
        <v>10927.027282167468</v>
      </c>
      <c r="W4" s="27">
        <v>11837.378371378889</v>
      </c>
      <c r="X4" s="27">
        <v>11015.189735586084</v>
      </c>
      <c r="Y4" s="27">
        <v>12445.772524745871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119.95748342359668</v>
      </c>
      <c r="J6" s="19">
        <v>124.99071851100166</v>
      </c>
      <c r="K6" s="19">
        <v>127.5157289448675</v>
      </c>
      <c r="L6" s="19">
        <v>76.67478471631496</v>
      </c>
      <c r="M6" s="19">
        <v>103.52038237051335</v>
      </c>
      <c r="N6" s="19">
        <v>95.810111685947106</v>
      </c>
      <c r="O6" s="19">
        <v>75.342991566410404</v>
      </c>
      <c r="P6" s="19">
        <v>83.413848631239929</v>
      </c>
      <c r="Q6" s="19">
        <v>89.746703128464489</v>
      </c>
      <c r="R6" s="19">
        <v>91.281998026896517</v>
      </c>
      <c r="S6" s="19">
        <v>92.3</v>
      </c>
      <c r="T6" s="19">
        <v>95.911255092524428</v>
      </c>
      <c r="U6" s="19">
        <v>76.296367296079737</v>
      </c>
      <c r="V6" s="19">
        <v>81.940904370810912</v>
      </c>
      <c r="W6" s="19">
        <v>61.508009915276183</v>
      </c>
      <c r="X6" s="19">
        <v>92.553944431337669</v>
      </c>
      <c r="Y6" s="19">
        <v>123.08458507866207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1705.5501147050536</v>
      </c>
      <c r="E7" s="23">
        <v>1520.9674124016751</v>
      </c>
      <c r="F7" s="23">
        <v>1622.449628170089</v>
      </c>
      <c r="G7" s="23">
        <v>1682.9472144592169</v>
      </c>
      <c r="H7" s="23">
        <v>1526.4665459262978</v>
      </c>
      <c r="I7" s="23">
        <v>1366.7307789644165</v>
      </c>
      <c r="J7" s="23">
        <v>1333.5643392817356</v>
      </c>
      <c r="K7" s="23">
        <v>1272.1498430112979</v>
      </c>
      <c r="L7" s="23">
        <v>1393.7797872216461</v>
      </c>
      <c r="M7" s="23">
        <v>1261.3171561193067</v>
      </c>
      <c r="N7" s="23">
        <v>1011.9457335080051</v>
      </c>
      <c r="O7" s="23">
        <v>946.22901198688396</v>
      </c>
      <c r="P7" s="23">
        <v>894.47128287707983</v>
      </c>
      <c r="Q7" s="23">
        <v>903.16858654221687</v>
      </c>
      <c r="R7" s="23">
        <v>885.92346435432773</v>
      </c>
      <c r="S7" s="23">
        <v>908.39999999999873</v>
      </c>
      <c r="T7" s="23">
        <v>949.68831296323515</v>
      </c>
      <c r="U7" s="23">
        <v>956.19668360011565</v>
      </c>
      <c r="V7" s="23">
        <v>1026.7157556877173</v>
      </c>
      <c r="W7" s="23">
        <v>1076.6214066373159</v>
      </c>
      <c r="X7" s="23">
        <v>1060.5593161896813</v>
      </c>
      <c r="Y7" s="23">
        <v>1126.8820646905533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317.18364899971135</v>
      </c>
      <c r="O8" s="23">
        <v>294.5724531985129</v>
      </c>
      <c r="P8" s="23">
        <v>285.66827697262482</v>
      </c>
      <c r="Q8" s="23">
        <v>320.34293799030735</v>
      </c>
      <c r="R8" s="23">
        <v>294.40780933589491</v>
      </c>
      <c r="S8" s="23">
        <v>320.5</v>
      </c>
      <c r="T8" s="23">
        <v>327.49226917979678</v>
      </c>
      <c r="U8" s="23">
        <v>387.13696923224387</v>
      </c>
      <c r="V8" s="23">
        <v>439.44114037571978</v>
      </c>
      <c r="W8" s="23">
        <v>569.57342114025664</v>
      </c>
      <c r="X8" s="23">
        <v>568.84380160789794</v>
      </c>
      <c r="Y8" s="23">
        <v>586.16365625250126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1448.9059418559411</v>
      </c>
      <c r="E9" s="23">
        <v>1410.767187659618</v>
      </c>
      <c r="F9" s="23">
        <v>1406.724718744041</v>
      </c>
      <c r="G9" s="23">
        <v>1428.4221798521692</v>
      </c>
      <c r="H9" s="23">
        <v>1390.1840648401476</v>
      </c>
      <c r="I9" s="23">
        <v>1341.5498304398441</v>
      </c>
      <c r="J9" s="23">
        <v>1365.7401678093211</v>
      </c>
      <c r="K9" s="23">
        <v>1437.7999927821286</v>
      </c>
      <c r="L9" s="23">
        <v>1421.0471118776002</v>
      </c>
      <c r="M9" s="23">
        <v>1351.2799301438483</v>
      </c>
      <c r="N9" s="23">
        <v>1399.0718742367387</v>
      </c>
      <c r="O9" s="23">
        <v>1424.8269962602676</v>
      </c>
      <c r="P9" s="23">
        <v>1512.3993558776167</v>
      </c>
      <c r="Q9" s="23">
        <v>1670.4501061122785</v>
      </c>
      <c r="R9" s="23">
        <v>1730.4117555428631</v>
      </c>
      <c r="S9" s="23">
        <v>1928.5</v>
      </c>
      <c r="T9" s="23">
        <v>1868.649683404506</v>
      </c>
      <c r="U9" s="23">
        <v>2122.3042269721077</v>
      </c>
      <c r="V9" s="23">
        <v>2207.40111394317</v>
      </c>
      <c r="W9" s="23">
        <v>2288.560435088239</v>
      </c>
      <c r="X9" s="23">
        <v>1443.2970981616245</v>
      </c>
      <c r="Y9" s="23">
        <v>1898.8287398948801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233.8373200606394</v>
      </c>
      <c r="E10" s="23">
        <v>249.00398406374504</v>
      </c>
      <c r="F10" s="23">
        <v>252.08161189855716</v>
      </c>
      <c r="G10" s="23">
        <v>267.5842975422467</v>
      </c>
      <c r="H10" s="23">
        <v>281.17092469140562</v>
      </c>
      <c r="I10" s="23">
        <v>308.75132864301258</v>
      </c>
      <c r="J10" s="23">
        <v>332.89607207385592</v>
      </c>
      <c r="K10" s="23">
        <v>317.58634378721717</v>
      </c>
      <c r="L10" s="23">
        <v>333.38382837899258</v>
      </c>
      <c r="M10" s="23">
        <v>329.63371478468673</v>
      </c>
      <c r="N10" s="23">
        <v>360.25934231853807</v>
      </c>
      <c r="O10" s="23">
        <v>404.0226796661658</v>
      </c>
      <c r="P10" s="23">
        <v>400.21470746108423</v>
      </c>
      <c r="Q10" s="23">
        <v>393.8296501990265</v>
      </c>
      <c r="R10" s="23">
        <v>492.86048081416482</v>
      </c>
      <c r="S10" s="23">
        <v>557.5</v>
      </c>
      <c r="T10" s="23">
        <v>666.56849752122912</v>
      </c>
      <c r="U10" s="23">
        <v>754.24134956388389</v>
      </c>
      <c r="V10" s="23">
        <v>845.55838761446228</v>
      </c>
      <c r="W10" s="23">
        <v>975.34130008509374</v>
      </c>
      <c r="X10" s="23">
        <v>936.0651870134111</v>
      </c>
      <c r="Y10" s="23">
        <v>1111.5854255044781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206.60325467205087</v>
      </c>
      <c r="E11" s="23">
        <v>200.86321381142102</v>
      </c>
      <c r="F11" s="23">
        <v>179.6224496281701</v>
      </c>
      <c r="G11" s="23">
        <v>204.37746493587903</v>
      </c>
      <c r="H11" s="23">
        <v>276.28993102385266</v>
      </c>
      <c r="I11" s="23">
        <v>386.44531052285259</v>
      </c>
      <c r="J11" s="23">
        <v>449.1003143330941</v>
      </c>
      <c r="K11" s="23">
        <v>500.31878932236219</v>
      </c>
      <c r="L11" s="23">
        <v>450.14391088012866</v>
      </c>
      <c r="M11" s="23">
        <v>531.04462521255573</v>
      </c>
      <c r="N11" s="23">
        <v>588.84916846148724</v>
      </c>
      <c r="O11" s="23">
        <v>557.0117236765625</v>
      </c>
      <c r="P11" s="23">
        <v>666.98872785829292</v>
      </c>
      <c r="Q11" s="23">
        <v>696.54000063350611</v>
      </c>
      <c r="R11" s="23">
        <v>672.30905031413886</v>
      </c>
      <c r="S11" s="23">
        <v>740.7</v>
      </c>
      <c r="T11" s="23">
        <v>808.61925096942036</v>
      </c>
      <c r="U11" s="23">
        <v>891.49813093070065</v>
      </c>
      <c r="V11" s="23">
        <v>967.33692060794863</v>
      </c>
      <c r="W11" s="23">
        <v>1030.0048096488954</v>
      </c>
      <c r="X11" s="23">
        <v>1119.1768143295285</v>
      </c>
      <c r="Y11" s="23">
        <v>1121.7238956626913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318.22267537799002</v>
      </c>
      <c r="E12" s="23">
        <v>312.34038206149762</v>
      </c>
      <c r="F12" s="23">
        <v>325.93910887942536</v>
      </c>
      <c r="G12" s="23">
        <v>355.73432235484626</v>
      </c>
      <c r="H12" s="23">
        <v>374.2951459802448</v>
      </c>
      <c r="I12" s="23">
        <v>361.89704914713769</v>
      </c>
      <c r="J12" s="23">
        <v>373.7346236665594</v>
      </c>
      <c r="K12" s="23">
        <v>385.31403755699114</v>
      </c>
      <c r="L12" s="23">
        <v>399.33812647843672</v>
      </c>
      <c r="M12" s="23">
        <v>431.77535732340641</v>
      </c>
      <c r="N12" s="23">
        <v>447.18786775318074</v>
      </c>
      <c r="O12" s="23">
        <v>431.76907976267501</v>
      </c>
      <c r="P12" s="23">
        <v>440.5797101449275</v>
      </c>
      <c r="Q12" s="23">
        <v>452.64013683732617</v>
      </c>
      <c r="R12" s="23">
        <v>459.73311179188948</v>
      </c>
      <c r="S12" s="23">
        <v>512.6</v>
      </c>
      <c r="T12" s="23">
        <v>573.01330191920692</v>
      </c>
      <c r="U12" s="23">
        <v>634.52506469855268</v>
      </c>
      <c r="V12" s="23">
        <v>658.45369583687341</v>
      </c>
      <c r="W12" s="23">
        <v>712.75296903326057</v>
      </c>
      <c r="X12" s="23">
        <v>696.33232310400524</v>
      </c>
      <c r="Y12" s="23">
        <v>731.03705877644677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357.79927286386993</v>
      </c>
      <c r="E13" s="23">
        <v>369.29206251915417</v>
      </c>
      <c r="F13" s="23">
        <v>384.9234093942668</v>
      </c>
      <c r="G13" s="23">
        <v>427.16849061038999</v>
      </c>
      <c r="H13" s="23">
        <v>436.20669723710074</v>
      </c>
      <c r="I13" s="23">
        <v>461.10239408817125</v>
      </c>
      <c r="J13" s="23">
        <v>506.02678018958989</v>
      </c>
      <c r="K13" s="23">
        <v>527.50610511626792</v>
      </c>
      <c r="L13" s="23">
        <v>547.44397963107542</v>
      </c>
      <c r="M13" s="23">
        <v>558.73431683441333</v>
      </c>
      <c r="N13" s="23">
        <v>630.70364367075956</v>
      </c>
      <c r="O13" s="23">
        <v>656.81102837151661</v>
      </c>
      <c r="P13" s="23">
        <v>743.53193773483622</v>
      </c>
      <c r="Q13" s="23">
        <v>806.55890023334143</v>
      </c>
      <c r="R13" s="23">
        <v>911.05457188846776</v>
      </c>
      <c r="S13" s="23">
        <v>1114.8</v>
      </c>
      <c r="T13" s="23">
        <v>1320.767682717322</v>
      </c>
      <c r="U13" s="23">
        <v>1604.715805616793</v>
      </c>
      <c r="V13" s="23">
        <v>1697.5361087510619</v>
      </c>
      <c r="W13" s="23">
        <v>1939.1209441710755</v>
      </c>
      <c r="X13" s="23">
        <v>1764.6952071575049</v>
      </c>
      <c r="Y13" s="23">
        <v>2024.0477397436923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857.26934893143186</v>
      </c>
      <c r="E14" s="23">
        <v>937.02114618449286</v>
      </c>
      <c r="F14" s="23">
        <v>970.44428907392103</v>
      </c>
      <c r="G14" s="23">
        <v>1011.0481364431791</v>
      </c>
      <c r="H14" s="23">
        <v>1041.1930176101114</v>
      </c>
      <c r="I14" s="23">
        <v>1052.1587285519056</v>
      </c>
      <c r="J14" s="23">
        <v>1061.9260945969359</v>
      </c>
      <c r="K14" s="23">
        <v>1087.131738183743</v>
      </c>
      <c r="L14" s="23">
        <v>1129.9625948238695</v>
      </c>
      <c r="M14" s="23">
        <v>1185.4864653706511</v>
      </c>
      <c r="N14" s="23">
        <v>1209.1169482869639</v>
      </c>
      <c r="O14" s="23">
        <v>1261.9676913459746</v>
      </c>
      <c r="P14" s="23">
        <v>1308.3199141170155</v>
      </c>
      <c r="Q14" s="23">
        <v>1366.6839121115818</v>
      </c>
      <c r="R14" s="23">
        <v>1463.5235474323692</v>
      </c>
      <c r="S14" s="23">
        <v>1513.7</v>
      </c>
      <c r="T14" s="23">
        <v>1596.9174888332598</v>
      </c>
      <c r="U14" s="23">
        <v>1666.6347167641138</v>
      </c>
      <c r="V14" s="23">
        <v>1802.2278863400359</v>
      </c>
      <c r="W14" s="23">
        <v>1958.0820600096192</v>
      </c>
      <c r="X14" s="23">
        <v>1996.8059815255067</v>
      </c>
      <c r="Y14" s="23">
        <v>2188.3087430965024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149.04949087055098</v>
      </c>
      <c r="E15" s="23">
        <v>171.87659617938502</v>
      </c>
      <c r="F15" s="23">
        <v>192.58882603444988</v>
      </c>
      <c r="G15" s="23">
        <v>216.13080157755897</v>
      </c>
      <c r="H15" s="23">
        <v>200.1207403696711</v>
      </c>
      <c r="I15" s="23">
        <v>264.3366907931366</v>
      </c>
      <c r="J15" s="23">
        <v>266.44061084572928</v>
      </c>
      <c r="K15" s="23">
        <v>422.24547980800463</v>
      </c>
      <c r="L15" s="23">
        <v>612.69911555985402</v>
      </c>
      <c r="M15" s="23">
        <v>541.04048899306031</v>
      </c>
      <c r="N15" s="23">
        <v>608.8327375269223</v>
      </c>
      <c r="O15" s="23">
        <v>574.66852373797747</v>
      </c>
      <c r="P15" s="23">
        <v>618.35748792270533</v>
      </c>
      <c r="Q15" s="23">
        <v>711.21622620392566</v>
      </c>
      <c r="R15" s="23">
        <v>1011.5790020250272</v>
      </c>
      <c r="S15" s="23">
        <v>1199.8</v>
      </c>
      <c r="T15" s="23">
        <v>976.78299710401029</v>
      </c>
      <c r="U15" s="23">
        <v>1094.3161123358575</v>
      </c>
      <c r="V15" s="23">
        <v>1200.4153686396676</v>
      </c>
      <c r="W15" s="23">
        <v>1225.8130156498576</v>
      </c>
      <c r="X15" s="23">
        <v>1336.8600620655861</v>
      </c>
      <c r="Y15" s="23">
        <v>1534.1106160454631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5277.2374193375272</v>
      </c>
      <c r="E16" s="30">
        <f t="shared" ref="E16:S16" si="0">SUM(E6:E15)</f>
        <v>5172.131984880989</v>
      </c>
      <c r="F16" s="30">
        <f t="shared" si="0"/>
        <v>5334.7740418229205</v>
      </c>
      <c r="G16" s="30">
        <f t="shared" si="0"/>
        <v>5593.412907775486</v>
      </c>
      <c r="H16" s="30">
        <f t="shared" si="0"/>
        <v>5525.927067678831</v>
      </c>
      <c r="I16" s="30">
        <f t="shared" si="0"/>
        <v>5662.9295945740732</v>
      </c>
      <c r="J16" s="30">
        <f t="shared" si="0"/>
        <v>5814.4197213078223</v>
      </c>
      <c r="K16" s="30">
        <f t="shared" si="0"/>
        <v>6077.5680585128803</v>
      </c>
      <c r="L16" s="30">
        <f t="shared" si="0"/>
        <v>6364.4732395679175</v>
      </c>
      <c r="M16" s="30">
        <f t="shared" si="0"/>
        <v>6293.8324371524413</v>
      </c>
      <c r="N16" s="30">
        <f t="shared" si="0"/>
        <v>6668.9610764482532</v>
      </c>
      <c r="O16" s="30">
        <f t="shared" si="0"/>
        <v>6627.2221795729474</v>
      </c>
      <c r="P16" s="30">
        <f t="shared" si="0"/>
        <v>6953.9452495974228</v>
      </c>
      <c r="Q16" s="30">
        <f t="shared" si="0"/>
        <v>7411.1771599919757</v>
      </c>
      <c r="R16" s="30">
        <f t="shared" si="0"/>
        <v>8013.0847915260392</v>
      </c>
      <c r="S16" s="30">
        <f t="shared" si="0"/>
        <v>8888.7999999999993</v>
      </c>
      <c r="T16" s="30">
        <f t="shared" ref="T16:Y16" si="1">SUM(T6:T15)</f>
        <v>9184.41073970451</v>
      </c>
      <c r="U16" s="30">
        <f t="shared" si="1"/>
        <v>10187.865427010447</v>
      </c>
      <c r="V16" s="30">
        <f t="shared" si="1"/>
        <v>10927.027282167468</v>
      </c>
      <c r="W16" s="30">
        <f t="shared" si="1"/>
        <v>11837.378371378889</v>
      </c>
      <c r="X16" s="30">
        <f t="shared" si="1"/>
        <v>11015.189735586086</v>
      </c>
      <c r="Y16" s="30">
        <f t="shared" si="1"/>
        <v>12445.772524745871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119.95748342359668</v>
      </c>
      <c r="J18" s="19">
        <v>124.99071851100166</v>
      </c>
      <c r="K18" s="19">
        <v>127.5157289448675</v>
      </c>
      <c r="L18" s="19">
        <v>76.67478471631496</v>
      </c>
      <c r="M18" s="19">
        <v>103.52038237051335</v>
      </c>
      <c r="N18" s="19">
        <v>95.810111685947106</v>
      </c>
      <c r="O18" s="19">
        <v>75.342991566410404</v>
      </c>
      <c r="P18" s="19">
        <v>83.413848631239929</v>
      </c>
      <c r="Q18" s="19">
        <v>89.746703128464489</v>
      </c>
      <c r="R18" s="19">
        <v>91.281998026896517</v>
      </c>
      <c r="S18" s="19">
        <v>92.3</v>
      </c>
      <c r="T18" s="19">
        <v>95.911255092524428</v>
      </c>
      <c r="U18" s="19">
        <v>76.296367296079737</v>
      </c>
      <c r="V18" s="19">
        <v>81.940904370810912</v>
      </c>
      <c r="W18" s="19">
        <v>61.508009915276183</v>
      </c>
      <c r="X18" s="19">
        <v>92.553944431337669</v>
      </c>
      <c r="Y18" s="19">
        <v>123.08458507866207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1570.9896832530619</v>
      </c>
      <c r="E20" s="23">
        <v>1381.7805700275817</v>
      </c>
      <c r="F20" s="23">
        <v>1478.4211529905301</v>
      </c>
      <c r="G20" s="23">
        <v>1557.7088829106494</v>
      </c>
      <c r="H20" s="23">
        <v>1414.3321387743576</v>
      </c>
      <c r="I20" s="23">
        <v>1275.7503669585451</v>
      </c>
      <c r="J20" s="23">
        <v>1206.222310224487</v>
      </c>
      <c r="K20" s="23">
        <v>1145.837092641382</v>
      </c>
      <c r="L20" s="23">
        <v>1271.426407355186</v>
      </c>
      <c r="M20" s="23">
        <v>1086.7916724114157</v>
      </c>
      <c r="N20" s="23">
        <v>850.30086373426343</v>
      </c>
      <c r="O20" s="23">
        <v>853.22922035905856</v>
      </c>
      <c r="P20" s="23">
        <v>865.16371443907667</v>
      </c>
      <c r="Q20" s="23">
        <v>791.35475287981239</v>
      </c>
      <c r="R20" s="23">
        <v>774.49504127940156</v>
      </c>
      <c r="S20" s="23">
        <v>744.49999999999875</v>
      </c>
      <c r="T20" s="23">
        <v>744.02395327148622</v>
      </c>
      <c r="U20" s="23">
        <v>787.88459695197992</v>
      </c>
      <c r="V20" s="23">
        <v>835.45737751345132</v>
      </c>
      <c r="W20" s="23">
        <v>881.46065337230414</v>
      </c>
      <c r="X20" s="23">
        <v>876.90325390632108</v>
      </c>
      <c r="Y20" s="23">
        <v>916.19754008697646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42.796388467782087</v>
      </c>
      <c r="E21" s="23">
        <v>49.417713760343304</v>
      </c>
      <c r="F21" s="23">
        <v>55.170660395347333</v>
      </c>
      <c r="G21" s="23">
        <v>43.226160315511827</v>
      </c>
      <c r="H21" s="23">
        <v>55.874532773303677</v>
      </c>
      <c r="I21" s="23">
        <v>32.140507162018636</v>
      </c>
      <c r="J21" s="23">
        <v>67.445486721283217</v>
      </c>
      <c r="K21" s="23">
        <v>67.126204482298121</v>
      </c>
      <c r="L21" s="23">
        <v>50.223149259470759</v>
      </c>
      <c r="M21" s="23">
        <v>96.167103267613442</v>
      </c>
      <c r="N21" s="23">
        <v>87.372604747207902</v>
      </c>
      <c r="O21" s="23">
        <v>20.837217463781748</v>
      </c>
      <c r="P21" s="23">
        <v>-36.070853462157835</v>
      </c>
      <c r="Q21" s="23">
        <v>43.606339284771522</v>
      </c>
      <c r="R21" s="23">
        <v>42.577496235526361</v>
      </c>
      <c r="S21" s="23">
        <v>84.600000000000023</v>
      </c>
      <c r="T21" s="23">
        <v>128.50341137780396</v>
      </c>
      <c r="U21" s="23">
        <v>89.811176075913011</v>
      </c>
      <c r="V21" s="23">
        <v>105.2581893703389</v>
      </c>
      <c r="W21" s="23">
        <v>105.62728920788786</v>
      </c>
      <c r="X21" s="23">
        <v>96.818685008075818</v>
      </c>
      <c r="Y21" s="23">
        <v>125.21899984881226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91.764042984209624</v>
      </c>
      <c r="E22" s="23">
        <v>89.769128613750127</v>
      </c>
      <c r="F22" s="23">
        <v>88.857814784211541</v>
      </c>
      <c r="G22" s="23">
        <v>82.012171233055611</v>
      </c>
      <c r="H22" s="23">
        <v>56.259874378636667</v>
      </c>
      <c r="I22" s="23">
        <v>58.839904843852807</v>
      </c>
      <c r="J22" s="23">
        <v>59.896542335965151</v>
      </c>
      <c r="K22" s="23">
        <v>59.186545887617747</v>
      </c>
      <c r="L22" s="23">
        <v>72.130230606989301</v>
      </c>
      <c r="M22" s="23">
        <v>78.358380440277585</v>
      </c>
      <c r="N22" s="23">
        <v>74.272265026533745</v>
      </c>
      <c r="O22" s="23">
        <v>72.162574164043733</v>
      </c>
      <c r="P22" s="23">
        <v>65.37842190016103</v>
      </c>
      <c r="Q22" s="23">
        <v>68.207494377632997</v>
      </c>
      <c r="R22" s="23">
        <v>68.850926839399762</v>
      </c>
      <c r="S22" s="23">
        <v>79.3</v>
      </c>
      <c r="T22" s="23">
        <v>77.160948313944928</v>
      </c>
      <c r="U22" s="23">
        <v>78.500910572222764</v>
      </c>
      <c r="V22" s="23">
        <v>86.000188803927117</v>
      </c>
      <c r="W22" s="23">
        <v>89.533464057123837</v>
      </c>
      <c r="X22" s="23">
        <v>86.837377275284467</v>
      </c>
      <c r="Y22" s="23">
        <v>85.465524754764644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317.18364899971135</v>
      </c>
      <c r="O23" s="23">
        <v>294.5724531985129</v>
      </c>
      <c r="P23" s="23">
        <v>285.66827697262482</v>
      </c>
      <c r="Q23" s="23">
        <v>320.34293799030735</v>
      </c>
      <c r="R23" s="23">
        <v>294.40780933589491</v>
      </c>
      <c r="S23" s="23">
        <v>320.5</v>
      </c>
      <c r="T23" s="23">
        <v>327.49226917979678</v>
      </c>
      <c r="U23" s="23">
        <v>387.13696923224387</v>
      </c>
      <c r="V23" s="23">
        <v>439.44114037571978</v>
      </c>
      <c r="W23" s="23">
        <v>569.57342114025664</v>
      </c>
      <c r="X23" s="23">
        <v>568.84380160789794</v>
      </c>
      <c r="Y23" s="23">
        <v>586.16365625250126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700.57285447886352</v>
      </c>
      <c r="E24" s="23">
        <v>663.37215241597733</v>
      </c>
      <c r="F24" s="23">
        <v>695.86220047034874</v>
      </c>
      <c r="G24" s="23">
        <v>713.81931203802867</v>
      </c>
      <c r="H24" s="23">
        <v>688.09165992318867</v>
      </c>
      <c r="I24" s="23">
        <v>687.47785594978996</v>
      </c>
      <c r="J24" s="23">
        <v>696.2354280622726</v>
      </c>
      <c r="K24" s="23">
        <v>709.75735922143213</v>
      </c>
      <c r="L24" s="23">
        <v>701.95881934814793</v>
      </c>
      <c r="M24" s="23">
        <v>660.76106438714999</v>
      </c>
      <c r="N24" s="23">
        <v>693.20780691431492</v>
      </c>
      <c r="O24" s="23">
        <v>733.03137646271773</v>
      </c>
      <c r="P24" s="23">
        <v>749.22168545356931</v>
      </c>
      <c r="Q24" s="23">
        <v>834.53875473809808</v>
      </c>
      <c r="R24" s="23">
        <v>872.00789241393647</v>
      </c>
      <c r="S24" s="23">
        <v>975.30000000000007</v>
      </c>
      <c r="T24" s="23">
        <v>900.80007853531629</v>
      </c>
      <c r="U24" s="23">
        <v>1004.9841847982365</v>
      </c>
      <c r="V24" s="23">
        <v>1018.5971868214858</v>
      </c>
      <c r="W24" s="23">
        <v>1064.5972843982395</v>
      </c>
      <c r="X24" s="23">
        <v>903.671306462443</v>
      </c>
      <c r="Y24" s="23">
        <v>1090.1523438542195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411.8649297683092</v>
      </c>
      <c r="E25" s="23">
        <v>419.34824803350699</v>
      </c>
      <c r="F25" s="23">
        <v>381.61825462403863</v>
      </c>
      <c r="G25" s="23">
        <v>368.27121477263825</v>
      </c>
      <c r="H25" s="23">
        <v>372.75377955891236</v>
      </c>
      <c r="I25" s="23">
        <v>345.32064584704148</v>
      </c>
      <c r="J25" s="23">
        <v>367.54696433433162</v>
      </c>
      <c r="K25" s="23">
        <v>416.35088479074187</v>
      </c>
      <c r="L25" s="23">
        <v>397.00758590955178</v>
      </c>
      <c r="M25" s="23">
        <v>395.6983317248035</v>
      </c>
      <c r="N25" s="23">
        <v>380.02087172769058</v>
      </c>
      <c r="O25" s="23">
        <v>354.01335775308991</v>
      </c>
      <c r="P25" s="23">
        <v>418.46484165324745</v>
      </c>
      <c r="Q25" s="23">
        <v>443.4542978112363</v>
      </c>
      <c r="R25" s="23">
        <v>456.4099901344826</v>
      </c>
      <c r="S25" s="23">
        <v>504.6</v>
      </c>
      <c r="T25" s="23">
        <v>516.36970500171799</v>
      </c>
      <c r="U25" s="23">
        <v>577.78203776478472</v>
      </c>
      <c r="V25" s="23">
        <v>590.86188992731047</v>
      </c>
      <c r="W25" s="23">
        <v>642.0881275666876</v>
      </c>
      <c r="X25" s="23">
        <v>367.13064624430609</v>
      </c>
      <c r="Y25" s="23">
        <v>525.15496740570779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336.46815760876854</v>
      </c>
      <c r="E26" s="23">
        <v>328.0467872101338</v>
      </c>
      <c r="F26" s="23">
        <v>329.24426364965359</v>
      </c>
      <c r="G26" s="23">
        <v>346.33165304150236</v>
      </c>
      <c r="H26" s="23">
        <v>329.33862535804656</v>
      </c>
      <c r="I26" s="23">
        <v>308.75132864301258</v>
      </c>
      <c r="J26" s="23">
        <v>301.9577754127169</v>
      </c>
      <c r="K26" s="23">
        <v>311.69174876995447</v>
      </c>
      <c r="L26" s="23">
        <v>322.08070661990047</v>
      </c>
      <c r="M26" s="23">
        <v>294.82053403189491</v>
      </c>
      <c r="N26" s="23">
        <v>325.84319559473323</v>
      </c>
      <c r="O26" s="23">
        <v>337.78226204446003</v>
      </c>
      <c r="P26" s="23">
        <v>344.71282877079983</v>
      </c>
      <c r="Q26" s="23">
        <v>392.45705356294411</v>
      </c>
      <c r="R26" s="23">
        <v>401.99387299444413</v>
      </c>
      <c r="S26" s="23">
        <v>448.6</v>
      </c>
      <c r="T26" s="23">
        <v>451.47989986747166</v>
      </c>
      <c r="U26" s="23">
        <v>539.53800440908651</v>
      </c>
      <c r="V26" s="23">
        <v>597.9420371943736</v>
      </c>
      <c r="W26" s="23">
        <v>581.87502312331196</v>
      </c>
      <c r="X26" s="23">
        <v>172.4951454548754</v>
      </c>
      <c r="Y26" s="23">
        <v>283.52142863495283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233.8373200606394</v>
      </c>
      <c r="E27" s="23">
        <v>249.00398406374504</v>
      </c>
      <c r="F27" s="23">
        <v>252.08161189855716</v>
      </c>
      <c r="G27" s="23">
        <v>267.5842975422467</v>
      </c>
      <c r="H27" s="23">
        <v>281.17092469140562</v>
      </c>
      <c r="I27" s="23">
        <v>308.75132864301258</v>
      </c>
      <c r="J27" s="23">
        <v>332.89607207385592</v>
      </c>
      <c r="K27" s="23">
        <v>317.58634378721717</v>
      </c>
      <c r="L27" s="23">
        <v>333.38382837899258</v>
      </c>
      <c r="M27" s="23">
        <v>329.63371478468673</v>
      </c>
      <c r="N27" s="23">
        <v>360.25934231853807</v>
      </c>
      <c r="O27" s="23">
        <v>404.0226796661658</v>
      </c>
      <c r="P27" s="23">
        <v>400.21470746108423</v>
      </c>
      <c r="Q27" s="23">
        <v>393.8296501990265</v>
      </c>
      <c r="R27" s="23">
        <v>492.86048081416482</v>
      </c>
      <c r="S27" s="23">
        <v>557.5</v>
      </c>
      <c r="T27" s="23">
        <v>666.56849752122912</v>
      </c>
      <c r="U27" s="23">
        <v>754.24134956388389</v>
      </c>
      <c r="V27" s="23">
        <v>845.55838761446228</v>
      </c>
      <c r="W27" s="23">
        <v>975.34130008509374</v>
      </c>
      <c r="X27" s="23">
        <v>936.0651870134111</v>
      </c>
      <c r="Y27" s="23">
        <v>1111.5854255044781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206.60325467205087</v>
      </c>
      <c r="E28" s="23">
        <v>200.86321381142102</v>
      </c>
      <c r="F28" s="23">
        <v>179.6224496281701</v>
      </c>
      <c r="G28" s="23">
        <v>204.37746493587903</v>
      </c>
      <c r="H28" s="23">
        <v>276.28993102385266</v>
      </c>
      <c r="I28" s="23">
        <v>386.44531052285259</v>
      </c>
      <c r="J28" s="23">
        <v>449.1003143330941</v>
      </c>
      <c r="K28" s="23">
        <v>500.31878932236219</v>
      </c>
      <c r="L28" s="23">
        <v>450.14391088012866</v>
      </c>
      <c r="M28" s="23">
        <v>531.04462521255573</v>
      </c>
      <c r="N28" s="23">
        <v>588.84916846148724</v>
      </c>
      <c r="O28" s="23">
        <v>557.0117236765625</v>
      </c>
      <c r="P28" s="23">
        <v>666.98872785829292</v>
      </c>
      <c r="Q28" s="23">
        <v>696.54000063350611</v>
      </c>
      <c r="R28" s="23">
        <v>672.30905031413886</v>
      </c>
      <c r="S28" s="23">
        <v>740.7</v>
      </c>
      <c r="T28" s="23">
        <v>808.61925096942036</v>
      </c>
      <c r="U28" s="23">
        <v>891.49813093070065</v>
      </c>
      <c r="V28" s="23">
        <v>967.33692060794863</v>
      </c>
      <c r="W28" s="23">
        <v>1030.0048096488954</v>
      </c>
      <c r="X28" s="23">
        <v>1119.1768143295285</v>
      </c>
      <c r="Y28" s="23">
        <v>1121.7238956626913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318.22267537799002</v>
      </c>
      <c r="E29" s="23">
        <v>312.34038206149762</v>
      </c>
      <c r="F29" s="23">
        <v>325.93910887942536</v>
      </c>
      <c r="G29" s="23">
        <v>355.73432235484626</v>
      </c>
      <c r="H29" s="23">
        <v>374.2951459802448</v>
      </c>
      <c r="I29" s="23">
        <v>361.89704914713769</v>
      </c>
      <c r="J29" s="23">
        <v>373.7346236665594</v>
      </c>
      <c r="K29" s="23">
        <v>385.31403755699114</v>
      </c>
      <c r="L29" s="23">
        <v>399.33812647843672</v>
      </c>
      <c r="M29" s="23">
        <v>431.77535732340641</v>
      </c>
      <c r="N29" s="23">
        <v>447.18786775318074</v>
      </c>
      <c r="O29" s="23">
        <v>431.76907976267501</v>
      </c>
      <c r="P29" s="23">
        <v>440.5797101449275</v>
      </c>
      <c r="Q29" s="23">
        <v>452.64013683732617</v>
      </c>
      <c r="R29" s="23">
        <v>459.73311179188948</v>
      </c>
      <c r="S29" s="23">
        <v>512.6</v>
      </c>
      <c r="T29" s="23">
        <v>573.01330191920692</v>
      </c>
      <c r="U29" s="23">
        <v>634.52506469855268</v>
      </c>
      <c r="V29" s="23">
        <v>658.45369583687341</v>
      </c>
      <c r="W29" s="23">
        <v>712.75296903326057</v>
      </c>
      <c r="X29" s="23">
        <v>696.33232310400524</v>
      </c>
      <c r="Y29" s="23">
        <v>731.03705877644677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177.75929379251133</v>
      </c>
      <c r="E30" s="23">
        <v>185.41219736438862</v>
      </c>
      <c r="F30" s="23">
        <v>207.71626517510964</v>
      </c>
      <c r="G30" s="23">
        <v>219.917987828767</v>
      </c>
      <c r="H30" s="23">
        <v>217.46111260966182</v>
      </c>
      <c r="I30" s="23">
        <v>249.5318115098446</v>
      </c>
      <c r="J30" s="23">
        <v>274.85582753755909</v>
      </c>
      <c r="K30" s="23">
        <v>291.84260228325337</v>
      </c>
      <c r="L30" s="23">
        <v>304.01901721104207</v>
      </c>
      <c r="M30" s="23">
        <v>311.3654120134197</v>
      </c>
      <c r="N30" s="23">
        <v>362.81279836578807</v>
      </c>
      <c r="O30" s="23">
        <v>382.7467839399888</v>
      </c>
      <c r="P30" s="23">
        <v>426.30166398282336</v>
      </c>
      <c r="Q30" s="23">
        <v>444.29897266421005</v>
      </c>
      <c r="R30" s="23">
        <v>518.30313100368664</v>
      </c>
      <c r="S30" s="23">
        <v>629.4</v>
      </c>
      <c r="T30" s="23">
        <v>762.08707603200321</v>
      </c>
      <c r="U30" s="23">
        <v>894.85287069874448</v>
      </c>
      <c r="V30" s="23">
        <v>904.84282073067106</v>
      </c>
      <c r="W30" s="23">
        <v>1055.6254393429281</v>
      </c>
      <c r="X30" s="23">
        <v>1018.9100411955791</v>
      </c>
      <c r="Y30" s="23">
        <v>1116.5657266348283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180.0399790713586</v>
      </c>
      <c r="E31" s="23">
        <v>183.87986515476555</v>
      </c>
      <c r="F31" s="23">
        <v>177.20714421915716</v>
      </c>
      <c r="G31" s="23">
        <v>207.250502781623</v>
      </c>
      <c r="H31" s="23">
        <v>218.74558462743892</v>
      </c>
      <c r="I31" s="23">
        <v>211.57058257832665</v>
      </c>
      <c r="J31" s="23">
        <v>231.17095265203079</v>
      </c>
      <c r="K31" s="23">
        <v>235.66350283301455</v>
      </c>
      <c r="L31" s="23">
        <v>243.42496242003335</v>
      </c>
      <c r="M31" s="23">
        <v>247.36890482099361</v>
      </c>
      <c r="N31" s="23">
        <v>267.89084530497149</v>
      </c>
      <c r="O31" s="23">
        <v>274.06424443152781</v>
      </c>
      <c r="P31" s="23">
        <v>317.23027375201286</v>
      </c>
      <c r="Q31" s="23">
        <v>362.25992756913138</v>
      </c>
      <c r="R31" s="23">
        <v>392.75144088478112</v>
      </c>
      <c r="S31" s="23">
        <v>485.4</v>
      </c>
      <c r="T31" s="23">
        <v>558.68060668531882</v>
      </c>
      <c r="U31" s="23">
        <v>709.8629349180485</v>
      </c>
      <c r="V31" s="23">
        <v>792.69328802039081</v>
      </c>
      <c r="W31" s="23">
        <v>883.49550482814755</v>
      </c>
      <c r="X31" s="23">
        <v>745.78516596192583</v>
      </c>
      <c r="Y31" s="23">
        <v>907.48201310886407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353.37206026375452</v>
      </c>
      <c r="E32" s="23">
        <v>390.23393605066917</v>
      </c>
      <c r="F32" s="23">
        <v>388.73704951376101</v>
      </c>
      <c r="G32" s="23">
        <v>402.35589103350998</v>
      </c>
      <c r="H32" s="23">
        <v>408.4621016531155</v>
      </c>
      <c r="I32" s="23">
        <v>407.07091157564412</v>
      </c>
      <c r="J32" s="23">
        <v>404.67292032769831</v>
      </c>
      <c r="K32" s="23">
        <v>414.54641692831444</v>
      </c>
      <c r="L32" s="23">
        <v>422.17742405350924</v>
      </c>
      <c r="M32" s="23">
        <v>438.66905648237486</v>
      </c>
      <c r="N32" s="23">
        <v>430.20183404756068</v>
      </c>
      <c r="O32" s="23">
        <v>441.31033196977512</v>
      </c>
      <c r="P32" s="23">
        <v>453.14009661835757</v>
      </c>
      <c r="Q32" s="23">
        <v>459.39753566111665</v>
      </c>
      <c r="R32" s="23">
        <v>481.22955501324054</v>
      </c>
      <c r="S32" s="23">
        <v>496.69999999999993</v>
      </c>
      <c r="T32" s="23">
        <v>539.537623324989</v>
      </c>
      <c r="U32" s="23">
        <v>569.44311319850453</v>
      </c>
      <c r="V32" s="23">
        <v>607.38223355045795</v>
      </c>
      <c r="W32" s="23">
        <v>656.42458100558645</v>
      </c>
      <c r="X32" s="23">
        <v>688.07505943415038</v>
      </c>
      <c r="Y32" s="23">
        <v>751.22506514411771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275.42628691020809</v>
      </c>
      <c r="E33" s="23">
        <v>301.74175094493819</v>
      </c>
      <c r="F33" s="23">
        <v>323.65092480772893</v>
      </c>
      <c r="G33" s="23">
        <v>334.1865385117664</v>
      </c>
      <c r="H33" s="23">
        <v>336.91701026293146</v>
      </c>
      <c r="I33" s="23">
        <v>342.78989725160693</v>
      </c>
      <c r="J33" s="23">
        <v>344.77637799173334</v>
      </c>
      <c r="K33" s="23">
        <v>348.38259530597765</v>
      </c>
      <c r="L33" s="23">
        <v>354.47522052740135</v>
      </c>
      <c r="M33" s="23">
        <v>367.20437520106628</v>
      </c>
      <c r="N33" s="23">
        <v>381.35310966538623</v>
      </c>
      <c r="O33" s="23">
        <v>405.55805358454973</v>
      </c>
      <c r="P33" s="23">
        <v>425.44283413848626</v>
      </c>
      <c r="Q33" s="23">
        <v>447.46650336286177</v>
      </c>
      <c r="R33" s="23">
        <v>477.28334804506983</v>
      </c>
      <c r="S33" s="23">
        <v>489.1</v>
      </c>
      <c r="T33" s="23">
        <v>494.96883129632357</v>
      </c>
      <c r="U33" s="23">
        <v>513.94613246429606</v>
      </c>
      <c r="V33" s="23">
        <v>562.63570282261867</v>
      </c>
      <c r="W33" s="23">
        <v>590.75437493063009</v>
      </c>
      <c r="X33" s="23">
        <v>581.27506669328352</v>
      </c>
      <c r="Y33" s="23">
        <v>632.58717750326832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228.47100175746925</v>
      </c>
      <c r="E34" s="23">
        <v>245.0454591888855</v>
      </c>
      <c r="F34" s="23">
        <v>258.05631475243115</v>
      </c>
      <c r="G34" s="23">
        <v>274.50570689790271</v>
      </c>
      <c r="H34" s="23">
        <v>295.81390569406449</v>
      </c>
      <c r="I34" s="23">
        <v>302.29791972465455</v>
      </c>
      <c r="J34" s="23">
        <v>312.47679627750415</v>
      </c>
      <c r="K34" s="23">
        <v>324.20272594945084</v>
      </c>
      <c r="L34" s="23">
        <v>353.30995024295891</v>
      </c>
      <c r="M34" s="23">
        <v>379.61303368720991</v>
      </c>
      <c r="N34" s="23">
        <v>397.56200457401695</v>
      </c>
      <c r="O34" s="23">
        <v>415.09930579164973</v>
      </c>
      <c r="P34" s="23">
        <v>429.73698336017173</v>
      </c>
      <c r="Q34" s="23">
        <v>459.81987308760336</v>
      </c>
      <c r="R34" s="23">
        <v>505.01064437405887</v>
      </c>
      <c r="S34" s="23">
        <v>527.9</v>
      </c>
      <c r="T34" s="23">
        <v>562.41103421194725</v>
      </c>
      <c r="U34" s="23">
        <v>583.24547110131311</v>
      </c>
      <c r="V34" s="23">
        <v>632.20994996695924</v>
      </c>
      <c r="W34" s="23">
        <v>710.90310407340269</v>
      </c>
      <c r="X34" s="23">
        <v>727.45585539807269</v>
      </c>
      <c r="Y34" s="23">
        <v>804.49650044911641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79.689826802076752</v>
      </c>
      <c r="E35" s="23">
        <v>98.580038819082631</v>
      </c>
      <c r="F35" s="23">
        <v>112.12101951312529</v>
      </c>
      <c r="G35" s="23">
        <v>130.20085146394339</v>
      </c>
      <c r="H35" s="23">
        <v>125.23602173326658</v>
      </c>
      <c r="I35" s="23">
        <v>188.03462064078556</v>
      </c>
      <c r="J35" s="23">
        <v>188.72360963294807</v>
      </c>
      <c r="K35" s="23">
        <v>339.60085170883104</v>
      </c>
      <c r="L35" s="23">
        <v>530.0814523928824</v>
      </c>
      <c r="M35" s="23">
        <v>461.7629486649202</v>
      </c>
      <c r="N35" s="23">
        <v>523.68052934254058</v>
      </c>
      <c r="O35" s="23">
        <v>492.85502780123488</v>
      </c>
      <c r="P35" s="23">
        <v>533.44068706387543</v>
      </c>
      <c r="Q35" s="23">
        <v>622.84211971154355</v>
      </c>
      <c r="R35" s="23">
        <v>918.63544316942728</v>
      </c>
      <c r="S35" s="23">
        <v>1100</v>
      </c>
      <c r="T35" s="23">
        <v>878.71202081185891</v>
      </c>
      <c r="U35" s="23">
        <v>991.27767660308643</v>
      </c>
      <c r="V35" s="23">
        <v>1088.3602378929481</v>
      </c>
      <c r="W35" s="23">
        <v>1101.8720633393764</v>
      </c>
      <c r="X35" s="23">
        <v>1221.3491098488284</v>
      </c>
      <c r="Y35" s="23">
        <v>1408.5358804016257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68.152242450260943</v>
      </c>
      <c r="E36" s="23">
        <v>72.27500255388702</v>
      </c>
      <c r="F36" s="23">
        <v>79.069471810843439</v>
      </c>
      <c r="G36" s="23">
        <v>84.885209078799591</v>
      </c>
      <c r="H36" s="23">
        <v>73.471799416849706</v>
      </c>
      <c r="I36" s="23">
        <v>74.657083565318615</v>
      </c>
      <c r="J36" s="23">
        <v>75.365690666534661</v>
      </c>
      <c r="K36" s="23">
        <v>79.637181661794614</v>
      </c>
      <c r="L36" s="23">
        <v>78.655744199867172</v>
      </c>
      <c r="M36" s="23">
        <v>74.566845902844804</v>
      </c>
      <c r="N36" s="23">
        <v>79.37917712103382</v>
      </c>
      <c r="O36" s="23">
        <v>75.452661132009254</v>
      </c>
      <c r="P36" s="23">
        <v>76.972624798711749</v>
      </c>
      <c r="Q36" s="23">
        <v>78.97709875304875</v>
      </c>
      <c r="R36" s="23">
        <v>84.73960226387662</v>
      </c>
      <c r="S36" s="23">
        <v>90.5</v>
      </c>
      <c r="T36" s="23">
        <v>88.744907475580433</v>
      </c>
      <c r="U36" s="23">
        <v>93.165915843956682</v>
      </c>
      <c r="V36" s="23">
        <v>100.16048333805342</v>
      </c>
      <c r="W36" s="23">
        <v>112.28680306337637</v>
      </c>
      <c r="X36" s="23">
        <v>102.71673048654338</v>
      </c>
      <c r="Y36" s="23">
        <v>113.92438835676744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1.2074216182132842</v>
      </c>
      <c r="E37" s="23">
        <v>1.0215548064153641</v>
      </c>
      <c r="F37" s="23">
        <v>1.3983347104811543</v>
      </c>
      <c r="G37" s="23">
        <v>1.0447410348159951</v>
      </c>
      <c r="H37" s="23">
        <v>1.4129192195548024</v>
      </c>
      <c r="I37" s="23">
        <v>1.644986587032444</v>
      </c>
      <c r="J37" s="23">
        <v>2.351310546246566</v>
      </c>
      <c r="K37" s="23">
        <v>3.0074464373789502</v>
      </c>
      <c r="L37" s="23">
        <v>3.9619189671044204</v>
      </c>
      <c r="M37" s="23">
        <v>4.7106944252952792</v>
      </c>
      <c r="N37" s="23">
        <v>5.773031063347914</v>
      </c>
      <c r="O37" s="23">
        <v>6.3608348047333383</v>
      </c>
      <c r="P37" s="23">
        <v>7.9441760601180889</v>
      </c>
      <c r="Q37" s="23">
        <v>9.3970077393333398</v>
      </c>
      <c r="R37" s="23">
        <v>8.2039565917233492</v>
      </c>
      <c r="S37" s="23">
        <v>9.3000000000000007</v>
      </c>
      <c r="T37" s="23">
        <v>9.3260688165709524</v>
      </c>
      <c r="U37" s="23">
        <v>9.87251988881434</v>
      </c>
      <c r="V37" s="23">
        <v>11.894647408666099</v>
      </c>
      <c r="W37" s="23">
        <v>11.654149247104961</v>
      </c>
      <c r="X37" s="23">
        <v>12.794221730214325</v>
      </c>
      <c r="Y37" s="23">
        <v>11.650347287069893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5277.2374193375272</v>
      </c>
      <c r="E39" s="30">
        <f t="shared" ref="E39:S39" si="2">SUM(E18:E38)</f>
        <v>5172.131984880989</v>
      </c>
      <c r="F39" s="30">
        <f t="shared" si="2"/>
        <v>5334.7740418229205</v>
      </c>
      <c r="G39" s="30">
        <f t="shared" si="2"/>
        <v>5593.4129077754869</v>
      </c>
      <c r="H39" s="30">
        <f t="shared" si="2"/>
        <v>5525.9270676788319</v>
      </c>
      <c r="I39" s="30">
        <f t="shared" si="2"/>
        <v>5662.9295945740732</v>
      </c>
      <c r="J39" s="30">
        <f t="shared" si="2"/>
        <v>5814.4197213078223</v>
      </c>
      <c r="K39" s="30">
        <f t="shared" si="2"/>
        <v>6077.5680585128803</v>
      </c>
      <c r="L39" s="30">
        <f t="shared" si="2"/>
        <v>6364.4732395679193</v>
      </c>
      <c r="M39" s="30">
        <f t="shared" si="2"/>
        <v>6293.8324371524423</v>
      </c>
      <c r="N39" s="30">
        <f t="shared" si="2"/>
        <v>6668.9610764482532</v>
      </c>
      <c r="O39" s="30">
        <f t="shared" si="2"/>
        <v>6627.2221795729465</v>
      </c>
      <c r="P39" s="30">
        <f t="shared" si="2"/>
        <v>6953.9452495974247</v>
      </c>
      <c r="Q39" s="30">
        <f t="shared" si="2"/>
        <v>7411.1771599919748</v>
      </c>
      <c r="R39" s="30">
        <f t="shared" si="2"/>
        <v>8013.0847915260392</v>
      </c>
      <c r="S39" s="30">
        <f t="shared" si="2"/>
        <v>8888.7999999999975</v>
      </c>
      <c r="T39" s="30">
        <f t="shared" ref="T39:Y39" si="3">SUM(T18:T38)</f>
        <v>9184.41073970451</v>
      </c>
      <c r="U39" s="30">
        <f t="shared" si="3"/>
        <v>10187.865427010445</v>
      </c>
      <c r="V39" s="30">
        <f t="shared" si="3"/>
        <v>10927.027282167466</v>
      </c>
      <c r="W39" s="30">
        <f t="shared" si="3"/>
        <v>11837.378371378889</v>
      </c>
      <c r="X39" s="30">
        <f t="shared" si="3"/>
        <v>11015.189735586086</v>
      </c>
      <c r="Y39" s="30">
        <f t="shared" si="3"/>
        <v>12445.772524745869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104.24761862468637</v>
      </c>
      <c r="O41" s="19">
        <v>107.58584385247249</v>
      </c>
      <c r="P41" s="19">
        <v>107.2463768115942</v>
      </c>
      <c r="Q41" s="19">
        <v>118.46564812957313</v>
      </c>
      <c r="R41" s="19">
        <v>142.16729840594007</v>
      </c>
      <c r="S41" s="19">
        <v>153.4</v>
      </c>
      <c r="T41" s="19">
        <v>131.84116232268201</v>
      </c>
      <c r="U41" s="19">
        <v>137.06508195150005</v>
      </c>
      <c r="V41" s="19">
        <v>134.05078825639572</v>
      </c>
      <c r="W41" s="19">
        <v>136.24255429353659</v>
      </c>
      <c r="X41" s="19">
        <v>123.31452008057637</v>
      </c>
      <c r="Y41" s="19">
        <v>127.53128251647502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30.30841308257655</v>
      </c>
      <c r="O42" s="23">
        <v>33.010539245254044</v>
      </c>
      <c r="P42" s="23">
        <v>32.957595276435853</v>
      </c>
      <c r="Q42" s="23">
        <v>20.377780827992524</v>
      </c>
      <c r="R42" s="23">
        <v>16.927150942416532</v>
      </c>
      <c r="S42" s="23">
        <v>16.7</v>
      </c>
      <c r="T42" s="23">
        <v>14.234526088450401</v>
      </c>
      <c r="U42" s="23">
        <v>16.677849132560144</v>
      </c>
      <c r="V42" s="23">
        <v>17.369961295194937</v>
      </c>
      <c r="W42" s="23">
        <v>15.538865662806614</v>
      </c>
      <c r="X42" s="23">
        <v>14.609004954358204</v>
      </c>
      <c r="Y42" s="23">
        <v>17.431053956226712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75.382463307946807</v>
      </c>
      <c r="O43" s="23">
        <v>79.291095927969025</v>
      </c>
      <c r="P43" s="23">
        <v>70.316693505099295</v>
      </c>
      <c r="Q43" s="23">
        <v>69.896844083580575</v>
      </c>
      <c r="R43" s="23">
        <v>72.693286255776513</v>
      </c>
      <c r="S43" s="23">
        <v>74.7</v>
      </c>
      <c r="T43" s="23">
        <v>69.405585824375407</v>
      </c>
      <c r="U43" s="23">
        <v>56.838876641426246</v>
      </c>
      <c r="V43" s="23">
        <v>75.71037477579533</v>
      </c>
      <c r="W43" s="23">
        <v>80.099152761848387</v>
      </c>
      <c r="X43" s="23">
        <v>94.277988494274354</v>
      </c>
      <c r="Y43" s="23">
        <v>98.983484965715959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14.246978261868652</v>
      </c>
      <c r="O45" s="23">
        <v>8.9929043791057524</v>
      </c>
      <c r="P45" s="23">
        <v>9.0177133655394517</v>
      </c>
      <c r="Q45" s="23">
        <v>8.657917242981279</v>
      </c>
      <c r="R45" s="23">
        <v>10.280907627602678</v>
      </c>
      <c r="S45" s="23">
        <v>10.3</v>
      </c>
      <c r="T45" s="23">
        <v>9.031561380258184</v>
      </c>
      <c r="U45" s="23">
        <v>10.160069011789513</v>
      </c>
      <c r="V45" s="23">
        <v>10.81461588145434</v>
      </c>
      <c r="W45" s="23">
        <v>11.469162751119168</v>
      </c>
      <c r="X45" s="23">
        <v>10.525742700034481</v>
      </c>
      <c r="Y45" s="23">
        <v>10.583139901994789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61.727211732004228</v>
      </c>
      <c r="V46" s="23">
        <v>56.73558010006608</v>
      </c>
      <c r="W46" s="23">
        <v>50.501313404121497</v>
      </c>
      <c r="X46" s="23">
        <v>57.256410721739286</v>
      </c>
      <c r="Y46" s="23">
        <v>48.024332328379714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20.146425048029489</v>
      </c>
      <c r="S50" s="23">
        <v>14.6</v>
      </c>
      <c r="T50" s="23">
        <v>20.026505669268147</v>
      </c>
      <c r="U50" s="23">
        <v>20.224288315920635</v>
      </c>
      <c r="V50" s="23">
        <v>15.481922023978095</v>
      </c>
      <c r="W50" s="23">
        <v>7.2144733434459285</v>
      </c>
      <c r="X50" s="23">
        <v>13.338656697457488</v>
      </c>
      <c r="Y50" s="23">
        <v>16.541714468664125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19.824412347776832</v>
      </c>
      <c r="W51" s="23">
        <v>21.088460542380407</v>
      </c>
      <c r="X51" s="23">
        <v>19.599658820753859</v>
      </c>
      <c r="Y51" s="23">
        <v>21.344147701502095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33.750027754957038</v>
      </c>
      <c r="O52" s="23">
        <v>35.75227838522531</v>
      </c>
      <c r="P52" s="23">
        <v>44.337090713902306</v>
      </c>
      <c r="Q52" s="23">
        <v>49.09672582910116</v>
      </c>
      <c r="R52" s="23">
        <v>59.816189833324678</v>
      </c>
      <c r="S52" s="23">
        <v>58.9</v>
      </c>
      <c r="T52" s="23">
        <v>65.675158297747032</v>
      </c>
      <c r="U52" s="23">
        <v>68.149142145116443</v>
      </c>
      <c r="V52" s="23">
        <v>58.529217407722079</v>
      </c>
      <c r="W52" s="23">
        <v>59.658144955418251</v>
      </c>
      <c r="X52" s="23">
        <v>64.697021940729172</v>
      </c>
      <c r="Y52" s="23">
        <v>74.348781160232292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1570.9896832530619</v>
      </c>
      <c r="E53" s="23">
        <v>1381.7805700275817</v>
      </c>
      <c r="F53" s="23">
        <v>1478.4211529905301</v>
      </c>
      <c r="G53" s="23">
        <v>1557.7088829106494</v>
      </c>
      <c r="H53" s="23">
        <v>1414.3321387743576</v>
      </c>
      <c r="I53" s="23">
        <v>1275.7503669585451</v>
      </c>
      <c r="J53" s="23">
        <v>1206.222310224487</v>
      </c>
      <c r="K53" s="23">
        <v>1145.837092641382</v>
      </c>
      <c r="L53" s="23">
        <v>1271.426407355186</v>
      </c>
      <c r="M53" s="23">
        <v>1086.7916724114157</v>
      </c>
      <c r="N53" s="23">
        <v>592.36536270222803</v>
      </c>
      <c r="O53" s="23">
        <v>588.59655856903191</v>
      </c>
      <c r="P53" s="23">
        <v>601.28824476650561</v>
      </c>
      <c r="Q53" s="23">
        <v>524.85983676658373</v>
      </c>
      <c r="R53" s="23">
        <v>452.4637831663116</v>
      </c>
      <c r="S53" s="23">
        <v>415.89999999999873</v>
      </c>
      <c r="T53" s="23">
        <v>433.80945368870505</v>
      </c>
      <c r="U53" s="23">
        <v>417.04207802166263</v>
      </c>
      <c r="V53" s="23">
        <v>446.94050542506795</v>
      </c>
      <c r="W53" s="23">
        <v>499.64852565762726</v>
      </c>
      <c r="X53" s="23">
        <v>479.28424949639782</v>
      </c>
      <c r="Y53" s="23">
        <v>501.40960308778574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1570.9896832530619</v>
      </c>
      <c r="E54" s="30">
        <f t="shared" ref="E54:S54" si="4">SUM(E41:E53)</f>
        <v>1381.7805700275817</v>
      </c>
      <c r="F54" s="30">
        <f t="shared" si="4"/>
        <v>1478.4211529905301</v>
      </c>
      <c r="G54" s="30">
        <f t="shared" si="4"/>
        <v>1557.7088829106494</v>
      </c>
      <c r="H54" s="30">
        <f t="shared" si="4"/>
        <v>1414.3321387743576</v>
      </c>
      <c r="I54" s="30">
        <f t="shared" si="4"/>
        <v>1275.7503669585451</v>
      </c>
      <c r="J54" s="30">
        <f t="shared" si="4"/>
        <v>1206.222310224487</v>
      </c>
      <c r="K54" s="30">
        <f t="shared" si="4"/>
        <v>1145.837092641382</v>
      </c>
      <c r="L54" s="30">
        <f t="shared" si="4"/>
        <v>1271.426407355186</v>
      </c>
      <c r="M54" s="30">
        <f t="shared" si="4"/>
        <v>1086.7916724114157</v>
      </c>
      <c r="N54" s="30">
        <f t="shared" si="4"/>
        <v>850.30086373426343</v>
      </c>
      <c r="O54" s="30">
        <f t="shared" si="4"/>
        <v>853.22922035905856</v>
      </c>
      <c r="P54" s="30">
        <f t="shared" si="4"/>
        <v>865.16371443907678</v>
      </c>
      <c r="Q54" s="30">
        <f t="shared" si="4"/>
        <v>791.35475287981239</v>
      </c>
      <c r="R54" s="30">
        <f t="shared" si="4"/>
        <v>774.49504127940156</v>
      </c>
      <c r="S54" s="30">
        <f t="shared" si="4"/>
        <v>744.49999999999875</v>
      </c>
      <c r="T54" s="30">
        <f t="shared" ref="T54:Y54" si="5">SUM(T41:T53)</f>
        <v>744.02395327148622</v>
      </c>
      <c r="U54" s="30">
        <f t="shared" si="5"/>
        <v>787.88459695197992</v>
      </c>
      <c r="V54" s="30">
        <f t="shared" si="5"/>
        <v>835.45737751345132</v>
      </c>
      <c r="W54" s="30">
        <f t="shared" si="5"/>
        <v>881.46065337230414</v>
      </c>
      <c r="X54" s="30">
        <f t="shared" si="5"/>
        <v>876.90325390632108</v>
      </c>
      <c r="Y54" s="30">
        <f t="shared" si="5"/>
        <v>916.19754008697646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104.24761862468637</v>
      </c>
      <c r="O56" s="19">
        <v>107.58584385247249</v>
      </c>
      <c r="P56" s="19">
        <v>107.2463768115942</v>
      </c>
      <c r="Q56" s="19">
        <v>118.46564812957313</v>
      </c>
      <c r="R56" s="19">
        <v>142.16729840594007</v>
      </c>
      <c r="S56" s="19">
        <v>153.4</v>
      </c>
      <c r="T56" s="19">
        <v>131.84116232268201</v>
      </c>
      <c r="U56" s="19">
        <v>137.06508195150005</v>
      </c>
      <c r="V56" s="19">
        <v>134.05078825639572</v>
      </c>
      <c r="W56" s="19">
        <v>136.24255429353659</v>
      </c>
      <c r="X56" s="19">
        <v>123.31452008057637</v>
      </c>
      <c r="Y56" s="19">
        <v>127.53128251647502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30.30841308257655</v>
      </c>
      <c r="O57" s="23">
        <v>33.010539245254044</v>
      </c>
      <c r="P57" s="23">
        <v>32.957595276435853</v>
      </c>
      <c r="Q57" s="23">
        <v>20.377780827992524</v>
      </c>
      <c r="R57" s="23">
        <v>16.927150942416532</v>
      </c>
      <c r="S57" s="23">
        <v>16.7</v>
      </c>
      <c r="T57" s="23">
        <v>14.234526088450401</v>
      </c>
      <c r="U57" s="23">
        <v>16.677849132560144</v>
      </c>
      <c r="V57" s="23">
        <v>17.369961295194937</v>
      </c>
      <c r="W57" s="23">
        <v>15.538865662806614</v>
      </c>
      <c r="X57" s="23">
        <v>14.609004954358204</v>
      </c>
      <c r="Y57" s="23">
        <v>17.431053956226712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75.382463307946807</v>
      </c>
      <c r="O60" s="23">
        <v>79.291095927969025</v>
      </c>
      <c r="P60" s="23">
        <v>70.316693505099295</v>
      </c>
      <c r="Q60" s="23">
        <v>69.896844083580575</v>
      </c>
      <c r="R60" s="23">
        <v>72.693286255776513</v>
      </c>
      <c r="S60" s="23">
        <v>74.7</v>
      </c>
      <c r="T60" s="23">
        <v>69.405585824375407</v>
      </c>
      <c r="U60" s="23">
        <v>56.838876641426246</v>
      </c>
      <c r="V60" s="23">
        <v>75.71037477579533</v>
      </c>
      <c r="W60" s="23">
        <v>80.099152761848387</v>
      </c>
      <c r="X60" s="23">
        <v>94.277988494274354</v>
      </c>
      <c r="Y60" s="23">
        <v>98.983484965715959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14.246978261868652</v>
      </c>
      <c r="O62" s="23">
        <v>8.9929043791057524</v>
      </c>
      <c r="P62" s="23">
        <v>9.0177133655394517</v>
      </c>
      <c r="Q62" s="23">
        <v>8.657917242981279</v>
      </c>
      <c r="R62" s="23">
        <v>10.280907627602678</v>
      </c>
      <c r="S62" s="23">
        <v>10.3</v>
      </c>
      <c r="T62" s="23">
        <v>9.031561380258184</v>
      </c>
      <c r="U62" s="23">
        <v>10.160069011789513</v>
      </c>
      <c r="V62" s="23">
        <v>10.81461588145434</v>
      </c>
      <c r="W62" s="23">
        <v>11.469162751119168</v>
      </c>
      <c r="X62" s="23">
        <v>10.525742700034481</v>
      </c>
      <c r="Y62" s="23">
        <v>10.583139901994789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61.727211732004228</v>
      </c>
      <c r="V63" s="23">
        <v>56.73558010006608</v>
      </c>
      <c r="W63" s="23">
        <v>50.501313404121497</v>
      </c>
      <c r="X63" s="23">
        <v>57.256410721739286</v>
      </c>
      <c r="Y63" s="23">
        <v>48.024332328379714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20.146425048029489</v>
      </c>
      <c r="S69" s="23">
        <v>14.6</v>
      </c>
      <c r="T69" s="23">
        <v>20.026505669268147</v>
      </c>
      <c r="U69" s="23">
        <v>20.224288315920635</v>
      </c>
      <c r="V69" s="23">
        <v>15.481922023978095</v>
      </c>
      <c r="W69" s="23">
        <v>7.2144733434459285</v>
      </c>
      <c r="X69" s="23">
        <v>13.338656697457488</v>
      </c>
      <c r="Y69" s="23">
        <v>16.541714468664125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19.824412347776832</v>
      </c>
      <c r="W70" s="23">
        <v>21.088460542380407</v>
      </c>
      <c r="X70" s="23">
        <v>19.599658820753859</v>
      </c>
      <c r="Y70" s="23">
        <v>21.344147701502095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33.750027754957038</v>
      </c>
      <c r="O72" s="23">
        <v>35.75227838522531</v>
      </c>
      <c r="P72" s="23">
        <v>44.337090713902306</v>
      </c>
      <c r="Q72" s="23">
        <v>49.09672582910116</v>
      </c>
      <c r="R72" s="23">
        <v>59.816189833324678</v>
      </c>
      <c r="S72" s="23">
        <v>58.9</v>
      </c>
      <c r="T72" s="23">
        <v>65.675158297747032</v>
      </c>
      <c r="U72" s="23">
        <v>68.149142145116443</v>
      </c>
      <c r="V72" s="23">
        <v>58.529217407722079</v>
      </c>
      <c r="W72" s="23">
        <v>59.658144955418251</v>
      </c>
      <c r="X72" s="23">
        <v>64.697021940729172</v>
      </c>
      <c r="Y72" s="23">
        <v>74.348781160232292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1570.9896832530619</v>
      </c>
      <c r="E73" s="23">
        <v>1381.7805700275817</v>
      </c>
      <c r="F73" s="23">
        <v>1478.4211529905301</v>
      </c>
      <c r="G73" s="23">
        <v>1557.7088829106494</v>
      </c>
      <c r="H73" s="23">
        <v>1414.3321387743576</v>
      </c>
      <c r="I73" s="23">
        <v>1275.7503669585451</v>
      </c>
      <c r="J73" s="23">
        <v>1206.222310224487</v>
      </c>
      <c r="K73" s="23">
        <v>1145.837092641382</v>
      </c>
      <c r="L73" s="23">
        <v>1271.426407355186</v>
      </c>
      <c r="M73" s="23">
        <v>1086.7916724114157</v>
      </c>
      <c r="N73" s="23">
        <v>592.36536270222803</v>
      </c>
      <c r="O73" s="23">
        <v>588.59655856903191</v>
      </c>
      <c r="P73" s="23">
        <v>601.28824476650561</v>
      </c>
      <c r="Q73" s="23">
        <v>524.85983676658373</v>
      </c>
      <c r="R73" s="23">
        <v>452.4637831663116</v>
      </c>
      <c r="S73" s="23">
        <v>415.89999999999873</v>
      </c>
      <c r="T73" s="23">
        <v>433.80945368870505</v>
      </c>
      <c r="U73" s="23">
        <v>417.04207802166263</v>
      </c>
      <c r="V73" s="23">
        <v>446.94050542506795</v>
      </c>
      <c r="W73" s="23">
        <v>499.64852565762726</v>
      </c>
      <c r="X73" s="23">
        <v>479.28424949639782</v>
      </c>
      <c r="Y73" s="23">
        <v>501.40960308778574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1570.9896832530619</v>
      </c>
      <c r="E75" s="30">
        <f t="shared" ref="E75:S75" si="6">SUM(E56:E74)</f>
        <v>1381.7805700275817</v>
      </c>
      <c r="F75" s="30">
        <f t="shared" si="6"/>
        <v>1478.4211529905301</v>
      </c>
      <c r="G75" s="30">
        <f t="shared" si="6"/>
        <v>1557.7088829106494</v>
      </c>
      <c r="H75" s="30">
        <f t="shared" si="6"/>
        <v>1414.3321387743576</v>
      </c>
      <c r="I75" s="30">
        <f t="shared" si="6"/>
        <v>1275.7503669585451</v>
      </c>
      <c r="J75" s="30">
        <f t="shared" si="6"/>
        <v>1206.222310224487</v>
      </c>
      <c r="K75" s="30">
        <f t="shared" si="6"/>
        <v>1145.837092641382</v>
      </c>
      <c r="L75" s="30">
        <f t="shared" si="6"/>
        <v>1271.426407355186</v>
      </c>
      <c r="M75" s="30">
        <f t="shared" si="6"/>
        <v>1086.7916724114157</v>
      </c>
      <c r="N75" s="30">
        <f t="shared" si="6"/>
        <v>850.30086373426343</v>
      </c>
      <c r="O75" s="30">
        <f t="shared" si="6"/>
        <v>853.22922035905856</v>
      </c>
      <c r="P75" s="30">
        <f t="shared" si="6"/>
        <v>865.16371443907678</v>
      </c>
      <c r="Q75" s="30">
        <f t="shared" si="6"/>
        <v>791.35475287981239</v>
      </c>
      <c r="R75" s="30">
        <f t="shared" si="6"/>
        <v>774.49504127940156</v>
      </c>
      <c r="S75" s="30">
        <f t="shared" si="6"/>
        <v>744.49999999999875</v>
      </c>
      <c r="T75" s="30">
        <f t="shared" ref="T75:Y75" si="7">SUM(T56:T74)</f>
        <v>744.02395327148622</v>
      </c>
      <c r="U75" s="30">
        <f t="shared" si="7"/>
        <v>787.88459695197992</v>
      </c>
      <c r="V75" s="30">
        <f t="shared" si="7"/>
        <v>835.45737751345132</v>
      </c>
      <c r="W75" s="30">
        <f t="shared" si="7"/>
        <v>881.46065337230414</v>
      </c>
      <c r="X75" s="30">
        <f t="shared" si="7"/>
        <v>876.90325390632108</v>
      </c>
      <c r="Y75" s="30">
        <f t="shared" si="7"/>
        <v>916.19754008697646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388759</v>
      </c>
      <c r="E3" s="42">
        <v>391415</v>
      </c>
      <c r="F3" s="42">
        <v>394641</v>
      </c>
      <c r="G3" s="42">
        <v>397296</v>
      </c>
      <c r="H3" s="42">
        <v>399867</v>
      </c>
      <c r="I3" s="42">
        <v>402668</v>
      </c>
      <c r="J3" s="42">
        <v>404999</v>
      </c>
      <c r="K3" s="42">
        <v>405616</v>
      </c>
      <c r="L3" s="42">
        <v>407832</v>
      </c>
      <c r="M3" s="42">
        <v>410926</v>
      </c>
      <c r="N3" s="42">
        <v>414027</v>
      </c>
      <c r="O3" s="42">
        <v>414989</v>
      </c>
      <c r="P3" s="42">
        <v>417546</v>
      </c>
      <c r="Q3" s="42">
        <v>422509</v>
      </c>
      <c r="R3" s="42">
        <v>429424</v>
      </c>
      <c r="S3" s="42">
        <v>439691</v>
      </c>
      <c r="T3" s="42">
        <v>450415</v>
      </c>
      <c r="U3" s="42">
        <v>460297</v>
      </c>
      <c r="V3" s="42">
        <v>475701</v>
      </c>
      <c r="W3" s="42">
        <v>493559</v>
      </c>
      <c r="X3" s="42">
        <v>514564</v>
      </c>
      <c r="Y3" s="42">
        <v>516100</v>
      </c>
    </row>
    <row r="4" spans="1:25" x14ac:dyDescent="0.25">
      <c r="A4" s="43" t="s">
        <v>239</v>
      </c>
      <c r="B4" s="44"/>
      <c r="C4" s="44"/>
      <c r="D4" s="45">
        <v>134669</v>
      </c>
      <c r="E4" s="45">
        <v>135775</v>
      </c>
      <c r="F4" s="45">
        <v>137082</v>
      </c>
      <c r="G4" s="45">
        <v>138194</v>
      </c>
      <c r="H4" s="45">
        <v>139280</v>
      </c>
      <c r="I4" s="45">
        <v>140449</v>
      </c>
      <c r="J4" s="45">
        <v>142205</v>
      </c>
      <c r="K4" s="45">
        <v>143989</v>
      </c>
      <c r="L4" s="45">
        <v>146649</v>
      </c>
      <c r="M4" s="45">
        <v>149265</v>
      </c>
      <c r="N4" s="45">
        <v>152104</v>
      </c>
      <c r="O4" s="45">
        <v>154042</v>
      </c>
      <c r="P4" s="45">
        <v>156795</v>
      </c>
      <c r="Q4" s="45">
        <v>160711</v>
      </c>
      <c r="R4" s="45">
        <v>165673</v>
      </c>
      <c r="S4" s="45">
        <v>172902</v>
      </c>
      <c r="T4" s="45">
        <v>178382</v>
      </c>
      <c r="U4" s="45">
        <v>183825</v>
      </c>
      <c r="V4" s="45">
        <v>191352</v>
      </c>
      <c r="W4" s="45">
        <v>200961</v>
      </c>
      <c r="X4" s="45">
        <v>211581</v>
      </c>
      <c r="Y4" s="45">
        <v>213000</v>
      </c>
    </row>
    <row r="5" spans="1:25" x14ac:dyDescent="0.25">
      <c r="A5" s="46" t="s">
        <v>240</v>
      </c>
      <c r="B5" s="47"/>
      <c r="C5" s="47"/>
      <c r="D5" s="48">
        <f>D3/D4</f>
        <v>2.8867742390602142</v>
      </c>
      <c r="E5" s="48">
        <f t="shared" ref="E5:S5" si="0">E3/E4</f>
        <v>2.8828208433069418</v>
      </c>
      <c r="F5" s="48">
        <f t="shared" si="0"/>
        <v>2.878868122729461</v>
      </c>
      <c r="G5" s="48">
        <f t="shared" si="0"/>
        <v>2.8749149746009235</v>
      </c>
      <c r="H5" s="48">
        <f t="shared" si="0"/>
        <v>2.8709577828834005</v>
      </c>
      <c r="I5" s="48">
        <f t="shared" si="0"/>
        <v>2.8670051050559278</v>
      </c>
      <c r="J5" s="48">
        <f t="shared" si="0"/>
        <v>2.8479940930347034</v>
      </c>
      <c r="K5" s="48">
        <f t="shared" si="0"/>
        <v>2.8169929647403622</v>
      </c>
      <c r="L5" s="48">
        <f t="shared" si="0"/>
        <v>2.7810077122926171</v>
      </c>
      <c r="M5" s="48">
        <f t="shared" si="0"/>
        <v>2.7529963487756675</v>
      </c>
      <c r="N5" s="48">
        <f t="shared" si="0"/>
        <v>2.7219994214484826</v>
      </c>
      <c r="O5" s="48">
        <f t="shared" si="0"/>
        <v>2.693999039223069</v>
      </c>
      <c r="P5" s="48">
        <f t="shared" si="0"/>
        <v>2.6630058356452695</v>
      </c>
      <c r="Q5" s="48">
        <f t="shared" si="0"/>
        <v>2.6289986373054739</v>
      </c>
      <c r="R5" s="48">
        <f t="shared" si="0"/>
        <v>2.5919974890295943</v>
      </c>
      <c r="S5" s="48">
        <f t="shared" si="0"/>
        <v>2.5430070213184348</v>
      </c>
      <c r="T5" s="48">
        <f t="shared" ref="T5:Y5" si="1">T3/T4</f>
        <v>2.5250025226760546</v>
      </c>
      <c r="U5" s="48">
        <f t="shared" si="1"/>
        <v>2.5039956480348158</v>
      </c>
      <c r="V5" s="48">
        <f t="shared" si="1"/>
        <v>2.485999623730089</v>
      </c>
      <c r="W5" s="48">
        <f t="shared" si="1"/>
        <v>2.455993949074696</v>
      </c>
      <c r="X5" s="48">
        <f t="shared" si="1"/>
        <v>2.4319953114882717</v>
      </c>
      <c r="Y5" s="48">
        <f t="shared" si="1"/>
        <v>2.4230046948356807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512.79</v>
      </c>
      <c r="E8" s="42">
        <v>419.81</v>
      </c>
      <c r="F8" s="42">
        <v>449.86</v>
      </c>
      <c r="G8" s="42">
        <v>646.01</v>
      </c>
      <c r="H8" s="42">
        <v>550.67999999999995</v>
      </c>
      <c r="I8" s="42">
        <v>713.46</v>
      </c>
      <c r="J8" s="42">
        <v>506.75</v>
      </c>
      <c r="K8" s="42">
        <v>367.07</v>
      </c>
      <c r="L8" s="42">
        <v>345.03</v>
      </c>
      <c r="M8" s="42">
        <v>534.04999999999995</v>
      </c>
      <c r="N8" s="42">
        <v>402.95</v>
      </c>
      <c r="O8" s="42">
        <v>549.19000000000005</v>
      </c>
      <c r="P8" s="42">
        <v>662.36</v>
      </c>
      <c r="Q8" s="42">
        <v>460.65</v>
      </c>
      <c r="R8" s="42">
        <v>374.61</v>
      </c>
      <c r="S8" s="42">
        <v>543.9</v>
      </c>
      <c r="T8" s="42">
        <v>322.36</v>
      </c>
      <c r="U8" s="42">
        <v>534.15</v>
      </c>
      <c r="V8" s="42">
        <v>365.57</v>
      </c>
      <c r="W8" s="42">
        <v>515.23</v>
      </c>
      <c r="X8" s="42">
        <v>401.93</v>
      </c>
      <c r="Y8" s="42">
        <v>465.87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484.6861904761904</v>
      </c>
      <c r="E9" s="45">
        <f t="shared" si="2"/>
        <v>484.6861904761904</v>
      </c>
      <c r="F9" s="45">
        <f t="shared" si="2"/>
        <v>484.6861904761904</v>
      </c>
      <c r="G9" s="45">
        <f t="shared" si="2"/>
        <v>484.6861904761904</v>
      </c>
      <c r="H9" s="45">
        <f t="shared" si="2"/>
        <v>484.6861904761904</v>
      </c>
      <c r="I9" s="45">
        <f t="shared" si="2"/>
        <v>484.6861904761904</v>
      </c>
      <c r="J9" s="45">
        <f t="shared" si="2"/>
        <v>484.6861904761904</v>
      </c>
      <c r="K9" s="45">
        <f t="shared" si="2"/>
        <v>484.6861904761904</v>
      </c>
      <c r="L9" s="45">
        <f t="shared" si="2"/>
        <v>484.6861904761904</v>
      </c>
      <c r="M9" s="45">
        <f t="shared" si="2"/>
        <v>484.6861904761904</v>
      </c>
      <c r="N9" s="45">
        <f t="shared" si="2"/>
        <v>484.6861904761904</v>
      </c>
      <c r="O9" s="45">
        <f t="shared" si="2"/>
        <v>484.6861904761904</v>
      </c>
      <c r="P9" s="45">
        <f t="shared" si="2"/>
        <v>484.6861904761904</v>
      </c>
      <c r="Q9" s="45">
        <f t="shared" si="2"/>
        <v>484.6861904761904</v>
      </c>
      <c r="R9" s="45">
        <f t="shared" si="2"/>
        <v>484.6861904761904</v>
      </c>
      <c r="S9" s="45">
        <f t="shared" si="2"/>
        <v>484.6861904761904</v>
      </c>
      <c r="T9" s="45">
        <f t="shared" si="2"/>
        <v>484.6861904761904</v>
      </c>
      <c r="U9" s="45">
        <f t="shared" si="2"/>
        <v>484.6861904761904</v>
      </c>
      <c r="V9" s="45">
        <f t="shared" si="2"/>
        <v>484.6861904761904</v>
      </c>
      <c r="W9" s="45">
        <f t="shared" si="2"/>
        <v>484.6861904761904</v>
      </c>
      <c r="X9" s="45">
        <f>AVERAGE($D8:$X8)</f>
        <v>484.6861904761904</v>
      </c>
      <c r="Y9" s="45">
        <f t="shared" ref="Y9" si="3">AVERAGE($D8:$X8)</f>
        <v>484.6861904761904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1.0579835160894482</v>
      </c>
      <c r="E10" s="53">
        <f t="shared" si="4"/>
        <v>0.86614805259367633</v>
      </c>
      <c r="F10" s="53">
        <f t="shared" si="4"/>
        <v>0.92814693061096987</v>
      </c>
      <c r="G10" s="53">
        <f t="shared" si="4"/>
        <v>1.3328417699817556</v>
      </c>
      <c r="H10" s="53">
        <f t="shared" si="4"/>
        <v>1.1361578085378758</v>
      </c>
      <c r="I10" s="53">
        <f t="shared" si="4"/>
        <v>1.4720039770455309</v>
      </c>
      <c r="J10" s="53">
        <f t="shared" si="4"/>
        <v>1.0455218447675032</v>
      </c>
      <c r="K10" s="53">
        <f t="shared" si="4"/>
        <v>0.75733537949443985</v>
      </c>
      <c r="L10" s="53">
        <f t="shared" si="4"/>
        <v>0.71186265831303719</v>
      </c>
      <c r="M10" s="53">
        <f t="shared" si="4"/>
        <v>1.1018469485902023</v>
      </c>
      <c r="N10" s="53">
        <f t="shared" si="4"/>
        <v>0.83136265880427307</v>
      </c>
      <c r="O10" s="53">
        <f t="shared" si="4"/>
        <v>1.133083654519714</v>
      </c>
      <c r="P10" s="53">
        <f t="shared" si="4"/>
        <v>1.3665749365568889</v>
      </c>
      <c r="Q10" s="53">
        <f t="shared" si="4"/>
        <v>0.95040875735994135</v>
      </c>
      <c r="R10" s="53">
        <f t="shared" si="4"/>
        <v>0.77289183674070916</v>
      </c>
      <c r="S10" s="53">
        <f t="shared" si="4"/>
        <v>1.1221693761599307</v>
      </c>
      <c r="T10" s="53">
        <f t="shared" ref="T10:Y10" si="5">IF(T8=0,0,T8/T9)</f>
        <v>0.66509012704341852</v>
      </c>
      <c r="U10" s="53">
        <f t="shared" si="5"/>
        <v>1.102053267651824</v>
      </c>
      <c r="V10" s="53">
        <f t="shared" si="5"/>
        <v>0.75424059357011564</v>
      </c>
      <c r="W10" s="53">
        <f t="shared" si="5"/>
        <v>1.0630177011930155</v>
      </c>
      <c r="X10" s="53">
        <f t="shared" si="5"/>
        <v>0.82925820437573272</v>
      </c>
      <c r="Y10" s="53">
        <f t="shared" si="5"/>
        <v>0.96117861237658941</v>
      </c>
    </row>
    <row r="11" spans="1:25" x14ac:dyDescent="0.25">
      <c r="A11" s="43" t="s">
        <v>251</v>
      </c>
      <c r="B11" s="44"/>
      <c r="C11" s="44"/>
      <c r="D11" s="45">
        <v>608.79</v>
      </c>
      <c r="E11" s="45">
        <v>659.06</v>
      </c>
      <c r="F11" s="45">
        <v>559.24</v>
      </c>
      <c r="G11" s="45">
        <v>740.22</v>
      </c>
      <c r="H11" s="45">
        <v>477.84</v>
      </c>
      <c r="I11" s="45">
        <v>475.39</v>
      </c>
      <c r="J11" s="45">
        <v>599.01</v>
      </c>
      <c r="K11" s="45">
        <v>617.71</v>
      </c>
      <c r="L11" s="45">
        <v>548.6</v>
      </c>
      <c r="M11" s="45">
        <v>575.54999999999995</v>
      </c>
      <c r="N11" s="45">
        <v>499.13</v>
      </c>
      <c r="O11" s="45">
        <v>534.55999999999995</v>
      </c>
      <c r="P11" s="45">
        <v>781.3</v>
      </c>
      <c r="Q11" s="45">
        <v>629.65</v>
      </c>
      <c r="R11" s="45">
        <v>648.46</v>
      </c>
      <c r="S11" s="45">
        <v>685.34</v>
      </c>
      <c r="T11" s="45">
        <v>611.04999999999995</v>
      </c>
      <c r="U11" s="45">
        <v>673.11</v>
      </c>
      <c r="V11" s="45">
        <v>625.61</v>
      </c>
      <c r="W11" s="45">
        <v>756.22</v>
      </c>
      <c r="X11" s="45">
        <v>672.27</v>
      </c>
      <c r="Y11" s="45">
        <v>793.36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618.00523809523816</v>
      </c>
      <c r="E12" s="45">
        <f t="shared" ref="E12" si="7">AVERAGE($D11:$X11)</f>
        <v>618.00523809523816</v>
      </c>
      <c r="F12" s="45">
        <f t="shared" ref="F12" si="8">AVERAGE($D11:$X11)</f>
        <v>618.00523809523816</v>
      </c>
      <c r="G12" s="45">
        <f t="shared" ref="G12" si="9">AVERAGE($D11:$X11)</f>
        <v>618.00523809523816</v>
      </c>
      <c r="H12" s="45">
        <f t="shared" ref="H12" si="10">AVERAGE($D11:$X11)</f>
        <v>618.00523809523816</v>
      </c>
      <c r="I12" s="45">
        <f t="shared" ref="I12" si="11">AVERAGE($D11:$X11)</f>
        <v>618.00523809523816</v>
      </c>
      <c r="J12" s="45">
        <f t="shared" ref="J12" si="12">AVERAGE($D11:$X11)</f>
        <v>618.00523809523816</v>
      </c>
      <c r="K12" s="45">
        <f t="shared" ref="K12" si="13">AVERAGE($D11:$X11)</f>
        <v>618.00523809523816</v>
      </c>
      <c r="L12" s="45">
        <f t="shared" ref="L12" si="14">AVERAGE($D11:$X11)</f>
        <v>618.00523809523816</v>
      </c>
      <c r="M12" s="45">
        <f t="shared" ref="M12" si="15">AVERAGE($D11:$X11)</f>
        <v>618.00523809523816</v>
      </c>
      <c r="N12" s="45">
        <f t="shared" ref="N12" si="16">AVERAGE($D11:$X11)</f>
        <v>618.00523809523816</v>
      </c>
      <c r="O12" s="45">
        <f t="shared" ref="O12" si="17">AVERAGE($D11:$X11)</f>
        <v>618.00523809523816</v>
      </c>
      <c r="P12" s="45">
        <f t="shared" ref="P12" si="18">AVERAGE($D11:$X11)</f>
        <v>618.00523809523816</v>
      </c>
      <c r="Q12" s="45">
        <f t="shared" ref="Q12" si="19">AVERAGE($D11:$X11)</f>
        <v>618.00523809523816</v>
      </c>
      <c r="R12" s="45">
        <f t="shared" ref="R12" si="20">AVERAGE($D11:$X11)</f>
        <v>618.00523809523816</v>
      </c>
      <c r="S12" s="45">
        <f t="shared" ref="S12" si="21">AVERAGE($D11:$X11)</f>
        <v>618.00523809523816</v>
      </c>
      <c r="T12" s="45">
        <f t="shared" ref="T12" si="22">AVERAGE($D11:$X11)</f>
        <v>618.00523809523816</v>
      </c>
      <c r="U12" s="45">
        <f t="shared" ref="U12" si="23">AVERAGE($D11:$X11)</f>
        <v>618.00523809523816</v>
      </c>
      <c r="V12" s="45">
        <f t="shared" ref="V12" si="24">AVERAGE($D11:$X11)</f>
        <v>618.00523809523816</v>
      </c>
      <c r="W12" s="45">
        <f t="shared" ref="W12" si="25">AVERAGE($D11:$X11)</f>
        <v>618.00523809523816</v>
      </c>
      <c r="X12" s="45">
        <f>AVERAGE($D11:$X11)</f>
        <v>618.00523809523816</v>
      </c>
      <c r="Y12" s="45">
        <f t="shared" ref="Y12" si="26">AVERAGE($D11:$X11)</f>
        <v>618.00523809523816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0.98508873788248041</v>
      </c>
      <c r="E13" s="55">
        <f t="shared" si="27"/>
        <v>1.0664310905054741</v>
      </c>
      <c r="F13" s="55">
        <f t="shared" ref="F13" si="28">IF(F11=0,0,F11/F12)</f>
        <v>0.90491142392844559</v>
      </c>
      <c r="G13" s="55">
        <f t="shared" ref="G13" si="29">IF(G11=0,0,G11/G12)</f>
        <v>1.1977568382453223</v>
      </c>
      <c r="H13" s="55">
        <f t="shared" ref="H13" si="30">IF(H11=0,0,H11/H12)</f>
        <v>0.77319732996561119</v>
      </c>
      <c r="I13" s="55">
        <f t="shared" ref="I13" si="31">IF(I11=0,0,I11/I12)</f>
        <v>0.76923296227262661</v>
      </c>
      <c r="J13" s="55">
        <f t="shared" ref="J13" si="32">IF(J11=0,0,J11/J12)</f>
        <v>0.96926362929579102</v>
      </c>
      <c r="K13" s="55">
        <f t="shared" ref="K13" si="33">IF(K11=0,0,K11/K12)</f>
        <v>0.99952227250346926</v>
      </c>
      <c r="L13" s="55">
        <f t="shared" ref="L13" si="34">IF(L11=0,0,L11/L12)</f>
        <v>0.88769474137605553</v>
      </c>
      <c r="M13" s="55">
        <f t="shared" ref="M13" si="35">IF(M11=0,0,M11/M12)</f>
        <v>0.93130278599888561</v>
      </c>
      <c r="N13" s="55">
        <f t="shared" ref="N13" si="36">IF(N11=0,0,N11/N12)</f>
        <v>0.80764687616301589</v>
      </c>
      <c r="O13" s="55">
        <f t="shared" ref="O13" si="37">IF(O11=0,0,O11/O12)</f>
        <v>0.86497648733136012</v>
      </c>
      <c r="P13" s="55">
        <f t="shared" ref="P13" si="38">IF(P11=0,0,P11/P12)</f>
        <v>1.2642287667464676</v>
      </c>
      <c r="Q13" s="55">
        <f t="shared" ref="Q13" si="39">IF(Q11=0,0,Q11/Q12)</f>
        <v>1.0188424970970349</v>
      </c>
      <c r="R13" s="55">
        <f t="shared" ref="R13" si="40">IF(R11=0,0,R11/R12)</f>
        <v>1.0492791323235817</v>
      </c>
      <c r="S13" s="55">
        <f t="shared" ref="S13:Y13" si="41">IF(S11=0,0,S11/S12)</f>
        <v>1.1089550019224679</v>
      </c>
      <c r="T13" s="55">
        <f t="shared" si="41"/>
        <v>0.98874566481560089</v>
      </c>
      <c r="U13" s="55">
        <f t="shared" si="41"/>
        <v>1.0891655256427939</v>
      </c>
      <c r="V13" s="55">
        <f t="shared" si="41"/>
        <v>1.0123053356767664</v>
      </c>
      <c r="W13" s="55">
        <f t="shared" si="41"/>
        <v>1.223646586444405</v>
      </c>
      <c r="X13" s="55">
        <f t="shared" si="41"/>
        <v>1.0878063138623419</v>
      </c>
      <c r="Y13" s="55">
        <f t="shared" si="41"/>
        <v>1.2837431644515263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6043.6384555328787</v>
      </c>
      <c r="E16" s="42">
        <v>5972.5020276811183</v>
      </c>
      <c r="F16" s="42">
        <v>6125.8269588587964</v>
      </c>
      <c r="G16" s="42">
        <v>6375.3998255306778</v>
      </c>
      <c r="H16" s="42">
        <v>6384.2733442546214</v>
      </c>
      <c r="I16" s="42">
        <v>6600.3484588382998</v>
      </c>
      <c r="J16" s="42">
        <v>6766.0133992862056</v>
      </c>
      <c r="K16" s="42">
        <v>7089.0926676379486</v>
      </c>
      <c r="L16" s="42">
        <v>7360.3187969211431</v>
      </c>
      <c r="M16" s="42">
        <v>7276.8277513630392</v>
      </c>
      <c r="N16" s="42">
        <v>7680.2938790228072</v>
      </c>
      <c r="O16" s="42">
        <v>7716.1195426890417</v>
      </c>
      <c r="P16" s="42">
        <v>8033.8831435179118</v>
      </c>
      <c r="Q16" s="42">
        <v>8473.5584615056414</v>
      </c>
      <c r="R16" s="42">
        <v>9120.3843628518734</v>
      </c>
      <c r="S16" s="42">
        <v>9996.7000000000007</v>
      </c>
      <c r="T16" s="42">
        <v>10334.715726933146</v>
      </c>
      <c r="U16" s="42">
        <v>11458.109353401935</v>
      </c>
      <c r="V16" s="42">
        <v>12307.750372704799</v>
      </c>
      <c r="W16" s="42">
        <v>13184.706913250011</v>
      </c>
      <c r="X16" s="42">
        <v>12110.471180445331</v>
      </c>
      <c r="Y16" s="42">
        <v>13630.930677219974</v>
      </c>
    </row>
    <row r="17" spans="1:25" x14ac:dyDescent="0.25">
      <c r="A17" s="46" t="s">
        <v>141</v>
      </c>
      <c r="B17" s="47"/>
      <c r="C17" s="47"/>
      <c r="D17" s="57">
        <v>3590.0528666016526</v>
      </c>
      <c r="E17" s="57">
        <v>3672.1950244779696</v>
      </c>
      <c r="F17" s="57">
        <v>3590.0279079039174</v>
      </c>
      <c r="G17" s="57">
        <v>3785.5526410533353</v>
      </c>
      <c r="H17" s="57">
        <v>3890.581318088934</v>
      </c>
      <c r="I17" s="57">
        <v>4059.3610661962862</v>
      </c>
      <c r="J17" s="57">
        <v>4163.1587106621992</v>
      </c>
      <c r="K17" s="57">
        <v>4231.5254117563954</v>
      </c>
      <c r="L17" s="57">
        <v>4214.3586253827834</v>
      </c>
      <c r="M17" s="57">
        <v>4261.3832308017481</v>
      </c>
      <c r="N17" s="57">
        <v>4348.4366835046158</v>
      </c>
      <c r="O17" s="57">
        <v>4498.1704406851577</v>
      </c>
      <c r="P17" s="57">
        <v>4523.0543531040466</v>
      </c>
      <c r="Q17" s="57">
        <v>4661.0766701050934</v>
      </c>
      <c r="R17" s="57">
        <v>4786.8979040303984</v>
      </c>
      <c r="S17" s="57">
        <v>4899</v>
      </c>
      <c r="T17" s="57">
        <v>5046.0642323618567</v>
      </c>
      <c r="U17" s="57">
        <v>5325.2697921057015</v>
      </c>
      <c r="V17" s="57">
        <v>5834.345161196321</v>
      </c>
      <c r="W17" s="57">
        <v>6085.8703839662849</v>
      </c>
      <c r="X17" s="57">
        <v>5437.6048084713511</v>
      </c>
      <c r="Y17" s="57">
        <v>5878.8820742864054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15545.976956245075</v>
      </c>
      <c r="E20" s="42">
        <f t="shared" ref="E20:S20" si="42">1000000*E16/E$3</f>
        <v>15258.745903149133</v>
      </c>
      <c r="F20" s="42">
        <f t="shared" si="42"/>
        <v>15522.530499514232</v>
      </c>
      <c r="G20" s="42">
        <f t="shared" si="42"/>
        <v>16046.977129220224</v>
      </c>
      <c r="H20" s="42">
        <f t="shared" si="42"/>
        <v>15965.992052994174</v>
      </c>
      <c r="I20" s="42">
        <f t="shared" si="42"/>
        <v>16391.539578109758</v>
      </c>
      <c r="J20" s="42">
        <f t="shared" si="42"/>
        <v>16706.247174156491</v>
      </c>
      <c r="K20" s="42">
        <f t="shared" si="42"/>
        <v>17477.349679593382</v>
      </c>
      <c r="L20" s="42">
        <f t="shared" si="42"/>
        <v>18047.428345301847</v>
      </c>
      <c r="M20" s="42">
        <f t="shared" si="42"/>
        <v>17708.365378104667</v>
      </c>
      <c r="N20" s="42">
        <f t="shared" si="42"/>
        <v>18550.224693130658</v>
      </c>
      <c r="O20" s="42">
        <f t="shared" si="42"/>
        <v>18593.551980146563</v>
      </c>
      <c r="P20" s="42">
        <f t="shared" si="42"/>
        <v>19240.713941740341</v>
      </c>
      <c r="Q20" s="42">
        <f t="shared" si="42"/>
        <v>20055.332458020162</v>
      </c>
      <c r="R20" s="42">
        <f t="shared" si="42"/>
        <v>21238.646100012746</v>
      </c>
      <c r="S20" s="42">
        <f t="shared" si="42"/>
        <v>22735.739416999666</v>
      </c>
      <c r="T20" s="42">
        <f t="shared" ref="T20:Y20" si="43">1000000*T16/T$3</f>
        <v>22944.874675428538</v>
      </c>
      <c r="U20" s="42">
        <f t="shared" si="43"/>
        <v>24892.861246981702</v>
      </c>
      <c r="V20" s="42">
        <f t="shared" si="43"/>
        <v>25872.870506273477</v>
      </c>
      <c r="W20" s="42">
        <f t="shared" si="43"/>
        <v>26713.537618096339</v>
      </c>
      <c r="X20" s="42">
        <f t="shared" si="43"/>
        <v>23535.403138278874</v>
      </c>
      <c r="Y20" s="42">
        <f t="shared" si="43"/>
        <v>26411.413829141591</v>
      </c>
    </row>
    <row r="21" spans="1:25" x14ac:dyDescent="0.25">
      <c r="A21" s="46" t="s">
        <v>141</v>
      </c>
      <c r="B21" s="47"/>
      <c r="C21" s="47"/>
      <c r="D21" s="57">
        <f>1000000*D17/D$3</f>
        <v>9234.6488868467422</v>
      </c>
      <c r="E21" s="57">
        <f t="shared" ref="E21:S21" si="44">1000000*E17/E$3</f>
        <v>9381.8454184892489</v>
      </c>
      <c r="F21" s="57">
        <f t="shared" si="44"/>
        <v>9096.946105204268</v>
      </c>
      <c r="G21" s="57">
        <f t="shared" si="44"/>
        <v>9528.2928623830467</v>
      </c>
      <c r="H21" s="57">
        <f t="shared" si="44"/>
        <v>9729.688416620862</v>
      </c>
      <c r="I21" s="57">
        <f t="shared" si="44"/>
        <v>10081.16131948972</v>
      </c>
      <c r="J21" s="57">
        <f t="shared" si="44"/>
        <v>10279.429605164949</v>
      </c>
      <c r="K21" s="57">
        <f t="shared" si="44"/>
        <v>10432.34342766655</v>
      </c>
      <c r="L21" s="57">
        <f t="shared" si="44"/>
        <v>10333.565353828986</v>
      </c>
      <c r="M21" s="57">
        <f t="shared" si="44"/>
        <v>10370.19616865749</v>
      </c>
      <c r="N21" s="57">
        <f t="shared" si="44"/>
        <v>10502.785285753384</v>
      </c>
      <c r="O21" s="57">
        <f t="shared" si="44"/>
        <v>10839.252222794237</v>
      </c>
      <c r="P21" s="57">
        <f t="shared" si="44"/>
        <v>10832.469603598278</v>
      </c>
      <c r="Q21" s="57">
        <f t="shared" si="44"/>
        <v>11031.899131391505</v>
      </c>
      <c r="R21" s="57">
        <f t="shared" si="44"/>
        <v>11147.25284108573</v>
      </c>
      <c r="S21" s="57">
        <f t="shared" si="44"/>
        <v>11141.91557252707</v>
      </c>
      <c r="T21" s="57">
        <f t="shared" ref="T21:Y21" si="45">1000000*T17/T$3</f>
        <v>11203.144283298418</v>
      </c>
      <c r="U21" s="57">
        <f t="shared" si="45"/>
        <v>11569.203779528656</v>
      </c>
      <c r="V21" s="57">
        <f t="shared" si="45"/>
        <v>12264.731756284558</v>
      </c>
      <c r="W21" s="57">
        <f t="shared" si="45"/>
        <v>12330.583342551316</v>
      </c>
      <c r="X21" s="57">
        <f t="shared" si="45"/>
        <v>10567.402322104443</v>
      </c>
      <c r="Y21" s="57">
        <f t="shared" si="45"/>
        <v>11390.974761260231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5277.2374193375281</v>
      </c>
      <c r="E23" s="60">
        <v>5172.131984880989</v>
      </c>
      <c r="F23" s="60">
        <v>5334.7740418229205</v>
      </c>
      <c r="G23" s="60">
        <v>5593.412907775486</v>
      </c>
      <c r="H23" s="60">
        <v>5525.9270676788319</v>
      </c>
      <c r="I23" s="60">
        <v>5662.9295945740741</v>
      </c>
      <c r="J23" s="60">
        <v>5814.4197213078232</v>
      </c>
      <c r="K23" s="60">
        <v>6077.5680585128794</v>
      </c>
      <c r="L23" s="60">
        <v>6364.4732395679184</v>
      </c>
      <c r="M23" s="60">
        <v>6293.8324371524423</v>
      </c>
      <c r="N23" s="60">
        <v>6668.9610764482541</v>
      </c>
      <c r="O23" s="60">
        <v>6627.2221795729465</v>
      </c>
      <c r="P23" s="60">
        <v>6953.9452495974228</v>
      </c>
      <c r="Q23" s="60">
        <v>7411.1771599919757</v>
      </c>
      <c r="R23" s="60">
        <v>8013.0847915260392</v>
      </c>
      <c r="S23" s="60">
        <v>8888.7999999999993</v>
      </c>
      <c r="T23" s="60">
        <v>9184.4107397045118</v>
      </c>
      <c r="U23" s="60">
        <v>10187.865427010447</v>
      </c>
      <c r="V23" s="60">
        <v>10927.027282167468</v>
      </c>
      <c r="W23" s="60">
        <v>11837.378371378889</v>
      </c>
      <c r="X23" s="60">
        <v>11015.189735586084</v>
      </c>
      <c r="Y23" s="60">
        <v>12445.772524745871</v>
      </c>
    </row>
    <row r="24" spans="1:25" x14ac:dyDescent="0.25">
      <c r="A24" s="61" t="s">
        <v>33</v>
      </c>
      <c r="B24" s="62"/>
      <c r="C24" s="62"/>
      <c r="D24" s="63">
        <v>0</v>
      </c>
      <c r="E24" s="63">
        <v>0</v>
      </c>
      <c r="F24" s="63">
        <v>0</v>
      </c>
      <c r="G24" s="63">
        <v>0</v>
      </c>
      <c r="H24" s="63">
        <v>0</v>
      </c>
      <c r="I24" s="63">
        <v>119.95748342359668</v>
      </c>
      <c r="J24" s="63">
        <v>124.99071851100166</v>
      </c>
      <c r="K24" s="63">
        <v>127.5157289448675</v>
      </c>
      <c r="L24" s="63">
        <v>76.67478471631496</v>
      </c>
      <c r="M24" s="63">
        <v>103.52038237051335</v>
      </c>
      <c r="N24" s="63">
        <v>95.810111685947106</v>
      </c>
      <c r="O24" s="63">
        <v>75.342991566410404</v>
      </c>
      <c r="P24" s="63">
        <v>83.413848631239929</v>
      </c>
      <c r="Q24" s="63">
        <v>89.746703128464489</v>
      </c>
      <c r="R24" s="63">
        <v>91.281998026896517</v>
      </c>
      <c r="S24" s="63">
        <v>92.3</v>
      </c>
      <c r="T24" s="63">
        <v>95.911255092524428</v>
      </c>
      <c r="U24" s="63">
        <v>76.296367296079737</v>
      </c>
      <c r="V24" s="63">
        <v>81.940904370810912</v>
      </c>
      <c r="W24" s="63">
        <v>61.508009915276183</v>
      </c>
      <c r="X24" s="63">
        <v>92.553944431337669</v>
      </c>
      <c r="Y24" s="63">
        <v>123.08458507866207</v>
      </c>
    </row>
    <row r="25" spans="1:25" x14ac:dyDescent="0.25">
      <c r="A25" s="64" t="s">
        <v>56</v>
      </c>
      <c r="B25" s="65"/>
      <c r="C25" s="65"/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6">
        <v>0</v>
      </c>
      <c r="O25" s="66">
        <v>0</v>
      </c>
      <c r="P25" s="66">
        <v>0</v>
      </c>
      <c r="Q25" s="66">
        <v>0</v>
      </c>
      <c r="R25" s="66">
        <v>0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</row>
    <row r="26" spans="1:25" x14ac:dyDescent="0.25">
      <c r="A26" s="67" t="s">
        <v>146</v>
      </c>
      <c r="B26" s="44"/>
      <c r="C26" s="44"/>
      <c r="D26" s="45">
        <v>3663.451347616684</v>
      </c>
      <c r="E26" s="45">
        <v>3740.933701093064</v>
      </c>
      <c r="F26" s="45">
        <v>3801.1822284370428</v>
      </c>
      <c r="G26" s="45">
        <v>3992.4778645493247</v>
      </c>
      <c r="H26" s="45">
        <v>4055.7203961311707</v>
      </c>
      <c r="I26" s="45">
        <v>4235.0812370299136</v>
      </c>
      <c r="J26" s="45">
        <v>4415.7612058510504</v>
      </c>
      <c r="K26" s="45">
        <v>4737.0890324443326</v>
      </c>
      <c r="L26" s="45">
        <v>4966.1488982369465</v>
      </c>
      <c r="M26" s="45">
        <v>5007.3532791029002</v>
      </c>
      <c r="N26" s="45">
        <v>5318.2938472811247</v>
      </c>
      <c r="O26" s="45">
        <v>5383.2402969851828</v>
      </c>
      <c r="P26" s="45">
        <v>5755.7702630166386</v>
      </c>
      <c r="Q26" s="45">
        <v>6166.126426708619</v>
      </c>
      <c r="R26" s="45">
        <v>6810.3224466483198</v>
      </c>
      <c r="S26" s="45">
        <v>7646.9</v>
      </c>
      <c r="T26" s="45">
        <v>7888.4798507828991</v>
      </c>
      <c r="U26" s="45">
        <v>8846.7363174542297</v>
      </c>
      <c r="V26" s="45">
        <v>9464.9296705371471</v>
      </c>
      <c r="W26" s="45">
        <v>10219.208997743164</v>
      </c>
      <c r="X26" s="45">
        <v>9380.070050632452</v>
      </c>
      <c r="Y26" s="45">
        <v>10695.10774347892</v>
      </c>
    </row>
    <row r="27" spans="1:25" x14ac:dyDescent="0.25">
      <c r="A27" s="68" t="s">
        <v>148</v>
      </c>
      <c r="B27" s="69"/>
      <c r="C27" s="69"/>
      <c r="D27" s="70">
        <v>1685.2922631105866</v>
      </c>
      <c r="E27" s="70">
        <v>1782.9962202472163</v>
      </c>
      <c r="F27" s="70">
        <v>1793.4278268607386</v>
      </c>
      <c r="G27" s="70">
        <v>1855.8518557212631</v>
      </c>
      <c r="H27" s="70">
        <v>1868.5214442603369</v>
      </c>
      <c r="I27" s="70">
        <v>1894.2653236827452</v>
      </c>
      <c r="J27" s="70">
        <v>1920.1544439769323</v>
      </c>
      <c r="K27" s="70">
        <v>2154.7752234532704</v>
      </c>
      <c r="L27" s="70">
        <v>2379.1323397462038</v>
      </c>
      <c r="M27" s="70">
        <v>2337.7682797922698</v>
      </c>
      <c r="N27" s="70">
        <v>2438.6615449519281</v>
      </c>
      <c r="O27" s="70">
        <v>2446.6183389447597</v>
      </c>
      <c r="P27" s="70">
        <v>2604.9382716049381</v>
      </c>
      <c r="Q27" s="70">
        <v>2825.4373831973057</v>
      </c>
      <c r="R27" s="70">
        <v>3240.562853730723</v>
      </c>
      <c r="S27" s="70">
        <v>3566.9</v>
      </c>
      <c r="T27" s="70">
        <v>3443.4791145143085</v>
      </c>
      <c r="U27" s="70">
        <v>3775.232435541071</v>
      </c>
      <c r="V27" s="70">
        <v>4079.3920513546682</v>
      </c>
      <c r="W27" s="70">
        <v>4283.9172740389949</v>
      </c>
      <c r="X27" s="70">
        <v>3757.7808830735166</v>
      </c>
      <c r="Y27" s="70">
        <v>4405.521019538789</v>
      </c>
    </row>
    <row r="28" spans="1:25" x14ac:dyDescent="0.25">
      <c r="A28" s="68" t="s">
        <v>150</v>
      </c>
      <c r="B28" s="71"/>
      <c r="C28" s="71"/>
      <c r="D28" s="70">
        <v>1185.8221870430243</v>
      </c>
      <c r="E28" s="70">
        <v>1204.7961998161202</v>
      </c>
      <c r="F28" s="70">
        <v>1223.0343863217438</v>
      </c>
      <c r="G28" s="70">
        <v>1340.7945255569778</v>
      </c>
      <c r="H28" s="70">
        <v>1442.8474175690085</v>
      </c>
      <c r="I28" s="70">
        <v>1594.4981525535252</v>
      </c>
      <c r="J28" s="70">
        <v>1739.4747914758805</v>
      </c>
      <c r="K28" s="70">
        <v>1813.3699038820118</v>
      </c>
      <c r="L28" s="70">
        <v>1812.9275085356048</v>
      </c>
      <c r="M28" s="70">
        <v>1930.4655544832021</v>
      </c>
      <c r="N28" s="70">
        <v>2112.1522303883471</v>
      </c>
      <c r="O28" s="70">
        <v>2131.4280074136623</v>
      </c>
      <c r="P28" s="70">
        <v>2336.2318840579705</v>
      </c>
      <c r="Q28" s="70">
        <v>2437.942794395582</v>
      </c>
      <c r="R28" s="70">
        <v>2628.9007736642611</v>
      </c>
      <c r="S28" s="70">
        <v>3025.4000000000005</v>
      </c>
      <c r="T28" s="70">
        <v>3467.0397094193295</v>
      </c>
      <c r="U28" s="70">
        <v>3988.018786542701</v>
      </c>
      <c r="V28" s="70">
        <v>4280.9402435570655</v>
      </c>
      <c r="W28" s="70">
        <v>4781.1609752488066</v>
      </c>
      <c r="X28" s="70">
        <v>4631.7804838212078</v>
      </c>
      <c r="Y28" s="70">
        <v>5113.9688553311471</v>
      </c>
    </row>
    <row r="29" spans="1:25" x14ac:dyDescent="0.25">
      <c r="A29" s="68" t="s">
        <v>152</v>
      </c>
      <c r="B29" s="71"/>
      <c r="C29" s="71"/>
      <c r="D29" s="70">
        <v>792.33689746307311</v>
      </c>
      <c r="E29" s="70">
        <v>753.14128102972745</v>
      </c>
      <c r="F29" s="70">
        <v>784.72001525456028</v>
      </c>
      <c r="G29" s="70">
        <v>795.83148327108427</v>
      </c>
      <c r="H29" s="70">
        <v>744.35153430182538</v>
      </c>
      <c r="I29" s="70">
        <v>746.31776079364272</v>
      </c>
      <c r="J29" s="70">
        <v>756.13197039823774</v>
      </c>
      <c r="K29" s="70">
        <v>768.94390510904987</v>
      </c>
      <c r="L29" s="70">
        <v>774.08904995513717</v>
      </c>
      <c r="M29" s="70">
        <v>739.11944482742751</v>
      </c>
      <c r="N29" s="70">
        <v>767.48007194084869</v>
      </c>
      <c r="O29" s="70">
        <v>805.19395062676142</v>
      </c>
      <c r="P29" s="70">
        <v>814.60010735373032</v>
      </c>
      <c r="Q29" s="70">
        <v>902.74624911573108</v>
      </c>
      <c r="R29" s="70">
        <v>940.85881925333626</v>
      </c>
      <c r="S29" s="70">
        <v>1054.6000000000001</v>
      </c>
      <c r="T29" s="70">
        <v>977.9610268492612</v>
      </c>
      <c r="U29" s="70">
        <v>1083.4850953704592</v>
      </c>
      <c r="V29" s="70">
        <v>1104.597375625413</v>
      </c>
      <c r="W29" s="70">
        <v>1154.1307484553633</v>
      </c>
      <c r="X29" s="70">
        <v>990.50868373772744</v>
      </c>
      <c r="Y29" s="70">
        <v>1175.6178686089841</v>
      </c>
    </row>
    <row r="30" spans="1:25" x14ac:dyDescent="0.25">
      <c r="A30" s="64" t="s">
        <v>154</v>
      </c>
      <c r="B30" s="65"/>
      <c r="C30" s="65"/>
      <c r="D30" s="66">
        <v>42.796388467782087</v>
      </c>
      <c r="E30" s="66">
        <v>49.417713760343304</v>
      </c>
      <c r="F30" s="66">
        <v>55.170660395347333</v>
      </c>
      <c r="G30" s="66">
        <v>43.226160315511827</v>
      </c>
      <c r="H30" s="66">
        <v>55.874532773303677</v>
      </c>
      <c r="I30" s="66">
        <v>32.140507162018636</v>
      </c>
      <c r="J30" s="66">
        <v>67.445486721283217</v>
      </c>
      <c r="K30" s="66">
        <v>67.126204482298121</v>
      </c>
      <c r="L30" s="66">
        <v>50.223149259470759</v>
      </c>
      <c r="M30" s="66">
        <v>96.167103267613442</v>
      </c>
      <c r="N30" s="66">
        <v>87.372604747207902</v>
      </c>
      <c r="O30" s="66">
        <v>20.837217463781748</v>
      </c>
      <c r="P30" s="66">
        <v>-36.070853462157835</v>
      </c>
      <c r="Q30" s="66">
        <v>43.606339284771522</v>
      </c>
      <c r="R30" s="66">
        <v>42.577496235526361</v>
      </c>
      <c r="S30" s="66">
        <v>84.600000000000023</v>
      </c>
      <c r="T30" s="66">
        <v>128.50341137780396</v>
      </c>
      <c r="U30" s="66">
        <v>89.811176075913011</v>
      </c>
      <c r="V30" s="66">
        <v>105.2581893703389</v>
      </c>
      <c r="W30" s="66">
        <v>105.62728920788786</v>
      </c>
      <c r="X30" s="66">
        <v>96.818685008075818</v>
      </c>
      <c r="Y30" s="66">
        <v>125.21899984881226</v>
      </c>
    </row>
    <row r="31" spans="1:25" x14ac:dyDescent="0.25">
      <c r="A31" s="64" t="s">
        <v>37</v>
      </c>
      <c r="B31" s="65"/>
      <c r="C31" s="65"/>
      <c r="D31" s="66">
        <v>0</v>
      </c>
      <c r="E31" s="66">
        <v>0</v>
      </c>
      <c r="F31" s="66">
        <v>0</v>
      </c>
      <c r="G31" s="66">
        <v>0</v>
      </c>
      <c r="H31" s="66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66">
        <v>317.18364899971135</v>
      </c>
      <c r="O31" s="66">
        <v>294.5724531985129</v>
      </c>
      <c r="P31" s="66">
        <v>285.66827697262482</v>
      </c>
      <c r="Q31" s="66">
        <v>320.34293799030735</v>
      </c>
      <c r="R31" s="66">
        <v>294.40780933589491</v>
      </c>
      <c r="S31" s="66">
        <v>320.5</v>
      </c>
      <c r="T31" s="66">
        <v>327.49226917979678</v>
      </c>
      <c r="U31" s="66">
        <v>387.13696923224387</v>
      </c>
      <c r="V31" s="66">
        <v>439.44114037571978</v>
      </c>
      <c r="W31" s="66">
        <v>569.57342114025664</v>
      </c>
      <c r="X31" s="66">
        <v>568.84380160789794</v>
      </c>
      <c r="Y31" s="66">
        <v>586.16365625250126</v>
      </c>
    </row>
    <row r="32" spans="1:25" x14ac:dyDescent="0.25">
      <c r="A32" s="64" t="s">
        <v>58</v>
      </c>
      <c r="B32" s="65"/>
      <c r="C32" s="65"/>
      <c r="D32" s="66">
        <v>1570.9896832530619</v>
      </c>
      <c r="E32" s="66">
        <v>1381.7805700275817</v>
      </c>
      <c r="F32" s="66">
        <v>1478.4211529905301</v>
      </c>
      <c r="G32" s="66">
        <v>1557.7088829106494</v>
      </c>
      <c r="H32" s="66">
        <v>1414.3321387743576</v>
      </c>
      <c r="I32" s="66">
        <v>1275.7503669585451</v>
      </c>
      <c r="J32" s="66">
        <v>1206.222310224487</v>
      </c>
      <c r="K32" s="66">
        <v>1145.837092641382</v>
      </c>
      <c r="L32" s="66">
        <v>1271.426407355186</v>
      </c>
      <c r="M32" s="66">
        <v>1086.7916724114157</v>
      </c>
      <c r="N32" s="66">
        <v>850.30086373426343</v>
      </c>
      <c r="O32" s="66">
        <v>853.22922035905856</v>
      </c>
      <c r="P32" s="66">
        <v>865.16371443907667</v>
      </c>
      <c r="Q32" s="66">
        <v>791.35475287981239</v>
      </c>
      <c r="R32" s="66">
        <v>774.49504127940156</v>
      </c>
      <c r="S32" s="66">
        <v>744.49999999999875</v>
      </c>
      <c r="T32" s="66">
        <v>744.02395327148622</v>
      </c>
      <c r="U32" s="66">
        <v>787.88459695197992</v>
      </c>
      <c r="V32" s="66">
        <v>835.45737751345132</v>
      </c>
      <c r="W32" s="66">
        <v>881.46065337230414</v>
      </c>
      <c r="X32" s="66">
        <v>876.90325390632108</v>
      </c>
      <c r="Y32" s="66">
        <v>916.19754008697646</v>
      </c>
    </row>
    <row r="33" spans="1:25" x14ac:dyDescent="0.25">
      <c r="A33" s="72" t="s">
        <v>158</v>
      </c>
      <c r="B33" s="65"/>
      <c r="C33" s="65"/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0</v>
      </c>
      <c r="R33" s="66">
        <v>0</v>
      </c>
      <c r="S33" s="66">
        <v>0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</row>
    <row r="34" spans="1:25" x14ac:dyDescent="0.25">
      <c r="A34" s="73" t="s">
        <v>5</v>
      </c>
      <c r="B34" s="65"/>
      <c r="C34" s="65"/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</row>
    <row r="37" spans="1:25" x14ac:dyDescent="0.25">
      <c r="A37" s="73" t="s">
        <v>269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</row>
    <row r="43" spans="1:25" x14ac:dyDescent="0.25">
      <c r="A43" s="72" t="s">
        <v>271</v>
      </c>
      <c r="B43" s="65"/>
      <c r="C43" s="65"/>
      <c r="D43" s="66">
        <v>0</v>
      </c>
      <c r="E43" s="66">
        <v>0</v>
      </c>
      <c r="F43" s="66">
        <v>0</v>
      </c>
      <c r="G43" s="66">
        <v>0</v>
      </c>
      <c r="H43" s="66">
        <v>0</v>
      </c>
      <c r="I43" s="66">
        <v>0</v>
      </c>
      <c r="J43" s="66">
        <v>0</v>
      </c>
      <c r="K43" s="66">
        <v>0</v>
      </c>
      <c r="L43" s="66">
        <v>0</v>
      </c>
      <c r="M43" s="66">
        <v>0</v>
      </c>
      <c r="N43" s="66">
        <v>14.246978261868652</v>
      </c>
      <c r="O43" s="66">
        <v>8.9929043791057524</v>
      </c>
      <c r="P43" s="66">
        <v>9.0177133655394517</v>
      </c>
      <c r="Q43" s="66">
        <v>8.657917242981279</v>
      </c>
      <c r="R43" s="66">
        <v>10.280907627602678</v>
      </c>
      <c r="S43" s="66">
        <v>10.3</v>
      </c>
      <c r="T43" s="66">
        <v>9.031561380258184</v>
      </c>
      <c r="U43" s="66">
        <v>71.887280743793738</v>
      </c>
      <c r="V43" s="66">
        <v>67.550195981520417</v>
      </c>
      <c r="W43" s="66">
        <v>61.970476155240661</v>
      </c>
      <c r="X43" s="66">
        <v>67.782153421773771</v>
      </c>
      <c r="Y43" s="66">
        <v>58.607472230374505</v>
      </c>
    </row>
    <row r="44" spans="1:25" x14ac:dyDescent="0.25">
      <c r="A44" s="73" t="s">
        <v>272</v>
      </c>
      <c r="B44" s="65"/>
      <c r="C44" s="65"/>
      <c r="D44" s="66">
        <v>0</v>
      </c>
      <c r="E44" s="66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66">
        <v>0</v>
      </c>
      <c r="N44" s="66">
        <v>14.246978261868652</v>
      </c>
      <c r="O44" s="66">
        <v>8.9929043791057524</v>
      </c>
      <c r="P44" s="66">
        <v>9.0177133655394517</v>
      </c>
      <c r="Q44" s="66">
        <v>8.657917242981279</v>
      </c>
      <c r="R44" s="66">
        <v>10.280907627602678</v>
      </c>
      <c r="S44" s="66">
        <v>10.3</v>
      </c>
      <c r="T44" s="66">
        <v>9.031561380258184</v>
      </c>
      <c r="U44" s="66">
        <v>10.160069011789513</v>
      </c>
      <c r="V44" s="66">
        <v>10.81461588145434</v>
      </c>
      <c r="W44" s="66">
        <v>11.469162751119168</v>
      </c>
      <c r="X44" s="66">
        <v>10.525742700034481</v>
      </c>
      <c r="Y44" s="66">
        <v>10.583139901994789</v>
      </c>
    </row>
    <row r="45" spans="1:25" x14ac:dyDescent="0.25">
      <c r="A45" s="74" t="s">
        <v>20</v>
      </c>
      <c r="B45" s="44"/>
      <c r="C45" s="44"/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</row>
    <row r="46" spans="1:25" x14ac:dyDescent="0.25">
      <c r="A46" s="74" t="s">
        <v>12</v>
      </c>
      <c r="B46" s="44"/>
      <c r="C46" s="44"/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14.246978261868652</v>
      </c>
      <c r="O46" s="45">
        <v>8.9929043791057524</v>
      </c>
      <c r="P46" s="45">
        <v>9.0177133655394517</v>
      </c>
      <c r="Q46" s="45">
        <v>8.657917242981279</v>
      </c>
      <c r="R46" s="45">
        <v>10.280907627602678</v>
      </c>
      <c r="S46" s="45">
        <v>10.3</v>
      </c>
      <c r="T46" s="45">
        <v>9.031561380258184</v>
      </c>
      <c r="U46" s="45">
        <v>10.160069011789513</v>
      </c>
      <c r="V46" s="45">
        <v>10.81461588145434</v>
      </c>
      <c r="W46" s="45">
        <v>11.469162751119168</v>
      </c>
      <c r="X46" s="45">
        <v>10.525742700034481</v>
      </c>
      <c r="Y46" s="45">
        <v>10.583139901994789</v>
      </c>
    </row>
    <row r="47" spans="1:25" x14ac:dyDescent="0.25">
      <c r="A47" s="73" t="s">
        <v>11</v>
      </c>
      <c r="B47" s="65"/>
      <c r="C47" s="65"/>
      <c r="D47" s="66">
        <v>0</v>
      </c>
      <c r="E47" s="66">
        <v>0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O47" s="66">
        <v>0</v>
      </c>
      <c r="P47" s="66">
        <v>0</v>
      </c>
      <c r="Q47" s="66">
        <v>0</v>
      </c>
      <c r="R47" s="66">
        <v>0</v>
      </c>
      <c r="S47" s="66">
        <v>0</v>
      </c>
      <c r="T47" s="66">
        <v>0</v>
      </c>
      <c r="U47" s="66">
        <v>61.727211732004228</v>
      </c>
      <c r="V47" s="66">
        <v>56.73558010006608</v>
      </c>
      <c r="W47" s="66">
        <v>50.501313404121497</v>
      </c>
      <c r="X47" s="66">
        <v>57.256410721739286</v>
      </c>
      <c r="Y47" s="66">
        <v>48.024332328379714</v>
      </c>
    </row>
    <row r="48" spans="1:25" x14ac:dyDescent="0.25">
      <c r="A48" s="72" t="s">
        <v>4</v>
      </c>
      <c r="B48" s="65"/>
      <c r="C48" s="65"/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6">
        <v>0</v>
      </c>
      <c r="L48" s="66">
        <v>0</v>
      </c>
      <c r="M48" s="66">
        <v>0</v>
      </c>
      <c r="N48" s="66">
        <v>0</v>
      </c>
      <c r="O48" s="66">
        <v>0</v>
      </c>
      <c r="P48" s="66">
        <v>0</v>
      </c>
      <c r="Q48" s="66">
        <v>0</v>
      </c>
      <c r="R48" s="66">
        <v>0</v>
      </c>
      <c r="S48" s="66">
        <v>0</v>
      </c>
      <c r="T48" s="66">
        <v>0</v>
      </c>
      <c r="U48" s="66">
        <v>0</v>
      </c>
      <c r="V48" s="66">
        <v>0</v>
      </c>
      <c r="W48" s="66">
        <v>0</v>
      </c>
      <c r="X48" s="66">
        <v>0</v>
      </c>
      <c r="Y48" s="66">
        <v>0</v>
      </c>
    </row>
    <row r="49" spans="1:25" x14ac:dyDescent="0.25">
      <c r="A49" s="77" t="s">
        <v>10</v>
      </c>
      <c r="B49" s="44"/>
      <c r="C49" s="44"/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v>0</v>
      </c>
      <c r="Q49" s="45">
        <v>0</v>
      </c>
      <c r="R49" s="45">
        <v>0</v>
      </c>
      <c r="S49" s="45">
        <v>0</v>
      </c>
      <c r="T49" s="45">
        <v>0</v>
      </c>
      <c r="U49" s="45">
        <v>0</v>
      </c>
      <c r="V49" s="45">
        <v>0</v>
      </c>
      <c r="W49" s="45">
        <v>0</v>
      </c>
      <c r="X49" s="45">
        <v>0</v>
      </c>
      <c r="Y49" s="45">
        <v>0</v>
      </c>
    </row>
    <row r="50" spans="1:25" x14ac:dyDescent="0.25">
      <c r="A50" s="77" t="s">
        <v>18</v>
      </c>
      <c r="B50" s="44"/>
      <c r="C50" s="44"/>
      <c r="D50" s="45">
        <v>0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5">
        <v>0</v>
      </c>
      <c r="U50" s="45">
        <v>0</v>
      </c>
      <c r="V50" s="45">
        <v>0</v>
      </c>
      <c r="W50" s="45">
        <v>0</v>
      </c>
      <c r="X50" s="45">
        <v>0</v>
      </c>
      <c r="Y50" s="45">
        <v>0</v>
      </c>
    </row>
    <row r="51" spans="1:25" x14ac:dyDescent="0.25">
      <c r="A51" s="77" t="s">
        <v>9</v>
      </c>
      <c r="B51" s="44"/>
      <c r="C51" s="44"/>
      <c r="D51" s="45">
        <v>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5">
        <v>0</v>
      </c>
    </row>
    <row r="52" spans="1:25" x14ac:dyDescent="0.25">
      <c r="A52" s="72" t="s">
        <v>3</v>
      </c>
      <c r="B52" s="65"/>
      <c r="C52" s="65"/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6">
        <v>0</v>
      </c>
      <c r="L52" s="66">
        <v>0</v>
      </c>
      <c r="M52" s="66">
        <v>0</v>
      </c>
      <c r="N52" s="66">
        <v>75.382463307946807</v>
      </c>
      <c r="O52" s="66">
        <v>79.291095927969025</v>
      </c>
      <c r="P52" s="66">
        <v>70.316693505099295</v>
      </c>
      <c r="Q52" s="66">
        <v>69.896844083580575</v>
      </c>
      <c r="R52" s="66">
        <v>72.693286255776513</v>
      </c>
      <c r="S52" s="66">
        <v>74.7</v>
      </c>
      <c r="T52" s="66">
        <v>69.405585824375407</v>
      </c>
      <c r="U52" s="66">
        <v>56.838876641426246</v>
      </c>
      <c r="V52" s="66">
        <v>75.71037477579533</v>
      </c>
      <c r="W52" s="66">
        <v>80.099152761848387</v>
      </c>
      <c r="X52" s="66">
        <v>94.277988494274354</v>
      </c>
      <c r="Y52" s="66">
        <v>98.983484965715959</v>
      </c>
    </row>
    <row r="53" spans="1:25" x14ac:dyDescent="0.25">
      <c r="A53" s="73" t="s">
        <v>21</v>
      </c>
      <c r="B53" s="65"/>
      <c r="C53" s="65"/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</row>
    <row r="55" spans="1:25" x14ac:dyDescent="0.25">
      <c r="A55" s="74" t="s">
        <v>17</v>
      </c>
      <c r="B55" s="44"/>
      <c r="C55" s="44"/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</row>
    <row r="56" spans="1:25" x14ac:dyDescent="0.25">
      <c r="A56" s="73" t="s">
        <v>16</v>
      </c>
      <c r="B56" s="65"/>
      <c r="C56" s="65"/>
      <c r="D56" s="66">
        <v>0</v>
      </c>
      <c r="E56" s="66">
        <v>0</v>
      </c>
      <c r="F56" s="66">
        <v>0</v>
      </c>
      <c r="G56" s="66">
        <v>0</v>
      </c>
      <c r="H56" s="66">
        <v>0</v>
      </c>
      <c r="I56" s="66">
        <v>0</v>
      </c>
      <c r="J56" s="66">
        <v>0</v>
      </c>
      <c r="K56" s="66">
        <v>0</v>
      </c>
      <c r="L56" s="66">
        <v>0</v>
      </c>
      <c r="M56" s="66">
        <v>0</v>
      </c>
      <c r="N56" s="66">
        <v>75.382463307946807</v>
      </c>
      <c r="O56" s="66">
        <v>79.291095927969025</v>
      </c>
      <c r="P56" s="66">
        <v>70.316693505099295</v>
      </c>
      <c r="Q56" s="66">
        <v>69.896844083580575</v>
      </c>
      <c r="R56" s="66">
        <v>72.693286255776513</v>
      </c>
      <c r="S56" s="66">
        <v>74.7</v>
      </c>
      <c r="T56" s="66">
        <v>69.405585824375407</v>
      </c>
      <c r="U56" s="66">
        <v>56.838876641426246</v>
      </c>
      <c r="V56" s="66">
        <v>75.71037477579533</v>
      </c>
      <c r="W56" s="66">
        <v>80.099152761848387</v>
      </c>
      <c r="X56" s="66">
        <v>94.277988494274354</v>
      </c>
      <c r="Y56" s="66">
        <v>98.983484965715959</v>
      </c>
    </row>
    <row r="57" spans="1:25" x14ac:dyDescent="0.25">
      <c r="A57" s="72" t="s">
        <v>2</v>
      </c>
      <c r="B57" s="65"/>
      <c r="C57" s="65"/>
      <c r="D57" s="66">
        <v>0</v>
      </c>
      <c r="E57" s="66">
        <v>0</v>
      </c>
      <c r="F57" s="66">
        <v>0</v>
      </c>
      <c r="G57" s="66">
        <v>0</v>
      </c>
      <c r="H57" s="66">
        <v>0</v>
      </c>
      <c r="I57" s="66">
        <v>0</v>
      </c>
      <c r="J57" s="66">
        <v>0</v>
      </c>
      <c r="K57" s="66">
        <v>0</v>
      </c>
      <c r="L57" s="66">
        <v>0</v>
      </c>
      <c r="M57" s="66">
        <v>0</v>
      </c>
      <c r="N57" s="66">
        <v>104.24761862468637</v>
      </c>
      <c r="O57" s="66">
        <v>107.58584385247249</v>
      </c>
      <c r="P57" s="66">
        <v>107.2463768115942</v>
      </c>
      <c r="Q57" s="66">
        <v>118.46564812957313</v>
      </c>
      <c r="R57" s="66">
        <v>142.16729840594007</v>
      </c>
      <c r="S57" s="66">
        <v>153.4</v>
      </c>
      <c r="T57" s="66">
        <v>131.84116232268201</v>
      </c>
      <c r="U57" s="66">
        <v>137.06508195150005</v>
      </c>
      <c r="V57" s="66">
        <v>134.05078825639572</v>
      </c>
      <c r="W57" s="66">
        <v>136.24255429353659</v>
      </c>
      <c r="X57" s="66">
        <v>123.31452008057637</v>
      </c>
      <c r="Y57" s="66">
        <v>127.53128251647502</v>
      </c>
    </row>
    <row r="58" spans="1:25" x14ac:dyDescent="0.25">
      <c r="A58" s="72" t="s">
        <v>275</v>
      </c>
      <c r="B58" s="65"/>
      <c r="C58" s="65"/>
      <c r="D58" s="66">
        <v>0</v>
      </c>
      <c r="E58" s="66">
        <v>0</v>
      </c>
      <c r="F58" s="66">
        <v>0</v>
      </c>
      <c r="G58" s="66">
        <v>0</v>
      </c>
      <c r="H58" s="66">
        <v>0</v>
      </c>
      <c r="I58" s="66">
        <v>0</v>
      </c>
      <c r="J58" s="66">
        <v>0</v>
      </c>
      <c r="K58" s="66">
        <v>0</v>
      </c>
      <c r="L58" s="66">
        <v>0</v>
      </c>
      <c r="M58" s="66">
        <v>0</v>
      </c>
      <c r="N58" s="66">
        <v>33.750027754957038</v>
      </c>
      <c r="O58" s="66">
        <v>35.75227838522531</v>
      </c>
      <c r="P58" s="66">
        <v>44.337090713902306</v>
      </c>
      <c r="Q58" s="66">
        <v>49.09672582910116</v>
      </c>
      <c r="R58" s="66">
        <v>59.816189833324678</v>
      </c>
      <c r="S58" s="66">
        <v>58.9</v>
      </c>
      <c r="T58" s="66">
        <v>65.675158297747032</v>
      </c>
      <c r="U58" s="66">
        <v>68.149142145116443</v>
      </c>
      <c r="V58" s="66">
        <v>58.529217407722079</v>
      </c>
      <c r="W58" s="66">
        <v>59.658144955418251</v>
      </c>
      <c r="X58" s="66">
        <v>64.697021940729172</v>
      </c>
      <c r="Y58" s="66">
        <v>74.348781160232292</v>
      </c>
    </row>
    <row r="59" spans="1:25" x14ac:dyDescent="0.25">
      <c r="A59" s="72" t="s">
        <v>276</v>
      </c>
      <c r="B59" s="65"/>
      <c r="C59" s="65"/>
      <c r="D59" s="66">
        <v>0</v>
      </c>
      <c r="E59" s="66">
        <v>0</v>
      </c>
      <c r="F59" s="66">
        <v>0</v>
      </c>
      <c r="G59" s="66">
        <v>0</v>
      </c>
      <c r="H59" s="66">
        <v>0</v>
      </c>
      <c r="I59" s="66">
        <v>0</v>
      </c>
      <c r="J59" s="66">
        <v>0</v>
      </c>
      <c r="K59" s="66">
        <v>0</v>
      </c>
      <c r="L59" s="66">
        <v>0</v>
      </c>
      <c r="M59" s="66">
        <v>0</v>
      </c>
      <c r="N59" s="66">
        <v>0</v>
      </c>
      <c r="O59" s="66">
        <v>0</v>
      </c>
      <c r="P59" s="66">
        <v>0</v>
      </c>
      <c r="Q59" s="66">
        <v>0</v>
      </c>
      <c r="R59" s="66">
        <v>20.146425048029489</v>
      </c>
      <c r="S59" s="66">
        <v>14.6</v>
      </c>
      <c r="T59" s="66">
        <v>20.026505669268147</v>
      </c>
      <c r="U59" s="66">
        <v>20.224288315920635</v>
      </c>
      <c r="V59" s="66">
        <v>35.306334371754929</v>
      </c>
      <c r="W59" s="66">
        <v>28.302933885826334</v>
      </c>
      <c r="X59" s="66">
        <v>32.938315518211347</v>
      </c>
      <c r="Y59" s="66">
        <v>37.88586217016622</v>
      </c>
    </row>
    <row r="60" spans="1:25" x14ac:dyDescent="0.25">
      <c r="A60" s="72" t="s">
        <v>1</v>
      </c>
      <c r="B60" s="65"/>
      <c r="C60" s="65"/>
      <c r="D60" s="66">
        <v>0</v>
      </c>
      <c r="E60" s="66">
        <v>0</v>
      </c>
      <c r="F60" s="66">
        <v>0</v>
      </c>
      <c r="G60" s="66">
        <v>0</v>
      </c>
      <c r="H60" s="66">
        <v>0</v>
      </c>
      <c r="I60" s="66">
        <v>0</v>
      </c>
      <c r="J60" s="66">
        <v>0</v>
      </c>
      <c r="K60" s="66">
        <v>0</v>
      </c>
      <c r="L60" s="66">
        <v>0</v>
      </c>
      <c r="M60" s="66">
        <v>0</v>
      </c>
      <c r="N60" s="66">
        <v>30.30841308257655</v>
      </c>
      <c r="O60" s="66">
        <v>33.010539245254044</v>
      </c>
      <c r="P60" s="66">
        <v>32.957595276435853</v>
      </c>
      <c r="Q60" s="66">
        <v>20.377780827992524</v>
      </c>
      <c r="R60" s="66">
        <v>16.927150942416532</v>
      </c>
      <c r="S60" s="66">
        <v>16.7</v>
      </c>
      <c r="T60" s="66">
        <v>14.234526088450401</v>
      </c>
      <c r="U60" s="66">
        <v>16.677849132560144</v>
      </c>
      <c r="V60" s="66">
        <v>17.369961295194937</v>
      </c>
      <c r="W60" s="66">
        <v>15.538865662806614</v>
      </c>
      <c r="X60" s="66">
        <v>14.609004954358204</v>
      </c>
      <c r="Y60" s="66">
        <v>17.431053956226712</v>
      </c>
    </row>
    <row r="61" spans="1:25" x14ac:dyDescent="0.25">
      <c r="A61" s="72" t="s">
        <v>0</v>
      </c>
      <c r="B61" s="65"/>
      <c r="C61" s="65"/>
      <c r="D61" s="66">
        <v>0</v>
      </c>
      <c r="E61" s="66">
        <v>0</v>
      </c>
      <c r="F61" s="66">
        <v>0</v>
      </c>
      <c r="G61" s="66">
        <v>0</v>
      </c>
      <c r="H61" s="66">
        <v>0</v>
      </c>
      <c r="I61" s="66">
        <v>0</v>
      </c>
      <c r="J61" s="66">
        <v>0</v>
      </c>
      <c r="K61" s="66">
        <v>0</v>
      </c>
      <c r="L61" s="66">
        <v>0</v>
      </c>
      <c r="M61" s="66">
        <v>0</v>
      </c>
      <c r="N61" s="66">
        <v>0</v>
      </c>
      <c r="O61" s="66">
        <v>0</v>
      </c>
      <c r="P61" s="66">
        <v>0</v>
      </c>
      <c r="Q61" s="66">
        <v>0</v>
      </c>
      <c r="R61" s="66">
        <v>0</v>
      </c>
      <c r="S61" s="66">
        <v>0</v>
      </c>
      <c r="T61" s="66">
        <v>0</v>
      </c>
      <c r="U61" s="66">
        <v>0</v>
      </c>
      <c r="V61" s="66">
        <v>0</v>
      </c>
      <c r="W61" s="66">
        <v>0</v>
      </c>
      <c r="X61" s="66">
        <v>0</v>
      </c>
      <c r="Y61" s="66">
        <v>0</v>
      </c>
    </row>
    <row r="62" spans="1:25" x14ac:dyDescent="0.25">
      <c r="A62" s="78" t="s">
        <v>277</v>
      </c>
      <c r="B62" s="79"/>
      <c r="C62" s="79"/>
      <c r="D62" s="80">
        <v>1570.9896832530619</v>
      </c>
      <c r="E62" s="80">
        <v>1381.7805700275817</v>
      </c>
      <c r="F62" s="80">
        <v>1478.4211529905301</v>
      </c>
      <c r="G62" s="80">
        <v>1557.7088829106494</v>
      </c>
      <c r="H62" s="80">
        <v>1414.3321387743576</v>
      </c>
      <c r="I62" s="80">
        <v>1275.7503669585451</v>
      </c>
      <c r="J62" s="80">
        <v>1206.222310224487</v>
      </c>
      <c r="K62" s="80">
        <v>1145.837092641382</v>
      </c>
      <c r="L62" s="80">
        <v>1271.426407355186</v>
      </c>
      <c r="M62" s="80">
        <v>1086.7916724114157</v>
      </c>
      <c r="N62" s="80">
        <v>592.36536270222803</v>
      </c>
      <c r="O62" s="80">
        <v>588.59655856903191</v>
      </c>
      <c r="P62" s="80">
        <v>601.28824476650561</v>
      </c>
      <c r="Q62" s="80">
        <v>524.85983676658373</v>
      </c>
      <c r="R62" s="80">
        <v>452.4637831663116</v>
      </c>
      <c r="S62" s="80">
        <v>415.89999999999873</v>
      </c>
      <c r="T62" s="80">
        <v>433.80945368870505</v>
      </c>
      <c r="U62" s="80">
        <v>417.04207802166263</v>
      </c>
      <c r="V62" s="80">
        <v>446.94050542506795</v>
      </c>
      <c r="W62" s="80">
        <v>499.64852565762726</v>
      </c>
      <c r="X62" s="80">
        <v>479.28424949639782</v>
      </c>
      <c r="Y62" s="80">
        <v>501.40960308778574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0</v>
      </c>
      <c r="E66" s="83">
        <f t="shared" ref="E66:S66" si="49">E24/E$23</f>
        <v>0</v>
      </c>
      <c r="F66" s="83">
        <f t="shared" si="49"/>
        <v>0</v>
      </c>
      <c r="G66" s="83">
        <f t="shared" si="49"/>
        <v>0</v>
      </c>
      <c r="H66" s="83">
        <f t="shared" si="49"/>
        <v>0</v>
      </c>
      <c r="I66" s="83">
        <f t="shared" si="49"/>
        <v>2.1182937456706814E-2</v>
      </c>
      <c r="J66" s="83">
        <f t="shared" si="49"/>
        <v>2.1496679720756005E-2</v>
      </c>
      <c r="K66" s="83">
        <f t="shared" si="49"/>
        <v>2.098137408206488E-2</v>
      </c>
      <c r="L66" s="83">
        <f t="shared" si="49"/>
        <v>1.2047310410487386E-2</v>
      </c>
      <c r="M66" s="83">
        <f t="shared" si="49"/>
        <v>1.6447908870187482E-2</v>
      </c>
      <c r="N66" s="83">
        <f t="shared" si="49"/>
        <v>1.4366572332279006E-2</v>
      </c>
      <c r="O66" s="83">
        <f t="shared" si="49"/>
        <v>1.1368713697065979E-2</v>
      </c>
      <c r="P66" s="83">
        <f t="shared" si="49"/>
        <v>1.1995183401259726E-2</v>
      </c>
      <c r="Q66" s="83">
        <f t="shared" si="49"/>
        <v>1.2109642124458628E-2</v>
      </c>
      <c r="R66" s="83">
        <f t="shared" si="49"/>
        <v>1.1391617635623753E-2</v>
      </c>
      <c r="S66" s="83">
        <f t="shared" si="49"/>
        <v>1.0383853838538386E-2</v>
      </c>
      <c r="T66" s="83">
        <f t="shared" ref="T66:Y66" si="50">T24/T$23</f>
        <v>1.0442831642741858E-2</v>
      </c>
      <c r="U66" s="83">
        <f t="shared" si="50"/>
        <v>7.4889453382256084E-3</v>
      </c>
      <c r="V66" s="83">
        <f t="shared" si="50"/>
        <v>7.4989200863930889E-3</v>
      </c>
      <c r="W66" s="83">
        <f t="shared" si="50"/>
        <v>5.1960837936881254E-3</v>
      </c>
      <c r="X66" s="83">
        <f t="shared" si="50"/>
        <v>8.4023922104881615E-3</v>
      </c>
      <c r="Y66" s="83">
        <f t="shared" si="50"/>
        <v>9.8896701537757956E-3</v>
      </c>
    </row>
    <row r="67" spans="1:25" x14ac:dyDescent="0.25">
      <c r="A67" s="64" t="s">
        <v>56</v>
      </c>
      <c r="B67" s="65"/>
      <c r="C67" s="65"/>
      <c r="D67" s="83">
        <f t="shared" si="46"/>
        <v>0</v>
      </c>
      <c r="E67" s="83">
        <f t="shared" ref="E67:S67" si="51">E25/E$23</f>
        <v>0</v>
      </c>
      <c r="F67" s="83">
        <f t="shared" si="51"/>
        <v>0</v>
      </c>
      <c r="G67" s="83">
        <f t="shared" si="51"/>
        <v>0</v>
      </c>
      <c r="H67" s="83">
        <f t="shared" si="51"/>
        <v>0</v>
      </c>
      <c r="I67" s="83">
        <f t="shared" si="51"/>
        <v>0</v>
      </c>
      <c r="J67" s="83">
        <f t="shared" si="51"/>
        <v>0</v>
      </c>
      <c r="K67" s="83">
        <f t="shared" si="51"/>
        <v>0</v>
      </c>
      <c r="L67" s="83">
        <f t="shared" si="51"/>
        <v>0</v>
      </c>
      <c r="M67" s="83">
        <f t="shared" si="51"/>
        <v>0</v>
      </c>
      <c r="N67" s="83">
        <f t="shared" si="51"/>
        <v>0</v>
      </c>
      <c r="O67" s="83">
        <f t="shared" si="51"/>
        <v>0</v>
      </c>
      <c r="P67" s="83">
        <f t="shared" si="51"/>
        <v>0</v>
      </c>
      <c r="Q67" s="83">
        <f t="shared" si="51"/>
        <v>0</v>
      </c>
      <c r="R67" s="83">
        <f t="shared" si="51"/>
        <v>0</v>
      </c>
      <c r="S67" s="83">
        <f t="shared" si="51"/>
        <v>0</v>
      </c>
      <c r="T67" s="83">
        <f t="shared" ref="T67:Y67" si="52">T25/T$23</f>
        <v>0</v>
      </c>
      <c r="U67" s="83">
        <f t="shared" si="52"/>
        <v>0</v>
      </c>
      <c r="V67" s="83">
        <f t="shared" si="52"/>
        <v>0</v>
      </c>
      <c r="W67" s="83">
        <f t="shared" si="52"/>
        <v>0</v>
      </c>
      <c r="X67" s="83">
        <f t="shared" si="52"/>
        <v>0</v>
      </c>
      <c r="Y67" s="83">
        <f t="shared" si="52"/>
        <v>0</v>
      </c>
    </row>
    <row r="68" spans="1:25" x14ac:dyDescent="0.25">
      <c r="A68" s="64" t="s">
        <v>146</v>
      </c>
      <c r="B68" s="65"/>
      <c r="C68" s="65"/>
      <c r="D68" s="83">
        <f t="shared" si="46"/>
        <v>0.69419869839332926</v>
      </c>
      <c r="E68" s="83">
        <f t="shared" ref="E68:S68" si="53">E26/E$23</f>
        <v>0.72328658897886633</v>
      </c>
      <c r="F68" s="83">
        <f t="shared" si="53"/>
        <v>0.71252919029690687</v>
      </c>
      <c r="G68" s="83">
        <f t="shared" si="53"/>
        <v>0.71378207373164282</v>
      </c>
      <c r="H68" s="83">
        <f t="shared" si="53"/>
        <v>0.73394388786871523</v>
      </c>
      <c r="I68" s="83">
        <f t="shared" si="53"/>
        <v>0.74786047862713123</v>
      </c>
      <c r="J68" s="83">
        <f t="shared" si="53"/>
        <v>0.75945002554060959</v>
      </c>
      <c r="K68" s="83">
        <f t="shared" si="53"/>
        <v>0.77943825339957629</v>
      </c>
      <c r="L68" s="83">
        <f t="shared" si="53"/>
        <v>0.78029221135889271</v>
      </c>
      <c r="M68" s="83">
        <f t="shared" si="53"/>
        <v>0.79559685280855807</v>
      </c>
      <c r="N68" s="83">
        <f t="shared" si="53"/>
        <v>0.79746961877809219</v>
      </c>
      <c r="O68" s="83">
        <f t="shared" si="53"/>
        <v>0.81229211140346513</v>
      </c>
      <c r="P68" s="83">
        <f t="shared" si="53"/>
        <v>0.82769853031987151</v>
      </c>
      <c r="Q68" s="83">
        <f t="shared" si="53"/>
        <v>0.8320036471392751</v>
      </c>
      <c r="R68" s="83">
        <f t="shared" si="53"/>
        <v>0.84990020994790183</v>
      </c>
      <c r="S68" s="83">
        <f t="shared" si="53"/>
        <v>0.86028485284852851</v>
      </c>
      <c r="T68" s="83">
        <f t="shared" ref="T68:Y68" si="54">T26/T$23</f>
        <v>0.85889885310559333</v>
      </c>
      <c r="U68" s="83">
        <f t="shared" si="54"/>
        <v>0.86836014676827533</v>
      </c>
      <c r="V68" s="83">
        <f t="shared" si="54"/>
        <v>0.86619438444924413</v>
      </c>
      <c r="W68" s="83">
        <f t="shared" si="54"/>
        <v>0.86330002109688153</v>
      </c>
      <c r="X68" s="83">
        <f t="shared" si="54"/>
        <v>0.85155773761470921</v>
      </c>
      <c r="Y68" s="83">
        <f t="shared" si="54"/>
        <v>0.85933659177956911</v>
      </c>
    </row>
    <row r="69" spans="1:25" x14ac:dyDescent="0.25">
      <c r="A69" s="68" t="s">
        <v>148</v>
      </c>
      <c r="B69" s="69"/>
      <c r="C69" s="69"/>
      <c r="D69" s="84">
        <f t="shared" si="46"/>
        <v>0.31935123042505598</v>
      </c>
      <c r="E69" s="84">
        <f t="shared" ref="E69:S69" si="55">E27/E$23</f>
        <v>0.34473138455461189</v>
      </c>
      <c r="F69" s="84">
        <f t="shared" si="55"/>
        <v>0.33617690511366344</v>
      </c>
      <c r="G69" s="84">
        <f t="shared" si="55"/>
        <v>0.33179239335994953</v>
      </c>
      <c r="H69" s="84">
        <f t="shared" si="55"/>
        <v>0.33813718881476484</v>
      </c>
      <c r="I69" s="84">
        <f t="shared" si="55"/>
        <v>0.33450271490179434</v>
      </c>
      <c r="J69" s="84">
        <f t="shared" si="55"/>
        <v>0.33024008172995062</v>
      </c>
      <c r="K69" s="84">
        <f t="shared" si="55"/>
        <v>0.35454563448862841</v>
      </c>
      <c r="L69" s="84">
        <f t="shared" si="55"/>
        <v>0.37381449339045725</v>
      </c>
      <c r="M69" s="84">
        <f t="shared" si="55"/>
        <v>0.37143795980211397</v>
      </c>
      <c r="N69" s="84">
        <f t="shared" si="55"/>
        <v>0.36567338105543529</v>
      </c>
      <c r="O69" s="84">
        <f t="shared" si="55"/>
        <v>0.36917705075377721</v>
      </c>
      <c r="P69" s="84">
        <f t="shared" si="55"/>
        <v>0.37459861677164386</v>
      </c>
      <c r="Q69" s="84">
        <f t="shared" si="55"/>
        <v>0.38124002735354456</v>
      </c>
      <c r="R69" s="84">
        <f t="shared" si="55"/>
        <v>0.40440890593815609</v>
      </c>
      <c r="S69" s="84">
        <f t="shared" si="55"/>
        <v>0.40128026280262807</v>
      </c>
      <c r="T69" s="84">
        <f t="shared" ref="T69:Y69" si="56">T27/T$23</f>
        <v>0.37492651538634203</v>
      </c>
      <c r="U69" s="84">
        <f t="shared" si="56"/>
        <v>0.3705616709003669</v>
      </c>
      <c r="V69" s="84">
        <f t="shared" si="56"/>
        <v>0.37333045356371491</v>
      </c>
      <c r="W69" s="84">
        <f t="shared" si="56"/>
        <v>0.3618974691555778</v>
      </c>
      <c r="X69" s="84">
        <f t="shared" si="56"/>
        <v>0.34114536138524143</v>
      </c>
      <c r="Y69" s="84">
        <f t="shared" si="56"/>
        <v>0.35397730520779747</v>
      </c>
    </row>
    <row r="70" spans="1:25" x14ac:dyDescent="0.25">
      <c r="A70" s="68" t="s">
        <v>150</v>
      </c>
      <c r="B70" s="71"/>
      <c r="C70" s="71"/>
      <c r="D70" s="84">
        <f t="shared" si="46"/>
        <v>0.22470510473866176</v>
      </c>
      <c r="E70" s="84">
        <f t="shared" ref="E70:S70" si="57">E28/E$23</f>
        <v>0.23293995654750149</v>
      </c>
      <c r="F70" s="84">
        <f t="shared" si="57"/>
        <v>0.2292570175856645</v>
      </c>
      <c r="G70" s="84">
        <f t="shared" si="57"/>
        <v>0.23970955616259251</v>
      </c>
      <c r="H70" s="84">
        <f t="shared" si="57"/>
        <v>0.26110504172380927</v>
      </c>
      <c r="I70" s="84">
        <f t="shared" si="57"/>
        <v>0.2815677161307622</v>
      </c>
      <c r="J70" s="84">
        <f t="shared" si="57"/>
        <v>0.29916567342073896</v>
      </c>
      <c r="K70" s="84">
        <f t="shared" si="57"/>
        <v>0.29837097444626981</v>
      </c>
      <c r="L70" s="84">
        <f t="shared" si="57"/>
        <v>0.28485114797319561</v>
      </c>
      <c r="M70" s="84">
        <f t="shared" si="57"/>
        <v>0.30672337939721422</v>
      </c>
      <c r="N70" s="84">
        <f t="shared" si="57"/>
        <v>0.31671383386049601</v>
      </c>
      <c r="O70" s="84">
        <f t="shared" si="57"/>
        <v>0.32161710437041813</v>
      </c>
      <c r="P70" s="84">
        <f t="shared" si="57"/>
        <v>0.33595776213412371</v>
      </c>
      <c r="Q70" s="84">
        <f t="shared" si="57"/>
        <v>0.32895486665147022</v>
      </c>
      <c r="R70" s="84">
        <f t="shared" si="57"/>
        <v>0.32807599595655901</v>
      </c>
      <c r="S70" s="84">
        <f t="shared" si="57"/>
        <v>0.3403609036090362</v>
      </c>
      <c r="T70" s="84">
        <f t="shared" ref="T70:Y70" si="58">T28/T$23</f>
        <v>0.37749179644494796</v>
      </c>
      <c r="U70" s="84">
        <f t="shared" si="58"/>
        <v>0.39144792548687557</v>
      </c>
      <c r="V70" s="84">
        <f t="shared" si="58"/>
        <v>0.39177537796976242</v>
      </c>
      <c r="W70" s="84">
        <f t="shared" si="58"/>
        <v>0.40390370445613022</v>
      </c>
      <c r="X70" s="84">
        <f t="shared" si="58"/>
        <v>0.42049030429840029</v>
      </c>
      <c r="Y70" s="84">
        <f t="shared" si="58"/>
        <v>0.41090007431544057</v>
      </c>
    </row>
    <row r="71" spans="1:25" x14ac:dyDescent="0.25">
      <c r="A71" s="68" t="s">
        <v>152</v>
      </c>
      <c r="B71" s="71"/>
      <c r="C71" s="71"/>
      <c r="D71" s="84">
        <f t="shared" si="46"/>
        <v>0.15014236322961158</v>
      </c>
      <c r="E71" s="84">
        <f t="shared" ref="E71:S71" si="59">E29/E$23</f>
        <v>0.14561524787675295</v>
      </c>
      <c r="F71" s="84">
        <f t="shared" si="59"/>
        <v>0.14709526759757893</v>
      </c>
      <c r="G71" s="84">
        <f t="shared" si="59"/>
        <v>0.14228012420910088</v>
      </c>
      <c r="H71" s="84">
        <f t="shared" si="59"/>
        <v>0.13470165733014108</v>
      </c>
      <c r="I71" s="84">
        <f t="shared" si="59"/>
        <v>0.13179004759457469</v>
      </c>
      <c r="J71" s="84">
        <f t="shared" si="59"/>
        <v>0.13004427038991997</v>
      </c>
      <c r="K71" s="84">
        <f t="shared" si="59"/>
        <v>0.12652164446467801</v>
      </c>
      <c r="L71" s="84">
        <f t="shared" si="59"/>
        <v>0.12162656999523966</v>
      </c>
      <c r="M71" s="84">
        <f t="shared" si="59"/>
        <v>0.11743551360922978</v>
      </c>
      <c r="N71" s="84">
        <f t="shared" si="59"/>
        <v>0.11508240386216081</v>
      </c>
      <c r="O71" s="84">
        <f t="shared" si="59"/>
        <v>0.12149795627926988</v>
      </c>
      <c r="P71" s="84">
        <f t="shared" si="59"/>
        <v>0.11714215141410397</v>
      </c>
      <c r="Q71" s="84">
        <f t="shared" si="59"/>
        <v>0.12180875313426032</v>
      </c>
      <c r="R71" s="84">
        <f t="shared" si="59"/>
        <v>0.11741530805318683</v>
      </c>
      <c r="S71" s="84">
        <f t="shared" si="59"/>
        <v>0.11864368643686439</v>
      </c>
      <c r="T71" s="84">
        <f t="shared" ref="T71:Y71" si="60">T29/T$23</f>
        <v>0.10648054127430334</v>
      </c>
      <c r="U71" s="84">
        <f t="shared" si="60"/>
        <v>0.10635055038103304</v>
      </c>
      <c r="V71" s="84">
        <f t="shared" si="60"/>
        <v>0.10108855291576674</v>
      </c>
      <c r="W71" s="84">
        <f t="shared" si="60"/>
        <v>9.7498847485173637E-2</v>
      </c>
      <c r="X71" s="84">
        <f t="shared" si="60"/>
        <v>8.9922071931067424E-2</v>
      </c>
      <c r="Y71" s="84">
        <f t="shared" si="60"/>
        <v>9.4459212256331096E-2</v>
      </c>
    </row>
    <row r="72" spans="1:25" x14ac:dyDescent="0.25">
      <c r="A72" s="64" t="s">
        <v>154</v>
      </c>
      <c r="B72" s="65"/>
      <c r="C72" s="65"/>
      <c r="D72" s="83">
        <f t="shared" si="46"/>
        <v>8.1096196868009184E-3</v>
      </c>
      <c r="E72" s="83">
        <f t="shared" ref="E72:S72" si="61">E30/E$23</f>
        <v>9.5546118901836969E-3</v>
      </c>
      <c r="F72" s="83">
        <f t="shared" si="61"/>
        <v>1.034170518991564E-2</v>
      </c>
      <c r="G72" s="83">
        <f t="shared" si="61"/>
        <v>7.7280474422731244E-3</v>
      </c>
      <c r="H72" s="83">
        <f t="shared" si="61"/>
        <v>1.0111340973013203E-2</v>
      </c>
      <c r="I72" s="83">
        <f t="shared" si="61"/>
        <v>5.6755971666704111E-3</v>
      </c>
      <c r="J72" s="83">
        <f t="shared" si="61"/>
        <v>1.1599693512685196E-2</v>
      </c>
      <c r="K72" s="83">
        <f t="shared" si="61"/>
        <v>1.1044912016785088E-2</v>
      </c>
      <c r="L72" s="83">
        <f t="shared" si="61"/>
        <v>7.8911714086931078E-3</v>
      </c>
      <c r="M72" s="83">
        <f t="shared" si="61"/>
        <v>1.5279577940451641E-2</v>
      </c>
      <c r="N72" s="83">
        <f t="shared" si="61"/>
        <v>1.3101381721325127E-2</v>
      </c>
      <c r="O72" s="83">
        <f t="shared" si="61"/>
        <v>3.1441857386354417E-3</v>
      </c>
      <c r="P72" s="83">
        <f t="shared" si="61"/>
        <v>-5.1871063356798853E-3</v>
      </c>
      <c r="Q72" s="83">
        <f t="shared" si="61"/>
        <v>5.8838614087075389E-3</v>
      </c>
      <c r="R72" s="83">
        <f t="shared" si="61"/>
        <v>5.3134962805526185E-3</v>
      </c>
      <c r="S72" s="83">
        <f t="shared" si="61"/>
        <v>9.5175951759517621E-3</v>
      </c>
      <c r="T72" s="83">
        <f t="shared" ref="T72:Y72" si="62">T30/T$23</f>
        <v>1.3991470440480134E-2</v>
      </c>
      <c r="U72" s="83">
        <f t="shared" si="62"/>
        <v>8.8155047511525118E-3</v>
      </c>
      <c r="V72" s="83">
        <f t="shared" si="62"/>
        <v>9.6328293736501081E-3</v>
      </c>
      <c r="W72" s="83">
        <f t="shared" si="62"/>
        <v>8.9231995374313405E-3</v>
      </c>
      <c r="X72" s="83">
        <f t="shared" si="62"/>
        <v>8.7895612633243844E-3</v>
      </c>
      <c r="Y72" s="83">
        <f t="shared" si="62"/>
        <v>1.0061167324072483E-2</v>
      </c>
    </row>
    <row r="73" spans="1:25" x14ac:dyDescent="0.25">
      <c r="A73" s="64" t="s">
        <v>37</v>
      </c>
      <c r="B73" s="65"/>
      <c r="C73" s="65"/>
      <c r="D73" s="83">
        <f t="shared" si="46"/>
        <v>0</v>
      </c>
      <c r="E73" s="83">
        <f t="shared" ref="E73:S73" si="63">E31/E$23</f>
        <v>0</v>
      </c>
      <c r="F73" s="83">
        <f t="shared" si="63"/>
        <v>0</v>
      </c>
      <c r="G73" s="83">
        <f t="shared" si="63"/>
        <v>0</v>
      </c>
      <c r="H73" s="83">
        <f t="shared" si="63"/>
        <v>0</v>
      </c>
      <c r="I73" s="83">
        <f t="shared" si="63"/>
        <v>0</v>
      </c>
      <c r="J73" s="83">
        <f t="shared" si="63"/>
        <v>0</v>
      </c>
      <c r="K73" s="83">
        <f t="shared" si="63"/>
        <v>0</v>
      </c>
      <c r="L73" s="83">
        <f t="shared" si="63"/>
        <v>0</v>
      </c>
      <c r="M73" s="83">
        <f t="shared" si="63"/>
        <v>0</v>
      </c>
      <c r="N73" s="83">
        <f t="shared" si="63"/>
        <v>4.756117862493757E-2</v>
      </c>
      <c r="O73" s="83">
        <f t="shared" si="63"/>
        <v>4.4448857336709204E-2</v>
      </c>
      <c r="P73" s="83">
        <f t="shared" si="63"/>
        <v>4.108002964060764E-2</v>
      </c>
      <c r="Q73" s="83">
        <f t="shared" si="63"/>
        <v>4.3224299065420559E-2</v>
      </c>
      <c r="R73" s="83">
        <f t="shared" si="63"/>
        <v>3.6740882817967398E-2</v>
      </c>
      <c r="S73" s="83">
        <f t="shared" si="63"/>
        <v>3.6056610566105665E-2</v>
      </c>
      <c r="T73" s="83">
        <f t="shared" ref="T73:Y73" si="64">T31/T$23</f>
        <v>3.5657406714623169E-2</v>
      </c>
      <c r="U73" s="83">
        <f t="shared" si="64"/>
        <v>3.7999811835544267E-2</v>
      </c>
      <c r="V73" s="83">
        <f t="shared" si="64"/>
        <v>4.0215982721382292E-2</v>
      </c>
      <c r="W73" s="83">
        <f t="shared" si="64"/>
        <v>4.8116517295536045E-2</v>
      </c>
      <c r="X73" s="83">
        <f t="shared" si="64"/>
        <v>5.1641761536814011E-2</v>
      </c>
      <c r="Y73" s="83">
        <f t="shared" si="64"/>
        <v>4.7097410392728523E-2</v>
      </c>
    </row>
    <row r="74" spans="1:25" x14ac:dyDescent="0.25">
      <c r="A74" s="64" t="s">
        <v>58</v>
      </c>
      <c r="B74" s="65"/>
      <c r="C74" s="65"/>
      <c r="D74" s="83">
        <f t="shared" si="46"/>
        <v>0.29769168191986978</v>
      </c>
      <c r="E74" s="83">
        <f t="shared" ref="E74:S74" si="65">E32/E$23</f>
        <v>0.26715879913094998</v>
      </c>
      <c r="F74" s="83">
        <f t="shared" si="65"/>
        <v>0.2771291045131774</v>
      </c>
      <c r="G74" s="83">
        <f t="shared" si="65"/>
        <v>0.27848987882608406</v>
      </c>
      <c r="H74" s="83">
        <f t="shared" si="65"/>
        <v>0.25594477115827163</v>
      </c>
      <c r="I74" s="83">
        <f t="shared" si="65"/>
        <v>0.22528098674949146</v>
      </c>
      <c r="J74" s="83">
        <f t="shared" si="65"/>
        <v>0.20745360122594905</v>
      </c>
      <c r="K74" s="83">
        <f t="shared" si="65"/>
        <v>0.18853546050157388</v>
      </c>
      <c r="L74" s="83">
        <f t="shared" si="65"/>
        <v>0.19976930682192681</v>
      </c>
      <c r="M74" s="83">
        <f t="shared" si="65"/>
        <v>0.17267566038080281</v>
      </c>
      <c r="N74" s="83">
        <f t="shared" si="65"/>
        <v>0.12750124854336614</v>
      </c>
      <c r="O74" s="83">
        <f t="shared" si="65"/>
        <v>0.12874613182412425</v>
      </c>
      <c r="P74" s="83">
        <f t="shared" si="65"/>
        <v>0.12441336297394097</v>
      </c>
      <c r="Q74" s="83">
        <f t="shared" si="65"/>
        <v>0.10677855026213801</v>
      </c>
      <c r="R74" s="83">
        <f t="shared" si="65"/>
        <v>9.6653793317954401E-2</v>
      </c>
      <c r="S74" s="83">
        <f t="shared" si="65"/>
        <v>8.3757087570875577E-2</v>
      </c>
      <c r="T74" s="83">
        <f t="shared" ref="T74:Y74" si="66">T32/T$23</f>
        <v>8.1009438096561387E-2</v>
      </c>
      <c r="U74" s="83">
        <f t="shared" si="66"/>
        <v>7.7335591306802204E-2</v>
      </c>
      <c r="V74" s="83">
        <f t="shared" si="66"/>
        <v>7.6457883369330376E-2</v>
      </c>
      <c r="W74" s="83">
        <f t="shared" si="66"/>
        <v>7.4464178276462942E-2</v>
      </c>
      <c r="X74" s="83">
        <f t="shared" si="66"/>
        <v>7.9608547374664343E-2</v>
      </c>
      <c r="Y74" s="83">
        <f t="shared" si="66"/>
        <v>7.3615160349854158E-2</v>
      </c>
    </row>
    <row r="75" spans="1:25" x14ac:dyDescent="0.25">
      <c r="A75" s="85" t="s">
        <v>158</v>
      </c>
      <c r="B75" s="86"/>
      <c r="C75" s="86"/>
      <c r="D75" s="87">
        <f t="shared" si="46"/>
        <v>0</v>
      </c>
      <c r="E75" s="87">
        <f t="shared" ref="E75:S75" si="67">E33/E$23</f>
        <v>0</v>
      </c>
      <c r="F75" s="87">
        <f t="shared" si="67"/>
        <v>0</v>
      </c>
      <c r="G75" s="87">
        <f t="shared" si="67"/>
        <v>0</v>
      </c>
      <c r="H75" s="87">
        <f t="shared" si="67"/>
        <v>0</v>
      </c>
      <c r="I75" s="87">
        <f t="shared" si="67"/>
        <v>0</v>
      </c>
      <c r="J75" s="87">
        <f t="shared" si="67"/>
        <v>0</v>
      </c>
      <c r="K75" s="87">
        <f t="shared" si="67"/>
        <v>0</v>
      </c>
      <c r="L75" s="87">
        <f t="shared" si="67"/>
        <v>0</v>
      </c>
      <c r="M75" s="87">
        <f t="shared" si="67"/>
        <v>0</v>
      </c>
      <c r="N75" s="87">
        <f t="shared" si="67"/>
        <v>0</v>
      </c>
      <c r="O75" s="87">
        <f t="shared" si="67"/>
        <v>0</v>
      </c>
      <c r="P75" s="87">
        <f t="shared" si="67"/>
        <v>0</v>
      </c>
      <c r="Q75" s="87">
        <f t="shared" si="67"/>
        <v>0</v>
      </c>
      <c r="R75" s="87">
        <f t="shared" si="67"/>
        <v>0</v>
      </c>
      <c r="S75" s="87">
        <f t="shared" si="67"/>
        <v>0</v>
      </c>
      <c r="T75" s="87">
        <f t="shared" ref="T75:Y75" si="68">T33/T$23</f>
        <v>0</v>
      </c>
      <c r="U75" s="87">
        <f t="shared" si="68"/>
        <v>0</v>
      </c>
      <c r="V75" s="87">
        <f t="shared" si="68"/>
        <v>0</v>
      </c>
      <c r="W75" s="87">
        <f t="shared" si="68"/>
        <v>0</v>
      </c>
      <c r="X75" s="87">
        <f t="shared" si="68"/>
        <v>0</v>
      </c>
      <c r="Y75" s="87">
        <f t="shared" si="68"/>
        <v>0</v>
      </c>
    </row>
    <row r="76" spans="1:25" x14ac:dyDescent="0.25">
      <c r="A76" s="88" t="s">
        <v>5</v>
      </c>
      <c r="B76" s="44"/>
      <c r="C76" s="44"/>
      <c r="D76" s="89">
        <f t="shared" si="46"/>
        <v>0</v>
      </c>
      <c r="E76" s="89">
        <f t="shared" ref="E76:S76" si="69">E34/E$23</f>
        <v>0</v>
      </c>
      <c r="F76" s="89">
        <f t="shared" si="69"/>
        <v>0</v>
      </c>
      <c r="G76" s="89">
        <f t="shared" si="69"/>
        <v>0</v>
      </c>
      <c r="H76" s="89">
        <f t="shared" si="69"/>
        <v>0</v>
      </c>
      <c r="I76" s="89">
        <f t="shared" si="69"/>
        <v>0</v>
      </c>
      <c r="J76" s="89">
        <f t="shared" si="69"/>
        <v>0</v>
      </c>
      <c r="K76" s="89">
        <f t="shared" si="69"/>
        <v>0</v>
      </c>
      <c r="L76" s="89">
        <f t="shared" si="69"/>
        <v>0</v>
      </c>
      <c r="M76" s="89">
        <f t="shared" si="69"/>
        <v>0</v>
      </c>
      <c r="N76" s="89">
        <f t="shared" si="69"/>
        <v>0</v>
      </c>
      <c r="O76" s="89">
        <f t="shared" si="69"/>
        <v>0</v>
      </c>
      <c r="P76" s="89">
        <f t="shared" si="69"/>
        <v>0</v>
      </c>
      <c r="Q76" s="89">
        <f t="shared" si="69"/>
        <v>0</v>
      </c>
      <c r="R76" s="89">
        <f t="shared" si="69"/>
        <v>0</v>
      </c>
      <c r="S76" s="89">
        <f t="shared" si="69"/>
        <v>0</v>
      </c>
      <c r="T76" s="89">
        <f t="shared" ref="T76:Y76" si="70">T34/T$23</f>
        <v>0</v>
      </c>
      <c r="U76" s="89">
        <f t="shared" si="70"/>
        <v>0</v>
      </c>
      <c r="V76" s="89">
        <f t="shared" si="70"/>
        <v>0</v>
      </c>
      <c r="W76" s="89">
        <f t="shared" si="70"/>
        <v>0</v>
      </c>
      <c r="X76" s="89">
        <f t="shared" si="70"/>
        <v>0</v>
      </c>
      <c r="Y76" s="89">
        <f t="shared" si="70"/>
        <v>0</v>
      </c>
    </row>
    <row r="77" spans="1:25" x14ac:dyDescent="0.25">
      <c r="A77" s="88" t="s">
        <v>269</v>
      </c>
      <c r="B77" s="44"/>
      <c r="C77" s="44"/>
      <c r="D77" s="89">
        <f>D37/D$23</f>
        <v>0</v>
      </c>
      <c r="E77" s="89">
        <f t="shared" ref="E77:S77" si="71">E37/E$23</f>
        <v>0</v>
      </c>
      <c r="F77" s="89">
        <f t="shared" si="71"/>
        <v>0</v>
      </c>
      <c r="G77" s="89">
        <f t="shared" si="71"/>
        <v>0</v>
      </c>
      <c r="H77" s="89">
        <f t="shared" si="71"/>
        <v>0</v>
      </c>
      <c r="I77" s="89">
        <f t="shared" si="71"/>
        <v>0</v>
      </c>
      <c r="J77" s="89">
        <f t="shared" si="71"/>
        <v>0</v>
      </c>
      <c r="K77" s="89">
        <f t="shared" si="71"/>
        <v>0</v>
      </c>
      <c r="L77" s="89">
        <f t="shared" si="71"/>
        <v>0</v>
      </c>
      <c r="M77" s="89">
        <f t="shared" si="71"/>
        <v>0</v>
      </c>
      <c r="N77" s="89">
        <f t="shared" si="71"/>
        <v>0</v>
      </c>
      <c r="O77" s="89">
        <f t="shared" si="71"/>
        <v>0</v>
      </c>
      <c r="P77" s="89">
        <f t="shared" si="71"/>
        <v>0</v>
      </c>
      <c r="Q77" s="89">
        <f t="shared" si="71"/>
        <v>0</v>
      </c>
      <c r="R77" s="89">
        <f t="shared" si="71"/>
        <v>0</v>
      </c>
      <c r="S77" s="89">
        <f t="shared" si="71"/>
        <v>0</v>
      </c>
      <c r="T77" s="89">
        <f t="shared" ref="T77:Y77" si="72">T37/T$23</f>
        <v>0</v>
      </c>
      <c r="U77" s="89">
        <f t="shared" si="72"/>
        <v>0</v>
      </c>
      <c r="V77" s="89">
        <f t="shared" si="72"/>
        <v>0</v>
      </c>
      <c r="W77" s="89">
        <f t="shared" si="72"/>
        <v>0</v>
      </c>
      <c r="X77" s="89">
        <f t="shared" si="72"/>
        <v>0</v>
      </c>
      <c r="Y77" s="89">
        <f t="shared" si="72"/>
        <v>0</v>
      </c>
    </row>
    <row r="78" spans="1:25" x14ac:dyDescent="0.25">
      <c r="A78" s="68" t="s">
        <v>271</v>
      </c>
      <c r="B78" s="44"/>
      <c r="C78" s="44"/>
      <c r="D78" s="89">
        <f>D43/D$23</f>
        <v>0</v>
      </c>
      <c r="E78" s="89">
        <f t="shared" ref="E78:S78" si="73">E43/E$23</f>
        <v>0</v>
      </c>
      <c r="F78" s="89">
        <f t="shared" si="73"/>
        <v>0</v>
      </c>
      <c r="G78" s="89">
        <f t="shared" si="73"/>
        <v>0</v>
      </c>
      <c r="H78" s="89">
        <f t="shared" si="73"/>
        <v>0</v>
      </c>
      <c r="I78" s="89">
        <f t="shared" si="73"/>
        <v>0</v>
      </c>
      <c r="J78" s="89">
        <f t="shared" si="73"/>
        <v>0</v>
      </c>
      <c r="K78" s="89">
        <f t="shared" si="73"/>
        <v>0</v>
      </c>
      <c r="L78" s="89">
        <f t="shared" si="73"/>
        <v>0</v>
      </c>
      <c r="M78" s="89">
        <f t="shared" si="73"/>
        <v>0</v>
      </c>
      <c r="N78" s="89">
        <f t="shared" si="73"/>
        <v>2.1363115031788858E-3</v>
      </c>
      <c r="O78" s="89">
        <f t="shared" si="73"/>
        <v>1.3569643714110772E-3</v>
      </c>
      <c r="P78" s="89">
        <f t="shared" si="73"/>
        <v>1.2967765839199705E-3</v>
      </c>
      <c r="Q78" s="89">
        <f t="shared" si="73"/>
        <v>1.1682242990654205E-3</v>
      </c>
      <c r="R78" s="89">
        <f t="shared" si="73"/>
        <v>1.2830149555480676E-3</v>
      </c>
      <c r="S78" s="89">
        <f t="shared" si="73"/>
        <v>1.1587615876158764E-3</v>
      </c>
      <c r="T78" s="89">
        <f t="shared" ref="T78:Y78" si="74">T43/T$23</f>
        <v>9.8335773913229359E-4</v>
      </c>
      <c r="U78" s="89">
        <f t="shared" si="74"/>
        <v>7.0561670900366929E-3</v>
      </c>
      <c r="V78" s="89">
        <f t="shared" si="74"/>
        <v>6.1819371579459681E-3</v>
      </c>
      <c r="W78" s="89">
        <f t="shared" si="74"/>
        <v>5.2351520928887877E-3</v>
      </c>
      <c r="X78" s="89">
        <f t="shared" si="74"/>
        <v>6.153516648269272E-3</v>
      </c>
      <c r="Y78" s="89">
        <f t="shared" si="74"/>
        <v>4.7090264677299492E-3</v>
      </c>
    </row>
    <row r="79" spans="1:25" x14ac:dyDescent="0.25">
      <c r="A79" s="88" t="s">
        <v>272</v>
      </c>
      <c r="B79" s="44"/>
      <c r="C79" s="44"/>
      <c r="D79" s="89">
        <f>D44/D$23</f>
        <v>0</v>
      </c>
      <c r="E79" s="89">
        <f t="shared" ref="E79:S79" si="75">E44/E$23</f>
        <v>0</v>
      </c>
      <c r="F79" s="89">
        <f t="shared" si="75"/>
        <v>0</v>
      </c>
      <c r="G79" s="89">
        <f t="shared" si="75"/>
        <v>0</v>
      </c>
      <c r="H79" s="89">
        <f t="shared" si="75"/>
        <v>0</v>
      </c>
      <c r="I79" s="89">
        <f t="shared" si="75"/>
        <v>0</v>
      </c>
      <c r="J79" s="89">
        <f t="shared" si="75"/>
        <v>0</v>
      </c>
      <c r="K79" s="89">
        <f t="shared" si="75"/>
        <v>0</v>
      </c>
      <c r="L79" s="89">
        <f t="shared" si="75"/>
        <v>0</v>
      </c>
      <c r="M79" s="89">
        <f t="shared" si="75"/>
        <v>0</v>
      </c>
      <c r="N79" s="89">
        <f t="shared" si="75"/>
        <v>2.1363115031788858E-3</v>
      </c>
      <c r="O79" s="89">
        <f t="shared" si="75"/>
        <v>1.3569643714110772E-3</v>
      </c>
      <c r="P79" s="89">
        <f t="shared" si="75"/>
        <v>1.2967765839199705E-3</v>
      </c>
      <c r="Q79" s="89">
        <f t="shared" si="75"/>
        <v>1.1682242990654205E-3</v>
      </c>
      <c r="R79" s="89">
        <f t="shared" si="75"/>
        <v>1.2830149555480676E-3</v>
      </c>
      <c r="S79" s="89">
        <f t="shared" si="75"/>
        <v>1.1587615876158764E-3</v>
      </c>
      <c r="T79" s="89">
        <f t="shared" ref="T79:Y79" si="76">T44/T$23</f>
        <v>9.8335773913229359E-4</v>
      </c>
      <c r="U79" s="89">
        <f t="shared" si="76"/>
        <v>9.9727161539185237E-4</v>
      </c>
      <c r="V79" s="89">
        <f t="shared" si="76"/>
        <v>9.8971253591573086E-4</v>
      </c>
      <c r="W79" s="89">
        <f t="shared" si="76"/>
        <v>9.6889382017643238E-4</v>
      </c>
      <c r="X79" s="89">
        <f t="shared" si="76"/>
        <v>9.5556617295747737E-4</v>
      </c>
      <c r="Y79" s="89">
        <f t="shared" si="76"/>
        <v>8.5034013605442185E-4</v>
      </c>
    </row>
    <row r="80" spans="1:25" x14ac:dyDescent="0.25">
      <c r="A80" s="88" t="s">
        <v>11</v>
      </c>
      <c r="B80" s="44"/>
      <c r="C80" s="44"/>
      <c r="D80" s="89">
        <f>D47/D$23</f>
        <v>0</v>
      </c>
      <c r="E80" s="89">
        <f t="shared" ref="E80:S80" si="77">E47/E$23</f>
        <v>0</v>
      </c>
      <c r="F80" s="89">
        <f t="shared" si="77"/>
        <v>0</v>
      </c>
      <c r="G80" s="89">
        <f t="shared" si="77"/>
        <v>0</v>
      </c>
      <c r="H80" s="89">
        <f t="shared" si="77"/>
        <v>0</v>
      </c>
      <c r="I80" s="89">
        <f t="shared" si="77"/>
        <v>0</v>
      </c>
      <c r="J80" s="89">
        <f t="shared" si="77"/>
        <v>0</v>
      </c>
      <c r="K80" s="89">
        <f t="shared" si="77"/>
        <v>0</v>
      </c>
      <c r="L80" s="89">
        <f t="shared" si="77"/>
        <v>0</v>
      </c>
      <c r="M80" s="89">
        <f t="shared" si="77"/>
        <v>0</v>
      </c>
      <c r="N80" s="89">
        <f t="shared" si="77"/>
        <v>0</v>
      </c>
      <c r="O80" s="89">
        <f t="shared" si="77"/>
        <v>0</v>
      </c>
      <c r="P80" s="89">
        <f t="shared" si="77"/>
        <v>0</v>
      </c>
      <c r="Q80" s="89">
        <f t="shared" si="77"/>
        <v>0</v>
      </c>
      <c r="R80" s="89">
        <f t="shared" si="77"/>
        <v>0</v>
      </c>
      <c r="S80" s="89">
        <f t="shared" si="77"/>
        <v>0</v>
      </c>
      <c r="T80" s="89">
        <f t="shared" ref="T80:Y80" si="78">T47/T$23</f>
        <v>0</v>
      </c>
      <c r="U80" s="89">
        <f t="shared" si="78"/>
        <v>6.0588954746448407E-3</v>
      </c>
      <c r="V80" s="89">
        <f t="shared" si="78"/>
        <v>5.1922246220302377E-3</v>
      </c>
      <c r="W80" s="89">
        <f t="shared" si="78"/>
        <v>4.2662582727123555E-3</v>
      </c>
      <c r="X80" s="89">
        <f t="shared" si="78"/>
        <v>5.1979504753117949E-3</v>
      </c>
      <c r="Y80" s="89">
        <f t="shared" si="78"/>
        <v>3.8586863316755274E-3</v>
      </c>
    </row>
    <row r="81" spans="1:25" x14ac:dyDescent="0.25">
      <c r="A81" s="68" t="s">
        <v>4</v>
      </c>
      <c r="B81" s="44"/>
      <c r="C81" s="44"/>
      <c r="D81" s="89">
        <f>D48/D$23</f>
        <v>0</v>
      </c>
      <c r="E81" s="89">
        <f t="shared" ref="E81:S81" si="79">E48/E$23</f>
        <v>0</v>
      </c>
      <c r="F81" s="89">
        <f t="shared" si="79"/>
        <v>0</v>
      </c>
      <c r="G81" s="89">
        <f t="shared" si="79"/>
        <v>0</v>
      </c>
      <c r="H81" s="89">
        <f t="shared" si="79"/>
        <v>0</v>
      </c>
      <c r="I81" s="89">
        <f t="shared" si="79"/>
        <v>0</v>
      </c>
      <c r="J81" s="89">
        <f t="shared" si="79"/>
        <v>0</v>
      </c>
      <c r="K81" s="89">
        <f t="shared" si="79"/>
        <v>0</v>
      </c>
      <c r="L81" s="89">
        <f t="shared" si="79"/>
        <v>0</v>
      </c>
      <c r="M81" s="89">
        <f t="shared" si="79"/>
        <v>0</v>
      </c>
      <c r="N81" s="89">
        <f t="shared" si="79"/>
        <v>0</v>
      </c>
      <c r="O81" s="89">
        <f t="shared" si="79"/>
        <v>0</v>
      </c>
      <c r="P81" s="89">
        <f t="shared" si="79"/>
        <v>0</v>
      </c>
      <c r="Q81" s="89">
        <f t="shared" si="79"/>
        <v>0</v>
      </c>
      <c r="R81" s="89">
        <f t="shared" si="79"/>
        <v>0</v>
      </c>
      <c r="S81" s="89">
        <f t="shared" si="79"/>
        <v>0</v>
      </c>
      <c r="T81" s="89">
        <f t="shared" ref="T81:Y81" si="80">T48/T$23</f>
        <v>0</v>
      </c>
      <c r="U81" s="89">
        <f t="shared" si="80"/>
        <v>0</v>
      </c>
      <c r="V81" s="89">
        <f t="shared" si="80"/>
        <v>0</v>
      </c>
      <c r="W81" s="89">
        <f t="shared" si="80"/>
        <v>0</v>
      </c>
      <c r="X81" s="89">
        <f t="shared" si="80"/>
        <v>0</v>
      </c>
      <c r="Y81" s="89">
        <f t="shared" si="80"/>
        <v>0</v>
      </c>
    </row>
    <row r="82" spans="1:25" x14ac:dyDescent="0.25">
      <c r="A82" s="68" t="s">
        <v>3</v>
      </c>
      <c r="B82" s="44"/>
      <c r="C82" s="44"/>
      <c r="D82" s="89">
        <f>D52/D$23</f>
        <v>0</v>
      </c>
      <c r="E82" s="89">
        <f t="shared" ref="E82:S82" si="81">E52/E$23</f>
        <v>0</v>
      </c>
      <c r="F82" s="89">
        <f t="shared" si="81"/>
        <v>0</v>
      </c>
      <c r="G82" s="89">
        <f t="shared" si="81"/>
        <v>0</v>
      </c>
      <c r="H82" s="89">
        <f t="shared" si="81"/>
        <v>0</v>
      </c>
      <c r="I82" s="89">
        <f t="shared" si="81"/>
        <v>0</v>
      </c>
      <c r="J82" s="89">
        <f t="shared" si="81"/>
        <v>0</v>
      </c>
      <c r="K82" s="89">
        <f t="shared" si="81"/>
        <v>0</v>
      </c>
      <c r="L82" s="89">
        <f t="shared" si="81"/>
        <v>0</v>
      </c>
      <c r="M82" s="89">
        <f t="shared" si="81"/>
        <v>0</v>
      </c>
      <c r="N82" s="89">
        <f t="shared" si="81"/>
        <v>1.1303479274180123E-2</v>
      </c>
      <c r="O82" s="89">
        <f t="shared" si="81"/>
        <v>1.1964454152807426E-2</v>
      </c>
      <c r="P82" s="89">
        <f t="shared" si="81"/>
        <v>1.0111769791280721E-2</v>
      </c>
      <c r="Q82" s="89">
        <f t="shared" si="81"/>
        <v>9.4312742192842487E-3</v>
      </c>
      <c r="R82" s="89">
        <f t="shared" si="81"/>
        <v>9.0718229180166404E-3</v>
      </c>
      <c r="S82" s="89">
        <f t="shared" si="81"/>
        <v>8.4038340383403836E-3</v>
      </c>
      <c r="T82" s="89">
        <f t="shared" ref="T82:Y82" si="82">T52/T$23</f>
        <v>7.5568904518101268E-3</v>
      </c>
      <c r="U82" s="89">
        <f t="shared" si="82"/>
        <v>5.5790761125223453E-3</v>
      </c>
      <c r="V82" s="89">
        <f t="shared" si="82"/>
        <v>6.9287257019438444E-3</v>
      </c>
      <c r="W82" s="89">
        <f t="shared" si="82"/>
        <v>6.7666294215547622E-3</v>
      </c>
      <c r="X82" s="89">
        <f t="shared" si="82"/>
        <v>8.5589073595070588E-3</v>
      </c>
      <c r="Y82" s="89">
        <f t="shared" si="82"/>
        <v>7.9531812725090033E-3</v>
      </c>
    </row>
    <row r="83" spans="1:25" x14ac:dyDescent="0.25">
      <c r="A83" s="88" t="s">
        <v>21</v>
      </c>
      <c r="B83" s="44"/>
      <c r="C83" s="44"/>
      <c r="D83" s="89">
        <f>D53/D$23</f>
        <v>0</v>
      </c>
      <c r="E83" s="89">
        <f t="shared" ref="E83:S83" si="83">E53/E$23</f>
        <v>0</v>
      </c>
      <c r="F83" s="89">
        <f t="shared" si="83"/>
        <v>0</v>
      </c>
      <c r="G83" s="89">
        <f t="shared" si="83"/>
        <v>0</v>
      </c>
      <c r="H83" s="89">
        <f t="shared" si="83"/>
        <v>0</v>
      </c>
      <c r="I83" s="89">
        <f t="shared" si="83"/>
        <v>0</v>
      </c>
      <c r="J83" s="89">
        <f t="shared" si="83"/>
        <v>0</v>
      </c>
      <c r="K83" s="89">
        <f t="shared" si="83"/>
        <v>0</v>
      </c>
      <c r="L83" s="89">
        <f t="shared" si="83"/>
        <v>0</v>
      </c>
      <c r="M83" s="89">
        <f t="shared" si="83"/>
        <v>0</v>
      </c>
      <c r="N83" s="89">
        <f t="shared" si="83"/>
        <v>0</v>
      </c>
      <c r="O83" s="89">
        <f t="shared" si="83"/>
        <v>0</v>
      </c>
      <c r="P83" s="89">
        <f t="shared" si="83"/>
        <v>0</v>
      </c>
      <c r="Q83" s="89">
        <f t="shared" si="83"/>
        <v>0</v>
      </c>
      <c r="R83" s="89">
        <f t="shared" si="83"/>
        <v>0</v>
      </c>
      <c r="S83" s="89">
        <f t="shared" si="83"/>
        <v>0</v>
      </c>
      <c r="T83" s="89">
        <f t="shared" ref="T83:Y83" si="84">T53/T$23</f>
        <v>0</v>
      </c>
      <c r="U83" s="89">
        <f t="shared" si="84"/>
        <v>0</v>
      </c>
      <c r="V83" s="89">
        <f t="shared" si="84"/>
        <v>0</v>
      </c>
      <c r="W83" s="89">
        <f t="shared" si="84"/>
        <v>0</v>
      </c>
      <c r="X83" s="89">
        <f t="shared" si="84"/>
        <v>0</v>
      </c>
      <c r="Y83" s="89">
        <f t="shared" si="84"/>
        <v>0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0</v>
      </c>
      <c r="E84" s="89">
        <f t="shared" ref="E84:S84" si="86">E56/E$23</f>
        <v>0</v>
      </c>
      <c r="F84" s="89">
        <f t="shared" si="86"/>
        <v>0</v>
      </c>
      <c r="G84" s="89">
        <f t="shared" si="86"/>
        <v>0</v>
      </c>
      <c r="H84" s="89">
        <f t="shared" si="86"/>
        <v>0</v>
      </c>
      <c r="I84" s="89">
        <f t="shared" si="86"/>
        <v>0</v>
      </c>
      <c r="J84" s="89">
        <f t="shared" si="86"/>
        <v>0</v>
      </c>
      <c r="K84" s="89">
        <f t="shared" si="86"/>
        <v>0</v>
      </c>
      <c r="L84" s="89">
        <f t="shared" si="86"/>
        <v>0</v>
      </c>
      <c r="M84" s="89">
        <f t="shared" si="86"/>
        <v>0</v>
      </c>
      <c r="N84" s="89">
        <f t="shared" si="86"/>
        <v>1.1303479274180123E-2</v>
      </c>
      <c r="O84" s="89">
        <f t="shared" si="86"/>
        <v>1.1964454152807426E-2</v>
      </c>
      <c r="P84" s="89">
        <f t="shared" si="86"/>
        <v>1.0111769791280721E-2</v>
      </c>
      <c r="Q84" s="89">
        <f t="shared" si="86"/>
        <v>9.4312742192842487E-3</v>
      </c>
      <c r="R84" s="89">
        <f t="shared" si="86"/>
        <v>9.0718229180166404E-3</v>
      </c>
      <c r="S84" s="89">
        <f t="shared" si="86"/>
        <v>8.4038340383403836E-3</v>
      </c>
      <c r="T84" s="89">
        <f t="shared" ref="T84:Y84" si="87">T56/T$23</f>
        <v>7.5568904518101268E-3</v>
      </c>
      <c r="U84" s="89">
        <f t="shared" si="87"/>
        <v>5.5790761125223453E-3</v>
      </c>
      <c r="V84" s="89">
        <f t="shared" si="87"/>
        <v>6.9287257019438444E-3</v>
      </c>
      <c r="W84" s="89">
        <f t="shared" si="87"/>
        <v>6.7666294215547622E-3</v>
      </c>
      <c r="X84" s="89">
        <f t="shared" si="87"/>
        <v>8.5589073595070588E-3</v>
      </c>
      <c r="Y84" s="89">
        <f t="shared" si="87"/>
        <v>7.9531812725090033E-3</v>
      </c>
    </row>
    <row r="85" spans="1:25" x14ac:dyDescent="0.25">
      <c r="A85" s="68" t="s">
        <v>2</v>
      </c>
      <c r="B85" s="44"/>
      <c r="C85" s="44"/>
      <c r="D85" s="89">
        <f t="shared" si="85"/>
        <v>0</v>
      </c>
      <c r="E85" s="89">
        <f t="shared" ref="E85:S85" si="88">E57/E$23</f>
        <v>0</v>
      </c>
      <c r="F85" s="89">
        <f t="shared" si="88"/>
        <v>0</v>
      </c>
      <c r="G85" s="89">
        <f t="shared" si="88"/>
        <v>0</v>
      </c>
      <c r="H85" s="89">
        <f t="shared" si="88"/>
        <v>0</v>
      </c>
      <c r="I85" s="89">
        <f t="shared" si="88"/>
        <v>0</v>
      </c>
      <c r="J85" s="89">
        <f t="shared" si="88"/>
        <v>0</v>
      </c>
      <c r="K85" s="89">
        <f t="shared" si="88"/>
        <v>0</v>
      </c>
      <c r="L85" s="89">
        <f t="shared" si="88"/>
        <v>0</v>
      </c>
      <c r="M85" s="89">
        <f t="shared" si="88"/>
        <v>0</v>
      </c>
      <c r="N85" s="89">
        <f t="shared" si="88"/>
        <v>1.5631762943232895E-2</v>
      </c>
      <c r="O85" s="89">
        <f t="shared" si="88"/>
        <v>1.6233927418954474E-2</v>
      </c>
      <c r="P85" s="89">
        <f t="shared" si="88"/>
        <v>1.5422378658762507E-2</v>
      </c>
      <c r="Q85" s="89">
        <f t="shared" si="88"/>
        <v>1.598472760428539E-2</v>
      </c>
      <c r="R85" s="89">
        <f t="shared" si="88"/>
        <v>1.77418936782354E-2</v>
      </c>
      <c r="S85" s="89">
        <f t="shared" si="88"/>
        <v>1.725767257672577E-2</v>
      </c>
      <c r="T85" s="89">
        <f t="shared" ref="T85:Y85" si="89">T57/T$23</f>
        <v>1.4354885257115984E-2</v>
      </c>
      <c r="U85" s="89">
        <f t="shared" si="89"/>
        <v>1.3453758585003294E-2</v>
      </c>
      <c r="V85" s="89">
        <f t="shared" si="89"/>
        <v>1.2267818574514039E-2</v>
      </c>
      <c r="W85" s="89">
        <f t="shared" si="89"/>
        <v>1.1509520944515203E-2</v>
      </c>
      <c r="X85" s="89">
        <f t="shared" si="89"/>
        <v>1.119495197456217E-2</v>
      </c>
      <c r="Y85" s="89">
        <f t="shared" si="89"/>
        <v>1.0246955925227234E-2</v>
      </c>
    </row>
    <row r="86" spans="1:25" x14ac:dyDescent="0.25">
      <c r="A86" s="68" t="s">
        <v>275</v>
      </c>
      <c r="B86" s="44"/>
      <c r="C86" s="44"/>
      <c r="D86" s="89">
        <f t="shared" si="85"/>
        <v>0</v>
      </c>
      <c r="E86" s="89">
        <f t="shared" ref="E86:S86" si="90">E58/E$23</f>
        <v>0</v>
      </c>
      <c r="F86" s="89">
        <f t="shared" si="90"/>
        <v>0</v>
      </c>
      <c r="G86" s="89">
        <f t="shared" si="90"/>
        <v>0</v>
      </c>
      <c r="H86" s="89">
        <f t="shared" si="90"/>
        <v>0</v>
      </c>
      <c r="I86" s="89">
        <f t="shared" si="90"/>
        <v>0</v>
      </c>
      <c r="J86" s="89">
        <f t="shared" si="90"/>
        <v>0</v>
      </c>
      <c r="K86" s="89">
        <f t="shared" si="90"/>
        <v>0</v>
      </c>
      <c r="L86" s="89">
        <f t="shared" si="90"/>
        <v>0</v>
      </c>
      <c r="M86" s="89">
        <f t="shared" si="90"/>
        <v>0</v>
      </c>
      <c r="N86" s="89">
        <f t="shared" si="90"/>
        <v>5.0607624438155484E-3</v>
      </c>
      <c r="O86" s="89">
        <f t="shared" si="90"/>
        <v>5.3947607936586728E-3</v>
      </c>
      <c r="P86" s="89">
        <f t="shared" si="90"/>
        <v>6.3758182042731879E-3</v>
      </c>
      <c r="Q86" s="89">
        <f t="shared" si="90"/>
        <v>6.6246865739685431E-3</v>
      </c>
      <c r="R86" s="89">
        <f t="shared" si="90"/>
        <v>7.4648142868251211E-3</v>
      </c>
      <c r="S86" s="89">
        <f t="shared" si="90"/>
        <v>6.6263162631626316E-3</v>
      </c>
      <c r="T86" s="89">
        <f t="shared" ref="T86:Y86" si="91">T58/T$23</f>
        <v>7.1507209508641801E-3</v>
      </c>
      <c r="U86" s="89">
        <f t="shared" si="91"/>
        <v>6.689246401354783E-3</v>
      </c>
      <c r="V86" s="89">
        <f t="shared" si="91"/>
        <v>5.3563714902807782E-3</v>
      </c>
      <c r="W86" s="89">
        <f t="shared" si="91"/>
        <v>5.0398105968854747E-3</v>
      </c>
      <c r="X86" s="89">
        <f t="shared" si="91"/>
        <v>5.8734369079196658E-3</v>
      </c>
      <c r="Y86" s="89">
        <f t="shared" si="91"/>
        <v>5.9738180986680387E-3</v>
      </c>
    </row>
    <row r="87" spans="1:25" x14ac:dyDescent="0.25">
      <c r="A87" s="68" t="s">
        <v>276</v>
      </c>
      <c r="B87" s="44"/>
      <c r="C87" s="44"/>
      <c r="D87" s="89">
        <f t="shared" si="85"/>
        <v>0</v>
      </c>
      <c r="E87" s="89">
        <f t="shared" ref="E87:S87" si="92">E59/E$23</f>
        <v>0</v>
      </c>
      <c r="F87" s="89">
        <f t="shared" si="92"/>
        <v>0</v>
      </c>
      <c r="G87" s="89">
        <f t="shared" si="92"/>
        <v>0</v>
      </c>
      <c r="H87" s="89">
        <f t="shared" si="92"/>
        <v>0</v>
      </c>
      <c r="I87" s="89">
        <f t="shared" si="92"/>
        <v>0</v>
      </c>
      <c r="J87" s="89">
        <f t="shared" si="92"/>
        <v>0</v>
      </c>
      <c r="K87" s="89">
        <f t="shared" si="92"/>
        <v>0</v>
      </c>
      <c r="L87" s="89">
        <f t="shared" si="92"/>
        <v>0</v>
      </c>
      <c r="M87" s="89">
        <f t="shared" si="92"/>
        <v>0</v>
      </c>
      <c r="N87" s="89">
        <f t="shared" si="92"/>
        <v>0</v>
      </c>
      <c r="O87" s="89">
        <f t="shared" si="92"/>
        <v>0</v>
      </c>
      <c r="P87" s="89">
        <f t="shared" si="92"/>
        <v>0</v>
      </c>
      <c r="Q87" s="89">
        <f t="shared" si="92"/>
        <v>0</v>
      </c>
      <c r="R87" s="89">
        <f t="shared" si="92"/>
        <v>2.5141909229931827E-3</v>
      </c>
      <c r="S87" s="89">
        <f t="shared" si="92"/>
        <v>1.6425164251642518E-3</v>
      </c>
      <c r="T87" s="89">
        <f t="shared" ref="T87:Y87" si="93">T59/T$23</f>
        <v>2.1804888998150857E-3</v>
      </c>
      <c r="U87" s="89">
        <f t="shared" si="93"/>
        <v>1.9851350079969892E-3</v>
      </c>
      <c r="V87" s="89">
        <f t="shared" si="93"/>
        <v>3.2311015118790497E-3</v>
      </c>
      <c r="W87" s="89">
        <f t="shared" si="93"/>
        <v>2.390979911080551E-3</v>
      </c>
      <c r="X87" s="89">
        <f t="shared" si="93"/>
        <v>2.99026311020314E-3</v>
      </c>
      <c r="Y87" s="89">
        <f t="shared" si="93"/>
        <v>3.0440747727662498E-3</v>
      </c>
    </row>
    <row r="88" spans="1:25" x14ac:dyDescent="0.25">
      <c r="A88" s="68" t="s">
        <v>1</v>
      </c>
      <c r="B88" s="44"/>
      <c r="C88" s="44"/>
      <c r="D88" s="89">
        <f t="shared" si="85"/>
        <v>0</v>
      </c>
      <c r="E88" s="89">
        <f t="shared" ref="E88:S88" si="94">E60/E$23</f>
        <v>0</v>
      </c>
      <c r="F88" s="89">
        <f t="shared" si="94"/>
        <v>0</v>
      </c>
      <c r="G88" s="89">
        <f t="shared" si="94"/>
        <v>0</v>
      </c>
      <c r="H88" s="89">
        <f t="shared" si="94"/>
        <v>0</v>
      </c>
      <c r="I88" s="89">
        <f t="shared" si="94"/>
        <v>0</v>
      </c>
      <c r="J88" s="89">
        <f t="shared" si="94"/>
        <v>0</v>
      </c>
      <c r="K88" s="89">
        <f t="shared" si="94"/>
        <v>0</v>
      </c>
      <c r="L88" s="89">
        <f t="shared" si="94"/>
        <v>0</v>
      </c>
      <c r="M88" s="89">
        <f t="shared" si="94"/>
        <v>0</v>
      </c>
      <c r="N88" s="89">
        <f t="shared" si="94"/>
        <v>4.5446978525054103E-3</v>
      </c>
      <c r="O88" s="89">
        <f t="shared" si="94"/>
        <v>4.9810521438382232E-3</v>
      </c>
      <c r="P88" s="89">
        <f t="shared" si="94"/>
        <v>4.7394096578979869E-3</v>
      </c>
      <c r="Q88" s="89">
        <f t="shared" si="94"/>
        <v>2.7496010941417824E-3</v>
      </c>
      <c r="R88" s="89">
        <f t="shared" si="94"/>
        <v>2.1124387651953033E-3</v>
      </c>
      <c r="S88" s="89">
        <f t="shared" si="94"/>
        <v>1.878768787687877E-3</v>
      </c>
      <c r="T88" s="89">
        <f t="shared" ref="T88:Y88" si="95">T60/T$23</f>
        <v>1.5498573062411151E-3</v>
      </c>
      <c r="U88" s="89">
        <f t="shared" si="95"/>
        <v>1.6370307648885126E-3</v>
      </c>
      <c r="V88" s="89">
        <f t="shared" si="95"/>
        <v>1.5896328293736499E-3</v>
      </c>
      <c r="W88" s="89">
        <f t="shared" si="95"/>
        <v>1.3126948531422633E-3</v>
      </c>
      <c r="X88" s="89">
        <f t="shared" si="95"/>
        <v>1.3262599469496023E-3</v>
      </c>
      <c r="Y88" s="89">
        <f t="shared" si="95"/>
        <v>1.4005602240896361E-3</v>
      </c>
    </row>
    <row r="89" spans="1:25" x14ac:dyDescent="0.25">
      <c r="A89" s="68" t="s">
        <v>0</v>
      </c>
      <c r="B89" s="44"/>
      <c r="C89" s="44"/>
      <c r="D89" s="89">
        <f t="shared" si="85"/>
        <v>0</v>
      </c>
      <c r="E89" s="89">
        <f t="shared" ref="E89:S89" si="96">E61/E$23</f>
        <v>0</v>
      </c>
      <c r="F89" s="89">
        <f t="shared" si="96"/>
        <v>0</v>
      </c>
      <c r="G89" s="89">
        <f t="shared" si="96"/>
        <v>0</v>
      </c>
      <c r="H89" s="89">
        <f t="shared" si="96"/>
        <v>0</v>
      </c>
      <c r="I89" s="89">
        <f t="shared" si="96"/>
        <v>0</v>
      </c>
      <c r="J89" s="89">
        <f t="shared" si="96"/>
        <v>0</v>
      </c>
      <c r="K89" s="89">
        <f t="shared" si="96"/>
        <v>0</v>
      </c>
      <c r="L89" s="89">
        <f t="shared" si="96"/>
        <v>0</v>
      </c>
      <c r="M89" s="89">
        <f t="shared" si="96"/>
        <v>0</v>
      </c>
      <c r="N89" s="89">
        <f t="shared" si="96"/>
        <v>0</v>
      </c>
      <c r="O89" s="89">
        <f t="shared" si="96"/>
        <v>0</v>
      </c>
      <c r="P89" s="89">
        <f t="shared" si="96"/>
        <v>0</v>
      </c>
      <c r="Q89" s="89">
        <f t="shared" si="96"/>
        <v>0</v>
      </c>
      <c r="R89" s="89">
        <f t="shared" si="96"/>
        <v>0</v>
      </c>
      <c r="S89" s="89">
        <f t="shared" si="96"/>
        <v>0</v>
      </c>
      <c r="T89" s="89">
        <f t="shared" ref="T89:Y89" si="97">T61/T$23</f>
        <v>0</v>
      </c>
      <c r="U89" s="89">
        <f t="shared" si="97"/>
        <v>0</v>
      </c>
      <c r="V89" s="89">
        <f t="shared" si="97"/>
        <v>0</v>
      </c>
      <c r="W89" s="89">
        <f t="shared" si="97"/>
        <v>0</v>
      </c>
      <c r="X89" s="89">
        <f t="shared" si="97"/>
        <v>0</v>
      </c>
      <c r="Y89" s="89">
        <f t="shared" si="97"/>
        <v>0</v>
      </c>
    </row>
    <row r="90" spans="1:25" x14ac:dyDescent="0.25">
      <c r="A90" s="90" t="s">
        <v>278</v>
      </c>
      <c r="B90" s="47"/>
      <c r="C90" s="47"/>
      <c r="D90" s="91">
        <f t="shared" si="85"/>
        <v>0.29769168191986978</v>
      </c>
      <c r="E90" s="91">
        <f t="shared" ref="E90:S90" si="98">E62/E$23</f>
        <v>0.26715879913094998</v>
      </c>
      <c r="F90" s="91">
        <f t="shared" si="98"/>
        <v>0.2771291045131774</v>
      </c>
      <c r="G90" s="91">
        <f t="shared" si="98"/>
        <v>0.27848987882608406</v>
      </c>
      <c r="H90" s="91">
        <f t="shared" si="98"/>
        <v>0.25594477115827163</v>
      </c>
      <c r="I90" s="91">
        <f t="shared" si="98"/>
        <v>0.22528098674949146</v>
      </c>
      <c r="J90" s="91">
        <f t="shared" si="98"/>
        <v>0.20745360122594905</v>
      </c>
      <c r="K90" s="91">
        <f t="shared" si="98"/>
        <v>0.18853546050157388</v>
      </c>
      <c r="L90" s="91">
        <f t="shared" si="98"/>
        <v>0.19976930682192681</v>
      </c>
      <c r="M90" s="91">
        <f t="shared" si="98"/>
        <v>0.17267566038080281</v>
      </c>
      <c r="N90" s="91">
        <f t="shared" si="98"/>
        <v>8.8824234526453272E-2</v>
      </c>
      <c r="O90" s="91">
        <f t="shared" si="98"/>
        <v>8.8814972943454362E-2</v>
      </c>
      <c r="P90" s="91">
        <f t="shared" si="98"/>
        <v>8.6467210077806597E-2</v>
      </c>
      <c r="Q90" s="91">
        <f t="shared" si="98"/>
        <v>7.0820036471392622E-2</v>
      </c>
      <c r="R90" s="91">
        <f t="shared" si="98"/>
        <v>5.646561779114069E-2</v>
      </c>
      <c r="S90" s="91">
        <f t="shared" si="98"/>
        <v>4.6789217892178783E-2</v>
      </c>
      <c r="T90" s="91">
        <f t="shared" ref="T90:Y90" si="99">T62/T$23</f>
        <v>4.7233237491582605E-2</v>
      </c>
      <c r="U90" s="91">
        <f t="shared" si="99"/>
        <v>4.0935177344999588E-2</v>
      </c>
      <c r="V90" s="91">
        <f t="shared" si="99"/>
        <v>4.0902296103393049E-2</v>
      </c>
      <c r="W90" s="91">
        <f t="shared" si="99"/>
        <v>4.2209390456395893E-2</v>
      </c>
      <c r="X90" s="91">
        <f t="shared" si="99"/>
        <v>4.3511211427253421E-2</v>
      </c>
      <c r="Y90" s="91">
        <f t="shared" si="99"/>
        <v>4.0287543588864043E-2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-1.1770463831541012E-2</v>
      </c>
      <c r="F93" s="92">
        <f t="shared" ref="F93:F94" si="101">IF(E16=0,"",F16/E16-1)</f>
        <v>2.5671808978390276E-2</v>
      </c>
      <c r="G93" s="92">
        <f t="shared" ref="G93:G94" si="102">IF(F16=0,"",G16/F16-1)</f>
        <v>4.0741089872113445E-2</v>
      </c>
      <c r="H93" s="92">
        <f t="shared" ref="H93:H94" si="103">IF(G16=0,"",H16/G16-1)</f>
        <v>1.3918372128456369E-3</v>
      </c>
      <c r="I93" s="92">
        <f t="shared" ref="I93:I94" si="104">IF(H16=0,"",I16/H16-1)</f>
        <v>3.3844903395016779E-2</v>
      </c>
      <c r="J93" s="92">
        <f t="shared" ref="J93:J94" si="105">IF(I16=0,"",J16/I16-1)</f>
        <v>2.5099423383635022E-2</v>
      </c>
      <c r="K93" s="92">
        <f t="shared" ref="K93:K94" si="106">IF(J16=0,"",K16/J16-1)</f>
        <v>4.7750314592316156E-2</v>
      </c>
      <c r="L93" s="92">
        <f t="shared" ref="L93:L94" si="107">IF(K16=0,"",L16/K16-1)</f>
        <v>3.8259639420620717E-2</v>
      </c>
      <c r="M93" s="92">
        <f t="shared" ref="M93:M94" si="108">IF(L16=0,"",M16/L16-1)</f>
        <v>-1.134340072240192E-2</v>
      </c>
      <c r="N93" s="92">
        <f t="shared" ref="N93:N94" si="109">IF(M16=0,"",N16/M16-1)</f>
        <v>5.544533159853815E-2</v>
      </c>
      <c r="O93" s="92">
        <f t="shared" ref="O93:O94" si="110">IF(N16=0,"",O16/N16-1)</f>
        <v>4.6646214624788129E-3</v>
      </c>
      <c r="P93" s="92">
        <f t="shared" ref="P93:P94" si="111">IF(O16=0,"",P16/O16-1)</f>
        <v>4.1181788212437453E-2</v>
      </c>
      <c r="Q93" s="92">
        <f t="shared" ref="Q93:Q94" si="112">IF(P16=0,"",Q16/P16-1)</f>
        <v>5.4727621765631396E-2</v>
      </c>
      <c r="R93" s="92">
        <f t="shared" ref="R93:R94" si="113">IF(Q16=0,"",R16/Q16-1)</f>
        <v>7.633462426496318E-2</v>
      </c>
      <c r="S93" s="92">
        <f t="shared" ref="S93:S94" si="114">IF(R16=0,"",S16/R16-1)</f>
        <v>9.6083191484499064E-2</v>
      </c>
      <c r="T93" s="92">
        <f t="shared" ref="T93:T94" si="115">IF(S16=0,"",T16/S16-1)</f>
        <v>3.3812730894509757E-2</v>
      </c>
      <c r="U93" s="92">
        <f t="shared" ref="U93:U94" si="116">IF(T16=0,"",U16/T16-1)</f>
        <v>0.10870097022031588</v>
      </c>
      <c r="V93" s="92">
        <f t="shared" ref="V93:V94" si="117">IF(U16=0,"",V16/U16-1)</f>
        <v>7.4151938430453646E-2</v>
      </c>
      <c r="W93" s="92">
        <f t="shared" ref="W93:W94" si="118">IF(V16=0,"",W16/V16-1)</f>
        <v>7.125238276607071E-2</v>
      </c>
      <c r="X93" s="92">
        <f t="shared" ref="X93:X94" si="119">IF(W16=0,"",X16/W16-1)</f>
        <v>-8.1475890201633816E-2</v>
      </c>
      <c r="Y93" s="92">
        <f t="shared" ref="Y93:Y94" si="120">IF(X16=0,"",Y16/X16-1)</f>
        <v>0.12554916106234715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2.2880486981260661E-2</v>
      </c>
      <c r="F94" s="93">
        <f t="shared" si="101"/>
        <v>-2.2375477344298456E-2</v>
      </c>
      <c r="G94" s="93">
        <f t="shared" si="102"/>
        <v>5.4463290583046664E-2</v>
      </c>
      <c r="H94" s="93">
        <f t="shared" si="103"/>
        <v>2.7744608778277113E-2</v>
      </c>
      <c r="I94" s="93">
        <f t="shared" si="104"/>
        <v>4.3381627142099477E-2</v>
      </c>
      <c r="J94" s="93">
        <f t="shared" si="105"/>
        <v>2.5569946297773871E-2</v>
      </c>
      <c r="K94" s="93">
        <f t="shared" si="106"/>
        <v>1.6421833959657572E-2</v>
      </c>
      <c r="L94" s="93">
        <f t="shared" si="107"/>
        <v>-4.0568789510084802E-3</v>
      </c>
      <c r="M94" s="93">
        <f t="shared" si="108"/>
        <v>1.1158187899752647E-2</v>
      </c>
      <c r="N94" s="93">
        <f t="shared" si="109"/>
        <v>2.0428449634296131E-2</v>
      </c>
      <c r="O94" s="93">
        <f t="shared" si="110"/>
        <v>3.4433928346833786E-2</v>
      </c>
      <c r="P94" s="93">
        <f t="shared" si="111"/>
        <v>5.5320074565912147E-3</v>
      </c>
      <c r="Q94" s="93">
        <f t="shared" si="112"/>
        <v>3.0515290382554516E-2</v>
      </c>
      <c r="R94" s="93">
        <f t="shared" si="113"/>
        <v>2.6994027953302968E-2</v>
      </c>
      <c r="S94" s="93">
        <f t="shared" si="114"/>
        <v>2.3418526615162527E-2</v>
      </c>
      <c r="T94" s="93">
        <f t="shared" si="115"/>
        <v>3.0019235019770774E-2</v>
      </c>
      <c r="U94" s="93">
        <f t="shared" si="116"/>
        <v>5.5331352691315283E-2</v>
      </c>
      <c r="V94" s="93">
        <f t="shared" si="117"/>
        <v>9.5596164882628898E-2</v>
      </c>
      <c r="W94" s="93">
        <f t="shared" si="118"/>
        <v>4.3111131724402396E-2</v>
      </c>
      <c r="X94" s="93">
        <f t="shared" si="119"/>
        <v>-0.10651978017850028</v>
      </c>
      <c r="Y94" s="93">
        <f t="shared" si="120"/>
        <v>8.1152875458617268E-2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-1.8476230468137733E-2</v>
      </c>
      <c r="F95" s="92">
        <f t="shared" ref="F95:F96" si="122">IF(E20=0,"",F20/E20-1)</f>
        <v>1.72874362047446E-2</v>
      </c>
      <c r="G95" s="92">
        <f t="shared" ref="G95:G96" si="123">IF(F20=0,"",G20/F20-1)</f>
        <v>3.3786155531947859E-2</v>
      </c>
      <c r="H95" s="92">
        <f t="shared" ref="H95:H96" si="124">IF(G20=0,"",H20/G20-1)</f>
        <v>-5.0467496509721821E-3</v>
      </c>
      <c r="I95" s="92">
        <f t="shared" ref="I95:I96" si="125">IF(H20=0,"",I20/H20-1)</f>
        <v>2.6653371973574203E-2</v>
      </c>
      <c r="J95" s="92">
        <f t="shared" ref="J95:J96" si="126">IF(I20=0,"",J20/I20-1)</f>
        <v>1.9199392134404025E-2</v>
      </c>
      <c r="K95" s="92">
        <f t="shared" ref="K95:K96" si="127">IF(J20=0,"",K20/J20-1)</f>
        <v>4.6156536378184176E-2</v>
      </c>
      <c r="L95" s="92">
        <f t="shared" ref="L95:L96" si="128">IF(K20=0,"",L20/K20-1)</f>
        <v>3.2618141546603585E-2</v>
      </c>
      <c r="M95" s="92">
        <f t="shared" ref="M95:M96" si="129">IF(L20=0,"",M20/L20-1)</f>
        <v>-1.8787328627097533E-2</v>
      </c>
      <c r="N95" s="92">
        <f t="shared" ref="N95:N96" si="130">IF(M20=0,"",N20/M20-1)</f>
        <v>4.7540204702738897E-2</v>
      </c>
      <c r="O95" s="92">
        <f t="shared" ref="O95:O96" si="131">IF(N20=0,"",O20/N20-1)</f>
        <v>2.3356745124467615E-3</v>
      </c>
      <c r="P95" s="92">
        <f t="shared" ref="P95:P96" si="132">IF(O20=0,"",P20/O20-1)</f>
        <v>3.480571986916714E-2</v>
      </c>
      <c r="Q95" s="92">
        <f t="shared" ref="Q95:Q96" si="133">IF(P20=0,"",Q20/P20-1)</f>
        <v>4.2338268670613521E-2</v>
      </c>
      <c r="R95" s="92">
        <f t="shared" ref="R95:R96" si="134">IF(Q20=0,"",R20/Q20-1)</f>
        <v>5.900244458522419E-2</v>
      </c>
      <c r="S95" s="92">
        <f t="shared" ref="S95:S96" si="135">IF(R20=0,"",S20/R20-1)</f>
        <v>7.0489112626911821E-2</v>
      </c>
      <c r="T95" s="92">
        <f t="shared" ref="T95:T96" si="136">IF(S20=0,"",T20/S20-1)</f>
        <v>9.1985246045043212E-3</v>
      </c>
      <c r="U95" s="92">
        <f t="shared" ref="U95:U96" si="137">IF(T20=0,"",U20/T20-1)</f>
        <v>8.4898549201458229E-2</v>
      </c>
      <c r="V95" s="92">
        <f t="shared" ref="V95:V96" si="138">IF(U20=0,"",V20/U20-1)</f>
        <v>3.9369088573962374E-2</v>
      </c>
      <c r="W95" s="92">
        <f t="shared" ref="W95:W96" si="139">IF(V20=0,"",W20/V20-1)</f>
        <v>3.2492224301861716E-2</v>
      </c>
      <c r="X95" s="92">
        <f t="shared" ref="X95:X96" si="140">IF(W20=0,"",X20/W20-1)</f>
        <v>-0.1189709324632664</v>
      </c>
      <c r="Y95" s="92">
        <f t="shared" ref="Y95:Y96" si="141">IF(X20=0,"",Y20/X20-1)</f>
        <v>0.12219933833149699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1.5939591580159007E-2</v>
      </c>
      <c r="F96" s="93">
        <f t="shared" si="122"/>
        <v>-3.0367086705939128E-2</v>
      </c>
      <c r="G96" s="93">
        <f t="shared" si="123"/>
        <v>4.7416655236861338E-2</v>
      </c>
      <c r="H96" s="93">
        <f t="shared" si="124"/>
        <v>2.113658313682909E-2</v>
      </c>
      <c r="I96" s="93">
        <f t="shared" si="125"/>
        <v>3.6123757289950875E-2</v>
      </c>
      <c r="J96" s="93">
        <f t="shared" si="126"/>
        <v>1.9667206921083702E-2</v>
      </c>
      <c r="K96" s="93">
        <f t="shared" si="127"/>
        <v>1.4875710849244994E-2</v>
      </c>
      <c r="L96" s="93">
        <f t="shared" si="128"/>
        <v>-9.4684453711143535E-3</v>
      </c>
      <c r="M96" s="93">
        <f t="shared" si="129"/>
        <v>3.5448379696878529E-3</v>
      </c>
      <c r="N96" s="93">
        <f t="shared" si="130"/>
        <v>1.278559392122447E-2</v>
      </c>
      <c r="O96" s="93">
        <f t="shared" si="131"/>
        <v>3.2035972162285153E-2</v>
      </c>
      <c r="P96" s="93">
        <f t="shared" si="132"/>
        <v>-6.2574604378118348E-4</v>
      </c>
      <c r="Q96" s="93">
        <f t="shared" si="133"/>
        <v>1.8410347325320986E-2</v>
      </c>
      <c r="R96" s="93">
        <f t="shared" si="134"/>
        <v>1.0456378210165429E-2</v>
      </c>
      <c r="S96" s="93">
        <f t="shared" si="135"/>
        <v>-4.7879676138573579E-4</v>
      </c>
      <c r="T96" s="93">
        <f t="shared" si="136"/>
        <v>5.4953486564124354E-3</v>
      </c>
      <c r="U96" s="93">
        <f t="shared" si="137"/>
        <v>3.2674710507474058E-2</v>
      </c>
      <c r="V96" s="93">
        <f t="shared" si="138"/>
        <v>6.0118914837217874E-2</v>
      </c>
      <c r="W96" s="93">
        <f t="shared" si="139"/>
        <v>5.3691827571373807E-3</v>
      </c>
      <c r="X96" s="93">
        <f t="shared" si="140"/>
        <v>-0.14299250663692076</v>
      </c>
      <c r="Y96" s="93">
        <f t="shared" si="141"/>
        <v>7.7935183506080197E-2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-1.9916753047986457E-2</v>
      </c>
      <c r="F97" s="89">
        <f t="shared" ref="F97:F106" si="143">IF(E23=0,"",F23/E23-1)</f>
        <v>3.144584427028585E-2</v>
      </c>
      <c r="G97" s="89">
        <f t="shared" ref="G97:G106" si="144">IF(F23=0,"",G23/F23-1)</f>
        <v>4.8481690869176308E-2</v>
      </c>
      <c r="H97" s="89">
        <f t="shared" ref="H97:H106" si="145">IF(G23=0,"",H23/G23-1)</f>
        <v>-1.2065234805540781E-2</v>
      </c>
      <c r="I97" s="89">
        <f t="shared" ref="I97:I106" si="146">IF(H23=0,"",I23/H23-1)</f>
        <v>2.4792677358441928E-2</v>
      </c>
      <c r="J97" s="89">
        <f t="shared" ref="J97:J106" si="147">IF(I23=0,"",J23/I23-1)</f>
        <v>2.6751193742351909E-2</v>
      </c>
      <c r="K97" s="89">
        <f t="shared" ref="K97:K106" si="148">IF(J23=0,"",K23/J23-1)</f>
        <v>4.5257884676042304E-2</v>
      </c>
      <c r="L97" s="89">
        <f t="shared" ref="L97:L106" si="149">IF(K23=0,"",L23/K23-1)</f>
        <v>4.7207234586730706E-2</v>
      </c>
      <c r="M97" s="89">
        <f t="shared" ref="M97:M106" si="150">IF(L23=0,"",M23/L23-1)</f>
        <v>-1.1099237871926682E-2</v>
      </c>
      <c r="N97" s="89">
        <f t="shared" ref="N97:N106" si="151">IF(M23=0,"",N23/M23-1)</f>
        <v>5.9602578086037195E-2</v>
      </c>
      <c r="O97" s="89">
        <f t="shared" ref="O97:O106" si="152">IF(N23=0,"",O23/N23-1)</f>
        <v>-6.2586805346203089E-3</v>
      </c>
      <c r="P97" s="89">
        <f t="shared" ref="P97:P106" si="153">IF(O23=0,"",P23/O23-1)</f>
        <v>4.9300153393307511E-2</v>
      </c>
      <c r="Q97" s="89">
        <f t="shared" ref="Q97:Q106" si="154">IF(P23=0,"",Q23/P23-1)</f>
        <v>6.5751439504218467E-2</v>
      </c>
      <c r="R97" s="89">
        <f t="shared" ref="R97:R106" si="155">IF(Q23=0,"",R23/Q23-1)</f>
        <v>8.1216197985842564E-2</v>
      </c>
      <c r="S97" s="89">
        <f t="shared" ref="S97:S106" si="156">IF(R23=0,"",S23/R23-1)</f>
        <v>0.10928565356004238</v>
      </c>
      <c r="T97" s="89">
        <f t="shared" ref="T97:T106" si="157">IF(S23=0,"",T23/S23-1)</f>
        <v>3.3256540782165445E-2</v>
      </c>
      <c r="U97" s="89">
        <f t="shared" ref="U97:U106" si="158">IF(T23=0,"",U23/T23-1)</f>
        <v>0.10925629479613397</v>
      </c>
      <c r="V97" s="89">
        <f t="shared" ref="V97:V106" si="159">IF(U23=0,"",V23/U23-1)</f>
        <v>7.2553162431585383E-2</v>
      </c>
      <c r="W97" s="89">
        <f t="shared" ref="W97:W106" si="160">IF(V23=0,"",W23/V23-1)</f>
        <v>8.3311871170769658E-2</v>
      </c>
      <c r="X97" s="89">
        <f t="shared" ref="X97:X106" si="161">IF(W23=0,"",X23/W23-1)</f>
        <v>-6.9456987011646154E-2</v>
      </c>
      <c r="Y97" s="89">
        <f t="shared" ref="Y97:Y106" si="162">IF(X23=0,"",Y23/X23-1)</f>
        <v>0.12987364026405213</v>
      </c>
    </row>
    <row r="98" spans="1:25" x14ac:dyDescent="0.25">
      <c r="A98" s="64" t="s">
        <v>33</v>
      </c>
      <c r="B98" s="65"/>
      <c r="C98" s="65"/>
      <c r="D98" s="83"/>
      <c r="E98" s="83" t="str">
        <f t="shared" si="142"/>
        <v/>
      </c>
      <c r="F98" s="83" t="str">
        <f t="shared" si="143"/>
        <v/>
      </c>
      <c r="G98" s="83" t="str">
        <f t="shared" si="144"/>
        <v/>
      </c>
      <c r="H98" s="83" t="str">
        <f t="shared" si="145"/>
        <v/>
      </c>
      <c r="I98" s="83" t="str">
        <f t="shared" si="146"/>
        <v/>
      </c>
      <c r="J98" s="83">
        <f t="shared" si="147"/>
        <v>4.1958491823569588E-2</v>
      </c>
      <c r="K98" s="83">
        <f t="shared" si="148"/>
        <v>2.0201583477125196E-2</v>
      </c>
      <c r="L98" s="83">
        <f t="shared" si="149"/>
        <v>-0.39870331800819692</v>
      </c>
      <c r="M98" s="83">
        <f t="shared" si="150"/>
        <v>0.35012289572801558</v>
      </c>
      <c r="N98" s="83">
        <f t="shared" si="151"/>
        <v>-7.4480701365361557E-2</v>
      </c>
      <c r="O98" s="83">
        <f t="shared" si="152"/>
        <v>-0.21362171235772298</v>
      </c>
      <c r="P98" s="83">
        <f t="shared" si="153"/>
        <v>0.1071215370804004</v>
      </c>
      <c r="Q98" s="83">
        <f t="shared" si="154"/>
        <v>7.5920900439699901E-2</v>
      </c>
      <c r="R98" s="83">
        <f t="shared" si="155"/>
        <v>1.7106978250046589E-2</v>
      </c>
      <c r="S98" s="83">
        <f t="shared" si="156"/>
        <v>1.1152275312855453E-2</v>
      </c>
      <c r="T98" s="83">
        <f t="shared" si="157"/>
        <v>3.912519060156483E-2</v>
      </c>
      <c r="U98" s="83">
        <f t="shared" si="158"/>
        <v>-0.20451080300766</v>
      </c>
      <c r="V98" s="83">
        <f t="shared" si="159"/>
        <v>7.3981727764661276E-2</v>
      </c>
      <c r="W98" s="83">
        <f t="shared" si="160"/>
        <v>-0.24936134904087492</v>
      </c>
      <c r="X98" s="83">
        <f t="shared" si="161"/>
        <v>0.5047462039306021</v>
      </c>
      <c r="Y98" s="83">
        <f t="shared" si="162"/>
        <v>0.32986860619402281</v>
      </c>
    </row>
    <row r="99" spans="1:25" x14ac:dyDescent="0.25">
      <c r="A99" s="64" t="s">
        <v>56</v>
      </c>
      <c r="B99" s="65"/>
      <c r="C99" s="65"/>
      <c r="D99" s="83"/>
      <c r="E99" s="83" t="str">
        <f t="shared" si="142"/>
        <v/>
      </c>
      <c r="F99" s="83" t="str">
        <f t="shared" si="143"/>
        <v/>
      </c>
      <c r="G99" s="83" t="str">
        <f t="shared" si="144"/>
        <v/>
      </c>
      <c r="H99" s="83" t="str">
        <f t="shared" si="145"/>
        <v/>
      </c>
      <c r="I99" s="83" t="str">
        <f t="shared" si="146"/>
        <v/>
      </c>
      <c r="J99" s="83" t="str">
        <f t="shared" si="147"/>
        <v/>
      </c>
      <c r="K99" s="83" t="str">
        <f t="shared" si="148"/>
        <v/>
      </c>
      <c r="L99" s="83" t="str">
        <f t="shared" si="149"/>
        <v/>
      </c>
      <c r="M99" s="83" t="str">
        <f t="shared" si="150"/>
        <v/>
      </c>
      <c r="N99" s="83" t="str">
        <f t="shared" si="151"/>
        <v/>
      </c>
      <c r="O99" s="83" t="str">
        <f t="shared" si="152"/>
        <v/>
      </c>
      <c r="P99" s="83" t="str">
        <f t="shared" si="153"/>
        <v/>
      </c>
      <c r="Q99" s="83" t="str">
        <f t="shared" si="154"/>
        <v/>
      </c>
      <c r="R99" s="83" t="str">
        <f t="shared" si="155"/>
        <v/>
      </c>
      <c r="S99" s="83" t="str">
        <f t="shared" si="156"/>
        <v/>
      </c>
      <c r="T99" s="83" t="str">
        <f t="shared" si="157"/>
        <v/>
      </c>
      <c r="U99" s="83" t="str">
        <f t="shared" si="158"/>
        <v/>
      </c>
      <c r="V99" s="83" t="str">
        <f t="shared" si="159"/>
        <v/>
      </c>
      <c r="W99" s="83" t="str">
        <f t="shared" si="160"/>
        <v/>
      </c>
      <c r="X99" s="83" t="str">
        <f t="shared" si="161"/>
        <v/>
      </c>
      <c r="Y99" s="83" t="str">
        <f t="shared" si="162"/>
        <v/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2.1150097578554572E-2</v>
      </c>
      <c r="F100" s="83">
        <f t="shared" si="143"/>
        <v>1.6105211200715619E-2</v>
      </c>
      <c r="G100" s="83">
        <f t="shared" si="144"/>
        <v>5.0325300029337994E-2</v>
      </c>
      <c r="H100" s="83">
        <f t="shared" si="145"/>
        <v>1.5840421344198274E-2</v>
      </c>
      <c r="I100" s="83">
        <f t="shared" si="146"/>
        <v>4.422416325095746E-2</v>
      </c>
      <c r="J100" s="83">
        <f t="shared" si="147"/>
        <v>4.2662692569233496E-2</v>
      </c>
      <c r="K100" s="83">
        <f t="shared" si="148"/>
        <v>7.2768388419081731E-2</v>
      </c>
      <c r="L100" s="83">
        <f t="shared" si="149"/>
        <v>4.8354562100011655E-2</v>
      </c>
      <c r="M100" s="83">
        <f t="shared" si="150"/>
        <v>8.297049023355374E-3</v>
      </c>
      <c r="N100" s="83">
        <f t="shared" si="151"/>
        <v>6.2096790629067034E-2</v>
      </c>
      <c r="O100" s="83">
        <f t="shared" si="152"/>
        <v>1.2211895688550634E-2</v>
      </c>
      <c r="P100" s="83">
        <f t="shared" si="153"/>
        <v>6.9201808851090396E-2</v>
      </c>
      <c r="Q100" s="83">
        <f t="shared" si="154"/>
        <v>7.1294743351502321E-2</v>
      </c>
      <c r="R100" s="83">
        <f t="shared" si="155"/>
        <v>0.10447337199402229</v>
      </c>
      <c r="S100" s="83">
        <f t="shared" si="156"/>
        <v>0.12283963937175968</v>
      </c>
      <c r="T100" s="83">
        <f t="shared" si="157"/>
        <v>3.1591867395009743E-2</v>
      </c>
      <c r="U100" s="83">
        <f t="shared" si="158"/>
        <v>0.12147542806694589</v>
      </c>
      <c r="V100" s="83">
        <f t="shared" si="159"/>
        <v>6.9878125774275546E-2</v>
      </c>
      <c r="W100" s="83">
        <f t="shared" si="160"/>
        <v>7.9692016048885206E-2</v>
      </c>
      <c r="X100" s="83">
        <f t="shared" si="161"/>
        <v>-8.211388447932022E-2</v>
      </c>
      <c r="Y100" s="83">
        <f t="shared" si="162"/>
        <v>0.14019486909458645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5.7974488624480403E-2</v>
      </c>
      <c r="F101" s="84">
        <f t="shared" si="143"/>
        <v>5.8506050069337956E-3</v>
      </c>
      <c r="G101" s="84">
        <f t="shared" si="144"/>
        <v>3.4807103985775134E-2</v>
      </c>
      <c r="H101" s="84">
        <f t="shared" si="145"/>
        <v>6.8268318400608319E-3</v>
      </c>
      <c r="I101" s="84">
        <f t="shared" si="146"/>
        <v>1.3777674054257005E-2</v>
      </c>
      <c r="J101" s="84">
        <f t="shared" si="147"/>
        <v>1.3667103531122216E-2</v>
      </c>
      <c r="K101" s="84">
        <f t="shared" si="148"/>
        <v>0.12218849385386044</v>
      </c>
      <c r="L101" s="84">
        <f t="shared" si="149"/>
        <v>0.10412089105673661</v>
      </c>
      <c r="M101" s="84">
        <f t="shared" si="150"/>
        <v>-1.7386195489380141E-2</v>
      </c>
      <c r="N101" s="84">
        <f t="shared" si="151"/>
        <v>4.3157940858288724E-2</v>
      </c>
      <c r="O101" s="84">
        <f t="shared" si="152"/>
        <v>3.2627709282997408E-3</v>
      </c>
      <c r="P101" s="84">
        <f t="shared" si="153"/>
        <v>6.470969752007294E-2</v>
      </c>
      <c r="Q101" s="84">
        <f t="shared" si="154"/>
        <v>8.4646578383799964E-2</v>
      </c>
      <c r="R101" s="84">
        <f t="shared" si="155"/>
        <v>0.14692432152350698</v>
      </c>
      <c r="S101" s="84">
        <f t="shared" si="156"/>
        <v>0.10070384713988156</v>
      </c>
      <c r="T101" s="84">
        <f t="shared" si="157"/>
        <v>-3.4601722920656997E-2</v>
      </c>
      <c r="U101" s="84">
        <f t="shared" si="158"/>
        <v>9.634248096014808E-2</v>
      </c>
      <c r="V101" s="84">
        <f t="shared" si="159"/>
        <v>8.0567122953849157E-2</v>
      </c>
      <c r="W101" s="84">
        <f t="shared" si="160"/>
        <v>5.0136201696134863E-2</v>
      </c>
      <c r="X101" s="84">
        <f t="shared" si="161"/>
        <v>-0.12281665525007268</v>
      </c>
      <c r="Y101" s="84">
        <f t="shared" si="162"/>
        <v>0.17237304585345625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1.6000723363432501E-2</v>
      </c>
      <c r="F102" s="84">
        <f t="shared" si="143"/>
        <v>1.5137984754937994E-2</v>
      </c>
      <c r="G102" s="84">
        <f t="shared" si="144"/>
        <v>9.6285223500048644E-2</v>
      </c>
      <c r="H102" s="84">
        <f t="shared" si="145"/>
        <v>7.6113744549812345E-2</v>
      </c>
      <c r="I102" s="84">
        <f t="shared" si="146"/>
        <v>0.10510517823154619</v>
      </c>
      <c r="J102" s="84">
        <f t="shared" si="147"/>
        <v>9.0923052303435448E-2</v>
      </c>
      <c r="K102" s="84">
        <f t="shared" si="148"/>
        <v>4.24812781238606E-2</v>
      </c>
      <c r="L102" s="84">
        <f t="shared" si="149"/>
        <v>-2.4396310176977298E-4</v>
      </c>
      <c r="M102" s="84">
        <f t="shared" si="150"/>
        <v>6.4833285056465906E-2</v>
      </c>
      <c r="N102" s="84">
        <f t="shared" si="151"/>
        <v>9.4115471515773041E-2</v>
      </c>
      <c r="O102" s="84">
        <f t="shared" si="152"/>
        <v>9.1261305638803414E-3</v>
      </c>
      <c r="P102" s="84">
        <f t="shared" si="153"/>
        <v>9.6087635112209746E-2</v>
      </c>
      <c r="Q102" s="84">
        <f t="shared" si="154"/>
        <v>4.3536307774784122E-2</v>
      </c>
      <c r="R102" s="84">
        <f t="shared" si="155"/>
        <v>7.8327506169406202E-2</v>
      </c>
      <c r="S102" s="84">
        <f t="shared" si="156"/>
        <v>0.15082319968398195</v>
      </c>
      <c r="T102" s="84">
        <f t="shared" si="157"/>
        <v>0.14597729537229087</v>
      </c>
      <c r="U102" s="84">
        <f t="shared" si="158"/>
        <v>0.15026625616890521</v>
      </c>
      <c r="V102" s="84">
        <f t="shared" si="159"/>
        <v>7.3450370395146569E-2</v>
      </c>
      <c r="W102" s="84">
        <f t="shared" si="160"/>
        <v>0.11684833313069176</v>
      </c>
      <c r="X102" s="84">
        <f t="shared" si="161"/>
        <v>-3.1243560340451615E-2</v>
      </c>
      <c r="Y102" s="84">
        <f t="shared" si="162"/>
        <v>0.10410432299074213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-4.9468372050883058E-2</v>
      </c>
      <c r="F103" s="84">
        <f t="shared" si="143"/>
        <v>4.1929363082656934E-2</v>
      </c>
      <c r="G103" s="84">
        <f t="shared" si="144"/>
        <v>1.415978667616824E-2</v>
      </c>
      <c r="H103" s="84">
        <f t="shared" si="145"/>
        <v>-6.4686997249294831E-2</v>
      </c>
      <c r="I103" s="84">
        <f t="shared" si="146"/>
        <v>2.6415294403356882E-3</v>
      </c>
      <c r="J103" s="84">
        <f t="shared" si="147"/>
        <v>1.3150175595658453E-2</v>
      </c>
      <c r="K103" s="84">
        <f t="shared" si="148"/>
        <v>1.6944045765006299E-2</v>
      </c>
      <c r="L103" s="84">
        <f t="shared" si="149"/>
        <v>6.6911835985716817E-3</v>
      </c>
      <c r="M103" s="84">
        <f t="shared" si="150"/>
        <v>-4.5175170905384032E-2</v>
      </c>
      <c r="N103" s="84">
        <f t="shared" si="151"/>
        <v>3.8370830739060002E-2</v>
      </c>
      <c r="O103" s="84">
        <f t="shared" si="152"/>
        <v>4.9139880062995855E-2</v>
      </c>
      <c r="P103" s="84">
        <f t="shared" si="153"/>
        <v>1.1681852204238785E-2</v>
      </c>
      <c r="Q103" s="84">
        <f t="shared" si="154"/>
        <v>0.10820786907130175</v>
      </c>
      <c r="R103" s="84">
        <f t="shared" si="155"/>
        <v>4.2218475208219086E-2</v>
      </c>
      <c r="S103" s="84">
        <f t="shared" si="156"/>
        <v>0.12089080573951438</v>
      </c>
      <c r="T103" s="84">
        <f t="shared" si="157"/>
        <v>-7.267112948107235E-2</v>
      </c>
      <c r="U103" s="84">
        <f t="shared" si="158"/>
        <v>0.10790212045685443</v>
      </c>
      <c r="V103" s="84">
        <f t="shared" si="159"/>
        <v>1.9485529007424951E-2</v>
      </c>
      <c r="W103" s="84">
        <f t="shared" si="160"/>
        <v>4.4842920980058487E-2</v>
      </c>
      <c r="X103" s="84">
        <f t="shared" si="161"/>
        <v>-0.14177082183853118</v>
      </c>
      <c r="Y103" s="84">
        <f t="shared" si="162"/>
        <v>0.18688295005424793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0.15471691723580538</v>
      </c>
      <c r="F104" s="83">
        <f t="shared" si="143"/>
        <v>0.11641466586057758</v>
      </c>
      <c r="G104" s="83">
        <f t="shared" si="144"/>
        <v>-0.21650094441941492</v>
      </c>
      <c r="H104" s="83">
        <f t="shared" si="145"/>
        <v>0.29260920621841469</v>
      </c>
      <c r="I104" s="83">
        <f t="shared" si="146"/>
        <v>-0.4247735852679011</v>
      </c>
      <c r="J104" s="83">
        <f t="shared" si="147"/>
        <v>1.0984574506336817</v>
      </c>
      <c r="K104" s="83">
        <f t="shared" si="148"/>
        <v>-4.7339303859503801E-3</v>
      </c>
      <c r="L104" s="83">
        <f t="shared" si="149"/>
        <v>-0.25181008449963638</v>
      </c>
      <c r="M104" s="83">
        <f t="shared" si="150"/>
        <v>0.91479635756769806</v>
      </c>
      <c r="N104" s="83">
        <f t="shared" si="151"/>
        <v>-9.14501760121883E-2</v>
      </c>
      <c r="O104" s="83">
        <f t="shared" si="152"/>
        <v>-0.76151314792469171</v>
      </c>
      <c r="P104" s="83">
        <f t="shared" si="153"/>
        <v>-2.7310782269683784</v>
      </c>
      <c r="Q104" s="83">
        <f t="shared" si="154"/>
        <v>-2.208907888207281</v>
      </c>
      <c r="R104" s="83">
        <f t="shared" si="155"/>
        <v>-2.3593887176043271E-2</v>
      </c>
      <c r="S104" s="83">
        <f t="shared" si="156"/>
        <v>0.98696512195121477</v>
      </c>
      <c r="T104" s="83">
        <f t="shared" si="157"/>
        <v>0.51895285316553097</v>
      </c>
      <c r="U104" s="83">
        <f t="shared" si="158"/>
        <v>-0.30109889602957385</v>
      </c>
      <c r="V104" s="83">
        <f t="shared" si="159"/>
        <v>0.17199433265821251</v>
      </c>
      <c r="W104" s="83">
        <f t="shared" si="160"/>
        <v>3.5066139723374246E-3</v>
      </c>
      <c r="X104" s="83">
        <f t="shared" si="161"/>
        <v>-8.3393261967327326E-2</v>
      </c>
      <c r="Y104" s="83">
        <f t="shared" si="162"/>
        <v>0.29333506066899706</v>
      </c>
    </row>
    <row r="105" spans="1:25" x14ac:dyDescent="0.25">
      <c r="A105" s="64" t="s">
        <v>37</v>
      </c>
      <c r="B105" s="65"/>
      <c r="C105" s="65"/>
      <c r="D105" s="83"/>
      <c r="E105" s="83" t="str">
        <f t="shared" si="142"/>
        <v/>
      </c>
      <c r="F105" s="83" t="str">
        <f t="shared" si="143"/>
        <v/>
      </c>
      <c r="G105" s="83" t="str">
        <f t="shared" si="144"/>
        <v/>
      </c>
      <c r="H105" s="83" t="str">
        <f t="shared" si="145"/>
        <v/>
      </c>
      <c r="I105" s="83" t="str">
        <f t="shared" si="146"/>
        <v/>
      </c>
      <c r="J105" s="83" t="str">
        <f t="shared" si="147"/>
        <v/>
      </c>
      <c r="K105" s="83" t="str">
        <f t="shared" si="148"/>
        <v/>
      </c>
      <c r="L105" s="83" t="str">
        <f t="shared" si="149"/>
        <v/>
      </c>
      <c r="M105" s="83" t="str">
        <f t="shared" si="150"/>
        <v/>
      </c>
      <c r="N105" s="83" t="str">
        <f t="shared" si="151"/>
        <v/>
      </c>
      <c r="O105" s="83">
        <f t="shared" si="152"/>
        <v>-7.1287394140607252E-2</v>
      </c>
      <c r="P105" s="83">
        <f t="shared" si="153"/>
        <v>-3.022745721538167E-2</v>
      </c>
      <c r="Q105" s="83">
        <f t="shared" si="154"/>
        <v>0.12138085959402956</v>
      </c>
      <c r="R105" s="83">
        <f t="shared" si="155"/>
        <v>-8.0960513183521932E-2</v>
      </c>
      <c r="S105" s="83">
        <f t="shared" si="156"/>
        <v>8.862601410934734E-2</v>
      </c>
      <c r="T105" s="83">
        <f t="shared" si="157"/>
        <v>2.1816752511066406E-2</v>
      </c>
      <c r="U105" s="83">
        <f t="shared" si="158"/>
        <v>0.18212552070870869</v>
      </c>
      <c r="V105" s="83">
        <f t="shared" si="159"/>
        <v>0.13510507985637132</v>
      </c>
      <c r="W105" s="83">
        <f t="shared" si="160"/>
        <v>0.29613131044870866</v>
      </c>
      <c r="X105" s="83">
        <f t="shared" si="161"/>
        <v>-1.2809929418722277E-3</v>
      </c>
      <c r="Y105" s="83">
        <f t="shared" si="162"/>
        <v>3.0447470106287344E-2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-0.12043943715383498</v>
      </c>
      <c r="F106" s="83">
        <f t="shared" si="143"/>
        <v>6.993916766467434E-2</v>
      </c>
      <c r="G106" s="83">
        <f t="shared" si="144"/>
        <v>5.3630002357404782E-2</v>
      </c>
      <c r="H106" s="83">
        <f t="shared" si="145"/>
        <v>-9.2043350146649883E-2</v>
      </c>
      <c r="I106" s="83">
        <f t="shared" si="146"/>
        <v>-9.7983895024761125E-2</v>
      </c>
      <c r="J106" s="83">
        <f t="shared" si="147"/>
        <v>-5.4499734850021242E-2</v>
      </c>
      <c r="K106" s="83">
        <f t="shared" si="148"/>
        <v>-5.0061433179649062E-2</v>
      </c>
      <c r="L106" s="83">
        <f t="shared" si="149"/>
        <v>0.10960486051668639</v>
      </c>
      <c r="M106" s="83">
        <f t="shared" si="150"/>
        <v>-0.14521857802831584</v>
      </c>
      <c r="N106" s="83">
        <f t="shared" si="151"/>
        <v>-0.21760454618907521</v>
      </c>
      <c r="O106" s="83">
        <f t="shared" si="152"/>
        <v>3.4439064449902634E-3</v>
      </c>
      <c r="P106" s="83">
        <f t="shared" si="153"/>
        <v>1.3987441821314839E-2</v>
      </c>
      <c r="Q106" s="83">
        <f t="shared" si="154"/>
        <v>-8.531213263736781E-2</v>
      </c>
      <c r="R106" s="83">
        <f t="shared" si="155"/>
        <v>-2.1304871853055518E-2</v>
      </c>
      <c r="S106" s="83">
        <f t="shared" si="156"/>
        <v>-3.8728513006169196E-2</v>
      </c>
      <c r="T106" s="83">
        <f t="shared" si="157"/>
        <v>-6.3941803695433119E-4</v>
      </c>
      <c r="U106" s="83">
        <f t="shared" si="158"/>
        <v>5.89505801360799E-2</v>
      </c>
      <c r="V106" s="83">
        <f t="shared" si="159"/>
        <v>6.0380391678568124E-2</v>
      </c>
      <c r="W106" s="83">
        <f t="shared" si="160"/>
        <v>5.5063582053426874E-2</v>
      </c>
      <c r="X106" s="83">
        <f t="shared" si="161"/>
        <v>-5.1702812241786189E-3</v>
      </c>
      <c r="Y106" s="83">
        <f t="shared" si="162"/>
        <v>4.4810286660030174E-2</v>
      </c>
    </row>
    <row r="107" spans="1:25" x14ac:dyDescent="0.25">
      <c r="A107" s="85" t="s">
        <v>158</v>
      </c>
      <c r="B107" s="86"/>
      <c r="C107" s="86"/>
      <c r="D107" s="87"/>
      <c r="E107" s="87" t="str">
        <f t="shared" ref="E107:E108" si="163">IF(D33=0,"",E33/D33-1)</f>
        <v/>
      </c>
      <c r="F107" s="87" t="str">
        <f t="shared" ref="F107:F108" si="164">IF(E33=0,"",F33/E33-1)</f>
        <v/>
      </c>
      <c r="G107" s="87" t="str">
        <f t="shared" ref="G107:G108" si="165">IF(F33=0,"",G33/F33-1)</f>
        <v/>
      </c>
      <c r="H107" s="87" t="str">
        <f t="shared" ref="H107:H108" si="166">IF(G33=0,"",H33/G33-1)</f>
        <v/>
      </c>
      <c r="I107" s="87" t="str">
        <f t="shared" ref="I107:I108" si="167">IF(H33=0,"",I33/H33-1)</f>
        <v/>
      </c>
      <c r="J107" s="87" t="str">
        <f t="shared" ref="J107:J108" si="168">IF(I33=0,"",J33/I33-1)</f>
        <v/>
      </c>
      <c r="K107" s="87" t="str">
        <f t="shared" ref="K107:K108" si="169">IF(J33=0,"",K33/J33-1)</f>
        <v/>
      </c>
      <c r="L107" s="87" t="str">
        <f t="shared" ref="L107:L108" si="170">IF(K33=0,"",L33/K33-1)</f>
        <v/>
      </c>
      <c r="M107" s="87" t="str">
        <f t="shared" ref="M107:M108" si="171">IF(L33=0,"",M33/L33-1)</f>
        <v/>
      </c>
      <c r="N107" s="87" t="str">
        <f t="shared" ref="N107:N108" si="172">IF(M33=0,"",N33/M33-1)</f>
        <v/>
      </c>
      <c r="O107" s="87" t="str">
        <f t="shared" ref="O107:O108" si="173">IF(N33=0,"",O33/N33-1)</f>
        <v/>
      </c>
      <c r="P107" s="87" t="str">
        <f t="shared" ref="P107:P108" si="174">IF(O33=0,"",P33/O33-1)</f>
        <v/>
      </c>
      <c r="Q107" s="87" t="str">
        <f t="shared" ref="Q107:Q108" si="175">IF(P33=0,"",Q33/P33-1)</f>
        <v/>
      </c>
      <c r="R107" s="87" t="str">
        <f t="shared" ref="R107:R108" si="176">IF(Q33=0,"",R33/Q33-1)</f>
        <v/>
      </c>
      <c r="S107" s="87" t="str">
        <f t="shared" ref="S107:S108" si="177">IF(R33=0,"",S33/R33-1)</f>
        <v/>
      </c>
      <c r="T107" s="87" t="str">
        <f t="shared" ref="T107:T108" si="178">IF(S33=0,"",T33/S33-1)</f>
        <v/>
      </c>
      <c r="U107" s="87" t="str">
        <f t="shared" ref="U107:U108" si="179">IF(T33=0,"",U33/T33-1)</f>
        <v/>
      </c>
      <c r="V107" s="87" t="str">
        <f t="shared" ref="V107:V108" si="180">IF(U33=0,"",V33/U33-1)</f>
        <v/>
      </c>
      <c r="W107" s="87" t="str">
        <f t="shared" ref="W107:W108" si="181">IF(V33=0,"",W33/V33-1)</f>
        <v/>
      </c>
      <c r="X107" s="87" t="str">
        <f t="shared" ref="X107:X108" si="182">IF(W33=0,"",X33/W33-1)</f>
        <v/>
      </c>
      <c r="Y107" s="87" t="str">
        <f t="shared" ref="Y107:Y108" si="183">IF(X33=0,"",Y33/X33-1)</f>
        <v/>
      </c>
    </row>
    <row r="108" spans="1:25" x14ac:dyDescent="0.25">
      <c r="A108" s="88" t="s">
        <v>5</v>
      </c>
      <c r="B108" s="44"/>
      <c r="C108" s="44"/>
      <c r="D108" s="89"/>
      <c r="E108" s="89" t="str">
        <f t="shared" si="163"/>
        <v/>
      </c>
      <c r="F108" s="89" t="str">
        <f t="shared" si="164"/>
        <v/>
      </c>
      <c r="G108" s="89" t="str">
        <f t="shared" si="165"/>
        <v/>
      </c>
      <c r="H108" s="89" t="str">
        <f t="shared" si="166"/>
        <v/>
      </c>
      <c r="I108" s="89" t="str">
        <f t="shared" si="167"/>
        <v/>
      </c>
      <c r="J108" s="89" t="str">
        <f t="shared" si="168"/>
        <v/>
      </c>
      <c r="K108" s="89" t="str">
        <f t="shared" si="169"/>
        <v/>
      </c>
      <c r="L108" s="89" t="str">
        <f t="shared" si="170"/>
        <v/>
      </c>
      <c r="M108" s="89" t="str">
        <f t="shared" si="171"/>
        <v/>
      </c>
      <c r="N108" s="89" t="str">
        <f t="shared" si="172"/>
        <v/>
      </c>
      <c r="O108" s="89" t="str">
        <f t="shared" si="173"/>
        <v/>
      </c>
      <c r="P108" s="89" t="str">
        <f t="shared" si="174"/>
        <v/>
      </c>
      <c r="Q108" s="89" t="str">
        <f t="shared" si="175"/>
        <v/>
      </c>
      <c r="R108" s="89" t="str">
        <f t="shared" si="176"/>
        <v/>
      </c>
      <c r="S108" s="89" t="str">
        <f t="shared" si="177"/>
        <v/>
      </c>
      <c r="T108" s="89" t="str">
        <f t="shared" si="178"/>
        <v/>
      </c>
      <c r="U108" s="89" t="str">
        <f t="shared" si="179"/>
        <v/>
      </c>
      <c r="V108" s="89" t="str">
        <f t="shared" si="180"/>
        <v/>
      </c>
      <c r="W108" s="89" t="str">
        <f t="shared" si="181"/>
        <v/>
      </c>
      <c r="X108" s="89" t="str">
        <f t="shared" si="182"/>
        <v/>
      </c>
      <c r="Y108" s="89" t="str">
        <f t="shared" si="183"/>
        <v/>
      </c>
    </row>
    <row r="109" spans="1:25" x14ac:dyDescent="0.25">
      <c r="A109" s="88" t="s">
        <v>269</v>
      </c>
      <c r="B109" s="44"/>
      <c r="C109" s="44"/>
      <c r="D109" s="89"/>
      <c r="E109" s="89" t="str">
        <f t="shared" ref="E109" si="184">IF(D37=0,"",E37/D37-1)</f>
        <v/>
      </c>
      <c r="F109" s="89" t="str">
        <f t="shared" ref="F109" si="185">IF(E37=0,"",F37/E37-1)</f>
        <v/>
      </c>
      <c r="G109" s="89" t="str">
        <f t="shared" ref="G109" si="186">IF(F37=0,"",G37/F37-1)</f>
        <v/>
      </c>
      <c r="H109" s="89" t="str">
        <f t="shared" ref="H109" si="187">IF(G37=0,"",H37/G37-1)</f>
        <v/>
      </c>
      <c r="I109" s="89" t="str">
        <f t="shared" ref="I109" si="188">IF(H37=0,"",I37/H37-1)</f>
        <v/>
      </c>
      <c r="J109" s="89" t="str">
        <f t="shared" ref="J109" si="189">IF(I37=0,"",J37/I37-1)</f>
        <v/>
      </c>
      <c r="K109" s="89" t="str">
        <f t="shared" ref="K109" si="190">IF(J37=0,"",K37/J37-1)</f>
        <v/>
      </c>
      <c r="L109" s="89" t="str">
        <f t="shared" ref="L109" si="191">IF(K37=0,"",L37/K37-1)</f>
        <v/>
      </c>
      <c r="M109" s="89" t="str">
        <f t="shared" ref="M109" si="192">IF(L37=0,"",M37/L37-1)</f>
        <v/>
      </c>
      <c r="N109" s="89" t="str">
        <f t="shared" ref="N109" si="193">IF(M37=0,"",N37/M37-1)</f>
        <v/>
      </c>
      <c r="O109" s="89" t="str">
        <f t="shared" ref="O109" si="194">IF(N37=0,"",O37/N37-1)</f>
        <v/>
      </c>
      <c r="P109" s="89" t="str">
        <f t="shared" ref="P109" si="195">IF(O37=0,"",P37/O37-1)</f>
        <v/>
      </c>
      <c r="Q109" s="89" t="str">
        <f t="shared" ref="Q109" si="196">IF(P37=0,"",Q37/P37-1)</f>
        <v/>
      </c>
      <c r="R109" s="89" t="str">
        <f t="shared" ref="R109" si="197">IF(Q37=0,"",R37/Q37-1)</f>
        <v/>
      </c>
      <c r="S109" s="89" t="str">
        <f t="shared" ref="S109" si="198">IF(R37=0,"",S37/R37-1)</f>
        <v/>
      </c>
      <c r="T109" s="89" t="str">
        <f t="shared" ref="T109" si="199">IF(S37=0,"",T37/S37-1)</f>
        <v/>
      </c>
      <c r="U109" s="89" t="str">
        <f t="shared" ref="U109" si="200">IF(T37=0,"",U37/T37-1)</f>
        <v/>
      </c>
      <c r="V109" s="89" t="str">
        <f t="shared" ref="V109" si="201">IF(U37=0,"",V37/U37-1)</f>
        <v/>
      </c>
      <c r="W109" s="89" t="str">
        <f t="shared" ref="W109" si="202">IF(V37=0,"",W37/V37-1)</f>
        <v/>
      </c>
      <c r="X109" s="89" t="str">
        <f t="shared" ref="X109" si="203">IF(W37=0,"",X37/W37-1)</f>
        <v/>
      </c>
      <c r="Y109" s="89" t="str">
        <f t="shared" ref="Y109" si="204">IF(X37=0,"",Y37/X37-1)</f>
        <v/>
      </c>
    </row>
    <row r="110" spans="1:25" x14ac:dyDescent="0.25">
      <c r="A110" s="68" t="s">
        <v>271</v>
      </c>
      <c r="B110" s="44"/>
      <c r="C110" s="44"/>
      <c r="D110" s="89"/>
      <c r="E110" s="89" t="str">
        <f t="shared" ref="E110:E111" si="205">IF(D43=0,"",E43/D43-1)</f>
        <v/>
      </c>
      <c r="F110" s="89" t="str">
        <f t="shared" ref="F110:F111" si="206">IF(E43=0,"",F43/E43-1)</f>
        <v/>
      </c>
      <c r="G110" s="89" t="str">
        <f t="shared" ref="G110:G111" si="207">IF(F43=0,"",G43/F43-1)</f>
        <v/>
      </c>
      <c r="H110" s="89" t="str">
        <f t="shared" ref="H110:H111" si="208">IF(G43=0,"",H43/G43-1)</f>
        <v/>
      </c>
      <c r="I110" s="89" t="str">
        <f t="shared" ref="I110:I111" si="209">IF(H43=0,"",I43/H43-1)</f>
        <v/>
      </c>
      <c r="J110" s="89" t="str">
        <f t="shared" ref="J110:J111" si="210">IF(I43=0,"",J43/I43-1)</f>
        <v/>
      </c>
      <c r="K110" s="89" t="str">
        <f t="shared" ref="K110:K111" si="211">IF(J43=0,"",K43/J43-1)</f>
        <v/>
      </c>
      <c r="L110" s="89" t="str">
        <f t="shared" ref="L110:L111" si="212">IF(K43=0,"",L43/K43-1)</f>
        <v/>
      </c>
      <c r="M110" s="89" t="str">
        <f t="shared" ref="M110:M111" si="213">IF(L43=0,"",M43/L43-1)</f>
        <v/>
      </c>
      <c r="N110" s="89" t="str">
        <f t="shared" ref="N110:N111" si="214">IF(M43=0,"",N43/M43-1)</f>
        <v/>
      </c>
      <c r="O110" s="89">
        <f t="shared" ref="O110:O111" si="215">IF(N43=0,"",O43/N43-1)</f>
        <v>-0.36878514069367074</v>
      </c>
      <c r="P110" s="89">
        <f t="shared" ref="P110:P111" si="216">IF(O43=0,"",P43/O43-1)</f>
        <v>2.7587290365658212E-3</v>
      </c>
      <c r="Q110" s="89">
        <f t="shared" ref="Q110:Q111" si="217">IF(P43=0,"",Q43/P43-1)</f>
        <v>-3.9898820019397374E-2</v>
      </c>
      <c r="R110" s="89">
        <f t="shared" ref="R110:R111" si="218">IF(Q43=0,"",R43/Q43-1)</f>
        <v>0.18745736868033824</v>
      </c>
      <c r="S110" s="89">
        <f t="shared" ref="S110:S111" si="219">IF(R43=0,"",S43/R43-1)</f>
        <v>1.8570707070708625E-3</v>
      </c>
      <c r="T110" s="89">
        <f t="shared" ref="T110:T111" si="220">IF(S43=0,"",T43/S43-1)</f>
        <v>-0.12314938055745794</v>
      </c>
      <c r="U110" s="89">
        <f t="shared" ref="U110:U111" si="221">IF(T43=0,"",U43/T43-1)</f>
        <v>6.9595628836592933</v>
      </c>
      <c r="V110" s="89">
        <f t="shared" ref="V110:V111" si="222">IF(U43=0,"",V43/U43-1)</f>
        <v>-6.0331740433063441E-2</v>
      </c>
      <c r="W110" s="89">
        <f t="shared" ref="W110:W111" si="223">IF(V43=0,"",W43/V43-1)</f>
        <v>-8.2601090125722032E-2</v>
      </c>
      <c r="X110" s="89">
        <f t="shared" ref="X110:X111" si="224">IF(W43=0,"",X43/W43-1)</f>
        <v>9.3781387962461826E-2</v>
      </c>
      <c r="Y110" s="89">
        <f t="shared" ref="Y110:Y111" si="225">IF(X43=0,"",Y43/X43-1)</f>
        <v>-0.13535541035868104</v>
      </c>
    </row>
    <row r="111" spans="1:25" x14ac:dyDescent="0.25">
      <c r="A111" s="88" t="s">
        <v>272</v>
      </c>
      <c r="B111" s="44"/>
      <c r="C111" s="44"/>
      <c r="D111" s="89"/>
      <c r="E111" s="89" t="str">
        <f t="shared" si="205"/>
        <v/>
      </c>
      <c r="F111" s="89" t="str">
        <f t="shared" si="206"/>
        <v/>
      </c>
      <c r="G111" s="89" t="str">
        <f t="shared" si="207"/>
        <v/>
      </c>
      <c r="H111" s="89" t="str">
        <f t="shared" si="208"/>
        <v/>
      </c>
      <c r="I111" s="89" t="str">
        <f t="shared" si="209"/>
        <v/>
      </c>
      <c r="J111" s="89" t="str">
        <f t="shared" si="210"/>
        <v/>
      </c>
      <c r="K111" s="89" t="str">
        <f t="shared" si="211"/>
        <v/>
      </c>
      <c r="L111" s="89" t="str">
        <f t="shared" si="212"/>
        <v/>
      </c>
      <c r="M111" s="89" t="str">
        <f t="shared" si="213"/>
        <v/>
      </c>
      <c r="N111" s="89" t="str">
        <f t="shared" si="214"/>
        <v/>
      </c>
      <c r="O111" s="89">
        <f t="shared" si="215"/>
        <v>-0.36878514069367074</v>
      </c>
      <c r="P111" s="89">
        <f t="shared" si="216"/>
        <v>2.7587290365658212E-3</v>
      </c>
      <c r="Q111" s="89">
        <f t="shared" si="217"/>
        <v>-3.9898820019397374E-2</v>
      </c>
      <c r="R111" s="89">
        <f t="shared" si="218"/>
        <v>0.18745736868033824</v>
      </c>
      <c r="S111" s="89">
        <f t="shared" si="219"/>
        <v>1.8570707070708625E-3</v>
      </c>
      <c r="T111" s="89">
        <f t="shared" si="220"/>
        <v>-0.12314938055745794</v>
      </c>
      <c r="U111" s="89">
        <f t="shared" si="221"/>
        <v>0.12495155422384663</v>
      </c>
      <c r="V111" s="89">
        <f t="shared" si="222"/>
        <v>6.4423466898237081E-2</v>
      </c>
      <c r="W111" s="89">
        <f t="shared" si="223"/>
        <v>6.0524282770624271E-2</v>
      </c>
      <c r="X111" s="89">
        <f t="shared" si="224"/>
        <v>-8.2257098583122579E-2</v>
      </c>
      <c r="Y111" s="89">
        <f t="shared" si="225"/>
        <v>5.4530310683083005E-3</v>
      </c>
    </row>
    <row r="112" spans="1:25" x14ac:dyDescent="0.25">
      <c r="A112" s="88" t="s">
        <v>11</v>
      </c>
      <c r="B112" s="44"/>
      <c r="C112" s="44"/>
      <c r="D112" s="89"/>
      <c r="E112" s="89" t="str">
        <f t="shared" ref="E112:E113" si="226">IF(D47=0,"",E47/D47-1)</f>
        <v/>
      </c>
      <c r="F112" s="89" t="str">
        <f t="shared" ref="F112:F113" si="227">IF(E47=0,"",F47/E47-1)</f>
        <v/>
      </c>
      <c r="G112" s="89" t="str">
        <f t="shared" ref="G112:G113" si="228">IF(F47=0,"",G47/F47-1)</f>
        <v/>
      </c>
      <c r="H112" s="89" t="str">
        <f t="shared" ref="H112:H113" si="229">IF(G47=0,"",H47/G47-1)</f>
        <v/>
      </c>
      <c r="I112" s="89" t="str">
        <f t="shared" ref="I112:I113" si="230">IF(H47=0,"",I47/H47-1)</f>
        <v/>
      </c>
      <c r="J112" s="89" t="str">
        <f t="shared" ref="J112:J113" si="231">IF(I47=0,"",J47/I47-1)</f>
        <v/>
      </c>
      <c r="K112" s="89" t="str">
        <f t="shared" ref="K112:K113" si="232">IF(J47=0,"",K47/J47-1)</f>
        <v/>
      </c>
      <c r="L112" s="89" t="str">
        <f t="shared" ref="L112:L113" si="233">IF(K47=0,"",L47/K47-1)</f>
        <v/>
      </c>
      <c r="M112" s="89" t="str">
        <f t="shared" ref="M112:M113" si="234">IF(L47=0,"",M47/L47-1)</f>
        <v/>
      </c>
      <c r="N112" s="89" t="str">
        <f t="shared" ref="N112:N113" si="235">IF(M47=0,"",N47/M47-1)</f>
        <v/>
      </c>
      <c r="O112" s="89" t="str">
        <f t="shared" ref="O112:O113" si="236">IF(N47=0,"",O47/N47-1)</f>
        <v/>
      </c>
      <c r="P112" s="89" t="str">
        <f t="shared" ref="P112:P113" si="237">IF(O47=0,"",P47/O47-1)</f>
        <v/>
      </c>
      <c r="Q112" s="89" t="str">
        <f t="shared" ref="Q112:Q113" si="238">IF(P47=0,"",Q47/P47-1)</f>
        <v/>
      </c>
      <c r="R112" s="89" t="str">
        <f t="shared" ref="R112:R113" si="239">IF(Q47=0,"",R47/Q47-1)</f>
        <v/>
      </c>
      <c r="S112" s="89" t="str">
        <f t="shared" ref="S112:S113" si="240">IF(R47=0,"",S47/R47-1)</f>
        <v/>
      </c>
      <c r="T112" s="89" t="str">
        <f t="shared" ref="T112:T113" si="241">IF(S47=0,"",T47/S47-1)</f>
        <v/>
      </c>
      <c r="U112" s="89" t="str">
        <f t="shared" ref="U112:U113" si="242">IF(T47=0,"",U47/T47-1)</f>
        <v/>
      </c>
      <c r="V112" s="89">
        <f t="shared" ref="V112:V113" si="243">IF(U47=0,"",V47/U47-1)</f>
        <v>-8.0865982633556932E-2</v>
      </c>
      <c r="W112" s="89">
        <f t="shared" ref="W112:W113" si="244">IF(V47=0,"",W47/V47-1)</f>
        <v>-0.10988284044948582</v>
      </c>
      <c r="X112" s="89">
        <f t="shared" ref="X112:X113" si="245">IF(W47=0,"",X47/W47-1)</f>
        <v>0.13376082446731963</v>
      </c>
      <c r="Y112" s="89">
        <f t="shared" ref="Y112:Y113" si="246">IF(X47=0,"",Y47/X47-1)</f>
        <v>-0.16124095585080589</v>
      </c>
    </row>
    <row r="113" spans="1:25" x14ac:dyDescent="0.25">
      <c r="A113" s="68" t="s">
        <v>4</v>
      </c>
      <c r="B113" s="44"/>
      <c r="C113" s="44"/>
      <c r="D113" s="89"/>
      <c r="E113" s="89" t="str">
        <f t="shared" si="226"/>
        <v/>
      </c>
      <c r="F113" s="89" t="str">
        <f t="shared" si="227"/>
        <v/>
      </c>
      <c r="G113" s="89" t="str">
        <f t="shared" si="228"/>
        <v/>
      </c>
      <c r="H113" s="89" t="str">
        <f t="shared" si="229"/>
        <v/>
      </c>
      <c r="I113" s="89" t="str">
        <f t="shared" si="230"/>
        <v/>
      </c>
      <c r="J113" s="89" t="str">
        <f t="shared" si="231"/>
        <v/>
      </c>
      <c r="K113" s="89" t="str">
        <f t="shared" si="232"/>
        <v/>
      </c>
      <c r="L113" s="89" t="str">
        <f t="shared" si="233"/>
        <v/>
      </c>
      <c r="M113" s="89" t="str">
        <f t="shared" si="234"/>
        <v/>
      </c>
      <c r="N113" s="89" t="str">
        <f t="shared" si="235"/>
        <v/>
      </c>
      <c r="O113" s="89" t="str">
        <f t="shared" si="236"/>
        <v/>
      </c>
      <c r="P113" s="89" t="str">
        <f t="shared" si="237"/>
        <v/>
      </c>
      <c r="Q113" s="89" t="str">
        <f t="shared" si="238"/>
        <v/>
      </c>
      <c r="R113" s="89" t="str">
        <f t="shared" si="239"/>
        <v/>
      </c>
      <c r="S113" s="89" t="str">
        <f t="shared" si="240"/>
        <v/>
      </c>
      <c r="T113" s="89" t="str">
        <f t="shared" si="241"/>
        <v/>
      </c>
      <c r="U113" s="89" t="str">
        <f t="shared" si="242"/>
        <v/>
      </c>
      <c r="V113" s="89" t="str">
        <f t="shared" si="243"/>
        <v/>
      </c>
      <c r="W113" s="89" t="str">
        <f t="shared" si="244"/>
        <v/>
      </c>
      <c r="X113" s="89" t="str">
        <f t="shared" si="245"/>
        <v/>
      </c>
      <c r="Y113" s="89" t="str">
        <f t="shared" si="246"/>
        <v/>
      </c>
    </row>
    <row r="114" spans="1:25" x14ac:dyDescent="0.25">
      <c r="A114" s="68" t="s">
        <v>3</v>
      </c>
      <c r="B114" s="44"/>
      <c r="C114" s="44"/>
      <c r="D114" s="89"/>
      <c r="E114" s="89" t="str">
        <f t="shared" ref="E114:E115" si="247">IF(D52=0,"",E52/D52-1)</f>
        <v/>
      </c>
      <c r="F114" s="89" t="str">
        <f t="shared" ref="F114:F115" si="248">IF(E52=0,"",F52/E52-1)</f>
        <v/>
      </c>
      <c r="G114" s="89" t="str">
        <f t="shared" ref="G114:G115" si="249">IF(F52=0,"",G52/F52-1)</f>
        <v/>
      </c>
      <c r="H114" s="89" t="str">
        <f t="shared" ref="H114:H115" si="250">IF(G52=0,"",H52/G52-1)</f>
        <v/>
      </c>
      <c r="I114" s="89" t="str">
        <f t="shared" ref="I114:I115" si="251">IF(H52=0,"",I52/H52-1)</f>
        <v/>
      </c>
      <c r="J114" s="89" t="str">
        <f t="shared" ref="J114:J115" si="252">IF(I52=0,"",J52/I52-1)</f>
        <v/>
      </c>
      <c r="K114" s="89" t="str">
        <f t="shared" ref="K114:K115" si="253">IF(J52=0,"",K52/J52-1)</f>
        <v/>
      </c>
      <c r="L114" s="89" t="str">
        <f t="shared" ref="L114:L115" si="254">IF(K52=0,"",L52/K52-1)</f>
        <v/>
      </c>
      <c r="M114" s="89" t="str">
        <f t="shared" ref="M114:M115" si="255">IF(L52=0,"",M52/L52-1)</f>
        <v/>
      </c>
      <c r="N114" s="89" t="str">
        <f t="shared" ref="N114:N115" si="256">IF(M52=0,"",N52/M52-1)</f>
        <v/>
      </c>
      <c r="O114" s="89">
        <f t="shared" ref="O114:O115" si="257">IF(N52=0,"",O52/N52-1)</f>
        <v>5.1850688455947092E-2</v>
      </c>
      <c r="P114" s="89">
        <f t="shared" ref="P114:P115" si="258">IF(O52=0,"",P52/O52-1)</f>
        <v>-0.11318297871708582</v>
      </c>
      <c r="Q114" s="89">
        <f t="shared" ref="Q114:Q115" si="259">IF(P52=0,"",Q52/P52-1)</f>
        <v>-5.9708356663310536E-3</v>
      </c>
      <c r="R114" s="89">
        <f t="shared" ref="R114:R115" si="260">IF(Q52=0,"",R52/Q52-1)</f>
        <v>4.0008132110400219E-2</v>
      </c>
      <c r="S114" s="89">
        <f t="shared" ref="S114:S115" si="261">IF(R52=0,"",S52/R52-1)</f>
        <v>2.7605214285714386E-2</v>
      </c>
      <c r="T114" s="89">
        <f t="shared" ref="T114:T115" si="262">IF(S52=0,"",T52/S52-1)</f>
        <v>-7.0875691775429628E-2</v>
      </c>
      <c r="U114" s="89">
        <f t="shared" ref="U114:U115" si="263">IF(T52=0,"",U52/T52-1)</f>
        <v>-0.18106192799450016</v>
      </c>
      <c r="V114" s="89">
        <f t="shared" ref="V114:V115" si="264">IF(U52=0,"",V52/U52-1)</f>
        <v>0.33201743682271956</v>
      </c>
      <c r="W114" s="89">
        <f t="shared" ref="W114:W115" si="265">IF(V52=0,"",W52/V52-1)</f>
        <v>5.7967986541471284E-2</v>
      </c>
      <c r="X114" s="89">
        <f t="shared" ref="X114:X115" si="266">IF(W52=0,"",X52/W52-1)</f>
        <v>0.17701605127563114</v>
      </c>
      <c r="Y114" s="89">
        <f t="shared" ref="Y114:Y115" si="267">IF(X52=0,"",Y52/X52-1)</f>
        <v>4.9910870465033064E-2</v>
      </c>
    </row>
    <row r="115" spans="1:25" x14ac:dyDescent="0.25">
      <c r="A115" s="88" t="s">
        <v>21</v>
      </c>
      <c r="B115" s="44"/>
      <c r="C115" s="44"/>
      <c r="D115" s="89"/>
      <c r="E115" s="89" t="str">
        <f t="shared" si="247"/>
        <v/>
      </c>
      <c r="F115" s="89" t="str">
        <f t="shared" si="248"/>
        <v/>
      </c>
      <c r="G115" s="89" t="str">
        <f t="shared" si="249"/>
        <v/>
      </c>
      <c r="H115" s="89" t="str">
        <f t="shared" si="250"/>
        <v/>
      </c>
      <c r="I115" s="89" t="str">
        <f t="shared" si="251"/>
        <v/>
      </c>
      <c r="J115" s="89" t="str">
        <f t="shared" si="252"/>
        <v/>
      </c>
      <c r="K115" s="89" t="str">
        <f t="shared" si="253"/>
        <v/>
      </c>
      <c r="L115" s="89" t="str">
        <f t="shared" si="254"/>
        <v/>
      </c>
      <c r="M115" s="89" t="str">
        <f t="shared" si="255"/>
        <v/>
      </c>
      <c r="N115" s="89" t="str">
        <f t="shared" si="256"/>
        <v/>
      </c>
      <c r="O115" s="89" t="str">
        <f t="shared" si="257"/>
        <v/>
      </c>
      <c r="P115" s="89" t="str">
        <f t="shared" si="258"/>
        <v/>
      </c>
      <c r="Q115" s="89" t="str">
        <f t="shared" si="259"/>
        <v/>
      </c>
      <c r="R115" s="89" t="str">
        <f t="shared" si="260"/>
        <v/>
      </c>
      <c r="S115" s="89" t="str">
        <f t="shared" si="261"/>
        <v/>
      </c>
      <c r="T115" s="89" t="str">
        <f t="shared" si="262"/>
        <v/>
      </c>
      <c r="U115" s="89" t="str">
        <f t="shared" si="263"/>
        <v/>
      </c>
      <c r="V115" s="89" t="str">
        <f t="shared" si="264"/>
        <v/>
      </c>
      <c r="W115" s="89" t="str">
        <f t="shared" si="265"/>
        <v/>
      </c>
      <c r="X115" s="89" t="str">
        <f t="shared" si="266"/>
        <v/>
      </c>
      <c r="Y115" s="89" t="str">
        <f t="shared" si="267"/>
        <v/>
      </c>
    </row>
    <row r="116" spans="1:25" x14ac:dyDescent="0.25">
      <c r="A116" s="88" t="s">
        <v>16</v>
      </c>
      <c r="B116" s="44"/>
      <c r="C116" s="44"/>
      <c r="D116" s="89"/>
      <c r="E116" s="89" t="str">
        <f t="shared" ref="E116:E122" si="268">IF(D56=0,"",E56/D56-1)</f>
        <v/>
      </c>
      <c r="F116" s="89" t="str">
        <f t="shared" ref="F116:F122" si="269">IF(E56=0,"",F56/E56-1)</f>
        <v/>
      </c>
      <c r="G116" s="89" t="str">
        <f t="shared" ref="G116:G122" si="270">IF(F56=0,"",G56/F56-1)</f>
        <v/>
      </c>
      <c r="H116" s="89" t="str">
        <f t="shared" ref="H116:H122" si="271">IF(G56=0,"",H56/G56-1)</f>
        <v/>
      </c>
      <c r="I116" s="89" t="str">
        <f t="shared" ref="I116:I122" si="272">IF(H56=0,"",I56/H56-1)</f>
        <v/>
      </c>
      <c r="J116" s="89" t="str">
        <f t="shared" ref="J116:J122" si="273">IF(I56=0,"",J56/I56-1)</f>
        <v/>
      </c>
      <c r="K116" s="89" t="str">
        <f t="shared" ref="K116:K122" si="274">IF(J56=0,"",K56/J56-1)</f>
        <v/>
      </c>
      <c r="L116" s="89" t="str">
        <f t="shared" ref="L116:L122" si="275">IF(K56=0,"",L56/K56-1)</f>
        <v/>
      </c>
      <c r="M116" s="89" t="str">
        <f t="shared" ref="M116:M122" si="276">IF(L56=0,"",M56/L56-1)</f>
        <v/>
      </c>
      <c r="N116" s="89" t="str">
        <f t="shared" ref="N116:N122" si="277">IF(M56=0,"",N56/M56-1)</f>
        <v/>
      </c>
      <c r="O116" s="89">
        <f t="shared" ref="O116:O122" si="278">IF(N56=0,"",O56/N56-1)</f>
        <v>5.1850688455947092E-2</v>
      </c>
      <c r="P116" s="89">
        <f t="shared" ref="P116:P122" si="279">IF(O56=0,"",P56/O56-1)</f>
        <v>-0.11318297871708582</v>
      </c>
      <c r="Q116" s="89">
        <f t="shared" ref="Q116:Q122" si="280">IF(P56=0,"",Q56/P56-1)</f>
        <v>-5.9708356663310536E-3</v>
      </c>
      <c r="R116" s="89">
        <f t="shared" ref="R116:R122" si="281">IF(Q56=0,"",R56/Q56-1)</f>
        <v>4.0008132110400219E-2</v>
      </c>
      <c r="S116" s="89">
        <f t="shared" ref="S116:S122" si="282">IF(R56=0,"",S56/R56-1)</f>
        <v>2.7605214285714386E-2</v>
      </c>
      <c r="T116" s="89">
        <f t="shared" ref="T116:T122" si="283">IF(S56=0,"",T56/S56-1)</f>
        <v>-7.0875691775429628E-2</v>
      </c>
      <c r="U116" s="89">
        <f t="shared" ref="U116:U122" si="284">IF(T56=0,"",U56/T56-1)</f>
        <v>-0.18106192799450016</v>
      </c>
      <c r="V116" s="89">
        <f t="shared" ref="V116:V122" si="285">IF(U56=0,"",V56/U56-1)</f>
        <v>0.33201743682271956</v>
      </c>
      <c r="W116" s="89">
        <f t="shared" ref="W116:W122" si="286">IF(V56=0,"",W56/V56-1)</f>
        <v>5.7967986541471284E-2</v>
      </c>
      <c r="X116" s="89">
        <f t="shared" ref="X116:X122" si="287">IF(W56=0,"",X56/W56-1)</f>
        <v>0.17701605127563114</v>
      </c>
      <c r="Y116" s="89">
        <f t="shared" ref="Y116:Y122" si="288">IF(X56=0,"",Y56/X56-1)</f>
        <v>4.9910870465033064E-2</v>
      </c>
    </row>
    <row r="117" spans="1:25" x14ac:dyDescent="0.25">
      <c r="A117" s="68" t="s">
        <v>2</v>
      </c>
      <c r="B117" s="44"/>
      <c r="C117" s="44"/>
      <c r="D117" s="89"/>
      <c r="E117" s="89" t="str">
        <f t="shared" si="268"/>
        <v/>
      </c>
      <c r="F117" s="89" t="str">
        <f t="shared" si="269"/>
        <v/>
      </c>
      <c r="G117" s="89" t="str">
        <f t="shared" si="270"/>
        <v/>
      </c>
      <c r="H117" s="89" t="str">
        <f t="shared" si="271"/>
        <v/>
      </c>
      <c r="I117" s="89" t="str">
        <f t="shared" si="272"/>
        <v/>
      </c>
      <c r="J117" s="89" t="str">
        <f t="shared" si="273"/>
        <v/>
      </c>
      <c r="K117" s="89" t="str">
        <f t="shared" si="274"/>
        <v/>
      </c>
      <c r="L117" s="89" t="str">
        <f t="shared" si="275"/>
        <v/>
      </c>
      <c r="M117" s="89" t="str">
        <f t="shared" si="276"/>
        <v/>
      </c>
      <c r="N117" s="89" t="str">
        <f t="shared" si="277"/>
        <v/>
      </c>
      <c r="O117" s="89">
        <f t="shared" si="278"/>
        <v>3.2022076588669623E-2</v>
      </c>
      <c r="P117" s="89">
        <f t="shared" si="279"/>
        <v>-3.1553132709892795E-3</v>
      </c>
      <c r="Q117" s="89">
        <f t="shared" si="280"/>
        <v>0.10461212445142509</v>
      </c>
      <c r="R117" s="89">
        <f t="shared" si="281"/>
        <v>0.20007192507352856</v>
      </c>
      <c r="S117" s="89">
        <f t="shared" si="282"/>
        <v>7.9010445580715905E-2</v>
      </c>
      <c r="T117" s="89">
        <f t="shared" si="283"/>
        <v>-0.14054001093427637</v>
      </c>
      <c r="U117" s="89">
        <f t="shared" si="284"/>
        <v>3.9622827475022326E-2</v>
      </c>
      <c r="V117" s="89">
        <f t="shared" si="285"/>
        <v>-2.1991696588128273E-2</v>
      </c>
      <c r="W117" s="89">
        <f t="shared" si="286"/>
        <v>1.6350265937629116E-2</v>
      </c>
      <c r="X117" s="89">
        <f t="shared" si="287"/>
        <v>-9.4889840255832025E-2</v>
      </c>
      <c r="Y117" s="89">
        <f t="shared" si="288"/>
        <v>3.4195181825654508E-2</v>
      </c>
    </row>
    <row r="118" spans="1:25" x14ac:dyDescent="0.25">
      <c r="A118" s="68" t="s">
        <v>275</v>
      </c>
      <c r="B118" s="44"/>
      <c r="C118" s="44"/>
      <c r="D118" s="89"/>
      <c r="E118" s="89" t="str">
        <f t="shared" si="268"/>
        <v/>
      </c>
      <c r="F118" s="89" t="str">
        <f t="shared" si="269"/>
        <v/>
      </c>
      <c r="G118" s="89" t="str">
        <f t="shared" si="270"/>
        <v/>
      </c>
      <c r="H118" s="89" t="str">
        <f t="shared" si="271"/>
        <v/>
      </c>
      <c r="I118" s="89" t="str">
        <f t="shared" si="272"/>
        <v/>
      </c>
      <c r="J118" s="89" t="str">
        <f t="shared" si="273"/>
        <v/>
      </c>
      <c r="K118" s="89" t="str">
        <f t="shared" si="274"/>
        <v/>
      </c>
      <c r="L118" s="89" t="str">
        <f t="shared" si="275"/>
        <v/>
      </c>
      <c r="M118" s="89" t="str">
        <f t="shared" si="276"/>
        <v/>
      </c>
      <c r="N118" s="89" t="str">
        <f t="shared" si="277"/>
        <v/>
      </c>
      <c r="O118" s="89">
        <f t="shared" si="278"/>
        <v>5.9325895812758045E-2</v>
      </c>
      <c r="P118" s="89">
        <f t="shared" si="279"/>
        <v>0.24011930753550748</v>
      </c>
      <c r="Q118" s="89">
        <f t="shared" si="280"/>
        <v>0.10735109224716055</v>
      </c>
      <c r="R118" s="89">
        <f t="shared" si="281"/>
        <v>0.21833358178580942</v>
      </c>
      <c r="S118" s="89">
        <f t="shared" si="282"/>
        <v>-1.5316753472222278E-2</v>
      </c>
      <c r="T118" s="89">
        <f t="shared" si="283"/>
        <v>0.11502815446090042</v>
      </c>
      <c r="U118" s="89">
        <f t="shared" si="284"/>
        <v>3.7670009658039572E-2</v>
      </c>
      <c r="V118" s="89">
        <f t="shared" si="285"/>
        <v>-0.1411598801480104</v>
      </c>
      <c r="W118" s="89">
        <f t="shared" si="286"/>
        <v>1.9288273407654044E-2</v>
      </c>
      <c r="X118" s="89">
        <f t="shared" si="287"/>
        <v>8.4462515371143576E-2</v>
      </c>
      <c r="Y118" s="89">
        <f t="shared" si="288"/>
        <v>0.14918397988002252</v>
      </c>
    </row>
    <row r="119" spans="1:25" x14ac:dyDescent="0.25">
      <c r="A119" s="68" t="s">
        <v>276</v>
      </c>
      <c r="B119" s="44"/>
      <c r="C119" s="44"/>
      <c r="D119" s="89"/>
      <c r="E119" s="89" t="str">
        <f t="shared" si="268"/>
        <v/>
      </c>
      <c r="F119" s="89" t="str">
        <f t="shared" si="269"/>
        <v/>
      </c>
      <c r="G119" s="89" t="str">
        <f t="shared" si="270"/>
        <v/>
      </c>
      <c r="H119" s="89" t="str">
        <f t="shared" si="271"/>
        <v/>
      </c>
      <c r="I119" s="89" t="str">
        <f t="shared" si="272"/>
        <v/>
      </c>
      <c r="J119" s="89" t="str">
        <f t="shared" si="273"/>
        <v/>
      </c>
      <c r="K119" s="89" t="str">
        <f t="shared" si="274"/>
        <v/>
      </c>
      <c r="L119" s="89" t="str">
        <f t="shared" si="275"/>
        <v/>
      </c>
      <c r="M119" s="89" t="str">
        <f t="shared" si="276"/>
        <v/>
      </c>
      <c r="N119" s="89" t="str">
        <f t="shared" si="277"/>
        <v/>
      </c>
      <c r="O119" s="89" t="str">
        <f t="shared" si="278"/>
        <v/>
      </c>
      <c r="P119" s="89" t="str">
        <f t="shared" si="279"/>
        <v/>
      </c>
      <c r="Q119" s="89" t="str">
        <f t="shared" si="280"/>
        <v/>
      </c>
      <c r="R119" s="89" t="str">
        <f t="shared" si="281"/>
        <v/>
      </c>
      <c r="S119" s="89">
        <f t="shared" si="282"/>
        <v>-0.2753056701030927</v>
      </c>
      <c r="T119" s="89">
        <f t="shared" si="283"/>
        <v>0.37167847049781821</v>
      </c>
      <c r="U119" s="89">
        <f t="shared" si="284"/>
        <v>9.8760437751252983E-3</v>
      </c>
      <c r="V119" s="89">
        <f t="shared" si="285"/>
        <v>0.74573927251430905</v>
      </c>
      <c r="W119" s="89">
        <f t="shared" si="286"/>
        <v>-0.19836101964556585</v>
      </c>
      <c r="X119" s="89">
        <f t="shared" si="287"/>
        <v>0.16377742502187509</v>
      </c>
      <c r="Y119" s="89">
        <f t="shared" si="288"/>
        <v>0.15020642598494183</v>
      </c>
    </row>
    <row r="120" spans="1:25" x14ac:dyDescent="0.25">
      <c r="A120" s="68" t="s">
        <v>1</v>
      </c>
      <c r="B120" s="44"/>
      <c r="C120" s="44"/>
      <c r="D120" s="89"/>
      <c r="E120" s="89" t="str">
        <f t="shared" si="268"/>
        <v/>
      </c>
      <c r="F120" s="89" t="str">
        <f t="shared" si="269"/>
        <v/>
      </c>
      <c r="G120" s="89" t="str">
        <f t="shared" si="270"/>
        <v/>
      </c>
      <c r="H120" s="89" t="str">
        <f t="shared" si="271"/>
        <v/>
      </c>
      <c r="I120" s="89" t="str">
        <f t="shared" si="272"/>
        <v/>
      </c>
      <c r="J120" s="89" t="str">
        <f t="shared" si="273"/>
        <v/>
      </c>
      <c r="K120" s="89" t="str">
        <f t="shared" si="274"/>
        <v/>
      </c>
      <c r="L120" s="89" t="str">
        <f t="shared" si="275"/>
        <v/>
      </c>
      <c r="M120" s="89" t="str">
        <f t="shared" si="276"/>
        <v/>
      </c>
      <c r="N120" s="89" t="str">
        <f t="shared" si="277"/>
        <v/>
      </c>
      <c r="O120" s="89">
        <f t="shared" si="278"/>
        <v>8.9154326731506472E-2</v>
      </c>
      <c r="P120" s="89">
        <f t="shared" si="279"/>
        <v>-1.603850468022916E-3</v>
      </c>
      <c r="Q120" s="89">
        <f t="shared" si="280"/>
        <v>-0.38169697585423334</v>
      </c>
      <c r="R120" s="89">
        <f t="shared" si="281"/>
        <v>-0.16933295704289519</v>
      </c>
      <c r="S120" s="89">
        <f t="shared" si="282"/>
        <v>-1.3419325153374184E-2</v>
      </c>
      <c r="T120" s="89">
        <f t="shared" si="283"/>
        <v>-0.14763316835626339</v>
      </c>
      <c r="U120" s="89">
        <f t="shared" si="284"/>
        <v>0.17164765647464764</v>
      </c>
      <c r="V120" s="89">
        <f t="shared" si="285"/>
        <v>4.1498886165337812E-2</v>
      </c>
      <c r="W120" s="89">
        <f t="shared" si="286"/>
        <v>-0.10541736974939953</v>
      </c>
      <c r="X120" s="89">
        <f t="shared" si="287"/>
        <v>-5.9840964496790661E-2</v>
      </c>
      <c r="Y120" s="89">
        <f t="shared" si="288"/>
        <v>0.19317188341609981</v>
      </c>
    </row>
    <row r="121" spans="1:25" x14ac:dyDescent="0.25">
      <c r="A121" s="68" t="s">
        <v>0</v>
      </c>
      <c r="B121" s="44"/>
      <c r="C121" s="44"/>
      <c r="D121" s="89"/>
      <c r="E121" s="89" t="str">
        <f t="shared" si="268"/>
        <v/>
      </c>
      <c r="F121" s="89" t="str">
        <f t="shared" si="269"/>
        <v/>
      </c>
      <c r="G121" s="89" t="str">
        <f t="shared" si="270"/>
        <v/>
      </c>
      <c r="H121" s="89" t="str">
        <f t="shared" si="271"/>
        <v/>
      </c>
      <c r="I121" s="89" t="str">
        <f t="shared" si="272"/>
        <v/>
      </c>
      <c r="J121" s="89" t="str">
        <f t="shared" si="273"/>
        <v/>
      </c>
      <c r="K121" s="89" t="str">
        <f t="shared" si="274"/>
        <v/>
      </c>
      <c r="L121" s="89" t="str">
        <f t="shared" si="275"/>
        <v/>
      </c>
      <c r="M121" s="89" t="str">
        <f t="shared" si="276"/>
        <v/>
      </c>
      <c r="N121" s="89" t="str">
        <f t="shared" si="277"/>
        <v/>
      </c>
      <c r="O121" s="89" t="str">
        <f t="shared" si="278"/>
        <v/>
      </c>
      <c r="P121" s="89" t="str">
        <f t="shared" si="279"/>
        <v/>
      </c>
      <c r="Q121" s="89" t="str">
        <f t="shared" si="280"/>
        <v/>
      </c>
      <c r="R121" s="89" t="str">
        <f t="shared" si="281"/>
        <v/>
      </c>
      <c r="S121" s="89" t="str">
        <f t="shared" si="282"/>
        <v/>
      </c>
      <c r="T121" s="89" t="str">
        <f t="shared" si="283"/>
        <v/>
      </c>
      <c r="U121" s="89" t="str">
        <f t="shared" si="284"/>
        <v/>
      </c>
      <c r="V121" s="89" t="str">
        <f t="shared" si="285"/>
        <v/>
      </c>
      <c r="W121" s="89" t="str">
        <f t="shared" si="286"/>
        <v/>
      </c>
      <c r="X121" s="89" t="str">
        <f t="shared" si="287"/>
        <v/>
      </c>
      <c r="Y121" s="89" t="str">
        <f t="shared" si="288"/>
        <v/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-0.12043943715383498</v>
      </c>
      <c r="F122" s="91">
        <f t="shared" si="269"/>
        <v>6.993916766467434E-2</v>
      </c>
      <c r="G122" s="91">
        <f t="shared" si="270"/>
        <v>5.3630002357404782E-2</v>
      </c>
      <c r="H122" s="91">
        <f t="shared" si="271"/>
        <v>-9.2043350146649883E-2</v>
      </c>
      <c r="I122" s="91">
        <f t="shared" si="272"/>
        <v>-9.7983895024761125E-2</v>
      </c>
      <c r="J122" s="91">
        <f t="shared" si="273"/>
        <v>-5.4499734850021242E-2</v>
      </c>
      <c r="K122" s="91">
        <f t="shared" si="274"/>
        <v>-5.0061433179649062E-2</v>
      </c>
      <c r="L122" s="91">
        <f t="shared" si="275"/>
        <v>0.10960486051668639</v>
      </c>
      <c r="M122" s="91">
        <f t="shared" si="276"/>
        <v>-0.14521857802831584</v>
      </c>
      <c r="N122" s="91">
        <f t="shared" si="277"/>
        <v>-0.45494120194363963</v>
      </c>
      <c r="O122" s="91">
        <f t="shared" si="278"/>
        <v>-6.3622966001991577E-3</v>
      </c>
      <c r="P122" s="91">
        <f t="shared" si="279"/>
        <v>2.1562623859590957E-2</v>
      </c>
      <c r="Q122" s="91">
        <f t="shared" si="280"/>
        <v>-0.12710777013377472</v>
      </c>
      <c r="R122" s="91">
        <f t="shared" si="281"/>
        <v>-0.13793407025820525</v>
      </c>
      <c r="S122" s="91">
        <f t="shared" si="282"/>
        <v>-8.0810408537987155E-2</v>
      </c>
      <c r="T122" s="91">
        <f t="shared" si="283"/>
        <v>4.3061922790830431E-2</v>
      </c>
      <c r="U122" s="91">
        <f t="shared" si="284"/>
        <v>-3.8651475952099501E-2</v>
      </c>
      <c r="V122" s="91">
        <f t="shared" si="285"/>
        <v>7.1691632521196702E-2</v>
      </c>
      <c r="W122" s="91">
        <f t="shared" si="286"/>
        <v>0.11793073036070134</v>
      </c>
      <c r="X122" s="91">
        <f t="shared" si="287"/>
        <v>-4.075720254438131E-2</v>
      </c>
      <c r="Y122" s="91">
        <f t="shared" si="288"/>
        <v>4.616332294381853E-2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2024-05-20T16:53:40Z</dcterms:created>
  <dcterms:modified xsi:type="dcterms:W3CDTF">2024-05-20T16:53:40Z</dcterms:modified>
</cp:coreProperties>
</file>