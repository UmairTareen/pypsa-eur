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CY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E3" i="20"/>
  <c r="E22" i="20" s="1"/>
  <c r="C90" i="3"/>
  <c r="B90" i="3"/>
  <c r="M15" i="20"/>
  <c r="G15" i="20"/>
  <c r="E15" i="20"/>
  <c r="W14" i="18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N30" i="3"/>
  <c r="M30" i="3"/>
  <c r="K30" i="3"/>
  <c r="J30" i="3"/>
  <c r="I30" i="3"/>
  <c r="H30" i="3"/>
  <c r="G30" i="3"/>
  <c r="C30" i="3"/>
  <c r="B30" i="3"/>
  <c r="B25" i="1"/>
  <c r="B26" i="1"/>
  <c r="B24" i="1"/>
  <c r="C242" i="3" l="1"/>
  <c r="S242" i="3"/>
  <c r="P18" i="20"/>
  <c r="C18" i="20"/>
  <c r="O14" i="18"/>
  <c r="I15" i="18"/>
  <c r="E3" i="18"/>
  <c r="E18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1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11" i="20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N3" i="18"/>
  <c r="N17" i="18" s="1"/>
  <c r="U14" i="18"/>
  <c r="E21" i="20"/>
  <c r="P14" i="18"/>
  <c r="J14" i="20"/>
  <c r="O3" i="20"/>
  <c r="O23" i="20" s="1"/>
  <c r="O3" i="18"/>
  <c r="O18" i="18" s="1"/>
  <c r="N3" i="20"/>
  <c r="O11" i="20"/>
  <c r="H3" i="19"/>
  <c r="Q14" i="20"/>
  <c r="Q3" i="20"/>
  <c r="Q22" i="20" s="1"/>
  <c r="C19" i="20"/>
  <c r="E14" i="18"/>
  <c r="M14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F19" i="18"/>
  <c r="P7" i="18"/>
  <c r="P21" i="18" s="1"/>
  <c r="T23" i="18"/>
  <c r="H14" i="18"/>
  <c r="B15" i="18"/>
  <c r="R15" i="18"/>
  <c r="D10" i="19"/>
  <c r="L10" i="19"/>
  <c r="T10" i="19"/>
  <c r="R14" i="20"/>
  <c r="M19" i="20"/>
  <c r="K15" i="20"/>
  <c r="K3" i="20"/>
  <c r="K22" i="20" s="1"/>
  <c r="Q3" i="18"/>
  <c r="Q18" i="18" s="1"/>
  <c r="C3" i="18"/>
  <c r="C19" i="18" s="1"/>
  <c r="Q7" i="18"/>
  <c r="Q21" i="18" s="1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F18" i="18"/>
  <c r="B7" i="18"/>
  <c r="B22" i="18" s="1"/>
  <c r="J7" i="18"/>
  <c r="J21" i="18" s="1"/>
  <c r="D14" i="20"/>
  <c r="L14" i="20"/>
  <c r="T22" i="18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U15" i="18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D23" i="20"/>
  <c r="E18" i="20"/>
  <c r="M18" i="20"/>
  <c r="U18" i="20"/>
  <c r="G19" i="20"/>
  <c r="O19" i="20"/>
  <c r="W19" i="20"/>
  <c r="E23" i="20"/>
  <c r="M23" i="20"/>
  <c r="R3" i="20"/>
  <c r="G23" i="20" l="1"/>
  <c r="I22" i="18"/>
  <c r="I21" i="18"/>
  <c r="Q21" i="19"/>
  <c r="U24" i="19"/>
  <c r="N23" i="18"/>
  <c r="D22" i="20"/>
  <c r="W23" i="20"/>
  <c r="I213" i="3"/>
  <c r="M22" i="18"/>
  <c r="E22" i="18"/>
  <c r="E13" i="20"/>
  <c r="N10" i="20"/>
  <c r="H25" i="19"/>
  <c r="P10" i="20"/>
  <c r="U19" i="18"/>
  <c r="U18" i="18"/>
  <c r="G25" i="19"/>
  <c r="J21" i="19"/>
  <c r="F89" i="3"/>
  <c r="F181" i="3" s="1"/>
  <c r="O21" i="19"/>
  <c r="M22" i="20"/>
  <c r="L23" i="18"/>
  <c r="Q11" i="20"/>
  <c r="F22" i="20"/>
  <c r="R21" i="19"/>
  <c r="K23" i="18"/>
  <c r="Q25" i="19"/>
  <c r="W3" i="19"/>
  <c r="W28" i="19" s="1"/>
  <c r="N20" i="19"/>
  <c r="R25" i="19"/>
  <c r="J11" i="20"/>
  <c r="T20" i="19"/>
  <c r="W24" i="19"/>
  <c r="S10" i="20"/>
  <c r="F24" i="19"/>
  <c r="W10" i="20"/>
  <c r="N24" i="19"/>
  <c r="T24" i="19"/>
  <c r="R212" i="3"/>
  <c r="E19" i="18"/>
  <c r="M23" i="18"/>
  <c r="N22" i="18"/>
  <c r="N13" i="20"/>
  <c r="R22" i="18"/>
  <c r="E13" i="18"/>
  <c r="E17" i="20"/>
  <c r="R29" i="3"/>
  <c r="R123" i="3" s="1"/>
  <c r="E23" i="18"/>
  <c r="U29" i="3"/>
  <c r="U123" i="3" s="1"/>
  <c r="P24" i="19"/>
  <c r="R23" i="18"/>
  <c r="L10" i="20"/>
  <c r="Q24" i="19"/>
  <c r="G18" i="18"/>
  <c r="S22" i="18"/>
  <c r="F20" i="19"/>
  <c r="E17" i="18"/>
  <c r="L21" i="20"/>
  <c r="N29" i="3"/>
  <c r="N241" i="3" s="1"/>
  <c r="G24" i="19"/>
  <c r="K20" i="19"/>
  <c r="W17" i="20"/>
  <c r="H20" i="19"/>
  <c r="M24" i="19"/>
  <c r="S23" i="18"/>
  <c r="Q10" i="20"/>
  <c r="L20" i="19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2" i="3" s="1"/>
  <c r="M3" i="19"/>
  <c r="M27" i="19" s="1"/>
  <c r="G21" i="20"/>
  <c r="Q29" i="3"/>
  <c r="Q241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C123" i="3"/>
  <c r="C241" i="3"/>
  <c r="B183" i="3"/>
  <c r="H123" i="3"/>
  <c r="U122" i="3"/>
  <c r="C122" i="3"/>
  <c r="C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K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R122" i="3"/>
  <c r="R121" i="3"/>
  <c r="W122" i="3"/>
  <c r="M122" i="3"/>
  <c r="E122" i="3"/>
  <c r="O122" i="3"/>
  <c r="F153" i="3"/>
  <c r="P23" i="20"/>
  <c r="D17" i="20"/>
  <c r="J22" i="18"/>
  <c r="P19" i="18"/>
  <c r="O21" i="20"/>
  <c r="O22" i="20"/>
  <c r="J23" i="18"/>
  <c r="B19" i="18"/>
  <c r="V13" i="20"/>
  <c r="T17" i="20"/>
  <c r="L18" i="18"/>
  <c r="J17" i="18"/>
  <c r="J13" i="18"/>
  <c r="C25" i="19"/>
  <c r="C21" i="19"/>
  <c r="C3" i="19"/>
  <c r="C9" i="20" s="1"/>
  <c r="J19" i="18"/>
  <c r="T11" i="20"/>
  <c r="H23" i="19"/>
  <c r="H19" i="19"/>
  <c r="H27" i="19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H28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H29" i="19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9" i="20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F182" i="3" l="1"/>
  <c r="F183" i="3"/>
  <c r="U121" i="3"/>
  <c r="W9" i="20"/>
  <c r="W29" i="19"/>
  <c r="N123" i="3"/>
  <c r="P9" i="20"/>
  <c r="W27" i="19"/>
  <c r="W19" i="19"/>
  <c r="G28" i="19"/>
  <c r="W23" i="19"/>
  <c r="M19" i="19"/>
  <c r="M23" i="19"/>
  <c r="R241" i="3"/>
  <c r="M9" i="20"/>
  <c r="D123" i="3"/>
  <c r="M182" i="3"/>
  <c r="U182" i="3"/>
  <c r="M29" i="19"/>
  <c r="F151" i="3"/>
  <c r="E28" i="19"/>
  <c r="M28" i="19"/>
  <c r="Q9" i="20"/>
  <c r="Q23" i="19"/>
  <c r="Q123" i="3"/>
  <c r="Q122" i="3"/>
  <c r="N122" i="3"/>
  <c r="Q121" i="3"/>
  <c r="E23" i="19"/>
  <c r="F241" i="3"/>
  <c r="N9" i="20"/>
  <c r="N121" i="3"/>
  <c r="T123" i="3"/>
  <c r="L121" i="3"/>
  <c r="P121" i="3"/>
  <c r="P122" i="3"/>
  <c r="N19" i="19"/>
  <c r="N29" i="19"/>
  <c r="G27" i="19"/>
  <c r="N27" i="19"/>
  <c r="P27" i="19"/>
  <c r="E27" i="19"/>
  <c r="T241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V10" i="5" l="1"/>
  <c r="U10" i="5"/>
  <c r="S10" i="5"/>
  <c r="Q10" i="5"/>
  <c r="P10" i="5"/>
  <c r="N10" i="5"/>
  <c r="M10" i="5"/>
  <c r="K10" i="5"/>
  <c r="I10" i="5"/>
  <c r="H10" i="5"/>
  <c r="F10" i="5"/>
  <c r="E10" i="5"/>
  <c r="C10" i="5"/>
  <c r="B10" i="5" l="1"/>
  <c r="J10" i="5"/>
  <c r="R10" i="5"/>
  <c r="D10" i="5"/>
  <c r="L10" i="5"/>
  <c r="T10" i="5"/>
  <c r="G10" i="5"/>
  <c r="O10" i="5"/>
  <c r="W10" i="5"/>
  <c r="I15" i="17" l="1"/>
  <c r="Q15" i="17"/>
  <c r="G14" i="17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 s="1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6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4" i="13"/>
  <c r="W15" i="14"/>
  <c r="W14" i="14"/>
  <c r="W20" i="14" s="1"/>
  <c r="W4" i="14"/>
  <c r="W14" i="15"/>
  <c r="W10" i="16"/>
  <c r="W58" i="3" s="1"/>
  <c r="W4" i="16"/>
  <c r="W57" i="3" s="1"/>
  <c r="W19" i="17"/>
  <c r="W22" i="13" l="1"/>
  <c r="W85" i="4"/>
  <c r="W80" i="11"/>
  <c r="W53" i="11"/>
  <c r="W70" i="11"/>
  <c r="W73" i="4"/>
  <c r="W19" i="7" s="1"/>
  <c r="W26" i="4"/>
  <c r="W20" i="3" s="1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110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84" i="4" s="1"/>
  <c r="W163" i="4"/>
  <c r="W217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88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I100" i="4" l="1"/>
  <c r="W10" i="9"/>
  <c r="W56" i="9" s="1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60" i="9"/>
  <c r="W58" i="9"/>
  <c r="W64" i="9"/>
  <c r="W61" i="9"/>
  <c r="W62" i="9"/>
  <c r="W59" i="9"/>
  <c r="W65" i="9"/>
  <c r="W193" i="3"/>
  <c r="W57" i="9"/>
  <c r="W63" i="9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13" i="15"/>
  <c r="W18" i="15"/>
  <c r="W17" i="15"/>
  <c r="W19" i="16"/>
  <c r="W27" i="16"/>
  <c r="W23" i="16"/>
  <c r="W22" i="15"/>
  <c r="I87" i="4"/>
  <c r="I85" i="4" s="1"/>
  <c r="Q87" i="4"/>
  <c r="Q85" i="4" s="1"/>
  <c r="F87" i="4"/>
  <c r="F85" i="4" s="1"/>
  <c r="N87" i="4"/>
  <c r="N85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M76" i="7"/>
  <c r="J76" i="7"/>
  <c r="J75" i="7" s="1"/>
  <c r="H76" i="7"/>
  <c r="H75" i="7" s="1"/>
  <c r="D76" i="7"/>
  <c r="D75" i="7" s="1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E62" i="7"/>
  <c r="D62" i="7"/>
  <c r="B62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Q75" i="7" l="1"/>
  <c r="F84" i="4"/>
  <c r="I84" i="4"/>
  <c r="R60" i="7"/>
  <c r="N84" i="4"/>
  <c r="W45" i="9"/>
  <c r="Q84" i="4"/>
  <c r="H60" i="7"/>
  <c r="H59" i="7" s="1"/>
  <c r="R75" i="7"/>
  <c r="I60" i="7"/>
  <c r="W52" i="12"/>
  <c r="V75" i="7"/>
  <c r="U60" i="7"/>
  <c r="D60" i="7"/>
  <c r="D59" i="7" s="1"/>
  <c r="O85" i="4"/>
  <c r="O84" i="4" s="1"/>
  <c r="S100" i="4"/>
  <c r="S84" i="4" s="1"/>
  <c r="B4" i="6"/>
  <c r="Q60" i="7"/>
  <c r="Q59" i="7" s="1"/>
  <c r="G60" i="7"/>
  <c r="I75" i="7"/>
  <c r="V60" i="7"/>
  <c r="W23" i="9"/>
  <c r="W26" i="10"/>
  <c r="W232" i="3"/>
  <c r="R100" i="4"/>
  <c r="R31" i="4"/>
  <c r="T4" i="6"/>
  <c r="J100" i="4"/>
  <c r="K100" i="4"/>
  <c r="K84" i="4" s="1"/>
  <c r="V31" i="4"/>
  <c r="V260" i="4" s="1"/>
  <c r="U75" i="7"/>
  <c r="U59" i="7" s="1"/>
  <c r="D84" i="4"/>
  <c r="L84" i="4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R4" i="6"/>
  <c r="E60" i="7"/>
  <c r="E59" i="7" s="1"/>
  <c r="P75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B14" i="4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181" i="4"/>
  <c r="S68" i="6"/>
  <c r="S210" i="7" s="1"/>
  <c r="G182" i="4"/>
  <c r="G69" i="6"/>
  <c r="O18" i="4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8" i="7"/>
  <c r="S128" i="4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185" i="4"/>
  <c r="S72" i="6"/>
  <c r="S214" i="7" s="1"/>
  <c r="S78" i="5"/>
  <c r="S133" i="7" s="1"/>
  <c r="G186" i="4"/>
  <c r="G73" i="6"/>
  <c r="G215" i="7" s="1"/>
  <c r="O22" i="4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O74" i="4"/>
  <c r="E74" i="4"/>
  <c r="E125" i="6" s="1"/>
  <c r="E21" i="7"/>
  <c r="N74" i="4"/>
  <c r="N184" i="4" s="1"/>
  <c r="N21" i="7"/>
  <c r="V74" i="4"/>
  <c r="V21" i="7"/>
  <c r="B80" i="4"/>
  <c r="B26" i="7" s="1"/>
  <c r="B27" i="7"/>
  <c r="J80" i="4"/>
  <c r="J26" i="7" s="1"/>
  <c r="J27" i="7"/>
  <c r="S80" i="4"/>
  <c r="S26" i="7" s="1"/>
  <c r="S27" i="7"/>
  <c r="C107" i="4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Q14" i="4"/>
  <c r="D15" i="4"/>
  <c r="Q16" i="4"/>
  <c r="Q207" i="4" s="1"/>
  <c r="D17" i="4"/>
  <c r="J4" i="5"/>
  <c r="H116" i="5"/>
  <c r="H62" i="5"/>
  <c r="H117" i="7" s="1"/>
  <c r="Q18" i="5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61" i="5" s="1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V131" i="5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V135" i="5"/>
  <c r="V81" i="5"/>
  <c r="V136" i="7" s="1"/>
  <c r="E136" i="5"/>
  <c r="N136" i="5"/>
  <c r="N82" i="5"/>
  <c r="N137" i="7" s="1"/>
  <c r="V136" i="5"/>
  <c r="V82" i="5"/>
  <c r="V137" i="7" s="1"/>
  <c r="B52" i="5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4" i="4" s="1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27" i="7"/>
  <c r="M80" i="4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8" i="4"/>
  <c r="C4" i="7" s="1"/>
  <c r="C5" i="7"/>
  <c r="M15" i="4"/>
  <c r="N28" i="4"/>
  <c r="I15" i="4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178" i="4"/>
  <c r="J65" i="6"/>
  <c r="J207" i="7" s="1"/>
  <c r="R9" i="4"/>
  <c r="M14" i="4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71" i="4"/>
  <c r="S58" i="6"/>
  <c r="S200" i="7" s="1"/>
  <c r="G172" i="4"/>
  <c r="G59" i="6"/>
  <c r="G201" i="7" s="1"/>
  <c r="O8" i="4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175" i="4"/>
  <c r="S62" i="6"/>
  <c r="S204" i="7" s="1"/>
  <c r="G176" i="4"/>
  <c r="G63" i="6"/>
  <c r="O12" i="4"/>
  <c r="O203" i="4" s="1"/>
  <c r="O176" i="4"/>
  <c r="O63" i="6"/>
  <c r="C40" i="4"/>
  <c r="M40" i="4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B256" i="4"/>
  <c r="G4" i="5"/>
  <c r="P4" i="5"/>
  <c r="C4" i="5"/>
  <c r="K4" i="5"/>
  <c r="K47" i="6" s="1"/>
  <c r="T4" i="5"/>
  <c r="T47" i="6" s="1"/>
  <c r="C116" i="5"/>
  <c r="C62" i="5"/>
  <c r="C117" i="7" s="1"/>
  <c r="K116" i="5"/>
  <c r="K62" i="5"/>
  <c r="K117" i="7" s="1"/>
  <c r="T18" i="5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N15" i="4"/>
  <c r="N99" i="5" s="1"/>
  <c r="Q7" i="4"/>
  <c r="Q198" i="4" s="1"/>
  <c r="V9" i="4"/>
  <c r="V10" i="4"/>
  <c r="M12" i="4"/>
  <c r="M90" i="6" s="1"/>
  <c r="N14" i="4"/>
  <c r="N205" i="4" s="1"/>
  <c r="R16" i="4"/>
  <c r="R207" i="4" s="1"/>
  <c r="Q17" i="4"/>
  <c r="U21" i="4"/>
  <c r="U105" i="5" s="1"/>
  <c r="S28" i="4"/>
  <c r="S112" i="5" s="1"/>
  <c r="B9" i="4"/>
  <c r="F11" i="4"/>
  <c r="F202" i="4" s="1"/>
  <c r="B16" i="4"/>
  <c r="B94" i="6" s="1"/>
  <c r="F17" i="4"/>
  <c r="F208" i="4" s="1"/>
  <c r="F18" i="4"/>
  <c r="F209" i="4" s="1"/>
  <c r="B28" i="4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H8" i="4"/>
  <c r="H92" i="5" s="1"/>
  <c r="M9" i="4"/>
  <c r="M87" i="6" s="1"/>
  <c r="U9" i="4"/>
  <c r="Q10" i="4"/>
  <c r="Q201" i="4" s="1"/>
  <c r="U11" i="4"/>
  <c r="Q12" i="4"/>
  <c r="Q96" i="5" s="1"/>
  <c r="M27" i="4"/>
  <c r="M218" i="4" s="1"/>
  <c r="C256" i="4"/>
  <c r="K21" i="5"/>
  <c r="K18" i="5" s="1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1" i="7"/>
  <c r="V121" i="4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D256" i="4"/>
  <c r="E116" i="5"/>
  <c r="N116" i="5"/>
  <c r="N62" i="5"/>
  <c r="N117" i="7" s="1"/>
  <c r="V116" i="5"/>
  <c r="G21" i="5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7" s="1"/>
  <c r="F125" i="5"/>
  <c r="F71" i="5"/>
  <c r="F126" i="7" s="1"/>
  <c r="O33" i="5"/>
  <c r="O70" i="5" s="1"/>
  <c r="O125" i="7" s="1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R255" i="4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191" i="4"/>
  <c r="S78" i="6"/>
  <c r="S220" i="7" s="1"/>
  <c r="G28" i="4"/>
  <c r="G219" i="4" s="1"/>
  <c r="G192" i="4"/>
  <c r="G79" i="6"/>
  <c r="G221" i="7" s="1"/>
  <c r="O28" i="4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1" i="7"/>
  <c r="O121" i="4"/>
  <c r="O112" i="4" s="1"/>
  <c r="O41" i="7"/>
  <c r="I128" i="4"/>
  <c r="I48" i="7"/>
  <c r="R128" i="4"/>
  <c r="R127" i="4" s="1"/>
  <c r="R46" i="7" s="1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H118" i="7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132" i="5"/>
  <c r="U43" i="5"/>
  <c r="U77" i="5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V138" i="7" s="1"/>
  <c r="E139" i="5"/>
  <c r="N139" i="5"/>
  <c r="V139" i="5"/>
  <c r="D79" i="5"/>
  <c r="D134" i="7" s="1"/>
  <c r="U79" i="5"/>
  <c r="U134" i="7" s="1"/>
  <c r="D150" i="5"/>
  <c r="T118" i="6"/>
  <c r="T18" i="6"/>
  <c r="I119" i="6"/>
  <c r="I27" i="6"/>
  <c r="I64" i="6" s="1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7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112" i="6"/>
  <c r="S20" i="6"/>
  <c r="S18" i="6" s="1"/>
  <c r="S112" i="6"/>
  <c r="F113" i="6"/>
  <c r="F20" i="6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63" i="5" s="1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77" i="5" s="1"/>
  <c r="B132" i="7" s="1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B47" i="6"/>
  <c r="F51" i="6"/>
  <c r="O51" i="6"/>
  <c r="D112" i="6"/>
  <c r="D20" i="6"/>
  <c r="M112" i="6"/>
  <c r="M20" i="6"/>
  <c r="M57" i="6" s="1"/>
  <c r="M199" i="7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132" i="6"/>
  <c r="R40" i="6"/>
  <c r="R132" i="6"/>
  <c r="E133" i="6"/>
  <c r="E40" i="6"/>
  <c r="E33" i="6" s="1"/>
  <c r="N133" i="6"/>
  <c r="N40" i="6"/>
  <c r="V133" i="6"/>
  <c r="J139" i="5"/>
  <c r="S139" i="5"/>
  <c r="F110" i="6"/>
  <c r="O110" i="6"/>
  <c r="C111" i="6"/>
  <c r="M17" i="4"/>
  <c r="M208" i="4" s="1"/>
  <c r="Q18" i="4"/>
  <c r="Q102" i="5" s="1"/>
  <c r="D21" i="4"/>
  <c r="M21" i="4"/>
  <c r="Q22" i="4"/>
  <c r="Q106" i="5" s="1"/>
  <c r="D23" i="4"/>
  <c r="D214" i="4" s="1"/>
  <c r="M23" i="4"/>
  <c r="M214" i="4" s="1"/>
  <c r="Q24" i="4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I124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D71" i="6" s="1"/>
  <c r="D213" i="7" s="1"/>
  <c r="M126" i="6"/>
  <c r="M34" i="6"/>
  <c r="U126" i="6"/>
  <c r="U34" i="6"/>
  <c r="U71" i="6" s="1"/>
  <c r="U213" i="7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D131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125" i="5"/>
  <c r="N33" i="5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47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206" i="7" s="1"/>
  <c r="F119" i="6"/>
  <c r="O27" i="6"/>
  <c r="O64" i="6" s="1"/>
  <c r="O206" i="7" s="1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U77" i="6" s="1"/>
  <c r="H133" i="6"/>
  <c r="Q133" i="6"/>
  <c r="B48" i="6"/>
  <c r="J48" i="6"/>
  <c r="S48" i="6"/>
  <c r="F49" i="6"/>
  <c r="O49" i="6"/>
  <c r="H20" i="6"/>
  <c r="H57" i="6" s="1"/>
  <c r="H199" i="7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T125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V125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77" i="5" s="1"/>
  <c r="G132" i="7" s="1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N48" i="6"/>
  <c r="I49" i="6"/>
  <c r="Q51" i="6"/>
  <c r="M49" i="6"/>
  <c r="C18" i="6"/>
  <c r="T111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N112" i="6"/>
  <c r="V112" i="6"/>
  <c r="V20" i="6"/>
  <c r="V57" i="6" s="1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64" i="6" s="1"/>
  <c r="M206" i="7" s="1"/>
  <c r="M119" i="6"/>
  <c r="U27" i="6"/>
  <c r="U64" i="6" s="1"/>
  <c r="U206" i="7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O125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S47" i="6" s="1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J18" i="6" s="1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57" i="6" s="1"/>
  <c r="R199" i="7" s="1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C118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71" i="6" s="1"/>
  <c r="B213" i="7" s="1"/>
  <c r="B126" i="6"/>
  <c r="J34" i="6"/>
  <c r="J71" i="6" s="1"/>
  <c r="J213" i="7" s="1"/>
  <c r="J126" i="6"/>
  <c r="S34" i="6"/>
  <c r="S126" i="6"/>
  <c r="F127" i="6"/>
  <c r="O127" i="6"/>
  <c r="B128" i="6"/>
  <c r="J128" i="6"/>
  <c r="S128" i="6"/>
  <c r="F129" i="6"/>
  <c r="O129" i="6"/>
  <c r="B40" i="6"/>
  <c r="B132" i="6"/>
  <c r="J40" i="6"/>
  <c r="J132" i="6"/>
  <c r="S40" i="6"/>
  <c r="S132" i="6"/>
  <c r="F133" i="6"/>
  <c r="O133" i="6"/>
  <c r="J50" i="6"/>
  <c r="J157" i="6"/>
  <c r="V59" i="7"/>
  <c r="V84" i="4"/>
  <c r="C76" i="7"/>
  <c r="K76" i="7"/>
  <c r="T76" i="7"/>
  <c r="C60" i="7"/>
  <c r="K60" i="7"/>
  <c r="T60" i="7"/>
  <c r="T84" i="4"/>
  <c r="B69" i="7"/>
  <c r="B60" i="7" s="1"/>
  <c r="B59" i="7" s="1"/>
  <c r="J69" i="7"/>
  <c r="J60" i="7" s="1"/>
  <c r="J59" i="7" s="1"/>
  <c r="S69" i="7"/>
  <c r="S60" i="7" s="1"/>
  <c r="C82" i="7"/>
  <c r="K82" i="7"/>
  <c r="T82" i="7"/>
  <c r="G82" i="7"/>
  <c r="G75" i="7" s="1"/>
  <c r="G59" i="7" s="1"/>
  <c r="F76" i="7"/>
  <c r="F75" i="7" s="1"/>
  <c r="O76" i="7"/>
  <c r="O75" i="7" s="1"/>
  <c r="F60" i="7"/>
  <c r="O60" i="7"/>
  <c r="S75" i="7"/>
  <c r="H84" i="4"/>
  <c r="G85" i="4"/>
  <c r="P60" i="7"/>
  <c r="R84" i="4"/>
  <c r="J84" i="4"/>
  <c r="I272" i="4"/>
  <c r="I270" i="4"/>
  <c r="I268" i="4"/>
  <c r="I266" i="4"/>
  <c r="V257" i="4"/>
  <c r="V262" i="4"/>
  <c r="V250" i="4"/>
  <c r="V252" i="4"/>
  <c r="R206" i="4"/>
  <c r="R93" i="6"/>
  <c r="R99" i="5"/>
  <c r="I200" i="4"/>
  <c r="I87" i="6"/>
  <c r="I93" i="5"/>
  <c r="I219" i="4"/>
  <c r="I106" i="6"/>
  <c r="I112" i="5"/>
  <c r="E219" i="4"/>
  <c r="E106" i="6"/>
  <c r="E112" i="5"/>
  <c r="D206" i="4"/>
  <c r="D93" i="6"/>
  <c r="D99" i="5"/>
  <c r="Q209" i="4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R218" i="4"/>
  <c r="R105" i="6"/>
  <c r="R111" i="5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62" i="4"/>
  <c r="R260" i="4"/>
  <c r="R263" i="4"/>
  <c r="R261" i="4"/>
  <c r="R259" i="4"/>
  <c r="R257" i="4"/>
  <c r="R256" i="4"/>
  <c r="R254" i="4"/>
  <c r="R252" i="4"/>
  <c r="R250" i="4"/>
  <c r="F170" i="4"/>
  <c r="F57" i="6"/>
  <c r="F199" i="7" s="1"/>
  <c r="F251" i="4"/>
  <c r="P170" i="4"/>
  <c r="P57" i="6"/>
  <c r="P199" i="7" s="1"/>
  <c r="F177" i="4"/>
  <c r="F258" i="4"/>
  <c r="R177" i="4"/>
  <c r="R258" i="4"/>
  <c r="R70" i="5"/>
  <c r="O46" i="4"/>
  <c r="O265" i="4" s="1"/>
  <c r="O184" i="4"/>
  <c r="O71" i="6"/>
  <c r="O213" i="7" s="1"/>
  <c r="O77" i="5"/>
  <c r="O132" i="7" s="1"/>
  <c r="P190" i="4"/>
  <c r="P83" i="5"/>
  <c r="P138" i="7" s="1"/>
  <c r="M58" i="4"/>
  <c r="M4" i="7" s="1"/>
  <c r="K112" i="4"/>
  <c r="N127" i="4"/>
  <c r="N46" i="7" s="1"/>
  <c r="N47" i="7"/>
  <c r="P106" i="5"/>
  <c r="G216" i="4"/>
  <c r="G103" i="6"/>
  <c r="G109" i="5"/>
  <c r="Q170" i="4"/>
  <c r="Q63" i="5"/>
  <c r="Q118" i="7" s="1"/>
  <c r="Q205" i="4"/>
  <c r="Q92" i="6"/>
  <c r="Q98" i="5"/>
  <c r="Q213" i="4"/>
  <c r="Q100" i="6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98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B199" i="4"/>
  <c r="B86" i="6"/>
  <c r="B92" i="5"/>
  <c r="G214" i="4"/>
  <c r="G101" i="6"/>
  <c r="G107" i="5"/>
  <c r="H216" i="4"/>
  <c r="H103" i="6"/>
  <c r="H109" i="5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63" i="5"/>
  <c r="R118" i="7" s="1"/>
  <c r="J70" i="5"/>
  <c r="T177" i="4"/>
  <c r="T64" i="6"/>
  <c r="T206" i="7" s="1"/>
  <c r="P31" i="4"/>
  <c r="P64" i="6"/>
  <c r="P70" i="5"/>
  <c r="G46" i="4"/>
  <c r="G271" i="4" s="1"/>
  <c r="G184" i="4"/>
  <c r="Q184" i="4"/>
  <c r="R190" i="4"/>
  <c r="R77" i="6"/>
  <c r="R219" i="7" s="1"/>
  <c r="R83" i="5"/>
  <c r="R138" i="7" s="1"/>
  <c r="T112" i="4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O207" i="4"/>
  <c r="Q190" i="4"/>
  <c r="D212" i="4"/>
  <c r="D99" i="6"/>
  <c r="D105" i="5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H214" i="4"/>
  <c r="H101" i="6"/>
  <c r="H107" i="5"/>
  <c r="B190" i="4"/>
  <c r="B77" i="6"/>
  <c r="B219" i="7" s="1"/>
  <c r="B83" i="5"/>
  <c r="B138" i="7" s="1"/>
  <c r="U170" i="4"/>
  <c r="K177" i="4"/>
  <c r="K64" i="6"/>
  <c r="K206" i="7" s="1"/>
  <c r="K70" i="5"/>
  <c r="K125" i="7" s="1"/>
  <c r="H184" i="4"/>
  <c r="H71" i="6"/>
  <c r="H213" i="7" s="1"/>
  <c r="H77" i="5"/>
  <c r="H132" i="7" s="1"/>
  <c r="R184" i="4"/>
  <c r="R77" i="5"/>
  <c r="R132" i="7" s="1"/>
  <c r="G77" i="6"/>
  <c r="G83" i="5"/>
  <c r="V190" i="4"/>
  <c r="V77" i="6"/>
  <c r="V219" i="7" s="1"/>
  <c r="N112" i="4"/>
  <c r="N31" i="7" s="1"/>
  <c r="N40" i="7"/>
  <c r="V112" i="4"/>
  <c r="V31" i="7" s="1"/>
  <c r="V40" i="7"/>
  <c r="E47" i="7"/>
  <c r="R249" i="4"/>
  <c r="T205" i="4"/>
  <c r="T92" i="6"/>
  <c r="U218" i="4"/>
  <c r="U105" i="6"/>
  <c r="U111" i="5"/>
  <c r="K201" i="4"/>
  <c r="K88" i="6"/>
  <c r="K94" i="5"/>
  <c r="G170" i="4"/>
  <c r="G57" i="6"/>
  <c r="G199" i="7" s="1"/>
  <c r="G63" i="5"/>
  <c r="G118" i="7" s="1"/>
  <c r="O209" i="4"/>
  <c r="O96" i="6"/>
  <c r="O102" i="5"/>
  <c r="M212" i="4"/>
  <c r="M99" i="6"/>
  <c r="M105" i="5"/>
  <c r="R199" i="4"/>
  <c r="R86" i="6"/>
  <c r="R92" i="5"/>
  <c r="N219" i="4"/>
  <c r="N106" i="6"/>
  <c r="N112" i="5"/>
  <c r="B202" i="4"/>
  <c r="B89" i="6"/>
  <c r="B95" i="5"/>
  <c r="I206" i="4"/>
  <c r="I93" i="6"/>
  <c r="I99" i="5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B184" i="4"/>
  <c r="J254" i="4"/>
  <c r="J57" i="6"/>
  <c r="J251" i="4"/>
  <c r="V63" i="5"/>
  <c r="V251" i="4"/>
  <c r="J98" i="5"/>
  <c r="N273" i="4"/>
  <c r="N269" i="4"/>
  <c r="N267" i="4"/>
  <c r="N272" i="4"/>
  <c r="N270" i="4"/>
  <c r="N268" i="4"/>
  <c r="N266" i="4"/>
  <c r="N264" i="4"/>
  <c r="I184" i="4"/>
  <c r="U184" i="4"/>
  <c r="I77" i="6"/>
  <c r="I83" i="5"/>
  <c r="I138" i="7" s="1"/>
  <c r="C111" i="5"/>
  <c r="S26" i="4"/>
  <c r="S218" i="4"/>
  <c r="S105" i="6"/>
  <c r="S111" i="5"/>
  <c r="O219" i="4"/>
  <c r="O106" i="6"/>
  <c r="O112" i="5"/>
  <c r="F58" i="4"/>
  <c r="F13" i="7"/>
  <c r="O20" i="7"/>
  <c r="V73" i="4"/>
  <c r="V19" i="7" s="1"/>
  <c r="V20" i="7"/>
  <c r="B85" i="4"/>
  <c r="B100" i="4"/>
  <c r="F40" i="7"/>
  <c r="F127" i="4"/>
  <c r="F46" i="7" s="1"/>
  <c r="F47" i="7"/>
  <c r="U127" i="4"/>
  <c r="U46" i="7" s="1"/>
  <c r="U47" i="7"/>
  <c r="P201" i="4"/>
  <c r="P88" i="6"/>
  <c r="P94" i="5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S70" i="5"/>
  <c r="S125" i="7" s="1"/>
  <c r="S208" i="4"/>
  <c r="S95" i="6"/>
  <c r="S101" i="5"/>
  <c r="U196" i="4"/>
  <c r="U83" i="6"/>
  <c r="U89" i="5"/>
  <c r="D101" i="5"/>
  <c r="T201" i="4"/>
  <c r="T88" i="6"/>
  <c r="T94" i="5"/>
  <c r="Q212" i="4"/>
  <c r="Q99" i="6"/>
  <c r="Q105" i="5"/>
  <c r="P198" i="4"/>
  <c r="P85" i="6"/>
  <c r="P91" i="5"/>
  <c r="U201" i="4"/>
  <c r="U88" i="6"/>
  <c r="U94" i="5"/>
  <c r="V202" i="4"/>
  <c r="V89" i="6"/>
  <c r="V95" i="5"/>
  <c r="M205" i="4"/>
  <c r="M92" i="6"/>
  <c r="M98" i="5"/>
  <c r="N206" i="4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E209" i="4"/>
  <c r="E96" i="6"/>
  <c r="I108" i="5"/>
  <c r="F218" i="4"/>
  <c r="E196" i="4"/>
  <c r="E83" i="6"/>
  <c r="E89" i="5"/>
  <c r="I202" i="4"/>
  <c r="I89" i="6"/>
  <c r="I95" i="5"/>
  <c r="C213" i="4"/>
  <c r="C100" i="6"/>
  <c r="C106" i="5"/>
  <c r="E215" i="4"/>
  <c r="E102" i="6"/>
  <c r="E108" i="5"/>
  <c r="H218" i="4"/>
  <c r="H105" i="6"/>
  <c r="H111" i="5"/>
  <c r="S198" i="4"/>
  <c r="S85" i="6"/>
  <c r="S91" i="5"/>
  <c r="O92" i="5"/>
  <c r="S202" i="4"/>
  <c r="S89" i="6"/>
  <c r="S95" i="5"/>
  <c r="C177" i="4"/>
  <c r="C64" i="6"/>
  <c r="C206" i="7" s="1"/>
  <c r="M177" i="4"/>
  <c r="Q46" i="4"/>
  <c r="Q265" i="4" s="1"/>
  <c r="V184" i="4"/>
  <c r="V71" i="6"/>
  <c r="V213" i="7" s="1"/>
  <c r="V77" i="5"/>
  <c r="V132" i="7" s="1"/>
  <c r="J77" i="6"/>
  <c r="J219" i="7" s="1"/>
  <c r="D26" i="4"/>
  <c r="D218" i="4"/>
  <c r="D105" i="6"/>
  <c r="D111" i="5"/>
  <c r="P73" i="4"/>
  <c r="P19" i="7" s="1"/>
  <c r="P20" i="7"/>
  <c r="V127" i="4"/>
  <c r="V46" i="7" s="1"/>
  <c r="V47" i="7"/>
  <c r="R47" i="7"/>
  <c r="U198" i="4"/>
  <c r="U85" i="6"/>
  <c r="U91" i="5"/>
  <c r="H199" i="4"/>
  <c r="H86" i="6"/>
  <c r="M200" i="4"/>
  <c r="U202" i="4"/>
  <c r="U89" i="6"/>
  <c r="U95" i="5"/>
  <c r="Q203" i="4"/>
  <c r="Q90" i="6"/>
  <c r="Q219" i="4"/>
  <c r="Q106" i="6"/>
  <c r="E250" i="4"/>
  <c r="R251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B205" i="4"/>
  <c r="B92" i="6"/>
  <c r="B98" i="5"/>
  <c r="U263" i="4"/>
  <c r="U250" i="4"/>
  <c r="U256" i="4"/>
  <c r="O47" i="7"/>
  <c r="M83" i="6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V201" i="4"/>
  <c r="V88" i="6"/>
  <c r="V94" i="5"/>
  <c r="M203" i="4"/>
  <c r="O206" i="4"/>
  <c r="O93" i="6"/>
  <c r="O99" i="5"/>
  <c r="Q208" i="4"/>
  <c r="Q95" i="6"/>
  <c r="Q101" i="5"/>
  <c r="T209" i="4"/>
  <c r="T96" i="6"/>
  <c r="T102" i="5"/>
  <c r="U212" i="4"/>
  <c r="U99" i="6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200" i="4"/>
  <c r="B87" i="6"/>
  <c r="B93" i="5"/>
  <c r="F89" i="6"/>
  <c r="F95" i="5"/>
  <c r="F229" i="4"/>
  <c r="E205" i="4"/>
  <c r="E92" i="6"/>
  <c r="E98" i="5"/>
  <c r="B207" i="4"/>
  <c r="E213" i="4"/>
  <c r="E100" i="6"/>
  <c r="E106" i="5"/>
  <c r="K215" i="4"/>
  <c r="K102" i="6"/>
  <c r="K108" i="5"/>
  <c r="B219" i="4"/>
  <c r="B106" i="6"/>
  <c r="B112" i="5"/>
  <c r="H200" i="4"/>
  <c r="H87" i="6"/>
  <c r="H93" i="5"/>
  <c r="F213" i="4"/>
  <c r="F100" i="6"/>
  <c r="F106" i="5"/>
  <c r="F215" i="4"/>
  <c r="F102" i="6"/>
  <c r="F108" i="5"/>
  <c r="I218" i="4"/>
  <c r="I105" i="6"/>
  <c r="I111" i="5"/>
  <c r="D202" i="4"/>
  <c r="D89" i="6"/>
  <c r="D95" i="5"/>
  <c r="D229" i="4"/>
  <c r="N177" i="4"/>
  <c r="N70" i="5"/>
  <c r="N125" i="7" s="1"/>
  <c r="R272" i="4"/>
  <c r="R270" i="4"/>
  <c r="R268" i="4"/>
  <c r="R266" i="4"/>
  <c r="M184" i="4"/>
  <c r="M71" i="6"/>
  <c r="M213" i="7" s="1"/>
  <c r="M77" i="5"/>
  <c r="M132" i="7" s="1"/>
  <c r="S212" i="4"/>
  <c r="S99" i="6"/>
  <c r="S105" i="5"/>
  <c r="O213" i="4"/>
  <c r="O100" i="6"/>
  <c r="O106" i="5"/>
  <c r="S214" i="4"/>
  <c r="S101" i="6"/>
  <c r="S107" i="5"/>
  <c r="N77" i="6"/>
  <c r="N271" i="4"/>
  <c r="N83" i="5"/>
  <c r="E190" i="4"/>
  <c r="U46" i="4"/>
  <c r="U265" i="4" s="1"/>
  <c r="U83" i="5"/>
  <c r="D73" i="4"/>
  <c r="D26" i="7"/>
  <c r="M73" i="4"/>
  <c r="M26" i="7"/>
  <c r="U73" i="4"/>
  <c r="J127" i="4"/>
  <c r="J46" i="7" s="1"/>
  <c r="J47" i="7"/>
  <c r="S47" i="7"/>
  <c r="I199" i="4"/>
  <c r="I88" i="6"/>
  <c r="I214" i="4"/>
  <c r="I101" i="6"/>
  <c r="I107" i="5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O31" i="4"/>
  <c r="P46" i="4"/>
  <c r="P265" i="4" s="1"/>
  <c r="P184" i="4"/>
  <c r="O198" i="4"/>
  <c r="O85" i="6"/>
  <c r="O91" i="5"/>
  <c r="R202" i="4"/>
  <c r="R89" i="6"/>
  <c r="R95" i="5"/>
  <c r="O208" i="4"/>
  <c r="O95" i="6"/>
  <c r="O101" i="5"/>
  <c r="U214" i="4"/>
  <c r="U101" i="6"/>
  <c r="U107" i="5"/>
  <c r="N26" i="4"/>
  <c r="N218" i="4"/>
  <c r="N105" i="6"/>
  <c r="N111" i="5"/>
  <c r="D199" i="4"/>
  <c r="D86" i="6"/>
  <c r="D92" i="5"/>
  <c r="N196" i="4"/>
  <c r="N83" i="6"/>
  <c r="N89" i="5"/>
  <c r="R200" i="4"/>
  <c r="R87" i="6"/>
  <c r="R93" i="5"/>
  <c r="V200" i="4"/>
  <c r="V87" i="6"/>
  <c r="V93" i="5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B88" i="6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57" i="6"/>
  <c r="E251" i="4"/>
  <c r="O170" i="4"/>
  <c r="E177" i="4"/>
  <c r="E64" i="6"/>
  <c r="E206" i="7" s="1"/>
  <c r="E70" i="5"/>
  <c r="E125" i="7" s="1"/>
  <c r="E258" i="4"/>
  <c r="Q177" i="4"/>
  <c r="Q64" i="6"/>
  <c r="Q206" i="7" s="1"/>
  <c r="Q70" i="5"/>
  <c r="Q125" i="7" s="1"/>
  <c r="V46" i="4"/>
  <c r="N71" i="6"/>
  <c r="N265" i="4"/>
  <c r="N77" i="5"/>
  <c r="T184" i="4"/>
  <c r="O77" i="6"/>
  <c r="O271" i="4"/>
  <c r="O83" i="5"/>
  <c r="H58" i="4"/>
  <c r="I58" i="4"/>
  <c r="I4" i="7" s="1"/>
  <c r="I13" i="7"/>
  <c r="R58" i="4"/>
  <c r="R13" i="7"/>
  <c r="R73" i="4"/>
  <c r="R19" i="7" s="1"/>
  <c r="R20" i="7"/>
  <c r="G112" i="4"/>
  <c r="M47" i="7"/>
  <c r="N250" i="4"/>
  <c r="E252" i="4"/>
  <c r="R253" i="4"/>
  <c r="O109" i="5"/>
  <c r="V83" i="6"/>
  <c r="Q215" i="4"/>
  <c r="Q102" i="6"/>
  <c r="Q108" i="5"/>
  <c r="M216" i="4"/>
  <c r="O4" i="6"/>
  <c r="O47" i="6" s="1"/>
  <c r="L4" i="6"/>
  <c r="T42" i="5"/>
  <c r="N18" i="5"/>
  <c r="Q4" i="5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O26" i="4"/>
  <c r="E20" i="4"/>
  <c r="C15" i="4"/>
  <c r="K15" i="4"/>
  <c r="G16" i="4"/>
  <c r="K17" i="4"/>
  <c r="G18" i="4"/>
  <c r="K11" i="4"/>
  <c r="H16" i="4"/>
  <c r="P16" i="4"/>
  <c r="T17" i="4"/>
  <c r="H18" i="4"/>
  <c r="P18" i="4"/>
  <c r="J112" i="4"/>
  <c r="S112" i="4"/>
  <c r="C100" i="4"/>
  <c r="E58" i="4"/>
  <c r="E168" i="4" s="1"/>
  <c r="B73" i="4"/>
  <c r="B19" i="7" s="1"/>
  <c r="T73" i="4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R26" i="4"/>
  <c r="H14" i="4"/>
  <c r="K33" i="4"/>
  <c r="S33" i="4"/>
  <c r="C47" i="4"/>
  <c r="S47" i="4"/>
  <c r="C53" i="4"/>
  <c r="K53" i="4"/>
  <c r="S53" i="4"/>
  <c r="R6" i="4"/>
  <c r="Q26" i="4"/>
  <c r="L31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U125" i="7" l="1"/>
  <c r="R59" i="7"/>
  <c r="Q117" i="5"/>
  <c r="I59" i="7"/>
  <c r="B63" i="5"/>
  <c r="B118" i="7" s="1"/>
  <c r="U132" i="7"/>
  <c r="U118" i="7"/>
  <c r="T213" i="7"/>
  <c r="M13" i="4"/>
  <c r="K184" i="4"/>
  <c r="B57" i="6"/>
  <c r="P71" i="6"/>
  <c r="P213" i="7" s="1"/>
  <c r="O6" i="4"/>
  <c r="S42" i="5"/>
  <c r="W231" i="4"/>
  <c r="Q91" i="5"/>
  <c r="M196" i="4"/>
  <c r="U20" i="4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K77" i="5"/>
  <c r="K132" i="7" s="1"/>
  <c r="J190" i="4"/>
  <c r="S206" i="7"/>
  <c r="M26" i="4"/>
  <c r="O20" i="4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58" i="4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S216" i="4"/>
  <c r="G190" i="4"/>
  <c r="Q57" i="6"/>
  <c r="Q199" i="7" s="1"/>
  <c r="N200" i="4"/>
  <c r="V206" i="7"/>
  <c r="G137" i="5"/>
  <c r="V6" i="4"/>
  <c r="U6" i="4"/>
  <c r="G213" i="7"/>
  <c r="Q96" i="6"/>
  <c r="O73" i="4"/>
  <c r="O19" i="7" s="1"/>
  <c r="R30" i="4"/>
  <c r="Q20" i="4"/>
  <c r="Q98" i="6" s="1"/>
  <c r="K13" i="4"/>
  <c r="H206" i="7"/>
  <c r="J18" i="5"/>
  <c r="J61" i="5" s="1"/>
  <c r="F77" i="5"/>
  <c r="F132" i="7" s="1"/>
  <c r="S6" i="4"/>
  <c r="I20" i="4"/>
  <c r="C70" i="5"/>
  <c r="C125" i="7" s="1"/>
  <c r="M83" i="5"/>
  <c r="M138" i="7" s="1"/>
  <c r="R47" i="6"/>
  <c r="S18" i="5"/>
  <c r="D57" i="6"/>
  <c r="D199" i="7" s="1"/>
  <c r="C31" i="4"/>
  <c r="C251" i="4" s="1"/>
  <c r="R13" i="4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42" i="5"/>
  <c r="O102" i="6"/>
  <c r="D63" i="5"/>
  <c r="D118" i="7" s="1"/>
  <c r="J205" i="4"/>
  <c r="F88" i="6"/>
  <c r="J170" i="4"/>
  <c r="J257" i="4"/>
  <c r="M40" i="7"/>
  <c r="P125" i="7"/>
  <c r="J55" i="6"/>
  <c r="N47" i="6"/>
  <c r="H127" i="4"/>
  <c r="H46" i="7" s="1"/>
  <c r="J118" i="7"/>
  <c r="D127" i="4"/>
  <c r="D46" i="7" s="1"/>
  <c r="T125" i="7"/>
  <c r="D13" i="4"/>
  <c r="I177" i="4"/>
  <c r="H106" i="6"/>
  <c r="S73" i="4"/>
  <c r="S19" i="7" s="1"/>
  <c r="R100" i="5"/>
  <c r="H219" i="4"/>
  <c r="H18" i="6"/>
  <c r="R94" i="6"/>
  <c r="S93" i="5"/>
  <c r="J249" i="4"/>
  <c r="P206" i="7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S19" i="4" s="1"/>
  <c r="S246" i="4" s="1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R265" i="4"/>
  <c r="U177" i="4"/>
  <c r="U58" i="4"/>
  <c r="U57" i="4" s="1"/>
  <c r="U3" i="7" s="1"/>
  <c r="G265" i="4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I206" i="7"/>
  <c r="C18" i="5"/>
  <c r="N132" i="7"/>
  <c r="F102" i="5"/>
  <c r="I215" i="4"/>
  <c r="J259" i="4"/>
  <c r="R267" i="4"/>
  <c r="J132" i="7"/>
  <c r="P177" i="4"/>
  <c r="H170" i="4"/>
  <c r="J58" i="4"/>
  <c r="N111" i="4"/>
  <c r="N30" i="7" s="1"/>
  <c r="R264" i="4"/>
  <c r="P58" i="4"/>
  <c r="P57" i="4" s="1"/>
  <c r="I271" i="4"/>
  <c r="V170" i="4"/>
  <c r="J252" i="4"/>
  <c r="I205" i="4"/>
  <c r="T99" i="5"/>
  <c r="K131" i="5"/>
  <c r="U47" i="6"/>
  <c r="B58" i="4"/>
  <c r="B57" i="4" s="1"/>
  <c r="B3" i="7" s="1"/>
  <c r="N258" i="4"/>
  <c r="N58" i="4"/>
  <c r="N13" i="4"/>
  <c r="N97" i="5" s="1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K104" i="6" s="1"/>
  <c r="E93" i="5"/>
  <c r="N253" i="4"/>
  <c r="F95" i="6"/>
  <c r="N92" i="6"/>
  <c r="M107" i="5"/>
  <c r="U262" i="4"/>
  <c r="U87" i="6"/>
  <c r="C170" i="4"/>
  <c r="D106" i="5"/>
  <c r="I31" i="4"/>
  <c r="I168" i="4" s="1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K143" i="4" s="1"/>
  <c r="B6" i="4"/>
  <c r="B197" i="4" s="1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B199" i="7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U219" i="7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Q47" i="6"/>
  <c r="F47" i="6"/>
  <c r="E118" i="7"/>
  <c r="B102" i="6"/>
  <c r="H251" i="4"/>
  <c r="T75" i="7"/>
  <c r="T59" i="7" s="1"/>
  <c r="R111" i="6"/>
  <c r="R33" i="6"/>
  <c r="R17" i="6" s="1"/>
  <c r="R136" i="6" s="1"/>
  <c r="R125" i="6"/>
  <c r="C131" i="6"/>
  <c r="I112" i="4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Q17" i="5"/>
  <c r="Q157" i="5" s="1"/>
  <c r="T17" i="5"/>
  <c r="T151" i="5" s="1"/>
  <c r="N61" i="5"/>
  <c r="J131" i="6"/>
  <c r="Q33" i="6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76" i="5" s="1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76" i="5" s="1"/>
  <c r="G131" i="5"/>
  <c r="G47" i="6"/>
  <c r="H111" i="6"/>
  <c r="U111" i="6"/>
  <c r="U18" i="5"/>
  <c r="U117" i="5"/>
  <c r="B111" i="6"/>
  <c r="M42" i="5"/>
  <c r="M76" i="5" s="1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J137" i="5"/>
  <c r="N131" i="5"/>
  <c r="N42" i="5"/>
  <c r="N17" i="5" s="1"/>
  <c r="V111" i="6"/>
  <c r="C137" i="5"/>
  <c r="E131" i="5"/>
  <c r="E42" i="5"/>
  <c r="E76" i="5" s="1"/>
  <c r="U33" i="6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219" i="4"/>
  <c r="F106" i="6"/>
  <c r="F112" i="5"/>
  <c r="K190" i="4"/>
  <c r="K77" i="6"/>
  <c r="K219" i="7" s="1"/>
  <c r="K83" i="5"/>
  <c r="K138" i="7" s="1"/>
  <c r="C214" i="4"/>
  <c r="C101" i="6"/>
  <c r="C107" i="5"/>
  <c r="C200" i="4"/>
  <c r="C87" i="6"/>
  <c r="C93" i="5"/>
  <c r="D150" i="4"/>
  <c r="D204" i="4"/>
  <c r="D91" i="6"/>
  <c r="D97" i="5"/>
  <c r="M204" i="4"/>
  <c r="M91" i="6"/>
  <c r="M97" i="5"/>
  <c r="U211" i="4"/>
  <c r="U98" i="6"/>
  <c r="U104" i="5"/>
  <c r="C190" i="4"/>
  <c r="C77" i="6"/>
  <c r="C219" i="7" s="1"/>
  <c r="C83" i="5"/>
  <c r="C138" i="7" s="1"/>
  <c r="N211" i="4"/>
  <c r="N98" i="6"/>
  <c r="N104" i="5"/>
  <c r="O13" i="4"/>
  <c r="O4" i="4" s="1"/>
  <c r="O232" i="4" s="1"/>
  <c r="O205" i="4"/>
  <c r="O92" i="6"/>
  <c r="O98" i="5"/>
  <c r="J4" i="7"/>
  <c r="G209" i="4"/>
  <c r="G96" i="6"/>
  <c r="G102" i="5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57" i="4"/>
  <c r="M3" i="7" s="1"/>
  <c r="M19" i="7"/>
  <c r="D163" i="4"/>
  <c r="D217" i="4"/>
  <c r="D104" i="6"/>
  <c r="D110" i="5"/>
  <c r="J150" i="4"/>
  <c r="J204" i="4"/>
  <c r="J91" i="6"/>
  <c r="J97" i="5"/>
  <c r="T31" i="7"/>
  <c r="P20" i="4"/>
  <c r="P157" i="4" s="1"/>
  <c r="P215" i="4"/>
  <c r="P102" i="6"/>
  <c r="P108" i="5"/>
  <c r="S143" i="4"/>
  <c r="S197" i="4"/>
  <c r="S84" i="6"/>
  <c r="S90" i="5"/>
  <c r="O4" i="7"/>
  <c r="S4" i="4"/>
  <c r="S223" i="4" s="1"/>
  <c r="F204" i="4"/>
  <c r="J163" i="4"/>
  <c r="J217" i="4"/>
  <c r="J104" i="6"/>
  <c r="J110" i="5"/>
  <c r="B177" i="4"/>
  <c r="B64" i="6"/>
  <c r="B206" i="7" s="1"/>
  <c r="B70" i="5"/>
  <c r="B125" i="7" s="1"/>
  <c r="I90" i="5"/>
  <c r="R150" i="4"/>
  <c r="R204" i="4"/>
  <c r="R91" i="6"/>
  <c r="R97" i="5"/>
  <c r="S46" i="4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S31" i="7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H4" i="7"/>
  <c r="H57" i="4"/>
  <c r="H3" i="7" s="1"/>
  <c r="E30" i="4"/>
  <c r="E273" i="4"/>
  <c r="E269" i="4"/>
  <c r="E272" i="4"/>
  <c r="E270" i="4"/>
  <c r="E268" i="4"/>
  <c r="E266" i="4"/>
  <c r="C258" i="4"/>
  <c r="F111" i="4"/>
  <c r="F30" i="7" s="1"/>
  <c r="F31" i="7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K31" i="7"/>
  <c r="K111" i="4"/>
  <c r="K30" i="7" s="1"/>
  <c r="U150" i="4"/>
  <c r="U204" i="4"/>
  <c r="U91" i="6"/>
  <c r="U97" i="5"/>
  <c r="S4" i="7"/>
  <c r="O163" i="4"/>
  <c r="O217" i="4"/>
  <c r="O104" i="6"/>
  <c r="O110" i="5"/>
  <c r="U143" i="4"/>
  <c r="U197" i="4"/>
  <c r="U84" i="6"/>
  <c r="U90" i="5"/>
  <c r="B20" i="4"/>
  <c r="B213" i="4"/>
  <c r="B100" i="6"/>
  <c r="B106" i="5"/>
  <c r="H20" i="4"/>
  <c r="H19" i="4" s="1"/>
  <c r="H242" i="4" s="1"/>
  <c r="H212" i="4"/>
  <c r="H99" i="6"/>
  <c r="H105" i="5"/>
  <c r="F157" i="4"/>
  <c r="F211" i="4"/>
  <c r="F98" i="6"/>
  <c r="F104" i="5"/>
  <c r="O211" i="4"/>
  <c r="O98" i="6"/>
  <c r="O104" i="5"/>
  <c r="C184" i="4"/>
  <c r="C71" i="6"/>
  <c r="C213" i="7" s="1"/>
  <c r="C77" i="5"/>
  <c r="C132" i="7" s="1"/>
  <c r="C196" i="4"/>
  <c r="C83" i="6"/>
  <c r="C89" i="5"/>
  <c r="B183" i="4"/>
  <c r="B272" i="4"/>
  <c r="B270" i="4"/>
  <c r="B268" i="4"/>
  <c r="B266" i="4"/>
  <c r="B264" i="4"/>
  <c r="B273" i="4"/>
  <c r="B269" i="4"/>
  <c r="B267" i="4"/>
  <c r="K46" i="4"/>
  <c r="K271" i="4" s="1"/>
  <c r="T19" i="7"/>
  <c r="J111" i="4"/>
  <c r="J30" i="7" s="1"/>
  <c r="J31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183" i="4"/>
  <c r="U70" i="6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207" i="4"/>
  <c r="E94" i="6"/>
  <c r="E100" i="5"/>
  <c r="D6" i="4"/>
  <c r="D4" i="4" s="1"/>
  <c r="D225" i="4" s="1"/>
  <c r="D198" i="4"/>
  <c r="D85" i="6"/>
  <c r="D91" i="5"/>
  <c r="K150" i="4"/>
  <c r="K204" i="4"/>
  <c r="K91" i="6"/>
  <c r="K97" i="5"/>
  <c r="T190" i="4"/>
  <c r="T77" i="6"/>
  <c r="T219" i="7" s="1"/>
  <c r="T271" i="4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E4" i="7"/>
  <c r="T208" i="4"/>
  <c r="T95" i="6"/>
  <c r="T101" i="5"/>
  <c r="S150" i="4"/>
  <c r="S204" i="4"/>
  <c r="S91" i="6"/>
  <c r="S97" i="5"/>
  <c r="G199" i="4"/>
  <c r="G86" i="6"/>
  <c r="G92" i="5"/>
  <c r="Q143" i="4"/>
  <c r="Q197" i="4"/>
  <c r="Q84" i="6"/>
  <c r="Q90" i="5"/>
  <c r="K110" i="5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P76" i="5"/>
  <c r="N183" i="4"/>
  <c r="J168" i="4"/>
  <c r="E31" i="7"/>
  <c r="G30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V143" i="4"/>
  <c r="V197" i="4"/>
  <c r="V84" i="6"/>
  <c r="V90" i="5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168" i="4"/>
  <c r="Q55" i="6"/>
  <c r="Q61" i="5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B84" i="4"/>
  <c r="C163" i="4"/>
  <c r="C217" i="4"/>
  <c r="C104" i="6"/>
  <c r="C110" i="5"/>
  <c r="B271" i="4"/>
  <c r="G183" i="4"/>
  <c r="G70" i="6"/>
  <c r="G272" i="4"/>
  <c r="G270" i="4"/>
  <c r="G268" i="4"/>
  <c r="G266" i="4"/>
  <c r="G264" i="4"/>
  <c r="G273" i="4"/>
  <c r="G269" i="4"/>
  <c r="G267" i="4"/>
  <c r="F168" i="4"/>
  <c r="Q150" i="4"/>
  <c r="I157" i="4"/>
  <c r="I211" i="4"/>
  <c r="I98" i="6"/>
  <c r="I104" i="5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M163" i="4"/>
  <c r="M217" i="4"/>
  <c r="M104" i="6"/>
  <c r="M110" i="5"/>
  <c r="T31" i="4"/>
  <c r="T251" i="4" s="1"/>
  <c r="T170" i="4"/>
  <c r="T57" i="6"/>
  <c r="T199" i="7" s="1"/>
  <c r="T63" i="5"/>
  <c r="T118" i="7" s="1"/>
  <c r="O143" i="4"/>
  <c r="O197" i="4"/>
  <c r="O84" i="6"/>
  <c r="O90" i="5"/>
  <c r="H205" i="4"/>
  <c r="H92" i="6"/>
  <c r="H98" i="5"/>
  <c r="G13" i="4"/>
  <c r="G205" i="4"/>
  <c r="G92" i="6"/>
  <c r="G98" i="5"/>
  <c r="P205" i="4"/>
  <c r="P92" i="6"/>
  <c r="P98" i="5"/>
  <c r="C262" i="4"/>
  <c r="C61" i="5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B204" i="4"/>
  <c r="Q183" i="4"/>
  <c r="Q70" i="6"/>
  <c r="Q272" i="4"/>
  <c r="Q270" i="4"/>
  <c r="Q268" i="4"/>
  <c r="Q266" i="4"/>
  <c r="Q264" i="4"/>
  <c r="Q76" i="5"/>
  <c r="Q267" i="4"/>
  <c r="Q273" i="4"/>
  <c r="Q269" i="4"/>
  <c r="S163" i="4"/>
  <c r="S217" i="4"/>
  <c r="S104" i="6"/>
  <c r="S110" i="5"/>
  <c r="S244" i="4"/>
  <c r="B265" i="4"/>
  <c r="V271" i="4"/>
  <c r="V150" i="4"/>
  <c r="V204" i="4"/>
  <c r="V91" i="6"/>
  <c r="V97" i="5"/>
  <c r="M111" i="4"/>
  <c r="M30" i="7" s="1"/>
  <c r="M31" i="7"/>
  <c r="P258" i="4"/>
  <c r="Q251" i="4"/>
  <c r="P271" i="4"/>
  <c r="O183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Q104" i="6"/>
  <c r="Q110" i="5"/>
  <c r="T183" i="4"/>
  <c r="T76" i="5"/>
  <c r="T273" i="4"/>
  <c r="T269" i="4"/>
  <c r="T267" i="4"/>
  <c r="T272" i="4"/>
  <c r="T270" i="4"/>
  <c r="T268" i="4"/>
  <c r="T266" i="4"/>
  <c r="T264" i="4"/>
  <c r="H201" i="4"/>
  <c r="H88" i="6"/>
  <c r="H94" i="5"/>
  <c r="T265" i="4"/>
  <c r="E143" i="4"/>
  <c r="E197" i="4"/>
  <c r="E84" i="6"/>
  <c r="E90" i="5"/>
  <c r="F6" i="4"/>
  <c r="F4" i="4" s="1"/>
  <c r="F231" i="4" s="1"/>
  <c r="F199" i="4"/>
  <c r="F86" i="6"/>
  <c r="F92" i="5"/>
  <c r="K200" i="4"/>
  <c r="K87" i="6"/>
  <c r="K93" i="5"/>
  <c r="B31" i="4"/>
  <c r="B258" i="4" s="1"/>
  <c r="Q211" i="4"/>
  <c r="S190" i="4"/>
  <c r="S77" i="6"/>
  <c r="S219" i="7" s="1"/>
  <c r="S83" i="5"/>
  <c r="S138" i="7" s="1"/>
  <c r="R163" i="4"/>
  <c r="R217" i="4"/>
  <c r="R104" i="6"/>
  <c r="R110" i="5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U19" i="7"/>
  <c r="E271" i="4"/>
  <c r="S242" i="4"/>
  <c r="V265" i="4"/>
  <c r="H168" i="4"/>
  <c r="H262" i="4"/>
  <c r="H260" i="4"/>
  <c r="H255" i="4"/>
  <c r="H253" i="4"/>
  <c r="H249" i="4"/>
  <c r="H259" i="4"/>
  <c r="H261" i="4"/>
  <c r="H254" i="4"/>
  <c r="H252" i="4"/>
  <c r="H250" i="4"/>
  <c r="H263" i="4"/>
  <c r="H257" i="4"/>
  <c r="R168" i="4"/>
  <c r="F183" i="4"/>
  <c r="C6" i="4"/>
  <c r="T20" i="4"/>
  <c r="R4" i="4"/>
  <c r="R143" i="4"/>
  <c r="B4" i="4"/>
  <c r="B231" i="4" s="1"/>
  <c r="B143" i="4"/>
  <c r="P13" i="4"/>
  <c r="M150" i="4"/>
  <c r="V19" i="4"/>
  <c r="V157" i="4"/>
  <c r="U4" i="4"/>
  <c r="H13" i="4"/>
  <c r="U19" i="4"/>
  <c r="U244" i="4" s="1"/>
  <c r="U157" i="4"/>
  <c r="N19" i="4"/>
  <c r="N244" i="4" s="1"/>
  <c r="N157" i="4"/>
  <c r="V4" i="4"/>
  <c r="V231" i="4" s="1"/>
  <c r="Q4" i="4"/>
  <c r="O19" i="4"/>
  <c r="O157" i="4"/>
  <c r="T6" i="4"/>
  <c r="K4" i="4"/>
  <c r="K223" i="4" s="1"/>
  <c r="C46" i="4"/>
  <c r="C271" i="4" s="1"/>
  <c r="R19" i="4"/>
  <c r="R244" i="4" s="1"/>
  <c r="I19" i="4"/>
  <c r="I244" i="4" s="1"/>
  <c r="F19" i="4"/>
  <c r="F238" i="4" s="1"/>
  <c r="E19" i="4"/>
  <c r="E238" i="4" s="1"/>
  <c r="N150" i="4" l="1"/>
  <c r="K217" i="4"/>
  <c r="K90" i="5"/>
  <c r="J183" i="4"/>
  <c r="K163" i="4"/>
  <c r="K84" i="6"/>
  <c r="K197" i="4"/>
  <c r="C57" i="4"/>
  <c r="C3" i="7" s="1"/>
  <c r="E4" i="4"/>
  <c r="E267" i="4"/>
  <c r="S156" i="4"/>
  <c r="O57" i="4"/>
  <c r="O3" i="7" s="1"/>
  <c r="N91" i="6"/>
  <c r="N204" i="4"/>
  <c r="E264" i="4"/>
  <c r="E70" i="6"/>
  <c r="G98" i="6"/>
  <c r="H61" i="5"/>
  <c r="H157" i="4"/>
  <c r="J57" i="4"/>
  <c r="J3" i="7" s="1"/>
  <c r="B17" i="5"/>
  <c r="B144" i="5" s="1"/>
  <c r="M4" i="4"/>
  <c r="M231" i="4" s="1"/>
  <c r="S231" i="4"/>
  <c r="B90" i="5"/>
  <c r="N57" i="4"/>
  <c r="B84" i="6"/>
  <c r="C111" i="4"/>
  <c r="C30" i="7" s="1"/>
  <c r="D57" i="4"/>
  <c r="D3" i="7" s="1"/>
  <c r="I84" i="6"/>
  <c r="B110" i="5"/>
  <c r="I197" i="4"/>
  <c r="B104" i="6"/>
  <c r="B217" i="4"/>
  <c r="S17" i="5"/>
  <c r="S163" i="5" s="1"/>
  <c r="O111" i="4"/>
  <c r="O30" i="7" s="1"/>
  <c r="B19" i="4"/>
  <c r="P3" i="7"/>
  <c r="P167" i="4"/>
  <c r="C157" i="4"/>
  <c r="S241" i="4"/>
  <c r="M90" i="5"/>
  <c r="B111" i="4"/>
  <c r="B30" i="7" s="1"/>
  <c r="T91" i="6"/>
  <c r="P168" i="4"/>
  <c r="S240" i="4"/>
  <c r="S243" i="4"/>
  <c r="S271" i="4"/>
  <c r="M84" i="6"/>
  <c r="E111" i="4"/>
  <c r="E30" i="7" s="1"/>
  <c r="S238" i="4"/>
  <c r="T204" i="4"/>
  <c r="S245" i="4"/>
  <c r="S237" i="4"/>
  <c r="D253" i="4"/>
  <c r="S104" i="5"/>
  <c r="B4" i="7"/>
  <c r="Q157" i="4"/>
  <c r="S103" i="5"/>
  <c r="Q97" i="5"/>
  <c r="M143" i="4"/>
  <c r="D30" i="4"/>
  <c r="D255" i="4"/>
  <c r="S98" i="6"/>
  <c r="S239" i="4"/>
  <c r="M197" i="4"/>
  <c r="S97" i="6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H55" i="6"/>
  <c r="S154" i="5"/>
  <c r="S162" i="5"/>
  <c r="S147" i="5"/>
  <c r="S148" i="5"/>
  <c r="S166" i="5"/>
  <c r="S161" i="5"/>
  <c r="S155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M167" i="4" s="1"/>
  <c r="E57" i="4"/>
  <c r="E3" i="7" s="1"/>
  <c r="D250" i="4"/>
  <c r="N4" i="4"/>
  <c r="N224" i="4" s="1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J167" i="4"/>
  <c r="C252" i="4"/>
  <c r="M267" i="4"/>
  <c r="D111" i="4"/>
  <c r="D30" i="7" s="1"/>
  <c r="D251" i="4"/>
  <c r="D254" i="4"/>
  <c r="H17" i="6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S210" i="4"/>
  <c r="D19" i="4"/>
  <c r="D243" i="4" s="1"/>
  <c r="M265" i="4"/>
  <c r="J144" i="5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K229" i="4"/>
  <c r="Q151" i="5"/>
  <c r="R158" i="6"/>
  <c r="R145" i="6"/>
  <c r="K151" i="5"/>
  <c r="K164" i="5"/>
  <c r="K157" i="5"/>
  <c r="B158" i="5"/>
  <c r="B142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E22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H153" i="6"/>
  <c r="H137" i="6"/>
  <c r="H135" i="6"/>
  <c r="H141" i="6"/>
  <c r="H149" i="6"/>
  <c r="H146" i="6"/>
  <c r="H145" i="6"/>
  <c r="H154" i="6"/>
  <c r="H148" i="6"/>
  <c r="H140" i="6"/>
  <c r="H139" i="6"/>
  <c r="H159" i="6"/>
  <c r="H156" i="6"/>
  <c r="H147" i="6"/>
  <c r="H142" i="6"/>
  <c r="H155" i="6"/>
  <c r="H160" i="6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H152" i="6"/>
  <c r="T157" i="5"/>
  <c r="J141" i="5"/>
  <c r="J146" i="5"/>
  <c r="J148" i="5"/>
  <c r="J159" i="5"/>
  <c r="J155" i="5"/>
  <c r="J161" i="5"/>
  <c r="J152" i="5"/>
  <c r="J153" i="5"/>
  <c r="K17" i="6"/>
  <c r="K151" i="6" s="1"/>
  <c r="H136" i="6"/>
  <c r="N17" i="6"/>
  <c r="N136" i="6" s="1"/>
  <c r="N55" i="6"/>
  <c r="T57" i="4"/>
  <c r="T3" i="7" s="1"/>
  <c r="H158" i="6"/>
  <c r="F76" i="5"/>
  <c r="I70" i="6"/>
  <c r="H151" i="6"/>
  <c r="E17" i="6"/>
  <c r="E136" i="6" s="1"/>
  <c r="E55" i="6"/>
  <c r="R152" i="6"/>
  <c r="U17" i="5"/>
  <c r="U157" i="5" s="1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I238" i="4"/>
  <c r="N157" i="5"/>
  <c r="N76" i="5"/>
  <c r="J142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151" i="6"/>
  <c r="R70" i="6"/>
  <c r="P46" i="7"/>
  <c r="P111" i="4"/>
  <c r="P30" i="7" s="1"/>
  <c r="M17" i="5"/>
  <c r="M142" i="5" s="1"/>
  <c r="M61" i="5"/>
  <c r="H138" i="6"/>
  <c r="H31" i="7"/>
  <c r="H111" i="4"/>
  <c r="H30" i="7" s="1"/>
  <c r="S151" i="6"/>
  <c r="O17" i="6"/>
  <c r="O136" i="6" s="1"/>
  <c r="C17" i="6"/>
  <c r="C151" i="6" s="1"/>
  <c r="Q31" i="7"/>
  <c r="Q111" i="4"/>
  <c r="Q30" i="7" s="1"/>
  <c r="B141" i="5"/>
  <c r="B160" i="5"/>
  <c r="B162" i="5"/>
  <c r="B146" i="5"/>
  <c r="B165" i="5"/>
  <c r="B155" i="5"/>
  <c r="B159" i="5"/>
  <c r="B145" i="5"/>
  <c r="B163" i="5"/>
  <c r="B152" i="5"/>
  <c r="B156" i="5"/>
  <c r="B153" i="5"/>
  <c r="B166" i="5"/>
  <c r="B143" i="5"/>
  <c r="B161" i="5"/>
  <c r="B154" i="5"/>
  <c r="B147" i="5"/>
  <c r="B148" i="5"/>
  <c r="M17" i="6"/>
  <c r="M151" i="6" s="1"/>
  <c r="J70" i="6"/>
  <c r="G4" i="4"/>
  <c r="G236" i="4" s="1"/>
  <c r="R238" i="4"/>
  <c r="K227" i="4"/>
  <c r="C17" i="5"/>
  <c r="C157" i="5" s="1"/>
  <c r="B151" i="6"/>
  <c r="G17" i="6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35" i="6"/>
  <c r="R160" i="6"/>
  <c r="R156" i="6"/>
  <c r="R146" i="6"/>
  <c r="R139" i="6"/>
  <c r="R153" i="6"/>
  <c r="R148" i="6"/>
  <c r="R141" i="6"/>
  <c r="R155" i="6"/>
  <c r="R149" i="6"/>
  <c r="R143" i="6"/>
  <c r="R140" i="6"/>
  <c r="R159" i="6"/>
  <c r="R142" i="6"/>
  <c r="R154" i="6"/>
  <c r="R137" i="6"/>
  <c r="R147" i="6"/>
  <c r="R54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R138" i="6"/>
  <c r="E17" i="5"/>
  <c r="E157" i="5" s="1"/>
  <c r="D167" i="4"/>
  <c r="D143" i="4"/>
  <c r="D197" i="4"/>
  <c r="D84" i="6"/>
  <c r="D90" i="5"/>
  <c r="D224" i="4"/>
  <c r="C265" i="4"/>
  <c r="N141" i="4"/>
  <c r="N195" i="4"/>
  <c r="N82" i="6"/>
  <c r="N88" i="5"/>
  <c r="N234" i="4"/>
  <c r="N222" i="4"/>
  <c r="N230" i="4"/>
  <c r="N226" i="4"/>
  <c r="N225" i="4"/>
  <c r="N223" i="4"/>
  <c r="N235" i="4"/>
  <c r="N233" i="4"/>
  <c r="N232" i="4"/>
  <c r="N229" i="4"/>
  <c r="N227" i="4"/>
  <c r="N236" i="4"/>
  <c r="N228" i="4"/>
  <c r="B156" i="4"/>
  <c r="B210" i="4"/>
  <c r="B97" i="6"/>
  <c r="B103" i="5"/>
  <c r="B237" i="4"/>
  <c r="B245" i="4"/>
  <c r="B239" i="4"/>
  <c r="B243" i="4"/>
  <c r="B241" i="4"/>
  <c r="B246" i="4"/>
  <c r="B242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F224" i="4"/>
  <c r="G242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U167" i="4"/>
  <c r="H240" i="4"/>
  <c r="H239" i="4"/>
  <c r="P163" i="4"/>
  <c r="P217" i="4"/>
  <c r="P104" i="6"/>
  <c r="P110" i="5"/>
  <c r="G228" i="4"/>
  <c r="R231" i="4"/>
  <c r="S141" i="4"/>
  <c r="S195" i="4"/>
  <c r="S82" i="6"/>
  <c r="S88" i="5"/>
  <c r="S222" i="4"/>
  <c r="S225" i="4"/>
  <c r="S228" i="4"/>
  <c r="S230" i="4"/>
  <c r="S233" i="4"/>
  <c r="S229" i="4"/>
  <c r="S234" i="4"/>
  <c r="S227" i="4"/>
  <c r="S232" i="4"/>
  <c r="S226" i="4"/>
  <c r="S235" i="4"/>
  <c r="S236" i="4"/>
  <c r="T143" i="4"/>
  <c r="T197" i="4"/>
  <c r="T84" i="6"/>
  <c r="T90" i="5"/>
  <c r="O156" i="4"/>
  <c r="O210" i="4"/>
  <c r="O97" i="6"/>
  <c r="O103" i="5"/>
  <c r="O237" i="4"/>
  <c r="O245" i="4"/>
  <c r="O239" i="4"/>
  <c r="O241" i="4"/>
  <c r="O246" i="4"/>
  <c r="O243" i="4"/>
  <c r="O240" i="4"/>
  <c r="O242" i="4"/>
  <c r="G156" i="4"/>
  <c r="G210" i="4"/>
  <c r="G97" i="6"/>
  <c r="G103" i="5"/>
  <c r="G237" i="4"/>
  <c r="G241" i="4"/>
  <c r="G243" i="4"/>
  <c r="G239" i="4"/>
  <c r="G246" i="4"/>
  <c r="P143" i="4"/>
  <c r="P197" i="4"/>
  <c r="P84" i="6"/>
  <c r="P90" i="5"/>
  <c r="E141" i="4"/>
  <c r="E195" i="4"/>
  <c r="E82" i="6"/>
  <c r="E88" i="5"/>
  <c r="E222" i="4"/>
  <c r="E236" i="4"/>
  <c r="E230" i="4"/>
  <c r="E227" i="4"/>
  <c r="E233" i="4"/>
  <c r="E228" i="4"/>
  <c r="E226" i="4"/>
  <c r="E235" i="4"/>
  <c r="E232" i="4"/>
  <c r="E225" i="4"/>
  <c r="E223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141" i="4"/>
  <c r="Q195" i="4"/>
  <c r="Q82" i="6"/>
  <c r="Q88" i="5"/>
  <c r="Q222" i="4"/>
  <c r="Q226" i="4"/>
  <c r="Q233" i="4"/>
  <c r="Q235" i="4"/>
  <c r="Q236" i="4"/>
  <c r="Q228" i="4"/>
  <c r="Q230" i="4"/>
  <c r="Q227" i="4"/>
  <c r="Q229" i="4"/>
  <c r="Q234" i="4"/>
  <c r="Q232" i="4"/>
  <c r="Q225" i="4"/>
  <c r="Q223" i="4"/>
  <c r="P204" i="4"/>
  <c r="P91" i="6"/>
  <c r="P97" i="5"/>
  <c r="T211" i="4"/>
  <c r="T98" i="6"/>
  <c r="T104" i="5"/>
  <c r="P103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Q238" i="4"/>
  <c r="C243" i="4"/>
  <c r="D223" i="4"/>
  <c r="S251" i="4"/>
  <c r="J141" i="4"/>
  <c r="J195" i="4"/>
  <c r="J82" i="6"/>
  <c r="J88" i="5"/>
  <c r="J222" i="4"/>
  <c r="J229" i="4"/>
  <c r="J228" i="4"/>
  <c r="J233" i="4"/>
  <c r="J225" i="4"/>
  <c r="J235" i="4"/>
  <c r="J232" i="4"/>
  <c r="J223" i="4"/>
  <c r="J234" i="4"/>
  <c r="J227" i="4"/>
  <c r="J236" i="4"/>
  <c r="J230" i="4"/>
  <c r="J226" i="4"/>
  <c r="O238" i="4"/>
  <c r="K224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141" i="4"/>
  <c r="M195" i="4"/>
  <c r="M82" i="6"/>
  <c r="M88" i="5"/>
  <c r="M222" i="4"/>
  <c r="M233" i="4"/>
  <c r="M232" i="4"/>
  <c r="M234" i="4"/>
  <c r="M228" i="4"/>
  <c r="M236" i="4"/>
  <c r="M227" i="4"/>
  <c r="M235" i="4"/>
  <c r="M230" i="4"/>
  <c r="M226" i="4"/>
  <c r="M229" i="4"/>
  <c r="M225" i="4"/>
  <c r="M223" i="4"/>
  <c r="F226" i="4"/>
  <c r="C150" i="4"/>
  <c r="C204" i="4"/>
  <c r="C91" i="6"/>
  <c r="C97" i="5"/>
  <c r="Q231" i="4"/>
  <c r="M224" i="4"/>
  <c r="D271" i="4"/>
  <c r="N3" i="7"/>
  <c r="N167" i="4"/>
  <c r="G238" i="4"/>
  <c r="C156" i="4"/>
  <c r="C210" i="4"/>
  <c r="C97" i="6"/>
  <c r="C103" i="5"/>
  <c r="C237" i="4"/>
  <c r="C242" i="4"/>
  <c r="C245" i="4"/>
  <c r="C240" i="4"/>
  <c r="C246" i="4"/>
  <c r="D141" i="4"/>
  <c r="D195" i="4"/>
  <c r="D82" i="6"/>
  <c r="D88" i="5"/>
  <c r="D222" i="4"/>
  <c r="D235" i="4"/>
  <c r="D228" i="4"/>
  <c r="D233" i="4"/>
  <c r="D226" i="4"/>
  <c r="D232" i="4"/>
  <c r="D234" i="4"/>
  <c r="D236" i="4"/>
  <c r="G88" i="5"/>
  <c r="E156" i="4"/>
  <c r="E210" i="4"/>
  <c r="E97" i="6"/>
  <c r="E103" i="5"/>
  <c r="E237" i="4"/>
  <c r="E245" i="4"/>
  <c r="E242" i="4"/>
  <c r="E241" i="4"/>
  <c r="E239" i="4"/>
  <c r="E240" i="4"/>
  <c r="E246" i="4"/>
  <c r="E243" i="4"/>
  <c r="B141" i="4"/>
  <c r="B195" i="4"/>
  <c r="B82" i="6"/>
  <c r="B88" i="5"/>
  <c r="B222" i="4"/>
  <c r="B235" i="4"/>
  <c r="B236" i="4"/>
  <c r="B225" i="4"/>
  <c r="B228" i="4"/>
  <c r="B227" i="4"/>
  <c r="B226" i="4"/>
  <c r="B234" i="4"/>
  <c r="B232" i="4"/>
  <c r="B233" i="4"/>
  <c r="B223" i="4"/>
  <c r="D156" i="4"/>
  <c r="D210" i="4"/>
  <c r="D97" i="6"/>
  <c r="D103" i="5"/>
  <c r="D237" i="4"/>
  <c r="D240" i="4"/>
  <c r="D245" i="4"/>
  <c r="D246" i="4"/>
  <c r="D241" i="4"/>
  <c r="D239" i="4"/>
  <c r="D242" i="4"/>
  <c r="C211" i="4"/>
  <c r="C98" i="6"/>
  <c r="C104" i="5"/>
  <c r="C238" i="4"/>
  <c r="K233" i="4"/>
  <c r="D238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Q224" i="4"/>
  <c r="E150" i="4"/>
  <c r="E204" i="4"/>
  <c r="E91" i="6"/>
  <c r="E97" i="5"/>
  <c r="E231" i="4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P246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O141" i="4"/>
  <c r="O195" i="4"/>
  <c r="O82" i="6"/>
  <c r="O88" i="5"/>
  <c r="O222" i="4"/>
  <c r="O230" i="4"/>
  <c r="O225" i="4"/>
  <c r="O223" i="4"/>
  <c r="O233" i="4"/>
  <c r="O228" i="4"/>
  <c r="O227" i="4"/>
  <c r="O234" i="4"/>
  <c r="O229" i="4"/>
  <c r="O236" i="4"/>
  <c r="O235" i="4"/>
  <c r="O226" i="4"/>
  <c r="B244" i="4"/>
  <c r="G163" i="4"/>
  <c r="G217" i="4"/>
  <c r="G104" i="6"/>
  <c r="G110" i="5"/>
  <c r="G244" i="4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M156" i="4"/>
  <c r="M239" i="4"/>
  <c r="M242" i="4"/>
  <c r="U156" i="4"/>
  <c r="U210" i="4"/>
  <c r="U97" i="6"/>
  <c r="U103" i="5"/>
  <c r="U237" i="4"/>
  <c r="U245" i="4"/>
  <c r="U239" i="4"/>
  <c r="U241" i="4"/>
  <c r="U246" i="4"/>
  <c r="U243" i="4"/>
  <c r="U242" i="4"/>
  <c r="U240" i="4"/>
  <c r="H156" i="4"/>
  <c r="H210" i="4"/>
  <c r="H97" i="6"/>
  <c r="H103" i="5"/>
  <c r="H237" i="4"/>
  <c r="H243" i="4"/>
  <c r="H241" i="4"/>
  <c r="H245" i="4"/>
  <c r="H246" i="4"/>
  <c r="I141" i="4"/>
  <c r="I195" i="4"/>
  <c r="I88" i="5"/>
  <c r="I235" i="4"/>
  <c r="I223" i="4"/>
  <c r="I236" i="4"/>
  <c r="I226" i="4"/>
  <c r="I233" i="4"/>
  <c r="O224" i="4"/>
  <c r="J157" i="4"/>
  <c r="J211" i="4"/>
  <c r="J98" i="6"/>
  <c r="J104" i="5"/>
  <c r="J238" i="4"/>
  <c r="C244" i="4"/>
  <c r="Q167" i="4"/>
  <c r="Q60" i="5"/>
  <c r="H244" i="4"/>
  <c r="V238" i="4"/>
  <c r="K211" i="4"/>
  <c r="K98" i="6"/>
  <c r="K104" i="5"/>
  <c r="G54" i="6"/>
  <c r="G245" i="4"/>
  <c r="V244" i="4"/>
  <c r="B240" i="4"/>
  <c r="U231" i="4"/>
  <c r="C239" i="4"/>
  <c r="T163" i="4"/>
  <c r="T217" i="4"/>
  <c r="T104" i="6"/>
  <c r="T110" i="5"/>
  <c r="P211" i="4"/>
  <c r="P98" i="6"/>
  <c r="P104" i="5"/>
  <c r="D244" i="4"/>
  <c r="D227" i="4"/>
  <c r="N231" i="4"/>
  <c r="O204" i="4"/>
  <c r="O91" i="6"/>
  <c r="O97" i="5"/>
  <c r="O231" i="4"/>
  <c r="F141" i="4"/>
  <c r="F195" i="4"/>
  <c r="F82" i="6"/>
  <c r="F88" i="5"/>
  <c r="F223" i="4"/>
  <c r="F222" i="4"/>
  <c r="F228" i="4"/>
  <c r="F225" i="4"/>
  <c r="F227" i="4"/>
  <c r="F230" i="4"/>
  <c r="F233" i="4"/>
  <c r="F235" i="4"/>
  <c r="F232" i="4"/>
  <c r="F234" i="4"/>
  <c r="F236" i="4"/>
  <c r="K245" i="4"/>
  <c r="K240" i="4"/>
  <c r="B211" i="4"/>
  <c r="B98" i="6"/>
  <c r="B104" i="5"/>
  <c r="B238" i="4"/>
  <c r="F156" i="4"/>
  <c r="F210" i="4"/>
  <c r="F97" i="6"/>
  <c r="F237" i="4"/>
  <c r="F103" i="5"/>
  <c r="F239" i="4"/>
  <c r="F240" i="4"/>
  <c r="F241" i="4"/>
  <c r="F245" i="4"/>
  <c r="F243" i="4"/>
  <c r="F242" i="4"/>
  <c r="K141" i="4"/>
  <c r="K195" i="4"/>
  <c r="K82" i="6"/>
  <c r="K88" i="5"/>
  <c r="K222" i="4"/>
  <c r="K232" i="4"/>
  <c r="K236" i="4"/>
  <c r="K228" i="4"/>
  <c r="K226" i="4"/>
  <c r="K230" i="4"/>
  <c r="K234" i="4"/>
  <c r="H204" i="4"/>
  <c r="H91" i="6"/>
  <c r="H97" i="5"/>
  <c r="B157" i="4"/>
  <c r="Q156" i="4"/>
  <c r="Q210" i="4"/>
  <c r="Q97" i="6"/>
  <c r="Q103" i="5"/>
  <c r="Q237" i="4"/>
  <c r="Q240" i="4"/>
  <c r="Q241" i="4"/>
  <c r="Q246" i="4"/>
  <c r="Q243" i="4"/>
  <c r="Q239" i="4"/>
  <c r="Q245" i="4"/>
  <c r="Q242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O244" i="4"/>
  <c r="E167" i="4"/>
  <c r="E54" i="6"/>
  <c r="K235" i="4"/>
  <c r="O167" i="4"/>
  <c r="I224" i="4"/>
  <c r="N238" i="4"/>
  <c r="U238" i="4"/>
  <c r="B224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S160" i="5" l="1"/>
  <c r="S158" i="5"/>
  <c r="B157" i="5"/>
  <c r="G222" i="4"/>
  <c r="U54" i="6"/>
  <c r="G224" i="4"/>
  <c r="S156" i="5"/>
  <c r="S145" i="5"/>
  <c r="B164" i="5"/>
  <c r="B151" i="5"/>
  <c r="S159" i="5"/>
  <c r="S151" i="5"/>
  <c r="S143" i="5"/>
  <c r="S153" i="5"/>
  <c r="S141" i="5"/>
  <c r="S142" i="5"/>
  <c r="U60" i="5"/>
  <c r="S150" i="5"/>
  <c r="S164" i="5"/>
  <c r="S152" i="5"/>
  <c r="S144" i="5"/>
  <c r="V147" i="5"/>
  <c r="S157" i="5"/>
  <c r="S165" i="5"/>
  <c r="S146" i="5"/>
  <c r="S149" i="5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4" i="5" s="1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217" i="4" s="1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60" i="7" s="1"/>
  <c r="L33" i="6"/>
  <c r="L42" i="5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137" i="5" l="1"/>
  <c r="L111" i="6"/>
  <c r="L131" i="6"/>
  <c r="L18" i="5"/>
  <c r="L17" i="5" s="1"/>
  <c r="L144" i="5" s="1"/>
  <c r="L18" i="6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17" i="6"/>
  <c r="L151" i="6" s="1"/>
  <c r="L63" i="5"/>
  <c r="L118" i="7" s="1"/>
  <c r="L76" i="5"/>
  <c r="L265" i="4"/>
  <c r="L20" i="4"/>
  <c r="L211" i="4" s="1"/>
  <c r="L13" i="4"/>
  <c r="L55" i="6"/>
  <c r="L6" i="4"/>
  <c r="L271" i="4"/>
  <c r="L163" i="4"/>
  <c r="L57" i="4" l="1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O14" i="8"/>
  <c r="O26" i="10" s="1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H61" i="8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O61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E25" i="8" l="1"/>
  <c r="E36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T80" i="8" s="1"/>
  <c r="S58" i="8"/>
  <c r="R58" i="8"/>
  <c r="R80" i="8" s="1"/>
  <c r="Q58" i="8"/>
  <c r="Q80" i="8" s="1"/>
  <c r="P58" i="8"/>
  <c r="P80" i="8" s="1"/>
  <c r="O58" i="8"/>
  <c r="N58" i="8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O79" i="8" s="1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R55" i="8"/>
  <c r="R77" i="8" s="1"/>
  <c r="Q55" i="8"/>
  <c r="Q77" i="8" s="1"/>
  <c r="P55" i="8"/>
  <c r="P77" i="8" s="1"/>
  <c r="O55" i="8"/>
  <c r="N55" i="8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Q54" i="8"/>
  <c r="Q76" i="8" s="1"/>
  <c r="P54" i="8"/>
  <c r="P76" i="8" s="1"/>
  <c r="O54" i="8"/>
  <c r="O76" i="8" s="1"/>
  <c r="N54" i="8"/>
  <c r="N76" i="8" s="1"/>
  <c r="M54" i="8"/>
  <c r="M76" i="8" s="1"/>
  <c r="L54" i="8"/>
  <c r="L76" i="8" s="1"/>
  <c r="K54" i="8"/>
  <c r="K76" i="8" s="1"/>
  <c r="V53" i="8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O73" i="8" s="1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S80" i="8"/>
  <c r="O80" i="8"/>
  <c r="N80" i="8"/>
  <c r="R79" i="8"/>
  <c r="K79" i="8"/>
  <c r="V77" i="8"/>
  <c r="S77" i="8"/>
  <c r="O77" i="8"/>
  <c r="N77" i="8"/>
  <c r="S76" i="8"/>
  <c r="R76" i="8"/>
  <c r="V75" i="8"/>
  <c r="N75" i="8"/>
  <c r="R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S233" i="3" s="1"/>
  <c r="V20" i="3"/>
  <c r="V232" i="3" s="1"/>
  <c r="U20" i="3"/>
  <c r="U232" i="3" s="1"/>
  <c r="T20" i="3"/>
  <c r="S20" i="3"/>
  <c r="R20" i="3"/>
  <c r="V19" i="3"/>
  <c r="U19" i="3"/>
  <c r="T19" i="3"/>
  <c r="S19" i="3"/>
  <c r="R19" i="3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T222" i="3" s="1"/>
  <c r="S10" i="3"/>
  <c r="R10" i="3"/>
  <c r="V8" i="3"/>
  <c r="U8" i="3"/>
  <c r="T8" i="3"/>
  <c r="S8" i="3"/>
  <c r="R8" i="3"/>
  <c r="V7" i="3"/>
  <c r="U7" i="3"/>
  <c r="T7" i="3"/>
  <c r="S7" i="3"/>
  <c r="R7" i="3"/>
  <c r="V6" i="3"/>
  <c r="U6" i="3"/>
  <c r="T6" i="3"/>
  <c r="S6" i="3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O222" i="3" s="1"/>
  <c r="N10" i="3"/>
  <c r="M10" i="3"/>
  <c r="L10" i="3"/>
  <c r="K10" i="3"/>
  <c r="J10" i="3"/>
  <c r="I10" i="3"/>
  <c r="H10" i="3"/>
  <c r="G10" i="3"/>
  <c r="G222" i="3" s="1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O218" i="3" s="1"/>
  <c r="N6" i="3"/>
  <c r="N218" i="3" s="1"/>
  <c r="M6" i="3"/>
  <c r="L6" i="3"/>
  <c r="K6" i="3"/>
  <c r="J6" i="3"/>
  <c r="I6" i="3"/>
  <c r="H6" i="3"/>
  <c r="G6" i="3"/>
  <c r="G218" i="3" s="1"/>
  <c r="F6" i="3"/>
  <c r="F218" i="3" s="1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20" i="1"/>
  <c r="B13" i="1"/>
  <c r="B16" i="1"/>
  <c r="B15" i="1"/>
  <c r="B9" i="1"/>
  <c r="B17" i="1"/>
  <c r="B4" i="1"/>
  <c r="B7" i="1"/>
  <c r="B12" i="1"/>
  <c r="B18" i="1"/>
  <c r="B21" i="1"/>
  <c r="B8" i="1"/>
  <c r="B22" i="1"/>
  <c r="B6" i="1"/>
  <c r="B11" i="1"/>
  <c r="S218" i="3" l="1"/>
  <c r="V219" i="3"/>
  <c r="T218" i="3"/>
  <c r="R220" i="3"/>
  <c r="T232" i="3"/>
  <c r="E224" i="3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M67" i="3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I68" i="3"/>
  <c r="I220" i="3" s="1"/>
  <c r="Q68" i="3"/>
  <c r="I79" i="3"/>
  <c r="Q79" i="3"/>
  <c r="I80" i="3"/>
  <c r="Q80" i="3"/>
  <c r="B67" i="3"/>
  <c r="J67" i="3"/>
  <c r="B68" i="3"/>
  <c r="J68" i="3"/>
  <c r="B79" i="3"/>
  <c r="J79" i="3"/>
  <c r="B80" i="3"/>
  <c r="J80" i="3"/>
  <c r="B37" i="3"/>
  <c r="J37" i="3"/>
  <c r="B38" i="3"/>
  <c r="J38" i="3"/>
  <c r="B49" i="3"/>
  <c r="J49" i="3"/>
  <c r="B50" i="3"/>
  <c r="J50" i="3"/>
  <c r="C37" i="3"/>
  <c r="K37" i="3"/>
  <c r="C38" i="3"/>
  <c r="K38" i="3"/>
  <c r="C49" i="3"/>
  <c r="K49" i="3"/>
  <c r="C50" i="3"/>
  <c r="K50" i="3"/>
  <c r="K202" i="3" s="1"/>
  <c r="G35" i="3"/>
  <c r="O35" i="3"/>
  <c r="G50" i="3"/>
  <c r="O50" i="3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F187" i="3" s="1"/>
  <c r="Q219" i="3"/>
  <c r="Q218" i="3"/>
  <c r="N5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J219" i="3"/>
  <c r="E218" i="3"/>
  <c r="M218" i="3"/>
  <c r="I18" i="3"/>
  <c r="E219" i="3"/>
  <c r="M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39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J189" i="3"/>
  <c r="B192" i="3"/>
  <c r="J192" i="3"/>
  <c r="F194" i="3"/>
  <c r="N194" i="3"/>
  <c r="U188" i="3"/>
  <c r="S190" i="3"/>
  <c r="S202" i="3"/>
  <c r="C219" i="3"/>
  <c r="K219" i="3"/>
  <c r="C188" i="3"/>
  <c r="K188" i="3"/>
  <c r="K189" i="3"/>
  <c r="C190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G202" i="3"/>
  <c r="O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H193" i="3" s="1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C230" i="3" l="1"/>
  <c r="M223" i="3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P191" i="3" s="1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M221" i="3" s="1"/>
  <c r="F223" i="3"/>
  <c r="T191" i="3"/>
  <c r="V191" i="3"/>
  <c r="N233" i="3"/>
  <c r="M233" i="3"/>
  <c r="U203" i="3"/>
  <c r="N9" i="3"/>
  <c r="N221" i="3" s="1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F221" i="3" s="1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D221" i="3"/>
  <c r="M187" i="3"/>
  <c r="F193" i="3"/>
  <c r="O203" i="3"/>
  <c r="E203" i="3"/>
  <c r="E9" i="3"/>
  <c r="E221" i="3" s="1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1" i="3" s="1"/>
  <c r="H223" i="3"/>
  <c r="V217" i="3"/>
  <c r="G9" i="3"/>
  <c r="G223" i="3"/>
  <c r="M203" i="3"/>
  <c r="U200" i="3"/>
  <c r="U187" i="3"/>
  <c r="O187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K221" i="3" s="1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M191" i="3" l="1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 s="1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 s="1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L12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52" i="3" s="1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F77" i="3"/>
  <c r="F177" i="3" s="1"/>
  <c r="F234" i="3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M52" i="13" l="1"/>
  <c r="V48" i="12"/>
  <c r="P54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77" i="3" s="1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P77" i="3" s="1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V134" i="3"/>
  <c r="V131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F216" i="3"/>
  <c r="C21" i="12"/>
  <c r="C71" i="12" s="1"/>
  <c r="C27" i="14"/>
  <c r="C31" i="12"/>
  <c r="C41" i="12"/>
  <c r="C46" i="3"/>
  <c r="C6" i="12"/>
  <c r="P234" i="3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D234" i="3" l="1"/>
  <c r="V135" i="3"/>
  <c r="V186" i="3"/>
  <c r="V128" i="3"/>
  <c r="V132" i="3"/>
  <c r="V199" i="3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C77" i="3" s="1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I143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C234" i="3" l="1"/>
  <c r="I140" i="3"/>
  <c r="I142" i="3"/>
  <c r="I141" i="3"/>
  <c r="I199" i="3"/>
  <c r="I144" i="3"/>
  <c r="I146" i="3"/>
  <c r="I150" i="3"/>
  <c r="I145" i="3"/>
  <c r="I139" i="3"/>
  <c r="I148" i="3"/>
  <c r="I149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B225" i="3" s="1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S47" i="3"/>
  <c r="S147" i="3" s="1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B53" i="12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B64" i="3" l="1"/>
  <c r="B168" i="3" s="1"/>
  <c r="B17" i="12"/>
  <c r="B67" i="12" s="1"/>
  <c r="R139" i="3"/>
  <c r="R144" i="3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S144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S139" i="3"/>
  <c r="S143" i="3"/>
  <c r="S141" i="3"/>
  <c r="S142" i="3"/>
  <c r="S140" i="3"/>
  <c r="S150" i="3"/>
  <c r="S149" i="3"/>
  <c r="S148" i="3"/>
  <c r="S145" i="3"/>
  <c r="S146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28" i="3" l="1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N103" i="11"/>
  <c r="M43" i="11"/>
  <c r="M95" i="11" s="1"/>
  <c r="M100" i="11"/>
  <c r="P101" i="11"/>
  <c r="N102" i="11"/>
  <c r="M58" i="11"/>
  <c r="M53" i="11" s="1"/>
  <c r="Q101" i="11" l="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<sst xmlns="http://schemas.openxmlformats.org/spreadsheetml/2006/main" count="2655" uniqueCount="1167">
  <si>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</si>
  <si>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</si>
  <si>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</si>
  <si>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</si>
  <si>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</si>
  <si>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</si>
  <si>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</si>
  <si>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</si>
  <si>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</si>
  <si>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</si>
  <si>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</si>
  <si>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</si>
  <si>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</si>
  <si>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</si>
  <si>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</si>
  <si>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</si>
  <si>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</si>
  <si>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</si>
  <si>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</si>
  <si>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</si>
  <si>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</si>
  <si>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</si>
  <si>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</si>
  <si>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</si>
  <si>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</si>
  <si>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</si>
  <si>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</si>
  <si>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</si>
  <si>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</si>
  <si>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</si>
  <si>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</si>
  <si>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</si>
  <si>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</si>
  <si>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</si>
  <si>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</si>
  <si>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</si>
  <si>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</si>
  <si>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</si>
  <si>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</si>
  <si>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</si>
  <si>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</si>
  <si>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</si>
  <si>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</si>
  <si>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</si>
  <si>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</si>
  <si>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</si>
  <si>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</si>
  <si>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</si>
  <si>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</si>
  <si>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</si>
  <si>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</si>
  <si>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</si>
  <si>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</si>
  <si>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</si>
  <si>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</si>
  <si>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</si>
  <si>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</si>
  <si>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</si>
  <si>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</si>
  <si>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</si>
  <si>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</si>
  <si>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</si>
  <si>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</si>
  <si>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</si>
  <si>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</si>
  <si>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</si>
  <si>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</si>
  <si>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</si>
  <si>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</si>
  <si>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</si>
  <si>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</si>
  <si>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</si>
  <si>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</si>
  <si>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</si>
  <si>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</si>
  <si>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</si>
  <si>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</si>
  <si>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</si>
  <si>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</si>
  <si>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</si>
  <si>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</si>
  <si>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</si>
  <si>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</si>
  <si>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</si>
  <si>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</si>
  <si>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</si>
  <si>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</si>
  <si>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</si>
  <si>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</si>
  <si>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</si>
  <si>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</si>
  <si>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</si>
  <si>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</si>
  <si>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</si>
  <si>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</si>
  <si>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</si>
  <si>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</si>
  <si>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</si>
  <si>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</si>
  <si>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</si>
  <si>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</si>
  <si>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</si>
  <si>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</si>
  <si>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</si>
  <si>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</si>
  <si>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</si>
  <si>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</si>
  <si>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</si>
  <si>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</si>
  <si>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</si>
  <si>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</si>
  <si>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</si>
  <si>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</si>
  <si>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</si>
  <si>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</si>
  <si>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</si>
  <si>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</si>
  <si>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</si>
  <si>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</si>
  <si>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</si>
  <si>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</si>
  <si>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</si>
  <si>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</si>
  <si>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</si>
  <si>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</si>
  <si>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</si>
  <si>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</si>
  <si>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</si>
  <si>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</si>
  <si>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</si>
  <si>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</si>
  <si>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</si>
  <si>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</si>
  <si>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</si>
  <si>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</si>
  <si>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</si>
  <si>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</si>
  <si>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</si>
  <si>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</si>
  <si>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</si>
  <si>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</si>
  <si>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</si>
  <si>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</si>
  <si>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</si>
  <si>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</si>
  <si>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</si>
  <si>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</si>
  <si>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</si>
  <si>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</si>
  <si>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</si>
  <si>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</si>
  <si>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</si>
  <si>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</si>
  <si>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</si>
  <si>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</si>
  <si>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</si>
  <si>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</si>
  <si>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</si>
  <si>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</si>
  <si>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</si>
  <si>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</si>
  <si>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</si>
  <si>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</si>
  <si>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</si>
  <si>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</si>
  <si>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</si>
  <si>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</si>
  <si>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</si>
  <si>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</si>
  <si>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</si>
  <si>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</si>
  <si>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</si>
  <si>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</si>
  <si>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</si>
  <si>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</si>
  <si>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</si>
  <si>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</si>
  <si>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</si>
  <si>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</si>
  <si>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</si>
  <si>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</si>
  <si>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</si>
  <si>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</si>
  <si>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</si>
  <si>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</si>
  <si>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</si>
  <si>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CY</t>
  </si>
  <si>
    <t>Cyprus</t>
  </si>
  <si>
    <t>Aviation - CY - Cyprus</t>
  </si>
  <si>
    <t>Activity.Mpkm.CY.Tr.Avia.Passenger</t>
  </si>
  <si>
    <t>Activity.Mpkm.CY.Tr.Avia.Passenger.Domestic</t>
  </si>
  <si>
    <t>Activity.Mpkm.CY.Tr.Avia.Passenger.IntraEEAwUK</t>
  </si>
  <si>
    <t>Activity.Mpkm.CY.Tr.Avia.Passenger.ExtraEEAwUK</t>
  </si>
  <si>
    <t>Activity.Mtkm.CY.Tr.Avia.Freight</t>
  </si>
  <si>
    <t>Activity.Mtkm.CY.Tr.Avia.Freight.Domestic</t>
  </si>
  <si>
    <t>Activity.Mtkm.CY.Tr.Avia.Freight.IntraEEAwUK</t>
  </si>
  <si>
    <t>Activity.Mtkm.CY.Tr.Avia.Freight.ExtraEEAwUK</t>
  </si>
  <si>
    <t>VehicleKm.Mkm.CY.Tr.Avia</t>
  </si>
  <si>
    <t>VehicleKm.Mkm.CY.Tr.Avia.Passenger</t>
  </si>
  <si>
    <t>VehicleKm.Mkm.CY.Tr.Avia.Passenger.Domestic</t>
  </si>
  <si>
    <t>VehicleKm.Mkm.CY.Tr.Avia.Passenger.IntraEEAwUK</t>
  </si>
  <si>
    <t>VehicleKm.Mkm.CY.Tr.Avia.Passenger.ExtraEEAwUK</t>
  </si>
  <si>
    <t>VehicleKm.Mkm.CY.Tr.Avia.Freight</t>
  </si>
  <si>
    <t>VehicleKm.Mkm.CY.Tr.Avia.Freight.Domestic</t>
  </si>
  <si>
    <t>VehicleKm.Mkm.CY.Tr.Avia.Freight.IntraEEAwUK</t>
  </si>
  <si>
    <t>VehicleKm.Mkm.CY.Tr.Avia.Freight.ExtraEEAwUK</t>
  </si>
  <si>
    <t>Flights.number.CY.Tr.Avia</t>
  </si>
  <si>
    <t>Flights.number.CY.Tr.Avia.Passenger</t>
  </si>
  <si>
    <t>Flights.number.CY.Tr.Avia.Passenger.Domestic</t>
  </si>
  <si>
    <t>Flights.number.CY.Tr.Avia.Passenger.IntraEEAwUK</t>
  </si>
  <si>
    <t>Flights.number.CY.Tr.Avia.Passenger.ExtraEEAwUK</t>
  </si>
  <si>
    <t>Flights.number.CY.Tr.Avia.Freight</t>
  </si>
  <si>
    <t>Flights.number.CY.Tr.Avia.Freight.Domestic</t>
  </si>
  <si>
    <t>Flights.number.CY.Tr.Avia.Freight.IntraEEAwUK</t>
  </si>
  <si>
    <t>Flights.number.CY.Tr.Avia.Freight.ExtraEEAwUK</t>
  </si>
  <si>
    <t>VolCarried.passenger.CY.Tr.Avia.Passenger</t>
  </si>
  <si>
    <t>VolCarried.passenger.CY.Tr.Avia.Passenger.Domestic</t>
  </si>
  <si>
    <t>VolCarried.passenger.CY.Tr.Avia.Passenger.IntraEEAwUK</t>
  </si>
  <si>
    <t>VolCarried.passenger.CY.Tr.Avia.Passenger.ExtraEEAwUK</t>
  </si>
  <si>
    <t>VolCarried.t.CY.Tr.Avia.Freight</t>
  </si>
  <si>
    <t>VolCarried.t.CY.Tr.Avia.Freight.Domestic</t>
  </si>
  <si>
    <t>VolCarried.t.CY.Tr.Avia.Freight.IntraEEAwUK</t>
  </si>
  <si>
    <t>VolCarried.t.CY.Tr.Avia.Freight.ExtraEEAwUK</t>
  </si>
  <si>
    <t>Stock.number.CY.Tr.Avia</t>
  </si>
  <si>
    <t>Stock.number.CY.Tr.Avia.Passenger</t>
  </si>
  <si>
    <t>Stock.number.CY.Tr.Avia.Passenger.Domestic</t>
  </si>
  <si>
    <t>Stock.number.CY.Tr.Avia.Passenger.IntraEEAwUK</t>
  </si>
  <si>
    <t>Stock.number.CY.Tr.Avia.Passenger.ExtraEEAwUK</t>
  </si>
  <si>
    <t>Stock.number.CY.Tr.Avia.Freight</t>
  </si>
  <si>
    <t>Stock.number.CY.Tr.Avia.Freight.Domestic</t>
  </si>
  <si>
    <t>Stock.number.CY.Tr.Avia.Freight.IntraEEAwUK</t>
  </si>
  <si>
    <t>Stock.number.CY.Tr.Avia.Freight.ExtraEEAwUK</t>
  </si>
  <si>
    <t>StockNew.number.CY.Tr.Avia</t>
  </si>
  <si>
    <t>StockNew.number.CY.Tr.Avia.Passenger</t>
  </si>
  <si>
    <t>StockNew.number.CY.Tr.Avia.Passenger.Domestic</t>
  </si>
  <si>
    <t>StockNew.number.CY.Tr.Avia.Passenger.IntraEEAwUK</t>
  </si>
  <si>
    <t>StockNew.number.CY.Tr.Avia.Passenger.ExtraEEAwUK</t>
  </si>
  <si>
    <t>StockNew.number.CY.Tr.Avia.Freight</t>
  </si>
  <si>
    <t>StockNew.number.CY.Tr.Avia.Freight.Domestic</t>
  </si>
  <si>
    <t>StockNew.number.CY.Tr.Avia.Freight.IntraEEAwUK</t>
  </si>
  <si>
    <t>StockNew.number.CY.Tr.Avia.Freight.ExtraEEAwUK</t>
  </si>
  <si>
    <t>Load.passenger_per_movement.CY.Tr.Avia.Passenger</t>
  </si>
  <si>
    <t>Load.passenger_per_movement.CY.Tr.Avia.Passenger.Domestic</t>
  </si>
  <si>
    <t>Load.passenger_per_movement.CY.Tr.Avia.Passenger.IntraEEAwUK</t>
  </si>
  <si>
    <t>Load.passenger_per_movement.CY.Tr.Avia.Passenger.ExtraEEAwUK</t>
  </si>
  <si>
    <t>Load.t_per_movement.CY.Tr.Avia.Freight</t>
  </si>
  <si>
    <t>Load.t_per_movement.CY.Tr.Avia.Freight.Domestic</t>
  </si>
  <si>
    <t>Load.t_per_movement.CY.Tr.Avia.Freight.IntraEEAwUK</t>
  </si>
  <si>
    <t>Load.t_per_movement.CY.Tr.Avia.Freight.ExtraEEAwUK</t>
  </si>
  <si>
    <t>VehicleKm_per_flight.km.CY.Tr.Avia</t>
  </si>
  <si>
    <t>VehicleKm_per_flight.km.CY.Tr.Avia.Passenger</t>
  </si>
  <si>
    <t>VehicleKm_per_flight.km.CY.Tr.Avia.Passenger.Domestic</t>
  </si>
  <si>
    <t>VehicleKm_per_flight.km.CY.Tr.Avia.Passenger.IntraEEAwUK</t>
  </si>
  <si>
    <t>VehicleKm_per_flight.km.CY.Tr.Avia.Passenger.ExtraEEAwUK</t>
  </si>
  <si>
    <t>VehicleKm_per_flight.km.CY.Tr.Avia.Freight</t>
  </si>
  <si>
    <t>VehicleKm_per_flight.km.CY.Tr.Avia.Freight.Domestic</t>
  </si>
  <si>
    <t>VehicleKm_per_flight.km.CY.Tr.Avia.Freight.IntraEEAwUK</t>
  </si>
  <si>
    <t>VehicleKm_per_flight.km.CY.Tr.Avia.Freight.ExtraEEAwUK</t>
  </si>
  <si>
    <t>Activity_per_flight.pkm.CY.Tr.Avia.Passenger</t>
  </si>
  <si>
    <t>Activity_per_flight.pkm.CY.Tr.Avia.Passenger.Domestic</t>
  </si>
  <si>
    <t>Activity_per_flight.pkm.CY.Tr.Avia.Passenger.IntraEEAwUK</t>
  </si>
  <si>
    <t>Activity_per_flight.pkm.CY.Tr.Avia.Passenger.ExtraEEAwUK</t>
  </si>
  <si>
    <t>Activity_per_flight.tkm.CY.Tr.Avia.Freight</t>
  </si>
  <si>
    <t>Activity_per_flight.tkm.CY.Tr.Avia.Freight.Domestic</t>
  </si>
  <si>
    <t>Activity_per_flight.tkm.CY.Tr.Avia.Freight.IntraEEAwUK</t>
  </si>
  <si>
    <t>Activity_per_flight.tkm.CY.Tr.Avia.Freight.ExtraEEAwUK</t>
  </si>
  <si>
    <t>Flights_per_vehicle.number.CY.Tr.Avia</t>
  </si>
  <si>
    <t>Flights_per_vehicle.number.CY.Tr.Avia.Passenger</t>
  </si>
  <si>
    <t>Flights_per_vehicle.number.CY.Tr.Avia.Passenger.Domestic</t>
  </si>
  <si>
    <t>Flights_per_vehicle.number.CY.Tr.Avia.Passenger.IntraEEAwUK</t>
  </si>
  <si>
    <t>Flights_per_vehicle.number.CY.Tr.Avia.Passenger.ExtraEEAwUK</t>
  </si>
  <si>
    <t>Flights_per_vehicle.number.CY.Tr.Avia.Freight</t>
  </si>
  <si>
    <t>Flights_per_vehicle.number.CY.Tr.Avia.Freight.Domestic</t>
  </si>
  <si>
    <t>Flights_per_vehicle.number.CY.Tr.Avia.Freight.IntraEEAwUK</t>
  </si>
  <si>
    <t>Flights_per_vehicle.number.CY.Tr.Avia.Freight.ExtraEEAwUK</t>
  </si>
  <si>
    <t>Aviation / energy consumption - CY - Cyprus</t>
  </si>
  <si>
    <t>FEC.ktoe.CY.Tr.Avia</t>
  </si>
  <si>
    <t>FEC.ktoe.CY.Tr.Avia.Domestic</t>
  </si>
  <si>
    <t>FEC.ktoe.CY.Tr.Avia.International</t>
  </si>
  <si>
    <t>FEC.ktoe.CY.Tr.Avia.Passenger</t>
  </si>
  <si>
    <t>FEC.ktoe.CY.Tr.Avia.Passenger.Domestic</t>
  </si>
  <si>
    <t>FEC.ktoe.CY.Tr.Avia.Passenger.IntraEEAwUK</t>
  </si>
  <si>
    <t>FEC.ktoe.CY.Tr.Avia.Passenger.ExtraEEAwUK</t>
  </si>
  <si>
    <t>FEC.ktoe.CY.Tr.Avia.Freight</t>
  </si>
  <si>
    <t>FEC.ktoe.CY.Tr.Avia.Freight.Domestic</t>
  </si>
  <si>
    <t>FEC.ktoe.CY.Tr.Avia.Freight.IntraEEAwUK</t>
  </si>
  <si>
    <t>FEC.ktoe.CY.Tr.Avia.Freight.ExtraEEAwUK</t>
  </si>
  <si>
    <t>Eff.kgoe_per_100km.CY.Tr.Avia</t>
  </si>
  <si>
    <t>Eff.kgoe_per_100km.CY.Tr.Avia.Passenger</t>
  </si>
  <si>
    <t>Eff.kgoe_per_100km.CY.Tr.Avia.Passenger.Domestic</t>
  </si>
  <si>
    <t>Eff.kgoe_per_100km.CY.Tr.Avia.Passenger.IntraEEAwUK</t>
  </si>
  <si>
    <t>Eff.kgoe_per_100km.CY.Tr.Avia.Passenger.ExtraEEAwUK</t>
  </si>
  <si>
    <t>Eff.kgoe_per_100km.CY.Tr.Avia.Freight</t>
  </si>
  <si>
    <t>Eff.kgoe_per_100km.CY.Tr.Avia.Freight.Domestic</t>
  </si>
  <si>
    <t>Eff.kgoe_per_100km.CY.Tr.Avia.Freight.IntraEEAwUK</t>
  </si>
  <si>
    <t>Eff.kgoe_per_100km.CY.Tr.Avia.Freight.ExtraEEAwUK</t>
  </si>
  <si>
    <t>Eff.kgoe_per_kpkm.CY.Tr.Avia.Passenger</t>
  </si>
  <si>
    <t>Eff.kgoe_per_kpkm.CY.Tr.Avia.Passenger.Domestic</t>
  </si>
  <si>
    <t>Eff.kgoe_per_kpkm.CY.Tr.Avia.Passenger.IntraEEAwUK</t>
  </si>
  <si>
    <t>Eff.kgoe_per_kpkm.CY.Tr.Avia.Passenger.ExtraEEAwUK</t>
  </si>
  <si>
    <t>Eff.kgoe_per_ktkm.CY.Tr.Avia.Freight</t>
  </si>
  <si>
    <t>Eff.kgoe_per_ktkm.CY.Tr.Avia.Freight.Domestic</t>
  </si>
  <si>
    <t>Eff.kgoe_per_ktkm.CY.Tr.Avia.Freight.IntraEEAwUK</t>
  </si>
  <si>
    <t>Eff.kgoe_per_ktkm.CY.Tr.Avia.Freight.ExtraEEAwUK</t>
  </si>
  <si>
    <t>FEC_per_flight.kgoe.CY.Tr.Avia</t>
  </si>
  <si>
    <t>FEC_per_flight.kgoe.CY.Tr.Avia.Passenger</t>
  </si>
  <si>
    <t>FEC_per_flight.kgoe.CY.Tr.Avia.Passenger.Domestic</t>
  </si>
  <si>
    <t>FEC_per_flight.kgoe.CY.Tr.Avia.Passenger.IntraEEAwUK</t>
  </si>
  <si>
    <t>FEC_per_flight.kgoe.CY.Tr.Avia.Passenger.ExtraEEAwUK</t>
  </si>
  <si>
    <t>FEC_per_flight.kgoe.CY.Tr.Avia.Freight</t>
  </si>
  <si>
    <t>FEC_per_flight.kgoe.CY.Tr.Avia.Freight.Domestic</t>
  </si>
  <si>
    <t>FEC_per_flight.kgoe.CY.Tr.Avia.Freight.IntraEEAwUK</t>
  </si>
  <si>
    <t>FEC_per_flight.kgoe.CY.Tr.Avia.Freight.ExtraEEAwUK</t>
  </si>
  <si>
    <t>Eff_theor.kgoe_per_100km.CY.Tr.Avia</t>
  </si>
  <si>
    <t>Eff_theor.kgoe_per_100km.CY.Tr.Avia.Passenger</t>
  </si>
  <si>
    <t>Eff_theor.kgoe_per_100km.CY.Tr.Avia.Passenger.Domestic</t>
  </si>
  <si>
    <t>Eff_theor.kgoe_per_100km.CY.Tr.Avia.Passenger.IntraEEAwUK</t>
  </si>
  <si>
    <t>Eff_theor.kgoe_per_100km.CY.Tr.Avia.Passenger.ExtraEEAwUK</t>
  </si>
  <si>
    <t>Eff_theor.kgoe_per_100km.CY.Tr.Avia.Freight</t>
  </si>
  <si>
    <t>Eff_theor.kgoe_per_100km.CY.Tr.Avia.Freight.Domestic</t>
  </si>
  <si>
    <t>Eff_theor.kgoe_per_100km.CY.Tr.Avia.Freight.IntraEEAwUK</t>
  </si>
  <si>
    <t>Eff_theor.kgoe_per_100km.CY.Tr.Avia.Freight.ExtraEEAwUK</t>
  </si>
  <si>
    <t>Aviation / CO2 emissions - CY - Cyprus</t>
  </si>
  <si>
    <t>EMI.ktCO2.CY.Tr.Avia</t>
  </si>
  <si>
    <t>EMI.ktCO2.CY.Tr.Avia.Domestic</t>
  </si>
  <si>
    <t>EMI.ktCO2.CY.Tr.Avia.International</t>
  </si>
  <si>
    <t>EMI.ktCO2.CY.Tr.Avia.Passenger</t>
  </si>
  <si>
    <t>EMI.ktCO2.CY.Tr.Avia.Passenger.Domestic</t>
  </si>
  <si>
    <t>EMI.ktCO2.CY.Tr.Avia.Passenger.IntraEEAwUK</t>
  </si>
  <si>
    <t>EMI.ktCO2.CY.Tr.Avia.Passenger.ExtraEEAwUK</t>
  </si>
  <si>
    <t>EMI.ktCO2.CY.Tr.Avia.Freight</t>
  </si>
  <si>
    <t>EMI.ktCO2.CY.Tr.Avia.Freight.Domestic</t>
  </si>
  <si>
    <t>EMI.ktCO2.CY.Tr.Avia.Freight.IntraEEAwUK</t>
  </si>
  <si>
    <t>EMI.ktCO2.CY.Tr.Avia.Freight.ExtraEEAwUK</t>
  </si>
  <si>
    <t>EMIint.gCO2_per_km.CY.Tr.Avia</t>
  </si>
  <si>
    <t>EMIint.gCO2_per_km.CY.Tr.Avia.Passenger</t>
  </si>
  <si>
    <t>EMIint.gCO2_per_km.CY.Tr.Avia.Passenger.Domestic</t>
  </si>
  <si>
    <t>EMIint.gCO2_per_km.CY.Tr.Avia.Passenger.IntraEEAwUK</t>
  </si>
  <si>
    <t>EMIint.gCO2_per_km.CY.Tr.Avia.Passenger.ExtraEEAwUK</t>
  </si>
  <si>
    <t>EMIint.gCO2_per_km.CY.Tr.Avia.Freight</t>
  </si>
  <si>
    <t>EMIint.gCO2_per_km.CY.Tr.Avia.Freight.Domestic</t>
  </si>
  <si>
    <t>EMIint.gCO2_per_km.CY.Tr.Avia.Freight.IntraEEAwUK</t>
  </si>
  <si>
    <t>EMIint.gCO2_per_km.CY.Tr.Avia.Freight.ExtraEEAwUK</t>
  </si>
  <si>
    <t>EMIint.gCO2_per_pkm.CY.Tr.Avia.Passenger</t>
  </si>
  <si>
    <t>EMIint.gCO2_per_pkm.CY.Tr.Avia.Passenger.Domestic</t>
  </si>
  <si>
    <t>EMIint.gCO2_per_pkm.CY.Tr.Avia.Passenger.IntraEEAwUK</t>
  </si>
  <si>
    <t>EMIint.gCO2_per_pkm.CY.Tr.Avia.Passenger.ExtraEEAwUK</t>
  </si>
  <si>
    <t>EMIint.gCO2_per_tkm.CY.Tr.Avia.Freight</t>
  </si>
  <si>
    <t>EMIint.gCO2_per_tkm.CY.Tr.Avia.Freight.Domestic</t>
  </si>
  <si>
    <t>EMIint.gCO2_per_tkm.CY.Tr.Avia.Freight.IntraEEAwUK</t>
  </si>
  <si>
    <t>EMIint.gCO2_per_tkm.CY.Tr.Avia.Freight.ExtraEEAwUK</t>
  </si>
  <si>
    <t>EMI_per_flight.kgCO2.CY.Tr.Avia</t>
  </si>
  <si>
    <t>EMI_per_flight.kgCO2.CY.Tr.Avia.Passenger</t>
  </si>
  <si>
    <t>EMI_per_flight.kgCO2.CY.Tr.Avia.Passenger.Domestic</t>
  </si>
  <si>
    <t>EMI_per_flight.kgCO2.CY.Tr.Avia.Passenger.IntraEEAwUK</t>
  </si>
  <si>
    <t>EMI_per_flight.kgCO2.CY.Tr.Avia.Passenger.ExtraEEAwUK</t>
  </si>
  <si>
    <t>EMI_per_flight.kgCO2.CY.Tr.Avia.Freight</t>
  </si>
  <si>
    <t>EMI_per_flight.kgCO2.CY.Tr.Avia.Freight.Domestic</t>
  </si>
  <si>
    <t>EMI_per_flight.kgCO2.CY.Tr.Avia.Freight.IntraEEAwUK</t>
  </si>
  <si>
    <t>EMI_per_flight.kgCO2.CY.Tr.Avia.Freight.ExtraEEAwUK</t>
  </si>
  <si>
    <t>Aviation / passenger transport specific data - CY - Cyprus</t>
  </si>
  <si>
    <t>TrCap.seats.CY.Tr.Avia.Passenger</t>
  </si>
  <si>
    <t>TrCap.seats.CY.Tr.Avia.Passenger.Domestic</t>
  </si>
  <si>
    <t>TrCap.seats.CY.Tr.Avia.Passenger.IntraEEAwUK</t>
  </si>
  <si>
    <t>TrCap.seats.CY.Tr.Avia.Passenger.ExtraEEAwUK</t>
  </si>
  <si>
    <t>TrCap_per_flight.seats.CY.Tr.Avia.Passenger</t>
  </si>
  <si>
    <t>TrCap_per_flight.seats.CY.Tr.Avia.Passenger.Domestic</t>
  </si>
  <si>
    <t>TrCap_per_flight.seats.CY.Tr.Avia.Passenger.IntraEEAwUK</t>
  </si>
  <si>
    <t>TrCap_per_flight.seats.CY.Tr.Avia.Passenger.ExtraEEAwUK</t>
  </si>
  <si>
    <t>Transport overview - CY - Cyprus</t>
  </si>
  <si>
    <t>Activity.Mpkm.CY.Tr</t>
  </si>
  <si>
    <t>Activity.Mpkm.CY.Tr.Road.Passenger</t>
  </si>
  <si>
    <t>Activity.Mpkm.CY.Tr.Road.Passenger.P2W</t>
  </si>
  <si>
    <t>Activity.Mpkm.CY.Tr.Road.Passenger.Car</t>
  </si>
  <si>
    <t>Activity.Mpkm.CY.Tr.Road.Passenger.Bus</t>
  </si>
  <si>
    <t>Activity.Mpkm.CY.Tr.Rail.Passenger</t>
  </si>
  <si>
    <t>Activity.Mpkm.CY.Tr.Rail.Passenger.MTU</t>
  </si>
  <si>
    <t>Activity.Mpkm.CY.Tr.Rail.Passenger.CPT</t>
  </si>
  <si>
    <t>Activity.Mpkm.CY.Tr.Rail.Passenger.HST</t>
  </si>
  <si>
    <t>Activity.Mtkm.CY.Tr</t>
  </si>
  <si>
    <t>Activity.Mtkm.CY.Tr.Road.Freight</t>
  </si>
  <si>
    <t>Activity.Mtkm.CY.Tr.Road.Freight.LCV</t>
  </si>
  <si>
    <t>Activity.Mtkm.CY.Tr.Road.Freight.HGV</t>
  </si>
  <si>
    <t>Activity.Mtkm.CY.Tr.Rail.Freight</t>
  </si>
  <si>
    <t>Activity.Mtkm.CY.Tr.DNavi.Freight</t>
  </si>
  <si>
    <t>Activity.Mtkm.CY.Tr.DNavi.Freight.DCS</t>
  </si>
  <si>
    <t>Activity.Mtkm.CY.Tr.DNavi.Freight.IWW</t>
  </si>
  <si>
    <t>Activity.Mtkm.CY.MBunk.Freight</t>
  </si>
  <si>
    <t>Activity.Mtkm.CY.MBunk.Freight.IntraEEA</t>
  </si>
  <si>
    <t>Activity.Mtkm.CY.MBunk.Freight.ExtraEEA</t>
  </si>
  <si>
    <t>FEC.ktoe.CY.Tr.Road.Passenger</t>
  </si>
  <si>
    <t>FEC.ktoe.CY.Tr.Road.Passenger.P2W</t>
  </si>
  <si>
    <t>FEC.ktoe.CY.Tr.Road.Passenger.Car</t>
  </si>
  <si>
    <t>FEC.ktoe.CY.Tr.Road.Passenger.Bus</t>
  </si>
  <si>
    <t>FEC.ktoe.CY.Tr.Rail.Passenger</t>
  </si>
  <si>
    <t>FEC.ktoe.CY.Tr.Rail.Passenger.MTU</t>
  </si>
  <si>
    <t>FEC.ktoe.CY.Tr.Rail.Passenger.CPT</t>
  </si>
  <si>
    <t>FEC.ktoe.CY.Tr.Rail.Passenger.HST</t>
  </si>
  <si>
    <t>FEC.ktoe.CY.Tr.Road.Freight</t>
  </si>
  <si>
    <t>FEC.ktoe.CY.Tr.Road.Freight.LCV</t>
  </si>
  <si>
    <t>FEC.ktoe.CY.Tr.Road.Freight.HGV</t>
  </si>
  <si>
    <t>FEC.ktoe.CY.Tr.Rail.Freight</t>
  </si>
  <si>
    <t>EMI.ktCO2.CY.Tr.Road.Passenger</t>
  </si>
  <si>
    <t>EMI.ktCO2.CY.Tr.Road.Passenger.P2W</t>
  </si>
  <si>
    <t>EMI.ktCO2.CY.Tr.Road.Passenger.Car</t>
  </si>
  <si>
    <t>EMI.ktCO2.CY.Tr.Road.Passenger.Bus</t>
  </si>
  <si>
    <t>EMI.ktCO2.CY.Tr.Rail.Passenger</t>
  </si>
  <si>
    <t>EMI.ktCO2.CY.Tr.Rail.Passenger.MTU</t>
  </si>
  <si>
    <t>EMI.ktCO2.CY.Tr.Rail.Passenger.CPT</t>
  </si>
  <si>
    <t>EMI.ktCO2.CY.Tr.Rail.Passenger.HST</t>
  </si>
  <si>
    <t>EMI.ktCO2.CY.Tr.Road.Freight</t>
  </si>
  <si>
    <t>EMI.ktCO2.CY.Tr.Road.Freight.LCV</t>
  </si>
  <si>
    <t>EMI.ktCO2.CY.Tr.Road.Freight.HGV</t>
  </si>
  <si>
    <t>EMI.ktCO2.CY.Tr.Rail.Freight</t>
  </si>
  <si>
    <t>Eff.kgoe_per_kpkm.CY.Tr</t>
  </si>
  <si>
    <t>Eff.kgoe_per_kpkm.CY.Tr.Road.Passenger</t>
  </si>
  <si>
    <t>Eff.kgoe_per_kpkm.CY.Tr.Road.Passenger.P2W</t>
  </si>
  <si>
    <t>Eff.kgoe_per_kpkm.CY.Tr.Road.Passenger.Car</t>
  </si>
  <si>
    <t>Eff.kgoe_per_kpkm.CY.Tr.Road.Passenger.Bus</t>
  </si>
  <si>
    <t>Eff.kgoe_per_kpkm.CY.Tr.Rail.Passenger</t>
  </si>
  <si>
    <t>Eff.kgoe_per_kpkm.CY.Tr.Rail.Passenger.MTU</t>
  </si>
  <si>
    <t>Eff.kgoe_per_kpkm.CY.Tr.Rail.Passenger.CPT</t>
  </si>
  <si>
    <t>Eff.kgoe_per_kpkm.CY.Tr.Rail.Passenger.HST</t>
  </si>
  <si>
    <t>Eff.kgoe_per_ktkm.CY.Tr</t>
  </si>
  <si>
    <t>Eff.kgoe_per_ktkm.CY.Tr.Road.Freight</t>
  </si>
  <si>
    <t>Eff.kgoe_per_ktkm.CY.Tr.Road.Freight.LCV</t>
  </si>
  <si>
    <t>Eff.kgoe_per_ktkm.CY.Tr.Road.Freight.HGV</t>
  </si>
  <si>
    <t>Eff.kgoe_per_ktkm.CY.Tr.Rail.Freight</t>
  </si>
  <si>
    <t>Eff.kgoe_per_ktkm.CY.Tr.DNavi.Freight</t>
  </si>
  <si>
    <t>Eff.kgoe_per_ktkm.CY.Tr.DNavi.Freight.DCS</t>
  </si>
  <si>
    <t>Eff.kgoe_per_ktkm.CY.Tr.DNavi.Freight.IWW</t>
  </si>
  <si>
    <t>Eff.kgoe_per_ktkm.CY.MBunk.Freight</t>
  </si>
  <si>
    <t>Eff.kgoe_per_ktkm.CY.MBunk.Freight.IntraEEA</t>
  </si>
  <si>
    <t>Eff.kgoe_per_ktkm.CY.MBunk.Freight.ExtraEEA</t>
  </si>
  <si>
    <t>EMIint.gCO2_per_pkm.CY.Tr</t>
  </si>
  <si>
    <t>EMIint.gCO2_per_pkm.CY.Tr.Road.Passenger</t>
  </si>
  <si>
    <t>EMIint.gCO2_per_pkm.CY.Tr.Road.Passenger.P2W</t>
  </si>
  <si>
    <t>EMIint.gCO2_per_pkm.CY.Tr.Road.Passenger.Car</t>
  </si>
  <si>
    <t>EMIint.gCO2_per_pkm.CY.Tr.Road.Passenger.Bus</t>
  </si>
  <si>
    <t>EMIint.gCO2_per_pkm.CY.Tr.Rail.Passenger</t>
  </si>
  <si>
    <t>EMIint.gCO2_per_pkm.CY.Tr.Rail.Passenger.MTU</t>
  </si>
  <si>
    <t>EMIint.gCO2_per_pkm.CY.Tr.Rail.Passenger.CPT</t>
  </si>
  <si>
    <t>EMIint.gCO2_per_pkm.CY.Tr.Rail.Passenger.HST</t>
  </si>
  <si>
    <t>EMIint.gCO2_per_tkm.CY.Tr</t>
  </si>
  <si>
    <t>EMIint.gCO2_per_tkm.CY.Tr.Road.Freight</t>
  </si>
  <si>
    <t>EMIint.gCO2_per_tkm.CY.Tr.Road.Freight.LCV</t>
  </si>
  <si>
    <t>EMIint.gCO2_per_tkm.CY.Tr.Road.Freight.HGV</t>
  </si>
  <si>
    <t>EMIint.gCO2_per_tkm.CY.Tr.Rail.Freight</t>
  </si>
  <si>
    <t>EMIint.gCO2_per_tkm.CY.Tr.DNavi.Freight</t>
  </si>
  <si>
    <t>EMIint.gCO2_per_tkm.CY.Tr.DNavi.Freight.DCS</t>
  </si>
  <si>
    <t>EMIint.gCO2_per_tkm.CY.Tr.DNavi.Freight.IWW</t>
  </si>
  <si>
    <t>EMIint.gCO2_per_tkm.CY.MBunk.Freight</t>
  </si>
  <si>
    <t>EMIint.gCO2_per_tkm.CY.MBunk.Freight.IntraEEA</t>
  </si>
  <si>
    <t>EMIint.gCO2_per_tkm.CY.MBunk.Freight.ExtraEEA</t>
  </si>
  <si>
    <t>Road transport - CY - Cyprus</t>
  </si>
  <si>
    <t>Activity.Mpkm.CY.Tr.Road.Passenger.Car.ICE.Gasoline</t>
  </si>
  <si>
    <t>Activity.Mpkm.CY.Tr.Road.Passenger.Car.ICE.Diesel</t>
  </si>
  <si>
    <t>Activity.Mpkm.CY.Tr.Road.Passenger.Car.ICE.LPG</t>
  </si>
  <si>
    <t>Activity.Mpkm.CY.Tr.Road.Passenger.Car.ICE.NGas</t>
  </si>
  <si>
    <t>Activity.Mpkm.CY.Tr.Road.Passenger.Car.PHEV</t>
  </si>
  <si>
    <t>Activity.Mpkm.CY.Tr.Road.Passenger.Car.BEV</t>
  </si>
  <si>
    <t>Activity.Mpkm.CY.Tr.Road.Passenger.Bus.ICE.Gasoline</t>
  </si>
  <si>
    <t>Activity.Mpkm.CY.Tr.Road.Passenger.Bus.ICE.Diesel</t>
  </si>
  <si>
    <t>Activity.Mpkm.CY.Tr.Road.Passenger.Bus.ICE.LPG</t>
  </si>
  <si>
    <t>Activity.Mpkm.CY.Tr.Road.Passenger.Bus.ICE.NGas</t>
  </si>
  <si>
    <t>Activity.Mpkm.CY.Tr.Road.Passenger.Bus.ICE.BEV</t>
  </si>
  <si>
    <t>Activity.Mtkm.CY.Tr.Road.Freight.LCV.ICE.Gasoline</t>
  </si>
  <si>
    <t>Activity.Mtkm.CY.Tr.Road.Freight.LCV.ICE.Diesel</t>
  </si>
  <si>
    <t>Activity.Mtkm.CY.Tr.Road.Freight.LCV.ICE.LPG</t>
  </si>
  <si>
    <t>Activity.Mtkm.CY.Tr.Road.Freight.LCV.ICE.NGas</t>
  </si>
  <si>
    <t>Activity.Mtkm.CY.Tr.Road.Freight.LCV.ICE.BEV</t>
  </si>
  <si>
    <t>Activity.Mtkm.CY.Tr.Road.Freight.HGV.Domestic</t>
  </si>
  <si>
    <t>Activity.Mtkm.CY.Tr.Road.Freight.HGV.International</t>
  </si>
  <si>
    <t>VehicleKm.Mkm.CY.Tr.Road</t>
  </si>
  <si>
    <t>VehicleKm.Mkm.CY.Tr.Road.Passenger</t>
  </si>
  <si>
    <t>VehicleKm.Mkm.CY.Tr.Road.Passenger.P2W</t>
  </si>
  <si>
    <t>VehicleKm.Mkm.CY.Tr.Road.Passenger.Car</t>
  </si>
  <si>
    <t>VehicleKm.Mkm.CY.Tr.Road.Passenger.Car.ICE.Gasoline</t>
  </si>
  <si>
    <t>VehicleKm.Mkm.CY.Tr.Road.Passenger.Car.ICE.Diesel</t>
  </si>
  <si>
    <t>VehicleKm.Mkm.CY.Tr.Road.Passenger.Car.ICE.LPG</t>
  </si>
  <si>
    <t>VehicleKm.Mkm.CY.Tr.Road.Passenger.Car.ICE.NGas</t>
  </si>
  <si>
    <t>VehicleKm.Mkm.CY.Tr.Road.Passenger.Car.PHEV</t>
  </si>
  <si>
    <t>VehicleKm.Mkm.CY.Tr.Road.Passenger.Car.BEV</t>
  </si>
  <si>
    <t>VehicleKm.Mkm.CY.Tr.Road.Passenger.Bus</t>
  </si>
  <si>
    <t>VehicleKm.Mkm.CY.Tr.Road.Passenger.Bus.ICE.Gasoline</t>
  </si>
  <si>
    <t>VehicleKm.Mkm.CY.Tr.Road.Passenger.Bus.ICE.Diesel</t>
  </si>
  <si>
    <t>VehicleKm.Mkm.CY.Tr.Road.Passenger.Bus.ICE.LPG</t>
  </si>
  <si>
    <t>VehicleKm.Mkm.CY.Tr.Road.Passenger.Bus.ICE.NGas</t>
  </si>
  <si>
    <t>VehicleKm.Mkm.CY.Tr.Road.Passenger.Bus.ICE.BEV</t>
  </si>
  <si>
    <t>VehicleKm.Mkm.CY.Tr.Road.Freight</t>
  </si>
  <si>
    <t>VehicleKm.Mkm.CY.Tr.Road.Freight.LCV</t>
  </si>
  <si>
    <t>VehicleKm.Mkm.CY.Tr.Road.Freight.LCV.ICE.Gasoline</t>
  </si>
  <si>
    <t>VehicleKm.Mkm.CY.Tr.Road.Freight.LCV.ICE.Diesel</t>
  </si>
  <si>
    <t>VehicleKm.Mkm.CY.Tr.Road.Freight.LCV.ICE.LPG</t>
  </si>
  <si>
    <t>VehicleKm.Mkm.CY.Tr.Road.Freight.LCV.ICE.NGas</t>
  </si>
  <si>
    <t>VehicleKm.Mkm.CY.Tr.Road.Freight.LCV.ICE.BEV</t>
  </si>
  <si>
    <t>VehicleKm.Mkm.CY.Tr.Road.Freight.HGV</t>
  </si>
  <si>
    <t>VehicleKm.Mkm.CY.Tr.Road.Freight.HGV.Domestic</t>
  </si>
  <si>
    <t>VehicleKm.Mkm.CY.Tr.Road.Freight.HGV.International</t>
  </si>
  <si>
    <t>Stock.number.CY.Tr.Road</t>
  </si>
  <si>
    <t>Stock.number.CY.Tr.Road.Passenger</t>
  </si>
  <si>
    <t>Stock.number.CY.Tr.Road.Passenger.P2W</t>
  </si>
  <si>
    <t>Stock.number.CY.Tr.Road.Passenger.Car</t>
  </si>
  <si>
    <t>Stock.number.CY.Tr.Road.Passenger.Car.ICE.Gasoline</t>
  </si>
  <si>
    <t>Stock.number.CY.Tr.Road.Passenger.Car.ICE.Diesel</t>
  </si>
  <si>
    <t>Stock.number.CY.Tr.Road.Passenger.Car.ICE.LPG</t>
  </si>
  <si>
    <t>Stock.number.CY.Tr.Road.Passenger.Car.ICE.NGas</t>
  </si>
  <si>
    <t>Stock.number.CY.Tr.Road.Passenger.Car.PHEV</t>
  </si>
  <si>
    <t>Stock.number.CY.Tr.Road.Passenger.Car.BEV</t>
  </si>
  <si>
    <t>Stock.number.CY.Tr.Road.Passenger.Bus</t>
  </si>
  <si>
    <t>Stock.number.CY.Tr.Road.Passenger.Bus.ICE.Gasoline</t>
  </si>
  <si>
    <t>Stock.number.CY.Tr.Road.Passenger.Bus.ICE.Diesel</t>
  </si>
  <si>
    <t>Stock.number.CY.Tr.Road.Passenger.Bus.ICE.LPG</t>
  </si>
  <si>
    <t>Stock.number.CY.Tr.Road.Passenger.Bus.ICE.NGas</t>
  </si>
  <si>
    <t>Stock.number.CY.Tr.Road.Passenger.Bus.ICE.BEV</t>
  </si>
  <si>
    <t>Stock.number.CY.Tr.Road.Freight</t>
  </si>
  <si>
    <t>Stock.number.CY.Tr.Road.Freight.LCV</t>
  </si>
  <si>
    <t>Stock.number.CY.Tr.Road.Freight.LCV.ICE.Gasoline</t>
  </si>
  <si>
    <t>Stock.number.CY.Tr.Road.Freight.LCV.ICE.Diesel</t>
  </si>
  <si>
    <t>Stock.number.CY.Tr.Road.Freight.LCV.ICE.LPG</t>
  </si>
  <si>
    <t>Stock.number.CY.Tr.Road.Freight.LCV.ICE.NGas</t>
  </si>
  <si>
    <t>Stock.number.CY.Tr.Road.Freight.LCV.ICE.BEV</t>
  </si>
  <si>
    <t>Stock.number.CY.Tr.Road.Freight.HGV</t>
  </si>
  <si>
    <t>Stock.number.CY.Tr.Road.Freight.HGV.Domestic</t>
  </si>
  <si>
    <t>Stock.number.CY.Tr.Road.Freight.HGV.International</t>
  </si>
  <si>
    <t>StockNew.number.CY.Tr.Road</t>
  </si>
  <si>
    <t>StockNew.number.CY.Tr.Road.Passenger</t>
  </si>
  <si>
    <t>StockNew.number.CY.Tr.Road.Passenger.P2W</t>
  </si>
  <si>
    <t>StockNew.number.CY.Tr.Road.Passenger.Car</t>
  </si>
  <si>
    <t>StockNew.number.CY.Tr.Road.Passenger.Car.ICE.Gasoline</t>
  </si>
  <si>
    <t>StockNew.number.CY.Tr.Road.Passenger.Car.ICE.Diesel</t>
  </si>
  <si>
    <t>StockNew.number.CY.Tr.Road.Passenger.Car.ICE.LPG</t>
  </si>
  <si>
    <t>StockNew.number.CY.Tr.Road.Passenger.Car.ICE.NGas</t>
  </si>
  <si>
    <t>StockNew.number.CY.Tr.Road.Passenger.Car.PHEV</t>
  </si>
  <si>
    <t>StockNew.number.CY.Tr.Road.Passenger.Car.BEV</t>
  </si>
  <si>
    <t>StockNew.number.CY.Tr.Road.Passenger.Bus</t>
  </si>
  <si>
    <t>StockNew.number.CY.Tr.Road.Passenger.Bus.ICE.Gasoline</t>
  </si>
  <si>
    <t>StockNew.number.CY.Tr.Road.Passenger.Bus.ICE.Diesel</t>
  </si>
  <si>
    <t>StockNew.number.CY.Tr.Road.Passenger.Bus.ICE.LPG</t>
  </si>
  <si>
    <t>StockNew.number.CY.Tr.Road.Passenger.Bus.ICE.NGas</t>
  </si>
  <si>
    <t>StockNew.number.CY.Tr.Road.Passenger.Bus.ICE.BEV</t>
  </si>
  <si>
    <t>StockNew.number.CY.Tr.Road.Freight</t>
  </si>
  <si>
    <t>StockNew.number.CY.Tr.Road.Freight.LCV</t>
  </si>
  <si>
    <t>StockNew.number.CY.Tr.Road.Freight.LCV.ICE.Gasoline</t>
  </si>
  <si>
    <t>StockNew.number.CY.Tr.Road.Freight.LCV.ICE.Diesel</t>
  </si>
  <si>
    <t>StockNew.number.CY.Tr.Road.Freight.LCV.ICE.LPG</t>
  </si>
  <si>
    <t>StockNew.number.CY.Tr.Road.Freight.LCV.ICE.NGas</t>
  </si>
  <si>
    <t>StockNew.number.CY.Tr.Road.Freight.LCV.ICE.BEV</t>
  </si>
  <si>
    <t>StockNew.number.CY.Tr.Road.Freight.HGV</t>
  </si>
  <si>
    <t>StockNew.number.CY.Tr.Road.Freight.HGV.Domestic</t>
  </si>
  <si>
    <t>StockNew.number.CY.Tr.Road.Freight.HGV.International</t>
  </si>
  <si>
    <t>Load.passenger_per_movement.CY.Tr.Road.Passenger</t>
  </si>
  <si>
    <t>Load.passenger_per_movement.CY.Tr.Road.Passenger.P2W</t>
  </si>
  <si>
    <t>Load.passenger_per_movement.CY.Tr.Road.Passenger.Car</t>
  </si>
  <si>
    <t>Load.passenger_per_movement.CY.Tr.Road.Passenger.Car.ICE.Gasoline</t>
  </si>
  <si>
    <t>Load.passenger_per_movement.CY.Tr.Road.Passenger.Car.ICE.Diesel</t>
  </si>
  <si>
    <t>Load.passenger_per_movement.CY.Tr.Road.Passenger.Car.ICE.LPG</t>
  </si>
  <si>
    <t>Load.passenger_per_movement.CY.Tr.Road.Passenger.Car.ICE.NGas</t>
  </si>
  <si>
    <t>Load.passenger_per_movement.CY.Tr.Road.Passenger.Car.PHEV</t>
  </si>
  <si>
    <t>Load.passenger_per_movement.CY.Tr.Road.Passenger.Car.BEV</t>
  </si>
  <si>
    <t>Load.passenger_per_movement.CY.Tr.Road.Passenger.Bus</t>
  </si>
  <si>
    <t>Load.passenger_per_movement.CY.Tr.Road.Passenger.Bus.ICE.Gasoline</t>
  </si>
  <si>
    <t>Load.passenger_per_movement.CY.Tr.Road.Passenger.Bus.ICE.Diesel</t>
  </si>
  <si>
    <t>Load.passenger_per_movement.CY.Tr.Road.Passenger.Bus.ICE.LPG</t>
  </si>
  <si>
    <t>Load.passenger_per_movement.CY.Tr.Road.Passenger.Bus.ICE.NGas</t>
  </si>
  <si>
    <t>Load.passenger_per_movement.CY.Tr.Road.Passenger.Bus.ICE.BEV</t>
  </si>
  <si>
    <t>Load.t_per_movement.CY.Tr.Road.Freight</t>
  </si>
  <si>
    <t>Load.t_per_movement.CY.Tr.Road.Freight.LCV</t>
  </si>
  <si>
    <t>Load.t_per_movement.CY.Tr.Road.Freight.LCV.ICE.Gasoline</t>
  </si>
  <si>
    <t>Load.t_per_movement.CY.Tr.Road.Freight.LCV.ICE.Diesel</t>
  </si>
  <si>
    <t>Load.t_per_movement.CY.Tr.Road.Freight.LCV.ICE.LPG</t>
  </si>
  <si>
    <t>Load.t_per_movement.CY.Tr.Road.Freight.LCV.ICE.NGas</t>
  </si>
  <si>
    <t>Load.t_per_movement.CY.Tr.Road.Freight.LCV.ICE.BEV</t>
  </si>
  <si>
    <t>Load.t_per_movement.CY.Tr.Road.Freight.HGV</t>
  </si>
  <si>
    <t>Load.t_per_movement.CY.Tr.Road.Freight.HGV.Domestic</t>
  </si>
  <si>
    <t>Load.t_per_movement.CY.Tr.Road.Freight.HGV.International</t>
  </si>
  <si>
    <t>VehicleKm_per_vehicle.km.CY.Tr.Road</t>
  </si>
  <si>
    <t>VehicleKm_per_vehicle.km.CY.Tr.Road.Passenger</t>
  </si>
  <si>
    <t>VehicleKm_per_vehicle.km.CY.Tr.Road.Passenger.P2W</t>
  </si>
  <si>
    <t>VehicleKm_per_vehicle.km.CY.Tr.Road.Passenger.Car</t>
  </si>
  <si>
    <t>VehicleKm_per_vehicle.km.CY.Tr.Road.Passenger.Car.ICE.Gasoline</t>
  </si>
  <si>
    <t>VehicleKm_per_vehicle.km.CY.Tr.Road.Passenger.Car.ICE.Diesel</t>
  </si>
  <si>
    <t>VehicleKm_per_vehicle.km.CY.Tr.Road.Passenger.Car.ICE.LPG</t>
  </si>
  <si>
    <t>VehicleKm_per_vehicle.km.CY.Tr.Road.Passenger.Car.ICE.NGas</t>
  </si>
  <si>
    <t>VehicleKm_per_vehicle.km.CY.Tr.Road.Passenger.Car.PHEV</t>
  </si>
  <si>
    <t>VehicleKm_per_vehicle.km.CY.Tr.Road.Passenger.Car.BEV</t>
  </si>
  <si>
    <t>VehicleKm_per_vehicle.km.CY.Tr.Road.Passenger.Bus</t>
  </si>
  <si>
    <t>VehicleKm_per_vehicle.km.CY.Tr.Road.Passenger.Bus.ICE.Gasoline</t>
  </si>
  <si>
    <t>VehicleKm_per_vehicle.km.CY.Tr.Road.Passenger.Bus.ICE.Diesel</t>
  </si>
  <si>
    <t>VehicleKm_per_vehicle.km.CY.Tr.Road.Passenger.Bus.ICE.LPG</t>
  </si>
  <si>
    <t>VehicleKm_per_vehicle.km.CY.Tr.Road.Passenger.Bus.ICE.NGas</t>
  </si>
  <si>
    <t>VehicleKm_per_vehicle.km.CY.Tr.Road.Passenger.Bus.ICE.BEV</t>
  </si>
  <si>
    <t>VehicleKm_per_vehicle.km.CY.Tr.Road.Freight</t>
  </si>
  <si>
    <t>VehicleKm_per_vehicle.km.CY.Tr.Road.Freight.LCV</t>
  </si>
  <si>
    <t>VehicleKm_per_vehicle.km.CY.Tr.Road.Freight.LCV.ICE.Gasoline</t>
  </si>
  <si>
    <t>VehicleKm_per_vehicle.km.CY.Tr.Road.Freight.LCV.ICE.Diesel</t>
  </si>
  <si>
    <t>VehicleKm_per_vehicle.km.CY.Tr.Road.Freight.LCV.ICE.LPG</t>
  </si>
  <si>
    <t>VehicleKm_per_vehicle.km.CY.Tr.Road.Freight.LCV.ICE.NGas</t>
  </si>
  <si>
    <t>VehicleKm_per_vehicle.km.CY.Tr.Road.Freight.LCV.ICE.BEV</t>
  </si>
  <si>
    <t>VehicleKm_per_vehicle.km.CY.Tr.Road.Freight.HGV</t>
  </si>
  <si>
    <t>VehicleKm_per_vehicle.km.CY.Tr.Road.Freight.HGV.Domestic</t>
  </si>
  <si>
    <t>VehicleKm_per_vehicle.km.CY.Tr.Road.Freight.HGV.International</t>
  </si>
  <si>
    <t>Activity_per_vehicle.pkm.CY.Tr.Road.Passenger</t>
  </si>
  <si>
    <t>Activity_per_vehicle.pkm.CY.Tr.Road.Passenger.P2W</t>
  </si>
  <si>
    <t>Activity_per_vehicle.pkm.CY.Tr.Road.Passenger.Car</t>
  </si>
  <si>
    <t>Activity_per_vehicle.pkm.CY.Tr.Road.Passenger.Car.ICE.Gasoline</t>
  </si>
  <si>
    <t>Activity_per_vehicle.pkm.CY.Tr.Road.Passenger.Car.ICE.Diesel</t>
  </si>
  <si>
    <t>Activity_per_vehicle.pkm.CY.Tr.Road.Passenger.Car.ICE.LPG</t>
  </si>
  <si>
    <t>Activity_per_vehicle.pkm.CY.Tr.Road.Passenger.Car.ICE.NGas</t>
  </si>
  <si>
    <t>Activity_per_vehicle.pkm.CY.Tr.Road.Passenger.Car.PHEV</t>
  </si>
  <si>
    <t>Activity_per_vehicle.pkm.CY.Tr.Road.Passenger.Car.BEV</t>
  </si>
  <si>
    <t>Activity_per_vehicle.pkm.CY.Tr.Road.Passenger.Bus</t>
  </si>
  <si>
    <t>Activity_per_vehicle.pkm.CY.Tr.Road.Passenger.Bus.ICE.Gasoline</t>
  </si>
  <si>
    <t>Activity_per_vehicle.pkm.CY.Tr.Road.Passenger.Bus.ICE.Diesel</t>
  </si>
  <si>
    <t>Activity_per_vehicle.pkm.CY.Tr.Road.Passenger.Bus.ICE.LPG</t>
  </si>
  <si>
    <t>Activity_per_vehicle.pkm.CY.Tr.Road.Passenger.Bus.ICE.NGas</t>
  </si>
  <si>
    <t>Activity_per_vehicle.pkm.CY.Tr.Road.Passenger.Bus.ICE.BEV</t>
  </si>
  <si>
    <t>Activity_per_vehicle.tkm.CY.Tr.Road.Freight</t>
  </si>
  <si>
    <t>Activity_per_vehicle.tkm.CY.Tr.Road.Freight.LCV</t>
  </si>
  <si>
    <t>Activity_per_vehicle.tkm.CY.Tr.Road.Freight.LCV.ICE.Gasoline</t>
  </si>
  <si>
    <t>Activity_per_vehicle.tkm.CY.Tr.Road.Freight.LCV.ICE.Diesel</t>
  </si>
  <si>
    <t>Activity_per_vehicle.tkm.CY.Tr.Road.Freight.LCV.ICE.LPG</t>
  </si>
  <si>
    <t>Activity_per_vehicle.tkm.CY.Tr.Road.Freight.LCV.ICE.NGas</t>
  </si>
  <si>
    <t>Activity_per_vehicle.tkm.CY.Tr.Road.Freight.LCV.ICE.BEV</t>
  </si>
  <si>
    <t>Activity_per_vehicle.tkm.CY.Tr.Road.Freight.HGV</t>
  </si>
  <si>
    <t>Activity_per_vehicle.tkm.CY.Tr.Road.Freight.HGV.Domestic</t>
  </si>
  <si>
    <t>Activity_per_vehicle.tkm.CY.Tr.Road.Freight.HGV.International</t>
  </si>
  <si>
    <t>Road transport / energy consumption - CY - Cyprus</t>
  </si>
  <si>
    <t>FEC.ktoe.CY.ES.Tr.Road</t>
  </si>
  <si>
    <t>FEC.ktoe.CY.ES.Tr.Road.LPG</t>
  </si>
  <si>
    <t>FEC.ktoe.CY.ES.Tr.Road.Gasoline</t>
  </si>
  <si>
    <t>FEC.ktoe.CY.ES.Tr.Road.Diesel</t>
  </si>
  <si>
    <t>FEC.ktoe.CY.ES.Tr.Road.NG</t>
  </si>
  <si>
    <t>FEC.ktoe.CY.ES.Tr.Road.Biogas</t>
  </si>
  <si>
    <t>FEC.ktoe.CY.ES.Tr.Road.Biogasoline</t>
  </si>
  <si>
    <t>FEC.ktoe.CY.ES.Tr.Road.Biodiesel</t>
  </si>
  <si>
    <t>FEC.ktoe.CY.ES.Tr.Road.OthLiqBio</t>
  </si>
  <si>
    <t>FEC.ktoe.CY.ES.Tr.Road.Elec</t>
  </si>
  <si>
    <t>FEC.ktoe.CY.Tr.Road</t>
  </si>
  <si>
    <t>FEC.ktoe.CY.Tr.Road.Passenger.P2W.Biogasoline</t>
  </si>
  <si>
    <t>FEC.ktoe.CY.Tr.Road.Passenger.Car.ICE.Gasoline</t>
  </si>
  <si>
    <t>FEC.ktoe.CY.Tr.Road.Passenger.Car.ICE.Gasoline.Biogasoline</t>
  </si>
  <si>
    <t>FEC.ktoe.CY.Tr.Road.Passenger.Car.ICE.Diesel</t>
  </si>
  <si>
    <t>FEC.ktoe.CY.Tr.Road.Passenger.Car.ICE.Diesel.BioDiesel_OthLiqBio</t>
  </si>
  <si>
    <t>FEC.ktoe.CY.Tr.Road.Passenger.Car.ICE.LPG</t>
  </si>
  <si>
    <t>FEC.ktoe.CY.Tr.Road.Passenger.Car.ICE.NGas</t>
  </si>
  <si>
    <t>FEC.ktoe.CY.Tr.Road.Passenger.Car.ICE.NGas.Biogas</t>
  </si>
  <si>
    <t>FEC.ktoe.CY.Tr.Road.Passenger.Car.PHEV</t>
  </si>
  <si>
    <t>FEC.ktoe.CY.Tr.Road.Passenger.Car.PHEV.Biogasoline</t>
  </si>
  <si>
    <t>FEC.ktoe.CY.Tr.Road.Passenger.Car.PHEV.Elec</t>
  </si>
  <si>
    <t>FEC.ktoe.CY.Tr.Road.Passenger.Car.BEV</t>
  </si>
  <si>
    <t>FEC.ktoe.CY.Tr.Road.Passenger.Bus.ICE.Gasoline</t>
  </si>
  <si>
    <t>FEC.ktoe.CY.Tr.Road.Passenger.Bus.ICE.Gasoline.Biogasoline</t>
  </si>
  <si>
    <t>FEC.ktoe.CY.Tr.Road.Passenger.Bus.ICE.Diesel</t>
  </si>
  <si>
    <t>FEC.ktoe.CY.Tr.Road.Passenger.Bus.ICE.Diesel.BioDiesel_OthLiqBio</t>
  </si>
  <si>
    <t>FEC.ktoe.CY.Tr.Road.Passenger.Bus.ICE.LPG</t>
  </si>
  <si>
    <t>FEC.ktoe.CY.Tr.Road.Passenger.Bus.ICE.NGas</t>
  </si>
  <si>
    <t>FEC.ktoe.CY.Tr.Road.Passenger.Bus.ICE.NGas.Biogas</t>
  </si>
  <si>
    <t>FEC.ktoe.CY.Tr.Road.Passenger.Bus.ICE.BEV</t>
  </si>
  <si>
    <t>FEC.ktoe.CY.Tr.Road.Freight.LCV.ICE.Gasoline</t>
  </si>
  <si>
    <t>FEC.ktoe.CY.Tr.Road.Freight.LCV.ICE.Gasoline.Biogasoline</t>
  </si>
  <si>
    <t>FEC.ktoe.CY.Tr.Road.Freight.LCV.ICE.Diesel</t>
  </si>
  <si>
    <t>FEC.ktoe.CY.Tr.Road.Freight.LCV.ICE.Diesel.BioDiesel_OthLiqBio</t>
  </si>
  <si>
    <t>FEC.ktoe.CY.Tr.Road.Freight.LCV.ICE.LPG</t>
  </si>
  <si>
    <t>FEC.ktoe.CY.Tr.Road.Freight.LCV.ICE.NGas</t>
  </si>
  <si>
    <t>FEC.ktoe.CY.Tr.Road.Freight.LCV.ICE.NGas.Biogas</t>
  </si>
  <si>
    <t>FEC.ktoe.CY.Tr.Road.Freight.LCV.ICE.BEV</t>
  </si>
  <si>
    <t>FEC.ktoe.CY.Tr.Road.Freight.HGV.Domestic</t>
  </si>
  <si>
    <t>FEC.ktoe.CY.Tr.Road.Freight.HGV.Domestic.BioDiesel_OthLiqBio</t>
  </si>
  <si>
    <t>FEC.ktoe.CY.Tr.Road.Freight.HGV.International</t>
  </si>
  <si>
    <t>FEC.ktoe.CY.Tr.Road.Freight.HGV.International.BioDiesel_OthLiqBio</t>
  </si>
  <si>
    <t>Eff.kgoe_per_100km.CY.Tr.Road</t>
  </si>
  <si>
    <t>Eff.kgoe_per_100km.CY.Tr.Road.Passenger</t>
  </si>
  <si>
    <t>Eff.kgoe_per_100km.CY.Tr.Road.Passenger.P2W</t>
  </si>
  <si>
    <t>Eff.kgoe_per_100km.CY.Tr.Road.Passenger.Car</t>
  </si>
  <si>
    <t>Eff.kgoe_per_100km.CY.Tr.Road.Passenger.Car.ICE.Gasoline</t>
  </si>
  <si>
    <t>Eff.kgoe_per_100km.CY.Tr.Road.Passenger.Car.ICE.Diesel</t>
  </si>
  <si>
    <t>Eff.kgoe_per_100km.CY.Tr.Road.Passenger.Car.ICE.LPG</t>
  </si>
  <si>
    <t>Eff.kgoe_per_100km.CY.Tr.Road.Passenger.Car.ICE.NGas</t>
  </si>
  <si>
    <t>Eff.kgoe_per_100km.CY.Tr.Road.Passenger.Car.PHEV</t>
  </si>
  <si>
    <t>Eff.kgoe_per_100km.CY.Tr.Road.Passenger.Car.BEV</t>
  </si>
  <si>
    <t>Eff.kgoe_per_100km.CY.Tr.Road.Passenger.Bus</t>
  </si>
  <si>
    <t>Eff.kgoe_per_100km.CY.Tr.Road.Passenger.Bus.ICE.Gasoline</t>
  </si>
  <si>
    <t>Eff.kgoe_per_100km.CY.Tr.Road.Passenger.Bus.ICE.Diesel</t>
  </si>
  <si>
    <t>Eff.kgoe_per_100km.CY.Tr.Road.Passenger.Bus.ICE.LPG</t>
  </si>
  <si>
    <t>Eff.kgoe_per_100km.CY.Tr.Road.Passenger.Bus.ICE.NGas</t>
  </si>
  <si>
    <t>Eff.kgoe_per_100km.CY.Tr.Road.Passenger.Bus.ICE.BEV</t>
  </si>
  <si>
    <t>Eff.kgoe_per_100km.CY.Tr.Road.Freight</t>
  </si>
  <si>
    <t>Eff.kgoe_per_100km.CY.Tr.Road.Freight.LCV</t>
  </si>
  <si>
    <t>Eff.kgoe_per_100km.CY.Tr.Road.Freight.LCV.ICE.Gasoline</t>
  </si>
  <si>
    <t>Eff.kgoe_per_100km.CY.Tr.Road.Freight.LCV.ICE.Diesel</t>
  </si>
  <si>
    <t>Eff.kgoe_per_100km.CY.Tr.Road.Freight.LCV.ICE.LPG</t>
  </si>
  <si>
    <t>Eff.kgoe_per_100km.CY.Tr.Road.Freight.LCV.ICE.NGas</t>
  </si>
  <si>
    <t>Eff.kgoe_per_100km.CY.Tr.Road.Freight.LCV.ICE.BEV</t>
  </si>
  <si>
    <t>Eff.kgoe_per_100km.CY.Tr.Road.Freight.HGV</t>
  </si>
  <si>
    <t>Eff.kgoe_per_100km.CY.Tr.Road.Freight.HGV.Domestic</t>
  </si>
  <si>
    <t>Eff.kgoe_per_100km.CY.Tr.Road.Freight.HGV.International</t>
  </si>
  <si>
    <t>Eff.kgoe_per_kpkm.CY.Tr.Road.Passenger.Car.ICE.Gasoline</t>
  </si>
  <si>
    <t>Eff.kgoe_per_kpkm.CY.Tr.Road.Passenger.Car.ICE.Diesel</t>
  </si>
  <si>
    <t>Eff.kgoe_per_kpkm.CY.Tr.Road.Passenger.Car.ICE.LPG</t>
  </si>
  <si>
    <t>Eff.kgoe_per_kpkm.CY.Tr.Road.Passenger.Car.ICE.NGas</t>
  </si>
  <si>
    <t>Eff.kgoe_per_kpkm.CY.Tr.Road.Passenger.Car.PHEV</t>
  </si>
  <si>
    <t>Eff.kgoe_per_kpkm.CY.Tr.Road.Passenger.Car.BEV</t>
  </si>
  <si>
    <t>Eff.kgoe_per_kpkm.CY.Tr.Road.Passenger.Bus.ICE.Gasoline</t>
  </si>
  <si>
    <t>Eff.kgoe_per_kpkm.CY.Tr.Road.Passenger.Bus.ICE.Diesel</t>
  </si>
  <si>
    <t>Eff.kgoe_per_kpkm.CY.Tr.Road.Passenger.Bus.ICE.LPG</t>
  </si>
  <si>
    <t>Eff.kgoe_per_kpkm.CY.Tr.Road.Passenger.Bus.ICE.NGas</t>
  </si>
  <si>
    <t>Eff.kgoe_per_kpkm.CY.Tr.Road.Passenger.Bus.ICE.BEV</t>
  </si>
  <si>
    <t>Eff.kgoe_per_ktkm.CY.Tr.Road.Freight.LCV.ICE.Gasoline</t>
  </si>
  <si>
    <t>Eff.kgoe_per_ktkm.CY.Tr.Road.Freight.LCV.ICE.Diesel</t>
  </si>
  <si>
    <t>Eff.kgoe_per_ktkm.CY.Tr.Road.Freight.LCV.ICE.LPG</t>
  </si>
  <si>
    <t>Eff.kgoe_per_ktkm.CY.Tr.Road.Freight.LCV.ICE.NGas</t>
  </si>
  <si>
    <t>Eff.kgoe_per_ktkm.CY.Tr.Road.Freight.LCV.ICE.BEV</t>
  </si>
  <si>
    <t>Eff.kgoe_per_ktkm.CY.Tr.Road.Freight.HGV.Domestic</t>
  </si>
  <si>
    <t>Eff.kgoe_per_ktkm.CY.Tr.Road.Freight.HGV.International</t>
  </si>
  <si>
    <t>FEC_per_vehicle.kgoe.CY.Tr.Road.Passenger.P2W</t>
  </si>
  <si>
    <t>FEC_per_vehicle.kgoe.CY.Tr.Road.Passenger.Car</t>
  </si>
  <si>
    <t>FEC_per_vehicle.kgoe.CY.Tr.Road.Passenger.Car.ICE.Gasoline</t>
  </si>
  <si>
    <t>FEC_per_vehicle.kgoe.CY.Tr.Road.Passenger.Car.ICE.Diesel</t>
  </si>
  <si>
    <t>FEC_per_vehicle.kgoe.CY.Tr.Road.Passenger.Car.ICE.LPG</t>
  </si>
  <si>
    <t>FEC_per_vehicle.kgoe.CY.Tr.Road.Passenger.Car.ICE.NGas</t>
  </si>
  <si>
    <t>FEC_per_vehicle.kgoe.CY.Tr.Road.Passenger.Car.PHEV</t>
  </si>
  <si>
    <t>FEC_per_vehicle.kgoe.CY.Tr.Road.Passenger.Car.BEV</t>
  </si>
  <si>
    <t>FEC_per_vehicle.kgoe.CY.Tr.Road.Passenger.Bus</t>
  </si>
  <si>
    <t>FEC_per_vehicle.kgoe.CY.Tr.Road.Passenger.Bus.ICE.Gasoline</t>
  </si>
  <si>
    <t>FEC_per_vehicle.kgoe.CY.Tr.Road.Passenger.Bus.ICE.Diesel</t>
  </si>
  <si>
    <t>FEC_per_vehicle.kgoe.CY.Tr.Road.Passenger.Bus.ICE.LPG</t>
  </si>
  <si>
    <t>FEC_per_vehicle.kgoe.CY.Tr.Road.Passenger.Bus.ICE.NGas</t>
  </si>
  <si>
    <t>FEC_per_vehicle.kgoe.CY.Tr.Road.Passenger.Bus.ICE.BEV</t>
  </si>
  <si>
    <t>FEC_per_vehicle.kgoe.CY.Tr.Road.Freight.LCV</t>
  </si>
  <si>
    <t>FEC_per_vehicle.kgoe.CY.Tr.Road.Freight.LCV.ICE.Gasoline</t>
  </si>
  <si>
    <t>FEC_per_vehicle.kgoe.CY.Tr.Road.Freight.LCV.ICE.Diesel</t>
  </si>
  <si>
    <t>FEC_per_vehicle.kgoe.CY.Tr.Road.Freight.LCV.ICE.LPG</t>
  </si>
  <si>
    <t>FEC_per_vehicle.kgoe.CY.Tr.Road.Freight.LCV.ICE.NGas</t>
  </si>
  <si>
    <t>FEC_per_vehicle.kgoe.CY.Tr.Road.Freight.LCV.ICE.BEV</t>
  </si>
  <si>
    <t>FEC_per_vehicle.kgoe.CY.Tr.Road.Freight.HGV</t>
  </si>
  <si>
    <t>FEC_per_vehicle.kgoe.CY.Tr.Road.Freight.HGV.Domestic</t>
  </si>
  <si>
    <t>FEC_per_vehicle.kgoe.CY.Tr.Road.Freight.HGV.International</t>
  </si>
  <si>
    <t>Road transport / CO2 emissions - CY - Cyprus</t>
  </si>
  <si>
    <t>EMI.ktCO2.CY.ES.Tr.Road</t>
  </si>
  <si>
    <t>EMI.ktCO2.CY.ES.Tr.Road.LPG</t>
  </si>
  <si>
    <t>EMI.ktCO2.CY.ES.Tr.Road.Gasoline</t>
  </si>
  <si>
    <t>EMI.ktCO2.CY.ES.Tr.Road.Diesel</t>
  </si>
  <si>
    <t>EMI.ktCO2.CY.ES.Tr.Road.NG</t>
  </si>
  <si>
    <t>EMI.ktCO2.CY.ES.Tr.Road.Biogas</t>
  </si>
  <si>
    <t>EMI.ktCO2.CY.ES.Tr.Road.Biogasoline</t>
  </si>
  <si>
    <t>EMI.ktCO2.CY.ES.Tr.Road.Biodiesel</t>
  </si>
  <si>
    <t>EMI.ktCO2.CY.ES.Tr.Road.OthLiqBio</t>
  </si>
  <si>
    <t>EMI.ktCO2.CY.ES.Tr.Road.Elec</t>
  </si>
  <si>
    <t>EMI.ktCO2.CY.Tr.Road</t>
  </si>
  <si>
    <t>EMI.ktCO2.CY.Tr.Road.Passenger.Car.ICE.Gasoline</t>
  </si>
  <si>
    <t>EMI.ktCO2.CY.Tr.Road.Passenger.Car.ICE.Diesel</t>
  </si>
  <si>
    <t>EMI.ktCO2.CY.Tr.Road.Passenger.Car.ICE.LPG</t>
  </si>
  <si>
    <t>EMI.ktCO2.CY.Tr.Road.Passenger.Car.ICE.NGas</t>
  </si>
  <si>
    <t>EMI.ktCO2.CY.Tr.Road.Passenger.Car.PHEV</t>
  </si>
  <si>
    <t>EMI.ktCO2.CY.Tr.Road.Passenger.Car.BEV</t>
  </si>
  <si>
    <t>EMI.ktCO2.CY.Tr.Road.Passenger.Bus.ICE.Gasoline</t>
  </si>
  <si>
    <t>EMI.ktCO2.CY.Tr.Road.Passenger.Bus.ICE.Diesel</t>
  </si>
  <si>
    <t>EMI.ktCO2.CY.Tr.Road.Passenger.Bus.ICE.LPG</t>
  </si>
  <si>
    <t>EMI.ktCO2.CY.Tr.Road.Passenger.Bus.ICE.NGas</t>
  </si>
  <si>
    <t>EMI.ktCO2.CY.Tr.Road.Passenger.Bus.ICE.BEV</t>
  </si>
  <si>
    <t>EMI.ktCO2.CY.Tr.Road.Freight.LCV.ICE.Gasoline</t>
  </si>
  <si>
    <t>EMI.ktCO2.CY.Tr.Road.Freight.LCV.ICE.Diesel</t>
  </si>
  <si>
    <t>EMI.ktCO2.CY.Tr.Road.Freight.LCV.ICE.LPG</t>
  </si>
  <si>
    <t>EMI.ktCO2.CY.Tr.Road.Freight.LCV.ICE.NGas</t>
  </si>
  <si>
    <t>EMI.ktCO2.CY.Tr.Road.Freight.LCV.ICE.BEV</t>
  </si>
  <si>
    <t>EMI.ktCO2.CY.Tr.Road.Freight.HGV.Domestic</t>
  </si>
  <si>
    <t>EMI.ktCO2.CY.Tr.Road.Freight.HGV.International</t>
  </si>
  <si>
    <t>EMIint.gCO2_per_km.CY.Tr.Road</t>
  </si>
  <si>
    <t>EMIint.gCO2_per_km.CY.Tr.Road.Passenger</t>
  </si>
  <si>
    <t>EMIint.gCO2_per_km.CY.Tr.Road.Passenger.P2W</t>
  </si>
  <si>
    <t>EMIint.gCO2_per_km.CY.Tr.Road.Passenger.Car</t>
  </si>
  <si>
    <t>EMIint.gCO2_per_km.CY.Tr.Road.Passenger.Car.ICE.Gasoline</t>
  </si>
  <si>
    <t>EMIint.gCO2_per_km.CY.Tr.Road.Passenger.Car.ICE.Diesel</t>
  </si>
  <si>
    <t>EMIint.gCO2_per_km.CY.Tr.Road.Passenger.Car.ICE.LPG</t>
  </si>
  <si>
    <t>EMIint.gCO2_per_km.CY.Tr.Road.Passenger.Car.ICE.NGas</t>
  </si>
  <si>
    <t>EMIint.gCO2_per_km.CY.Tr.Road.Passenger.Car.PHEV</t>
  </si>
  <si>
    <t>EMIint.gCO2_per_km.CY.Tr.Road.Passenger.Car.BEV</t>
  </si>
  <si>
    <t>EMIint.gCO2_per_km.CY.Tr.Road.Passenger.Bus</t>
  </si>
  <si>
    <t>EMIint.gCO2_per_km.CY.Tr.Road.Passenger.Bus.ICE.Gasoline</t>
  </si>
  <si>
    <t>EMIint.gCO2_per_km.CY.Tr.Road.Passenger.Bus.ICE.Diesel</t>
  </si>
  <si>
    <t>EMIint.gCO2_per_km.CY.Tr.Road.Passenger.Bus.ICE.LPG</t>
  </si>
  <si>
    <t>EMIint.gCO2_per_km.CY.Tr.Road.Passenger.Bus.ICE.NGas</t>
  </si>
  <si>
    <t>EMIint.gCO2_per_km.CY.Tr.Road.Passenger.Bus.ICE.BEV</t>
  </si>
  <si>
    <t>EMIint.gCO2_per_km.CY.Tr.Road.Freight</t>
  </si>
  <si>
    <t>EMIint.gCO2_per_km.CY.Tr.Road.Freight.LCV</t>
  </si>
  <si>
    <t>EMIint.gCO2_per_km.CY.Tr.Road.Freight.LCV.ICE.Gasoline</t>
  </si>
  <si>
    <t>EMIint.gCO2_per_km.CY.Tr.Road.Freight.LCV.ICE.Diesel</t>
  </si>
  <si>
    <t>EMIint.gCO2_per_km.CY.Tr.Road.Freight.LCV.ICE.LPG</t>
  </si>
  <si>
    <t>EMIint.gCO2_per_km.CY.Tr.Road.Freight.LCV.ICE.NGas</t>
  </si>
  <si>
    <t>EMIint.gCO2_per_km.CY.Tr.Road.Freight.LCV.ICE.BEV</t>
  </si>
  <si>
    <t>EMIint.gCO2_per_km.CY.Tr.Road.Freight.HGV</t>
  </si>
  <si>
    <t>EMIint.gCO2_per_km.CY.Tr.Road.Freight.HGV.Domestic</t>
  </si>
  <si>
    <t>EMIint.gCO2_per_km.CY.Tr.Road.Freight.HGV.International</t>
  </si>
  <si>
    <t>EMIint.gCO2_per_pkm.CY.Tr.Road.Passenger.Car.ICE.Gasoline</t>
  </si>
  <si>
    <t>EMIint.gCO2_per_pkm.CY.Tr.Road.Passenger.Car.ICE.Diesel</t>
  </si>
  <si>
    <t>EMIint.gCO2_per_pkm.CY.Tr.Road.Passenger.Car.ICE.LPG</t>
  </si>
  <si>
    <t>EMIint.gCO2_per_pkm.CY.Tr.Road.Passenger.Car.ICE.NGas</t>
  </si>
  <si>
    <t>EMIint.gCO2_per_pkm.CY.Tr.Road.Passenger.Car.PHEV</t>
  </si>
  <si>
    <t>EMIint.gCO2_per_pkm.CY.Tr.Road.Passenger.Car.BEV</t>
  </si>
  <si>
    <t>EMIint.gCO2_per_pkm.CY.Tr.Road.Passenger.Bus.ICE.Gasoline</t>
  </si>
  <si>
    <t>EMIint.gCO2_per_pkm.CY.Tr.Road.Passenger.Bus.ICE.Diesel</t>
  </si>
  <si>
    <t>EMIint.gCO2_per_pkm.CY.Tr.Road.Passenger.Bus.ICE.LPG</t>
  </si>
  <si>
    <t>EMIint.gCO2_per_pkm.CY.Tr.Road.Passenger.Bus.ICE.NGas</t>
  </si>
  <si>
    <t>EMIint.gCO2_per_pkm.CY.Tr.Road.Passenger.Bus.ICE.BEV</t>
  </si>
  <si>
    <t>EMIint.gCO2_per_tkm.CY.Tr.Road.Freight.LCV.ICE.Gasoline</t>
  </si>
  <si>
    <t>EMIint.gCO2_per_tkm.CY.Tr.Road.Freight.LCV.ICE.Diesel</t>
  </si>
  <si>
    <t>EMIint.gCO2_per_tkm.CY.Tr.Road.Freight.LCV.ICE.LPG</t>
  </si>
  <si>
    <t>EMIint.gCO2_per_tkm.CY.Tr.Road.Freight.LCV.ICE.NGas</t>
  </si>
  <si>
    <t>EMIint.gCO2_per_tkm.CY.Tr.Road.Freight.LCV.ICE.BEV</t>
  </si>
  <si>
    <t>EMIint.gCO2_per_tkm.CY.Tr.Road.Freight.HGV.Domestic</t>
  </si>
  <si>
    <t>EMIint.gCO2_per_tkm.CY.Tr.Road.Freight.HGV.International</t>
  </si>
  <si>
    <t>EMI_per_vehicle.kgCO2.CY.Tr.Road.Passenger.P2W</t>
  </si>
  <si>
    <t>EMI_per_vehicle.kgCO2.CY.Tr.Road.Passenger.Car</t>
  </si>
  <si>
    <t>EMI_per_vehicle.kgCO2.CY.Tr.Road.Passenger.Car.ICE.Gasoline</t>
  </si>
  <si>
    <t>EMI_per_vehicle.kgCO2.CY.Tr.Road.Passenger.Car.ICE.Diesel</t>
  </si>
  <si>
    <t>EMI_per_vehicle.kgCO2.CY.Tr.Road.Passenger.Car.ICE.LPG</t>
  </si>
  <si>
    <t>EMI_per_vehicle.kgCO2.CY.Tr.Road.Passenger.Car.ICE.NGas</t>
  </si>
  <si>
    <t>EMI_per_vehicle.kgCO2.CY.Tr.Road.Passenger.Car.PHEV</t>
  </si>
  <si>
    <t>EMI_per_vehicle.kgCO2.CY.Tr.Road.Passenger.Car.BEV</t>
  </si>
  <si>
    <t>EMI_per_vehicle.kgCO2.CY.Tr.Road.Passenger.Bus</t>
  </si>
  <si>
    <t>EMI_per_vehicle.kgCO2.CY.Tr.Road.Passenger.Bus.ICE.Gasoline</t>
  </si>
  <si>
    <t>EMI_per_vehicle.kgCO2.CY.Tr.Road.Passenger.Bus.ICE.Diesel</t>
  </si>
  <si>
    <t>EMI_per_vehicle.kgCO2.CY.Tr.Road.Passenger.Bus.ICE.LPG</t>
  </si>
  <si>
    <t>EMI_per_vehicle.kgCO2.CY.Tr.Road.Passenger.Bus.ICE.NGas</t>
  </si>
  <si>
    <t>EMI_per_vehicle.kgCO2.CY.Tr.Road.Passenger.Bus.ICE.BEV</t>
  </si>
  <si>
    <t>EMI_per_vehicle.kgCO2.CY.Tr.Road.Freight.LCV</t>
  </si>
  <si>
    <t>EMI_per_vehicle.kgCO2.CY.Tr.Road.Freight.LCV.ICE.Gasoline</t>
  </si>
  <si>
    <t>EMI_per_vehicle.kgCO2.CY.Tr.Road.Freight.LCV.ICE.Diesel</t>
  </si>
  <si>
    <t>EMI_per_vehicle.kgCO2.CY.Tr.Road.Freight.LCV.ICE.LPG</t>
  </si>
  <si>
    <t>EMI_per_vehicle.kgCO2.CY.Tr.Road.Freight.LCV.ICE.NGas</t>
  </si>
  <si>
    <t>EMI_per_vehicle.kgCO2.CY.Tr.Road.Freight.LCV.ICE.BEV</t>
  </si>
  <si>
    <t>EMI_per_vehicle.kgCO2.CY.Tr.Road.Freight.HGV</t>
  </si>
  <si>
    <t>EMI_per_vehicle.kgCO2.CY.Tr.Road.Freight.HGV.Domestic</t>
  </si>
  <si>
    <t>EMI_per_vehicle.kgCO2.CY.Tr.Road.Freight.HGV.International</t>
  </si>
  <si>
    <t>Road transport / technologies - CY - Cyprus</t>
  </si>
  <si>
    <t>StockVin.number.CY.Tr.Road</t>
  </si>
  <si>
    <t>StockVin.number.CY.Tr.Road.Passenger</t>
  </si>
  <si>
    <t>StockVin.number.CY.Tr.Road.Passenger.P2W</t>
  </si>
  <si>
    <t>StockVin.number.CY.Tr.Road.Passenger.Car</t>
  </si>
  <si>
    <t>StockVin.number.CY.Tr.Road.Passenger.Car.ICE.Gasoline</t>
  </si>
  <si>
    <t>StockVin.number.CY.Tr.Road.Passenger.Car.ICE.Diesel</t>
  </si>
  <si>
    <t>StockVin.number.CY.Tr.Road.Passenger.Car.ICE.LPG</t>
  </si>
  <si>
    <t>StockVin.number.CY.Tr.Road.Passenger.Car.ICE.NGas</t>
  </si>
  <si>
    <t>StockVin.number.CY.Tr.Road.Passenger.Car.PHEV</t>
  </si>
  <si>
    <t>StockVin.number.CY.Tr.Road.Passenger.Car.BEV</t>
  </si>
  <si>
    <t>StockVin.number.CY.Tr.Road.Passenger.Bus</t>
  </si>
  <si>
    <t>StockVin.number.CY.Tr.Road.Passenger.Bus.ICE.Gasoline</t>
  </si>
  <si>
    <t>StockVin.number.CY.Tr.Road.Passenger.Bus.ICE.Diesel</t>
  </si>
  <si>
    <t>StockVin.number.CY.Tr.Road.Passenger.Bus.ICE.LPG</t>
  </si>
  <si>
    <t>StockVin.number.CY.Tr.Road.Passenger.Bus.ICE.NGas</t>
  </si>
  <si>
    <t>StockVin.number.CY.Tr.Road.Passenger.Bus.ICE.BEV</t>
  </si>
  <si>
    <t>StockVin.number.CY.Tr.Road.Freight</t>
  </si>
  <si>
    <t>StockVin.number.CY.Tr.Road.Freight.LCV</t>
  </si>
  <si>
    <t>StockVin.number.CY.Tr.Road.Freight.LCV.ICE.Gasoline</t>
  </si>
  <si>
    <t>StockVin.number.CY.Tr.Road.Freight.LCV.ICE.Diesel</t>
  </si>
  <si>
    <t>StockVin.number.CY.Tr.Road.Freight.LCV.ICE.LPG</t>
  </si>
  <si>
    <t>StockVin.number.CY.Tr.Road.Freight.LCV.ICE.NGas</t>
  </si>
  <si>
    <t>StockVin.number.CY.Tr.Road.Freight.LCV.ICE.BEV</t>
  </si>
  <si>
    <t>StockVin.number.CY.Tr.Road.Freight.HGV</t>
  </si>
  <si>
    <t>StockVin.number.CY.Tr.Road.Freight.HGV.Domestic</t>
  </si>
  <si>
    <t>StockVin.number.CY.Tr.Road.Freight.HGV.International</t>
  </si>
  <si>
    <t>Eff_test_stock.kgoe_per_100km.CY.Tr.Road.Passenger.P2W</t>
  </si>
  <si>
    <t>Eff_test_stock.kgoe_per_100km.CY.Tr.Road.Passenger.Car</t>
  </si>
  <si>
    <t>Eff_test_stock.kgoe_per_100km.CY.Tr.Road.Passenger.Car.ICE.Gasoline</t>
  </si>
  <si>
    <t>Eff_test_stock.kgoe_per_100km.CY.Tr.Road.Passenger.Car.ICE.Diesel</t>
  </si>
  <si>
    <t>Eff_test_stock.kgoe_per_100km.CY.Tr.Road.Passenger.Car.ICE.LPG</t>
  </si>
  <si>
    <t>Eff_test_stock.kgoe_per_100km.CY.Tr.Road.Passenger.Car.ICE.NGas</t>
  </si>
  <si>
    <t>Eff_test_stock.kgoe_per_100km.CY.Tr.Road.Passenger.Car.PHEV</t>
  </si>
  <si>
    <t>Eff_test_stock.kgoe_per_100km.CY.Tr.Road.Passenger.Car.BEV</t>
  </si>
  <si>
    <t>Eff_test_stock.kgoe_per_100km.CY.Tr.Road.Passenger.Bus</t>
  </si>
  <si>
    <t>Eff_test_stock.kgoe_per_100km.CY.Tr.Road.Passenger.Bus.ICE.Gasoline</t>
  </si>
  <si>
    <t>Eff_test_stock.kgoe_per_100km.CY.Tr.Road.Passenger.Bus.ICE.Diesel</t>
  </si>
  <si>
    <t>Eff_test_stock.kgoe_per_100km.CY.Tr.Road.Passenger.Bus.ICE.LPG</t>
  </si>
  <si>
    <t>Eff_test_stock.kgoe_per_100km.CY.Tr.Road.Passenger.Bus.ICE.NGas</t>
  </si>
  <si>
    <t>Eff_test_stock.kgoe_per_100km.CY.Tr.Road.Passenger.Bus.ICE.BEV</t>
  </si>
  <si>
    <t>Eff_test_stock.kgoe_per_100km.CY.Tr.Road.Freight.LCV</t>
  </si>
  <si>
    <t>Eff_test_stock.kgoe_per_100km.CY.Tr.Road.Freight.LCV.ICE.Gasoline</t>
  </si>
  <si>
    <t>Eff_test_stock.kgoe_per_100km.CY.Tr.Road.Freight.LCV.ICE.Diesel</t>
  </si>
  <si>
    <t>Eff_test_stock.kgoe_per_100km.CY.Tr.Road.Freight.LCV.ICE.LPG</t>
  </si>
  <si>
    <t>Eff_test_stock.kgoe_per_100km.CY.Tr.Road.Freight.LCV.ICE.NGas</t>
  </si>
  <si>
    <t>Eff_test_stock.kgoe_per_100km.CY.Tr.Road.Freight.LCV.ICE.BEV</t>
  </si>
  <si>
    <t>Eff_test_stock.kgoe_per_100km.CY.Tr.Road.Freight.HGV</t>
  </si>
  <si>
    <t>Eff_test_stock.kgoe_per_100km.CY.Tr.Road.Freight.HGV.Domestic</t>
  </si>
  <si>
    <t>Eff_test_stock.kgoe_per_100km.CY.Tr.Road.Freight.HGV.International</t>
  </si>
  <si>
    <t>Eff_test_new.kgoe_per_100km.CY.Tr.Road.Passenger.P2W</t>
  </si>
  <si>
    <t>Eff_test_new.kgoe_per_100km.CY.Tr.Road.Passenger.Car</t>
  </si>
  <si>
    <t>Eff_test_new.kgoe_per_100km.CY.Tr.Road.Passenger.Car.ICE.Gasoline</t>
  </si>
  <si>
    <t>Eff_test_new.kgoe_per_100km.CY.Tr.Road.Passenger.Car.ICE.Diesel</t>
  </si>
  <si>
    <t>Eff_test_new.kgoe_per_100km.CY.Tr.Road.Passenger.Car.ICE.LPG</t>
  </si>
  <si>
    <t>Eff_test_new.kgoe_per_100km.CY.Tr.Road.Passenger.Car.ICE.NGas</t>
  </si>
  <si>
    <t>Eff_test_new.kgoe_per_100km.CY.Tr.Road.Passenger.Car.PHEV</t>
  </si>
  <si>
    <t>Eff_test_new.kgoe_per_100km.CY.Tr.Road.Passenger.Car.BEV</t>
  </si>
  <si>
    <t>Eff_test_new.kgoe_per_100km.CY.Tr.Road.Passenger.Bus</t>
  </si>
  <si>
    <t>Eff_test_new.kgoe_per_100km.CY.Tr.Road.Passenger.Bus.ICE.Gasoline</t>
  </si>
  <si>
    <t>Eff_test_new.kgoe_per_100km.CY.Tr.Road.Passenger.Bus.ICE.Diesel</t>
  </si>
  <si>
    <t>Eff_test_new.kgoe_per_100km.CY.Tr.Road.Passenger.Bus.ICE.LPG</t>
  </si>
  <si>
    <t>Eff_test_new.kgoe_per_100km.CY.Tr.Road.Passenger.Bus.ICE.NGas</t>
  </si>
  <si>
    <t>Eff_test_new.kgoe_per_100km.CY.Tr.Road.Passenger.Bus.ICE.BEV</t>
  </si>
  <si>
    <t>Eff_test_new.kgoe_per_100km.CY.Tr.Road.Freight.LCV</t>
  </si>
  <si>
    <t>Eff_test_new.kgoe_per_100km.CY.Tr.Road.Freight.LCV.ICE.Gasoline</t>
  </si>
  <si>
    <t>Eff_test_new.kgoe_per_100km.CY.Tr.Road.Freight.LCV.ICE.Diesel</t>
  </si>
  <si>
    <t>Eff_test_new.kgoe_per_100km.CY.Tr.Road.Freight.LCV.ICE.LPG</t>
  </si>
  <si>
    <t>Eff_test_new.kgoe_per_100km.CY.Tr.Road.Freight.LCV.ICE.NGas</t>
  </si>
  <si>
    <t>Eff_test_new.kgoe_per_100km.CY.Tr.Road.Freight.LCV.ICE.BEV</t>
  </si>
  <si>
    <t>Eff_test_new.kgoe_per_100km.CY.Tr.Road.Freight.HGV</t>
  </si>
  <si>
    <t>Eff_test_new.kgoe_per_100km.CY.Tr.Road.Freight.HGV.Domestic</t>
  </si>
  <si>
    <t>Eff_test_new.kgoe_per_100km.CY.Tr.Road.Freight.HGV.International</t>
  </si>
  <si>
    <t>EMIint_test_stock.gCO2_per_km.CY.Tr.Road.Passenger.P2W</t>
  </si>
  <si>
    <t>EMIint_test_stock.gCO2_per_km.CY.Tr.Road.Passenger.Car</t>
  </si>
  <si>
    <t>EMIint_test_stock.gCO2_per_km.CY.Tr.Road.Passenger.Car.ICE.Gasoline</t>
  </si>
  <si>
    <t>EMIint_test_stock.gCO2_per_km.CY.Tr.Road.Passenger.Car.ICE.Diesel</t>
  </si>
  <si>
    <t>EMIint_test_stock.gCO2_per_km.CY.Tr.Road.Passenger.Car.ICE.LPG</t>
  </si>
  <si>
    <t>EMIint_test_stock.gCO2_per_km.CY.Tr.Road.Passenger.Car.ICE.NGas</t>
  </si>
  <si>
    <t>EMIint_test_stock.gCO2_per_km.CY.Tr.Road.Passenger.Car.PHEV</t>
  </si>
  <si>
    <t>EMIint_test_stock.gCO2_per_km.CY.Tr.Road.Passenger.Car.BEV</t>
  </si>
  <si>
    <t>EMIint_test_stock.gCO2_per_km.CY.Tr.Road.Passenger.Bus</t>
  </si>
  <si>
    <t>EMIint_test_stock.gCO2_per_km.CY.Tr.Road.Passenger.Bus.ICE.Gasoline</t>
  </si>
  <si>
    <t>EMIint_test_stock.gCO2_per_km.CY.Tr.Road.Passenger.Bus.ICE.Diesel</t>
  </si>
  <si>
    <t>EMIint_test_stock.gCO2_per_km.CY.Tr.Road.Passenger.Bus.ICE.LPG</t>
  </si>
  <si>
    <t>EMIint_test_stock.gCO2_per_km.CY.Tr.Road.Passenger.Bus.ICE.NGas</t>
  </si>
  <si>
    <t>EMIint_test_stock.gCO2_per_km.CY.Tr.Road.Passenger.Bus.ICE.BEV</t>
  </si>
  <si>
    <t>EMIint_test_stock.gCO2_per_km.CY.Tr.Road.Freight.LCV</t>
  </si>
  <si>
    <t>EMIint_test_stock.gCO2_per_km.CY.Tr.Road.Freight.LCV.ICE.Gasoline</t>
  </si>
  <si>
    <t>EMIint_test_stock.gCO2_per_km.CY.Tr.Road.Freight.LCV.ICE.Diesel</t>
  </si>
  <si>
    <t>EMIint_test_stock.gCO2_per_km.CY.Tr.Road.Freight.LCV.ICE.LPG</t>
  </si>
  <si>
    <t>EMIint_test_stock.gCO2_per_km.CY.Tr.Road.Freight.LCV.ICE.NGas</t>
  </si>
  <si>
    <t>EMIint_test_stock.gCO2_per_km.CY.Tr.Road.Freight.LCV.ICE.BEV</t>
  </si>
  <si>
    <t>EMIint_test_stock.gCO2_per_km.CY.Tr.Road.Freight.HGV</t>
  </si>
  <si>
    <t>EMIint_test_stock.gCO2_per_km.CY.Tr.Road.Freight.HGV.Domestic</t>
  </si>
  <si>
    <t>EMIint_test_stock.gCO2_per_km.CY.Tr.Road.Freight.HGV.International</t>
  </si>
  <si>
    <t>EMIint_test_new.gCO2_per_km.CY.Tr.Road.Passenger.P2W</t>
  </si>
  <si>
    <t>EMIint_test_new.gCO2_per_km.CY.Tr.Road.Passenger.Car</t>
  </si>
  <si>
    <t>EMIint_test_new.gCO2_per_km.CY.Tr.Road.Passenger.Car.ICE.Gasoline</t>
  </si>
  <si>
    <t>EMIint_test_new.gCO2_per_km.CY.Tr.Road.Passenger.Car.ICE.Diesel</t>
  </si>
  <si>
    <t>EMIint_test_new.gCO2_per_km.CY.Tr.Road.Passenger.Car.ICE.LPG</t>
  </si>
  <si>
    <t>EMIint_test_new.gCO2_per_km.CY.Tr.Road.Passenger.Car.ICE.NGas</t>
  </si>
  <si>
    <t>EMIint_test_new.gCO2_per_km.CY.Tr.Road.Passenger.Car.PHEV</t>
  </si>
  <si>
    <t>EMIint_test_new.gCO2_per_km.CY.Tr.Road.Passenger.Car.BEV</t>
  </si>
  <si>
    <t>EMIint_test_new.gCO2_per_km.CY.Tr.Road.Passenger.Bus</t>
  </si>
  <si>
    <t>EMIint_test_new.gCO2_per_km.CY.Tr.Road.Passenger.Bus.ICE.Gasoline</t>
  </si>
  <si>
    <t>EMIint_test_new.gCO2_per_km.CY.Tr.Road.Passenger.Bus.ICE.Diesel</t>
  </si>
  <si>
    <t>EMIint_test_new.gCO2_per_km.CY.Tr.Road.Passenger.Bus.ICE.LPG</t>
  </si>
  <si>
    <t>EMIint_test_new.gCO2_per_km.CY.Tr.Road.Passenger.Bus.ICE.NGas</t>
  </si>
  <si>
    <t>EMIint_test_new.gCO2_per_km.CY.Tr.Road.Passenger.Bus.ICE.BEV</t>
  </si>
  <si>
    <t>EMIint_test_new.gCO2_per_km.CY.Tr.Road.Freight.LCV</t>
  </si>
  <si>
    <t>EMIint_test_new.gCO2_per_km.CY.Tr.Road.Freight.LCV.ICE.Gasoline</t>
  </si>
  <si>
    <t>EMIint_test_new.gCO2_per_km.CY.Tr.Road.Freight.LCV.ICE.Diesel</t>
  </si>
  <si>
    <t>EMIint_test_new.gCO2_per_km.CY.Tr.Road.Freight.LCV.ICE.LPG</t>
  </si>
  <si>
    <t>EMIint_test_new.gCO2_per_km.CY.Tr.Road.Freight.LCV.ICE.NGas</t>
  </si>
  <si>
    <t>EMIint_test_new.gCO2_per_km.CY.Tr.Road.Freight.LCV.ICE.BEV</t>
  </si>
  <si>
    <t>EMIint_test_new.gCO2_per_km.CY.Tr.Road.Freight.HGV</t>
  </si>
  <si>
    <t>EMIint_test_new.gCO2_per_km.CY.Tr.Road.Freight.HGV.Domestic</t>
  </si>
  <si>
    <t>EMIint_test_new.gCO2_per_km.CY.Tr.Road.Freight.HGV.International</t>
  </si>
  <si>
    <t>FEC.ktoe.CY.MBunk</t>
  </si>
  <si>
    <t>FEC.ktoe.CY.MBunk.IntraEEA</t>
  </si>
  <si>
    <t>FEC.ktoe.CY.MBunk.ExtraEEA</t>
  </si>
  <si>
    <t>EMI.ktCO2.CY.MBunk</t>
  </si>
  <si>
    <t>EMI.ktCO2.CY.MBunk.IntraEEA</t>
  </si>
  <si>
    <t>EMI.ktCO2.CY.MBunk.ExtraEEA</t>
  </si>
  <si>
    <t>International maritime bunkers - CY - Cyprus</t>
  </si>
  <si>
    <t>VehicleKm.Mkm.CY.MBunk.Freight</t>
  </si>
  <si>
    <t>VehicleKm.Mkm.CY.MBunk.Freight.IntraEEA</t>
  </si>
  <si>
    <t>VehicleKm.Mkm.CY.MBunk.Freight.ExtraEEA</t>
  </si>
  <si>
    <t>Load.t_per_movement.CY.MBunk.Freight</t>
  </si>
  <si>
    <t>Load.t_per_movement.CY.MBunk.Freight.IntraEEA</t>
  </si>
  <si>
    <t>Load.t_per_movement.CY.MBunk.Freight.ExtraEEA</t>
  </si>
  <si>
    <t>International maritime bunkers / energy consumption - CY - Cyprus</t>
  </si>
  <si>
    <t>FEC.ktoe.CY.ES.MBunk</t>
  </si>
  <si>
    <t>FEC.ktoe.CY.ES.MBunk.IntraEEA</t>
  </si>
  <si>
    <t>FEC.ktoe.CY.ES.MBunk.IntraEEA.Diesel</t>
  </si>
  <si>
    <t>FEC.ktoe.CY.ES.MBunk.IntraEEA.RFO_Other</t>
  </si>
  <si>
    <t>FEC.ktoe.CY.ES.MBunk.IntraEEA.LiqBio</t>
  </si>
  <si>
    <t>FEC.ktoe.CY.ES.MBunk.IntraEEA.NG</t>
  </si>
  <si>
    <t>FEC.ktoe.CY.ES.MBunk.IntraEEA.Biogas</t>
  </si>
  <si>
    <t>FEC.ktoe.CY.ES.MBunk.ExtraEEA</t>
  </si>
  <si>
    <t>FEC.ktoe.CY.ES.MBunk.ExtraEEA.Diesel</t>
  </si>
  <si>
    <t>FEC.ktoe.CY.ES.MBunk.ExtraEEA.RFO_Other</t>
  </si>
  <si>
    <t>FEC.ktoe.CY.ES.MBunk.ExtraEEA.LiqBio</t>
  </si>
  <si>
    <t>FEC.ktoe.CY.ES.MBunk.ExtraEEA.NG</t>
  </si>
  <si>
    <t>FEC.ktoe.CY.ES.MBunk.ExtraEEA.Biogas</t>
  </si>
  <si>
    <t>Eff.kgoe_per_100km.CY.MBunk.Freight</t>
  </si>
  <si>
    <t>Eff.kgoe_per_100km.CY.MBunk.Freight.IntraEEA</t>
  </si>
  <si>
    <t>Eff.kgoe_per_100km.CY.MBunk.Freight.ExtraEEA</t>
  </si>
  <si>
    <t>International maritime bunkers / CO2 emissions - CY - Cyprus</t>
  </si>
  <si>
    <t>EMI.ktCO2.CY.ES.MBunk</t>
  </si>
  <si>
    <t>EMI.ktCO2.CY.ES.MBunk.IntraEEA</t>
  </si>
  <si>
    <t>EMI.ktCO2.CY.ES.MBunk.ExtraEEA</t>
  </si>
  <si>
    <t>EMIint.gCO2_per_km.CY.MBunk.Freight</t>
  </si>
  <si>
    <t>EMIint.gCO2_per_km.CY.MBunk.Freight.IntraEEA</t>
  </si>
  <si>
    <t>EMIint.gCO2_per_km.CY.MBunk.Freight.ExtraEEA</t>
  </si>
  <si>
    <t>FEC.ktoe.CY.Tr.DNavi</t>
  </si>
  <si>
    <t>FEC.ktoe.CY.Tr.Dnavi.DCS</t>
  </si>
  <si>
    <t>FEC.ktoe.CY.Tr.Dnavi.IWW</t>
  </si>
  <si>
    <t>EMI.ktCO2.CY.Tr.DNavi</t>
  </si>
  <si>
    <t>EMI.ktCO2.CY.Tr.Dnavi.DCS</t>
  </si>
  <si>
    <t>EMI.ktCO2.CY.Tr.Dnavi.IWW</t>
  </si>
  <si>
    <t>Domestic navigation - CY - Cyprus</t>
  </si>
  <si>
    <t>VehicleKm.Mkm.CY.Tr.DNavi.Freight</t>
  </si>
  <si>
    <t>VehicleKm.Mkm.CY.Tr.DNavi.Freight.DCS</t>
  </si>
  <si>
    <t>VehicleKm.Mkm.CY.Tr.DNavi.Freight.IWW</t>
  </si>
  <si>
    <t>Load.t_per_movement.CY.Tr.DNavi.Freight</t>
  </si>
  <si>
    <t>Load.t_per_movement.CY.Tr.DNavi.Freight.DCS</t>
  </si>
  <si>
    <t>Load.t_per_movement.CY.Tr.DNavi.Freight.IWW</t>
  </si>
  <si>
    <t>Domestic navigation / energy consumption - CY - Cyprus</t>
  </si>
  <si>
    <t>FEC.ktoe.CY.ES.Tr.DNavi</t>
  </si>
  <si>
    <t>FEC.ktoe.CY.ES.Tr.DNavi.DCS</t>
  </si>
  <si>
    <t>FEC.ktoe.CY.ES.Tr.DNavi.DCS.Diesel</t>
  </si>
  <si>
    <t>FEC.ktoe.CY.ES.Tr.DNavi.DCS.RFO_Other</t>
  </si>
  <si>
    <t>FEC.ktoe.CY.ES.Tr.DNavi.DCS.LiqBio</t>
  </si>
  <si>
    <t>FEC.ktoe.CY.ES.Tr.DNavi.DCS.NG</t>
  </si>
  <si>
    <t>FEC.ktoe.CY.ES.Tr.DNavi.DCS.Biogas</t>
  </si>
  <si>
    <t>FEC.ktoe.CY.ES.Tr.DNavi.IWW</t>
  </si>
  <si>
    <t>FEC.ktoe.CY.ES.Tr.DNavi.IWW.Diesel</t>
  </si>
  <si>
    <t>FEC.ktoe.CY.ES.Tr.DNavi.IWW.RFO_Other</t>
  </si>
  <si>
    <t>FEC.ktoe.CY.ES.Tr.DNavi.IWW.LiqBio</t>
  </si>
  <si>
    <t>FEC.ktoe.CY.ES.Tr.DNavi.IWW.NG</t>
  </si>
  <si>
    <t>FEC.ktoe.CY.ES.Tr.DNavi.IWW.Biogas</t>
  </si>
  <si>
    <t>Eff.kgoe_per_100km.CY.Tr.DNavi.Freight</t>
  </si>
  <si>
    <t>Eff.kgoe_per_100km.CY.Tr.DNavi.Freight.DCS</t>
  </si>
  <si>
    <t>Eff.kgoe_per_100km.CY.Tr.DNavi.Freight.IWW</t>
  </si>
  <si>
    <t>Domestic navigation / CO2 emissions - CY - Cyprus</t>
  </si>
  <si>
    <t>EMI.ktCO2.CY.ES.Tr.DNavi</t>
  </si>
  <si>
    <t>EMI.ktCO2.CY.ES.Tr.DNavi.DCS</t>
  </si>
  <si>
    <t>EMI.ktCO2.CY.ES.Tr.DNavi.IWW</t>
  </si>
  <si>
    <t>EMIint.gCO2_per_km.CY.Tr.DNavi.Freight</t>
  </si>
  <si>
    <t>EMIint.gCO2_per_km.CY.Tr.DNavi.Freight.DCS</t>
  </si>
  <si>
    <t>EMIint.gCO2_per_km.CY.Tr.DNavi.Freight.IWW</t>
  </si>
  <si>
    <t>Rail, metro and tram - CY - Cyprus</t>
  </si>
  <si>
    <t>Activity.Mpkm.CY.Tr.Rail.Passenger.CPT.Diesel</t>
  </si>
  <si>
    <t>Activity.Mpkm.CY.Tr.Rail.Passenger.CPT.Elc</t>
  </si>
  <si>
    <t>Activity.Mtkm.CY.Tr.Rail.Freight.Diesel</t>
  </si>
  <si>
    <t>Activity.Mtkm.CY.Tr.Rail.Freight.Elc</t>
  </si>
  <si>
    <t>VehicleKm.Mkm.CY.Tr.Rail</t>
  </si>
  <si>
    <t>VehicleKm.Mkm.CY.Tr.Rail.Passenger</t>
  </si>
  <si>
    <t>VehicleKm.Mkm.CY.Tr.Rail.Passenger.MTU</t>
  </si>
  <si>
    <t>VehicleKm.Mkm.CY.Tr.Rail.Passenger.CPT</t>
  </si>
  <si>
    <t>VehicleKm.Mkm.CY.Tr.Rail.Passenger.CPT.Diesel</t>
  </si>
  <si>
    <t>VehicleKm.Mkm.CY.Tr.Rail.Passenger.CPT.Elc</t>
  </si>
  <si>
    <t>VehicleKm.Mkm.CY.Tr.Rail.Passenger.HST</t>
  </si>
  <si>
    <t>VehicleKm.Mkm.CY.Tr.Rail.Freight</t>
  </si>
  <si>
    <t>VehicleKm.Mkm.CY.Tr.Rail.Freight.Diesel</t>
  </si>
  <si>
    <t>VehicleKm.Mkm.CY.Tr.Rail.Freight.Elc</t>
  </si>
  <si>
    <t>Stock.number.CY.Tr.Rail</t>
  </si>
  <si>
    <t>Stock.number.CY.Tr.Rail.Passenger</t>
  </si>
  <si>
    <t>Stock.number.CY.Tr.Rail.Passenger.MTU</t>
  </si>
  <si>
    <t>Stock.number.CY.Tr.Rail.Passenger.CPT</t>
  </si>
  <si>
    <t>Stock.number.CY.Tr.Rail.Passenger.CPT.Diesel</t>
  </si>
  <si>
    <t>Stock.number.CY.Tr.Rail.Passenger.CPT.Elc</t>
  </si>
  <si>
    <t>Stock.number.CY.Tr.Rail.Passenger.HST</t>
  </si>
  <si>
    <t>Stock.number.CY.Tr.Rail.Freight</t>
  </si>
  <si>
    <t>Stock.number.CY.Tr.Rail.Freight.Diesel</t>
  </si>
  <si>
    <t>Stock.number.CY.Tr.Rail.Freight.Elc</t>
  </si>
  <si>
    <t>StockNew.number.CY.Tr.Rail</t>
  </si>
  <si>
    <t>StockNew.number.CY.Tr.Rail.Passenger</t>
  </si>
  <si>
    <t>StockNew.number.CY.Tr.Rail.Passenger.MTU</t>
  </si>
  <si>
    <t>StockNew.number.CY.Tr.Rail.Passenger.CPT</t>
  </si>
  <si>
    <t>StockNew.number.CY.Tr.Rail.Passenger.CPT.Diesel</t>
  </si>
  <si>
    <t>StockNew.number.CY.Tr.Rail.Passenger.CPT.Elc</t>
  </si>
  <si>
    <t>StockNew.number.CY.Tr.Rail.Passenger.HST</t>
  </si>
  <si>
    <t>StockNew.number.CY.Tr.Rail.Freight</t>
  </si>
  <si>
    <t>StockNew.number.CY.Tr.Rail.Freight.Diesel</t>
  </si>
  <si>
    <t>StockNew.number.CY.Tr.Rail.Freight.Elc</t>
  </si>
  <si>
    <t>Load.passenger_per_movement.CY.Tr.Rail.Passenger</t>
  </si>
  <si>
    <t>Load.passenger_per_movement.CY.Tr.Rail.Passenger.MTU</t>
  </si>
  <si>
    <t>Load.passenger_per_movement.CY.Tr.Rail.Passenger.CPT</t>
  </si>
  <si>
    <t>Load.passenger_per_movement.CY.Tr.Rail.Passenger.CPT.Diesel</t>
  </si>
  <si>
    <t>Load.passenger_per_movement.CY.Tr.Rail.Passenger.CPT.Elc</t>
  </si>
  <si>
    <t>Load.passenger_per_movement.CY.Tr.Rail.Passenger.HST</t>
  </si>
  <si>
    <t>Load.t_per_movement.CY.Tr.Rail.Freight</t>
  </si>
  <si>
    <t>Load.t_per_movement.CY.Tr.Rail.Freight.Diesel</t>
  </si>
  <si>
    <t>Load.t_per_movement.CY.Tr.Rail.Freight.Elc</t>
  </si>
  <si>
    <t>TrCap.seats.CY.Tr.Rail.Passenger</t>
  </si>
  <si>
    <t>TrCap.seats.CY.Tr.Rail.Passenger.MTU</t>
  </si>
  <si>
    <t>TrCap.seats.CY.Tr.Rail.Passenger.CPT</t>
  </si>
  <si>
    <t>TrCap.seats.CY.Tr.Rail.Passenger.CPT.Diesel</t>
  </si>
  <si>
    <t>TrCap.seats.CY.Tr.Rail.Passenger.CPT.Elc</t>
  </si>
  <si>
    <t>TrCap.seats.CY.Tr.Rail.Passenger.HST</t>
  </si>
  <si>
    <t>TrCap.t.CY.Tr.Rail.Freight</t>
  </si>
  <si>
    <t>TrCap.t.CY.Tr.Rail.Freight.Diesel</t>
  </si>
  <si>
    <t>TrCap.t.CY.Tr.Rail.Freight.Elc</t>
  </si>
  <si>
    <t>VehicleKm_per_vehicle.km.CY.Tr.Rail</t>
  </si>
  <si>
    <t>VehicleKm_per_vehicle.km.CY.Tr.Rail.Passenger</t>
  </si>
  <si>
    <t>VehicleKm_per_vehicle.km.CY.Tr.Rail.Passenger.MTU</t>
  </si>
  <si>
    <t>VehicleKm_per_vehicle.km.CY.Tr.Rail.Passenger.CPT</t>
  </si>
  <si>
    <t>VehicleKm_per_vehicle.km.CY.Tr.Rail.Passenger.CPT.Diesel</t>
  </si>
  <si>
    <t>VehicleKm_per_vehicle.km.CY.Tr.Rail.Passenger.CPT.Elc</t>
  </si>
  <si>
    <t>VehicleKm_per_vehicle.km.CY.Tr.Rail.Passenger.HST</t>
  </si>
  <si>
    <t>VehicleKm_per_vehicle.km.CY.Tr.Rail.Freight</t>
  </si>
  <si>
    <t>VehicleKm_per_vehicle.km.CY.Tr.Rail.Freight.Diesel</t>
  </si>
  <si>
    <t>VehicleKm_per_vehicle.km.CY.Tr.Rail.Freight.Elc</t>
  </si>
  <si>
    <t>Activity_per_vehicle.pkm.CY.Tr.Rail.Passenger</t>
  </si>
  <si>
    <t>Activity_per_vehicle.pkm.CY.Tr.Rail.Passenger.MTU</t>
  </si>
  <si>
    <t>Activity_per_vehicle.pkm.CY.Tr.Rail.Passenger.CPT</t>
  </si>
  <si>
    <t>Activity_per_vehicle.pkm.CY.Tr.Rail.Passenger.CPT.Diesel</t>
  </si>
  <si>
    <t>Activity_per_vehicle.pkm.CY.Tr.Rail.Passenger.CPT.Elc</t>
  </si>
  <si>
    <t>Activity_per_vehicle.pkm.CY.Tr.Rail.Passenger.HST</t>
  </si>
  <si>
    <t>Activity_per_vehicle.tkm.CY.Tr.Rail.Freight</t>
  </si>
  <si>
    <t>Activity_per_vehicle.tkm.CY.Tr.Rail.Freight.Diesel</t>
  </si>
  <si>
    <t>Activity_per_vehicle.tkm.CY.Tr.Rail.Freight.Elc</t>
  </si>
  <si>
    <t>Rail, metro and tram / energy consumption - CY - Cyprus</t>
  </si>
  <si>
    <t>FEC.ktoe.CY.ES.Tr.Rail</t>
  </si>
  <si>
    <t>FEC.ktoe.CY.ES.Tr.Rail.Diesel</t>
  </si>
  <si>
    <t>FEC.ktoe.CY.ES.Tr.Rail.LiqBio</t>
  </si>
  <si>
    <t>FEC.ktoe.CY.ES.Tr.Rail.Elec</t>
  </si>
  <si>
    <t>FEC.ktoe.CY.Tr.Rail</t>
  </si>
  <si>
    <t>FEC.ktoe.CY.Tr.Rail.Passenger.CPT.Diesel</t>
  </si>
  <si>
    <t>FEC.ktoe.CY.Tr.Rail.Passenger.CPT.Elc</t>
  </si>
  <si>
    <t>FEC.ktoe.CY.Tr.Rail.Freight.Diesel</t>
  </si>
  <si>
    <t>FEC.ktoe.CY.Tr.Rail.Freight.Elc</t>
  </si>
  <si>
    <t>Eff.kgoe_per_100km.CY.Tr.Rail</t>
  </si>
  <si>
    <t>Eff.kgoe_per_100km.CY.Tr.Rail.Passenger</t>
  </si>
  <si>
    <t>Eff.kgoe_per_100km.CY.Tr.Rail.Passenger.MTU</t>
  </si>
  <si>
    <t>Eff.kgoe_per_100km.CY.Tr.Rail.Passenger.CPT</t>
  </si>
  <si>
    <t>Eff.kgoe_per_100km.CY.Tr.Rail.Passenger.CPT.Diesel</t>
  </si>
  <si>
    <t>Eff.kgoe_per_100km.CY.Tr.Rail.Passenger.CPT.Elc</t>
  </si>
  <si>
    <t>Eff.kgoe_per_100km.CY.Tr.Rail.Passenger.HST</t>
  </si>
  <si>
    <t>Eff.kgoe_per_100km.CY.Tr.Rail.Freight</t>
  </si>
  <si>
    <t>Eff.kgoe_per_100km.CY.Tr.Rail.Freight.Diesel</t>
  </si>
  <si>
    <t>Eff.kgoe_per_100km.CY.Tr.Rail.Freight.Elc</t>
  </si>
  <si>
    <t>Eff.kgoe_per_kpkm.CY.Tr.Rail.Passenger.CPT.Diesel</t>
  </si>
  <si>
    <t>Eff.kgoe_per_kpkm.CY.Tr.Rail.Passenger.CPT.Elc</t>
  </si>
  <si>
    <t>Eff.kgoe_per_ktkm.CY.Tr.Rail.Freight.Diesel</t>
  </si>
  <si>
    <t>Eff.kgoe_per_ktkm.CY.Tr.Rail.Freight.Elc</t>
  </si>
  <si>
    <t>FEC_per_vehicle.kgoe.CY.Tr.Rail</t>
  </si>
  <si>
    <t>FEC_per_vehicle.kgoe.CY.Tr.Rail.Passenger</t>
  </si>
  <si>
    <t>FEC_per_vehicle.kgoe.CY.Tr.Rail.Passenger.MTU</t>
  </si>
  <si>
    <t>FEC_per_vehicle.kgoe.CY.Tr.Rail.Passenger.CPT</t>
  </si>
  <si>
    <t>FEC_per_vehicle.kgoe.CY.Tr.Rail.Passenger.CPT.Diesel</t>
  </si>
  <si>
    <t>FEC_per_vehicle.kgoe.CY.Tr.Rail.Passenger.CPT.Elc</t>
  </si>
  <si>
    <t>FEC_per_vehicle.kgoe.CY.Tr.Rail.Passenger.HST</t>
  </si>
  <si>
    <t>FEC_per_vehicle.kgoe.CY.Tr.Rail.Freight</t>
  </si>
  <si>
    <t>FEC_per_vehicle.kgoe.CY.Tr.Rail.Freight.Diesel</t>
  </si>
  <si>
    <t>FEC_per_vehicle.kgoe.CY.Tr.Rail.Freight.Elc</t>
  </si>
  <si>
    <t>Rail, metro and tram / CO2 emissions - CY - Cyprus</t>
  </si>
  <si>
    <t>EMI.ktCO2.CY.ES.Tr.Rail</t>
  </si>
  <si>
    <t>EMI.ktCO2.CY.ES.Tr.Rail.Diesel</t>
  </si>
  <si>
    <t>EMI.ktCO2.CY.ES.Tr.Rail.Elec</t>
  </si>
  <si>
    <t>EMI.ktCO2.CY.Tr.Rail</t>
  </si>
  <si>
    <t>EMI.ktCO2.CY.Tr.Rail.Passenger.CPT.Diesel</t>
  </si>
  <si>
    <t>EMI.ktCO2.CY.Tr.Rail.Passenger.CPT.Elc</t>
  </si>
  <si>
    <t>EMI.ktCO2.CY.Tr.Rail.Freight.Diesel</t>
  </si>
  <si>
    <t>EMI.ktCO2.CY.Tr.Rail.Freight.Elc</t>
  </si>
  <si>
    <t>EMIint.gCO2_per_km.CY.Tr.Rail</t>
  </si>
  <si>
    <t>EMIint.gCO2_per_km.CY.Tr.Rail.Passenger</t>
  </si>
  <si>
    <t>EMIint.gCO2_per_km.CY.Tr.Rail.Passenger.MTU</t>
  </si>
  <si>
    <t>EMIint.gCO2_per_km.CY.Tr.Rail.Passenger.CPT</t>
  </si>
  <si>
    <t>EMIint.gCO2_per_km.CY.Tr.Rail.Passenger.CPT.Diesel</t>
  </si>
  <si>
    <t>EMIint.gCO2_per_km.CY.Tr.Rail.Passenger.CPT.Elc</t>
  </si>
  <si>
    <t>EMIint.gCO2_per_km.CY.Tr.Rail.Passenger.HST</t>
  </si>
  <si>
    <t>EMIint.gCO2_per_km.CY.Tr.Rail.Freight</t>
  </si>
  <si>
    <t>EMIint.gCO2_per_km.CY.Tr.Rail.Freight.Diesel</t>
  </si>
  <si>
    <t>EMIint.gCO2_per_km.CY.Tr.Rail.Freight.Elc</t>
  </si>
  <si>
    <t>EMIint.gCO2_per_pkm.CY.Tr.Rail.Passenger.CPT.Diesel</t>
  </si>
  <si>
    <t>EMIint.gCO2_per_pkm.CY.Tr.Rail.Passenger.CPT.Elc</t>
  </si>
  <si>
    <t>EMIint.gCO2_per_tkm.CY.Tr.Rail.Freight.Diesel</t>
  </si>
  <si>
    <t>EMIint.gCO2_per_tkm.CY.Tr.Rail.Freight.Elc</t>
  </si>
  <si>
    <t>EMI_per_vehicle.tCO2.CY.Tr.Rail</t>
  </si>
  <si>
    <t>EMI_per_vehicle.tCO2.CY.Tr.Rail.Passenger</t>
  </si>
  <si>
    <t>EMI_per_vehicle.tCO2.CY.Tr.Rail.Passenger.MTU</t>
  </si>
  <si>
    <t>EMI_per_vehicle.tCO2.CY.Tr.Rail.Passenger.CPT</t>
  </si>
  <si>
    <t>EMI_per_vehicle.tCO2.CY.Tr.Rail.Passenger.CPT.Diesel</t>
  </si>
  <si>
    <t>EMI_per_vehicle.tCO2.CY.Tr.Rail.Passenger.CPT.Elc</t>
  </si>
  <si>
    <t>EMI_per_vehicle.tCO2.CY.Tr.Rail.Passenger.HST</t>
  </si>
  <si>
    <t>EMI_per_vehicle.tCO2.CY.Tr.Rail.Freight</t>
  </si>
  <si>
    <t>EMI_per_vehicle.tCO2.CY.Tr.Rail.Freight.Diesel</t>
  </si>
  <si>
    <t>EMI_per_vehicle.tCO2.CY.Tr.Rail.Freight.Elc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</si>
</sst>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45432.782777777778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14176.887752352406</v>
      </c>
      <c r="C4" s="28">
        <f t="shared" si="0"/>
        <v>15690.498350483051</v>
      </c>
      <c r="D4" s="28">
        <f t="shared" si="0"/>
        <v>13725.132698306707</v>
      </c>
      <c r="E4" s="28">
        <f t="shared" si="0"/>
        <v>14264.336273995448</v>
      </c>
      <c r="F4" s="28">
        <f t="shared" si="0"/>
        <v>14676.010185939464</v>
      </c>
      <c r="G4" s="28">
        <f t="shared" si="0"/>
        <v>15345.07470932775</v>
      </c>
      <c r="H4" s="28">
        <f t="shared" si="0"/>
        <v>15578.801847255756</v>
      </c>
      <c r="I4" s="28">
        <f t="shared" si="0"/>
        <v>15865.299362059679</v>
      </c>
      <c r="J4" s="28">
        <f t="shared" si="0"/>
        <v>16691.24056536159</v>
      </c>
      <c r="K4" s="28">
        <f t="shared" si="0"/>
        <v>16210.279193568327</v>
      </c>
      <c r="L4" s="28">
        <f t="shared" si="0"/>
        <v>16351.987685740918</v>
      </c>
      <c r="M4" s="28">
        <f t="shared" si="0"/>
        <v>16743.407548058283</v>
      </c>
      <c r="N4" s="28">
        <f t="shared" si="0"/>
        <v>16844.231904222812</v>
      </c>
      <c r="O4" s="28">
        <f t="shared" si="0"/>
        <v>16809.957580561339</v>
      </c>
      <c r="P4" s="28">
        <f t="shared" si="0"/>
        <v>17049.93093710651</v>
      </c>
      <c r="Q4" s="28">
        <f t="shared" si="0"/>
        <v>17227.938214894093</v>
      </c>
      <c r="R4" s="28">
        <f t="shared" ref="R4:V4" si="1">R5+R9+R13</f>
        <v>19466.091784262586</v>
      </c>
      <c r="S4" s="28">
        <f t="shared" si="1"/>
        <v>20865.804481426399</v>
      </c>
      <c r="T4" s="28">
        <f t="shared" si="1"/>
        <v>21932.237347417649</v>
      </c>
      <c r="U4" s="28">
        <f t="shared" si="1"/>
        <v>22540.641699867912</v>
      </c>
      <c r="V4" s="28">
        <f t="shared" si="1"/>
        <v>9713.8631130631165</v>
      </c>
      <c r="W4" s="28">
        <f t="shared" ref="W4" si="2">W5+W9+W13</f>
        <v>13400.327327293566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5167.6166069807168</v>
      </c>
      <c r="C5" s="137">
        <f t="shared" si="3"/>
        <v>5305.3298442576943</v>
      </c>
      <c r="D5" s="137">
        <f t="shared" si="3"/>
        <v>5439.8197740195628</v>
      </c>
      <c r="E5" s="137">
        <f t="shared" si="3"/>
        <v>5572.2974948176707</v>
      </c>
      <c r="F5" s="137">
        <f t="shared" si="3"/>
        <v>5981.8290281892059</v>
      </c>
      <c r="G5" s="137">
        <f t="shared" si="3"/>
        <v>6199.9526188102363</v>
      </c>
      <c r="H5" s="137">
        <f t="shared" si="3"/>
        <v>6419.9535182044119</v>
      </c>
      <c r="I5" s="137">
        <f t="shared" si="3"/>
        <v>6741.650043358969</v>
      </c>
      <c r="J5" s="137">
        <f t="shared" si="3"/>
        <v>7225.1362811497611</v>
      </c>
      <c r="K5" s="137">
        <f t="shared" si="3"/>
        <v>7427.5226574631124</v>
      </c>
      <c r="L5" s="137">
        <f t="shared" si="3"/>
        <v>7332.9410838089998</v>
      </c>
      <c r="M5" s="137">
        <f t="shared" si="3"/>
        <v>7397.4590702398764</v>
      </c>
      <c r="N5" s="137">
        <f t="shared" si="3"/>
        <v>7459.0645626360365</v>
      </c>
      <c r="O5" s="137">
        <f t="shared" si="3"/>
        <v>7407.3976044576411</v>
      </c>
      <c r="P5" s="137">
        <f t="shared" si="3"/>
        <v>7544.0639704586001</v>
      </c>
      <c r="Q5" s="137">
        <f t="shared" si="3"/>
        <v>7764.0471137662034</v>
      </c>
      <c r="R5" s="137">
        <f t="shared" ref="R5:V5" si="4">R6+R7+R8</f>
        <v>8093.1062396763782</v>
      </c>
      <c r="S5" s="137">
        <f t="shared" si="4"/>
        <v>8224.1054746096816</v>
      </c>
      <c r="T5" s="137">
        <f t="shared" si="4"/>
        <v>8509.0329595421335</v>
      </c>
      <c r="U5" s="137">
        <f t="shared" si="4"/>
        <v>8763.0760268296435</v>
      </c>
      <c r="V5" s="137">
        <f t="shared" si="4"/>
        <v>7042.8566876789555</v>
      </c>
      <c r="W5" s="137">
        <f t="shared" ref="W5" si="5">W6+W7+W8</f>
        <v>7579.1361570033205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147.61660698071668</v>
      </c>
      <c r="C6" s="102">
        <f>TrRoad_act!C$5</f>
        <v>145.32984425769459</v>
      </c>
      <c r="D6" s="102">
        <f>TrRoad_act!D$5</f>
        <v>139.81977401956243</v>
      </c>
      <c r="E6" s="102">
        <f>TrRoad_act!E$5</f>
        <v>142.29749481767101</v>
      </c>
      <c r="F6" s="102">
        <f>TrRoad_act!F$5</f>
        <v>141.82902818920604</v>
      </c>
      <c r="G6" s="102">
        <f>TrRoad_act!G$5</f>
        <v>139.95261881023609</v>
      </c>
      <c r="H6" s="102">
        <f>TrRoad_act!H$5</f>
        <v>139.95351820441203</v>
      </c>
      <c r="I6" s="102">
        <f>TrRoad_act!I$5</f>
        <v>141.65004335896865</v>
      </c>
      <c r="J6" s="102">
        <f>TrRoad_act!J$5</f>
        <v>145.13628114976143</v>
      </c>
      <c r="K6" s="102">
        <f>TrRoad_act!K$5</f>
        <v>144.31453529147763</v>
      </c>
      <c r="L6" s="102">
        <f>TrRoad_act!L$5</f>
        <v>142.94108380900019</v>
      </c>
      <c r="M6" s="102">
        <f>TrRoad_act!M$5</f>
        <v>140.51057161183465</v>
      </c>
      <c r="N6" s="102">
        <f>TrRoad_act!N$5</f>
        <v>141.90893486347071</v>
      </c>
      <c r="O6" s="102">
        <f>TrRoad_act!O$5</f>
        <v>139.86227248788174</v>
      </c>
      <c r="P6" s="102">
        <f>TrRoad_act!P$5</f>
        <v>141.91028514665575</v>
      </c>
      <c r="Q6" s="102">
        <f>TrRoad_act!Q$5</f>
        <v>139.19628367650421</v>
      </c>
      <c r="R6" s="102">
        <f>TrRoad_act!R$5</f>
        <v>139.11426465097412</v>
      </c>
      <c r="S6" s="102">
        <f>TrRoad_act!S$5</f>
        <v>130.68155871139288</v>
      </c>
      <c r="T6" s="102">
        <f>TrRoad_act!T$5</f>
        <v>124.18731992039095</v>
      </c>
      <c r="U6" s="102">
        <f>TrRoad_act!U$5</f>
        <v>131.15163693728485</v>
      </c>
      <c r="V6" s="102">
        <f>TrRoad_act!V$5</f>
        <v>117.2030423771111</v>
      </c>
      <c r="W6" s="102">
        <f>TrRoad_act!W$5</f>
        <v>121.6845070665983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3900</v>
      </c>
      <c r="C7" s="102">
        <f>TrRoad_act!C$6</f>
        <v>4000</v>
      </c>
      <c r="D7" s="102">
        <f>TrRoad_act!D$6</f>
        <v>4100</v>
      </c>
      <c r="E7" s="102">
        <f>TrRoad_act!E$6</f>
        <v>4150</v>
      </c>
      <c r="F7" s="102">
        <f>TrRoad_act!F$6</f>
        <v>4600</v>
      </c>
      <c r="G7" s="102">
        <f>TrRoad_act!G$6</f>
        <v>4800</v>
      </c>
      <c r="H7" s="102">
        <f>TrRoad_act!H$6</f>
        <v>5000</v>
      </c>
      <c r="I7" s="102">
        <f>TrRoad_act!I$6</f>
        <v>5300</v>
      </c>
      <c r="J7" s="102">
        <f>TrRoad_act!J$6</f>
        <v>5750</v>
      </c>
      <c r="K7" s="102">
        <f>TrRoad_act!K$6</f>
        <v>6000</v>
      </c>
      <c r="L7" s="102">
        <f>TrRoad_act!L$6</f>
        <v>5900</v>
      </c>
      <c r="M7" s="102">
        <f>TrRoad_act!M$6</f>
        <v>5931.90592556501</v>
      </c>
      <c r="N7" s="102">
        <f>TrRoad_act!N$6</f>
        <v>5951.5765516010242</v>
      </c>
      <c r="O7" s="102">
        <f>TrRoad_act!O$6</f>
        <v>5921.1434324198744</v>
      </c>
      <c r="P7" s="102">
        <f>TrRoad_act!P$6</f>
        <v>6055.7617857620589</v>
      </c>
      <c r="Q7" s="102">
        <f>TrRoad_act!Q$6</f>
        <v>6198.1335730052551</v>
      </c>
      <c r="R7" s="102">
        <f>TrRoad_act!R$6</f>
        <v>6472.8965180617506</v>
      </c>
      <c r="S7" s="102">
        <f>TrRoad_act!S$6</f>
        <v>6557.3941867523126</v>
      </c>
      <c r="T7" s="102">
        <f>TrRoad_act!T$6</f>
        <v>6799.9745805257671</v>
      </c>
      <c r="U7" s="102">
        <f>TrRoad_act!U$6</f>
        <v>7034.8733638037784</v>
      </c>
      <c r="V7" s="102">
        <f>TrRoad_act!V$6</f>
        <v>6046.6964976588497</v>
      </c>
      <c r="W7" s="102">
        <f>TrRoad_act!W$6</f>
        <v>6509.2190059238583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1120</v>
      </c>
      <c r="C8" s="102">
        <f>TrRoad_act!C$13</f>
        <v>1160</v>
      </c>
      <c r="D8" s="102">
        <f>TrRoad_act!D$13</f>
        <v>1200</v>
      </c>
      <c r="E8" s="102">
        <f>TrRoad_act!E$13</f>
        <v>1280</v>
      </c>
      <c r="F8" s="102">
        <f>TrRoad_act!F$13</f>
        <v>1240</v>
      </c>
      <c r="G8" s="102">
        <f>TrRoad_act!G$13</f>
        <v>1260</v>
      </c>
      <c r="H8" s="102">
        <f>TrRoad_act!H$13</f>
        <v>1279.9999999999998</v>
      </c>
      <c r="I8" s="102">
        <f>TrRoad_act!I$13</f>
        <v>1300</v>
      </c>
      <c r="J8" s="102">
        <f>TrRoad_act!J$13</f>
        <v>1330</v>
      </c>
      <c r="K8" s="102">
        <f>TrRoad_act!K$13</f>
        <v>1283.2081221716342</v>
      </c>
      <c r="L8" s="102">
        <f>TrRoad_act!L$13</f>
        <v>1290</v>
      </c>
      <c r="M8" s="102">
        <f>TrRoad_act!M$13</f>
        <v>1325.0425730630311</v>
      </c>
      <c r="N8" s="102">
        <f>TrRoad_act!N$13</f>
        <v>1365.5790761715421</v>
      </c>
      <c r="O8" s="102">
        <f>TrRoad_act!O$13</f>
        <v>1346.3918995498855</v>
      </c>
      <c r="P8" s="102">
        <f>TrRoad_act!P$13</f>
        <v>1346.3918995498855</v>
      </c>
      <c r="Q8" s="102">
        <f>TrRoad_act!Q$13</f>
        <v>1426.7172570844441</v>
      </c>
      <c r="R8" s="102">
        <f>TrRoad_act!R$13</f>
        <v>1481.0954569636533</v>
      </c>
      <c r="S8" s="102">
        <f>TrRoad_act!S$13</f>
        <v>1536.0297291459747</v>
      </c>
      <c r="T8" s="102">
        <f>TrRoad_act!T$13</f>
        <v>1584.8710590959747</v>
      </c>
      <c r="U8" s="102">
        <f>TrRoad_act!U$13</f>
        <v>1597.0510260885806</v>
      </c>
      <c r="V8" s="102">
        <f>TrRoad_act!V$13</f>
        <v>878.95714764299453</v>
      </c>
      <c r="W8" s="102">
        <f>TrRoad_act!W$13</f>
        <v>948.23264401286337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0</v>
      </c>
      <c r="C9" s="110">
        <f t="shared" si="6"/>
        <v>0</v>
      </c>
      <c r="D9" s="110">
        <f t="shared" si="6"/>
        <v>0</v>
      </c>
      <c r="E9" s="110">
        <f t="shared" si="6"/>
        <v>0</v>
      </c>
      <c r="F9" s="110">
        <f t="shared" si="6"/>
        <v>0</v>
      </c>
      <c r="G9" s="110">
        <f t="shared" si="6"/>
        <v>0</v>
      </c>
      <c r="H9" s="110">
        <f t="shared" si="6"/>
        <v>0</v>
      </c>
      <c r="I9" s="110">
        <f t="shared" si="6"/>
        <v>0</v>
      </c>
      <c r="J9" s="110">
        <f t="shared" si="6"/>
        <v>0</v>
      </c>
      <c r="K9" s="110">
        <f t="shared" si="6"/>
        <v>0</v>
      </c>
      <c r="L9" s="110">
        <f t="shared" si="6"/>
        <v>0</v>
      </c>
      <c r="M9" s="110">
        <f t="shared" si="6"/>
        <v>0</v>
      </c>
      <c r="N9" s="110">
        <f t="shared" si="6"/>
        <v>0</v>
      </c>
      <c r="O9" s="110">
        <f t="shared" si="6"/>
        <v>0</v>
      </c>
      <c r="P9" s="110">
        <f t="shared" si="6"/>
        <v>0</v>
      </c>
      <c r="Q9" s="110">
        <f t="shared" si="6"/>
        <v>0</v>
      </c>
      <c r="R9" s="110">
        <f t="shared" ref="R9:V9" si="7">R10+R11+R12</f>
        <v>0</v>
      </c>
      <c r="S9" s="110">
        <f t="shared" si="7"/>
        <v>0</v>
      </c>
      <c r="T9" s="110">
        <f t="shared" si="7"/>
        <v>0</v>
      </c>
      <c r="U9" s="110">
        <f t="shared" si="7"/>
        <v>0</v>
      </c>
      <c r="V9" s="110">
        <f t="shared" si="7"/>
        <v>0</v>
      </c>
      <c r="W9" s="110">
        <f t="shared" ref="W9" si="8">W10+W11+W12</f>
        <v>0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0</v>
      </c>
      <c r="C10" s="102">
        <f>TrRail_act!C$5</f>
        <v>0</v>
      </c>
      <c r="D10" s="102">
        <f>TrRail_act!D$5</f>
        <v>0</v>
      </c>
      <c r="E10" s="102">
        <f>TrRail_act!E$5</f>
        <v>0</v>
      </c>
      <c r="F10" s="102">
        <f>TrRail_act!F$5</f>
        <v>0</v>
      </c>
      <c r="G10" s="102">
        <f>TrRail_act!G$5</f>
        <v>0</v>
      </c>
      <c r="H10" s="102">
        <f>TrRail_act!H$5</f>
        <v>0</v>
      </c>
      <c r="I10" s="102">
        <f>TrRail_act!I$5</f>
        <v>0</v>
      </c>
      <c r="J10" s="102">
        <f>TrRail_act!J$5</f>
        <v>0</v>
      </c>
      <c r="K10" s="102">
        <f>TrRail_act!K$5</f>
        <v>0</v>
      </c>
      <c r="L10" s="102">
        <f>TrRail_act!L$5</f>
        <v>0</v>
      </c>
      <c r="M10" s="102">
        <f>TrRail_act!M$5</f>
        <v>0</v>
      </c>
      <c r="N10" s="102">
        <f>TrRail_act!N$5</f>
        <v>0</v>
      </c>
      <c r="O10" s="102">
        <f>TrRail_act!O$5</f>
        <v>0</v>
      </c>
      <c r="P10" s="102">
        <f>TrRail_act!P$5</f>
        <v>0</v>
      </c>
      <c r="Q10" s="102">
        <f>TrRail_act!Q$5</f>
        <v>0</v>
      </c>
      <c r="R10" s="102">
        <f>TrRail_act!R$5</f>
        <v>0</v>
      </c>
      <c r="S10" s="102">
        <f>TrRail_act!S$5</f>
        <v>0</v>
      </c>
      <c r="T10" s="102">
        <f>TrRail_act!T$5</f>
        <v>0</v>
      </c>
      <c r="U10" s="102">
        <f>TrRail_act!U$5</f>
        <v>0</v>
      </c>
      <c r="V10" s="102">
        <f>TrRail_act!V$5</f>
        <v>0</v>
      </c>
      <c r="W10" s="102">
        <f>TrRail_act!W$5</f>
        <v>0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0</v>
      </c>
      <c r="C11" s="102">
        <f>TrRail_act!C$6</f>
        <v>0</v>
      </c>
      <c r="D11" s="102">
        <f>TrRail_act!D$6</f>
        <v>0</v>
      </c>
      <c r="E11" s="102">
        <f>TrRail_act!E$6</f>
        <v>0</v>
      </c>
      <c r="F11" s="102">
        <f>TrRail_act!F$6</f>
        <v>0</v>
      </c>
      <c r="G11" s="102">
        <f>TrRail_act!G$6</f>
        <v>0</v>
      </c>
      <c r="H11" s="102">
        <f>TrRail_act!H$6</f>
        <v>0</v>
      </c>
      <c r="I11" s="102">
        <f>TrRail_act!I$6</f>
        <v>0</v>
      </c>
      <c r="J11" s="102">
        <f>TrRail_act!J$6</f>
        <v>0</v>
      </c>
      <c r="K11" s="102">
        <f>TrRail_act!K$6</f>
        <v>0</v>
      </c>
      <c r="L11" s="102">
        <f>TrRail_act!L$6</f>
        <v>0</v>
      </c>
      <c r="M11" s="102">
        <f>TrRail_act!M$6</f>
        <v>0</v>
      </c>
      <c r="N11" s="102">
        <f>TrRail_act!N$6</f>
        <v>0</v>
      </c>
      <c r="O11" s="102">
        <f>TrRail_act!O$6</f>
        <v>0</v>
      </c>
      <c r="P11" s="102">
        <f>TrRail_act!P$6</f>
        <v>0</v>
      </c>
      <c r="Q11" s="102">
        <f>TrRail_act!Q$6</f>
        <v>0</v>
      </c>
      <c r="R11" s="102">
        <f>TrRail_act!R$6</f>
        <v>0</v>
      </c>
      <c r="S11" s="102">
        <f>TrRail_act!S$6</f>
        <v>0</v>
      </c>
      <c r="T11" s="102">
        <f>TrRail_act!T$6</f>
        <v>0</v>
      </c>
      <c r="U11" s="102">
        <f>TrRail_act!U$6</f>
        <v>0</v>
      </c>
      <c r="V11" s="102">
        <f>TrRail_act!V$6</f>
        <v>0</v>
      </c>
      <c r="W11" s="102">
        <f>TrRail_act!W$6</f>
        <v>0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0</v>
      </c>
      <c r="G12" s="102">
        <f>TrRail_act!G$9</f>
        <v>0</v>
      </c>
      <c r="H12" s="102">
        <f>TrRail_act!H$9</f>
        <v>0</v>
      </c>
      <c r="I12" s="102">
        <f>TrRail_act!I$9</f>
        <v>0</v>
      </c>
      <c r="J12" s="102">
        <f>TrRail_act!J$9</f>
        <v>0</v>
      </c>
      <c r="K12" s="102">
        <f>TrRail_act!K$9</f>
        <v>0</v>
      </c>
      <c r="L12" s="102">
        <f>TrRail_act!L$9</f>
        <v>0</v>
      </c>
      <c r="M12" s="102">
        <f>TrRail_act!M$9</f>
        <v>0</v>
      </c>
      <c r="N12" s="102">
        <f>TrRail_act!N$9</f>
        <v>0</v>
      </c>
      <c r="O12" s="102">
        <f>TrRail_act!O$9</f>
        <v>0</v>
      </c>
      <c r="P12" s="102">
        <f>TrRail_act!P$9</f>
        <v>0</v>
      </c>
      <c r="Q12" s="102">
        <f>TrRail_act!Q$9</f>
        <v>0</v>
      </c>
      <c r="R12" s="102">
        <f>TrRail_act!R$9</f>
        <v>0</v>
      </c>
      <c r="S12" s="102">
        <f>TrRail_act!S$9</f>
        <v>0</v>
      </c>
      <c r="T12" s="102">
        <f>TrRail_act!T$9</f>
        <v>0</v>
      </c>
      <c r="U12" s="102">
        <f>TrRail_act!U$9</f>
        <v>0</v>
      </c>
      <c r="V12" s="102">
        <f>TrRail_act!V$9</f>
        <v>0</v>
      </c>
      <c r="W12" s="102">
        <f>TrRail_act!W$9</f>
        <v>0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9009.2711453716893</v>
      </c>
      <c r="C13" s="110">
        <f t="shared" ref="C13:V13" si="10">C14+C15+C16</f>
        <v>10385.168506225356</v>
      </c>
      <c r="D13" s="110">
        <f t="shared" si="10"/>
        <v>8285.3129242871437</v>
      </c>
      <c r="E13" s="110">
        <f t="shared" si="10"/>
        <v>8692.0387791777775</v>
      </c>
      <c r="F13" s="110">
        <f t="shared" si="10"/>
        <v>8694.1811577502576</v>
      </c>
      <c r="G13" s="110">
        <f t="shared" si="10"/>
        <v>9145.1220905175123</v>
      </c>
      <c r="H13" s="110">
        <f t="shared" si="10"/>
        <v>9158.8483290513432</v>
      </c>
      <c r="I13" s="110">
        <f t="shared" si="10"/>
        <v>9123.649318700709</v>
      </c>
      <c r="J13" s="110">
        <f t="shared" si="10"/>
        <v>9466.1042842118277</v>
      </c>
      <c r="K13" s="110">
        <f t="shared" si="10"/>
        <v>8782.7565361052148</v>
      </c>
      <c r="L13" s="110">
        <f t="shared" si="10"/>
        <v>9019.0466019319174</v>
      </c>
      <c r="M13" s="110">
        <f t="shared" si="10"/>
        <v>9345.9484778184087</v>
      </c>
      <c r="N13" s="110">
        <f t="shared" si="10"/>
        <v>9385.1673415867772</v>
      </c>
      <c r="O13" s="110">
        <f t="shared" si="10"/>
        <v>9402.5599761036974</v>
      </c>
      <c r="P13" s="110">
        <f t="shared" si="10"/>
        <v>9505.8669666479091</v>
      </c>
      <c r="Q13" s="110">
        <f t="shared" si="10"/>
        <v>9463.8911011278906</v>
      </c>
      <c r="R13" s="110">
        <f t="shared" si="10"/>
        <v>11372.985544586209</v>
      </c>
      <c r="S13" s="110">
        <f t="shared" si="10"/>
        <v>12641.699006816716</v>
      </c>
      <c r="T13" s="110">
        <f t="shared" si="10"/>
        <v>13423.204387875518</v>
      </c>
      <c r="U13" s="110">
        <f t="shared" si="10"/>
        <v>13777.565673038269</v>
      </c>
      <c r="V13" s="110">
        <f t="shared" si="10"/>
        <v>2671.0064253841615</v>
      </c>
      <c r="W13" s="110">
        <f t="shared" ref="W13" si="11">W14+W15+W16</f>
        <v>5821.1911702902462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0</v>
      </c>
      <c r="C14" s="102">
        <f>TrAvia_act!C$5</f>
        <v>0</v>
      </c>
      <c r="D14" s="102">
        <f>TrAvia_act!D$5</f>
        <v>0</v>
      </c>
      <c r="E14" s="102">
        <f>TrAvia_act!E$5</f>
        <v>0</v>
      </c>
      <c r="F14" s="102">
        <f>TrAvia_act!F$5</f>
        <v>0</v>
      </c>
      <c r="G14" s="102">
        <f>TrAvia_act!G$5</f>
        <v>0</v>
      </c>
      <c r="H14" s="102">
        <f>TrAvia_act!H$5</f>
        <v>0</v>
      </c>
      <c r="I14" s="102">
        <f>TrAvia_act!I$5</f>
        <v>0</v>
      </c>
      <c r="J14" s="102">
        <f>TrAvia_act!J$5</f>
        <v>0</v>
      </c>
      <c r="K14" s="102">
        <f>TrAvia_act!K$5</f>
        <v>0</v>
      </c>
      <c r="L14" s="102">
        <f>TrAvia_act!L$5</f>
        <v>0</v>
      </c>
      <c r="M14" s="102">
        <f>TrAvia_act!M$5</f>
        <v>0</v>
      </c>
      <c r="N14" s="102">
        <f>TrAvia_act!N$5</f>
        <v>0</v>
      </c>
      <c r="O14" s="102">
        <f>TrAvia_act!O$5</f>
        <v>0</v>
      </c>
      <c r="P14" s="102">
        <f>TrAvia_act!P$5</f>
        <v>0</v>
      </c>
      <c r="Q14" s="102">
        <f>TrAvia_act!Q$5</f>
        <v>0</v>
      </c>
      <c r="R14" s="102">
        <f>TrAvia_act!R$5</f>
        <v>0</v>
      </c>
      <c r="S14" s="102">
        <f>TrAvia_act!S$5</f>
        <v>0</v>
      </c>
      <c r="T14" s="102">
        <f>TrAvia_act!T$5</f>
        <v>0</v>
      </c>
      <c r="U14" s="102">
        <f>TrAvia_act!U$5</f>
        <v>0</v>
      </c>
      <c r="V14" s="102">
        <f>TrAvia_act!V$5</f>
        <v>0</v>
      </c>
      <c r="W14" s="102">
        <f>TrAvia_act!W$5</f>
        <v>0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8275.8119147554771</v>
      </c>
      <c r="C15" s="102">
        <f>TrAvia_act!C$6</f>
        <v>9508.5875075657004</v>
      </c>
      <c r="D15" s="102">
        <f>TrAvia_act!D$6</f>
        <v>7362.9114238567281</v>
      </c>
      <c r="E15" s="102">
        <f>TrAvia_act!E$6</f>
        <v>7677.7027452195052</v>
      </c>
      <c r="F15" s="102">
        <f>TrAvia_act!F$6</f>
        <v>7786.1139665990913</v>
      </c>
      <c r="G15" s="102">
        <f>TrAvia_act!G$6</f>
        <v>8281.0398957624475</v>
      </c>
      <c r="H15" s="102">
        <f>TrAvia_act!H$6</f>
        <v>8165.6436397337002</v>
      </c>
      <c r="I15" s="102">
        <f>TrAvia_act!I$6</f>
        <v>8056.6506502225802</v>
      </c>
      <c r="J15" s="102">
        <f>TrAvia_act!J$6</f>
        <v>8277.1313231579134</v>
      </c>
      <c r="K15" s="102">
        <f>TrAvia_act!K$6</f>
        <v>7696.4422499873499</v>
      </c>
      <c r="L15" s="102">
        <f>TrAvia_act!L$6</f>
        <v>7691.7777645803981</v>
      </c>
      <c r="M15" s="102">
        <f>TrAvia_act!M$6</f>
        <v>7765.881123130669</v>
      </c>
      <c r="N15" s="102">
        <f>TrAvia_act!N$6</f>
        <v>7296.1536242976263</v>
      </c>
      <c r="O15" s="102">
        <f>TrAvia_act!O$6</f>
        <v>6616.8920456795058</v>
      </c>
      <c r="P15" s="102">
        <f>TrAvia_act!P$6</f>
        <v>6541.7196867946186</v>
      </c>
      <c r="Q15" s="102">
        <f>TrAvia_act!Q$6</f>
        <v>6682.3818359868574</v>
      </c>
      <c r="R15" s="102">
        <f>TrAvia_act!R$6</f>
        <v>7557.8271314782251</v>
      </c>
      <c r="S15" s="102">
        <f>TrAvia_act!S$6</f>
        <v>8733.2560433290655</v>
      </c>
      <c r="T15" s="102">
        <f>TrAvia_act!T$6</f>
        <v>9390.8886806951177</v>
      </c>
      <c r="U15" s="102">
        <f>TrAvia_act!U$6</f>
        <v>9689.3603590243492</v>
      </c>
      <c r="V15" s="102">
        <f>TrAvia_act!V$6</f>
        <v>2266.6212349918483</v>
      </c>
      <c r="W15" s="102">
        <f>TrAvia_act!W$6</f>
        <v>3600.2363650422722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733.45923061621193</v>
      </c>
      <c r="C16" s="102">
        <f>TrAvia_act!C$7</f>
        <v>876.58099865965517</v>
      </c>
      <c r="D16" s="102">
        <f>TrAvia_act!D$7</f>
        <v>922.40150043041535</v>
      </c>
      <c r="E16" s="102">
        <f>TrAvia_act!E$7</f>
        <v>1014.336033958272</v>
      </c>
      <c r="F16" s="102">
        <f>TrAvia_act!F$7</f>
        <v>908.0671911511655</v>
      </c>
      <c r="G16" s="102">
        <f>TrAvia_act!G$7</f>
        <v>864.0821947550653</v>
      </c>
      <c r="H16" s="102">
        <f>TrAvia_act!H$7</f>
        <v>993.20468931764333</v>
      </c>
      <c r="I16" s="102">
        <f>TrAvia_act!I$7</f>
        <v>1066.998668478129</v>
      </c>
      <c r="J16" s="102">
        <f>TrAvia_act!J$7</f>
        <v>1188.972961053915</v>
      </c>
      <c r="K16" s="102">
        <f>TrAvia_act!K$7</f>
        <v>1086.3142861178649</v>
      </c>
      <c r="L16" s="102">
        <f>TrAvia_act!L$7</f>
        <v>1327.2688373515186</v>
      </c>
      <c r="M16" s="102">
        <f>TrAvia_act!M$7</f>
        <v>1580.0673546877397</v>
      </c>
      <c r="N16" s="102">
        <f>TrAvia_act!N$7</f>
        <v>2089.0137172891514</v>
      </c>
      <c r="O16" s="102">
        <f>TrAvia_act!O$7</f>
        <v>2785.6679304241916</v>
      </c>
      <c r="P16" s="102">
        <f>TrAvia_act!P$7</f>
        <v>2964.1472798532909</v>
      </c>
      <c r="Q16" s="102">
        <f>TrAvia_act!Q$7</f>
        <v>2781.5092651410341</v>
      </c>
      <c r="R16" s="102">
        <f>TrAvia_act!R$7</f>
        <v>3815.1584131079831</v>
      </c>
      <c r="S16" s="102">
        <f>TrAvia_act!S$7</f>
        <v>3908.4429634876501</v>
      </c>
      <c r="T16" s="102">
        <f>TrAvia_act!T$7</f>
        <v>4032.3157071803989</v>
      </c>
      <c r="U16" s="102">
        <f>TrAvia_act!U$7</f>
        <v>4088.2053140139196</v>
      </c>
      <c r="V16" s="102">
        <f>TrAvia_act!V$7</f>
        <v>404.38519039231318</v>
      </c>
      <c r="W16" s="102">
        <f>TrAvia_act!W$7</f>
        <v>2220.954805247974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1486.2474311594699</v>
      </c>
      <c r="C17" s="28">
        <f t="shared" si="12"/>
        <v>1498.6310085640034</v>
      </c>
      <c r="D17" s="28">
        <f t="shared" si="12"/>
        <v>1497.1746162690936</v>
      </c>
      <c r="E17" s="28">
        <f t="shared" si="12"/>
        <v>1581.264916678896</v>
      </c>
      <c r="F17" s="28">
        <f t="shared" si="12"/>
        <v>1306.8387801823264</v>
      </c>
      <c r="G17" s="28">
        <f t="shared" si="12"/>
        <v>1592.1446545340159</v>
      </c>
      <c r="H17" s="28">
        <f t="shared" si="12"/>
        <v>1356.6634031763576</v>
      </c>
      <c r="I17" s="28">
        <f t="shared" si="12"/>
        <v>1391.4799022848201</v>
      </c>
      <c r="J17" s="28">
        <f t="shared" si="12"/>
        <v>1514.362686642788</v>
      </c>
      <c r="K17" s="28">
        <f t="shared" si="12"/>
        <v>1149.3420229390936</v>
      </c>
      <c r="L17" s="28">
        <f t="shared" si="12"/>
        <v>1272.2009682443804</v>
      </c>
      <c r="M17" s="28">
        <f t="shared" si="12"/>
        <v>1116.6540253193057</v>
      </c>
      <c r="N17" s="28">
        <f t="shared" si="12"/>
        <v>1067.2730441376896</v>
      </c>
      <c r="O17" s="28">
        <f t="shared" si="12"/>
        <v>799.16893286984146</v>
      </c>
      <c r="P17" s="28">
        <f t="shared" si="12"/>
        <v>698.74682267761978</v>
      </c>
      <c r="Q17" s="28">
        <f t="shared" si="12"/>
        <v>716.98649506841048</v>
      </c>
      <c r="R17" s="28">
        <f t="shared" ref="R17:V17" si="13">R18+R21+R22+R26</f>
        <v>860.19502370575447</v>
      </c>
      <c r="S17" s="28">
        <f t="shared" si="13"/>
        <v>993.098084614762</v>
      </c>
      <c r="T17" s="28">
        <f t="shared" si="13"/>
        <v>1065.2518490742309</v>
      </c>
      <c r="U17" s="28">
        <f t="shared" si="13"/>
        <v>1036.768375560732</v>
      </c>
      <c r="V17" s="28">
        <f t="shared" si="13"/>
        <v>858.83439008967434</v>
      </c>
      <c r="W17" s="28">
        <f t="shared" ref="W17" si="14">W18+W21+W22+W26</f>
        <v>894.97545115122364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1444.3009444595652</v>
      </c>
      <c r="C18" s="137">
        <f t="shared" si="15"/>
        <v>1457.8896855726732</v>
      </c>
      <c r="D18" s="137">
        <f t="shared" si="15"/>
        <v>1459.7423414110895</v>
      </c>
      <c r="E18" s="137">
        <f t="shared" si="15"/>
        <v>1546.0982828978524</v>
      </c>
      <c r="F18" s="137">
        <f t="shared" si="15"/>
        <v>1267.100738176867</v>
      </c>
      <c r="G18" s="137">
        <f t="shared" si="15"/>
        <v>1546.9233641430305</v>
      </c>
      <c r="H18" s="137">
        <f t="shared" si="15"/>
        <v>1306.9220209272751</v>
      </c>
      <c r="I18" s="137">
        <f t="shared" si="15"/>
        <v>1344.381109992461</v>
      </c>
      <c r="J18" s="137">
        <f t="shared" si="15"/>
        <v>1465.724370521126</v>
      </c>
      <c r="K18" s="137">
        <f t="shared" si="15"/>
        <v>1103.0278236006616</v>
      </c>
      <c r="L18" s="137">
        <f t="shared" si="15"/>
        <v>1225.6085639930711</v>
      </c>
      <c r="M18" s="137">
        <f t="shared" si="15"/>
        <v>1084.1407309871938</v>
      </c>
      <c r="N18" s="137">
        <f t="shared" si="15"/>
        <v>1042.7449614550715</v>
      </c>
      <c r="O18" s="137">
        <f t="shared" si="15"/>
        <v>774.57986296564354</v>
      </c>
      <c r="P18" s="137">
        <f t="shared" si="15"/>
        <v>674.85816296218377</v>
      </c>
      <c r="Q18" s="137">
        <f t="shared" si="15"/>
        <v>695.14994143680588</v>
      </c>
      <c r="R18" s="137">
        <f t="shared" ref="R18:V18" si="16">R19+R20</f>
        <v>839.96530199965412</v>
      </c>
      <c r="S18" s="137">
        <f t="shared" si="16"/>
        <v>965.6288917721954</v>
      </c>
      <c r="T18" s="137">
        <f t="shared" si="16"/>
        <v>1037.3766711476314</v>
      </c>
      <c r="U18" s="137">
        <f t="shared" si="16"/>
        <v>1002.3889378474216</v>
      </c>
      <c r="V18" s="137">
        <f t="shared" si="16"/>
        <v>839.54320990166991</v>
      </c>
      <c r="W18" s="137">
        <f t="shared" ref="W18" si="17">W19+W20</f>
        <v>868.9777659890957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164.30094445956533</v>
      </c>
      <c r="C19" s="102">
        <f>TrRoad_act!C$20</f>
        <v>167.88968557267324</v>
      </c>
      <c r="D19" s="102">
        <f>TrRoad_act!D$20</f>
        <v>173.74234141108954</v>
      </c>
      <c r="E19" s="102">
        <f>TrRoad_act!E$20</f>
        <v>176.09828289785222</v>
      </c>
      <c r="F19" s="102">
        <f>TrRoad_act!F$20</f>
        <v>165.10073817686694</v>
      </c>
      <c r="G19" s="102">
        <f>TrRoad_act!G$20</f>
        <v>172.92336414303051</v>
      </c>
      <c r="H19" s="102">
        <f>TrRoad_act!H$20</f>
        <v>161.92202092727476</v>
      </c>
      <c r="I19" s="102">
        <f>TrRoad_act!I$20</f>
        <v>160.38110999246112</v>
      </c>
      <c r="J19" s="102">
        <f>TrRoad_act!J$20</f>
        <v>169.72437052112599</v>
      </c>
      <c r="K19" s="102">
        <f>TrRoad_act!K$20</f>
        <v>159.02782360066155</v>
      </c>
      <c r="L19" s="102">
        <f>TrRoad_act!L$20</f>
        <v>159.60856399307116</v>
      </c>
      <c r="M19" s="102">
        <f>TrRoad_act!M$20</f>
        <v>161.14073098719382</v>
      </c>
      <c r="N19" s="102">
        <f>TrRoad_act!N$20</f>
        <v>162.74496145507146</v>
      </c>
      <c r="O19" s="102">
        <f>TrRoad_act!O$20</f>
        <v>156.57986296564349</v>
      </c>
      <c r="P19" s="102">
        <f>TrRoad_act!P$20</f>
        <v>148.85816296218383</v>
      </c>
      <c r="Q19" s="102">
        <f>TrRoad_act!Q$20</f>
        <v>147.1499414368059</v>
      </c>
      <c r="R19" s="102">
        <f>TrRoad_act!R$20</f>
        <v>155.96530199965412</v>
      </c>
      <c r="S19" s="102">
        <f>TrRoad_act!S$20</f>
        <v>163.62889177219537</v>
      </c>
      <c r="T19" s="102">
        <f>TrRoad_act!T$20</f>
        <v>172.37667114763136</v>
      </c>
      <c r="U19" s="102">
        <f>TrRoad_act!U$20</f>
        <v>171.38893784742169</v>
      </c>
      <c r="V19" s="102">
        <f>TrRoad_act!V$20</f>
        <v>167.54320990166994</v>
      </c>
      <c r="W19" s="102">
        <f>TrRoad_act!W$20</f>
        <v>165.97776598909573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1280</v>
      </c>
      <c r="C20" s="102">
        <f>TrRoad_act!C$26</f>
        <v>1290</v>
      </c>
      <c r="D20" s="102">
        <f>TrRoad_act!D$26</f>
        <v>1286</v>
      </c>
      <c r="E20" s="102">
        <f>TrRoad_act!E$26</f>
        <v>1370.0000000000002</v>
      </c>
      <c r="F20" s="102">
        <f>TrRoad_act!F$26</f>
        <v>1102</v>
      </c>
      <c r="G20" s="102">
        <f>TrRoad_act!G$26</f>
        <v>1374</v>
      </c>
      <c r="H20" s="102">
        <f>TrRoad_act!H$26</f>
        <v>1145.0000000000002</v>
      </c>
      <c r="I20" s="102">
        <f>TrRoad_act!I$26</f>
        <v>1184</v>
      </c>
      <c r="J20" s="102">
        <f>TrRoad_act!J$26</f>
        <v>1296</v>
      </c>
      <c r="K20" s="102">
        <f>TrRoad_act!K$26</f>
        <v>944</v>
      </c>
      <c r="L20" s="102">
        <f>TrRoad_act!L$26</f>
        <v>1066</v>
      </c>
      <c r="M20" s="102">
        <f>TrRoad_act!M$26</f>
        <v>923</v>
      </c>
      <c r="N20" s="102">
        <f>TrRoad_act!N$26</f>
        <v>880</v>
      </c>
      <c r="O20" s="102">
        <f>TrRoad_act!O$26</f>
        <v>618</v>
      </c>
      <c r="P20" s="102">
        <f>TrRoad_act!P$26</f>
        <v>526</v>
      </c>
      <c r="Q20" s="102">
        <f>TrRoad_act!Q$26</f>
        <v>548</v>
      </c>
      <c r="R20" s="102">
        <f>TrRoad_act!R$26</f>
        <v>684</v>
      </c>
      <c r="S20" s="102">
        <f>TrRoad_act!S$26</f>
        <v>802</v>
      </c>
      <c r="T20" s="102">
        <f>TrRoad_act!T$26</f>
        <v>865</v>
      </c>
      <c r="U20" s="102">
        <f>TrRoad_act!U$26</f>
        <v>831</v>
      </c>
      <c r="V20" s="102">
        <f>TrRoad_act!V$26</f>
        <v>672</v>
      </c>
      <c r="W20" s="102">
        <f>TrRoad_act!W$26</f>
        <v>703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0</v>
      </c>
      <c r="C21" s="110">
        <f>TrRail_act!C$10</f>
        <v>0</v>
      </c>
      <c r="D21" s="110">
        <f>TrRail_act!D$10</f>
        <v>0</v>
      </c>
      <c r="E21" s="110">
        <f>TrRail_act!E$10</f>
        <v>0</v>
      </c>
      <c r="F21" s="110">
        <f>TrRail_act!F$10</f>
        <v>0</v>
      </c>
      <c r="G21" s="110">
        <f>TrRail_act!G$10</f>
        <v>0</v>
      </c>
      <c r="H21" s="110">
        <f>TrRail_act!H$10</f>
        <v>0</v>
      </c>
      <c r="I21" s="110">
        <f>TrRail_act!I$10</f>
        <v>0</v>
      </c>
      <c r="J21" s="110">
        <f>TrRail_act!J$10</f>
        <v>0</v>
      </c>
      <c r="K21" s="110">
        <f>TrRail_act!K$10</f>
        <v>0</v>
      </c>
      <c r="L21" s="110">
        <f>TrRail_act!L$10</f>
        <v>0</v>
      </c>
      <c r="M21" s="110">
        <f>TrRail_act!M$10</f>
        <v>0</v>
      </c>
      <c r="N21" s="110">
        <f>TrRail_act!N$10</f>
        <v>0</v>
      </c>
      <c r="O21" s="110">
        <f>TrRail_act!O$10</f>
        <v>0</v>
      </c>
      <c r="P21" s="110">
        <f>TrRail_act!P$10</f>
        <v>0</v>
      </c>
      <c r="Q21" s="110">
        <f>TrRail_act!Q$10</f>
        <v>0</v>
      </c>
      <c r="R21" s="110">
        <f>TrRail_act!R$10</f>
        <v>0</v>
      </c>
      <c r="S21" s="110">
        <f>TrRail_act!S$10</f>
        <v>0</v>
      </c>
      <c r="T21" s="110">
        <f>TrRail_act!T$10</f>
        <v>0</v>
      </c>
      <c r="U21" s="110">
        <f>TrRail_act!U$10</f>
        <v>0</v>
      </c>
      <c r="V21" s="110">
        <f>TrRail_act!V$10</f>
        <v>0</v>
      </c>
      <c r="W21" s="110">
        <f>TrRail_act!W$10</f>
        <v>0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41.946486699904753</v>
      </c>
      <c r="C22" s="110">
        <f t="shared" ref="C22:V22" si="19">C23+C24+C25</f>
        <v>40.741322991330208</v>
      </c>
      <c r="D22" s="110">
        <f t="shared" si="19"/>
        <v>37.432274858004142</v>
      </c>
      <c r="E22" s="110">
        <f t="shared" si="19"/>
        <v>35.166633781043672</v>
      </c>
      <c r="F22" s="110">
        <f t="shared" si="19"/>
        <v>39.738042005459526</v>
      </c>
      <c r="G22" s="110">
        <f t="shared" si="19"/>
        <v>45.221290390985295</v>
      </c>
      <c r="H22" s="110">
        <f t="shared" si="19"/>
        <v>49.741382249082548</v>
      </c>
      <c r="I22" s="110">
        <f t="shared" si="19"/>
        <v>47.098792292359065</v>
      </c>
      <c r="J22" s="110">
        <f t="shared" si="19"/>
        <v>48.638316121662029</v>
      </c>
      <c r="K22" s="110">
        <f t="shared" si="19"/>
        <v>46.314199338432033</v>
      </c>
      <c r="L22" s="110">
        <f t="shared" si="19"/>
        <v>46.592404251309247</v>
      </c>
      <c r="M22" s="110">
        <f t="shared" si="19"/>
        <v>32.513294332111755</v>
      </c>
      <c r="N22" s="110">
        <f t="shared" si="19"/>
        <v>24.528082682618042</v>
      </c>
      <c r="O22" s="110">
        <f t="shared" si="19"/>
        <v>24.589069904197906</v>
      </c>
      <c r="P22" s="110">
        <f t="shared" si="19"/>
        <v>23.888659715436056</v>
      </c>
      <c r="Q22" s="110">
        <f t="shared" si="19"/>
        <v>21.83655363160463</v>
      </c>
      <c r="R22" s="110">
        <f t="shared" si="19"/>
        <v>20.229721706100356</v>
      </c>
      <c r="S22" s="110">
        <f t="shared" si="19"/>
        <v>18.268192842566602</v>
      </c>
      <c r="T22" s="110">
        <f t="shared" si="19"/>
        <v>18.190177926599489</v>
      </c>
      <c r="U22" s="110">
        <f t="shared" si="19"/>
        <v>22.083437713310246</v>
      </c>
      <c r="V22" s="110">
        <f t="shared" si="19"/>
        <v>13.393180188004358</v>
      </c>
      <c r="W22" s="110">
        <f t="shared" ref="W22" si="20">W23+W24+W25</f>
        <v>13.549685162127993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0</v>
      </c>
      <c r="C23" s="102">
        <f>TrAvia_act!C$9</f>
        <v>0</v>
      </c>
      <c r="D23" s="102">
        <f>TrAvia_act!D$9</f>
        <v>0</v>
      </c>
      <c r="E23" s="102">
        <f>TrAvia_act!E$9</f>
        <v>0</v>
      </c>
      <c r="F23" s="102">
        <f>TrAvia_act!F$9</f>
        <v>0</v>
      </c>
      <c r="G23" s="102">
        <f>TrAvia_act!G$9</f>
        <v>0</v>
      </c>
      <c r="H23" s="102">
        <f>TrAvia_act!H$9</f>
        <v>0</v>
      </c>
      <c r="I23" s="102">
        <f>TrAvia_act!I$9</f>
        <v>0</v>
      </c>
      <c r="J23" s="102">
        <f>TrAvia_act!J$9</f>
        <v>0</v>
      </c>
      <c r="K23" s="102">
        <f>TrAvia_act!K$9</f>
        <v>0</v>
      </c>
      <c r="L23" s="102">
        <f>TrAvia_act!L$9</f>
        <v>0</v>
      </c>
      <c r="M23" s="102">
        <f>TrAvia_act!M$9</f>
        <v>0</v>
      </c>
      <c r="N23" s="102">
        <f>TrAvia_act!N$9</f>
        <v>0</v>
      </c>
      <c r="O23" s="102">
        <f>TrAvia_act!O$9</f>
        <v>0</v>
      </c>
      <c r="P23" s="102">
        <f>TrAvia_act!P$9</f>
        <v>0</v>
      </c>
      <c r="Q23" s="102">
        <f>TrAvia_act!Q$9</f>
        <v>0</v>
      </c>
      <c r="R23" s="102">
        <f>TrAvia_act!R$9</f>
        <v>0</v>
      </c>
      <c r="S23" s="102">
        <f>TrAvia_act!S$9</f>
        <v>0</v>
      </c>
      <c r="T23" s="102">
        <f>TrAvia_act!T$9</f>
        <v>0</v>
      </c>
      <c r="U23" s="102">
        <f>TrAvia_act!U$9</f>
        <v>0</v>
      </c>
      <c r="V23" s="102">
        <f>TrAvia_act!V$9</f>
        <v>0</v>
      </c>
      <c r="W23" s="102">
        <f>TrAvia_act!W$9</f>
        <v>0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32.937330899572807</v>
      </c>
      <c r="C24" s="102">
        <f>TrAvia_act!C$10</f>
        <v>31.692796192018726</v>
      </c>
      <c r="D24" s="102">
        <f>TrAvia_act!D$10</f>
        <v>29.346090473603542</v>
      </c>
      <c r="E24" s="102">
        <f>TrAvia_act!E$10</f>
        <v>27.901627981999304</v>
      </c>
      <c r="F24" s="102">
        <f>TrAvia_act!F$10</f>
        <v>31.632290125562562</v>
      </c>
      <c r="G24" s="102">
        <f>TrAvia_act!G$10</f>
        <v>37.664627205474552</v>
      </c>
      <c r="H24" s="102">
        <f>TrAvia_act!H$10</f>
        <v>39.982498212697216</v>
      </c>
      <c r="I24" s="102">
        <f>TrAvia_act!I$10</f>
        <v>36.860859654846962</v>
      </c>
      <c r="J24" s="102">
        <f>TrAvia_act!J$10</f>
        <v>36.717487203523746</v>
      </c>
      <c r="K24" s="102">
        <f>TrAvia_act!K$10</f>
        <v>34.174885052160647</v>
      </c>
      <c r="L24" s="102">
        <f>TrAvia_act!L$10</f>
        <v>33.857504036420799</v>
      </c>
      <c r="M24" s="102">
        <f>TrAvia_act!M$10</f>
        <v>24.554540035387429</v>
      </c>
      <c r="N24" s="102">
        <f>TrAvia_act!N$10</f>
        <v>20.799396444614814</v>
      </c>
      <c r="O24" s="102">
        <f>TrAvia_act!O$10</f>
        <v>19.168830880241863</v>
      </c>
      <c r="P24" s="102">
        <f>TrAvia_act!P$10</f>
        <v>18.135628616444556</v>
      </c>
      <c r="Q24" s="102">
        <f>TrAvia_act!Q$10</f>
        <v>16.229511681044144</v>
      </c>
      <c r="R24" s="102">
        <f>TrAvia_act!R$10</f>
        <v>15.074785674510967</v>
      </c>
      <c r="S24" s="102">
        <f>TrAvia_act!S$10</f>
        <v>14.553924786334038</v>
      </c>
      <c r="T24" s="102">
        <f>TrAvia_act!T$10</f>
        <v>13.411844833681997</v>
      </c>
      <c r="U24" s="102">
        <f>TrAvia_act!U$10</f>
        <v>11.697421273142142</v>
      </c>
      <c r="V24" s="102">
        <f>TrAvia_act!V$10</f>
        <v>8.1934157403714529</v>
      </c>
      <c r="W24" s="102">
        <f>TrAvia_act!W$10</f>
        <v>7.6375478428534302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9.0091558003319481</v>
      </c>
      <c r="C25" s="102">
        <f>TrAvia_act!C$11</f>
        <v>9.0485267993114817</v>
      </c>
      <c r="D25" s="102">
        <f>TrAvia_act!D$11</f>
        <v>8.0861843844006014</v>
      </c>
      <c r="E25" s="102">
        <f>TrAvia_act!E$11</f>
        <v>7.2650057990443688</v>
      </c>
      <c r="F25" s="102">
        <f>TrAvia_act!F$11</f>
        <v>8.1057518798969639</v>
      </c>
      <c r="G25" s="102">
        <f>TrAvia_act!G$11</f>
        <v>7.5566631855107449</v>
      </c>
      <c r="H25" s="102">
        <f>TrAvia_act!H$11</f>
        <v>9.7588840363853357</v>
      </c>
      <c r="I25" s="102">
        <f>TrAvia_act!I$11</f>
        <v>10.237932637512106</v>
      </c>
      <c r="J25" s="102">
        <f>TrAvia_act!J$11</f>
        <v>11.920828918138286</v>
      </c>
      <c r="K25" s="102">
        <f>TrAvia_act!K$11</f>
        <v>12.139314286271384</v>
      </c>
      <c r="L25" s="102">
        <f>TrAvia_act!L$11</f>
        <v>12.73490021488845</v>
      </c>
      <c r="M25" s="102">
        <f>TrAvia_act!M$11</f>
        <v>7.958754296724325</v>
      </c>
      <c r="N25" s="102">
        <f>TrAvia_act!N$11</f>
        <v>3.7286862380032262</v>
      </c>
      <c r="O25" s="102">
        <f>TrAvia_act!O$11</f>
        <v>5.4202390239560438</v>
      </c>
      <c r="P25" s="102">
        <f>TrAvia_act!P$11</f>
        <v>5.7530310989914977</v>
      </c>
      <c r="Q25" s="102">
        <f>TrAvia_act!Q$11</f>
        <v>5.6070419505604878</v>
      </c>
      <c r="R25" s="102">
        <f>TrAvia_act!R$11</f>
        <v>5.1549360315893882</v>
      </c>
      <c r="S25" s="102">
        <f>TrAvia_act!S$11</f>
        <v>3.7142680562325654</v>
      </c>
      <c r="T25" s="102">
        <f>TrAvia_act!T$11</f>
        <v>4.7783330929174941</v>
      </c>
      <c r="U25" s="102">
        <f>TrAvia_act!U$11</f>
        <v>10.386016440168104</v>
      </c>
      <c r="V25" s="102">
        <f>TrAvia_act!V$11</f>
        <v>5.1997644476329059</v>
      </c>
      <c r="W25" s="102">
        <f>TrAvia_act!W$11</f>
        <v>5.9121373192745628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0</v>
      </c>
      <c r="C26" s="110">
        <f t="shared" si="21"/>
        <v>0</v>
      </c>
      <c r="D26" s="110">
        <f t="shared" si="21"/>
        <v>0</v>
      </c>
      <c r="E26" s="110">
        <f t="shared" si="21"/>
        <v>0</v>
      </c>
      <c r="F26" s="110">
        <f t="shared" si="21"/>
        <v>0</v>
      </c>
      <c r="G26" s="110">
        <f t="shared" si="21"/>
        <v>0</v>
      </c>
      <c r="H26" s="110">
        <f t="shared" si="21"/>
        <v>0</v>
      </c>
      <c r="I26" s="110">
        <f t="shared" si="21"/>
        <v>0</v>
      </c>
      <c r="J26" s="110">
        <f t="shared" si="21"/>
        <v>0</v>
      </c>
      <c r="K26" s="110">
        <f t="shared" si="21"/>
        <v>0</v>
      </c>
      <c r="L26" s="110">
        <f t="shared" si="21"/>
        <v>0</v>
      </c>
      <c r="M26" s="110">
        <f t="shared" si="21"/>
        <v>0</v>
      </c>
      <c r="N26" s="110">
        <f t="shared" si="21"/>
        <v>0</v>
      </c>
      <c r="O26" s="110">
        <f t="shared" si="21"/>
        <v>0</v>
      </c>
      <c r="P26" s="110">
        <f t="shared" si="21"/>
        <v>0</v>
      </c>
      <c r="Q26" s="110">
        <f t="shared" si="21"/>
        <v>0</v>
      </c>
      <c r="R26" s="110">
        <f t="shared" ref="R26:V26" si="22">R27+R28</f>
        <v>0</v>
      </c>
      <c r="S26" s="110">
        <f t="shared" si="22"/>
        <v>9.2010000000000005</v>
      </c>
      <c r="T26" s="110">
        <f t="shared" si="22"/>
        <v>9.6850000000000005</v>
      </c>
      <c r="U26" s="110">
        <f t="shared" si="22"/>
        <v>12.295999999999999</v>
      </c>
      <c r="V26" s="110">
        <f t="shared" si="22"/>
        <v>5.8979999999999997</v>
      </c>
      <c r="W26" s="110">
        <f t="shared" ref="W26" si="23">W27+W28</f>
        <v>12.448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0</v>
      </c>
      <c r="C27" s="102">
        <f>TrNavi_act!C4</f>
        <v>0</v>
      </c>
      <c r="D27" s="102">
        <f>TrNavi_act!D4</f>
        <v>0</v>
      </c>
      <c r="E27" s="102">
        <f>TrNavi_act!E4</f>
        <v>0</v>
      </c>
      <c r="F27" s="102">
        <f>TrNavi_act!F4</f>
        <v>0</v>
      </c>
      <c r="G27" s="102">
        <f>TrNavi_act!G4</f>
        <v>0</v>
      </c>
      <c r="H27" s="102">
        <f>TrNavi_act!H4</f>
        <v>0</v>
      </c>
      <c r="I27" s="102">
        <f>TrNavi_act!I4</f>
        <v>0</v>
      </c>
      <c r="J27" s="102">
        <f>TrNavi_act!J4</f>
        <v>0</v>
      </c>
      <c r="K27" s="102">
        <f>TrNavi_act!K4</f>
        <v>0</v>
      </c>
      <c r="L27" s="102">
        <f>TrNavi_act!L4</f>
        <v>0</v>
      </c>
      <c r="M27" s="102">
        <f>TrNavi_act!M4</f>
        <v>0</v>
      </c>
      <c r="N27" s="102">
        <f>TrNavi_act!N4</f>
        <v>0</v>
      </c>
      <c r="O27" s="102">
        <f>TrNavi_act!O4</f>
        <v>0</v>
      </c>
      <c r="P27" s="102">
        <f>TrNavi_act!P4</f>
        <v>0</v>
      </c>
      <c r="Q27" s="102">
        <f>TrNavi_act!Q4</f>
        <v>0</v>
      </c>
      <c r="R27" s="102">
        <f>TrNavi_act!R4</f>
        <v>0</v>
      </c>
      <c r="S27" s="102">
        <f>TrNavi_act!S4</f>
        <v>9.2010000000000005</v>
      </c>
      <c r="T27" s="102">
        <f>TrNavi_act!T4</f>
        <v>9.6850000000000005</v>
      </c>
      <c r="U27" s="102">
        <f>TrNavi_act!U4</f>
        <v>12.295999999999999</v>
      </c>
      <c r="V27" s="102">
        <f>TrNavi_act!V4</f>
        <v>5.8979999999999997</v>
      </c>
      <c r="W27" s="102">
        <f>TrNavi_act!W4</f>
        <v>12.448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0</v>
      </c>
      <c r="C28" s="169">
        <f>TrNavi_act!C5</f>
        <v>0</v>
      </c>
      <c r="D28" s="169">
        <f>TrNavi_act!D5</f>
        <v>0</v>
      </c>
      <c r="E28" s="169">
        <f>TrNavi_act!E5</f>
        <v>0</v>
      </c>
      <c r="F28" s="169">
        <f>TrNavi_act!F5</f>
        <v>0</v>
      </c>
      <c r="G28" s="169">
        <f>TrNavi_act!G5</f>
        <v>0</v>
      </c>
      <c r="H28" s="169">
        <f>TrNavi_act!H5</f>
        <v>0</v>
      </c>
      <c r="I28" s="169">
        <f>TrNavi_act!I5</f>
        <v>0</v>
      </c>
      <c r="J28" s="169">
        <f>TrNavi_act!J5</f>
        <v>0</v>
      </c>
      <c r="K28" s="169">
        <f>TrNavi_act!K5</f>
        <v>0</v>
      </c>
      <c r="L28" s="169">
        <f>TrNavi_act!L5</f>
        <v>0</v>
      </c>
      <c r="M28" s="169">
        <f>TrNavi_act!M5</f>
        <v>0</v>
      </c>
      <c r="N28" s="169">
        <f>TrNavi_act!N5</f>
        <v>0</v>
      </c>
      <c r="O28" s="169">
        <f>TrNavi_act!O5</f>
        <v>0</v>
      </c>
      <c r="P28" s="169">
        <f>TrNavi_act!P5</f>
        <v>0</v>
      </c>
      <c r="Q28" s="169">
        <f>TrNavi_act!Q5</f>
        <v>0</v>
      </c>
      <c r="R28" s="169">
        <f>TrNavi_act!R5</f>
        <v>0</v>
      </c>
      <c r="S28" s="169">
        <f>TrNavi_act!S5</f>
        <v>0</v>
      </c>
      <c r="T28" s="169">
        <f>TrNavi_act!T5</f>
        <v>0</v>
      </c>
      <c r="U28" s="169">
        <f>TrNavi_act!U5</f>
        <v>0</v>
      </c>
      <c r="V28" s="169">
        <f>TrNavi_act!V5</f>
        <v>0</v>
      </c>
      <c r="W28" s="169">
        <f>TrNavi_act!W5</f>
        <v>0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4642.6260259999999</v>
      </c>
      <c r="C29" s="28">
        <f t="shared" si="24"/>
        <v>4482.4564840000003</v>
      </c>
      <c r="D29" s="28">
        <f t="shared" si="24"/>
        <v>3250.4747100000004</v>
      </c>
      <c r="E29" s="28">
        <f t="shared" si="24"/>
        <v>2529.8710769999998</v>
      </c>
      <c r="F29" s="28">
        <f t="shared" si="24"/>
        <v>3287.5057969999998</v>
      </c>
      <c r="G29" s="28">
        <f t="shared" si="24"/>
        <v>4280.4795960000001</v>
      </c>
      <c r="H29" s="28">
        <f t="shared" si="24"/>
        <v>4529.4411209999998</v>
      </c>
      <c r="I29" s="28">
        <f t="shared" si="24"/>
        <v>6994.2827719999987</v>
      </c>
      <c r="J29" s="28">
        <f t="shared" si="24"/>
        <v>6894.2891739999995</v>
      </c>
      <c r="K29" s="28">
        <f t="shared" si="24"/>
        <v>4637.2199079999991</v>
      </c>
      <c r="L29" s="28">
        <f t="shared" si="24"/>
        <v>4784.6846289999994</v>
      </c>
      <c r="M29" s="28">
        <f t="shared" si="24"/>
        <v>8192.423573</v>
      </c>
      <c r="N29" s="28">
        <f t="shared" si="24"/>
        <v>10105.108783</v>
      </c>
      <c r="O29" s="28">
        <f t="shared" si="24"/>
        <v>9480.6817100000007</v>
      </c>
      <c r="P29" s="28">
        <f t="shared" si="24"/>
        <v>10049.629362</v>
      </c>
      <c r="Q29" s="28">
        <f t="shared" si="24"/>
        <v>10392.268427999999</v>
      </c>
      <c r="R29" s="28">
        <f t="shared" si="24"/>
        <v>14080.607716</v>
      </c>
      <c r="S29" s="28">
        <f t="shared" si="24"/>
        <v>11538.9848</v>
      </c>
      <c r="T29" s="28">
        <f t="shared" si="24"/>
        <v>11125.668151000002</v>
      </c>
      <c r="U29" s="28">
        <f t="shared" si="24"/>
        <v>11322.110576999999</v>
      </c>
      <c r="V29" s="28">
        <f t="shared" si="24"/>
        <v>11084.122561</v>
      </c>
      <c r="W29" s="28">
        <f t="shared" si="24"/>
        <v>10766.477731000001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3338.106131</v>
      </c>
      <c r="C30" s="102">
        <f>MBunk_act!C$4</f>
        <v>3224.0436759999998</v>
      </c>
      <c r="D30" s="102">
        <f>MBunk_act!D$4</f>
        <v>2328.7379110000002</v>
      </c>
      <c r="E30" s="102">
        <f>MBunk_act!E$4</f>
        <v>1914.9399249999999</v>
      </c>
      <c r="F30" s="102">
        <f>MBunk_act!F$4</f>
        <v>2625.6528779999999</v>
      </c>
      <c r="G30" s="102">
        <f>MBunk_act!G$4</f>
        <v>2236.5014610000003</v>
      </c>
      <c r="H30" s="102">
        <f>MBunk_act!H$4</f>
        <v>2536.3532989999999</v>
      </c>
      <c r="I30" s="102">
        <f>MBunk_act!I$4</f>
        <v>2114.1158879999998</v>
      </c>
      <c r="J30" s="102">
        <f>MBunk_act!J$4</f>
        <v>3241.7815500000002</v>
      </c>
      <c r="K30" s="102">
        <f>MBunk_act!K$4</f>
        <v>2457.9579089999997</v>
      </c>
      <c r="L30" s="102">
        <f>MBunk_act!L$4</f>
        <v>2299.7618759999996</v>
      </c>
      <c r="M30" s="102">
        <f>MBunk_act!M$4</f>
        <v>5243.4848320000001</v>
      </c>
      <c r="N30" s="102">
        <f>MBunk_act!N$4</f>
        <v>6530.9141319999999</v>
      </c>
      <c r="O30" s="102">
        <f>MBunk_act!O$4</f>
        <v>6052.1713589999999</v>
      </c>
      <c r="P30" s="102">
        <f>MBunk_act!P$4</f>
        <v>6137.8556769999996</v>
      </c>
      <c r="Q30" s="102">
        <f>MBunk_act!Q$4</f>
        <v>6242.5369109999992</v>
      </c>
      <c r="R30" s="102">
        <f>MBunk_act!R$4</f>
        <v>8325.9792770000004</v>
      </c>
      <c r="S30" s="102">
        <f>MBunk_act!S$4</f>
        <v>6229.7108109999999</v>
      </c>
      <c r="T30" s="102">
        <f>MBunk_act!T$4</f>
        <v>5417.6609130000006</v>
      </c>
      <c r="U30" s="102">
        <f>MBunk_act!U$4</f>
        <v>6600.7601629999999</v>
      </c>
      <c r="V30" s="102">
        <f>MBunk_act!V$4</f>
        <v>6622.1301169999997</v>
      </c>
      <c r="W30" s="102">
        <f>MBunk_act!W$4</f>
        <v>6771.7388690000007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1304.5198949999999</v>
      </c>
      <c r="C31" s="86">
        <f>MBunk_act!C$5</f>
        <v>1258.412808</v>
      </c>
      <c r="D31" s="86">
        <f>MBunk_act!D$5</f>
        <v>921.73679900000002</v>
      </c>
      <c r="E31" s="86">
        <f>MBunk_act!E$5</f>
        <v>614.931152</v>
      </c>
      <c r="F31" s="86">
        <f>MBunk_act!F$5</f>
        <v>661.85291899999993</v>
      </c>
      <c r="G31" s="86">
        <f>MBunk_act!G$5</f>
        <v>2043.9781349999998</v>
      </c>
      <c r="H31" s="86">
        <f>MBunk_act!H$5</f>
        <v>1993.087822</v>
      </c>
      <c r="I31" s="86">
        <f>MBunk_act!I$5</f>
        <v>4880.1668839999993</v>
      </c>
      <c r="J31" s="86">
        <f>MBunk_act!J$5</f>
        <v>3652.5076239999999</v>
      </c>
      <c r="K31" s="86">
        <f>MBunk_act!K$5</f>
        <v>2179.2619989999998</v>
      </c>
      <c r="L31" s="86">
        <f>MBunk_act!L$5</f>
        <v>2484.9227529999998</v>
      </c>
      <c r="M31" s="86">
        <f>MBunk_act!M$5</f>
        <v>2948.9387409999999</v>
      </c>
      <c r="N31" s="86">
        <f>MBunk_act!N$5</f>
        <v>3574.1946510000002</v>
      </c>
      <c r="O31" s="86">
        <f>MBunk_act!O$5</f>
        <v>3428.5103509999999</v>
      </c>
      <c r="P31" s="86">
        <f>MBunk_act!P$5</f>
        <v>3911.7736850000001</v>
      </c>
      <c r="Q31" s="86">
        <f>MBunk_act!Q$5</f>
        <v>4149.7315170000002</v>
      </c>
      <c r="R31" s="86">
        <f>MBunk_act!R$5</f>
        <v>5754.6284390000001</v>
      </c>
      <c r="S31" s="86">
        <f>MBunk_act!S$5</f>
        <v>5309.2739890000003</v>
      </c>
      <c r="T31" s="86">
        <f>MBunk_act!T$5</f>
        <v>5708.0072380000001</v>
      </c>
      <c r="U31" s="86">
        <f>MBunk_act!U$5</f>
        <v>4721.3504140000005</v>
      </c>
      <c r="V31" s="86">
        <f>MBunk_act!V$5</f>
        <v>4461.9924439999995</v>
      </c>
      <c r="W31" s="86">
        <f>MBunk_act!W$5</f>
        <v>3994.7388620000002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625.02099946595672</v>
      </c>
      <c r="C34" s="28">
        <f t="shared" si="25"/>
        <v>692.52472356479836</v>
      </c>
      <c r="D34" s="28">
        <f t="shared" si="25"/>
        <v>682.64225533751846</v>
      </c>
      <c r="E34" s="28">
        <f t="shared" si="25"/>
        <v>735.72310140430818</v>
      </c>
      <c r="F34" s="28">
        <f t="shared" si="25"/>
        <v>745.49494533292386</v>
      </c>
      <c r="G34" s="28">
        <f t="shared" si="25"/>
        <v>751.84951552366965</v>
      </c>
      <c r="H34" s="28">
        <f t="shared" si="25"/>
        <v>780.68347039871037</v>
      </c>
      <c r="I34" s="28">
        <f t="shared" si="25"/>
        <v>809.05447573805577</v>
      </c>
      <c r="J34" s="28">
        <f t="shared" si="25"/>
        <v>830.19723683619873</v>
      </c>
      <c r="K34" s="28">
        <f t="shared" si="25"/>
        <v>827.38789911807032</v>
      </c>
      <c r="L34" s="28">
        <f t="shared" si="25"/>
        <v>843.40454542512953</v>
      </c>
      <c r="M34" s="28">
        <f t="shared" si="25"/>
        <v>862.48235203498439</v>
      </c>
      <c r="N34" s="28">
        <f t="shared" si="25"/>
        <v>800.99021767003524</v>
      </c>
      <c r="O34" s="28">
        <f t="shared" si="25"/>
        <v>732.56002341464</v>
      </c>
      <c r="P34" s="28">
        <f t="shared" si="25"/>
        <v>721.18246081882955</v>
      </c>
      <c r="Q34" s="28">
        <f t="shared" si="25"/>
        <v>742.94646798751728</v>
      </c>
      <c r="R34" s="28">
        <f t="shared" ref="R34:V34" si="26">R35+R39+R43</f>
        <v>797.87770274573995</v>
      </c>
      <c r="S34" s="28">
        <f t="shared" si="26"/>
        <v>845.09934941596248</v>
      </c>
      <c r="T34" s="28">
        <f t="shared" si="26"/>
        <v>857.10742674441235</v>
      </c>
      <c r="U34" s="28">
        <f t="shared" si="26"/>
        <v>853.29384258834818</v>
      </c>
      <c r="V34" s="28">
        <f t="shared" si="26"/>
        <v>569.44963084224582</v>
      </c>
      <c r="W34" s="28">
        <f t="shared" ref="W34" si="27">W35+W39+W43</f>
        <v>670.67080664947275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352.03660735911592</v>
      </c>
      <c r="C35" s="137">
        <f t="shared" si="28"/>
        <v>369.81780784228158</v>
      </c>
      <c r="D35" s="137">
        <f t="shared" si="28"/>
        <v>373.51433196342953</v>
      </c>
      <c r="E35" s="137">
        <f t="shared" si="28"/>
        <v>404.13865989000192</v>
      </c>
      <c r="F35" s="137">
        <f t="shared" si="28"/>
        <v>445.48045129315949</v>
      </c>
      <c r="G35" s="137">
        <f t="shared" si="28"/>
        <v>457.34607704233855</v>
      </c>
      <c r="H35" s="137">
        <f t="shared" si="28"/>
        <v>478.57371164325576</v>
      </c>
      <c r="I35" s="137">
        <f t="shared" si="28"/>
        <v>518.79714112953798</v>
      </c>
      <c r="J35" s="137">
        <f t="shared" si="28"/>
        <v>540.94174763659169</v>
      </c>
      <c r="K35" s="137">
        <f t="shared" si="28"/>
        <v>558.83065614579141</v>
      </c>
      <c r="L35" s="137">
        <f t="shared" si="28"/>
        <v>568.88192349438771</v>
      </c>
      <c r="M35" s="137">
        <f t="shared" si="28"/>
        <v>560.36912665272177</v>
      </c>
      <c r="N35" s="137">
        <f t="shared" si="28"/>
        <v>528.47033285666294</v>
      </c>
      <c r="O35" s="137">
        <f t="shared" si="28"/>
        <v>490.0092998228522</v>
      </c>
      <c r="P35" s="137">
        <f t="shared" si="28"/>
        <v>482.07137045058278</v>
      </c>
      <c r="Q35" s="137">
        <f t="shared" si="28"/>
        <v>501.49762632475245</v>
      </c>
      <c r="R35" s="137">
        <f t="shared" ref="R35:V35" si="29">R36+R37+R38</f>
        <v>524.17564377833992</v>
      </c>
      <c r="S35" s="137">
        <f t="shared" si="29"/>
        <v>534.86607453328634</v>
      </c>
      <c r="T35" s="137">
        <f t="shared" si="29"/>
        <v>535.4901335098624</v>
      </c>
      <c r="U35" s="137">
        <f t="shared" si="29"/>
        <v>544.69710915086648</v>
      </c>
      <c r="V35" s="137">
        <f t="shared" si="29"/>
        <v>476.13912280762838</v>
      </c>
      <c r="W35" s="137">
        <f t="shared" ref="W35" si="30">W36+W37+W38</f>
        <v>514.83627226976967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5.8366945270989286</v>
      </c>
      <c r="C36" s="102">
        <f>TrRoad_ene!C$19</f>
        <v>5.6997166361680698</v>
      </c>
      <c r="D36" s="102">
        <f>TrRoad_ene!D$19</f>
        <v>5.5442971468005862</v>
      </c>
      <c r="E36" s="102">
        <f>TrRoad_ene!E$19</f>
        <v>5.6033450738127515</v>
      </c>
      <c r="F36" s="102">
        <f>TrRoad_ene!F$19</f>
        <v>5.5603902002093202</v>
      </c>
      <c r="G36" s="102">
        <f>TrRoad_ene!G$19</f>
        <v>5.4501282950444212</v>
      </c>
      <c r="H36" s="102">
        <f>TrRoad_ene!H$19</f>
        <v>5.4040846981879742</v>
      </c>
      <c r="I36" s="102">
        <f>TrRoad_ene!I$19</f>
        <v>5.4121385954321086</v>
      </c>
      <c r="J36" s="102">
        <f>TrRoad_ene!J$19</f>
        <v>5.4865831747622975</v>
      </c>
      <c r="K36" s="102">
        <f>TrRoad_ene!K$19</f>
        <v>5.3925291421142267</v>
      </c>
      <c r="L36" s="102">
        <f>TrRoad_ene!L$19</f>
        <v>5.2720694536065551</v>
      </c>
      <c r="M36" s="102">
        <f>TrRoad_ene!M$19</f>
        <v>5.122604068305316</v>
      </c>
      <c r="N36" s="102">
        <f>TrRoad_ene!N$19</f>
        <v>5.1865976151331505</v>
      </c>
      <c r="O36" s="102">
        <f>TrRoad_ene!O$19</f>
        <v>5.0567239500514889</v>
      </c>
      <c r="P36" s="102">
        <f>TrRoad_ene!P$19</f>
        <v>5.0893232444224656</v>
      </c>
      <c r="Q36" s="102">
        <f>TrRoad_ene!Q$19</f>
        <v>4.9504503726325062</v>
      </c>
      <c r="R36" s="102">
        <f>TrRoad_ene!R$19</f>
        <v>4.8725728217288884</v>
      </c>
      <c r="S36" s="102">
        <f>TrRoad_ene!S$19</f>
        <v>4.5421828099162385</v>
      </c>
      <c r="T36" s="102">
        <f>TrRoad_ene!T$19</f>
        <v>4.2772982925317029</v>
      </c>
      <c r="U36" s="102">
        <f>TrRoad_ene!U$19</f>
        <v>4.4397294236347546</v>
      </c>
      <c r="V36" s="102">
        <f>TrRoad_ene!V$19</f>
        <v>3.9367051225431293</v>
      </c>
      <c r="W36" s="102">
        <f>TrRoad_ene!W$19</f>
        <v>3.8409300166034255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255.62091542029643</v>
      </c>
      <c r="C37" s="102">
        <f>TrRoad_ene!C$21</f>
        <v>271.75649928744838</v>
      </c>
      <c r="D37" s="102">
        <f>TrRoad_ene!D$21</f>
        <v>277.97558050510122</v>
      </c>
      <c r="E37" s="102">
        <f>TrRoad_ene!E$21</f>
        <v>301.99007129713777</v>
      </c>
      <c r="F37" s="102">
        <f>TrRoad_ene!F$21</f>
        <v>338.2481843031706</v>
      </c>
      <c r="G37" s="102">
        <f>TrRoad_ene!G$21</f>
        <v>356.7461886656597</v>
      </c>
      <c r="H37" s="102">
        <f>TrRoad_ene!H$21</f>
        <v>376.63396678068705</v>
      </c>
      <c r="I37" s="102">
        <f>TrRoad_ene!I$21</f>
        <v>411.62050810836666</v>
      </c>
      <c r="J37" s="102">
        <f>TrRoad_ene!J$21</f>
        <v>435.14277080932254</v>
      </c>
      <c r="K37" s="102">
        <f>TrRoad_ene!K$21</f>
        <v>451.56842262438522</v>
      </c>
      <c r="L37" s="102">
        <f>TrRoad_ene!L$21</f>
        <v>461.26065823238639</v>
      </c>
      <c r="M37" s="102">
        <f>TrRoad_ene!M$21</f>
        <v>454.00290263132143</v>
      </c>
      <c r="N37" s="102">
        <f>TrRoad_ene!N$21</f>
        <v>431.01006899413966</v>
      </c>
      <c r="O37" s="102">
        <f>TrRoad_ene!O$21</f>
        <v>402.07621591050236</v>
      </c>
      <c r="P37" s="102">
        <f>TrRoad_ene!P$21</f>
        <v>394.95252440833013</v>
      </c>
      <c r="Q37" s="102">
        <f>TrRoad_ene!Q$21</f>
        <v>405.21691443575133</v>
      </c>
      <c r="R37" s="102">
        <f>TrRoad_ene!R$21</f>
        <v>423.49234944874905</v>
      </c>
      <c r="S37" s="102">
        <f>TrRoad_ene!S$21</f>
        <v>430.0467396384991</v>
      </c>
      <c r="T37" s="102">
        <f>TrRoad_ene!T$21</f>
        <v>430.63082637335708</v>
      </c>
      <c r="U37" s="102">
        <f>TrRoad_ene!U$21</f>
        <v>437.22827045362828</v>
      </c>
      <c r="V37" s="102">
        <f>TrRoad_ene!V$21</f>
        <v>386.52719925952363</v>
      </c>
      <c r="W37" s="102">
        <f>TrRoad_ene!W$21</f>
        <v>416.0840575008192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90.578997411720536</v>
      </c>
      <c r="C38" s="102">
        <f>TrRoad_ene!C$33</f>
        <v>92.361591918665098</v>
      </c>
      <c r="D38" s="102">
        <f>TrRoad_ene!D$33</f>
        <v>89.994454311527733</v>
      </c>
      <c r="E38" s="102">
        <f>TrRoad_ene!E$33</f>
        <v>96.545243519051382</v>
      </c>
      <c r="F38" s="102">
        <f>TrRoad_ene!F$33</f>
        <v>101.67187678977955</v>
      </c>
      <c r="G38" s="102">
        <f>TrRoad_ene!G$33</f>
        <v>95.14976008163444</v>
      </c>
      <c r="H38" s="102">
        <f>TrRoad_ene!H$33</f>
        <v>96.535660164380701</v>
      </c>
      <c r="I38" s="102">
        <f>TrRoad_ene!I$33</f>
        <v>101.7644944257392</v>
      </c>
      <c r="J38" s="102">
        <f>TrRoad_ene!J$33</f>
        <v>100.31239365250687</v>
      </c>
      <c r="K38" s="102">
        <f>TrRoad_ene!K$33</f>
        <v>101.86970437929197</v>
      </c>
      <c r="L38" s="102">
        <f>TrRoad_ene!L$33</f>
        <v>102.34919580839474</v>
      </c>
      <c r="M38" s="102">
        <f>TrRoad_ene!M$33</f>
        <v>101.24361995309501</v>
      </c>
      <c r="N38" s="102">
        <f>TrRoad_ene!N$33</f>
        <v>92.273666247390167</v>
      </c>
      <c r="O38" s="102">
        <f>TrRoad_ene!O$33</f>
        <v>82.876359962298352</v>
      </c>
      <c r="P38" s="102">
        <f>TrRoad_ene!P$33</f>
        <v>82.029522797830154</v>
      </c>
      <c r="Q38" s="102">
        <f>TrRoad_ene!Q$33</f>
        <v>91.330261516368594</v>
      </c>
      <c r="R38" s="102">
        <f>TrRoad_ene!R$33</f>
        <v>95.810721507861913</v>
      </c>
      <c r="S38" s="102">
        <f>TrRoad_ene!S$33</f>
        <v>100.27715208487099</v>
      </c>
      <c r="T38" s="102">
        <f>TrRoad_ene!T$33</f>
        <v>100.58200884397357</v>
      </c>
      <c r="U38" s="102">
        <f>TrRoad_ene!U$33</f>
        <v>103.02910927360344</v>
      </c>
      <c r="V38" s="102">
        <f>TrRoad_ene!V$33</f>
        <v>85.675218425561624</v>
      </c>
      <c r="W38" s="102">
        <f>TrRoad_ene!W$33</f>
        <v>94.911284752347072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0</v>
      </c>
      <c r="C39" s="110">
        <f t="shared" si="31"/>
        <v>0</v>
      </c>
      <c r="D39" s="110">
        <f t="shared" si="31"/>
        <v>0</v>
      </c>
      <c r="E39" s="110">
        <f t="shared" si="31"/>
        <v>0</v>
      </c>
      <c r="F39" s="110">
        <f t="shared" si="31"/>
        <v>0</v>
      </c>
      <c r="G39" s="110">
        <f t="shared" si="31"/>
        <v>0</v>
      </c>
      <c r="H39" s="110">
        <f t="shared" si="31"/>
        <v>0</v>
      </c>
      <c r="I39" s="110">
        <f t="shared" si="31"/>
        <v>0</v>
      </c>
      <c r="J39" s="110">
        <f t="shared" si="31"/>
        <v>0</v>
      </c>
      <c r="K39" s="110">
        <f t="shared" si="31"/>
        <v>0</v>
      </c>
      <c r="L39" s="110">
        <f t="shared" si="31"/>
        <v>0</v>
      </c>
      <c r="M39" s="110">
        <f t="shared" si="31"/>
        <v>0</v>
      </c>
      <c r="N39" s="110">
        <f t="shared" si="31"/>
        <v>0</v>
      </c>
      <c r="O39" s="110">
        <f t="shared" si="31"/>
        <v>0</v>
      </c>
      <c r="P39" s="110">
        <f t="shared" si="31"/>
        <v>0</v>
      </c>
      <c r="Q39" s="110">
        <f t="shared" si="31"/>
        <v>0</v>
      </c>
      <c r="R39" s="110">
        <f t="shared" ref="R39:V39" si="32">R40+R41+R42</f>
        <v>0</v>
      </c>
      <c r="S39" s="110">
        <f t="shared" si="32"/>
        <v>0</v>
      </c>
      <c r="T39" s="110">
        <f t="shared" si="32"/>
        <v>0</v>
      </c>
      <c r="U39" s="110">
        <f t="shared" si="32"/>
        <v>0</v>
      </c>
      <c r="V39" s="110">
        <f t="shared" si="32"/>
        <v>0</v>
      </c>
      <c r="W39" s="110">
        <f t="shared" ref="W39" si="33">W40+W41+W42</f>
        <v>0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0</v>
      </c>
      <c r="C40" s="102">
        <f>TrRail_ene!C$12</f>
        <v>0</v>
      </c>
      <c r="D40" s="102">
        <f>TrRail_ene!D$12</f>
        <v>0</v>
      </c>
      <c r="E40" s="102">
        <f>TrRail_ene!E$12</f>
        <v>0</v>
      </c>
      <c r="F40" s="102">
        <f>TrRail_ene!F$12</f>
        <v>0</v>
      </c>
      <c r="G40" s="102">
        <f>TrRail_ene!G$12</f>
        <v>0</v>
      </c>
      <c r="H40" s="102">
        <f>TrRail_ene!H$12</f>
        <v>0</v>
      </c>
      <c r="I40" s="102">
        <f>TrRail_ene!I$12</f>
        <v>0</v>
      </c>
      <c r="J40" s="102">
        <f>TrRail_ene!J$12</f>
        <v>0</v>
      </c>
      <c r="K40" s="102">
        <f>TrRail_ene!K$12</f>
        <v>0</v>
      </c>
      <c r="L40" s="102">
        <f>TrRail_ene!L$12</f>
        <v>0</v>
      </c>
      <c r="M40" s="102">
        <f>TrRail_ene!M$12</f>
        <v>0</v>
      </c>
      <c r="N40" s="102">
        <f>TrRail_ene!N$12</f>
        <v>0</v>
      </c>
      <c r="O40" s="102">
        <f>TrRail_ene!O$12</f>
        <v>0</v>
      </c>
      <c r="P40" s="102">
        <f>TrRail_ene!P$12</f>
        <v>0</v>
      </c>
      <c r="Q40" s="102">
        <f>TrRail_ene!Q$12</f>
        <v>0</v>
      </c>
      <c r="R40" s="102">
        <f>TrRail_ene!R$12</f>
        <v>0</v>
      </c>
      <c r="S40" s="102">
        <f>TrRail_ene!S$12</f>
        <v>0</v>
      </c>
      <c r="T40" s="102">
        <f>TrRail_ene!T$12</f>
        <v>0</v>
      </c>
      <c r="U40" s="102">
        <f>TrRail_ene!U$12</f>
        <v>0</v>
      </c>
      <c r="V40" s="102">
        <f>TrRail_ene!V$12</f>
        <v>0</v>
      </c>
      <c r="W40" s="102">
        <f>TrRail_ene!W$12</f>
        <v>0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0</v>
      </c>
      <c r="C41" s="102">
        <f>TrRail_ene!C$13</f>
        <v>0</v>
      </c>
      <c r="D41" s="102">
        <f>TrRail_ene!D$13</f>
        <v>0</v>
      </c>
      <c r="E41" s="102">
        <f>TrRail_ene!E$13</f>
        <v>0</v>
      </c>
      <c r="F41" s="102">
        <f>TrRail_ene!F$13</f>
        <v>0</v>
      </c>
      <c r="G41" s="102">
        <f>TrRail_ene!G$13</f>
        <v>0</v>
      </c>
      <c r="H41" s="102">
        <f>TrRail_ene!H$13</f>
        <v>0</v>
      </c>
      <c r="I41" s="102">
        <f>TrRail_ene!I$13</f>
        <v>0</v>
      </c>
      <c r="J41" s="102">
        <f>TrRail_ene!J$13</f>
        <v>0</v>
      </c>
      <c r="K41" s="102">
        <f>TrRail_ene!K$13</f>
        <v>0</v>
      </c>
      <c r="L41" s="102">
        <f>TrRail_ene!L$13</f>
        <v>0</v>
      </c>
      <c r="M41" s="102">
        <f>TrRail_ene!M$13</f>
        <v>0</v>
      </c>
      <c r="N41" s="102">
        <f>TrRail_ene!N$13</f>
        <v>0</v>
      </c>
      <c r="O41" s="102">
        <f>TrRail_ene!O$13</f>
        <v>0</v>
      </c>
      <c r="P41" s="102">
        <f>TrRail_ene!P$13</f>
        <v>0</v>
      </c>
      <c r="Q41" s="102">
        <f>TrRail_ene!Q$13</f>
        <v>0</v>
      </c>
      <c r="R41" s="102">
        <f>TrRail_ene!R$13</f>
        <v>0</v>
      </c>
      <c r="S41" s="102">
        <f>TrRail_ene!S$13</f>
        <v>0</v>
      </c>
      <c r="T41" s="102">
        <f>TrRail_ene!T$13</f>
        <v>0</v>
      </c>
      <c r="U41" s="102">
        <f>TrRail_ene!U$13</f>
        <v>0</v>
      </c>
      <c r="V41" s="102">
        <f>TrRail_ene!V$13</f>
        <v>0</v>
      </c>
      <c r="W41" s="102">
        <f>TrRail_ene!W$13</f>
        <v>0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0</v>
      </c>
      <c r="G42" s="102">
        <f>TrRail_ene!G$16</f>
        <v>0</v>
      </c>
      <c r="H42" s="102">
        <f>TrRail_ene!H$16</f>
        <v>0</v>
      </c>
      <c r="I42" s="102">
        <f>TrRail_ene!I$16</f>
        <v>0</v>
      </c>
      <c r="J42" s="102">
        <f>TrRail_ene!J$16</f>
        <v>0</v>
      </c>
      <c r="K42" s="102">
        <f>TrRail_ene!K$16</f>
        <v>0</v>
      </c>
      <c r="L42" s="102">
        <f>TrRail_ene!L$16</f>
        <v>0</v>
      </c>
      <c r="M42" s="102">
        <f>TrRail_ene!M$16</f>
        <v>0</v>
      </c>
      <c r="N42" s="102">
        <f>TrRail_ene!N$16</f>
        <v>0</v>
      </c>
      <c r="O42" s="102">
        <f>TrRail_ene!O$16</f>
        <v>0</v>
      </c>
      <c r="P42" s="102">
        <f>TrRail_ene!P$16</f>
        <v>0</v>
      </c>
      <c r="Q42" s="102">
        <f>TrRail_ene!Q$16</f>
        <v>0</v>
      </c>
      <c r="R42" s="102">
        <f>TrRail_ene!R$16</f>
        <v>0</v>
      </c>
      <c r="S42" s="102">
        <f>TrRail_ene!S$16</f>
        <v>0</v>
      </c>
      <c r="T42" s="102">
        <f>TrRail_ene!T$16</f>
        <v>0</v>
      </c>
      <c r="U42" s="102">
        <f>TrRail_ene!U$16</f>
        <v>0</v>
      </c>
      <c r="V42" s="102">
        <f>TrRail_ene!V$16</f>
        <v>0</v>
      </c>
      <c r="W42" s="102">
        <f>TrRail_ene!W$16</f>
        <v>0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272.98439210684074</v>
      </c>
      <c r="C43" s="110">
        <f t="shared" si="34"/>
        <v>322.70691572251678</v>
      </c>
      <c r="D43" s="110">
        <f t="shared" si="34"/>
        <v>309.12792337408899</v>
      </c>
      <c r="E43" s="110">
        <f t="shared" si="34"/>
        <v>331.58444151430621</v>
      </c>
      <c r="F43" s="110">
        <f t="shared" si="34"/>
        <v>300.01449403976443</v>
      </c>
      <c r="G43" s="110">
        <f t="shared" si="34"/>
        <v>294.50343848133105</v>
      </c>
      <c r="H43" s="110">
        <f t="shared" si="34"/>
        <v>302.10975875545455</v>
      </c>
      <c r="I43" s="110">
        <f t="shared" si="34"/>
        <v>290.25733460851774</v>
      </c>
      <c r="J43" s="110">
        <f t="shared" si="34"/>
        <v>289.25548919960698</v>
      </c>
      <c r="K43" s="110">
        <f t="shared" si="34"/>
        <v>268.55724297227891</v>
      </c>
      <c r="L43" s="110">
        <f t="shared" si="34"/>
        <v>274.52262193074176</v>
      </c>
      <c r="M43" s="110">
        <f t="shared" si="34"/>
        <v>302.11322538226256</v>
      </c>
      <c r="N43" s="110">
        <f t="shared" si="34"/>
        <v>272.5198848133723</v>
      </c>
      <c r="O43" s="110">
        <f t="shared" si="34"/>
        <v>242.55072359178786</v>
      </c>
      <c r="P43" s="110">
        <f t="shared" si="34"/>
        <v>239.11109036824681</v>
      </c>
      <c r="Q43" s="110">
        <f t="shared" si="34"/>
        <v>241.44884166276478</v>
      </c>
      <c r="R43" s="110">
        <f t="shared" ref="R43:V43" si="35">R44+R45+R46</f>
        <v>273.70205896739998</v>
      </c>
      <c r="S43" s="110">
        <f t="shared" si="35"/>
        <v>310.23327488267608</v>
      </c>
      <c r="T43" s="110">
        <f t="shared" si="35"/>
        <v>321.61729323454995</v>
      </c>
      <c r="U43" s="110">
        <f t="shared" si="35"/>
        <v>308.5967334374817</v>
      </c>
      <c r="V43" s="110">
        <f t="shared" si="35"/>
        <v>93.310508034617456</v>
      </c>
      <c r="W43" s="110">
        <f t="shared" ref="W43" si="36">W44+W45+W46</f>
        <v>155.83453437970306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0</v>
      </c>
      <c r="C44" s="102">
        <f>TrAvia_ene!C$7</f>
        <v>0</v>
      </c>
      <c r="D44" s="102">
        <f>TrAvia_ene!D$7</f>
        <v>0</v>
      </c>
      <c r="E44" s="102">
        <f>TrAvia_ene!E$7</f>
        <v>0</v>
      </c>
      <c r="F44" s="102">
        <f>TrAvia_ene!F$7</f>
        <v>0</v>
      </c>
      <c r="G44" s="102">
        <f>TrAvia_ene!G$7</f>
        <v>0</v>
      </c>
      <c r="H44" s="102">
        <f>TrAvia_ene!H$7</f>
        <v>0</v>
      </c>
      <c r="I44" s="102">
        <f>TrAvia_ene!I$7</f>
        <v>0</v>
      </c>
      <c r="J44" s="102">
        <f>TrAvia_ene!J$7</f>
        <v>0</v>
      </c>
      <c r="K44" s="102">
        <f>TrAvia_ene!K$7</f>
        <v>0</v>
      </c>
      <c r="L44" s="102">
        <f>TrAvia_ene!L$7</f>
        <v>0</v>
      </c>
      <c r="M44" s="102">
        <f>TrAvia_ene!M$7</f>
        <v>0</v>
      </c>
      <c r="N44" s="102">
        <f>TrAvia_ene!N$7</f>
        <v>0</v>
      </c>
      <c r="O44" s="102">
        <f>TrAvia_ene!O$7</f>
        <v>0</v>
      </c>
      <c r="P44" s="102">
        <f>TrAvia_ene!P$7</f>
        <v>0</v>
      </c>
      <c r="Q44" s="102">
        <f>TrAvia_ene!Q$7</f>
        <v>0</v>
      </c>
      <c r="R44" s="102">
        <f>TrAvia_ene!R$7</f>
        <v>0</v>
      </c>
      <c r="S44" s="102">
        <f>TrAvia_ene!S$7</f>
        <v>0</v>
      </c>
      <c r="T44" s="102">
        <f>TrAvia_ene!T$7</f>
        <v>0</v>
      </c>
      <c r="U44" s="102">
        <f>TrAvia_ene!U$7</f>
        <v>0</v>
      </c>
      <c r="V44" s="102">
        <f>TrAvia_ene!V$7</f>
        <v>0</v>
      </c>
      <c r="W44" s="102">
        <f>TrAvia_ene!W$7</f>
        <v>0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232.4896758264025</v>
      </c>
      <c r="C45" s="102">
        <f>TrAvia_ene!C$8</f>
        <v>274.83665076107854</v>
      </c>
      <c r="D45" s="102">
        <f>TrAvia_ene!D$8</f>
        <v>252.53244049705808</v>
      </c>
      <c r="E45" s="102">
        <f>TrAvia_ene!E$8</f>
        <v>270.87743574951526</v>
      </c>
      <c r="F45" s="102">
        <f>TrAvia_ene!F$8</f>
        <v>253.48321439286269</v>
      </c>
      <c r="G45" s="102">
        <f>TrAvia_ene!G$8</f>
        <v>250.84820051824119</v>
      </c>
      <c r="H45" s="102">
        <f>TrAvia_ene!H$8</f>
        <v>257.5197263021584</v>
      </c>
      <c r="I45" s="102">
        <f>TrAvia_ene!I$8</f>
        <v>247.61515617411845</v>
      </c>
      <c r="J45" s="102">
        <f>TrAvia_ene!J$8</f>
        <v>246.28717188676876</v>
      </c>
      <c r="K45" s="102">
        <f>TrAvia_ene!K$8</f>
        <v>226.5912997093229</v>
      </c>
      <c r="L45" s="102">
        <f>TrAvia_ene!L$8</f>
        <v>230.18387642304782</v>
      </c>
      <c r="M45" s="102">
        <f>TrAvia_ene!M$8</f>
        <v>254.05932611313224</v>
      </c>
      <c r="N45" s="102">
        <f>TrAvia_ene!N$8</f>
        <v>226.52807638633197</v>
      </c>
      <c r="O45" s="102">
        <f>TrAvia_ene!O$8</f>
        <v>199.81698835193626</v>
      </c>
      <c r="P45" s="102">
        <f>TrAvia_ene!P$8</f>
        <v>196.54061595249905</v>
      </c>
      <c r="Q45" s="102">
        <f>TrAvia_ene!Q$8</f>
        <v>198.83642668808707</v>
      </c>
      <c r="R45" s="102">
        <f>TrAvia_ene!R$8</f>
        <v>229.0542590779659</v>
      </c>
      <c r="S45" s="102">
        <f>TrAvia_ene!S$8</f>
        <v>262.69511902748582</v>
      </c>
      <c r="T45" s="102">
        <f>TrAvia_ene!T$8</f>
        <v>271.13813345644343</v>
      </c>
      <c r="U45" s="102">
        <f>TrAvia_ene!U$8</f>
        <v>258.36760167067104</v>
      </c>
      <c r="V45" s="102">
        <f>TrAvia_ene!V$8</f>
        <v>68.904140733621077</v>
      </c>
      <c r="W45" s="102">
        <f>TrAvia_ene!W$8</f>
        <v>120.25580563083516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40.494716280438226</v>
      </c>
      <c r="C46" s="102">
        <f>TrAvia_ene!C$9</f>
        <v>47.870264961438231</v>
      </c>
      <c r="D46" s="102">
        <f>TrAvia_ene!D$9</f>
        <v>56.595482877030904</v>
      </c>
      <c r="E46" s="102">
        <f>TrAvia_ene!E$9</f>
        <v>60.707005764790928</v>
      </c>
      <c r="F46" s="102">
        <f>TrAvia_ene!F$9</f>
        <v>46.531279646901723</v>
      </c>
      <c r="G46" s="102">
        <f>TrAvia_ene!G$9</f>
        <v>43.655237963089867</v>
      </c>
      <c r="H46" s="102">
        <f>TrAvia_ene!H$9</f>
        <v>44.590032453296118</v>
      </c>
      <c r="I46" s="102">
        <f>TrAvia_ene!I$9</f>
        <v>42.642178434399263</v>
      </c>
      <c r="J46" s="102">
        <f>TrAvia_ene!J$9</f>
        <v>42.968317312838224</v>
      </c>
      <c r="K46" s="102">
        <f>TrAvia_ene!K$9</f>
        <v>41.965943262955996</v>
      </c>
      <c r="L46" s="102">
        <f>TrAvia_ene!L$9</f>
        <v>44.338745507693964</v>
      </c>
      <c r="M46" s="102">
        <f>TrAvia_ene!M$9</f>
        <v>48.053899269130319</v>
      </c>
      <c r="N46" s="102">
        <f>TrAvia_ene!N$9</f>
        <v>45.991808427040333</v>
      </c>
      <c r="O46" s="102">
        <f>TrAvia_ene!O$9</f>
        <v>42.733735239851597</v>
      </c>
      <c r="P46" s="102">
        <f>TrAvia_ene!P$9</f>
        <v>42.570474415747761</v>
      </c>
      <c r="Q46" s="102">
        <f>TrAvia_ene!Q$9</f>
        <v>42.612414974677691</v>
      </c>
      <c r="R46" s="102">
        <f>TrAvia_ene!R$9</f>
        <v>44.64779988943409</v>
      </c>
      <c r="S46" s="102">
        <f>TrAvia_ene!S$9</f>
        <v>47.538155855190283</v>
      </c>
      <c r="T46" s="102">
        <f>TrAvia_ene!T$9</f>
        <v>50.479159778106506</v>
      </c>
      <c r="U46" s="102">
        <f>TrAvia_ene!U$9</f>
        <v>50.229131766810688</v>
      </c>
      <c r="V46" s="102">
        <f>TrAvia_ene!V$9</f>
        <v>24.406367300996379</v>
      </c>
      <c r="W46" s="102">
        <f>TrAvia_ene!W$9</f>
        <v>35.57872874886791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234.69525160884987</v>
      </c>
      <c r="C47" s="28">
        <f t="shared" si="37"/>
        <v>234.53417583331</v>
      </c>
      <c r="D47" s="28">
        <f t="shared" si="37"/>
        <v>226.92120124029745</v>
      </c>
      <c r="E47" s="28">
        <f t="shared" si="37"/>
        <v>231.62427606774685</v>
      </c>
      <c r="F47" s="28">
        <f t="shared" si="37"/>
        <v>227.18347255185668</v>
      </c>
      <c r="G47" s="28">
        <f t="shared" si="37"/>
        <v>230.61918611003645</v>
      </c>
      <c r="H47" s="28">
        <f t="shared" si="37"/>
        <v>208.80492169071371</v>
      </c>
      <c r="I47" s="28">
        <f t="shared" si="37"/>
        <v>212.68798094126618</v>
      </c>
      <c r="J47" s="28">
        <f t="shared" si="37"/>
        <v>218.64910856042474</v>
      </c>
      <c r="K47" s="28">
        <f t="shared" si="37"/>
        <v>201.27269644840641</v>
      </c>
      <c r="L47" s="28">
        <f t="shared" si="37"/>
        <v>206.44943157221797</v>
      </c>
      <c r="M47" s="28">
        <f t="shared" si="37"/>
        <v>191.51896566237295</v>
      </c>
      <c r="N47" s="28">
        <f t="shared" si="37"/>
        <v>165.03775580991163</v>
      </c>
      <c r="O47" s="28">
        <f t="shared" si="37"/>
        <v>134.91807145376063</v>
      </c>
      <c r="P47" s="28">
        <f t="shared" si="37"/>
        <v>121.68989224058022</v>
      </c>
      <c r="Q47" s="28">
        <f t="shared" si="37"/>
        <v>124.44392896995119</v>
      </c>
      <c r="R47" s="28">
        <f t="shared" ref="R47:V47" si="38">R48+R51+R52+R56</f>
        <v>137.3145621075835</v>
      </c>
      <c r="S47" s="28">
        <f t="shared" si="38"/>
        <v>147.84211125988159</v>
      </c>
      <c r="T47" s="28">
        <f t="shared" si="38"/>
        <v>150.52829516449691</v>
      </c>
      <c r="U47" s="28">
        <f t="shared" si="38"/>
        <v>148.64529111965129</v>
      </c>
      <c r="V47" s="28">
        <f t="shared" si="38"/>
        <v>141.94582882807106</v>
      </c>
      <c r="W47" s="28">
        <f t="shared" ref="W47" si="39">W48+W51+W52+W56</f>
        <v>147.15884897626992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225.39245540958566</v>
      </c>
      <c r="C48" s="137">
        <f t="shared" si="40"/>
        <v>226.5016246598681</v>
      </c>
      <c r="D48" s="137">
        <f t="shared" si="40"/>
        <v>217.9493825679549</v>
      </c>
      <c r="E48" s="137">
        <f t="shared" si="40"/>
        <v>222.98945704894902</v>
      </c>
      <c r="F48" s="137">
        <f t="shared" si="40"/>
        <v>216.47139737408034</v>
      </c>
      <c r="G48" s="137">
        <f t="shared" si="40"/>
        <v>218.60929699033562</v>
      </c>
      <c r="H48" s="137">
        <f t="shared" si="40"/>
        <v>194.92155920799107</v>
      </c>
      <c r="I48" s="137">
        <f t="shared" si="40"/>
        <v>200.64522956526105</v>
      </c>
      <c r="J48" s="137">
        <f t="shared" si="40"/>
        <v>206.65782217963624</v>
      </c>
      <c r="K48" s="137">
        <f t="shared" si="40"/>
        <v>190.70268232696225</v>
      </c>
      <c r="L48" s="137">
        <f t="shared" si="40"/>
        <v>196.57824438860035</v>
      </c>
      <c r="M48" s="137">
        <f t="shared" si="40"/>
        <v>183.95893223122192</v>
      </c>
      <c r="N48" s="137">
        <f t="shared" si="40"/>
        <v>159.48369393368802</v>
      </c>
      <c r="O48" s="137">
        <f t="shared" si="40"/>
        <v>129.94085007564308</v>
      </c>
      <c r="P48" s="137">
        <f t="shared" si="40"/>
        <v>117.48627925543062</v>
      </c>
      <c r="Q48" s="137">
        <f t="shared" si="40"/>
        <v>120.47144647106505</v>
      </c>
      <c r="R48" s="137">
        <f t="shared" ref="R48:V48" si="41">R49+R50</f>
        <v>133.99598478951492</v>
      </c>
      <c r="S48" s="137">
        <f t="shared" si="41"/>
        <v>143.7326518347331</v>
      </c>
      <c r="T48" s="137">
        <f t="shared" si="41"/>
        <v>146.79141814969179</v>
      </c>
      <c r="U48" s="137">
        <f t="shared" si="41"/>
        <v>145.39576488387428</v>
      </c>
      <c r="V48" s="137">
        <f t="shared" si="41"/>
        <v>139.66725689708232</v>
      </c>
      <c r="W48" s="137">
        <f t="shared" ref="W48" si="42">W49+W50</f>
        <v>144.40301362252509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177.99717184746902</v>
      </c>
      <c r="C49" s="102">
        <f>TrRoad_ene!C$43</f>
        <v>178.75540003812512</v>
      </c>
      <c r="D49" s="102">
        <f>TrRoad_ene!D$43</f>
        <v>173.05640755819124</v>
      </c>
      <c r="E49" s="102">
        <f>TrRoad_ene!E$43</f>
        <v>174.14188873600077</v>
      </c>
      <c r="F49" s="102">
        <f>TrRoad_ene!F$43</f>
        <v>173.44839106527601</v>
      </c>
      <c r="G49" s="102">
        <f>TrRoad_ene!G$43</f>
        <v>167.31401705786405</v>
      </c>
      <c r="H49" s="102">
        <f>TrRoad_ene!H$43</f>
        <v>153.10719384274699</v>
      </c>
      <c r="I49" s="102">
        <f>TrRoad_ene!I$43</f>
        <v>155.57867572884663</v>
      </c>
      <c r="J49" s="102">
        <f>TrRoad_ene!J$43</f>
        <v>158.08137328438124</v>
      </c>
      <c r="K49" s="102">
        <f>TrRoad_ene!K$43</f>
        <v>152.21936742956763</v>
      </c>
      <c r="L49" s="102">
        <f>TrRoad_ene!L$43</f>
        <v>152.75301105366253</v>
      </c>
      <c r="M49" s="102">
        <f>TrRoad_ene!M$43</f>
        <v>147.15385577898519</v>
      </c>
      <c r="N49" s="102">
        <f>TrRoad_ene!N$43</f>
        <v>128.96530553075144</v>
      </c>
      <c r="O49" s="102">
        <f>TrRoad_ene!O$43</f>
        <v>109.72172275561596</v>
      </c>
      <c r="P49" s="102">
        <f>TrRoad_ene!P$43</f>
        <v>100.2415568652175</v>
      </c>
      <c r="Q49" s="102">
        <f>TrRoad_ene!Q$43</f>
        <v>102.77945728569134</v>
      </c>
      <c r="R49" s="102">
        <f>TrRoad_ene!R$43</f>
        <v>109.9495266647213</v>
      </c>
      <c r="S49" s="102">
        <f>TrRoad_ene!S$43</f>
        <v>115.50673408709959</v>
      </c>
      <c r="T49" s="102">
        <f>TrRoad_ene!T$43</f>
        <v>117.28683260006414</v>
      </c>
      <c r="U49" s="102">
        <f>TrRoad_ene!U$43</f>
        <v>114.55274960347018</v>
      </c>
      <c r="V49" s="102">
        <f>TrRoad_ene!V$43</f>
        <v>116.2735517334969</v>
      </c>
      <c r="W49" s="102">
        <f>TrRoad_ene!W$43</f>
        <v>120.10495566088656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47.395283562116639</v>
      </c>
      <c r="C50" s="102">
        <f>TrRoad_ene!C$52</f>
        <v>47.746224621742975</v>
      </c>
      <c r="D50" s="102">
        <f>TrRoad_ene!D$52</f>
        <v>44.892975009763667</v>
      </c>
      <c r="E50" s="102">
        <f>TrRoad_ene!E$52</f>
        <v>48.847568312948262</v>
      </c>
      <c r="F50" s="102">
        <f>TrRoad_ene!F$52</f>
        <v>43.023006308804334</v>
      </c>
      <c r="G50" s="102">
        <f>TrRoad_ene!G$52</f>
        <v>51.295279932471573</v>
      </c>
      <c r="H50" s="102">
        <f>TrRoad_ene!H$52</f>
        <v>41.814365365244072</v>
      </c>
      <c r="I50" s="102">
        <f>TrRoad_ene!I$52</f>
        <v>45.066553836414407</v>
      </c>
      <c r="J50" s="102">
        <f>TrRoad_ene!J$52</f>
        <v>48.576448895255005</v>
      </c>
      <c r="K50" s="102">
        <f>TrRoad_ene!K$52</f>
        <v>38.483314897394614</v>
      </c>
      <c r="L50" s="102">
        <f>TrRoad_ene!L$52</f>
        <v>43.825233334937813</v>
      </c>
      <c r="M50" s="102">
        <f>TrRoad_ene!M$52</f>
        <v>36.805076452236747</v>
      </c>
      <c r="N50" s="102">
        <f>TrRoad_ene!N$52</f>
        <v>30.518388402936573</v>
      </c>
      <c r="O50" s="102">
        <f>TrRoad_ene!O$52</f>
        <v>20.219127320027123</v>
      </c>
      <c r="P50" s="102">
        <f>TrRoad_ene!P$52</f>
        <v>17.244722390213116</v>
      </c>
      <c r="Q50" s="102">
        <f>TrRoad_ene!Q$52</f>
        <v>17.691989185373711</v>
      </c>
      <c r="R50" s="102">
        <f>TrRoad_ene!R$52</f>
        <v>24.046458124793624</v>
      </c>
      <c r="S50" s="102">
        <f>TrRoad_ene!S$52</f>
        <v>28.225917747633517</v>
      </c>
      <c r="T50" s="102">
        <f>TrRoad_ene!T$52</f>
        <v>29.504585549627652</v>
      </c>
      <c r="U50" s="102">
        <f>TrRoad_ene!U$52</f>
        <v>30.843015280404089</v>
      </c>
      <c r="V50" s="102">
        <f>TrRoad_ene!V$52</f>
        <v>23.393705163585416</v>
      </c>
      <c r="W50" s="102">
        <f>TrRoad_ene!W$52</f>
        <v>24.298057961638531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0</v>
      </c>
      <c r="C51" s="110">
        <f>TrRail_ene!C$17</f>
        <v>0</v>
      </c>
      <c r="D51" s="110">
        <f>TrRail_ene!D$17</f>
        <v>0</v>
      </c>
      <c r="E51" s="110">
        <f>TrRail_ene!E$17</f>
        <v>0</v>
      </c>
      <c r="F51" s="110">
        <f>TrRail_ene!F$17</f>
        <v>0</v>
      </c>
      <c r="G51" s="110">
        <f>TrRail_ene!G$17</f>
        <v>0</v>
      </c>
      <c r="H51" s="110">
        <f>TrRail_ene!H$17</f>
        <v>0</v>
      </c>
      <c r="I51" s="110">
        <f>TrRail_ene!I$17</f>
        <v>0</v>
      </c>
      <c r="J51" s="110">
        <f>TrRail_ene!J$17</f>
        <v>0</v>
      </c>
      <c r="K51" s="110">
        <f>TrRail_ene!K$17</f>
        <v>0</v>
      </c>
      <c r="L51" s="110">
        <f>TrRail_ene!L$17</f>
        <v>0</v>
      </c>
      <c r="M51" s="110">
        <f>TrRail_ene!M$17</f>
        <v>0</v>
      </c>
      <c r="N51" s="110">
        <f>TrRail_ene!N$17</f>
        <v>0</v>
      </c>
      <c r="O51" s="110">
        <f>TrRail_ene!O$17</f>
        <v>0</v>
      </c>
      <c r="P51" s="110">
        <f>TrRail_ene!P$17</f>
        <v>0</v>
      </c>
      <c r="Q51" s="110">
        <f>TrRail_ene!Q$17</f>
        <v>0</v>
      </c>
      <c r="R51" s="110">
        <f>TrRail_ene!R$17</f>
        <v>0</v>
      </c>
      <c r="S51" s="110">
        <f>TrRail_ene!S$17</f>
        <v>0</v>
      </c>
      <c r="T51" s="110">
        <f>TrRail_ene!T$17</f>
        <v>0</v>
      </c>
      <c r="U51" s="110">
        <f>TrRail_ene!U$17</f>
        <v>0</v>
      </c>
      <c r="V51" s="110">
        <f>TrRail_ene!V$17</f>
        <v>0</v>
      </c>
      <c r="W51" s="110">
        <f>TrRail_ene!W$17</f>
        <v>0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9.3027961992642112</v>
      </c>
      <c r="C52" s="110">
        <f t="shared" si="43"/>
        <v>8.0325511734419095</v>
      </c>
      <c r="D52" s="110">
        <f t="shared" si="43"/>
        <v>8.9718186723425433</v>
      </c>
      <c r="E52" s="110">
        <f t="shared" si="43"/>
        <v>8.634819018797824</v>
      </c>
      <c r="F52" s="110">
        <f t="shared" si="43"/>
        <v>10.712075177776336</v>
      </c>
      <c r="G52" s="110">
        <f t="shared" si="43"/>
        <v>12.009889119700834</v>
      </c>
      <c r="H52" s="110">
        <f t="shared" si="43"/>
        <v>13.883362482722637</v>
      </c>
      <c r="I52" s="110">
        <f t="shared" si="43"/>
        <v>12.042751376005132</v>
      </c>
      <c r="J52" s="110">
        <f t="shared" si="43"/>
        <v>11.991286380788496</v>
      </c>
      <c r="K52" s="110">
        <f t="shared" si="43"/>
        <v>10.570014121444148</v>
      </c>
      <c r="L52" s="110">
        <f t="shared" si="43"/>
        <v>9.8711871836176357</v>
      </c>
      <c r="M52" s="110">
        <f t="shared" si="43"/>
        <v>7.5600334311510311</v>
      </c>
      <c r="N52" s="110">
        <f t="shared" si="43"/>
        <v>5.5540618762236251</v>
      </c>
      <c r="O52" s="110">
        <f t="shared" si="43"/>
        <v>4.9772213781175472</v>
      </c>
      <c r="P52" s="110">
        <f t="shared" si="43"/>
        <v>4.203612985149606</v>
      </c>
      <c r="Q52" s="110">
        <f t="shared" si="43"/>
        <v>3.9724824988861354</v>
      </c>
      <c r="R52" s="110">
        <f t="shared" si="43"/>
        <v>3.3185773180685638</v>
      </c>
      <c r="S52" s="110">
        <f t="shared" si="43"/>
        <v>3.4489263211072303</v>
      </c>
      <c r="T52" s="110">
        <f t="shared" si="43"/>
        <v>3.0477110646761596</v>
      </c>
      <c r="U52" s="110">
        <f t="shared" si="43"/>
        <v>2.3510739571871642</v>
      </c>
      <c r="V52" s="110">
        <f t="shared" si="43"/>
        <v>1.8814094202406673</v>
      </c>
      <c r="W52" s="110">
        <f t="shared" ref="W52" si="44">W53+W54+W55</f>
        <v>1.8450013038738122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0</v>
      </c>
      <c r="C53" s="102">
        <f>TrAvia_ene!C$11</f>
        <v>0</v>
      </c>
      <c r="D53" s="102">
        <f>TrAvia_ene!D$11</f>
        <v>0</v>
      </c>
      <c r="E53" s="102">
        <f>TrAvia_ene!E$11</f>
        <v>0</v>
      </c>
      <c r="F53" s="102">
        <f>TrAvia_ene!F$11</f>
        <v>0</v>
      </c>
      <c r="G53" s="102">
        <f>TrAvia_ene!G$11</f>
        <v>0</v>
      </c>
      <c r="H53" s="102">
        <f>TrAvia_ene!H$11</f>
        <v>0</v>
      </c>
      <c r="I53" s="102">
        <f>TrAvia_ene!I$11</f>
        <v>0</v>
      </c>
      <c r="J53" s="102">
        <f>TrAvia_ene!J$11</f>
        <v>0</v>
      </c>
      <c r="K53" s="102">
        <f>TrAvia_ene!K$11</f>
        <v>0</v>
      </c>
      <c r="L53" s="102">
        <f>TrAvia_ene!L$11</f>
        <v>0</v>
      </c>
      <c r="M53" s="102">
        <f>TrAvia_ene!M$11</f>
        <v>0</v>
      </c>
      <c r="N53" s="102">
        <f>TrAvia_ene!N$11</f>
        <v>0</v>
      </c>
      <c r="O53" s="102">
        <f>TrAvia_ene!O$11</f>
        <v>0</v>
      </c>
      <c r="P53" s="102">
        <f>TrAvia_ene!P$11</f>
        <v>0</v>
      </c>
      <c r="Q53" s="102">
        <f>TrAvia_ene!Q$11</f>
        <v>0</v>
      </c>
      <c r="R53" s="102">
        <f>TrAvia_ene!R$11</f>
        <v>0</v>
      </c>
      <c r="S53" s="102">
        <f>TrAvia_ene!S$11</f>
        <v>0</v>
      </c>
      <c r="T53" s="102">
        <f>TrAvia_ene!T$11</f>
        <v>0</v>
      </c>
      <c r="U53" s="102">
        <f>TrAvia_ene!U$11</f>
        <v>0</v>
      </c>
      <c r="V53" s="102">
        <f>TrAvia_ene!V$11</f>
        <v>0</v>
      </c>
      <c r="W53" s="102">
        <f>TrAvia_ene!W$11</f>
        <v>0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8.8665620361405999</v>
      </c>
      <c r="C54" s="102">
        <f>TrAvia_ene!C$12</f>
        <v>7.6109896260939705</v>
      </c>
      <c r="D54" s="102">
        <f>TrAvia_ene!D$12</f>
        <v>8.5151475958443914</v>
      </c>
      <c r="E54" s="102">
        <f>TrAvia_ene!E$12</f>
        <v>8.1824656684567305</v>
      </c>
      <c r="F54" s="102">
        <f>TrAvia_ene!F$12</f>
        <v>10.20209904018715</v>
      </c>
      <c r="G54" s="102">
        <f>TrAvia_ene!G$12</f>
        <v>11.532423625152791</v>
      </c>
      <c r="H54" s="102">
        <f>TrAvia_ene!H$12</f>
        <v>13.444254650442284</v>
      </c>
      <c r="I54" s="102">
        <f>TrAvia_ene!I$12</f>
        <v>11.637753083296024</v>
      </c>
      <c r="J54" s="102">
        <f>TrAvia_ene!J$12</f>
        <v>11.514093921763148</v>
      </c>
      <c r="K54" s="102">
        <f>TrAvia_ene!K$12</f>
        <v>9.999027411450724</v>
      </c>
      <c r="L54" s="102">
        <f>TrAvia_ene!L$12</f>
        <v>9.1539784003838101</v>
      </c>
      <c r="M54" s="102">
        <f>TrAvia_ene!M$12</f>
        <v>7.233174268968213</v>
      </c>
      <c r="N54" s="102">
        <f>TrAvia_ene!N$12</f>
        <v>5.389059942531758</v>
      </c>
      <c r="O54" s="102">
        <f>TrAvia_ene!O$12</f>
        <v>4.8019942223543897</v>
      </c>
      <c r="P54" s="102">
        <f>TrAvia_ene!P$12</f>
        <v>4.0710800290016413</v>
      </c>
      <c r="Q54" s="102">
        <f>TrAvia_ene!Q$12</f>
        <v>3.8235534891353971</v>
      </c>
      <c r="R54" s="102">
        <f>TrAvia_ene!R$12</f>
        <v>3.2246462185993185</v>
      </c>
      <c r="S54" s="102">
        <f>TrAvia_ene!S$12</f>
        <v>3.3475171039066147</v>
      </c>
      <c r="T54" s="102">
        <f>TrAvia_ene!T$12</f>
        <v>2.9386083194598704</v>
      </c>
      <c r="U54" s="102">
        <f>TrAvia_ene!U$12</f>
        <v>2.1127306023519736</v>
      </c>
      <c r="V54" s="102">
        <f>TrAvia_ene!V$12</f>
        <v>1.4007135789842791</v>
      </c>
      <c r="W54" s="102">
        <f>TrAvia_ene!W$12</f>
        <v>1.6201702944916063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0.43623416312361074</v>
      </c>
      <c r="C55" s="102">
        <f>TrAvia_ene!C$13</f>
        <v>0.42156154734793921</v>
      </c>
      <c r="D55" s="102">
        <f>TrAvia_ene!D$13</f>
        <v>0.45667107649815231</v>
      </c>
      <c r="E55" s="102">
        <f>TrAvia_ene!E$13</f>
        <v>0.45235335034109331</v>
      </c>
      <c r="F55" s="102">
        <f>TrAvia_ene!F$13</f>
        <v>0.50997613758918581</v>
      </c>
      <c r="G55" s="102">
        <f>TrAvia_ene!G$13</f>
        <v>0.47746549454804271</v>
      </c>
      <c r="H55" s="102">
        <f>TrAvia_ene!H$13</f>
        <v>0.43910783228035311</v>
      </c>
      <c r="I55" s="102">
        <f>TrAvia_ene!I$13</f>
        <v>0.40499829270910709</v>
      </c>
      <c r="J55" s="102">
        <f>TrAvia_ene!J$13</f>
        <v>0.47719245902534807</v>
      </c>
      <c r="K55" s="102">
        <f>TrAvia_ene!K$13</f>
        <v>0.57098670999342394</v>
      </c>
      <c r="L55" s="102">
        <f>TrAvia_ene!L$13</f>
        <v>0.71720878323382542</v>
      </c>
      <c r="M55" s="102">
        <f>TrAvia_ene!M$13</f>
        <v>0.32685916218281807</v>
      </c>
      <c r="N55" s="102">
        <f>TrAvia_ene!N$13</f>
        <v>0.16500193369186705</v>
      </c>
      <c r="O55" s="102">
        <f>TrAvia_ene!O$13</f>
        <v>0.17522715576315714</v>
      </c>
      <c r="P55" s="102">
        <f>TrAvia_ene!P$13</f>
        <v>0.13253295614796495</v>
      </c>
      <c r="Q55" s="102">
        <f>TrAvia_ene!Q$13</f>
        <v>0.14892900975073811</v>
      </c>
      <c r="R55" s="102">
        <f>TrAvia_ene!R$13</f>
        <v>9.3931099469245175E-2</v>
      </c>
      <c r="S55" s="102">
        <f>TrAvia_ene!S$13</f>
        <v>0.10140921720061544</v>
      </c>
      <c r="T55" s="102">
        <f>TrAvia_ene!T$13</f>
        <v>0.109102745216289</v>
      </c>
      <c r="U55" s="102">
        <f>TrAvia_ene!U$13</f>
        <v>0.23834335483519048</v>
      </c>
      <c r="V55" s="102">
        <f>TrAvia_ene!V$13</f>
        <v>0.48069584125638809</v>
      </c>
      <c r="W55" s="102">
        <f>TrAvia_ene!W$13</f>
        <v>0.22483100938220599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0</v>
      </c>
      <c r="C56" s="110">
        <f t="shared" si="45"/>
        <v>0</v>
      </c>
      <c r="D56" s="110">
        <f t="shared" si="45"/>
        <v>0</v>
      </c>
      <c r="E56" s="110">
        <f t="shared" si="45"/>
        <v>0</v>
      </c>
      <c r="F56" s="110">
        <f t="shared" si="45"/>
        <v>0</v>
      </c>
      <c r="G56" s="110">
        <f t="shared" si="45"/>
        <v>0</v>
      </c>
      <c r="H56" s="110">
        <f t="shared" si="45"/>
        <v>0</v>
      </c>
      <c r="I56" s="110">
        <f t="shared" si="45"/>
        <v>0</v>
      </c>
      <c r="J56" s="110">
        <f t="shared" si="45"/>
        <v>0</v>
      </c>
      <c r="K56" s="110">
        <f t="shared" si="45"/>
        <v>0</v>
      </c>
      <c r="L56" s="110">
        <f t="shared" si="45"/>
        <v>0</v>
      </c>
      <c r="M56" s="110">
        <f t="shared" si="45"/>
        <v>0</v>
      </c>
      <c r="N56" s="110">
        <f t="shared" si="45"/>
        <v>0</v>
      </c>
      <c r="O56" s="110">
        <f t="shared" si="45"/>
        <v>0</v>
      </c>
      <c r="P56" s="110">
        <f t="shared" si="45"/>
        <v>0</v>
      </c>
      <c r="Q56" s="110">
        <f t="shared" si="45"/>
        <v>0</v>
      </c>
      <c r="R56" s="110">
        <f t="shared" ref="R56:V56" si="46">R57+R58</f>
        <v>0</v>
      </c>
      <c r="S56" s="110">
        <f t="shared" si="46"/>
        <v>0.66053310404127252</v>
      </c>
      <c r="T56" s="110">
        <f t="shared" si="46"/>
        <v>0.68916595012897675</v>
      </c>
      <c r="U56" s="110">
        <f t="shared" si="46"/>
        <v>0.89845227858985377</v>
      </c>
      <c r="V56" s="110">
        <f t="shared" si="46"/>
        <v>0.3971625107480653</v>
      </c>
      <c r="W56" s="110">
        <f t="shared" ref="W56" si="47">W57+W58</f>
        <v>0.91083404987102301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0</v>
      </c>
      <c r="C57" s="102">
        <f>TrNavi_ene!C4</f>
        <v>0</v>
      </c>
      <c r="D57" s="102">
        <f>TrNavi_ene!D4</f>
        <v>0</v>
      </c>
      <c r="E57" s="102">
        <f>TrNavi_ene!E4</f>
        <v>0</v>
      </c>
      <c r="F57" s="102">
        <f>TrNavi_ene!F4</f>
        <v>0</v>
      </c>
      <c r="G57" s="102">
        <f>TrNavi_ene!G4</f>
        <v>0</v>
      </c>
      <c r="H57" s="102">
        <f>TrNavi_ene!H4</f>
        <v>0</v>
      </c>
      <c r="I57" s="102">
        <f>TrNavi_ene!I4</f>
        <v>0</v>
      </c>
      <c r="J57" s="102">
        <f>TrNavi_ene!J4</f>
        <v>0</v>
      </c>
      <c r="K57" s="102">
        <f>TrNavi_ene!K4</f>
        <v>0</v>
      </c>
      <c r="L57" s="102">
        <f>TrNavi_ene!L4</f>
        <v>0</v>
      </c>
      <c r="M57" s="102">
        <f>TrNavi_ene!M4</f>
        <v>0</v>
      </c>
      <c r="N57" s="102">
        <f>TrNavi_ene!N4</f>
        <v>0</v>
      </c>
      <c r="O57" s="102">
        <f>TrNavi_ene!O4</f>
        <v>0</v>
      </c>
      <c r="P57" s="102">
        <f>TrNavi_ene!P4</f>
        <v>0</v>
      </c>
      <c r="Q57" s="102">
        <f>TrNavi_ene!Q4</f>
        <v>0</v>
      </c>
      <c r="R57" s="102">
        <f>TrNavi_ene!R4</f>
        <v>0</v>
      </c>
      <c r="S57" s="102">
        <f>TrNavi_ene!S4</f>
        <v>0.66053310404127252</v>
      </c>
      <c r="T57" s="102">
        <f>TrNavi_ene!T4</f>
        <v>0.68916595012897675</v>
      </c>
      <c r="U57" s="102">
        <f>TrNavi_ene!U4</f>
        <v>0.89845227858985377</v>
      </c>
      <c r="V57" s="102">
        <f>TrNavi_ene!V4</f>
        <v>0.3971625107480653</v>
      </c>
      <c r="W57" s="102">
        <f>TrNavi_ene!W4</f>
        <v>0.91083404987102301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0</v>
      </c>
      <c r="C58" s="169">
        <f>TrNavi_ene!C10</f>
        <v>0</v>
      </c>
      <c r="D58" s="169">
        <f>TrNavi_ene!D10</f>
        <v>0</v>
      </c>
      <c r="E58" s="169">
        <f>TrNavi_ene!E10</f>
        <v>0</v>
      </c>
      <c r="F58" s="169">
        <f>TrNavi_ene!F10</f>
        <v>0</v>
      </c>
      <c r="G58" s="169">
        <f>TrNavi_ene!G10</f>
        <v>0</v>
      </c>
      <c r="H58" s="169">
        <f>TrNavi_ene!H10</f>
        <v>0</v>
      </c>
      <c r="I58" s="169">
        <f>TrNavi_ene!I10</f>
        <v>0</v>
      </c>
      <c r="J58" s="169">
        <f>TrNavi_ene!J10</f>
        <v>0</v>
      </c>
      <c r="K58" s="169">
        <f>TrNavi_ene!K10</f>
        <v>0</v>
      </c>
      <c r="L58" s="169">
        <f>TrNavi_ene!L10</f>
        <v>0</v>
      </c>
      <c r="M58" s="169">
        <f>TrNavi_ene!M10</f>
        <v>0</v>
      </c>
      <c r="N58" s="169">
        <f>TrNavi_ene!N10</f>
        <v>0</v>
      </c>
      <c r="O58" s="169">
        <f>TrNavi_ene!O10</f>
        <v>0</v>
      </c>
      <c r="P58" s="169">
        <f>TrNavi_ene!P10</f>
        <v>0</v>
      </c>
      <c r="Q58" s="169">
        <f>TrNavi_ene!Q10</f>
        <v>0</v>
      </c>
      <c r="R58" s="169">
        <f>TrNavi_ene!R10</f>
        <v>0</v>
      </c>
      <c r="S58" s="169">
        <f>TrNavi_ene!S10</f>
        <v>0</v>
      </c>
      <c r="T58" s="169">
        <f>TrNavi_ene!T10</f>
        <v>0</v>
      </c>
      <c r="U58" s="169">
        <f>TrNavi_ene!U10</f>
        <v>0</v>
      </c>
      <c r="V58" s="169">
        <f>TrNavi_ene!V10</f>
        <v>0</v>
      </c>
      <c r="W58" s="169">
        <f>TrNavi_ene!W10</f>
        <v>0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190.30490111779869</v>
      </c>
      <c r="C59" s="28">
        <f t="shared" ref="C59:W59" si="48">C60+C61</f>
        <v>189.15726569217543</v>
      </c>
      <c r="D59" s="28">
        <f t="shared" si="48"/>
        <v>136.17841788478069</v>
      </c>
      <c r="E59" s="28">
        <f t="shared" si="48"/>
        <v>122.85219260533103</v>
      </c>
      <c r="F59" s="28">
        <f t="shared" si="48"/>
        <v>54.745485812553738</v>
      </c>
      <c r="G59" s="28">
        <f t="shared" si="48"/>
        <v>286.88804815133273</v>
      </c>
      <c r="H59" s="28">
        <f t="shared" si="48"/>
        <v>293.16878761822869</v>
      </c>
      <c r="I59" s="28">
        <f t="shared" si="48"/>
        <v>272.89071367153906</v>
      </c>
      <c r="J59" s="28">
        <f t="shared" si="48"/>
        <v>251.53310404127257</v>
      </c>
      <c r="K59" s="28">
        <f t="shared" si="48"/>
        <v>217.0680997420464</v>
      </c>
      <c r="L59" s="28">
        <f t="shared" si="48"/>
        <v>184.45047291487532</v>
      </c>
      <c r="M59" s="28">
        <f t="shared" si="48"/>
        <v>196.64135855546004</v>
      </c>
      <c r="N59" s="28">
        <f t="shared" si="48"/>
        <v>195.30060189165948</v>
      </c>
      <c r="O59" s="28">
        <f t="shared" si="48"/>
        <v>236.93490971625107</v>
      </c>
      <c r="P59" s="28">
        <f t="shared" si="48"/>
        <v>230.4600171969046</v>
      </c>
      <c r="Q59" s="28">
        <f t="shared" si="48"/>
        <v>241.89724849527079</v>
      </c>
      <c r="R59" s="28">
        <f t="shared" si="48"/>
        <v>284.72622527944969</v>
      </c>
      <c r="S59" s="28">
        <f t="shared" si="48"/>
        <v>253.2782459157352</v>
      </c>
      <c r="T59" s="28">
        <f t="shared" si="48"/>
        <v>269.36887360275148</v>
      </c>
      <c r="U59" s="28">
        <f t="shared" si="48"/>
        <v>277.39097162510751</v>
      </c>
      <c r="V59" s="28">
        <f t="shared" si="48"/>
        <v>275.59157351676697</v>
      </c>
      <c r="W59" s="28">
        <f t="shared" si="48"/>
        <v>252.59294926913151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101.17443463118097</v>
      </c>
      <c r="C60" s="102">
        <f>MBunk_ene!C$4</f>
        <v>100.78172040143693</v>
      </c>
      <c r="D60" s="102">
        <f>MBunk_ene!D$4</f>
        <v>72.236427711370069</v>
      </c>
      <c r="E60" s="102">
        <f>MBunk_ene!E$4</f>
        <v>68.924006328694531</v>
      </c>
      <c r="F60" s="102">
        <f>MBunk_ene!F$4</f>
        <v>31.543317246708185</v>
      </c>
      <c r="G60" s="102">
        <f>MBunk_ene!G$4</f>
        <v>154.2811918932708</v>
      </c>
      <c r="H60" s="102">
        <f>MBunk_ene!H$4</f>
        <v>160.37404062368583</v>
      </c>
      <c r="I60" s="102">
        <f>MBunk_ene!I$4</f>
        <v>124.68100156422287</v>
      </c>
      <c r="J60" s="102">
        <f>MBunk_ene!J$4</f>
        <v>134.50869427385544</v>
      </c>
      <c r="K60" s="102">
        <f>MBunk_ene!K$4</f>
        <v>107.88318192142842</v>
      </c>
      <c r="L60" s="102">
        <f>MBunk_ene!L$4</f>
        <v>95.932731983089766</v>
      </c>
      <c r="M60" s="102">
        <f>MBunk_ene!M$4</f>
        <v>108.04868632371196</v>
      </c>
      <c r="N60" s="102">
        <f>MBunk_ene!N$4</f>
        <v>112.49144421695175</v>
      </c>
      <c r="O60" s="102">
        <f>MBunk_ene!O$4</f>
        <v>137.25885135066432</v>
      </c>
      <c r="P60" s="102">
        <f>MBunk_ene!P$4</f>
        <v>129.84051278650855</v>
      </c>
      <c r="Q60" s="102">
        <f>MBunk_ene!Q$4</f>
        <v>137.80255239897994</v>
      </c>
      <c r="R60" s="102">
        <f>MBunk_ene!R$4</f>
        <v>159.84708633326625</v>
      </c>
      <c r="S60" s="102">
        <f>MBunk_ene!S$4</f>
        <v>137.28122792507838</v>
      </c>
      <c r="T60" s="102">
        <f>MBunk_ene!T$4</f>
        <v>138.89302920429276</v>
      </c>
      <c r="U60" s="102">
        <f>MBunk_ene!U$4</f>
        <v>152.95767149124191</v>
      </c>
      <c r="V60" s="102">
        <f>MBunk_ene!V$4</f>
        <v>144.83588359970577</v>
      </c>
      <c r="W60" s="102">
        <f>MBunk_ene!W$4</f>
        <v>132.23177357615972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89.130466486617735</v>
      </c>
      <c r="C61" s="86">
        <f>MBunk_ene!C$10</f>
        <v>88.375545290738501</v>
      </c>
      <c r="D61" s="86">
        <f>MBunk_ene!D$10</f>
        <v>63.94199017341063</v>
      </c>
      <c r="E61" s="86">
        <f>MBunk_ene!E$10</f>
        <v>53.928186276636502</v>
      </c>
      <c r="F61" s="86">
        <f>MBunk_ene!F$10</f>
        <v>23.202168565845554</v>
      </c>
      <c r="G61" s="86">
        <f>MBunk_ene!G$10</f>
        <v>132.60685625806192</v>
      </c>
      <c r="H61" s="86">
        <f>MBunk_ene!H$10</f>
        <v>132.79474699454286</v>
      </c>
      <c r="I61" s="86">
        <f>MBunk_ene!I$10</f>
        <v>148.20971210731622</v>
      </c>
      <c r="J61" s="86">
        <f>MBunk_ene!J$10</f>
        <v>117.02440976741711</v>
      </c>
      <c r="K61" s="86">
        <f>MBunk_ene!K$10</f>
        <v>109.18491782061797</v>
      </c>
      <c r="L61" s="86">
        <f>MBunk_ene!L$10</f>
        <v>88.517740931785568</v>
      </c>
      <c r="M61" s="86">
        <f>MBunk_ene!M$10</f>
        <v>88.592672231748068</v>
      </c>
      <c r="N61" s="86">
        <f>MBunk_ene!N$10</f>
        <v>82.80915767470772</v>
      </c>
      <c r="O61" s="86">
        <f>MBunk_ene!O$10</f>
        <v>99.676058365586755</v>
      </c>
      <c r="P61" s="86">
        <f>MBunk_ene!P$10</f>
        <v>100.61950441039605</v>
      </c>
      <c r="Q61" s="86">
        <f>MBunk_ene!Q$10</f>
        <v>104.09469609629085</v>
      </c>
      <c r="R61" s="86">
        <f>MBunk_ene!R$10</f>
        <v>124.87913894618345</v>
      </c>
      <c r="S61" s="86">
        <f>MBunk_ene!S$10</f>
        <v>115.99701799065681</v>
      </c>
      <c r="T61" s="86">
        <f>MBunk_ene!T$10</f>
        <v>130.47584439845872</v>
      </c>
      <c r="U61" s="86">
        <f>MBunk_ene!U$10</f>
        <v>124.4333001338656</v>
      </c>
      <c r="V61" s="86">
        <f>MBunk_ene!V$10</f>
        <v>130.7556899170612</v>
      </c>
      <c r="W61" s="86">
        <f>MBunk_ene!W$10</f>
        <v>120.3611756929718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1871.6055495867581</v>
      </c>
      <c r="C64" s="28">
        <f t="shared" si="49"/>
        <v>2073.7917255242769</v>
      </c>
      <c r="D64" s="28">
        <f t="shared" si="49"/>
        <v>2042.4461059189321</v>
      </c>
      <c r="E64" s="28">
        <f t="shared" si="49"/>
        <v>2200.1776137809916</v>
      </c>
      <c r="F64" s="28">
        <f t="shared" si="49"/>
        <v>2226.7416350546882</v>
      </c>
      <c r="G64" s="28">
        <f t="shared" si="49"/>
        <v>2242.1809692780689</v>
      </c>
      <c r="H64" s="28">
        <f t="shared" si="49"/>
        <v>2326.6079104121854</v>
      </c>
      <c r="I64" s="28">
        <f t="shared" si="49"/>
        <v>2408.2464380530801</v>
      </c>
      <c r="J64" s="28">
        <f t="shared" si="49"/>
        <v>2451.8632746092553</v>
      </c>
      <c r="K64" s="28">
        <f t="shared" si="49"/>
        <v>2440.2269750663131</v>
      </c>
      <c r="L64" s="28">
        <f t="shared" si="49"/>
        <v>2488.0344962397694</v>
      </c>
      <c r="M64" s="28">
        <f t="shared" si="49"/>
        <v>2543.8988760552611</v>
      </c>
      <c r="N64" s="28">
        <f t="shared" si="49"/>
        <v>2358.3093097413403</v>
      </c>
      <c r="O64" s="28">
        <f t="shared" si="49"/>
        <v>2153.7294924642297</v>
      </c>
      <c r="P64" s="28">
        <f t="shared" si="49"/>
        <v>2127.8199460074457</v>
      </c>
      <c r="Q64" s="28">
        <f t="shared" si="49"/>
        <v>2193.5978967867104</v>
      </c>
      <c r="R64" s="28">
        <f t="shared" ref="R64:V64" si="50">R65+R69+R73</f>
        <v>2360.7388827517466</v>
      </c>
      <c r="S64" s="28">
        <f t="shared" si="50"/>
        <v>2504.8445384703787</v>
      </c>
      <c r="T64" s="28">
        <f t="shared" si="50"/>
        <v>2541.8450829480612</v>
      </c>
      <c r="U64" s="28">
        <f t="shared" si="50"/>
        <v>2528.3738713174207</v>
      </c>
      <c r="V64" s="28">
        <f t="shared" si="50"/>
        <v>1653.535183932911</v>
      </c>
      <c r="W64" s="28">
        <f t="shared" ref="W64" si="51">W65+W69+W73</f>
        <v>1957.6991031975872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1049.838122571128</v>
      </c>
      <c r="C65" s="137">
        <f t="shared" si="52"/>
        <v>1102.3441282211597</v>
      </c>
      <c r="D65" s="137">
        <f t="shared" si="52"/>
        <v>1111.8754742090168</v>
      </c>
      <c r="E65" s="137">
        <f t="shared" si="52"/>
        <v>1202.0059189136136</v>
      </c>
      <c r="F65" s="137">
        <f t="shared" si="52"/>
        <v>1323.6052435134397</v>
      </c>
      <c r="G65" s="137">
        <f t="shared" si="52"/>
        <v>1355.6345589860844</v>
      </c>
      <c r="H65" s="137">
        <f t="shared" si="52"/>
        <v>1417.1641242208602</v>
      </c>
      <c r="I65" s="137">
        <f t="shared" si="52"/>
        <v>1534.4821133135808</v>
      </c>
      <c r="J65" s="137">
        <f t="shared" si="52"/>
        <v>1581.1148143211774</v>
      </c>
      <c r="K65" s="137">
        <f t="shared" si="52"/>
        <v>1631.7866358202264</v>
      </c>
      <c r="L65" s="137">
        <f t="shared" si="52"/>
        <v>1661.6365218335357</v>
      </c>
      <c r="M65" s="137">
        <f t="shared" si="52"/>
        <v>1634.4446542453625</v>
      </c>
      <c r="N65" s="137">
        <f t="shared" si="52"/>
        <v>1537.9401933047054</v>
      </c>
      <c r="O65" s="137">
        <f t="shared" si="52"/>
        <v>1423.5768177692134</v>
      </c>
      <c r="P65" s="137">
        <f t="shared" si="52"/>
        <v>1408.0216308498809</v>
      </c>
      <c r="Q65" s="137">
        <f t="shared" si="52"/>
        <v>1466.7622273999464</v>
      </c>
      <c r="R65" s="137">
        <f t="shared" ref="R65:V65" si="53">R66+R67+R68</f>
        <v>1536.8110565832399</v>
      </c>
      <c r="S65" s="137">
        <f t="shared" si="53"/>
        <v>1570.9464569449299</v>
      </c>
      <c r="T65" s="137">
        <f t="shared" si="53"/>
        <v>1573.6775862449977</v>
      </c>
      <c r="U65" s="137">
        <f t="shared" si="53"/>
        <v>1599.4022855606217</v>
      </c>
      <c r="V65" s="137">
        <f t="shared" si="53"/>
        <v>1372.6417031396281</v>
      </c>
      <c r="W65" s="137">
        <f t="shared" ref="W65" si="54">W66+W67+W68</f>
        <v>1488.5889706766507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16.934891343718053</v>
      </c>
      <c r="C66" s="102">
        <f>TrRoad_emi!C$19</f>
        <v>16.537456513329772</v>
      </c>
      <c r="D66" s="102">
        <f>TrRoad_emi!D$19</f>
        <v>16.086514262897715</v>
      </c>
      <c r="E66" s="102">
        <f>TrRoad_emi!E$19</f>
        <v>16.257839012442187</v>
      </c>
      <c r="F66" s="102">
        <f>TrRoad_emi!F$19</f>
        <v>16.133207491333813</v>
      </c>
      <c r="G66" s="102">
        <f>TrRoad_emi!G$19</f>
        <v>15.813287821964545</v>
      </c>
      <c r="H66" s="102">
        <f>TrRoad_emi!H$19</f>
        <v>15.679694517360774</v>
      </c>
      <c r="I66" s="102">
        <f>TrRoad_emi!I$19</f>
        <v>15.703062516849121</v>
      </c>
      <c r="J66" s="102">
        <f>TrRoad_emi!J$19</f>
        <v>15.919059920213689</v>
      </c>
      <c r="K66" s="102">
        <f>TrRoad_emi!K$19</f>
        <v>15.646166621457263</v>
      </c>
      <c r="L66" s="102">
        <f>TrRoad_emi!L$19</f>
        <v>15.296658569133429</v>
      </c>
      <c r="M66" s="102">
        <f>TrRoad_emi!M$19</f>
        <v>14.862991868234223</v>
      </c>
      <c r="N66" s="102">
        <f>TrRoad_emi!N$19</f>
        <v>15.048666098262357</v>
      </c>
      <c r="O66" s="102">
        <f>TrRoad_emi!O$19</f>
        <v>14.671843841014372</v>
      </c>
      <c r="P66" s="102">
        <f>TrRoad_emi!P$19</f>
        <v>14.76642914190535</v>
      </c>
      <c r="Q66" s="102">
        <f>TrRoad_emi!Q$19</f>
        <v>14.363496114755483</v>
      </c>
      <c r="R66" s="102">
        <f>TrRoad_emi!R$19</f>
        <v>14.137538107780058</v>
      </c>
      <c r="S66" s="102">
        <f>TrRoad_emi!S$19</f>
        <v>13.178927215070214</v>
      </c>
      <c r="T66" s="102">
        <f>TrRoad_emi!T$19</f>
        <v>12.410377396382012</v>
      </c>
      <c r="U66" s="102">
        <f>TrRoad_emi!U$19</f>
        <v>12.881663591555677</v>
      </c>
      <c r="V66" s="102">
        <f>TrRoad_emi!V$19</f>
        <v>11.397474000910204</v>
      </c>
      <c r="W66" s="102">
        <f>TrRoad_emi!W$19</f>
        <v>11.14427561490605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752.06064574975426</v>
      </c>
      <c r="C67" s="102">
        <f>TrRoad_emi!C$20</f>
        <v>799.43746245293289</v>
      </c>
      <c r="D67" s="102">
        <f>TrRoad_emi!D$20</f>
        <v>816.76196491239148</v>
      </c>
      <c r="E67" s="102">
        <f>TrRoad_emi!E$20</f>
        <v>886.40723669246938</v>
      </c>
      <c r="F67" s="102">
        <f>TrRoad_emi!F$20</f>
        <v>992.22694417701791</v>
      </c>
      <c r="G67" s="102">
        <f>TrRoad_emi!G$20</f>
        <v>1044.8134534309831</v>
      </c>
      <c r="H67" s="102">
        <f>TrRoad_emi!H$20</f>
        <v>1102.1837939272691</v>
      </c>
      <c r="I67" s="102">
        <f>TrRoad_emi!I$20</f>
        <v>1204.0520301408369</v>
      </c>
      <c r="J67" s="102">
        <f>TrRoad_emi!J$20</f>
        <v>1266.564132994745</v>
      </c>
      <c r="K67" s="102">
        <f>TrRoad_emi!K$20</f>
        <v>1313.9882995616399</v>
      </c>
      <c r="L67" s="102">
        <f>TrRoad_emi!L$20</f>
        <v>1342.4344515318987</v>
      </c>
      <c r="M67" s="102">
        <f>TrRoad_emi!M$20</f>
        <v>1320.3987456425079</v>
      </c>
      <c r="N67" s="102">
        <f>TrRoad_emi!N$20</f>
        <v>1252.1594403971424</v>
      </c>
      <c r="O67" s="102">
        <f>TrRoad_emi!O$20</f>
        <v>1167.2477425644615</v>
      </c>
      <c r="P67" s="102">
        <f>TrRoad_emi!P$20</f>
        <v>1149.1873360641114</v>
      </c>
      <c r="Q67" s="102">
        <f>TrRoad_emi!Q$20</f>
        <v>1179.8348257705472</v>
      </c>
      <c r="R67" s="102">
        <f>TrRoad_emi!R$20</f>
        <v>1234.7545202262856</v>
      </c>
      <c r="S67" s="102">
        <f>TrRoad_emi!S$20</f>
        <v>1255.408824272401</v>
      </c>
      <c r="T67" s="102">
        <f>TrRoad_emi!T$20</f>
        <v>1258.007516469771</v>
      </c>
      <c r="U67" s="102">
        <f>TrRoad_emi!U$20</f>
        <v>1277.2452511705251</v>
      </c>
      <c r="V67" s="102">
        <f>TrRoad_emi!V$20</f>
        <v>1115.8676152621933</v>
      </c>
      <c r="W67" s="102">
        <f>TrRoad_emi!W$20</f>
        <v>1204.3578161438479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280.84258547765575</v>
      </c>
      <c r="C68" s="102">
        <f>TrRoad_emi!C$27</f>
        <v>286.36920925489721</v>
      </c>
      <c r="D68" s="102">
        <f>TrRoad_emi!D$27</f>
        <v>279.02699503372764</v>
      </c>
      <c r="E68" s="102">
        <f>TrRoad_emi!E$27</f>
        <v>299.34084320870215</v>
      </c>
      <c r="F68" s="102">
        <f>TrRoad_emi!F$27</f>
        <v>315.24509184508793</v>
      </c>
      <c r="G68" s="102">
        <f>TrRoad_emi!G$27</f>
        <v>295.00781773313656</v>
      </c>
      <c r="H68" s="102">
        <f>TrRoad_emi!H$27</f>
        <v>299.30063577623042</v>
      </c>
      <c r="I68" s="102">
        <f>TrRoad_emi!I$27</f>
        <v>314.72702065589493</v>
      </c>
      <c r="J68" s="102">
        <f>TrRoad_emi!J$27</f>
        <v>298.63162140621876</v>
      </c>
      <c r="K68" s="102">
        <f>TrRoad_emi!K$27</f>
        <v>302.15216963712919</v>
      </c>
      <c r="L68" s="102">
        <f>TrRoad_emi!L$27</f>
        <v>303.90541173250364</v>
      </c>
      <c r="M68" s="102">
        <f>TrRoad_emi!M$27</f>
        <v>299.18291673462022</v>
      </c>
      <c r="N68" s="102">
        <f>TrRoad_emi!N$27</f>
        <v>270.73208680930071</v>
      </c>
      <c r="O68" s="102">
        <f>TrRoad_emi!O$27</f>
        <v>241.65723136373762</v>
      </c>
      <c r="P68" s="102">
        <f>TrRoad_emi!P$27</f>
        <v>244.06786564386422</v>
      </c>
      <c r="Q68" s="102">
        <f>TrRoad_emi!Q$27</f>
        <v>272.56390551464381</v>
      </c>
      <c r="R68" s="102">
        <f>TrRoad_emi!R$27</f>
        <v>287.91899824917408</v>
      </c>
      <c r="S68" s="102">
        <f>TrRoad_emi!S$27</f>
        <v>302.35870545745871</v>
      </c>
      <c r="T68" s="102">
        <f>TrRoad_emi!T$27</f>
        <v>303.2596923788447</v>
      </c>
      <c r="U68" s="102">
        <f>TrRoad_emi!U$27</f>
        <v>309.27537079854102</v>
      </c>
      <c r="V68" s="102">
        <f>TrRoad_emi!V$27</f>
        <v>245.37661387652463</v>
      </c>
      <c r="W68" s="102">
        <f>TrRoad_emi!W$27</f>
        <v>273.0868789178968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0</v>
      </c>
      <c r="C69" s="110">
        <f t="shared" si="55"/>
        <v>0</v>
      </c>
      <c r="D69" s="110">
        <f t="shared" si="55"/>
        <v>0</v>
      </c>
      <c r="E69" s="110">
        <f t="shared" si="55"/>
        <v>0</v>
      </c>
      <c r="F69" s="110">
        <f t="shared" si="55"/>
        <v>0</v>
      </c>
      <c r="G69" s="110">
        <f t="shared" si="55"/>
        <v>0</v>
      </c>
      <c r="H69" s="110">
        <f t="shared" si="55"/>
        <v>0</v>
      </c>
      <c r="I69" s="110">
        <f t="shared" si="55"/>
        <v>0</v>
      </c>
      <c r="J69" s="110">
        <f t="shared" si="55"/>
        <v>0</v>
      </c>
      <c r="K69" s="110">
        <f t="shared" si="55"/>
        <v>0</v>
      </c>
      <c r="L69" s="110">
        <f t="shared" si="55"/>
        <v>0</v>
      </c>
      <c r="M69" s="110">
        <f t="shared" si="55"/>
        <v>0</v>
      </c>
      <c r="N69" s="110">
        <f t="shared" si="55"/>
        <v>0</v>
      </c>
      <c r="O69" s="110">
        <f t="shared" si="55"/>
        <v>0</v>
      </c>
      <c r="P69" s="110">
        <f t="shared" si="55"/>
        <v>0</v>
      </c>
      <c r="Q69" s="110">
        <f t="shared" si="55"/>
        <v>0</v>
      </c>
      <c r="R69" s="110">
        <f t="shared" ref="R69:V69" si="56">R70+R71+R72</f>
        <v>0</v>
      </c>
      <c r="S69" s="110">
        <f t="shared" si="56"/>
        <v>0</v>
      </c>
      <c r="T69" s="110">
        <f t="shared" si="56"/>
        <v>0</v>
      </c>
      <c r="U69" s="110">
        <f t="shared" si="56"/>
        <v>0</v>
      </c>
      <c r="V69" s="110">
        <f t="shared" si="56"/>
        <v>0</v>
      </c>
      <c r="W69" s="110">
        <f t="shared" ref="W69" si="57">W70+W71+W72</f>
        <v>0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0</v>
      </c>
      <c r="C71" s="102">
        <f>TrRail_emi!C$11</f>
        <v>0</v>
      </c>
      <c r="D71" s="102">
        <f>TrRail_emi!D$11</f>
        <v>0</v>
      </c>
      <c r="E71" s="102">
        <f>TrRail_emi!E$11</f>
        <v>0</v>
      </c>
      <c r="F71" s="102">
        <f>TrRail_emi!F$11</f>
        <v>0</v>
      </c>
      <c r="G71" s="102">
        <f>TrRail_emi!G$11</f>
        <v>0</v>
      </c>
      <c r="H71" s="102">
        <f>TrRail_emi!H$11</f>
        <v>0</v>
      </c>
      <c r="I71" s="102">
        <f>TrRail_emi!I$11</f>
        <v>0</v>
      </c>
      <c r="J71" s="102">
        <f>TrRail_emi!J$11</f>
        <v>0</v>
      </c>
      <c r="K71" s="102">
        <f>TrRail_emi!K$11</f>
        <v>0</v>
      </c>
      <c r="L71" s="102">
        <f>TrRail_emi!L$11</f>
        <v>0</v>
      </c>
      <c r="M71" s="102">
        <f>TrRail_emi!M$11</f>
        <v>0</v>
      </c>
      <c r="N71" s="102">
        <f>TrRail_emi!N$11</f>
        <v>0</v>
      </c>
      <c r="O71" s="102">
        <f>TrRail_emi!O$11</f>
        <v>0</v>
      </c>
      <c r="P71" s="102">
        <f>TrRail_emi!P$11</f>
        <v>0</v>
      </c>
      <c r="Q71" s="102">
        <f>TrRail_emi!Q$11</f>
        <v>0</v>
      </c>
      <c r="R71" s="102">
        <f>TrRail_emi!R$11</f>
        <v>0</v>
      </c>
      <c r="S71" s="102">
        <f>TrRail_emi!S$11</f>
        <v>0</v>
      </c>
      <c r="T71" s="102">
        <f>TrRail_emi!T$11</f>
        <v>0</v>
      </c>
      <c r="U71" s="102">
        <f>TrRail_emi!U$11</f>
        <v>0</v>
      </c>
      <c r="V71" s="102">
        <f>TrRail_emi!V$11</f>
        <v>0</v>
      </c>
      <c r="W71" s="102">
        <f>TrRail_emi!W$11</f>
        <v>0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821.76742701563001</v>
      </c>
      <c r="C73" s="110">
        <f t="shared" si="58"/>
        <v>971.44759730311705</v>
      </c>
      <c r="D73" s="110">
        <f t="shared" si="58"/>
        <v>930.57063170991535</v>
      </c>
      <c r="E73" s="110">
        <f t="shared" si="58"/>
        <v>998.17169486737794</v>
      </c>
      <c r="F73" s="110">
        <f t="shared" si="58"/>
        <v>903.13639154124826</v>
      </c>
      <c r="G73" s="110">
        <f t="shared" si="58"/>
        <v>886.54641029198478</v>
      </c>
      <c r="H73" s="110">
        <f t="shared" si="58"/>
        <v>909.44378619132499</v>
      </c>
      <c r="I73" s="110">
        <f t="shared" si="58"/>
        <v>873.76432473949933</v>
      </c>
      <c r="J73" s="110">
        <f t="shared" si="58"/>
        <v>870.74846028807781</v>
      </c>
      <c r="K73" s="110">
        <f t="shared" si="58"/>
        <v>808.44033924608664</v>
      </c>
      <c r="L73" s="110">
        <f t="shared" si="58"/>
        <v>826.39797440623374</v>
      </c>
      <c r="M73" s="110">
        <f t="shared" si="58"/>
        <v>909.45422180989885</v>
      </c>
      <c r="N73" s="110">
        <f t="shared" si="58"/>
        <v>820.36911643663495</v>
      </c>
      <c r="O73" s="110">
        <f t="shared" si="58"/>
        <v>730.15267469501612</v>
      </c>
      <c r="P73" s="110">
        <f t="shared" si="58"/>
        <v>719.79831515756473</v>
      </c>
      <c r="Q73" s="110">
        <f t="shared" si="58"/>
        <v>726.83566938676404</v>
      </c>
      <c r="R73" s="110">
        <f t="shared" ref="R73:V73" si="59">R74+R75+R76</f>
        <v>823.92782616850684</v>
      </c>
      <c r="S73" s="110">
        <f t="shared" si="59"/>
        <v>933.89808152544879</v>
      </c>
      <c r="T73" s="110">
        <f t="shared" si="59"/>
        <v>968.16749670306365</v>
      </c>
      <c r="U73" s="110">
        <f t="shared" si="59"/>
        <v>928.97158575679907</v>
      </c>
      <c r="V73" s="110">
        <f t="shared" si="59"/>
        <v>280.89348079328289</v>
      </c>
      <c r="W73" s="110">
        <f t="shared" ref="W73" si="60">W74+W75+W76</f>
        <v>469.11013252093659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0</v>
      </c>
      <c r="C74" s="102">
        <f>TrAvia_emi!C$7</f>
        <v>0</v>
      </c>
      <c r="D74" s="102">
        <f>TrAvia_emi!D$7</f>
        <v>0</v>
      </c>
      <c r="E74" s="102">
        <f>TrAvia_emi!E$7</f>
        <v>0</v>
      </c>
      <c r="F74" s="102">
        <f>TrAvia_emi!F$7</f>
        <v>0</v>
      </c>
      <c r="G74" s="102">
        <f>TrAvia_emi!G$7</f>
        <v>0</v>
      </c>
      <c r="H74" s="102">
        <f>TrAvia_emi!H$7</f>
        <v>0</v>
      </c>
      <c r="I74" s="102">
        <f>TrAvia_emi!I$7</f>
        <v>0</v>
      </c>
      <c r="J74" s="102">
        <f>TrAvia_emi!J$7</f>
        <v>0</v>
      </c>
      <c r="K74" s="102">
        <f>TrAvia_emi!K$7</f>
        <v>0</v>
      </c>
      <c r="L74" s="102">
        <f>TrAvia_emi!L$7</f>
        <v>0</v>
      </c>
      <c r="M74" s="102">
        <f>TrAvia_emi!M$7</f>
        <v>0</v>
      </c>
      <c r="N74" s="102">
        <f>TrAvia_emi!N$7</f>
        <v>0</v>
      </c>
      <c r="O74" s="102">
        <f>TrAvia_emi!O$7</f>
        <v>0</v>
      </c>
      <c r="P74" s="102">
        <f>TrAvia_emi!P$7</f>
        <v>0</v>
      </c>
      <c r="Q74" s="102">
        <f>TrAvia_emi!Q$7</f>
        <v>0</v>
      </c>
      <c r="R74" s="102">
        <f>TrAvia_emi!R$7</f>
        <v>0</v>
      </c>
      <c r="S74" s="102">
        <f>TrAvia_emi!S$7</f>
        <v>0</v>
      </c>
      <c r="T74" s="102">
        <f>TrAvia_emi!T$7</f>
        <v>0</v>
      </c>
      <c r="U74" s="102">
        <f>TrAvia_emi!U$7</f>
        <v>0</v>
      </c>
      <c r="V74" s="102">
        <f>TrAvia_emi!V$7</f>
        <v>0</v>
      </c>
      <c r="W74" s="102">
        <f>TrAvia_emi!W$7</f>
        <v>0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699.86581004523703</v>
      </c>
      <c r="C75" s="102">
        <f>TrAvia_emi!C$8</f>
        <v>827.3432982832619</v>
      </c>
      <c r="D75" s="102">
        <f>TrAvia_emi!D$8</f>
        <v>760.20072892674671</v>
      </c>
      <c r="E75" s="102">
        <f>TrAvia_emi!E$8</f>
        <v>815.4248369091747</v>
      </c>
      <c r="F75" s="102">
        <f>TrAvia_emi!F$8</f>
        <v>763.06285233240726</v>
      </c>
      <c r="G75" s="102">
        <f>TrAvia_emi!G$8</f>
        <v>755.13064582350614</v>
      </c>
      <c r="H75" s="102">
        <f>TrAvia_emi!H$8</f>
        <v>775.21400126886908</v>
      </c>
      <c r="I75" s="102">
        <f>TrAvia_emi!I$8</f>
        <v>745.39818269038562</v>
      </c>
      <c r="J75" s="102">
        <f>TrAvia_emi!J$8</f>
        <v>741.4005393727216</v>
      </c>
      <c r="K75" s="102">
        <f>TrAvia_emi!K$8</f>
        <v>682.10987415493219</v>
      </c>
      <c r="L75" s="102">
        <f>TrAvia_emi!L$8</f>
        <v>692.92464088796396</v>
      </c>
      <c r="M75" s="102">
        <f>TrAvia_emi!M$8</f>
        <v>764.79712674416248</v>
      </c>
      <c r="N75" s="102">
        <f>TrAvia_emi!N$8</f>
        <v>681.91955240407788</v>
      </c>
      <c r="O75" s="102">
        <f>TrAvia_emi!O$8</f>
        <v>601.51091835212662</v>
      </c>
      <c r="P75" s="102">
        <f>TrAvia_emi!P$8</f>
        <v>591.64802437547462</v>
      </c>
      <c r="Q75" s="102">
        <f>TrAvia_emi!Q$8</f>
        <v>598.55912455427404</v>
      </c>
      <c r="R75" s="102">
        <f>TrAvia_emi!R$8</f>
        <v>689.52414340158441</v>
      </c>
      <c r="S75" s="102">
        <f>TrAvia_emi!S$8</f>
        <v>790.79353360353559</v>
      </c>
      <c r="T75" s="102">
        <f>TrAvia_emi!T$8</f>
        <v>816.20961761475962</v>
      </c>
      <c r="U75" s="102">
        <f>TrAvia_emi!U$8</f>
        <v>777.7663682911566</v>
      </c>
      <c r="V75" s="102">
        <f>TrAvia_emi!V$8</f>
        <v>207.42276876851432</v>
      </c>
      <c r="W75" s="102">
        <f>TrAvia_emi!W$8</f>
        <v>362.00715804391501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121.90161697039295</v>
      </c>
      <c r="C76" s="102">
        <f>TrAvia_emi!C$9</f>
        <v>144.10429901985515</v>
      </c>
      <c r="D76" s="102">
        <f>TrAvia_emi!D$9</f>
        <v>170.36990278316864</v>
      </c>
      <c r="E76" s="102">
        <f>TrAvia_emi!E$9</f>
        <v>182.74685795820321</v>
      </c>
      <c r="F76" s="102">
        <f>TrAvia_emi!F$9</f>
        <v>140.07353920884105</v>
      </c>
      <c r="G76" s="102">
        <f>TrAvia_emi!G$9</f>
        <v>131.41576446847867</v>
      </c>
      <c r="H76" s="102">
        <f>TrAvia_emi!H$9</f>
        <v>134.22978492245585</v>
      </c>
      <c r="I76" s="102">
        <f>TrAvia_emi!I$9</f>
        <v>128.36614204911368</v>
      </c>
      <c r="J76" s="102">
        <f>TrAvia_emi!J$9</f>
        <v>129.34792091535621</v>
      </c>
      <c r="K76" s="102">
        <f>TrAvia_emi!K$9</f>
        <v>126.33046509115445</v>
      </c>
      <c r="L76" s="102">
        <f>TrAvia_emi!L$9</f>
        <v>133.47333351826981</v>
      </c>
      <c r="M76" s="102">
        <f>TrAvia_emi!M$9</f>
        <v>144.65709506573631</v>
      </c>
      <c r="N76" s="102">
        <f>TrAvia_emi!N$9</f>
        <v>138.44956403255705</v>
      </c>
      <c r="O76" s="102">
        <f>TrAvia_emi!O$9</f>
        <v>128.64175634288949</v>
      </c>
      <c r="P76" s="102">
        <f>TrAvia_emi!P$9</f>
        <v>128.15029078209011</v>
      </c>
      <c r="Q76" s="102">
        <f>TrAvia_emi!Q$9</f>
        <v>128.27654483249003</v>
      </c>
      <c r="R76" s="102">
        <f>TrAvia_emi!R$9</f>
        <v>134.40368276692243</v>
      </c>
      <c r="S76" s="102">
        <f>TrAvia_emi!S$9</f>
        <v>143.10454792191319</v>
      </c>
      <c r="T76" s="102">
        <f>TrAvia_emi!T$9</f>
        <v>151.957879088304</v>
      </c>
      <c r="U76" s="102">
        <f>TrAvia_emi!U$9</f>
        <v>151.20521746564251</v>
      </c>
      <c r="V76" s="102">
        <f>TrAvia_emi!V$9</f>
        <v>73.470712024768574</v>
      </c>
      <c r="W76" s="102">
        <f>TrAvia_emi!W$9</f>
        <v>107.10297447702159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725.789118093242</v>
      </c>
      <c r="C77" s="28">
        <f t="shared" si="61"/>
        <v>725.30078691572305</v>
      </c>
      <c r="D77" s="28">
        <f t="shared" si="61"/>
        <v>701.61869580106816</v>
      </c>
      <c r="E77" s="28">
        <f t="shared" si="61"/>
        <v>716.01633621900828</v>
      </c>
      <c r="F77" s="28">
        <f t="shared" si="61"/>
        <v>702.32878918531185</v>
      </c>
      <c r="G77" s="28">
        <f t="shared" si="61"/>
        <v>713.18566684193092</v>
      </c>
      <c r="H77" s="28">
        <f t="shared" si="61"/>
        <v>645.41076726781455</v>
      </c>
      <c r="I77" s="28">
        <f t="shared" si="61"/>
        <v>656.19004210692003</v>
      </c>
      <c r="J77" s="28">
        <f t="shared" si="61"/>
        <v>651.12781487074449</v>
      </c>
      <c r="K77" s="28">
        <f t="shared" si="61"/>
        <v>597.3087898536869</v>
      </c>
      <c r="L77" s="28">
        <f t="shared" si="61"/>
        <v>613.27762452023035</v>
      </c>
      <c r="M77" s="28">
        <f t="shared" si="61"/>
        <v>566.27257758473922</v>
      </c>
      <c r="N77" s="28">
        <f t="shared" si="61"/>
        <v>484.60690125865966</v>
      </c>
      <c r="O77" s="28">
        <f t="shared" si="61"/>
        <v>393.88687469577013</v>
      </c>
      <c r="P77" s="28">
        <f t="shared" si="61"/>
        <v>361.99347583255462</v>
      </c>
      <c r="Q77" s="28">
        <f t="shared" si="61"/>
        <v>371.22312057328963</v>
      </c>
      <c r="R77" s="28">
        <f t="shared" ref="R77:V77" si="62">R78+R81+R82+R86+R92</f>
        <v>412.33472544825355</v>
      </c>
      <c r="S77" s="28">
        <f t="shared" si="62"/>
        <v>445.4486223296214</v>
      </c>
      <c r="T77" s="28">
        <f t="shared" si="62"/>
        <v>453.5318761319387</v>
      </c>
      <c r="U77" s="28">
        <f t="shared" si="62"/>
        <v>445.99515204257955</v>
      </c>
      <c r="V77" s="28">
        <f t="shared" si="62"/>
        <v>406.98046594708933</v>
      </c>
      <c r="W77" s="28">
        <f t="shared" ref="W77" si="63">W78+W81+W82+W86+W92</f>
        <v>423.8044774424128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697.78482510887193</v>
      </c>
      <c r="C78" s="137">
        <f t="shared" si="64"/>
        <v>701.1203242188401</v>
      </c>
      <c r="D78" s="137">
        <f t="shared" si="64"/>
        <v>674.61074751098363</v>
      </c>
      <c r="E78" s="137">
        <f t="shared" si="64"/>
        <v>690.02286108638623</v>
      </c>
      <c r="F78" s="137">
        <f t="shared" si="64"/>
        <v>670.08213072656008</v>
      </c>
      <c r="G78" s="137">
        <f t="shared" si="64"/>
        <v>677.03218713391561</v>
      </c>
      <c r="H78" s="137">
        <f t="shared" si="64"/>
        <v>603.6175534591398</v>
      </c>
      <c r="I78" s="137">
        <f t="shared" si="64"/>
        <v>619.93763684641908</v>
      </c>
      <c r="J78" s="137">
        <f t="shared" si="64"/>
        <v>615.03033515882214</v>
      </c>
      <c r="K78" s="137">
        <f t="shared" si="64"/>
        <v>565.48977909977361</v>
      </c>
      <c r="L78" s="137">
        <f t="shared" si="64"/>
        <v>583.56229892646411</v>
      </c>
      <c r="M78" s="137">
        <f t="shared" si="64"/>
        <v>543.51453939463772</v>
      </c>
      <c r="N78" s="137">
        <f t="shared" si="64"/>
        <v>467.88745769529442</v>
      </c>
      <c r="O78" s="137">
        <f t="shared" si="64"/>
        <v>378.90389939078619</v>
      </c>
      <c r="P78" s="137">
        <f t="shared" si="64"/>
        <v>349.33930099011928</v>
      </c>
      <c r="Q78" s="137">
        <f t="shared" si="64"/>
        <v>359.2647199600537</v>
      </c>
      <c r="R78" s="137">
        <f t="shared" ref="R78:V78" si="65">R79+R80</f>
        <v>402.34478161676043</v>
      </c>
      <c r="S78" s="137">
        <f t="shared" si="65"/>
        <v>433.01703737507017</v>
      </c>
      <c r="T78" s="137">
        <f t="shared" si="65"/>
        <v>442.21924207500228</v>
      </c>
      <c r="U78" s="137">
        <f t="shared" si="65"/>
        <v>436.1303172393786</v>
      </c>
      <c r="V78" s="137">
        <f t="shared" si="65"/>
        <v>400.17777666037216</v>
      </c>
      <c r="W78" s="137">
        <f t="shared" ref="W78" si="66">W79+W80</f>
        <v>415.63033632334947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550.74480635443024</v>
      </c>
      <c r="C79" s="102">
        <f>TrRoad_emi!C$34</f>
        <v>552.99153932332183</v>
      </c>
      <c r="D79" s="102">
        <f>TrRoad_emi!D$34</f>
        <v>535.33393785276269</v>
      </c>
      <c r="E79" s="102">
        <f>TrRoad_emi!E$34</f>
        <v>538.47724681801128</v>
      </c>
      <c r="F79" s="102">
        <f>TrRoad_emi!F$34</f>
        <v>536.60674712160699</v>
      </c>
      <c r="G79" s="102">
        <f>TrRoad_emi!G$34</f>
        <v>517.89274632015315</v>
      </c>
      <c r="H79" s="102">
        <f>TrRoad_emi!H$34</f>
        <v>473.89188023993768</v>
      </c>
      <c r="I79" s="102">
        <f>TrRoad_emi!I$34</f>
        <v>480.47840316211733</v>
      </c>
      <c r="J79" s="102">
        <f>TrRoad_emi!J$34</f>
        <v>470.36377703135503</v>
      </c>
      <c r="K79" s="102">
        <f>TrRoad_emi!K$34</f>
        <v>451.30842052131436</v>
      </c>
      <c r="L79" s="102">
        <f>TrRoad_emi!L$34</f>
        <v>453.38799215458249</v>
      </c>
      <c r="M79" s="102">
        <f>TrRoad_emi!M$34</f>
        <v>434.72032983531756</v>
      </c>
      <c r="N79" s="102">
        <f>TrRoad_emi!N$34</f>
        <v>378.32364489123279</v>
      </c>
      <c r="O79" s="102">
        <f>TrRoad_emi!O$34</f>
        <v>319.93528173212633</v>
      </c>
      <c r="P79" s="102">
        <f>TrRoad_emi!P$34</f>
        <v>298.01744224949726</v>
      </c>
      <c r="Q79" s="102">
        <f>TrRoad_emi!Q$34</f>
        <v>306.4536418439539</v>
      </c>
      <c r="R79" s="102">
        <f>TrRoad_emi!R$34</f>
        <v>330.06742278325169</v>
      </c>
      <c r="S79" s="102">
        <f>TrRoad_emi!S$34</f>
        <v>347.89060997852664</v>
      </c>
      <c r="T79" s="102">
        <f>TrRoad_emi!T$34</f>
        <v>353.24170811426779</v>
      </c>
      <c r="U79" s="102">
        <f>TrRoad_emi!U$34</f>
        <v>343.5261096163286</v>
      </c>
      <c r="V79" s="102">
        <f>TrRoad_emi!V$34</f>
        <v>333.16809692659086</v>
      </c>
      <c r="W79" s="102">
        <f>TrRoad_emi!W$34</f>
        <v>345.70859371067564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147.04001875444163</v>
      </c>
      <c r="C80" s="102">
        <f>TrRoad_emi!C$40</f>
        <v>148.12878489551829</v>
      </c>
      <c r="D80" s="102">
        <f>TrRoad_emi!D$40</f>
        <v>139.276809658221</v>
      </c>
      <c r="E80" s="102">
        <f>TrRoad_emi!E$40</f>
        <v>151.54561426837498</v>
      </c>
      <c r="F80" s="102">
        <f>TrRoad_emi!F$40</f>
        <v>133.47538360495315</v>
      </c>
      <c r="G80" s="102">
        <f>TrRoad_emi!G$40</f>
        <v>159.13944081376252</v>
      </c>
      <c r="H80" s="102">
        <f>TrRoad_emi!H$40</f>
        <v>129.72567321920209</v>
      </c>
      <c r="I80" s="102">
        <f>TrRoad_emi!I$40</f>
        <v>139.45923368430175</v>
      </c>
      <c r="J80" s="102">
        <f>TrRoad_emi!J$40</f>
        <v>144.66655812746708</v>
      </c>
      <c r="K80" s="102">
        <f>TrRoad_emi!K$40</f>
        <v>114.18135857845921</v>
      </c>
      <c r="L80" s="102">
        <f>TrRoad_emi!L$40</f>
        <v>130.17430677188156</v>
      </c>
      <c r="M80" s="102">
        <f>TrRoad_emi!M$40</f>
        <v>108.79420955932015</v>
      </c>
      <c r="N80" s="102">
        <f>TrRoad_emi!N$40</f>
        <v>89.563812804061627</v>
      </c>
      <c r="O80" s="102">
        <f>TrRoad_emi!O$40</f>
        <v>58.968617658659852</v>
      </c>
      <c r="P80" s="102">
        <f>TrRoad_emi!P$40</f>
        <v>51.321858740622027</v>
      </c>
      <c r="Q80" s="102">
        <f>TrRoad_emi!Q$40</f>
        <v>52.811078116099779</v>
      </c>
      <c r="R80" s="102">
        <f>TrRoad_emi!R$40</f>
        <v>72.277358833508714</v>
      </c>
      <c r="S80" s="102">
        <f>TrRoad_emi!S$40</f>
        <v>85.126427396543534</v>
      </c>
      <c r="T80" s="102">
        <f>TrRoad_emi!T$40</f>
        <v>88.977533960734505</v>
      </c>
      <c r="U80" s="102">
        <f>TrRoad_emi!U$40</f>
        <v>92.604207623049987</v>
      </c>
      <c r="V80" s="102">
        <f>TrRoad_emi!V$40</f>
        <v>67.009679733781283</v>
      </c>
      <c r="W80" s="102">
        <f>TrRoad_emi!W$40</f>
        <v>69.921742612673825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0</v>
      </c>
      <c r="C81" s="110">
        <f>TrRail_emi!C$15</f>
        <v>0</v>
      </c>
      <c r="D81" s="110">
        <f>TrRail_emi!D$15</f>
        <v>0</v>
      </c>
      <c r="E81" s="110">
        <f>TrRail_emi!E$15</f>
        <v>0</v>
      </c>
      <c r="F81" s="110">
        <f>TrRail_emi!F$15</f>
        <v>0</v>
      </c>
      <c r="G81" s="110">
        <f>TrRail_emi!G$15</f>
        <v>0</v>
      </c>
      <c r="H81" s="110">
        <f>TrRail_emi!H$15</f>
        <v>0</v>
      </c>
      <c r="I81" s="110">
        <f>TrRail_emi!I$15</f>
        <v>0</v>
      </c>
      <c r="J81" s="110">
        <f>TrRail_emi!J$15</f>
        <v>0</v>
      </c>
      <c r="K81" s="110">
        <f>TrRail_emi!K$15</f>
        <v>0</v>
      </c>
      <c r="L81" s="110">
        <f>TrRail_emi!L$15</f>
        <v>0</v>
      </c>
      <c r="M81" s="110">
        <f>TrRail_emi!M$15</f>
        <v>0</v>
      </c>
      <c r="N81" s="110">
        <f>TrRail_emi!N$15</f>
        <v>0</v>
      </c>
      <c r="O81" s="110">
        <f>TrRail_emi!O$15</f>
        <v>0</v>
      </c>
      <c r="P81" s="110">
        <f>TrRail_emi!P$15</f>
        <v>0</v>
      </c>
      <c r="Q81" s="110">
        <f>TrRail_emi!Q$15</f>
        <v>0</v>
      </c>
      <c r="R81" s="110">
        <f>TrRail_emi!R$15</f>
        <v>0</v>
      </c>
      <c r="S81" s="110">
        <f>TrRail_emi!S$15</f>
        <v>0</v>
      </c>
      <c r="T81" s="110">
        <f>TrRail_emi!T$15</f>
        <v>0</v>
      </c>
      <c r="U81" s="110">
        <f>TrRail_emi!U$15</f>
        <v>0</v>
      </c>
      <c r="V81" s="110">
        <f>TrRail_emi!V$15</f>
        <v>0</v>
      </c>
      <c r="W81" s="110">
        <f>TrRail_emi!W$15</f>
        <v>0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28.004292984370085</v>
      </c>
      <c r="C82" s="110">
        <f t="shared" si="67"/>
        <v>24.18046269688298</v>
      </c>
      <c r="D82" s="110">
        <f t="shared" si="67"/>
        <v>27.007948290084556</v>
      </c>
      <c r="E82" s="110">
        <f t="shared" si="67"/>
        <v>25.99347513262207</v>
      </c>
      <c r="F82" s="110">
        <f t="shared" si="67"/>
        <v>32.246658458751753</v>
      </c>
      <c r="G82" s="110">
        <f t="shared" si="67"/>
        <v>36.153479708015318</v>
      </c>
      <c r="H82" s="110">
        <f t="shared" si="67"/>
        <v>41.793213808674786</v>
      </c>
      <c r="I82" s="110">
        <f t="shared" si="67"/>
        <v>36.2524052605009</v>
      </c>
      <c r="J82" s="110">
        <f t="shared" si="67"/>
        <v>36.097479711922318</v>
      </c>
      <c r="K82" s="110">
        <f t="shared" si="67"/>
        <v>31.81901075391324</v>
      </c>
      <c r="L82" s="110">
        <f t="shared" si="67"/>
        <v>29.715325593766259</v>
      </c>
      <c r="M82" s="110">
        <f t="shared" si="67"/>
        <v>22.758038190101519</v>
      </c>
      <c r="N82" s="110">
        <f t="shared" si="67"/>
        <v>16.719443563365243</v>
      </c>
      <c r="O82" s="110">
        <f t="shared" si="67"/>
        <v>14.982975304983933</v>
      </c>
      <c r="P82" s="110">
        <f t="shared" si="67"/>
        <v>12.654174842435324</v>
      </c>
      <c r="Q82" s="110">
        <f t="shared" si="67"/>
        <v>11.958400613235924</v>
      </c>
      <c r="R82" s="110">
        <f t="shared" si="67"/>
        <v>9.9899438314931235</v>
      </c>
      <c r="S82" s="110">
        <f t="shared" si="67"/>
        <v>10.382334634551251</v>
      </c>
      <c r="T82" s="110">
        <f t="shared" si="67"/>
        <v>9.174552656936438</v>
      </c>
      <c r="U82" s="110">
        <f t="shared" si="67"/>
        <v>7.0774595632009287</v>
      </c>
      <c r="V82" s="110">
        <f t="shared" si="67"/>
        <v>5.6636240867171468</v>
      </c>
      <c r="W82" s="110">
        <f t="shared" ref="W82" si="68">W83+W84+W85</f>
        <v>5.5540243990633344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0</v>
      </c>
      <c r="C83" s="102">
        <f>TrAvia_emi!C$11</f>
        <v>0</v>
      </c>
      <c r="D83" s="102">
        <f>TrAvia_emi!D$11</f>
        <v>0</v>
      </c>
      <c r="E83" s="102">
        <f>TrAvia_emi!E$11</f>
        <v>0</v>
      </c>
      <c r="F83" s="102">
        <f>TrAvia_emi!F$11</f>
        <v>0</v>
      </c>
      <c r="G83" s="102">
        <f>TrAvia_emi!G$11</f>
        <v>0</v>
      </c>
      <c r="H83" s="102">
        <f>TrAvia_emi!H$11</f>
        <v>0</v>
      </c>
      <c r="I83" s="102">
        <f>TrAvia_emi!I$11</f>
        <v>0</v>
      </c>
      <c r="J83" s="102">
        <f>TrAvia_emi!J$11</f>
        <v>0</v>
      </c>
      <c r="K83" s="102">
        <f>TrAvia_emi!K$11</f>
        <v>0</v>
      </c>
      <c r="L83" s="102">
        <f>TrAvia_emi!L$11</f>
        <v>0</v>
      </c>
      <c r="M83" s="102">
        <f>TrAvia_emi!M$11</f>
        <v>0</v>
      </c>
      <c r="N83" s="102">
        <f>TrAvia_emi!N$11</f>
        <v>0</v>
      </c>
      <c r="O83" s="102">
        <f>TrAvia_emi!O$11</f>
        <v>0</v>
      </c>
      <c r="P83" s="102">
        <f>TrAvia_emi!P$11</f>
        <v>0</v>
      </c>
      <c r="Q83" s="102">
        <f>TrAvia_emi!Q$11</f>
        <v>0</v>
      </c>
      <c r="R83" s="102">
        <f>TrAvia_emi!R$11</f>
        <v>0</v>
      </c>
      <c r="S83" s="102">
        <f>TrAvia_emi!S$11</f>
        <v>0</v>
      </c>
      <c r="T83" s="102">
        <f>TrAvia_emi!T$11</f>
        <v>0</v>
      </c>
      <c r="U83" s="102">
        <f>TrAvia_emi!U$11</f>
        <v>0</v>
      </c>
      <c r="V83" s="102">
        <f>TrAvia_emi!V$11</f>
        <v>0</v>
      </c>
      <c r="W83" s="102">
        <f>TrAvia_emi!W$11</f>
        <v>0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26.691093269764778</v>
      </c>
      <c r="C84" s="102">
        <f>TrAvia_emi!C$12</f>
        <v>22.911432092535243</v>
      </c>
      <c r="D84" s="102">
        <f>TrAvia_emi!D$12</f>
        <v>25.633227147128263</v>
      </c>
      <c r="E84" s="102">
        <f>TrAvia_emi!E$12</f>
        <v>24.631751680439454</v>
      </c>
      <c r="F84" s="102">
        <f>TrAvia_emi!F$12</f>
        <v>30.711472599986561</v>
      </c>
      <c r="G84" s="102">
        <f>TrAvia_emi!G$12</f>
        <v>34.716160937094799</v>
      </c>
      <c r="H84" s="102">
        <f>TrAvia_emi!H$12</f>
        <v>40.47136346136918</v>
      </c>
      <c r="I84" s="102">
        <f>TrAvia_emi!I$12</f>
        <v>35.033235173974383</v>
      </c>
      <c r="J84" s="102">
        <f>TrAvia_emi!J$12</f>
        <v>34.660982862347687</v>
      </c>
      <c r="K84" s="102">
        <f>TrAvia_emi!K$12</f>
        <v>30.100164207742303</v>
      </c>
      <c r="L84" s="102">
        <f>TrAvia_emi!L$12</f>
        <v>27.55630539527667</v>
      </c>
      <c r="M84" s="102">
        <f>TrAvia_emi!M$12</f>
        <v>21.77409104707829</v>
      </c>
      <c r="N84" s="102">
        <f>TrAvia_emi!N$12</f>
        <v>16.222736724354824</v>
      </c>
      <c r="O84" s="102">
        <f>TrAvia_emi!O$12</f>
        <v>14.455487385900268</v>
      </c>
      <c r="P84" s="102">
        <f>TrAvia_emi!P$12</f>
        <v>12.255209665239908</v>
      </c>
      <c r="Q84" s="102">
        <f>TrAvia_emi!Q$12</f>
        <v>11.510078245036388</v>
      </c>
      <c r="R84" s="102">
        <f>TrAvia_emi!R$12</f>
        <v>9.7071821785947403</v>
      </c>
      <c r="S84" s="102">
        <f>TrAvia_emi!S$12</f>
        <v>10.07706153504744</v>
      </c>
      <c r="T84" s="102">
        <f>TrAvia_emi!T$12</f>
        <v>8.8461196592665878</v>
      </c>
      <c r="U84" s="102">
        <f>TrAvia_emi!U$12</f>
        <v>6.3599723693816905</v>
      </c>
      <c r="V84" s="102">
        <f>TrAvia_emi!V$12</f>
        <v>4.2165809733813022</v>
      </c>
      <c r="W84" s="102">
        <f>TrAvia_emi!W$12</f>
        <v>4.8772135430747934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1.313199714605306</v>
      </c>
      <c r="C85" s="102">
        <f>TrAvia_emi!C$13</f>
        <v>1.2690306043477371</v>
      </c>
      <c r="D85" s="102">
        <f>TrAvia_emi!D$13</f>
        <v>1.3747211429562922</v>
      </c>
      <c r="E85" s="102">
        <f>TrAvia_emi!E$13</f>
        <v>1.3617234521826165</v>
      </c>
      <c r="F85" s="102">
        <f>TrAvia_emi!F$13</f>
        <v>1.5351858587651925</v>
      </c>
      <c r="G85" s="102">
        <f>TrAvia_emi!G$13</f>
        <v>1.4373187709205228</v>
      </c>
      <c r="H85" s="102">
        <f>TrAvia_emi!H$13</f>
        <v>1.3218503473056038</v>
      </c>
      <c r="I85" s="102">
        <f>TrAvia_emi!I$13</f>
        <v>1.2191700865265178</v>
      </c>
      <c r="J85" s="102">
        <f>TrAvia_emi!J$13</f>
        <v>1.4364968495746286</v>
      </c>
      <c r="K85" s="102">
        <f>TrAvia_emi!K$13</f>
        <v>1.7188465461709364</v>
      </c>
      <c r="L85" s="102">
        <f>TrAvia_emi!L$13</f>
        <v>2.1590201984895905</v>
      </c>
      <c r="M85" s="102">
        <f>TrAvia_emi!M$13</f>
        <v>0.98394714302322961</v>
      </c>
      <c r="N85" s="102">
        <f>TrAvia_emi!N$13</f>
        <v>0.49670683901041729</v>
      </c>
      <c r="O85" s="102">
        <f>TrAvia_emi!O$13</f>
        <v>0.52748791908366499</v>
      </c>
      <c r="P85" s="102">
        <f>TrAvia_emi!P$13</f>
        <v>0.39896517719541547</v>
      </c>
      <c r="Q85" s="102">
        <f>TrAvia_emi!Q$13</f>
        <v>0.44832236819953669</v>
      </c>
      <c r="R85" s="102">
        <f>TrAvia_emi!R$13</f>
        <v>0.2827616528983839</v>
      </c>
      <c r="S85" s="102">
        <f>TrAvia_emi!S$13</f>
        <v>0.30527309950381093</v>
      </c>
      <c r="T85" s="102">
        <f>TrAvia_emi!T$13</f>
        <v>0.32843299766985085</v>
      </c>
      <c r="U85" s="102">
        <f>TrAvia_emi!U$13</f>
        <v>0.71748719381923853</v>
      </c>
      <c r="V85" s="102">
        <f>TrAvia_emi!V$13</f>
        <v>1.4470431133358448</v>
      </c>
      <c r="W85" s="102">
        <f>TrAvia_emi!W$13</f>
        <v>0.67681085598854129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0</v>
      </c>
      <c r="C86" s="110">
        <f t="shared" si="69"/>
        <v>0</v>
      </c>
      <c r="D86" s="110">
        <f t="shared" si="69"/>
        <v>0</v>
      </c>
      <c r="E86" s="110">
        <f t="shared" si="69"/>
        <v>0</v>
      </c>
      <c r="F86" s="110">
        <f t="shared" si="69"/>
        <v>0</v>
      </c>
      <c r="G86" s="110">
        <f t="shared" si="69"/>
        <v>0</v>
      </c>
      <c r="H86" s="110">
        <f t="shared" si="69"/>
        <v>0</v>
      </c>
      <c r="I86" s="110">
        <f t="shared" si="69"/>
        <v>0</v>
      </c>
      <c r="J86" s="110">
        <f t="shared" si="69"/>
        <v>0</v>
      </c>
      <c r="K86" s="110">
        <f t="shared" si="69"/>
        <v>0</v>
      </c>
      <c r="L86" s="110">
        <f t="shared" si="69"/>
        <v>0</v>
      </c>
      <c r="M86" s="110">
        <f t="shared" si="69"/>
        <v>0</v>
      </c>
      <c r="N86" s="110">
        <f t="shared" si="69"/>
        <v>0</v>
      </c>
      <c r="O86" s="110">
        <f t="shared" si="69"/>
        <v>0</v>
      </c>
      <c r="P86" s="110">
        <f t="shared" si="69"/>
        <v>0</v>
      </c>
      <c r="Q86" s="110">
        <f t="shared" si="69"/>
        <v>0</v>
      </c>
      <c r="R86" s="110">
        <f t="shared" ref="R86:V86" si="70">R87+R88</f>
        <v>0</v>
      </c>
      <c r="S86" s="110">
        <f t="shared" si="70"/>
        <v>2.0492503200000001</v>
      </c>
      <c r="T86" s="110">
        <f t="shared" si="70"/>
        <v>2.1380813999999999</v>
      </c>
      <c r="U86" s="110">
        <f t="shared" si="70"/>
        <v>2.7873752399999998</v>
      </c>
      <c r="V86" s="110">
        <f t="shared" si="70"/>
        <v>1.1390651999999999</v>
      </c>
      <c r="W86" s="110">
        <f t="shared" ref="W86" si="71">W87+W88</f>
        <v>2.6201167199999995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0</v>
      </c>
      <c r="C87" s="102">
        <f>TrNavi_emi!C$4</f>
        <v>0</v>
      </c>
      <c r="D87" s="102">
        <f>TrNavi_emi!D$4</f>
        <v>0</v>
      </c>
      <c r="E87" s="102">
        <f>TrNavi_emi!E$4</f>
        <v>0</v>
      </c>
      <c r="F87" s="102">
        <f>TrNavi_emi!F$4</f>
        <v>0</v>
      </c>
      <c r="G87" s="102">
        <f>TrNavi_emi!G$4</f>
        <v>0</v>
      </c>
      <c r="H87" s="102">
        <f>TrNavi_emi!H$4</f>
        <v>0</v>
      </c>
      <c r="I87" s="102">
        <f>TrNavi_emi!I$4</f>
        <v>0</v>
      </c>
      <c r="J87" s="102">
        <f>TrNavi_emi!J$4</f>
        <v>0</v>
      </c>
      <c r="K87" s="102">
        <f>TrNavi_emi!K$4</f>
        <v>0</v>
      </c>
      <c r="L87" s="102">
        <f>TrNavi_emi!L$4</f>
        <v>0</v>
      </c>
      <c r="M87" s="102">
        <f>TrNavi_emi!M$4</f>
        <v>0</v>
      </c>
      <c r="N87" s="102">
        <f>TrNavi_emi!N$4</f>
        <v>0</v>
      </c>
      <c r="O87" s="102">
        <f>TrNavi_emi!O$4</f>
        <v>0</v>
      </c>
      <c r="P87" s="102">
        <f>TrNavi_emi!P$4</f>
        <v>0</v>
      </c>
      <c r="Q87" s="102">
        <f>TrNavi_emi!Q$4</f>
        <v>0</v>
      </c>
      <c r="R87" s="102">
        <f>TrNavi_emi!R$4</f>
        <v>0</v>
      </c>
      <c r="S87" s="102">
        <f>TrNavi_emi!S$4</f>
        <v>2.0492503200000001</v>
      </c>
      <c r="T87" s="102">
        <f>TrNavi_emi!T$4</f>
        <v>2.1380813999999999</v>
      </c>
      <c r="U87" s="102">
        <f>TrNavi_emi!U$4</f>
        <v>2.7873752399999998</v>
      </c>
      <c r="V87" s="102">
        <f>TrNavi_emi!V$4</f>
        <v>1.1390651999999999</v>
      </c>
      <c r="W87" s="102">
        <f>TrNavi_emi!W$4</f>
        <v>2.6201167199999995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0</v>
      </c>
      <c r="C88" s="169">
        <f>TrNavi_emi!C$5</f>
        <v>0</v>
      </c>
      <c r="D88" s="169">
        <f>TrNavi_emi!D$5</f>
        <v>0</v>
      </c>
      <c r="E88" s="169">
        <f>TrNavi_emi!E$5</f>
        <v>0</v>
      </c>
      <c r="F88" s="169">
        <f>TrNavi_emi!F$5</f>
        <v>0</v>
      </c>
      <c r="G88" s="169">
        <f>TrNavi_emi!G$5</f>
        <v>0</v>
      </c>
      <c r="H88" s="169">
        <f>TrNavi_emi!H$5</f>
        <v>0</v>
      </c>
      <c r="I88" s="169">
        <f>TrNavi_emi!I$5</f>
        <v>0</v>
      </c>
      <c r="J88" s="169">
        <f>TrNavi_emi!J$5</f>
        <v>0</v>
      </c>
      <c r="K88" s="169">
        <f>TrNavi_emi!K$5</f>
        <v>0</v>
      </c>
      <c r="L88" s="169">
        <f>TrNavi_emi!L$5</f>
        <v>0</v>
      </c>
      <c r="M88" s="169">
        <f>TrNavi_emi!M$5</f>
        <v>0</v>
      </c>
      <c r="N88" s="169">
        <f>TrNavi_emi!N$5</f>
        <v>0</v>
      </c>
      <c r="O88" s="169">
        <f>TrNavi_emi!O$5</f>
        <v>0</v>
      </c>
      <c r="P88" s="169">
        <f>TrNavi_emi!P$5</f>
        <v>0</v>
      </c>
      <c r="Q88" s="169">
        <f>TrNavi_emi!Q$5</f>
        <v>0</v>
      </c>
      <c r="R88" s="169">
        <f>TrNavi_emi!R$5</f>
        <v>0</v>
      </c>
      <c r="S88" s="169">
        <f>TrNavi_emi!S$5</f>
        <v>0</v>
      </c>
      <c r="T88" s="169">
        <f>TrNavi_emi!T$5</f>
        <v>0</v>
      </c>
      <c r="U88" s="169">
        <f>TrNavi_emi!U$5</f>
        <v>0</v>
      </c>
      <c r="V88" s="169">
        <f>TrNavi_emi!V$5</f>
        <v>0</v>
      </c>
      <c r="W88" s="169">
        <f>TrNavi_emi!W$5</f>
        <v>0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609.43904315999976</v>
      </c>
      <c r="C89" s="28">
        <f t="shared" si="72"/>
        <v>606.14573112000016</v>
      </c>
      <c r="D89" s="28">
        <f t="shared" si="72"/>
        <v>436.44996431999982</v>
      </c>
      <c r="E89" s="28">
        <f t="shared" si="72"/>
        <v>392.83952651999994</v>
      </c>
      <c r="F89" s="28">
        <f t="shared" si="72"/>
        <v>173.41117668000001</v>
      </c>
      <c r="G89" s="28">
        <f t="shared" si="72"/>
        <v>920.01246156000013</v>
      </c>
      <c r="H89" s="28">
        <f t="shared" si="72"/>
        <v>934.8316243200004</v>
      </c>
      <c r="I89" s="28">
        <f t="shared" si="72"/>
        <v>869.40263988000004</v>
      </c>
      <c r="J89" s="28">
        <f t="shared" si="72"/>
        <v>802.46715480000012</v>
      </c>
      <c r="K89" s="28">
        <f t="shared" si="72"/>
        <v>693.0820263600001</v>
      </c>
      <c r="L89" s="28">
        <f t="shared" si="72"/>
        <v>590.2092021599999</v>
      </c>
      <c r="M89" s="28">
        <f t="shared" si="72"/>
        <v>629.01319608000017</v>
      </c>
      <c r="N89" s="28">
        <f t="shared" si="72"/>
        <v>623.12930856000003</v>
      </c>
      <c r="O89" s="28">
        <f t="shared" si="72"/>
        <v>756.10928952000017</v>
      </c>
      <c r="P89" s="28">
        <f t="shared" si="72"/>
        <v>735.52434264000021</v>
      </c>
      <c r="Q89" s="28">
        <f t="shared" si="72"/>
        <v>773.25976512</v>
      </c>
      <c r="R89" s="28">
        <f t="shared" si="72"/>
        <v>909.22297392000019</v>
      </c>
      <c r="S89" s="28">
        <f t="shared" si="72"/>
        <v>806.43725604000019</v>
      </c>
      <c r="T89" s="28">
        <f t="shared" si="72"/>
        <v>856.24929900000006</v>
      </c>
      <c r="U89" s="28">
        <f t="shared" si="72"/>
        <v>881.41074372000003</v>
      </c>
      <c r="V89" s="28">
        <f t="shared" si="72"/>
        <v>876.24840528000027</v>
      </c>
      <c r="W89" s="28">
        <f t="shared" si="72"/>
        <v>802.52022131999991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321.75826745639188</v>
      </c>
      <c r="C90" s="102">
        <f>MBunk_emi!C$4</f>
        <v>320.84209807750148</v>
      </c>
      <c r="D90" s="102">
        <f>MBunk_emi!D$4</f>
        <v>230.0361031943896</v>
      </c>
      <c r="E90" s="102">
        <f>MBunk_emi!E$4</f>
        <v>218.85873194689478</v>
      </c>
      <c r="F90" s="102">
        <f>MBunk_emi!F$4</f>
        <v>98.828783200172253</v>
      </c>
      <c r="G90" s="102">
        <f>MBunk_emi!G$4</f>
        <v>491.75822718835082</v>
      </c>
      <c r="H90" s="102">
        <f>MBunk_emi!H$4</f>
        <v>506.72461920731922</v>
      </c>
      <c r="I90" s="102">
        <f>MBunk_emi!I$4</f>
        <v>391.90085132576655</v>
      </c>
      <c r="J90" s="102">
        <f>MBunk_emi!J$4</f>
        <v>425.06852857627939</v>
      </c>
      <c r="K90" s="102">
        <f>MBunk_emi!K$4</f>
        <v>340.99924318974774</v>
      </c>
      <c r="L90" s="102">
        <f>MBunk_emi!L$4</f>
        <v>304.52914220918314</v>
      </c>
      <c r="M90" s="102">
        <f>MBunk_emi!M$4</f>
        <v>343.0481217282686</v>
      </c>
      <c r="N90" s="102">
        <f>MBunk_emi!N$4</f>
        <v>355.99096505133832</v>
      </c>
      <c r="O90" s="102">
        <f>MBunk_emi!O$4</f>
        <v>434.53501919376265</v>
      </c>
      <c r="P90" s="102">
        <f>MBunk_emi!P$4</f>
        <v>410.97351716875937</v>
      </c>
      <c r="Q90" s="102">
        <f>MBunk_emi!Q$4</f>
        <v>437.13856716298534</v>
      </c>
      <c r="R90" s="102">
        <f>MBunk_emi!R$4</f>
        <v>506.35758502341361</v>
      </c>
      <c r="S90" s="102">
        <f>MBunk_emi!S$4</f>
        <v>432.60786416030089</v>
      </c>
      <c r="T90" s="102">
        <f>MBunk_emi!T$4</f>
        <v>436.06150076735435</v>
      </c>
      <c r="U90" s="102">
        <f>MBunk_emi!U$4</f>
        <v>480.61377565720824</v>
      </c>
      <c r="V90" s="102">
        <f>MBunk_emi!V$4</f>
        <v>455.09357991610318</v>
      </c>
      <c r="W90" s="102">
        <f>MBunk_emi!W$4</f>
        <v>414.94142482645628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287.68077570360788</v>
      </c>
      <c r="C91" s="86">
        <f>MBunk_emi!C$5</f>
        <v>285.30363304249863</v>
      </c>
      <c r="D91" s="86">
        <f>MBunk_emi!D$5</f>
        <v>206.41386112561025</v>
      </c>
      <c r="E91" s="86">
        <f>MBunk_emi!E$5</f>
        <v>173.98079457310519</v>
      </c>
      <c r="F91" s="86">
        <f>MBunk_emi!F$5</f>
        <v>74.582393479827758</v>
      </c>
      <c r="G91" s="86">
        <f>MBunk_emi!G$5</f>
        <v>428.25423437164932</v>
      </c>
      <c r="H91" s="86">
        <f>MBunk_emi!H$5</f>
        <v>428.10700511268112</v>
      </c>
      <c r="I91" s="86">
        <f>MBunk_emi!I$5</f>
        <v>477.50178855423349</v>
      </c>
      <c r="J91" s="86">
        <f>MBunk_emi!J$5</f>
        <v>377.39862622372067</v>
      </c>
      <c r="K91" s="86">
        <f>MBunk_emi!K$5</f>
        <v>352.08278317025241</v>
      </c>
      <c r="L91" s="86">
        <f>MBunk_emi!L$5</f>
        <v>285.68005995081683</v>
      </c>
      <c r="M91" s="86">
        <f>MBunk_emi!M$5</f>
        <v>285.96507435173157</v>
      </c>
      <c r="N91" s="86">
        <f>MBunk_emi!N$5</f>
        <v>267.13834350866171</v>
      </c>
      <c r="O91" s="86">
        <f>MBunk_emi!O$5</f>
        <v>321.57427032623747</v>
      </c>
      <c r="P91" s="86">
        <f>MBunk_emi!P$5</f>
        <v>324.55082547124084</v>
      </c>
      <c r="Q91" s="86">
        <f>MBunk_emi!Q$5</f>
        <v>336.12119795701466</v>
      </c>
      <c r="R91" s="86">
        <f>MBunk_emi!R$5</f>
        <v>402.86538889658652</v>
      </c>
      <c r="S91" s="86">
        <f>MBunk_emi!S$5</f>
        <v>373.8293918796993</v>
      </c>
      <c r="T91" s="86">
        <f>MBunk_emi!T$5</f>
        <v>420.18779823264572</v>
      </c>
      <c r="U91" s="86">
        <f>MBunk_emi!U$5</f>
        <v>400.79696806279185</v>
      </c>
      <c r="V91" s="86">
        <f>MBunk_emi!V$5</f>
        <v>421.15482536389709</v>
      </c>
      <c r="W91" s="86">
        <f>MBunk_emi!W$5</f>
        <v>387.57879649354362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0.3645099472642182</v>
      </c>
      <c r="C97" s="139">
        <f t="shared" si="76"/>
        <v>0.33812373104735477</v>
      </c>
      <c r="D97" s="139">
        <f t="shared" si="76"/>
        <v>0.39634004957130087</v>
      </c>
      <c r="E97" s="139">
        <f t="shared" si="76"/>
        <v>0.39064541018822091</v>
      </c>
      <c r="F97" s="139">
        <f t="shared" si="76"/>
        <v>0.4075923191931396</v>
      </c>
      <c r="G97" s="139">
        <f t="shared" si="76"/>
        <v>0.40403534920827044</v>
      </c>
      <c r="H97" s="139">
        <f t="shared" si="76"/>
        <v>0.41209546030237892</v>
      </c>
      <c r="I97" s="139">
        <f t="shared" si="76"/>
        <v>0.42493052853959817</v>
      </c>
      <c r="J97" s="139">
        <f t="shared" si="76"/>
        <v>0.43286993874761398</v>
      </c>
      <c r="K97" s="139">
        <f t="shared" si="76"/>
        <v>0.45819831779393994</v>
      </c>
      <c r="L97" s="139">
        <f t="shared" si="76"/>
        <v>0.44844340790467885</v>
      </c>
      <c r="M97" s="139">
        <f t="shared" si="76"/>
        <v>0.44181323598598976</v>
      </c>
      <c r="N97" s="139">
        <f t="shared" si="76"/>
        <v>0.44282604306617657</v>
      </c>
      <c r="O97" s="139">
        <f t="shared" si="76"/>
        <v>0.4406553418685239</v>
      </c>
      <c r="P97" s="139">
        <f t="shared" si="76"/>
        <v>0.44246888731027784</v>
      </c>
      <c r="Q97" s="139">
        <f t="shared" si="76"/>
        <v>0.4506660644425774</v>
      </c>
      <c r="R97" s="139">
        <f t="shared" ref="R97:V97" si="77">IF(R5=0,0,R5/R$4)</f>
        <v>0.41575403678201456</v>
      </c>
      <c r="S97" s="139">
        <f t="shared" si="77"/>
        <v>0.39414274594254595</v>
      </c>
      <c r="T97" s="139">
        <f t="shared" si="77"/>
        <v>0.38796921740152546</v>
      </c>
      <c r="U97" s="139">
        <f t="shared" si="77"/>
        <v>0.3887678151984908</v>
      </c>
      <c r="V97" s="139">
        <f t="shared" si="77"/>
        <v>0.7250314942371161</v>
      </c>
      <c r="W97" s="139">
        <f t="shared" ref="W97" si="78">IF(W5=0,0,W5/W$4)</f>
        <v>0.56559335991489257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1.0412483300943276E-2</v>
      </c>
      <c r="C98" s="140">
        <f t="shared" si="79"/>
        <v>9.2622835177966437E-3</v>
      </c>
      <c r="D98" s="140">
        <f t="shared" si="79"/>
        <v>1.0187134586816216E-2</v>
      </c>
      <c r="E98" s="140">
        <f t="shared" si="79"/>
        <v>9.9757529606958294E-3</v>
      </c>
      <c r="F98" s="140">
        <f t="shared" si="79"/>
        <v>9.6640044802562986E-3</v>
      </c>
      <c r="G98" s="140">
        <f t="shared" si="79"/>
        <v>9.1203608624442628E-3</v>
      </c>
      <c r="H98" s="140">
        <f t="shared" si="79"/>
        <v>8.9835867723720483E-3</v>
      </c>
      <c r="I98" s="140">
        <f t="shared" si="79"/>
        <v>8.9282931337375804E-3</v>
      </c>
      <c r="J98" s="140">
        <f t="shared" si="79"/>
        <v>8.6953561409302757E-3</v>
      </c>
      <c r="K98" s="140">
        <f t="shared" si="79"/>
        <v>8.9026557512184371E-3</v>
      </c>
      <c r="L98" s="140">
        <f t="shared" si="79"/>
        <v>8.7415112190700906E-3</v>
      </c>
      <c r="M98" s="140">
        <f t="shared" si="79"/>
        <v>8.3919937568580245E-3</v>
      </c>
      <c r="N98" s="140">
        <f t="shared" si="79"/>
        <v>8.4247792164328043E-3</v>
      </c>
      <c r="O98" s="140">
        <f t="shared" si="79"/>
        <v>8.3202037731264326E-3</v>
      </c>
      <c r="P98" s="140">
        <f t="shared" si="79"/>
        <v>8.3232175936742477E-3</v>
      </c>
      <c r="Q98" s="140">
        <f t="shared" si="79"/>
        <v>8.0796832412693854E-3</v>
      </c>
      <c r="R98" s="140">
        <f t="shared" ref="R98:V98" si="80">IF(R6=0,0,R6/R$4)</f>
        <v>7.1464917659250643E-3</v>
      </c>
      <c r="S98" s="140">
        <f t="shared" si="80"/>
        <v>6.2629532845339597E-3</v>
      </c>
      <c r="T98" s="140">
        <f t="shared" si="80"/>
        <v>5.6623188028289799E-3</v>
      </c>
      <c r="U98" s="140">
        <f t="shared" si="80"/>
        <v>5.8184517851616177E-3</v>
      </c>
      <c r="V98" s="140">
        <f t="shared" si="80"/>
        <v>1.2065543956399539E-2</v>
      </c>
      <c r="W98" s="140">
        <f t="shared" ref="W98" si="81">IF(W6=0,0,W6/W$4)</f>
        <v>9.0807115449152726E-3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0.27509563933401837</v>
      </c>
      <c r="C99" s="140">
        <f t="shared" si="82"/>
        <v>0.25493135467407607</v>
      </c>
      <c r="D99" s="140">
        <f t="shared" si="82"/>
        <v>0.29872206630875225</v>
      </c>
      <c r="E99" s="140">
        <f t="shared" si="82"/>
        <v>0.29093537338751918</v>
      </c>
      <c r="F99" s="140">
        <f t="shared" si="82"/>
        <v>0.31343668624644916</v>
      </c>
      <c r="G99" s="140">
        <f t="shared" si="82"/>
        <v>0.31280395116501081</v>
      </c>
      <c r="H99" s="140">
        <f t="shared" si="82"/>
        <v>0.32094894389331757</v>
      </c>
      <c r="I99" s="140">
        <f t="shared" si="82"/>
        <v>0.33406240115925168</v>
      </c>
      <c r="J99" s="140">
        <f t="shared" si="82"/>
        <v>0.34449206920740555</v>
      </c>
      <c r="K99" s="140">
        <f t="shared" si="82"/>
        <v>0.37013551268016348</v>
      </c>
      <c r="L99" s="140">
        <f t="shared" si="82"/>
        <v>0.36081240479069426</v>
      </c>
      <c r="M99" s="140">
        <f t="shared" si="82"/>
        <v>0.35428307580394097</v>
      </c>
      <c r="N99" s="140">
        <f t="shared" si="82"/>
        <v>0.35333024298418603</v>
      </c>
      <c r="O99" s="140">
        <f t="shared" si="82"/>
        <v>0.3522402364219499</v>
      </c>
      <c r="P99" s="140">
        <f t="shared" si="82"/>
        <v>0.35517808301396925</v>
      </c>
      <c r="Q99" s="140">
        <f t="shared" si="82"/>
        <v>0.35977221973357054</v>
      </c>
      <c r="R99" s="140">
        <f t="shared" ref="R99:V99" si="83">IF(R7=0,0,R7/R$4)</f>
        <v>0.33252162734045987</v>
      </c>
      <c r="S99" s="140">
        <f t="shared" si="83"/>
        <v>0.31426510262709245</v>
      </c>
      <c r="T99" s="140">
        <f t="shared" si="83"/>
        <v>0.31004472880767958</v>
      </c>
      <c r="U99" s="140">
        <f t="shared" si="83"/>
        <v>0.31209729773775707</v>
      </c>
      <c r="V99" s="140">
        <f t="shared" si="83"/>
        <v>0.62248113106795855</v>
      </c>
      <c r="W99" s="140">
        <f t="shared" ref="W99" si="84">IF(W7=0,0,W7/W$4)</f>
        <v>0.48575074674974456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7.9001824629256562E-2</v>
      </c>
      <c r="C100" s="140">
        <f t="shared" si="85"/>
        <v>7.3930092855482063E-2</v>
      </c>
      <c r="D100" s="140">
        <f t="shared" si="85"/>
        <v>8.7430848675732378E-2</v>
      </c>
      <c r="E100" s="140">
        <f t="shared" si="85"/>
        <v>8.9734283840005924E-2</v>
      </c>
      <c r="F100" s="140">
        <f t="shared" si="85"/>
        <v>8.4491628466434127E-2</v>
      </c>
      <c r="G100" s="140">
        <f t="shared" si="85"/>
        <v>8.2111037180815347E-2</v>
      </c>
      <c r="H100" s="140">
        <f t="shared" si="85"/>
        <v>8.2162929636689294E-2</v>
      </c>
      <c r="I100" s="140">
        <f t="shared" si="85"/>
        <v>8.1939834246608903E-2</v>
      </c>
      <c r="J100" s="140">
        <f t="shared" si="85"/>
        <v>7.9682513399278163E-2</v>
      </c>
      <c r="K100" s="140">
        <f t="shared" si="85"/>
        <v>7.9160149362557941E-2</v>
      </c>
      <c r="L100" s="140">
        <f t="shared" si="85"/>
        <v>7.888949189491451E-2</v>
      </c>
      <c r="M100" s="140">
        <f t="shared" si="85"/>
        <v>7.9138166425190726E-2</v>
      </c>
      <c r="N100" s="140">
        <f t="shared" si="85"/>
        <v>8.10710208655578E-2</v>
      </c>
      <c r="O100" s="140">
        <f t="shared" si="85"/>
        <v>8.0094901673447599E-2</v>
      </c>
      <c r="P100" s="140">
        <f t="shared" si="85"/>
        <v>7.8967586702634318E-2</v>
      </c>
      <c r="Q100" s="140">
        <f t="shared" si="85"/>
        <v>8.2814161467737457E-2</v>
      </c>
      <c r="R100" s="140">
        <f t="shared" ref="R100:V100" si="86">IF(R8=0,0,R8/R$4)</f>
        <v>7.6085917675629625E-2</v>
      </c>
      <c r="S100" s="140">
        <f t="shared" si="86"/>
        <v>7.3614690030919472E-2</v>
      </c>
      <c r="T100" s="140">
        <f t="shared" si="86"/>
        <v>7.2262169791016823E-2</v>
      </c>
      <c r="U100" s="140">
        <f t="shared" si="86"/>
        <v>7.0852065675572104E-2</v>
      </c>
      <c r="V100" s="140">
        <f t="shared" si="86"/>
        <v>9.0484819212757986E-2</v>
      </c>
      <c r="W100" s="140">
        <f t="shared" ref="W100" si="87">IF(W8=0,0,W8/W$4)</f>
        <v>7.0761901620232714E-2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0</v>
      </c>
      <c r="C101" s="124">
        <f t="shared" si="88"/>
        <v>0</v>
      </c>
      <c r="D101" s="124">
        <f t="shared" si="88"/>
        <v>0</v>
      </c>
      <c r="E101" s="124">
        <f t="shared" si="88"/>
        <v>0</v>
      </c>
      <c r="F101" s="124">
        <f t="shared" si="88"/>
        <v>0</v>
      </c>
      <c r="G101" s="124">
        <f t="shared" si="88"/>
        <v>0</v>
      </c>
      <c r="H101" s="124">
        <f t="shared" si="88"/>
        <v>0</v>
      </c>
      <c r="I101" s="124">
        <f t="shared" si="88"/>
        <v>0</v>
      </c>
      <c r="J101" s="124">
        <f t="shared" si="88"/>
        <v>0</v>
      </c>
      <c r="K101" s="124">
        <f t="shared" si="88"/>
        <v>0</v>
      </c>
      <c r="L101" s="124">
        <f t="shared" si="88"/>
        <v>0</v>
      </c>
      <c r="M101" s="124">
        <f t="shared" si="88"/>
        <v>0</v>
      </c>
      <c r="N101" s="124">
        <f t="shared" si="88"/>
        <v>0</v>
      </c>
      <c r="O101" s="124">
        <f t="shared" si="88"/>
        <v>0</v>
      </c>
      <c r="P101" s="124">
        <f t="shared" si="88"/>
        <v>0</v>
      </c>
      <c r="Q101" s="124">
        <f t="shared" si="88"/>
        <v>0</v>
      </c>
      <c r="R101" s="124">
        <f t="shared" ref="R101:V101" si="89">IF(R9=0,0,R9/R$4)</f>
        <v>0</v>
      </c>
      <c r="S101" s="124">
        <f t="shared" si="89"/>
        <v>0</v>
      </c>
      <c r="T101" s="124">
        <f t="shared" si="89"/>
        <v>0</v>
      </c>
      <c r="U101" s="124">
        <f t="shared" si="89"/>
        <v>0</v>
      </c>
      <c r="V101" s="124">
        <f t="shared" si="89"/>
        <v>0</v>
      </c>
      <c r="W101" s="124">
        <f t="shared" ref="W101" si="90">IF(W9=0,0,W9/W$4)</f>
        <v>0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0</v>
      </c>
      <c r="C102" s="140">
        <f t="shared" si="91"/>
        <v>0</v>
      </c>
      <c r="D102" s="140">
        <f t="shared" si="91"/>
        <v>0</v>
      </c>
      <c r="E102" s="140">
        <f t="shared" si="91"/>
        <v>0</v>
      </c>
      <c r="F102" s="140">
        <f t="shared" si="91"/>
        <v>0</v>
      </c>
      <c r="G102" s="140">
        <f t="shared" si="91"/>
        <v>0</v>
      </c>
      <c r="H102" s="140">
        <f t="shared" si="91"/>
        <v>0</v>
      </c>
      <c r="I102" s="140">
        <f t="shared" si="91"/>
        <v>0</v>
      </c>
      <c r="J102" s="140">
        <f t="shared" si="91"/>
        <v>0</v>
      </c>
      <c r="K102" s="140">
        <f t="shared" si="91"/>
        <v>0</v>
      </c>
      <c r="L102" s="140">
        <f t="shared" si="91"/>
        <v>0</v>
      </c>
      <c r="M102" s="140">
        <f t="shared" si="91"/>
        <v>0</v>
      </c>
      <c r="N102" s="140">
        <f t="shared" si="91"/>
        <v>0</v>
      </c>
      <c r="O102" s="140">
        <f t="shared" si="91"/>
        <v>0</v>
      </c>
      <c r="P102" s="140">
        <f t="shared" si="91"/>
        <v>0</v>
      </c>
      <c r="Q102" s="140">
        <f t="shared" si="91"/>
        <v>0</v>
      </c>
      <c r="R102" s="140">
        <f t="shared" ref="R102:V102" si="92">IF(R10=0,0,R10/R$4)</f>
        <v>0</v>
      </c>
      <c r="S102" s="140">
        <f t="shared" si="92"/>
        <v>0</v>
      </c>
      <c r="T102" s="140">
        <f t="shared" si="92"/>
        <v>0</v>
      </c>
      <c r="U102" s="140">
        <f t="shared" si="92"/>
        <v>0</v>
      </c>
      <c r="V102" s="140">
        <f t="shared" si="92"/>
        <v>0</v>
      </c>
      <c r="W102" s="140">
        <f t="shared" ref="W102" si="93">IF(W10=0,0,W10/W$4)</f>
        <v>0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0</v>
      </c>
      <c r="C103" s="140">
        <f t="shared" si="94"/>
        <v>0</v>
      </c>
      <c r="D103" s="140">
        <f t="shared" si="94"/>
        <v>0</v>
      </c>
      <c r="E103" s="140">
        <f t="shared" si="94"/>
        <v>0</v>
      </c>
      <c r="F103" s="140">
        <f t="shared" si="94"/>
        <v>0</v>
      </c>
      <c r="G103" s="140">
        <f t="shared" si="94"/>
        <v>0</v>
      </c>
      <c r="H103" s="140">
        <f t="shared" si="94"/>
        <v>0</v>
      </c>
      <c r="I103" s="140">
        <f t="shared" si="94"/>
        <v>0</v>
      </c>
      <c r="J103" s="140">
        <f t="shared" si="94"/>
        <v>0</v>
      </c>
      <c r="K103" s="140">
        <f t="shared" si="94"/>
        <v>0</v>
      </c>
      <c r="L103" s="140">
        <f t="shared" si="94"/>
        <v>0</v>
      </c>
      <c r="M103" s="140">
        <f t="shared" si="94"/>
        <v>0</v>
      </c>
      <c r="N103" s="140">
        <f t="shared" si="94"/>
        <v>0</v>
      </c>
      <c r="O103" s="140">
        <f t="shared" si="94"/>
        <v>0</v>
      </c>
      <c r="P103" s="140">
        <f t="shared" si="94"/>
        <v>0</v>
      </c>
      <c r="Q103" s="140">
        <f t="shared" si="94"/>
        <v>0</v>
      </c>
      <c r="R103" s="140">
        <f t="shared" ref="R103:V103" si="95">IF(R11=0,0,R11/R$4)</f>
        <v>0</v>
      </c>
      <c r="S103" s="140">
        <f t="shared" si="95"/>
        <v>0</v>
      </c>
      <c r="T103" s="140">
        <f t="shared" si="95"/>
        <v>0</v>
      </c>
      <c r="U103" s="140">
        <f t="shared" si="95"/>
        <v>0</v>
      </c>
      <c r="V103" s="140">
        <f t="shared" si="95"/>
        <v>0</v>
      </c>
      <c r="W103" s="140">
        <f t="shared" ref="W103" si="96">IF(W11=0,0,W11/W$4)</f>
        <v>0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0</v>
      </c>
      <c r="C104" s="140">
        <f t="shared" si="97"/>
        <v>0</v>
      </c>
      <c r="D104" s="140">
        <f t="shared" si="97"/>
        <v>0</v>
      </c>
      <c r="E104" s="140">
        <f t="shared" si="97"/>
        <v>0</v>
      </c>
      <c r="F104" s="140">
        <f t="shared" si="97"/>
        <v>0</v>
      </c>
      <c r="G104" s="140">
        <f t="shared" si="97"/>
        <v>0</v>
      </c>
      <c r="H104" s="140">
        <f t="shared" si="97"/>
        <v>0</v>
      </c>
      <c r="I104" s="140">
        <f t="shared" si="97"/>
        <v>0</v>
      </c>
      <c r="J104" s="140">
        <f t="shared" si="97"/>
        <v>0</v>
      </c>
      <c r="K104" s="140">
        <f t="shared" si="97"/>
        <v>0</v>
      </c>
      <c r="L104" s="140">
        <f t="shared" si="97"/>
        <v>0</v>
      </c>
      <c r="M104" s="140">
        <f t="shared" si="97"/>
        <v>0</v>
      </c>
      <c r="N104" s="140">
        <f t="shared" si="97"/>
        <v>0</v>
      </c>
      <c r="O104" s="140">
        <f t="shared" si="97"/>
        <v>0</v>
      </c>
      <c r="P104" s="140">
        <f t="shared" si="97"/>
        <v>0</v>
      </c>
      <c r="Q104" s="140">
        <f t="shared" si="97"/>
        <v>0</v>
      </c>
      <c r="R104" s="140">
        <f t="shared" ref="R104:V104" si="98">IF(R12=0,0,R12/R$4)</f>
        <v>0</v>
      </c>
      <c r="S104" s="140">
        <f t="shared" si="98"/>
        <v>0</v>
      </c>
      <c r="T104" s="140">
        <f t="shared" si="98"/>
        <v>0</v>
      </c>
      <c r="U104" s="140">
        <f t="shared" si="98"/>
        <v>0</v>
      </c>
      <c r="V104" s="140">
        <f t="shared" si="98"/>
        <v>0</v>
      </c>
      <c r="W104" s="140">
        <f t="shared" ref="W104" si="99">IF(W12=0,0,W12/W$4)</f>
        <v>0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0.63549005273578174</v>
      </c>
      <c r="C105" s="124">
        <f t="shared" si="100"/>
        <v>0.66187626895264529</v>
      </c>
      <c r="D105" s="124">
        <f t="shared" si="100"/>
        <v>0.60365995042869913</v>
      </c>
      <c r="E105" s="124">
        <f t="shared" si="100"/>
        <v>0.60935458981177903</v>
      </c>
      <c r="F105" s="124">
        <f t="shared" si="100"/>
        <v>0.59240768080686035</v>
      </c>
      <c r="G105" s="124">
        <f t="shared" si="100"/>
        <v>0.59596465079172944</v>
      </c>
      <c r="H105" s="124">
        <f t="shared" si="100"/>
        <v>0.58790453969762102</v>
      </c>
      <c r="I105" s="124">
        <f t="shared" si="100"/>
        <v>0.57506947146040177</v>
      </c>
      <c r="J105" s="124">
        <f t="shared" si="100"/>
        <v>0.56713006125238596</v>
      </c>
      <c r="K105" s="124">
        <f t="shared" si="100"/>
        <v>0.54180168220606006</v>
      </c>
      <c r="L105" s="124">
        <f t="shared" si="100"/>
        <v>0.55155659209532115</v>
      </c>
      <c r="M105" s="124">
        <f t="shared" si="100"/>
        <v>0.55818676401401035</v>
      </c>
      <c r="N105" s="124">
        <f t="shared" si="100"/>
        <v>0.55717395693382354</v>
      </c>
      <c r="O105" s="124">
        <f t="shared" si="100"/>
        <v>0.55934465813147616</v>
      </c>
      <c r="P105" s="124">
        <f t="shared" si="100"/>
        <v>0.55753111268972211</v>
      </c>
      <c r="Q105" s="124">
        <f t="shared" si="100"/>
        <v>0.5493339355574226</v>
      </c>
      <c r="R105" s="124">
        <f t="shared" ref="R105:V105" si="101">IF(R13=0,0,R13/R$4)</f>
        <v>0.5842459632179855</v>
      </c>
      <c r="S105" s="124">
        <f t="shared" si="101"/>
        <v>0.60585725405745394</v>
      </c>
      <c r="T105" s="124">
        <f t="shared" si="101"/>
        <v>0.61203078259847465</v>
      </c>
      <c r="U105" s="124">
        <f t="shared" si="101"/>
        <v>0.6112321848015092</v>
      </c>
      <c r="V105" s="124">
        <f t="shared" si="101"/>
        <v>0.27496850576288395</v>
      </c>
      <c r="W105" s="124">
        <f t="shared" ref="W105" si="102">IF(W13=0,0,W13/W$4)</f>
        <v>0.43440664008510749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0</v>
      </c>
      <c r="C106" s="140">
        <f t="shared" si="103"/>
        <v>0</v>
      </c>
      <c r="D106" s="140">
        <f t="shared" si="103"/>
        <v>0</v>
      </c>
      <c r="E106" s="140">
        <f t="shared" si="103"/>
        <v>0</v>
      </c>
      <c r="F106" s="140">
        <f t="shared" si="103"/>
        <v>0</v>
      </c>
      <c r="G106" s="140">
        <f t="shared" si="103"/>
        <v>0</v>
      </c>
      <c r="H106" s="140">
        <f t="shared" si="103"/>
        <v>0</v>
      </c>
      <c r="I106" s="140">
        <f t="shared" si="103"/>
        <v>0</v>
      </c>
      <c r="J106" s="140">
        <f t="shared" si="103"/>
        <v>0</v>
      </c>
      <c r="K106" s="140">
        <f t="shared" si="103"/>
        <v>0</v>
      </c>
      <c r="L106" s="140">
        <f t="shared" si="103"/>
        <v>0</v>
      </c>
      <c r="M106" s="140">
        <f t="shared" si="103"/>
        <v>0</v>
      </c>
      <c r="N106" s="140">
        <f t="shared" si="103"/>
        <v>0</v>
      </c>
      <c r="O106" s="140">
        <f t="shared" si="103"/>
        <v>0</v>
      </c>
      <c r="P106" s="140">
        <f t="shared" si="103"/>
        <v>0</v>
      </c>
      <c r="Q106" s="140">
        <f t="shared" si="103"/>
        <v>0</v>
      </c>
      <c r="R106" s="140">
        <f t="shared" ref="R106:V106" si="104">IF(R14=0,0,R14/R$4)</f>
        <v>0</v>
      </c>
      <c r="S106" s="140">
        <f t="shared" si="104"/>
        <v>0</v>
      </c>
      <c r="T106" s="140">
        <f t="shared" si="104"/>
        <v>0</v>
      </c>
      <c r="U106" s="140">
        <f t="shared" si="104"/>
        <v>0</v>
      </c>
      <c r="V106" s="140">
        <f t="shared" si="104"/>
        <v>0</v>
      </c>
      <c r="W106" s="140">
        <f t="shared" ref="W106" si="105">IF(W14=0,0,W14/W$4)</f>
        <v>0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0.58375378710198589</v>
      </c>
      <c r="C107" s="140">
        <f t="shared" si="106"/>
        <v>0.60600927358518009</v>
      </c>
      <c r="D107" s="140">
        <f t="shared" si="106"/>
        <v>0.53645466209336568</v>
      </c>
      <c r="E107" s="140">
        <f t="shared" si="106"/>
        <v>0.53824465420212475</v>
      </c>
      <c r="F107" s="140">
        <f t="shared" si="106"/>
        <v>0.53053342618000332</v>
      </c>
      <c r="G107" s="140">
        <f t="shared" si="106"/>
        <v>0.5396545831561631</v>
      </c>
      <c r="H107" s="140">
        <f t="shared" si="106"/>
        <v>0.52415094047634336</v>
      </c>
      <c r="I107" s="140">
        <f t="shared" si="106"/>
        <v>0.50781586066313233</v>
      </c>
      <c r="J107" s="140">
        <f t="shared" si="106"/>
        <v>0.49589671245497396</v>
      </c>
      <c r="K107" s="140">
        <f t="shared" si="106"/>
        <v>0.47478776633538977</v>
      </c>
      <c r="L107" s="140">
        <f t="shared" si="106"/>
        <v>0.47038793768709219</v>
      </c>
      <c r="M107" s="140">
        <f t="shared" si="106"/>
        <v>0.46381724274705782</v>
      </c>
      <c r="N107" s="140">
        <f t="shared" si="106"/>
        <v>0.43315442733061021</v>
      </c>
      <c r="O107" s="140">
        <f t="shared" si="106"/>
        <v>0.39362931250529348</v>
      </c>
      <c r="P107" s="140">
        <f t="shared" si="106"/>
        <v>0.38368012814395558</v>
      </c>
      <c r="Q107" s="140">
        <f t="shared" si="106"/>
        <v>0.387880531763791</v>
      </c>
      <c r="R107" s="140">
        <f t="shared" ref="R107:V107" si="107">IF(R15=0,0,R15/R$4)</f>
        <v>0.38825601025822609</v>
      </c>
      <c r="S107" s="140">
        <f t="shared" si="107"/>
        <v>0.41854394116953092</v>
      </c>
      <c r="T107" s="140">
        <f t="shared" si="107"/>
        <v>0.42817741445793817</v>
      </c>
      <c r="U107" s="140">
        <f t="shared" si="107"/>
        <v>0.42986177980377233</v>
      </c>
      <c r="V107" s="140">
        <f t="shared" si="107"/>
        <v>0.23333880749706223</v>
      </c>
      <c r="W107" s="140">
        <f t="shared" ref="W107" si="108">IF(W15=0,0,W15/W$4)</f>
        <v>0.26866779274185115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5.1736265633795908E-2</v>
      </c>
      <c r="C108" s="140">
        <f t="shared" si="109"/>
        <v>5.5866995367465089E-2</v>
      </c>
      <c r="D108" s="140">
        <f t="shared" si="109"/>
        <v>6.7205288335333443E-2</v>
      </c>
      <c r="E108" s="140">
        <f t="shared" si="109"/>
        <v>7.1109935609654271E-2</v>
      </c>
      <c r="F108" s="140">
        <f t="shared" si="109"/>
        <v>6.1874254626857014E-2</v>
      </c>
      <c r="G108" s="140">
        <f t="shared" si="109"/>
        <v>5.6310067635566417E-2</v>
      </c>
      <c r="H108" s="140">
        <f t="shared" si="109"/>
        <v>6.3753599221277643E-2</v>
      </c>
      <c r="I108" s="140">
        <f t="shared" si="109"/>
        <v>6.725361079726945E-2</v>
      </c>
      <c r="J108" s="140">
        <f t="shared" si="109"/>
        <v>7.1233348797412041E-2</v>
      </c>
      <c r="K108" s="140">
        <f t="shared" si="109"/>
        <v>6.7013915870670293E-2</v>
      </c>
      <c r="L108" s="140">
        <f t="shared" si="109"/>
        <v>8.116865440822886E-2</v>
      </c>
      <c r="M108" s="140">
        <f t="shared" si="109"/>
        <v>9.4369521266952527E-2</v>
      </c>
      <c r="N108" s="140">
        <f t="shared" si="109"/>
        <v>0.12401952960321333</v>
      </c>
      <c r="O108" s="140">
        <f t="shared" si="109"/>
        <v>0.16571534562618268</v>
      </c>
      <c r="P108" s="140">
        <f t="shared" si="109"/>
        <v>0.17385098454576656</v>
      </c>
      <c r="Q108" s="140">
        <f t="shared" si="109"/>
        <v>0.16145340379363168</v>
      </c>
      <c r="R108" s="140">
        <f t="shared" ref="R108:V108" si="110">IF(R16=0,0,R16/R$4)</f>
        <v>0.19598995295975941</v>
      </c>
      <c r="S108" s="140">
        <f t="shared" si="110"/>
        <v>0.18731331288792305</v>
      </c>
      <c r="T108" s="140">
        <f t="shared" si="110"/>
        <v>0.18385336814053641</v>
      </c>
      <c r="U108" s="140">
        <f t="shared" si="110"/>
        <v>0.18137040499773688</v>
      </c>
      <c r="V108" s="140">
        <f t="shared" si="110"/>
        <v>4.1629698265821719E-2</v>
      </c>
      <c r="W108" s="140">
        <f t="shared" ref="W108" si="111">IF(W16=0,0,W16/W$4)</f>
        <v>0.16573884734325631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0.9717769155925936</v>
      </c>
      <c r="C110" s="139">
        <f t="shared" si="115"/>
        <v>0.97281430668489322</v>
      </c>
      <c r="D110" s="139">
        <f t="shared" si="115"/>
        <v>0.97499805670544692</v>
      </c>
      <c r="E110" s="139">
        <f t="shared" si="115"/>
        <v>0.97776044139719265</v>
      </c>
      <c r="F110" s="139">
        <f t="shared" si="115"/>
        <v>0.96959223845506382</v>
      </c>
      <c r="G110" s="139">
        <f t="shared" si="115"/>
        <v>0.97159724761050648</v>
      </c>
      <c r="H110" s="139">
        <f t="shared" si="115"/>
        <v>0.96333550228256837</v>
      </c>
      <c r="I110" s="139">
        <f t="shared" si="115"/>
        <v>0.9661520139708647</v>
      </c>
      <c r="J110" s="139">
        <f t="shared" si="115"/>
        <v>0.96788198986235663</v>
      </c>
      <c r="K110" s="139">
        <f t="shared" si="115"/>
        <v>0.95970372751185284</v>
      </c>
      <c r="L110" s="139">
        <f t="shared" si="115"/>
        <v>0.96337653765850673</v>
      </c>
      <c r="M110" s="139">
        <f t="shared" si="115"/>
        <v>0.97088328739708374</v>
      </c>
      <c r="N110" s="139">
        <f t="shared" si="115"/>
        <v>0.97701798727387912</v>
      </c>
      <c r="O110" s="139">
        <f t="shared" si="115"/>
        <v>0.96923169946572152</v>
      </c>
      <c r="P110" s="139">
        <f t="shared" si="115"/>
        <v>0.96581213833088508</v>
      </c>
      <c r="Q110" s="139">
        <f t="shared" si="115"/>
        <v>0.96954398195530711</v>
      </c>
      <c r="R110" s="139">
        <f t="shared" ref="R110:V110" si="116">IF(R18=0,0,R18/R$17)</f>
        <v>0.97648240091072613</v>
      </c>
      <c r="S110" s="139">
        <f t="shared" si="116"/>
        <v>0.97233989948412569</v>
      </c>
      <c r="T110" s="139">
        <f t="shared" si="116"/>
        <v>0.97383231209518695</v>
      </c>
      <c r="U110" s="139">
        <f t="shared" si="116"/>
        <v>0.96683980865570252</v>
      </c>
      <c r="V110" s="139">
        <f t="shared" si="116"/>
        <v>0.97753795095933438</v>
      </c>
      <c r="W110" s="139">
        <f t="shared" ref="W110" si="117">IF(W18=0,0,W18/W$17)</f>
        <v>0.9709515103138453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0.11054750441613131</v>
      </c>
      <c r="C111" s="140">
        <f t="shared" si="118"/>
        <v>0.11202870127019865</v>
      </c>
      <c r="D111" s="140">
        <f t="shared" si="118"/>
        <v>0.11604681212405894</v>
      </c>
      <c r="E111" s="140">
        <f t="shared" si="118"/>
        <v>0.11136545245543578</v>
      </c>
      <c r="F111" s="140">
        <f t="shared" si="118"/>
        <v>0.1263359648340345</v>
      </c>
      <c r="G111" s="140">
        <f t="shared" si="118"/>
        <v>0.10861033490304385</v>
      </c>
      <c r="H111" s="140">
        <f t="shared" si="118"/>
        <v>0.11935312808480462</v>
      </c>
      <c r="I111" s="140">
        <f t="shared" si="118"/>
        <v>0.11525937940541878</v>
      </c>
      <c r="J111" s="140">
        <f t="shared" si="118"/>
        <v>0.11207643454118005</v>
      </c>
      <c r="K111" s="140">
        <f t="shared" si="118"/>
        <v>0.13836422964331899</v>
      </c>
      <c r="L111" s="140">
        <f t="shared" si="118"/>
        <v>0.12545860911686676</v>
      </c>
      <c r="M111" s="140">
        <f t="shared" si="118"/>
        <v>0.14430676586789346</v>
      </c>
      <c r="N111" s="140">
        <f t="shared" si="118"/>
        <v>0.15248671588680696</v>
      </c>
      <c r="O111" s="140">
        <f t="shared" si="118"/>
        <v>0.19592836573784236</v>
      </c>
      <c r="P111" s="140">
        <f t="shared" si="118"/>
        <v>0.21303590675626211</v>
      </c>
      <c r="Q111" s="140">
        <f t="shared" si="118"/>
        <v>0.20523390949332421</v>
      </c>
      <c r="R111" s="140">
        <f t="shared" ref="R111:V111" si="119">IF(R19=0,0,R19/R$17)</f>
        <v>0.18131388545791555</v>
      </c>
      <c r="S111" s="140">
        <f t="shared" si="119"/>
        <v>0.16476609340724843</v>
      </c>
      <c r="T111" s="140">
        <f t="shared" si="119"/>
        <v>0.16181776290502312</v>
      </c>
      <c r="U111" s="140">
        <f t="shared" si="119"/>
        <v>0.16531073081268191</v>
      </c>
      <c r="V111" s="140">
        <f t="shared" si="119"/>
        <v>0.19508209246741515</v>
      </c>
      <c r="W111" s="140">
        <f t="shared" ref="W111" si="120">IF(W19=0,0,W19/W$17)</f>
        <v>0.18545510469096715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0.86122941117646234</v>
      </c>
      <c r="C112" s="140">
        <f t="shared" si="121"/>
        <v>0.86078560541469451</v>
      </c>
      <c r="D112" s="140">
        <f t="shared" si="121"/>
        <v>0.85895124458138805</v>
      </c>
      <c r="E112" s="140">
        <f t="shared" si="121"/>
        <v>0.86639498894175682</v>
      </c>
      <c r="F112" s="140">
        <f t="shared" si="121"/>
        <v>0.84325627362102928</v>
      </c>
      <c r="G112" s="140">
        <f t="shared" si="121"/>
        <v>0.86298691270746264</v>
      </c>
      <c r="H112" s="140">
        <f t="shared" si="121"/>
        <v>0.84398237419776367</v>
      </c>
      <c r="I112" s="140">
        <f t="shared" si="121"/>
        <v>0.85089263456544606</v>
      </c>
      <c r="J112" s="140">
        <f t="shared" si="121"/>
        <v>0.85580555532117653</v>
      </c>
      <c r="K112" s="140">
        <f t="shared" si="121"/>
        <v>0.82133949786853377</v>
      </c>
      <c r="L112" s="140">
        <f t="shared" si="121"/>
        <v>0.83791792854164004</v>
      </c>
      <c r="M112" s="140">
        <f t="shared" si="121"/>
        <v>0.82657652152919026</v>
      </c>
      <c r="N112" s="140">
        <f t="shared" si="121"/>
        <v>0.82453127138707216</v>
      </c>
      <c r="O112" s="140">
        <f t="shared" si="121"/>
        <v>0.77330333372787907</v>
      </c>
      <c r="P112" s="140">
        <f t="shared" si="121"/>
        <v>0.75277623157462303</v>
      </c>
      <c r="Q112" s="140">
        <f t="shared" si="121"/>
        <v>0.76431007246198301</v>
      </c>
      <c r="R112" s="140">
        <f t="shared" ref="R112:V112" si="122">IF(R20=0,0,R20/R$17)</f>
        <v>0.79516851545281064</v>
      </c>
      <c r="S112" s="140">
        <f t="shared" si="122"/>
        <v>0.80757380607687723</v>
      </c>
      <c r="T112" s="140">
        <f t="shared" si="122"/>
        <v>0.8120145491901638</v>
      </c>
      <c r="U112" s="140">
        <f t="shared" si="122"/>
        <v>0.80152907784302063</v>
      </c>
      <c r="V112" s="140">
        <f t="shared" si="122"/>
        <v>0.78245585849191923</v>
      </c>
      <c r="W112" s="140">
        <f t="shared" ref="W112" si="123">IF(W20=0,0,W20/W$17)</f>
        <v>0.78549640562287826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0</v>
      </c>
      <c r="C113" s="124">
        <f t="shared" si="124"/>
        <v>0</v>
      </c>
      <c r="D113" s="124">
        <f t="shared" si="124"/>
        <v>0</v>
      </c>
      <c r="E113" s="124">
        <f t="shared" si="124"/>
        <v>0</v>
      </c>
      <c r="F113" s="124">
        <f t="shared" si="124"/>
        <v>0</v>
      </c>
      <c r="G113" s="124">
        <f t="shared" si="124"/>
        <v>0</v>
      </c>
      <c r="H113" s="124">
        <f t="shared" si="124"/>
        <v>0</v>
      </c>
      <c r="I113" s="124">
        <f t="shared" si="124"/>
        <v>0</v>
      </c>
      <c r="J113" s="124">
        <f t="shared" si="124"/>
        <v>0</v>
      </c>
      <c r="K113" s="124">
        <f t="shared" si="124"/>
        <v>0</v>
      </c>
      <c r="L113" s="124">
        <f t="shared" si="124"/>
        <v>0</v>
      </c>
      <c r="M113" s="124">
        <f t="shared" si="124"/>
        <v>0</v>
      </c>
      <c r="N113" s="124">
        <f t="shared" si="124"/>
        <v>0</v>
      </c>
      <c r="O113" s="124">
        <f t="shared" si="124"/>
        <v>0</v>
      </c>
      <c r="P113" s="124">
        <f t="shared" si="124"/>
        <v>0</v>
      </c>
      <c r="Q113" s="124">
        <f t="shared" si="124"/>
        <v>0</v>
      </c>
      <c r="R113" s="124">
        <f t="shared" ref="R113:V113" si="125">IF(R21=0,0,R21/R$17)</f>
        <v>0</v>
      </c>
      <c r="S113" s="124">
        <f t="shared" si="125"/>
        <v>0</v>
      </c>
      <c r="T113" s="124">
        <f t="shared" si="125"/>
        <v>0</v>
      </c>
      <c r="U113" s="124">
        <f t="shared" si="125"/>
        <v>0</v>
      </c>
      <c r="V113" s="124">
        <f t="shared" si="125"/>
        <v>0</v>
      </c>
      <c r="W113" s="124">
        <f t="shared" ref="W113" si="126">IF(W21=0,0,W21/W$17)</f>
        <v>0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2.8223084407406469E-2</v>
      </c>
      <c r="C114" s="124">
        <f t="shared" si="127"/>
        <v>2.7185693315106813E-2</v>
      </c>
      <c r="D114" s="124">
        <f t="shared" si="127"/>
        <v>2.5001943294553079E-2</v>
      </c>
      <c r="E114" s="124">
        <f t="shared" si="127"/>
        <v>2.2239558602807401E-2</v>
      </c>
      <c r="F114" s="124">
        <f t="shared" si="127"/>
        <v>3.0407761544936237E-2</v>
      </c>
      <c r="G114" s="124">
        <f t="shared" si="127"/>
        <v>2.8402752389493482E-2</v>
      </c>
      <c r="H114" s="124">
        <f t="shared" si="127"/>
        <v>3.6664497717431598E-2</v>
      </c>
      <c r="I114" s="124">
        <f t="shared" si="127"/>
        <v>3.3847986029135239E-2</v>
      </c>
      <c r="J114" s="124">
        <f t="shared" si="127"/>
        <v>3.2118010137643448E-2</v>
      </c>
      <c r="K114" s="124">
        <f t="shared" si="127"/>
        <v>4.029627248814719E-2</v>
      </c>
      <c r="L114" s="124">
        <f t="shared" si="127"/>
        <v>3.6623462341493197E-2</v>
      </c>
      <c r="M114" s="124">
        <f t="shared" si="127"/>
        <v>2.911671260291622E-2</v>
      </c>
      <c r="N114" s="124">
        <f t="shared" si="127"/>
        <v>2.2982012726120774E-2</v>
      </c>
      <c r="O114" s="124">
        <f t="shared" si="127"/>
        <v>3.0768300534278481E-2</v>
      </c>
      <c r="P114" s="124">
        <f t="shared" si="127"/>
        <v>3.4187861669114944E-2</v>
      </c>
      <c r="Q114" s="124">
        <f t="shared" si="127"/>
        <v>3.0456018044692907E-2</v>
      </c>
      <c r="R114" s="124">
        <f t="shared" ref="R114:V114" si="128">IF(R22=0,0,R22/R$17)</f>
        <v>2.3517599089273859E-2</v>
      </c>
      <c r="S114" s="124">
        <f t="shared" si="128"/>
        <v>1.8395154643413812E-2</v>
      </c>
      <c r="T114" s="124">
        <f t="shared" si="128"/>
        <v>1.7075941189313933E-2</v>
      </c>
      <c r="U114" s="124">
        <f t="shared" si="128"/>
        <v>2.1300261691881282E-2</v>
      </c>
      <c r="V114" s="124">
        <f t="shared" si="128"/>
        <v>1.5594601639794516E-2</v>
      </c>
      <c r="W114" s="124">
        <f t="shared" ref="W114" si="129">IF(W22=0,0,W22/W$17)</f>
        <v>1.5139728296121173E-2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0</v>
      </c>
      <c r="C115" s="140">
        <f t="shared" si="130"/>
        <v>0</v>
      </c>
      <c r="D115" s="140">
        <f t="shared" si="130"/>
        <v>0</v>
      </c>
      <c r="E115" s="140">
        <f t="shared" si="130"/>
        <v>0</v>
      </c>
      <c r="F115" s="140">
        <f t="shared" si="130"/>
        <v>0</v>
      </c>
      <c r="G115" s="140">
        <f t="shared" si="130"/>
        <v>0</v>
      </c>
      <c r="H115" s="140">
        <f t="shared" si="130"/>
        <v>0</v>
      </c>
      <c r="I115" s="140">
        <f t="shared" si="130"/>
        <v>0</v>
      </c>
      <c r="J115" s="140">
        <f t="shared" si="130"/>
        <v>0</v>
      </c>
      <c r="K115" s="140">
        <f t="shared" si="130"/>
        <v>0</v>
      </c>
      <c r="L115" s="140">
        <f t="shared" si="130"/>
        <v>0</v>
      </c>
      <c r="M115" s="140">
        <f t="shared" si="130"/>
        <v>0</v>
      </c>
      <c r="N115" s="140">
        <f t="shared" si="130"/>
        <v>0</v>
      </c>
      <c r="O115" s="140">
        <f t="shared" si="130"/>
        <v>0</v>
      </c>
      <c r="P115" s="140">
        <f t="shared" si="130"/>
        <v>0</v>
      </c>
      <c r="Q115" s="140">
        <f t="shared" si="130"/>
        <v>0</v>
      </c>
      <c r="R115" s="140">
        <f t="shared" ref="R115:V116" si="131">IF(R23=0,0,R23/R$17)</f>
        <v>0</v>
      </c>
      <c r="S115" s="140">
        <f t="shared" si="131"/>
        <v>0</v>
      </c>
      <c r="T115" s="140">
        <f t="shared" si="131"/>
        <v>0</v>
      </c>
      <c r="U115" s="140">
        <f t="shared" si="131"/>
        <v>0</v>
      </c>
      <c r="V115" s="140">
        <f t="shared" si="131"/>
        <v>0</v>
      </c>
      <c r="W115" s="140">
        <f t="shared" ref="W115" si="132">IF(W23=0,0,W23/W$17)</f>
        <v>0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2.2161404762783894E-2</v>
      </c>
      <c r="C116" s="140">
        <f t="shared" si="133"/>
        <v>2.1147831594908035E-2</v>
      </c>
      <c r="D116" s="140">
        <f t="shared" si="133"/>
        <v>1.9600980510030931E-2</v>
      </c>
      <c r="E116" s="140">
        <f t="shared" si="133"/>
        <v>1.764513187366518E-2</v>
      </c>
      <c r="F116" s="140">
        <f t="shared" si="133"/>
        <v>2.420519700306821E-2</v>
      </c>
      <c r="G116" s="140">
        <f t="shared" si="133"/>
        <v>2.3656535917270734E-2</v>
      </c>
      <c r="H116" s="140">
        <f t="shared" si="133"/>
        <v>2.947119979730134E-2</v>
      </c>
      <c r="I116" s="140">
        <f t="shared" si="133"/>
        <v>2.6490400324374906E-2</v>
      </c>
      <c r="J116" s="140">
        <f t="shared" si="133"/>
        <v>2.4246164757877955E-2</v>
      </c>
      <c r="K116" s="140">
        <f t="shared" si="133"/>
        <v>2.9734303949636109E-2</v>
      </c>
      <c r="L116" s="140">
        <f t="shared" si="133"/>
        <v>2.661332987597367E-2</v>
      </c>
      <c r="M116" s="140">
        <f t="shared" si="133"/>
        <v>2.1989389263488385E-2</v>
      </c>
      <c r="N116" s="140">
        <f t="shared" si="133"/>
        <v>1.9488355448365913E-2</v>
      </c>
      <c r="O116" s="140">
        <f t="shared" si="133"/>
        <v>2.3985956024849431E-2</v>
      </c>
      <c r="P116" s="140">
        <f t="shared" si="133"/>
        <v>2.5954506021148342E-2</v>
      </c>
      <c r="Q116" s="140">
        <f t="shared" si="133"/>
        <v>2.2635728556498994E-2</v>
      </c>
      <c r="R116" s="140">
        <f t="shared" si="131"/>
        <v>1.7524846411652313E-2</v>
      </c>
      <c r="S116" s="140">
        <f t="shared" si="131"/>
        <v>1.4655072859172545E-2</v>
      </c>
      <c r="T116" s="140">
        <f t="shared" si="131"/>
        <v>1.2590304203966143E-2</v>
      </c>
      <c r="U116" s="140">
        <f t="shared" si="131"/>
        <v>1.128257916510584E-2</v>
      </c>
      <c r="V116" s="140">
        <f t="shared" si="131"/>
        <v>9.5401579570142097E-3</v>
      </c>
      <c r="W116" s="140">
        <f t="shared" ref="W116" si="134">IF(W24=0,0,W24/W$17)</f>
        <v>8.5338070815563823E-3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6.0616796446225736E-3</v>
      </c>
      <c r="C117" s="140">
        <f t="shared" si="135"/>
        <v>6.0378617201987768E-3</v>
      </c>
      <c r="D117" s="140">
        <f t="shared" si="135"/>
        <v>5.4009627845221474E-3</v>
      </c>
      <c r="E117" s="140">
        <f t="shared" si="135"/>
        <v>4.5944267291422218E-3</v>
      </c>
      <c r="F117" s="140">
        <f t="shared" si="135"/>
        <v>6.2025645418680277E-3</v>
      </c>
      <c r="G117" s="140">
        <f t="shared" si="135"/>
        <v>4.7462164722227489E-3</v>
      </c>
      <c r="H117" s="140">
        <f t="shared" si="135"/>
        <v>7.1932979201302615E-3</v>
      </c>
      <c r="I117" s="140">
        <f t="shared" si="135"/>
        <v>7.3575857047603393E-3</v>
      </c>
      <c r="J117" s="140">
        <f t="shared" si="135"/>
        <v>7.8718453797654905E-3</v>
      </c>
      <c r="K117" s="140">
        <f t="shared" si="135"/>
        <v>1.0561968538511077E-2</v>
      </c>
      <c r="L117" s="140">
        <f t="shared" si="135"/>
        <v>1.0010132465519527E-2</v>
      </c>
      <c r="M117" s="140">
        <f t="shared" si="135"/>
        <v>7.1273233394278327E-3</v>
      </c>
      <c r="N117" s="140">
        <f t="shared" si="135"/>
        <v>3.4936572777548628E-3</v>
      </c>
      <c r="O117" s="140">
        <f t="shared" si="135"/>
        <v>6.7823445094290519E-3</v>
      </c>
      <c r="P117" s="140">
        <f t="shared" si="135"/>
        <v>8.2333556479666E-3</v>
      </c>
      <c r="Q117" s="140">
        <f t="shared" si="135"/>
        <v>7.8202894881939135E-3</v>
      </c>
      <c r="R117" s="140">
        <f t="shared" ref="R117:V117" si="136">IF(R25=0,0,R25/R$17)</f>
        <v>5.9927526776215444E-3</v>
      </c>
      <c r="S117" s="140">
        <f t="shared" si="136"/>
        <v>3.7400817842412684E-3</v>
      </c>
      <c r="T117" s="140">
        <f t="shared" si="136"/>
        <v>4.4856369853477915E-3</v>
      </c>
      <c r="U117" s="140">
        <f t="shared" si="136"/>
        <v>1.0017682526775443E-2</v>
      </c>
      <c r="V117" s="140">
        <f t="shared" si="136"/>
        <v>6.0544436827803059E-3</v>
      </c>
      <c r="W117" s="140">
        <f t="shared" ref="W117" si="137">IF(W25=0,0,W25/W$17)</f>
        <v>6.6059212145647911E-3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0</v>
      </c>
      <c r="C118" s="124">
        <f t="shared" si="138"/>
        <v>0</v>
      </c>
      <c r="D118" s="124">
        <f t="shared" si="138"/>
        <v>0</v>
      </c>
      <c r="E118" s="124">
        <f t="shared" si="138"/>
        <v>0</v>
      </c>
      <c r="F118" s="124">
        <f t="shared" si="138"/>
        <v>0</v>
      </c>
      <c r="G118" s="124">
        <f t="shared" si="138"/>
        <v>0</v>
      </c>
      <c r="H118" s="124">
        <f t="shared" si="138"/>
        <v>0</v>
      </c>
      <c r="I118" s="124">
        <f t="shared" si="138"/>
        <v>0</v>
      </c>
      <c r="J118" s="124">
        <f t="shared" si="138"/>
        <v>0</v>
      </c>
      <c r="K118" s="124">
        <f t="shared" si="138"/>
        <v>0</v>
      </c>
      <c r="L118" s="124">
        <f t="shared" si="138"/>
        <v>0</v>
      </c>
      <c r="M118" s="124">
        <f t="shared" si="138"/>
        <v>0</v>
      </c>
      <c r="N118" s="124">
        <f t="shared" si="138"/>
        <v>0</v>
      </c>
      <c r="O118" s="124">
        <f t="shared" si="138"/>
        <v>0</v>
      </c>
      <c r="P118" s="124">
        <f t="shared" si="138"/>
        <v>0</v>
      </c>
      <c r="Q118" s="124">
        <f t="shared" si="138"/>
        <v>0</v>
      </c>
      <c r="R118" s="124">
        <f t="shared" ref="R118:V118" si="139">IF(R26=0,0,R26/R$17)</f>
        <v>0</v>
      </c>
      <c r="S118" s="124">
        <f t="shared" si="139"/>
        <v>9.2649458724605328E-3</v>
      </c>
      <c r="T118" s="124">
        <f t="shared" si="139"/>
        <v>9.0917467154991178E-3</v>
      </c>
      <c r="U118" s="124">
        <f t="shared" si="139"/>
        <v>1.1859929652416102E-2</v>
      </c>
      <c r="V118" s="124">
        <f t="shared" si="139"/>
        <v>6.8674474008710408E-3</v>
      </c>
      <c r="W118" s="124">
        <f t="shared" ref="W118" si="140">IF(W26=0,0,W26/W$17)</f>
        <v>1.3908761390033554E-2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0</v>
      </c>
      <c r="C119" s="140">
        <f t="shared" si="141"/>
        <v>0</v>
      </c>
      <c r="D119" s="140">
        <f t="shared" si="141"/>
        <v>0</v>
      </c>
      <c r="E119" s="140">
        <f t="shared" si="141"/>
        <v>0</v>
      </c>
      <c r="F119" s="140">
        <f t="shared" si="141"/>
        <v>0</v>
      </c>
      <c r="G119" s="140">
        <f t="shared" si="141"/>
        <v>0</v>
      </c>
      <c r="H119" s="140">
        <f t="shared" si="141"/>
        <v>0</v>
      </c>
      <c r="I119" s="140">
        <f t="shared" si="141"/>
        <v>0</v>
      </c>
      <c r="J119" s="140">
        <f t="shared" si="141"/>
        <v>0</v>
      </c>
      <c r="K119" s="140">
        <f t="shared" si="141"/>
        <v>0</v>
      </c>
      <c r="L119" s="140">
        <f t="shared" si="141"/>
        <v>0</v>
      </c>
      <c r="M119" s="140">
        <f t="shared" si="141"/>
        <v>0</v>
      </c>
      <c r="N119" s="140">
        <f t="shared" si="141"/>
        <v>0</v>
      </c>
      <c r="O119" s="140">
        <f t="shared" si="141"/>
        <v>0</v>
      </c>
      <c r="P119" s="140">
        <f t="shared" si="141"/>
        <v>0</v>
      </c>
      <c r="Q119" s="140">
        <f t="shared" si="141"/>
        <v>0</v>
      </c>
      <c r="R119" s="140">
        <f t="shared" ref="R119:V119" si="142">IF(R27=0,0,R27/R$17)</f>
        <v>0</v>
      </c>
      <c r="S119" s="140">
        <f t="shared" si="142"/>
        <v>9.2649458724605328E-3</v>
      </c>
      <c r="T119" s="140">
        <f t="shared" si="142"/>
        <v>9.0917467154991178E-3</v>
      </c>
      <c r="U119" s="140">
        <f t="shared" si="142"/>
        <v>1.1859929652416102E-2</v>
      </c>
      <c r="V119" s="140">
        <f t="shared" si="142"/>
        <v>6.8674474008710408E-3</v>
      </c>
      <c r="W119" s="140">
        <f t="shared" ref="W119" si="143">IF(W27=0,0,W27/W$17)</f>
        <v>1.3908761390033554E-2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0</v>
      </c>
      <c r="C120" s="127">
        <f t="shared" si="144"/>
        <v>0</v>
      </c>
      <c r="D120" s="127">
        <f t="shared" si="144"/>
        <v>0</v>
      </c>
      <c r="E120" s="127">
        <f t="shared" si="144"/>
        <v>0</v>
      </c>
      <c r="F120" s="127">
        <f t="shared" si="144"/>
        <v>0</v>
      </c>
      <c r="G120" s="127">
        <f t="shared" si="144"/>
        <v>0</v>
      </c>
      <c r="H120" s="127">
        <f t="shared" si="144"/>
        <v>0</v>
      </c>
      <c r="I120" s="127">
        <f t="shared" si="144"/>
        <v>0</v>
      </c>
      <c r="J120" s="127">
        <f t="shared" si="144"/>
        <v>0</v>
      </c>
      <c r="K120" s="127">
        <f t="shared" si="144"/>
        <v>0</v>
      </c>
      <c r="L120" s="127">
        <f t="shared" si="144"/>
        <v>0</v>
      </c>
      <c r="M120" s="127">
        <f t="shared" si="144"/>
        <v>0</v>
      </c>
      <c r="N120" s="127">
        <f t="shared" si="144"/>
        <v>0</v>
      </c>
      <c r="O120" s="127">
        <f t="shared" si="144"/>
        <v>0</v>
      </c>
      <c r="P120" s="127">
        <f t="shared" si="144"/>
        <v>0</v>
      </c>
      <c r="Q120" s="127">
        <f t="shared" si="144"/>
        <v>0</v>
      </c>
      <c r="R120" s="127">
        <f t="shared" ref="R120:V120" si="145">IF(R28=0,0,R28/R$17)</f>
        <v>0</v>
      </c>
      <c r="S120" s="127">
        <f t="shared" si="145"/>
        <v>0</v>
      </c>
      <c r="T120" s="127">
        <f t="shared" si="145"/>
        <v>0</v>
      </c>
      <c r="U120" s="127">
        <f t="shared" si="145"/>
        <v>0</v>
      </c>
      <c r="V120" s="127">
        <f t="shared" si="145"/>
        <v>0</v>
      </c>
      <c r="W120" s="127">
        <f t="shared" ref="W120" si="146">IF(W28=0,0,W28/W$17)</f>
        <v>0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1</v>
      </c>
      <c r="C121" s="31">
        <f>IF(C29=0,0,C29/C$29)</f>
        <v>1</v>
      </c>
      <c r="D121" s="31">
        <f t="shared" ref="D121:W121" si="148">IF(D29=0,0,D29/D$29)</f>
        <v>1</v>
      </c>
      <c r="E121" s="31">
        <f t="shared" si="148"/>
        <v>1</v>
      </c>
      <c r="F121" s="31">
        <f t="shared" si="148"/>
        <v>1</v>
      </c>
      <c r="G121" s="31">
        <f t="shared" si="148"/>
        <v>1</v>
      </c>
      <c r="H121" s="31">
        <f t="shared" si="148"/>
        <v>1</v>
      </c>
      <c r="I121" s="31">
        <f t="shared" si="148"/>
        <v>1</v>
      </c>
      <c r="J121" s="31">
        <f t="shared" si="148"/>
        <v>1</v>
      </c>
      <c r="K121" s="31">
        <f t="shared" si="148"/>
        <v>1</v>
      </c>
      <c r="L121" s="31">
        <f t="shared" si="148"/>
        <v>1</v>
      </c>
      <c r="M121" s="31">
        <f t="shared" si="148"/>
        <v>1</v>
      </c>
      <c r="N121" s="31">
        <f t="shared" si="148"/>
        <v>1</v>
      </c>
      <c r="O121" s="31">
        <f t="shared" si="148"/>
        <v>1</v>
      </c>
      <c r="P121" s="31">
        <f t="shared" si="148"/>
        <v>1</v>
      </c>
      <c r="Q121" s="31">
        <f t="shared" si="148"/>
        <v>1</v>
      </c>
      <c r="R121" s="31">
        <f t="shared" si="148"/>
        <v>1</v>
      </c>
      <c r="S121" s="31">
        <f t="shared" si="148"/>
        <v>1</v>
      </c>
      <c r="T121" s="31">
        <f t="shared" si="148"/>
        <v>1</v>
      </c>
      <c r="U121" s="31">
        <f t="shared" si="148"/>
        <v>1</v>
      </c>
      <c r="V121" s="31">
        <f t="shared" si="148"/>
        <v>1</v>
      </c>
      <c r="W121" s="31">
        <f t="shared" si="148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0.71901249687260516</v>
      </c>
      <c r="C122" s="140">
        <f>IF(C30=0,0,C30/C$29)</f>
        <v>0.7192582209126025</v>
      </c>
      <c r="D122" s="140">
        <f t="shared" ref="D122:W122" si="150">IF(D30=0,0,D30/D$29)</f>
        <v>0.71643009675962066</v>
      </c>
      <c r="E122" s="140">
        <f t="shared" si="150"/>
        <v>0.75693182249855817</v>
      </c>
      <c r="F122" s="140">
        <f t="shared" si="150"/>
        <v>0.79867627317829493</v>
      </c>
      <c r="G122" s="140">
        <f t="shared" si="150"/>
        <v>0.52248852280243419</v>
      </c>
      <c r="H122" s="140">
        <f t="shared" si="150"/>
        <v>0.5599704756599263</v>
      </c>
      <c r="I122" s="140">
        <f t="shared" si="150"/>
        <v>0.30226342813352874</v>
      </c>
      <c r="J122" s="140">
        <f t="shared" si="150"/>
        <v>0.47021258728536186</v>
      </c>
      <c r="K122" s="140">
        <f t="shared" si="150"/>
        <v>0.53004989147907366</v>
      </c>
      <c r="L122" s="140">
        <f t="shared" si="150"/>
        <v>0.48065067069648237</v>
      </c>
      <c r="M122" s="140">
        <f t="shared" si="150"/>
        <v>0.64004073828422403</v>
      </c>
      <c r="N122" s="140">
        <f t="shared" si="150"/>
        <v>0.6462982509388786</v>
      </c>
      <c r="O122" s="140">
        <f t="shared" si="150"/>
        <v>0.63836879500092403</v>
      </c>
      <c r="P122" s="140">
        <f t="shared" si="150"/>
        <v>0.61075443241804206</v>
      </c>
      <c r="Q122" s="140">
        <f t="shared" si="150"/>
        <v>0.60069049931203333</v>
      </c>
      <c r="R122" s="140">
        <f t="shared" si="150"/>
        <v>0.59130823363107177</v>
      </c>
      <c r="S122" s="140">
        <f t="shared" si="150"/>
        <v>0.53988378691685246</v>
      </c>
      <c r="T122" s="140">
        <f t="shared" si="150"/>
        <v>0.48695151063921033</v>
      </c>
      <c r="U122" s="140">
        <f t="shared" si="150"/>
        <v>0.5829973235210173</v>
      </c>
      <c r="V122" s="140">
        <f t="shared" si="150"/>
        <v>0.59744288107209065</v>
      </c>
      <c r="W122" s="140">
        <f t="shared" si="150"/>
        <v>0.62896511172842362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0.2809875031273949</v>
      </c>
      <c r="C123" s="127">
        <f>IF(C31=0,0,C31/C$29)</f>
        <v>0.28074177908739739</v>
      </c>
      <c r="D123" s="127">
        <f t="shared" ref="D123:W123" si="152">IF(D31=0,0,D31/D$29)</f>
        <v>0.28356990324037928</v>
      </c>
      <c r="E123" s="127">
        <f t="shared" si="152"/>
        <v>0.24306817750144191</v>
      </c>
      <c r="F123" s="127">
        <f t="shared" si="152"/>
        <v>0.20132372682170513</v>
      </c>
      <c r="G123" s="127">
        <f t="shared" si="152"/>
        <v>0.47751147719756581</v>
      </c>
      <c r="H123" s="127">
        <f t="shared" si="152"/>
        <v>0.44002952434007364</v>
      </c>
      <c r="I123" s="127">
        <f t="shared" si="152"/>
        <v>0.69773657186647131</v>
      </c>
      <c r="J123" s="127">
        <f t="shared" si="152"/>
        <v>0.52978741271463825</v>
      </c>
      <c r="K123" s="127">
        <f t="shared" si="152"/>
        <v>0.46995010852092639</v>
      </c>
      <c r="L123" s="127">
        <f t="shared" si="152"/>
        <v>0.51934932930351763</v>
      </c>
      <c r="M123" s="127">
        <f t="shared" si="152"/>
        <v>0.35995926171577602</v>
      </c>
      <c r="N123" s="127">
        <f t="shared" si="152"/>
        <v>0.35370174906112145</v>
      </c>
      <c r="O123" s="127">
        <f t="shared" si="152"/>
        <v>0.36163120499907592</v>
      </c>
      <c r="P123" s="127">
        <f t="shared" si="152"/>
        <v>0.389245567581958</v>
      </c>
      <c r="Q123" s="127">
        <f t="shared" si="152"/>
        <v>0.39930950068796667</v>
      </c>
      <c r="R123" s="127">
        <f t="shared" si="152"/>
        <v>0.40869176636892823</v>
      </c>
      <c r="S123" s="127">
        <f t="shared" si="152"/>
        <v>0.46011621308314749</v>
      </c>
      <c r="T123" s="127">
        <f t="shared" si="152"/>
        <v>0.51304848936078962</v>
      </c>
      <c r="U123" s="127">
        <f t="shared" si="152"/>
        <v>0.41700267647898281</v>
      </c>
      <c r="V123" s="127">
        <f t="shared" si="152"/>
        <v>0.4025571189279093</v>
      </c>
      <c r="W123" s="127">
        <f t="shared" si="152"/>
        <v>0.37103488827157632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0.56323964740370369</v>
      </c>
      <c r="C127" s="139">
        <f t="shared" ref="C127:W127" si="155">IF(C35=0,0,C35/C$34)</f>
        <v>0.53401387020326119</v>
      </c>
      <c r="D127" s="139">
        <f t="shared" si="155"/>
        <v>0.54715970047701346</v>
      </c>
      <c r="E127" s="139">
        <f t="shared" si="155"/>
        <v>0.54930810126609331</v>
      </c>
      <c r="F127" s="139">
        <f t="shared" si="155"/>
        <v>0.59756334242375897</v>
      </c>
      <c r="G127" s="139">
        <f t="shared" si="155"/>
        <v>0.60829470206387393</v>
      </c>
      <c r="H127" s="139">
        <f t="shared" si="155"/>
        <v>0.61301888638533464</v>
      </c>
      <c r="I127" s="139">
        <f t="shared" si="155"/>
        <v>0.64123882468639448</v>
      </c>
      <c r="J127" s="139">
        <f t="shared" si="155"/>
        <v>0.65158220677542644</v>
      </c>
      <c r="K127" s="139">
        <f t="shared" si="155"/>
        <v>0.67541555386712859</v>
      </c>
      <c r="L127" s="139">
        <f t="shared" si="155"/>
        <v>0.67450658948919351</v>
      </c>
      <c r="M127" s="139">
        <f t="shared" si="155"/>
        <v>0.64971662936703412</v>
      </c>
      <c r="N127" s="139">
        <f t="shared" si="155"/>
        <v>0.65977126960914301</v>
      </c>
      <c r="O127" s="139">
        <f t="shared" si="155"/>
        <v>0.66889986371191801</v>
      </c>
      <c r="P127" s="139">
        <f t="shared" si="155"/>
        <v>0.66844577709674136</v>
      </c>
      <c r="Q127" s="139">
        <f t="shared" si="155"/>
        <v>0.67501179147294688</v>
      </c>
      <c r="R127" s="139">
        <f t="shared" si="155"/>
        <v>0.65696239157265834</v>
      </c>
      <c r="S127" s="139">
        <f t="shared" si="155"/>
        <v>0.63290319049816512</v>
      </c>
      <c r="T127" s="139">
        <f t="shared" si="155"/>
        <v>0.62476431401818255</v>
      </c>
      <c r="U127" s="139">
        <f t="shared" si="155"/>
        <v>0.6383464663223205</v>
      </c>
      <c r="V127" s="139">
        <f t="shared" si="155"/>
        <v>0.83613913684234664</v>
      </c>
      <c r="W127" s="139">
        <f t="shared" si="155"/>
        <v>0.76764377868448019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9.3383974811822919E-3</v>
      </c>
      <c r="C128" s="140">
        <f t="shared" ref="C128:W128" si="156">IF(C36=0,0,C36/C$34)</f>
        <v>8.2303439028552708E-3</v>
      </c>
      <c r="D128" s="140">
        <f t="shared" si="156"/>
        <v>8.121819450012396E-3</v>
      </c>
      <c r="E128" s="140">
        <f t="shared" si="156"/>
        <v>7.616105927783689E-3</v>
      </c>
      <c r="F128" s="140">
        <f t="shared" si="156"/>
        <v>7.4586558031270829E-3</v>
      </c>
      <c r="G128" s="140">
        <f t="shared" si="156"/>
        <v>7.2489616372876957E-3</v>
      </c>
      <c r="H128" s="140">
        <f t="shared" si="156"/>
        <v>6.9222481365309322E-3</v>
      </c>
      <c r="I128" s="140">
        <f t="shared" si="156"/>
        <v>6.6894612881226731E-3</v>
      </c>
      <c r="J128" s="140">
        <f t="shared" si="156"/>
        <v>6.6087707008892667E-3</v>
      </c>
      <c r="K128" s="140">
        <f t="shared" si="156"/>
        <v>6.5175344573714863E-3</v>
      </c>
      <c r="L128" s="140">
        <f t="shared" si="156"/>
        <v>6.2509379184684105E-3</v>
      </c>
      <c r="M128" s="140">
        <f t="shared" si="156"/>
        <v>5.9393726216180375E-3</v>
      </c>
      <c r="N128" s="140">
        <f t="shared" si="156"/>
        <v>6.4752321572917751E-3</v>
      </c>
      <c r="O128" s="140">
        <f t="shared" si="156"/>
        <v>6.9028117675339036E-3</v>
      </c>
      <c r="P128" s="140">
        <f t="shared" si="156"/>
        <v>7.0569148875917684E-3</v>
      </c>
      <c r="Q128" s="140">
        <f t="shared" si="156"/>
        <v>6.6632665823719642E-3</v>
      </c>
      <c r="R128" s="140">
        <f t="shared" si="156"/>
        <v>6.1069168933545618E-3</v>
      </c>
      <c r="S128" s="140">
        <f t="shared" si="156"/>
        <v>5.3747323472148967E-3</v>
      </c>
      <c r="T128" s="140">
        <f t="shared" si="156"/>
        <v>4.9903876212791052E-3</v>
      </c>
      <c r="U128" s="140">
        <f t="shared" si="156"/>
        <v>5.2030487061379147E-3</v>
      </c>
      <c r="V128" s="140">
        <f t="shared" si="156"/>
        <v>6.9131753000182582E-3</v>
      </c>
      <c r="W128" s="140">
        <f t="shared" si="156"/>
        <v>5.7269974755452474E-3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0.4089797233032319</v>
      </c>
      <c r="C129" s="140">
        <f t="shared" ref="C129:W129" si="157">IF(C37=0,0,C37/C$34)</f>
        <v>0.3924141478856828</v>
      </c>
      <c r="D129" s="140">
        <f t="shared" si="157"/>
        <v>0.40720535292334326</v>
      </c>
      <c r="E129" s="140">
        <f t="shared" si="157"/>
        <v>0.41046702315139427</v>
      </c>
      <c r="F129" s="140">
        <f t="shared" si="157"/>
        <v>0.45372297481120466</v>
      </c>
      <c r="G129" s="140">
        <f t="shared" si="157"/>
        <v>0.47449147907900546</v>
      </c>
      <c r="H129" s="140">
        <f t="shared" si="157"/>
        <v>0.48244132361138975</v>
      </c>
      <c r="I129" s="140">
        <f t="shared" si="157"/>
        <v>0.50876735801117468</v>
      </c>
      <c r="J129" s="140">
        <f t="shared" si="157"/>
        <v>0.52414384377814782</v>
      </c>
      <c r="K129" s="140">
        <f t="shared" si="157"/>
        <v>0.54577595720909289</v>
      </c>
      <c r="L129" s="140">
        <f t="shared" si="157"/>
        <v>0.54690321594114921</v>
      </c>
      <c r="M129" s="140">
        <f t="shared" si="157"/>
        <v>0.52639094766417427</v>
      </c>
      <c r="N129" s="140">
        <f t="shared" si="157"/>
        <v>0.53809654535842599</v>
      </c>
      <c r="O129" s="140">
        <f t="shared" si="157"/>
        <v>0.54886453404367819</v>
      </c>
      <c r="P129" s="140">
        <f t="shared" si="157"/>
        <v>0.54764577047520202</v>
      </c>
      <c r="Q129" s="140">
        <f t="shared" si="157"/>
        <v>0.54541872381922363</v>
      </c>
      <c r="R129" s="140">
        <f t="shared" si="157"/>
        <v>0.53077351076660373</v>
      </c>
      <c r="S129" s="140">
        <f t="shared" si="157"/>
        <v>0.50887122317121536</v>
      </c>
      <c r="T129" s="140">
        <f t="shared" si="157"/>
        <v>0.50242339867365338</v>
      </c>
      <c r="U129" s="140">
        <f t="shared" si="157"/>
        <v>0.51240059242353975</v>
      </c>
      <c r="V129" s="140">
        <f t="shared" si="157"/>
        <v>0.67877328972508011</v>
      </c>
      <c r="W129" s="140">
        <f t="shared" si="157"/>
        <v>0.62039983457679593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0.14492152661928945</v>
      </c>
      <c r="C130" s="140">
        <f t="shared" ref="C130:W130" si="158">IF(C38=0,0,C38/C$34)</f>
        <v>0.1333693784147231</v>
      </c>
      <c r="D130" s="140">
        <f t="shared" si="158"/>
        <v>0.13183252810365778</v>
      </c>
      <c r="E130" s="140">
        <f t="shared" si="158"/>
        <v>0.13122497218691526</v>
      </c>
      <c r="F130" s="140">
        <f t="shared" si="158"/>
        <v>0.13638171180942726</v>
      </c>
      <c r="G130" s="140">
        <f t="shared" si="158"/>
        <v>0.12655426134758072</v>
      </c>
      <c r="H130" s="140">
        <f t="shared" si="158"/>
        <v>0.12365531463741386</v>
      </c>
      <c r="I130" s="140">
        <f t="shared" si="158"/>
        <v>0.12578200538709716</v>
      </c>
      <c r="J130" s="140">
        <f t="shared" si="158"/>
        <v>0.12082959229638933</v>
      </c>
      <c r="K130" s="140">
        <f t="shared" si="158"/>
        <v>0.12312206220066425</v>
      </c>
      <c r="L130" s="140">
        <f t="shared" si="158"/>
        <v>0.12135243562957589</v>
      </c>
      <c r="M130" s="140">
        <f t="shared" si="158"/>
        <v>0.11738630908124172</v>
      </c>
      <c r="N130" s="140">
        <f t="shared" si="158"/>
        <v>0.11519949209342521</v>
      </c>
      <c r="O130" s="140">
        <f t="shared" si="158"/>
        <v>0.11313251790070598</v>
      </c>
      <c r="P130" s="140">
        <f t="shared" si="158"/>
        <v>0.11374309173394753</v>
      </c>
      <c r="Q130" s="140">
        <f t="shared" si="158"/>
        <v>0.12292980107135133</v>
      </c>
      <c r="R130" s="140">
        <f t="shared" si="158"/>
        <v>0.12008196391269998</v>
      </c>
      <c r="S130" s="140">
        <f t="shared" si="158"/>
        <v>0.11865723497973495</v>
      </c>
      <c r="T130" s="140">
        <f t="shared" si="158"/>
        <v>0.11735052772324993</v>
      </c>
      <c r="U130" s="140">
        <f t="shared" si="158"/>
        <v>0.12074282519264286</v>
      </c>
      <c r="V130" s="140">
        <f t="shared" si="158"/>
        <v>0.15045267181724833</v>
      </c>
      <c r="W130" s="140">
        <f t="shared" si="158"/>
        <v>0.14151694663213904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0</v>
      </c>
      <c r="C131" s="124">
        <f t="shared" ref="C131:W131" si="159">IF(C39=0,0,C39/C$34)</f>
        <v>0</v>
      </c>
      <c r="D131" s="124">
        <f t="shared" si="159"/>
        <v>0</v>
      </c>
      <c r="E131" s="124">
        <f t="shared" si="159"/>
        <v>0</v>
      </c>
      <c r="F131" s="124">
        <f t="shared" si="159"/>
        <v>0</v>
      </c>
      <c r="G131" s="124">
        <f t="shared" si="159"/>
        <v>0</v>
      </c>
      <c r="H131" s="124">
        <f t="shared" si="159"/>
        <v>0</v>
      </c>
      <c r="I131" s="124">
        <f t="shared" si="159"/>
        <v>0</v>
      </c>
      <c r="J131" s="124">
        <f t="shared" si="159"/>
        <v>0</v>
      </c>
      <c r="K131" s="124">
        <f t="shared" si="159"/>
        <v>0</v>
      </c>
      <c r="L131" s="124">
        <f t="shared" si="159"/>
        <v>0</v>
      </c>
      <c r="M131" s="124">
        <f t="shared" si="159"/>
        <v>0</v>
      </c>
      <c r="N131" s="124">
        <f t="shared" si="159"/>
        <v>0</v>
      </c>
      <c r="O131" s="124">
        <f t="shared" si="159"/>
        <v>0</v>
      </c>
      <c r="P131" s="124">
        <f t="shared" si="159"/>
        <v>0</v>
      </c>
      <c r="Q131" s="124">
        <f t="shared" si="159"/>
        <v>0</v>
      </c>
      <c r="R131" s="124">
        <f t="shared" si="159"/>
        <v>0</v>
      </c>
      <c r="S131" s="124">
        <f t="shared" si="159"/>
        <v>0</v>
      </c>
      <c r="T131" s="124">
        <f t="shared" si="159"/>
        <v>0</v>
      </c>
      <c r="U131" s="124">
        <f t="shared" si="159"/>
        <v>0</v>
      </c>
      <c r="V131" s="124">
        <f t="shared" si="159"/>
        <v>0</v>
      </c>
      <c r="W131" s="124">
        <f t="shared" si="159"/>
        <v>0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0</v>
      </c>
      <c r="C132" s="140">
        <f t="shared" ref="C132:W132" si="160">IF(C40=0,0,C40/C$34)</f>
        <v>0</v>
      </c>
      <c r="D132" s="140">
        <f t="shared" si="160"/>
        <v>0</v>
      </c>
      <c r="E132" s="140">
        <f t="shared" si="160"/>
        <v>0</v>
      </c>
      <c r="F132" s="140">
        <f t="shared" si="160"/>
        <v>0</v>
      </c>
      <c r="G132" s="140">
        <f t="shared" si="160"/>
        <v>0</v>
      </c>
      <c r="H132" s="140">
        <f t="shared" si="160"/>
        <v>0</v>
      </c>
      <c r="I132" s="140">
        <f t="shared" si="160"/>
        <v>0</v>
      </c>
      <c r="J132" s="140">
        <f t="shared" si="160"/>
        <v>0</v>
      </c>
      <c r="K132" s="140">
        <f t="shared" si="160"/>
        <v>0</v>
      </c>
      <c r="L132" s="140">
        <f t="shared" si="160"/>
        <v>0</v>
      </c>
      <c r="M132" s="140">
        <f t="shared" si="160"/>
        <v>0</v>
      </c>
      <c r="N132" s="140">
        <f t="shared" si="160"/>
        <v>0</v>
      </c>
      <c r="O132" s="140">
        <f t="shared" si="160"/>
        <v>0</v>
      </c>
      <c r="P132" s="140">
        <f t="shared" si="160"/>
        <v>0</v>
      </c>
      <c r="Q132" s="140">
        <f t="shared" si="160"/>
        <v>0</v>
      </c>
      <c r="R132" s="140">
        <f t="shared" si="160"/>
        <v>0</v>
      </c>
      <c r="S132" s="140">
        <f t="shared" si="160"/>
        <v>0</v>
      </c>
      <c r="T132" s="140">
        <f t="shared" si="160"/>
        <v>0</v>
      </c>
      <c r="U132" s="140">
        <f t="shared" si="160"/>
        <v>0</v>
      </c>
      <c r="V132" s="140">
        <f t="shared" si="160"/>
        <v>0</v>
      </c>
      <c r="W132" s="140">
        <f t="shared" si="160"/>
        <v>0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0</v>
      </c>
      <c r="C133" s="140">
        <f t="shared" ref="C133:W133" si="161">IF(C41=0,0,C41/C$34)</f>
        <v>0</v>
      </c>
      <c r="D133" s="140">
        <f t="shared" si="161"/>
        <v>0</v>
      </c>
      <c r="E133" s="140">
        <f t="shared" si="161"/>
        <v>0</v>
      </c>
      <c r="F133" s="140">
        <f t="shared" si="161"/>
        <v>0</v>
      </c>
      <c r="G133" s="140">
        <f t="shared" si="161"/>
        <v>0</v>
      </c>
      <c r="H133" s="140">
        <f t="shared" si="161"/>
        <v>0</v>
      </c>
      <c r="I133" s="140">
        <f t="shared" si="161"/>
        <v>0</v>
      </c>
      <c r="J133" s="140">
        <f t="shared" si="161"/>
        <v>0</v>
      </c>
      <c r="K133" s="140">
        <f t="shared" si="161"/>
        <v>0</v>
      </c>
      <c r="L133" s="140">
        <f t="shared" si="161"/>
        <v>0</v>
      </c>
      <c r="M133" s="140">
        <f t="shared" si="161"/>
        <v>0</v>
      </c>
      <c r="N133" s="140">
        <f t="shared" si="161"/>
        <v>0</v>
      </c>
      <c r="O133" s="140">
        <f t="shared" si="161"/>
        <v>0</v>
      </c>
      <c r="P133" s="140">
        <f t="shared" si="161"/>
        <v>0</v>
      </c>
      <c r="Q133" s="140">
        <f t="shared" si="161"/>
        <v>0</v>
      </c>
      <c r="R133" s="140">
        <f t="shared" si="161"/>
        <v>0</v>
      </c>
      <c r="S133" s="140">
        <f t="shared" si="161"/>
        <v>0</v>
      </c>
      <c r="T133" s="140">
        <f t="shared" si="161"/>
        <v>0</v>
      </c>
      <c r="U133" s="140">
        <f t="shared" si="161"/>
        <v>0</v>
      </c>
      <c r="V133" s="140">
        <f t="shared" si="161"/>
        <v>0</v>
      </c>
      <c r="W133" s="140">
        <f t="shared" si="161"/>
        <v>0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0</v>
      </c>
      <c r="C134" s="140">
        <f t="shared" ref="C134:W134" si="162">IF(C42=0,0,C42/C$34)</f>
        <v>0</v>
      </c>
      <c r="D134" s="140">
        <f t="shared" si="162"/>
        <v>0</v>
      </c>
      <c r="E134" s="140">
        <f t="shared" si="162"/>
        <v>0</v>
      </c>
      <c r="F134" s="140">
        <f t="shared" si="162"/>
        <v>0</v>
      </c>
      <c r="G134" s="140">
        <f t="shared" si="162"/>
        <v>0</v>
      </c>
      <c r="H134" s="140">
        <f t="shared" si="162"/>
        <v>0</v>
      </c>
      <c r="I134" s="140">
        <f t="shared" si="162"/>
        <v>0</v>
      </c>
      <c r="J134" s="140">
        <f t="shared" si="162"/>
        <v>0</v>
      </c>
      <c r="K134" s="140">
        <f t="shared" si="162"/>
        <v>0</v>
      </c>
      <c r="L134" s="140">
        <f t="shared" si="162"/>
        <v>0</v>
      </c>
      <c r="M134" s="140">
        <f t="shared" si="162"/>
        <v>0</v>
      </c>
      <c r="N134" s="140">
        <f t="shared" si="162"/>
        <v>0</v>
      </c>
      <c r="O134" s="140">
        <f t="shared" si="162"/>
        <v>0</v>
      </c>
      <c r="P134" s="140">
        <f t="shared" si="162"/>
        <v>0</v>
      </c>
      <c r="Q134" s="140">
        <f t="shared" si="162"/>
        <v>0</v>
      </c>
      <c r="R134" s="140">
        <f t="shared" si="162"/>
        <v>0</v>
      </c>
      <c r="S134" s="140">
        <f t="shared" si="162"/>
        <v>0</v>
      </c>
      <c r="T134" s="140">
        <f t="shared" si="162"/>
        <v>0</v>
      </c>
      <c r="U134" s="140">
        <f t="shared" si="162"/>
        <v>0</v>
      </c>
      <c r="V134" s="140">
        <f t="shared" si="162"/>
        <v>0</v>
      </c>
      <c r="W134" s="140">
        <f t="shared" si="162"/>
        <v>0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0.43676035259629625</v>
      </c>
      <c r="C135" s="124">
        <f t="shared" ref="C135:W135" si="163">IF(C43=0,0,C43/C$34)</f>
        <v>0.46598612979673881</v>
      </c>
      <c r="D135" s="124">
        <f t="shared" si="163"/>
        <v>0.45284029952298666</v>
      </c>
      <c r="E135" s="124">
        <f t="shared" si="163"/>
        <v>0.45069189873390664</v>
      </c>
      <c r="F135" s="124">
        <f t="shared" si="163"/>
        <v>0.40243665757624109</v>
      </c>
      <c r="G135" s="124">
        <f t="shared" si="163"/>
        <v>0.39170529793612602</v>
      </c>
      <c r="H135" s="124">
        <f t="shared" si="163"/>
        <v>0.38698111361466531</v>
      </c>
      <c r="I135" s="124">
        <f t="shared" si="163"/>
        <v>0.35876117531360541</v>
      </c>
      <c r="J135" s="124">
        <f t="shared" si="163"/>
        <v>0.3484177932245735</v>
      </c>
      <c r="K135" s="124">
        <f t="shared" si="163"/>
        <v>0.32458444613287135</v>
      </c>
      <c r="L135" s="124">
        <f t="shared" si="163"/>
        <v>0.32549341051080644</v>
      </c>
      <c r="M135" s="124">
        <f t="shared" si="163"/>
        <v>0.35028337063296583</v>
      </c>
      <c r="N135" s="124">
        <f t="shared" si="163"/>
        <v>0.34022873039085705</v>
      </c>
      <c r="O135" s="124">
        <f t="shared" si="163"/>
        <v>0.33110013628808199</v>
      </c>
      <c r="P135" s="124">
        <f t="shared" si="163"/>
        <v>0.33155422290325864</v>
      </c>
      <c r="Q135" s="124">
        <f t="shared" si="163"/>
        <v>0.32498820852705301</v>
      </c>
      <c r="R135" s="124">
        <f t="shared" si="163"/>
        <v>0.3430376084273416</v>
      </c>
      <c r="S135" s="124">
        <f t="shared" si="163"/>
        <v>0.36709680950183476</v>
      </c>
      <c r="T135" s="124">
        <f t="shared" si="163"/>
        <v>0.3752356859818175</v>
      </c>
      <c r="U135" s="124">
        <f t="shared" si="163"/>
        <v>0.3616535336776795</v>
      </c>
      <c r="V135" s="124">
        <f t="shared" si="163"/>
        <v>0.16386086315765333</v>
      </c>
      <c r="W135" s="124">
        <f t="shared" si="163"/>
        <v>0.23235622131551978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0</v>
      </c>
      <c r="C136" s="140">
        <f t="shared" ref="C136:W136" si="164">IF(C44=0,0,C44/C$34)</f>
        <v>0</v>
      </c>
      <c r="D136" s="140">
        <f t="shared" si="164"/>
        <v>0</v>
      </c>
      <c r="E136" s="140">
        <f t="shared" si="164"/>
        <v>0</v>
      </c>
      <c r="F136" s="140">
        <f t="shared" si="164"/>
        <v>0</v>
      </c>
      <c r="G136" s="140">
        <f t="shared" si="164"/>
        <v>0</v>
      </c>
      <c r="H136" s="140">
        <f t="shared" si="164"/>
        <v>0</v>
      </c>
      <c r="I136" s="140">
        <f t="shared" si="164"/>
        <v>0</v>
      </c>
      <c r="J136" s="140">
        <f t="shared" si="164"/>
        <v>0</v>
      </c>
      <c r="K136" s="140">
        <f t="shared" si="164"/>
        <v>0</v>
      </c>
      <c r="L136" s="140">
        <f t="shared" si="164"/>
        <v>0</v>
      </c>
      <c r="M136" s="140">
        <f t="shared" si="164"/>
        <v>0</v>
      </c>
      <c r="N136" s="140">
        <f t="shared" si="164"/>
        <v>0</v>
      </c>
      <c r="O136" s="140">
        <f t="shared" si="164"/>
        <v>0</v>
      </c>
      <c r="P136" s="140">
        <f t="shared" si="164"/>
        <v>0</v>
      </c>
      <c r="Q136" s="140">
        <f t="shared" si="164"/>
        <v>0</v>
      </c>
      <c r="R136" s="140">
        <f t="shared" si="164"/>
        <v>0</v>
      </c>
      <c r="S136" s="140">
        <f t="shared" si="164"/>
        <v>0</v>
      </c>
      <c r="T136" s="140">
        <f t="shared" si="164"/>
        <v>0</v>
      </c>
      <c r="U136" s="140">
        <f t="shared" si="164"/>
        <v>0</v>
      </c>
      <c r="V136" s="140">
        <f t="shared" si="164"/>
        <v>0</v>
      </c>
      <c r="W136" s="140">
        <f t="shared" si="164"/>
        <v>0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0.37197098341503904</v>
      </c>
      <c r="C137" s="140">
        <f t="shared" ref="C137:W137" si="165">IF(C45=0,0,C45/C$34)</f>
        <v>0.39686186125795775</v>
      </c>
      <c r="D137" s="140">
        <f t="shared" si="165"/>
        <v>0.36993379551665551</v>
      </c>
      <c r="E137" s="140">
        <f t="shared" si="165"/>
        <v>0.36817851068218349</v>
      </c>
      <c r="F137" s="140">
        <f t="shared" si="165"/>
        <v>0.3400200309603198</v>
      </c>
      <c r="G137" s="140">
        <f t="shared" si="165"/>
        <v>0.33364150051160607</v>
      </c>
      <c r="H137" s="140">
        <f t="shared" si="165"/>
        <v>0.32986445347771742</v>
      </c>
      <c r="I137" s="140">
        <f t="shared" si="165"/>
        <v>0.30605498591208313</v>
      </c>
      <c r="J137" s="140">
        <f t="shared" si="165"/>
        <v>0.29666103542496158</v>
      </c>
      <c r="K137" s="140">
        <f t="shared" si="165"/>
        <v>0.2738634441606545</v>
      </c>
      <c r="L137" s="140">
        <f t="shared" si="165"/>
        <v>0.27292226212394965</v>
      </c>
      <c r="M137" s="140">
        <f t="shared" si="165"/>
        <v>0.29456756478980917</v>
      </c>
      <c r="N137" s="140">
        <f t="shared" si="165"/>
        <v>0.28281004110795438</v>
      </c>
      <c r="O137" s="140">
        <f t="shared" si="165"/>
        <v>0.2727653461357894</v>
      </c>
      <c r="P137" s="140">
        <f t="shared" si="165"/>
        <v>0.27252550724728819</v>
      </c>
      <c r="Q137" s="140">
        <f t="shared" si="165"/>
        <v>0.26763223900463828</v>
      </c>
      <c r="R137" s="140">
        <f t="shared" si="165"/>
        <v>0.28707940864836867</v>
      </c>
      <c r="S137" s="140">
        <f t="shared" si="165"/>
        <v>0.31084525057205536</v>
      </c>
      <c r="T137" s="140">
        <f t="shared" si="165"/>
        <v>0.31634089846394048</v>
      </c>
      <c r="U137" s="140">
        <f t="shared" si="165"/>
        <v>0.30278854572177488</v>
      </c>
      <c r="V137" s="140">
        <f t="shared" si="165"/>
        <v>0.12100129142538603</v>
      </c>
      <c r="W137" s="140">
        <f t="shared" si="165"/>
        <v>0.17930675442935606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6.4789369181257189E-2</v>
      </c>
      <c r="C138" s="140">
        <f t="shared" ref="C138:W138" si="166">IF(C46=0,0,C46/C$34)</f>
        <v>6.912426853878105E-2</v>
      </c>
      <c r="D138" s="140">
        <f t="shared" si="166"/>
        <v>8.290650400633115E-2</v>
      </c>
      <c r="E138" s="140">
        <f t="shared" si="166"/>
        <v>8.2513388051723133E-2</v>
      </c>
      <c r="F138" s="140">
        <f t="shared" si="166"/>
        <v>6.2416626615921234E-2</v>
      </c>
      <c r="G138" s="140">
        <f t="shared" si="166"/>
        <v>5.806379742452001E-2</v>
      </c>
      <c r="H138" s="140">
        <f t="shared" si="166"/>
        <v>5.7116660136947835E-2</v>
      </c>
      <c r="I138" s="140">
        <f t="shared" si="166"/>
        <v>5.270618940152226E-2</v>
      </c>
      <c r="J138" s="140">
        <f t="shared" si="166"/>
        <v>5.175675779961196E-2</v>
      </c>
      <c r="K138" s="140">
        <f t="shared" si="166"/>
        <v>5.0721001972216843E-2</v>
      </c>
      <c r="L138" s="140">
        <f t="shared" si="166"/>
        <v>5.2571148386856767E-2</v>
      </c>
      <c r="M138" s="140">
        <f t="shared" si="166"/>
        <v>5.5715805843156704E-2</v>
      </c>
      <c r="N138" s="140">
        <f t="shared" si="166"/>
        <v>5.7418689282902675E-2</v>
      </c>
      <c r="O138" s="140">
        <f t="shared" si="166"/>
        <v>5.8334790152292627E-2</v>
      </c>
      <c r="P138" s="140">
        <f t="shared" si="166"/>
        <v>5.9028715655970482E-2</v>
      </c>
      <c r="Q138" s="140">
        <f t="shared" si="166"/>
        <v>5.7355969522414701E-2</v>
      </c>
      <c r="R138" s="140">
        <f t="shared" si="166"/>
        <v>5.5958199778972921E-2</v>
      </c>
      <c r="S138" s="140">
        <f t="shared" si="166"/>
        <v>5.6251558929779441E-2</v>
      </c>
      <c r="T138" s="140">
        <f t="shared" si="166"/>
        <v>5.8894787517877016E-2</v>
      </c>
      <c r="U138" s="140">
        <f t="shared" si="166"/>
        <v>5.886498795590462E-2</v>
      </c>
      <c r="V138" s="140">
        <f t="shared" si="166"/>
        <v>4.2859571732267322E-2</v>
      </c>
      <c r="W138" s="140">
        <f t="shared" si="166"/>
        <v>5.3049466886163708E-2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0.96036223086963635</v>
      </c>
      <c r="C140" s="139">
        <f t="shared" ref="C140:W140" si="169">IF(C48=0,0,C48/C$47)</f>
        <v>0.96575104184751792</v>
      </c>
      <c r="D140" s="139">
        <f t="shared" si="169"/>
        <v>0.96046284514930858</v>
      </c>
      <c r="E140" s="139">
        <f t="shared" si="169"/>
        <v>0.96272057849293713</v>
      </c>
      <c r="F140" s="139">
        <f t="shared" si="169"/>
        <v>0.9528483517861045</v>
      </c>
      <c r="G140" s="139">
        <f t="shared" si="169"/>
        <v>0.94792328720659658</v>
      </c>
      <c r="H140" s="139">
        <f t="shared" si="169"/>
        <v>0.93351036761821649</v>
      </c>
      <c r="I140" s="139">
        <f t="shared" si="169"/>
        <v>0.9433783172762793</v>
      </c>
      <c r="J140" s="139">
        <f t="shared" si="169"/>
        <v>0.94515739643422947</v>
      </c>
      <c r="K140" s="139">
        <f t="shared" si="169"/>
        <v>0.94748411330518623</v>
      </c>
      <c r="L140" s="139">
        <f t="shared" si="169"/>
        <v>0.95218593188441603</v>
      </c>
      <c r="M140" s="139">
        <f t="shared" si="169"/>
        <v>0.96052592804579706</v>
      </c>
      <c r="N140" s="139">
        <f t="shared" si="169"/>
        <v>0.96634671957960505</v>
      </c>
      <c r="O140" s="139">
        <f t="shared" si="169"/>
        <v>0.96310930533999406</v>
      </c>
      <c r="P140" s="139">
        <f t="shared" si="169"/>
        <v>0.96545635050083634</v>
      </c>
      <c r="Q140" s="139">
        <f t="shared" si="169"/>
        <v>0.96807813340701132</v>
      </c>
      <c r="R140" s="139">
        <f t="shared" si="169"/>
        <v>0.975832298722487</v>
      </c>
      <c r="S140" s="139">
        <f t="shared" si="169"/>
        <v>0.97220372876084848</v>
      </c>
      <c r="T140" s="139">
        <f t="shared" si="169"/>
        <v>0.97517491970050241</v>
      </c>
      <c r="U140" s="139">
        <f t="shared" si="169"/>
        <v>0.97813905700409087</v>
      </c>
      <c r="V140" s="139">
        <f t="shared" si="169"/>
        <v>0.98394759501000484</v>
      </c>
      <c r="W140" s="139">
        <f t="shared" si="169"/>
        <v>0.98127305715615365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0.75841829192234544</v>
      </c>
      <c r="C141" s="140">
        <f t="shared" ref="C141:W141" si="170">IF(C49=0,0,C49/C$47)</f>
        <v>0.76217207749360838</v>
      </c>
      <c r="D141" s="140">
        <f t="shared" si="170"/>
        <v>0.7626277607041827</v>
      </c>
      <c r="E141" s="140">
        <f t="shared" si="170"/>
        <v>0.75182917651113013</v>
      </c>
      <c r="F141" s="140">
        <f t="shared" si="170"/>
        <v>0.76347275229576772</v>
      </c>
      <c r="G141" s="140">
        <f t="shared" si="170"/>
        <v>0.72549912208099065</v>
      </c>
      <c r="H141" s="140">
        <f t="shared" si="170"/>
        <v>0.73325471738416503</v>
      </c>
      <c r="I141" s="140">
        <f t="shared" si="170"/>
        <v>0.73148785860076271</v>
      </c>
      <c r="J141" s="140">
        <f t="shared" si="170"/>
        <v>0.72299116298795563</v>
      </c>
      <c r="K141" s="140">
        <f t="shared" si="170"/>
        <v>0.75628423584312165</v>
      </c>
      <c r="L141" s="140">
        <f t="shared" si="170"/>
        <v>0.73990521499802764</v>
      </c>
      <c r="M141" s="140">
        <f t="shared" si="170"/>
        <v>0.76835134980000563</v>
      </c>
      <c r="N141" s="140">
        <f t="shared" si="170"/>
        <v>0.78142910328526294</v>
      </c>
      <c r="O141" s="140">
        <f t="shared" si="170"/>
        <v>0.81324704373068357</v>
      </c>
      <c r="P141" s="140">
        <f t="shared" si="170"/>
        <v>0.82374595802123418</v>
      </c>
      <c r="Q141" s="140">
        <f t="shared" si="170"/>
        <v>0.82590977427680656</v>
      </c>
      <c r="R141" s="140">
        <f t="shared" si="170"/>
        <v>0.80071279387380501</v>
      </c>
      <c r="S141" s="140">
        <f t="shared" si="170"/>
        <v>0.78128439253723969</v>
      </c>
      <c r="T141" s="140">
        <f t="shared" si="170"/>
        <v>0.77916801271078917</v>
      </c>
      <c r="U141" s="140">
        <f t="shared" si="170"/>
        <v>0.77064499481023929</v>
      </c>
      <c r="V141" s="140">
        <f t="shared" si="170"/>
        <v>0.81914032059604114</v>
      </c>
      <c r="W141" s="140">
        <f t="shared" si="170"/>
        <v>0.81615856943984433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0.20194393894729082</v>
      </c>
      <c r="C142" s="140">
        <f t="shared" ref="C142:W142" si="171">IF(C50=0,0,C50/C$47)</f>
        <v>0.20357896435390957</v>
      </c>
      <c r="D142" s="140">
        <f t="shared" si="171"/>
        <v>0.19783508444512596</v>
      </c>
      <c r="E142" s="140">
        <f t="shared" si="171"/>
        <v>0.21089140198180709</v>
      </c>
      <c r="F142" s="140">
        <f t="shared" si="171"/>
        <v>0.1893755994903368</v>
      </c>
      <c r="G142" s="140">
        <f t="shared" si="171"/>
        <v>0.22242416512560584</v>
      </c>
      <c r="H142" s="140">
        <f t="shared" si="171"/>
        <v>0.20025565023405148</v>
      </c>
      <c r="I142" s="140">
        <f t="shared" si="171"/>
        <v>0.21189045867551654</v>
      </c>
      <c r="J142" s="140">
        <f t="shared" si="171"/>
        <v>0.2221662334462739</v>
      </c>
      <c r="K142" s="140">
        <f t="shared" si="171"/>
        <v>0.19119987746206452</v>
      </c>
      <c r="L142" s="140">
        <f t="shared" si="171"/>
        <v>0.21228071688638839</v>
      </c>
      <c r="M142" s="140">
        <f t="shared" si="171"/>
        <v>0.19217457824579151</v>
      </c>
      <c r="N142" s="140">
        <f t="shared" si="171"/>
        <v>0.18491761629434214</v>
      </c>
      <c r="O142" s="140">
        <f t="shared" si="171"/>
        <v>0.14986226160931052</v>
      </c>
      <c r="P142" s="140">
        <f t="shared" si="171"/>
        <v>0.14171039247960215</v>
      </c>
      <c r="Q142" s="140">
        <f t="shared" si="171"/>
        <v>0.14216835913020476</v>
      </c>
      <c r="R142" s="140">
        <f t="shared" si="171"/>
        <v>0.17511950484868208</v>
      </c>
      <c r="S142" s="140">
        <f t="shared" si="171"/>
        <v>0.19091933622360882</v>
      </c>
      <c r="T142" s="140">
        <f t="shared" si="171"/>
        <v>0.19600690698971326</v>
      </c>
      <c r="U142" s="140">
        <f t="shared" si="171"/>
        <v>0.20749406219385153</v>
      </c>
      <c r="V142" s="140">
        <f t="shared" si="171"/>
        <v>0.16480727441396362</v>
      </c>
      <c r="W142" s="140">
        <f t="shared" si="171"/>
        <v>0.16511448771630927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0</v>
      </c>
      <c r="C143" s="124">
        <f t="shared" ref="C143:W143" si="172">IF(C51=0,0,C51/C$47)</f>
        <v>0</v>
      </c>
      <c r="D143" s="124">
        <f t="shared" si="172"/>
        <v>0</v>
      </c>
      <c r="E143" s="124">
        <f t="shared" si="172"/>
        <v>0</v>
      </c>
      <c r="F143" s="124">
        <f t="shared" si="172"/>
        <v>0</v>
      </c>
      <c r="G143" s="124">
        <f t="shared" si="172"/>
        <v>0</v>
      </c>
      <c r="H143" s="124">
        <f t="shared" si="172"/>
        <v>0</v>
      </c>
      <c r="I143" s="124">
        <f t="shared" si="172"/>
        <v>0</v>
      </c>
      <c r="J143" s="124">
        <f t="shared" si="172"/>
        <v>0</v>
      </c>
      <c r="K143" s="124">
        <f t="shared" si="172"/>
        <v>0</v>
      </c>
      <c r="L143" s="124">
        <f t="shared" si="172"/>
        <v>0</v>
      </c>
      <c r="M143" s="124">
        <f t="shared" si="172"/>
        <v>0</v>
      </c>
      <c r="N143" s="124">
        <f t="shared" si="172"/>
        <v>0</v>
      </c>
      <c r="O143" s="124">
        <f t="shared" si="172"/>
        <v>0</v>
      </c>
      <c r="P143" s="124">
        <f t="shared" si="172"/>
        <v>0</v>
      </c>
      <c r="Q143" s="124">
        <f t="shared" si="172"/>
        <v>0</v>
      </c>
      <c r="R143" s="124">
        <f t="shared" si="172"/>
        <v>0</v>
      </c>
      <c r="S143" s="124">
        <f t="shared" si="172"/>
        <v>0</v>
      </c>
      <c r="T143" s="124">
        <f t="shared" si="172"/>
        <v>0</v>
      </c>
      <c r="U143" s="124">
        <f t="shared" si="172"/>
        <v>0</v>
      </c>
      <c r="V143" s="124">
        <f t="shared" si="172"/>
        <v>0</v>
      </c>
      <c r="W143" s="124">
        <f t="shared" si="172"/>
        <v>0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3.9637769130363702E-2</v>
      </c>
      <c r="C144" s="124">
        <f t="shared" ref="C144:W144" si="173">IF(C52=0,0,C52/C$47)</f>
        <v>3.4248958152482085E-2</v>
      </c>
      <c r="D144" s="124">
        <f t="shared" si="173"/>
        <v>3.953715485069139E-2</v>
      </c>
      <c r="E144" s="124">
        <f t="shared" si="173"/>
        <v>3.7279421507062843E-2</v>
      </c>
      <c r="F144" s="124">
        <f t="shared" si="173"/>
        <v>4.7151648213895524E-2</v>
      </c>
      <c r="G144" s="124">
        <f t="shared" si="173"/>
        <v>5.2076712793403479E-2</v>
      </c>
      <c r="H144" s="124">
        <f t="shared" si="173"/>
        <v>6.6489632381783459E-2</v>
      </c>
      <c r="I144" s="124">
        <f t="shared" si="173"/>
        <v>5.6621682723720715E-2</v>
      </c>
      <c r="J144" s="124">
        <f t="shared" si="173"/>
        <v>5.4842603565770524E-2</v>
      </c>
      <c r="K144" s="124">
        <f t="shared" si="173"/>
        <v>5.2515886694813725E-2</v>
      </c>
      <c r="L144" s="124">
        <f t="shared" si="173"/>
        <v>4.7814068115584037E-2</v>
      </c>
      <c r="M144" s="124">
        <f t="shared" si="173"/>
        <v>3.9474071954202938E-2</v>
      </c>
      <c r="N144" s="124">
        <f t="shared" si="173"/>
        <v>3.365328042039497E-2</v>
      </c>
      <c r="O144" s="124">
        <f t="shared" si="173"/>
        <v>3.689069466000594E-2</v>
      </c>
      <c r="P144" s="124">
        <f t="shared" si="173"/>
        <v>3.454364949916372E-2</v>
      </c>
      <c r="Q144" s="124">
        <f t="shared" si="173"/>
        <v>3.1921866592988637E-2</v>
      </c>
      <c r="R144" s="124">
        <f t="shared" si="173"/>
        <v>2.4167701277512853E-2</v>
      </c>
      <c r="S144" s="124">
        <f t="shared" si="173"/>
        <v>2.3328443375951236E-2</v>
      </c>
      <c r="T144" s="124">
        <f t="shared" si="173"/>
        <v>2.0246765309775344E-2</v>
      </c>
      <c r="U144" s="124">
        <f t="shared" si="173"/>
        <v>1.5816672963388251E-2</v>
      </c>
      <c r="V144" s="124">
        <f t="shared" si="173"/>
        <v>1.3254418504396388E-2</v>
      </c>
      <c r="W144" s="124">
        <f t="shared" si="173"/>
        <v>1.253748120965072E-2</v>
      </c>
      <c r="DA144" s="176"/>
    </row>
    <row r="145" spans="1:105" ht="11.45" customHeight="1" x14ac:dyDescent="0.25">
      <c r="A145" s="128" t="s">
        <v>27</v>
      </c>
      <c r="B145" s="140">
        <f t="shared" si="167"/>
        <v>0</v>
      </c>
      <c r="C145" s="140">
        <f t="shared" ref="C145:W145" si="174">IF(C53=0,0,C53/C$47)</f>
        <v>0</v>
      </c>
      <c r="D145" s="140">
        <f t="shared" si="174"/>
        <v>0</v>
      </c>
      <c r="E145" s="140">
        <f t="shared" si="174"/>
        <v>0</v>
      </c>
      <c r="F145" s="140">
        <f t="shared" si="174"/>
        <v>0</v>
      </c>
      <c r="G145" s="140">
        <f t="shared" si="174"/>
        <v>0</v>
      </c>
      <c r="H145" s="140">
        <f t="shared" si="174"/>
        <v>0</v>
      </c>
      <c r="I145" s="140">
        <f t="shared" si="174"/>
        <v>0</v>
      </c>
      <c r="J145" s="140">
        <f t="shared" si="174"/>
        <v>0</v>
      </c>
      <c r="K145" s="140">
        <f t="shared" si="174"/>
        <v>0</v>
      </c>
      <c r="L145" s="140">
        <f t="shared" si="174"/>
        <v>0</v>
      </c>
      <c r="M145" s="140">
        <f t="shared" si="174"/>
        <v>0</v>
      </c>
      <c r="N145" s="140">
        <f t="shared" si="174"/>
        <v>0</v>
      </c>
      <c r="O145" s="140">
        <f t="shared" si="174"/>
        <v>0</v>
      </c>
      <c r="P145" s="140">
        <f t="shared" si="174"/>
        <v>0</v>
      </c>
      <c r="Q145" s="140">
        <f t="shared" si="174"/>
        <v>0</v>
      </c>
      <c r="R145" s="140">
        <f t="shared" si="174"/>
        <v>0</v>
      </c>
      <c r="S145" s="140">
        <f t="shared" si="174"/>
        <v>0</v>
      </c>
      <c r="T145" s="140">
        <f t="shared" si="174"/>
        <v>0</v>
      </c>
      <c r="U145" s="140">
        <f t="shared" si="174"/>
        <v>0</v>
      </c>
      <c r="V145" s="140">
        <f t="shared" si="174"/>
        <v>0</v>
      </c>
      <c r="W145" s="140">
        <f t="shared" si="174"/>
        <v>0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3.7779043143650291E-2</v>
      </c>
      <c r="C146" s="140">
        <f t="shared" ref="C146:W146" si="175">IF(C54=0,0,C54/C$47)</f>
        <v>3.2451516283508779E-2</v>
      </c>
      <c r="D146" s="140">
        <f t="shared" si="175"/>
        <v>3.7524689404527273E-2</v>
      </c>
      <c r="E146" s="140">
        <f t="shared" si="175"/>
        <v>3.5326459762203312E-2</v>
      </c>
      <c r="F146" s="140">
        <f t="shared" si="175"/>
        <v>4.4906871638113681E-2</v>
      </c>
      <c r="G146" s="140">
        <f t="shared" si="175"/>
        <v>5.0006349513566792E-2</v>
      </c>
      <c r="H146" s="140">
        <f t="shared" si="175"/>
        <v>6.4386675091673368E-2</v>
      </c>
      <c r="I146" s="140">
        <f t="shared" si="175"/>
        <v>5.4717492882260195E-2</v>
      </c>
      <c r="J146" s="140">
        <f t="shared" si="175"/>
        <v>5.2660145735655597E-2</v>
      </c>
      <c r="K146" s="140">
        <f t="shared" si="175"/>
        <v>4.9679005587396415E-2</v>
      </c>
      <c r="L146" s="140">
        <f t="shared" si="175"/>
        <v>4.434005136595235E-2</v>
      </c>
      <c r="M146" s="140">
        <f t="shared" si="175"/>
        <v>3.7767404622054565E-2</v>
      </c>
      <c r="N146" s="140">
        <f t="shared" si="175"/>
        <v>3.2653497474473707E-2</v>
      </c>
      <c r="O146" s="140">
        <f t="shared" si="175"/>
        <v>3.5591927535075521E-2</v>
      </c>
      <c r="P146" s="140">
        <f t="shared" si="175"/>
        <v>3.3454545435483984E-2</v>
      </c>
      <c r="Q146" s="140">
        <f t="shared" si="175"/>
        <v>3.0725110664568057E-2</v>
      </c>
      <c r="R146" s="140">
        <f t="shared" si="175"/>
        <v>2.3483643461447781E-2</v>
      </c>
      <c r="S146" s="140">
        <f t="shared" si="175"/>
        <v>2.2642514202345514E-2</v>
      </c>
      <c r="T146" s="140">
        <f t="shared" si="175"/>
        <v>1.9521966393418376E-2</v>
      </c>
      <c r="U146" s="140">
        <f t="shared" si="175"/>
        <v>1.4213235995826747E-2</v>
      </c>
      <c r="V146" s="140">
        <f t="shared" si="175"/>
        <v>9.8679446275301563E-3</v>
      </c>
      <c r="W146" s="140">
        <f t="shared" si="175"/>
        <v>1.1009669522169656E-2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1.8587259867134068E-3</v>
      </c>
      <c r="C147" s="140">
        <f t="shared" ref="C147:W147" si="176">IF(C55=0,0,C55/C$47)</f>
        <v>1.7974418689733081E-3</v>
      </c>
      <c r="D147" s="140">
        <f t="shared" si="176"/>
        <v>2.0124654461641158E-3</v>
      </c>
      <c r="E147" s="140">
        <f t="shared" si="176"/>
        <v>1.9529617448595341E-3</v>
      </c>
      <c r="F147" s="140">
        <f t="shared" si="176"/>
        <v>2.2447765757818458E-3</v>
      </c>
      <c r="G147" s="140">
        <f t="shared" si="176"/>
        <v>2.0703632798366885E-3</v>
      </c>
      <c r="H147" s="140">
        <f t="shared" si="176"/>
        <v>2.1029572901100912E-3</v>
      </c>
      <c r="I147" s="140">
        <f t="shared" si="176"/>
        <v>1.9041898414605169E-3</v>
      </c>
      <c r="J147" s="140">
        <f t="shared" si="176"/>
        <v>2.1824578301149287E-3</v>
      </c>
      <c r="K147" s="140">
        <f t="shared" si="176"/>
        <v>2.8368811074173136E-3</v>
      </c>
      <c r="L147" s="140">
        <f t="shared" si="176"/>
        <v>3.4740167496316839E-3</v>
      </c>
      <c r="M147" s="140">
        <f t="shared" si="176"/>
        <v>1.7066673321483739E-3</v>
      </c>
      <c r="N147" s="140">
        <f t="shared" si="176"/>
        <v>9.9978294592126043E-4</v>
      </c>
      <c r="O147" s="140">
        <f t="shared" si="176"/>
        <v>1.2987671249304162E-3</v>
      </c>
      <c r="P147" s="140">
        <f t="shared" si="176"/>
        <v>1.0891040636797349E-3</v>
      </c>
      <c r="Q147" s="140">
        <f t="shared" si="176"/>
        <v>1.1967559284205757E-3</v>
      </c>
      <c r="R147" s="140">
        <f t="shared" si="176"/>
        <v>6.8405781606507138E-4</v>
      </c>
      <c r="S147" s="140">
        <f t="shared" si="176"/>
        <v>6.8592917360571959E-4</v>
      </c>
      <c r="T147" s="140">
        <f t="shared" si="176"/>
        <v>7.2479891635696678E-4</v>
      </c>
      <c r="U147" s="140">
        <f t="shared" si="176"/>
        <v>1.6034369675615031E-3</v>
      </c>
      <c r="V147" s="140">
        <f t="shared" si="176"/>
        <v>3.3864738768662303E-3</v>
      </c>
      <c r="W147" s="140">
        <f t="shared" si="176"/>
        <v>1.5278116874810638E-3</v>
      </c>
      <c r="DA147" s="175"/>
    </row>
    <row r="148" spans="1:105" ht="11.45" customHeight="1" x14ac:dyDescent="0.25">
      <c r="A148" s="109" t="s">
        <v>142</v>
      </c>
      <c r="B148" s="124">
        <f t="shared" si="167"/>
        <v>0</v>
      </c>
      <c r="C148" s="124">
        <f t="shared" ref="C148:W148" si="177">IF(C56=0,0,C56/C$47)</f>
        <v>0</v>
      </c>
      <c r="D148" s="124">
        <f t="shared" si="177"/>
        <v>0</v>
      </c>
      <c r="E148" s="124">
        <f t="shared" si="177"/>
        <v>0</v>
      </c>
      <c r="F148" s="124">
        <f t="shared" si="177"/>
        <v>0</v>
      </c>
      <c r="G148" s="124">
        <f t="shared" si="177"/>
        <v>0</v>
      </c>
      <c r="H148" s="124">
        <f t="shared" si="177"/>
        <v>0</v>
      </c>
      <c r="I148" s="124">
        <f t="shared" si="177"/>
        <v>0</v>
      </c>
      <c r="J148" s="124">
        <f t="shared" si="177"/>
        <v>0</v>
      </c>
      <c r="K148" s="124">
        <f t="shared" si="177"/>
        <v>0</v>
      </c>
      <c r="L148" s="124">
        <f t="shared" si="177"/>
        <v>0</v>
      </c>
      <c r="M148" s="124">
        <f t="shared" si="177"/>
        <v>0</v>
      </c>
      <c r="N148" s="124">
        <f t="shared" si="177"/>
        <v>0</v>
      </c>
      <c r="O148" s="124">
        <f t="shared" si="177"/>
        <v>0</v>
      </c>
      <c r="P148" s="124">
        <f t="shared" si="177"/>
        <v>0</v>
      </c>
      <c r="Q148" s="124">
        <f t="shared" si="177"/>
        <v>0</v>
      </c>
      <c r="R148" s="124">
        <f t="shared" si="177"/>
        <v>0</v>
      </c>
      <c r="S148" s="124">
        <f t="shared" si="177"/>
        <v>4.4678278632003998E-3</v>
      </c>
      <c r="T148" s="124">
        <f t="shared" si="177"/>
        <v>4.5783149897224177E-3</v>
      </c>
      <c r="U148" s="124">
        <f t="shared" si="177"/>
        <v>6.0442700325209027E-3</v>
      </c>
      <c r="V148" s="124">
        <f t="shared" si="177"/>
        <v>2.7979864855988135E-3</v>
      </c>
      <c r="W148" s="124">
        <f t="shared" si="177"/>
        <v>6.1894616341957075E-3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0</v>
      </c>
      <c r="C149" s="140">
        <f t="shared" ref="C149:W149" si="178">IF(C57=0,0,C57/C$47)</f>
        <v>0</v>
      </c>
      <c r="D149" s="140">
        <f t="shared" si="178"/>
        <v>0</v>
      </c>
      <c r="E149" s="140">
        <f t="shared" si="178"/>
        <v>0</v>
      </c>
      <c r="F149" s="140">
        <f t="shared" si="178"/>
        <v>0</v>
      </c>
      <c r="G149" s="140">
        <f t="shared" si="178"/>
        <v>0</v>
      </c>
      <c r="H149" s="140">
        <f t="shared" si="178"/>
        <v>0</v>
      </c>
      <c r="I149" s="140">
        <f t="shared" si="178"/>
        <v>0</v>
      </c>
      <c r="J149" s="140">
        <f t="shared" si="178"/>
        <v>0</v>
      </c>
      <c r="K149" s="140">
        <f t="shared" si="178"/>
        <v>0</v>
      </c>
      <c r="L149" s="140">
        <f t="shared" si="178"/>
        <v>0</v>
      </c>
      <c r="M149" s="140">
        <f t="shared" si="178"/>
        <v>0</v>
      </c>
      <c r="N149" s="140">
        <f t="shared" si="178"/>
        <v>0</v>
      </c>
      <c r="O149" s="140">
        <f t="shared" si="178"/>
        <v>0</v>
      </c>
      <c r="P149" s="140">
        <f t="shared" si="178"/>
        <v>0</v>
      </c>
      <c r="Q149" s="140">
        <f t="shared" si="178"/>
        <v>0</v>
      </c>
      <c r="R149" s="140">
        <f t="shared" si="178"/>
        <v>0</v>
      </c>
      <c r="S149" s="140">
        <f t="shared" si="178"/>
        <v>4.4678278632003998E-3</v>
      </c>
      <c r="T149" s="140">
        <f t="shared" si="178"/>
        <v>4.5783149897224177E-3</v>
      </c>
      <c r="U149" s="140">
        <f t="shared" si="178"/>
        <v>6.0442700325209027E-3</v>
      </c>
      <c r="V149" s="140">
        <f t="shared" si="178"/>
        <v>2.7979864855988135E-3</v>
      </c>
      <c r="W149" s="140">
        <f t="shared" si="178"/>
        <v>6.1894616341957075E-3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0</v>
      </c>
      <c r="C150" s="127">
        <f t="shared" ref="C150:W150" si="179">IF(C58=0,0,C58/C$47)</f>
        <v>0</v>
      </c>
      <c r="D150" s="127">
        <f t="shared" si="179"/>
        <v>0</v>
      </c>
      <c r="E150" s="127">
        <f t="shared" si="179"/>
        <v>0</v>
      </c>
      <c r="F150" s="127">
        <f t="shared" si="179"/>
        <v>0</v>
      </c>
      <c r="G150" s="127">
        <f t="shared" si="179"/>
        <v>0</v>
      </c>
      <c r="H150" s="127">
        <f t="shared" si="179"/>
        <v>0</v>
      </c>
      <c r="I150" s="127">
        <f t="shared" si="179"/>
        <v>0</v>
      </c>
      <c r="J150" s="127">
        <f t="shared" si="179"/>
        <v>0</v>
      </c>
      <c r="K150" s="127">
        <f t="shared" si="179"/>
        <v>0</v>
      </c>
      <c r="L150" s="127">
        <f t="shared" si="179"/>
        <v>0</v>
      </c>
      <c r="M150" s="127">
        <f t="shared" si="179"/>
        <v>0</v>
      </c>
      <c r="N150" s="127">
        <f t="shared" si="179"/>
        <v>0</v>
      </c>
      <c r="O150" s="127">
        <f t="shared" si="179"/>
        <v>0</v>
      </c>
      <c r="P150" s="127">
        <f t="shared" si="179"/>
        <v>0</v>
      </c>
      <c r="Q150" s="127">
        <f t="shared" si="179"/>
        <v>0</v>
      </c>
      <c r="R150" s="127">
        <f t="shared" si="179"/>
        <v>0</v>
      </c>
      <c r="S150" s="127">
        <f t="shared" si="179"/>
        <v>0</v>
      </c>
      <c r="T150" s="127">
        <f t="shared" si="179"/>
        <v>0</v>
      </c>
      <c r="U150" s="127">
        <f t="shared" si="179"/>
        <v>0</v>
      </c>
      <c r="V150" s="127">
        <f t="shared" si="179"/>
        <v>0</v>
      </c>
      <c r="W150" s="127">
        <f t="shared" si="179"/>
        <v>0</v>
      </c>
      <c r="DA150" s="178"/>
    </row>
    <row r="151" spans="1:105" ht="11.45" customHeight="1" x14ac:dyDescent="0.25">
      <c r="A151" s="27" t="s">
        <v>176</v>
      </c>
      <c r="B151" s="31">
        <f>IF(B59=0,0,B59/B$59)</f>
        <v>1</v>
      </c>
      <c r="C151" s="31">
        <f t="shared" ref="C151:W151" si="180">IF(C59=0,0,C59/C$59)</f>
        <v>1</v>
      </c>
      <c r="D151" s="31">
        <f t="shared" si="180"/>
        <v>1</v>
      </c>
      <c r="E151" s="31">
        <f t="shared" si="180"/>
        <v>1</v>
      </c>
      <c r="F151" s="31">
        <f t="shared" si="180"/>
        <v>1</v>
      </c>
      <c r="G151" s="31">
        <f t="shared" si="180"/>
        <v>1</v>
      </c>
      <c r="H151" s="31">
        <f t="shared" si="180"/>
        <v>1</v>
      </c>
      <c r="I151" s="31">
        <f t="shared" si="180"/>
        <v>1</v>
      </c>
      <c r="J151" s="31">
        <f t="shared" si="180"/>
        <v>1</v>
      </c>
      <c r="K151" s="31">
        <f t="shared" si="180"/>
        <v>1</v>
      </c>
      <c r="L151" s="31">
        <f t="shared" si="180"/>
        <v>1</v>
      </c>
      <c r="M151" s="31">
        <f t="shared" si="180"/>
        <v>1</v>
      </c>
      <c r="N151" s="31">
        <f t="shared" si="180"/>
        <v>1</v>
      </c>
      <c r="O151" s="31">
        <f t="shared" si="180"/>
        <v>1</v>
      </c>
      <c r="P151" s="31">
        <f t="shared" si="180"/>
        <v>1</v>
      </c>
      <c r="Q151" s="31">
        <f t="shared" si="180"/>
        <v>1</v>
      </c>
      <c r="R151" s="31">
        <f t="shared" si="180"/>
        <v>1</v>
      </c>
      <c r="S151" s="31">
        <f t="shared" si="180"/>
        <v>1</v>
      </c>
      <c r="T151" s="31">
        <f t="shared" si="180"/>
        <v>1</v>
      </c>
      <c r="U151" s="31">
        <f t="shared" si="180"/>
        <v>1</v>
      </c>
      <c r="V151" s="31">
        <f t="shared" si="180"/>
        <v>1</v>
      </c>
      <c r="W151" s="31">
        <f t="shared" si="180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0.53164387273743419</v>
      </c>
      <c r="C152" s="140">
        <f t="shared" ref="C152:W152" si="181">IF(C60=0,0,C60/C$59)</f>
        <v>0.53279328199554221</v>
      </c>
      <c r="D152" s="140">
        <f t="shared" si="181"/>
        <v>0.5304543027698313</v>
      </c>
      <c r="E152" s="140">
        <f t="shared" si="181"/>
        <v>0.56103195935718009</v>
      </c>
      <c r="F152" s="140">
        <f t="shared" si="181"/>
        <v>0.57618115500355938</v>
      </c>
      <c r="G152" s="140">
        <f t="shared" si="181"/>
        <v>0.53777490169924358</v>
      </c>
      <c r="H152" s="140">
        <f t="shared" si="181"/>
        <v>0.54703654480615682</v>
      </c>
      <c r="I152" s="140">
        <f t="shared" si="181"/>
        <v>0.45688986586144276</v>
      </c>
      <c r="J152" s="140">
        <f t="shared" si="181"/>
        <v>0.53475543422620309</v>
      </c>
      <c r="K152" s="140">
        <f t="shared" si="181"/>
        <v>0.49700154951202757</v>
      </c>
      <c r="L152" s="140">
        <f t="shared" si="181"/>
        <v>0.52010022239066378</v>
      </c>
      <c r="M152" s="140">
        <f t="shared" si="181"/>
        <v>0.54947080877311116</v>
      </c>
      <c r="N152" s="140">
        <f t="shared" si="181"/>
        <v>0.57599128280902556</v>
      </c>
      <c r="O152" s="140">
        <f t="shared" si="181"/>
        <v>0.57931037479889735</v>
      </c>
      <c r="P152" s="140">
        <f t="shared" si="181"/>
        <v>0.56339713224777321</v>
      </c>
      <c r="Q152" s="140">
        <f t="shared" si="181"/>
        <v>0.56967391425981451</v>
      </c>
      <c r="R152" s="140">
        <f t="shared" si="181"/>
        <v>0.56140626377630454</v>
      </c>
      <c r="S152" s="140">
        <f t="shared" si="181"/>
        <v>0.54201744578865796</v>
      </c>
      <c r="T152" s="140">
        <f t="shared" si="181"/>
        <v>0.51562390021767546</v>
      </c>
      <c r="U152" s="140">
        <f t="shared" si="181"/>
        <v>0.55141546458823987</v>
      </c>
      <c r="V152" s="140">
        <f t="shared" si="181"/>
        <v>0.52554539948912471</v>
      </c>
      <c r="W152" s="140">
        <f t="shared" si="181"/>
        <v>0.52349748462404644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0.46835612726256587</v>
      </c>
      <c r="C153" s="127">
        <f t="shared" ref="C153:W153" si="182">IF(C61=0,0,C61/C$59)</f>
        <v>0.46720671800445779</v>
      </c>
      <c r="D153" s="127">
        <f t="shared" si="182"/>
        <v>0.46954569723016876</v>
      </c>
      <c r="E153" s="127">
        <f t="shared" si="182"/>
        <v>0.43896804064282002</v>
      </c>
      <c r="F153" s="127">
        <f t="shared" si="182"/>
        <v>0.42381884499644068</v>
      </c>
      <c r="G153" s="127">
        <f t="shared" si="182"/>
        <v>0.46222509830075648</v>
      </c>
      <c r="H153" s="127">
        <f t="shared" si="182"/>
        <v>0.45296345519384318</v>
      </c>
      <c r="I153" s="127">
        <f t="shared" si="182"/>
        <v>0.54311013413855735</v>
      </c>
      <c r="J153" s="127">
        <f t="shared" si="182"/>
        <v>0.4652445657737968</v>
      </c>
      <c r="K153" s="127">
        <f t="shared" si="182"/>
        <v>0.50299845048797232</v>
      </c>
      <c r="L153" s="127">
        <f t="shared" si="182"/>
        <v>0.47989977760933628</v>
      </c>
      <c r="M153" s="127">
        <f t="shared" si="182"/>
        <v>0.45052919122688884</v>
      </c>
      <c r="N153" s="127">
        <f t="shared" si="182"/>
        <v>0.42400871719097438</v>
      </c>
      <c r="O153" s="127">
        <f t="shared" si="182"/>
        <v>0.42068962520110265</v>
      </c>
      <c r="P153" s="127">
        <f t="shared" si="182"/>
        <v>0.43660286775222679</v>
      </c>
      <c r="Q153" s="127">
        <f t="shared" si="182"/>
        <v>0.43032608574018544</v>
      </c>
      <c r="R153" s="127">
        <f t="shared" si="182"/>
        <v>0.43859373622369546</v>
      </c>
      <c r="S153" s="127">
        <f t="shared" si="182"/>
        <v>0.45798255421134204</v>
      </c>
      <c r="T153" s="127">
        <f t="shared" si="182"/>
        <v>0.48437609978232454</v>
      </c>
      <c r="U153" s="127">
        <f t="shared" si="182"/>
        <v>0.44858453541176019</v>
      </c>
      <c r="V153" s="127">
        <f t="shared" si="182"/>
        <v>0.47445460051087535</v>
      </c>
      <c r="W153" s="127">
        <f t="shared" si="182"/>
        <v>0.47650251537595356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0.56092915668204091</v>
      </c>
      <c r="C157" s="139">
        <f t="shared" ref="C157:W157" si="185">IF(C65=0,0,C65/C$64)</f>
        <v>0.5315597100005186</v>
      </c>
      <c r="D157" s="139">
        <f t="shared" si="185"/>
        <v>0.54438424151650489</v>
      </c>
      <c r="E157" s="139">
        <f t="shared" si="185"/>
        <v>0.54632222025383392</v>
      </c>
      <c r="F157" s="139">
        <f t="shared" si="185"/>
        <v>0.59441347962262914</v>
      </c>
      <c r="G157" s="139">
        <f t="shared" si="185"/>
        <v>0.6046053273846882</v>
      </c>
      <c r="H157" s="139">
        <f t="shared" si="185"/>
        <v>0.60911171060610436</v>
      </c>
      <c r="I157" s="139">
        <f t="shared" si="185"/>
        <v>0.63717819284064459</v>
      </c>
      <c r="J157" s="139">
        <f t="shared" si="185"/>
        <v>0.64486255440697604</v>
      </c>
      <c r="K157" s="139">
        <f t="shared" si="185"/>
        <v>0.66870281022767675</v>
      </c>
      <c r="L157" s="139">
        <f t="shared" si="185"/>
        <v>0.66785107857017645</v>
      </c>
      <c r="M157" s="139">
        <f t="shared" si="185"/>
        <v>0.64249592215703211</v>
      </c>
      <c r="N157" s="139">
        <f t="shared" si="185"/>
        <v>0.6521367604122239</v>
      </c>
      <c r="O157" s="139">
        <f t="shared" si="185"/>
        <v>0.66098218125824215</v>
      </c>
      <c r="P157" s="139">
        <f t="shared" si="185"/>
        <v>0.66172028958175488</v>
      </c>
      <c r="Q157" s="139">
        <f t="shared" si="185"/>
        <v>0.66865592347099323</v>
      </c>
      <c r="R157" s="139">
        <f t="shared" si="185"/>
        <v>0.65098731071514682</v>
      </c>
      <c r="S157" s="139">
        <f t="shared" si="185"/>
        <v>0.62716325616928392</v>
      </c>
      <c r="T157" s="139">
        <f t="shared" si="185"/>
        <v>0.61910837792672568</v>
      </c>
      <c r="U157" s="139">
        <f t="shared" si="185"/>
        <v>0.63258140091728043</v>
      </c>
      <c r="V157" s="139">
        <f t="shared" si="185"/>
        <v>0.83012548899916272</v>
      </c>
      <c r="W157" s="139">
        <f t="shared" si="185"/>
        <v>0.76037679551739057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9.0483228944566868E-3</v>
      </c>
      <c r="C158" s="140">
        <f t="shared" ref="C158:W158" si="186">IF(C66=0,0,C66/C$64)</f>
        <v>7.9745021208187748E-3</v>
      </c>
      <c r="D158" s="140">
        <f t="shared" si="186"/>
        <v>7.8761021973992856E-3</v>
      </c>
      <c r="E158" s="140">
        <f t="shared" si="186"/>
        <v>7.389330257071015E-3</v>
      </c>
      <c r="F158" s="140">
        <f t="shared" si="186"/>
        <v>7.2452085313155718E-3</v>
      </c>
      <c r="G158" s="140">
        <f t="shared" si="186"/>
        <v>7.0526367133764692E-3</v>
      </c>
      <c r="H158" s="140">
        <f t="shared" si="186"/>
        <v>6.7392939081785102E-3</v>
      </c>
      <c r="I158" s="140">
        <f t="shared" si="186"/>
        <v>6.5205380432511242E-3</v>
      </c>
      <c r="J158" s="140">
        <f t="shared" si="186"/>
        <v>6.4926376952037235E-3</v>
      </c>
      <c r="K158" s="140">
        <f t="shared" si="186"/>
        <v>6.41176693042338E-3</v>
      </c>
      <c r="L158" s="140">
        <f t="shared" si="186"/>
        <v>6.1480894224946086E-3</v>
      </c>
      <c r="M158" s="140">
        <f t="shared" si="186"/>
        <v>5.8426032607403668E-3</v>
      </c>
      <c r="N158" s="140">
        <f t="shared" si="186"/>
        <v>6.3811248321420985E-3</v>
      </c>
      <c r="O158" s="140">
        <f t="shared" si="186"/>
        <v>6.8122964802916396E-3</v>
      </c>
      <c r="P158" s="140">
        <f t="shared" si="186"/>
        <v>6.9396986195248683E-3</v>
      </c>
      <c r="Q158" s="140">
        <f t="shared" si="186"/>
        <v>6.5479166148890988E-3</v>
      </c>
      <c r="R158" s="140">
        <f t="shared" si="186"/>
        <v>5.9886073004825199E-3</v>
      </c>
      <c r="S158" s="140">
        <f t="shared" si="186"/>
        <v>5.2613753119856799E-3</v>
      </c>
      <c r="T158" s="140">
        <f t="shared" si="186"/>
        <v>4.8824287048950732E-3</v>
      </c>
      <c r="U158" s="140">
        <f t="shared" si="186"/>
        <v>5.0948412881848155E-3</v>
      </c>
      <c r="V158" s="140">
        <f t="shared" si="186"/>
        <v>6.8927919476146054E-3</v>
      </c>
      <c r="W158" s="140">
        <f t="shared" si="186"/>
        <v>5.6925375287262816E-3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0.40182646707571784</v>
      </c>
      <c r="C159" s="140">
        <f t="shared" ref="C159:W159" si="187">IF(C67=0,0,C67/C$64)</f>
        <v>0.38549554066275699</v>
      </c>
      <c r="D159" s="140">
        <f t="shared" si="187"/>
        <v>0.3998940106891663</v>
      </c>
      <c r="E159" s="140">
        <f t="shared" si="187"/>
        <v>0.40287985439920193</v>
      </c>
      <c r="F159" s="140">
        <f t="shared" si="187"/>
        <v>0.44559590055567855</v>
      </c>
      <c r="G159" s="140">
        <f t="shared" si="187"/>
        <v>0.46598087654244486</v>
      </c>
      <c r="H159" s="140">
        <f t="shared" si="187"/>
        <v>0.47372992629944449</v>
      </c>
      <c r="I159" s="140">
        <f t="shared" si="187"/>
        <v>0.49997043953451847</v>
      </c>
      <c r="J159" s="140">
        <f t="shared" si="187"/>
        <v>0.51657208870938887</v>
      </c>
      <c r="K159" s="140">
        <f t="shared" si="187"/>
        <v>0.53846970506746905</v>
      </c>
      <c r="L159" s="140">
        <f t="shared" si="187"/>
        <v>0.53955620533427273</v>
      </c>
      <c r="M159" s="140">
        <f t="shared" si="187"/>
        <v>0.51904529620690198</v>
      </c>
      <c r="N159" s="140">
        <f t="shared" si="187"/>
        <v>0.53095640814583367</v>
      </c>
      <c r="O159" s="140">
        <f t="shared" si="187"/>
        <v>0.54196580705636033</v>
      </c>
      <c r="P159" s="140">
        <f t="shared" si="187"/>
        <v>0.54007733982398254</v>
      </c>
      <c r="Q159" s="140">
        <f t="shared" si="187"/>
        <v>0.5378537367759274</v>
      </c>
      <c r="R159" s="140">
        <f t="shared" si="187"/>
        <v>0.52303731227869621</v>
      </c>
      <c r="S159" s="140">
        <f t="shared" si="187"/>
        <v>0.50119231153524424</v>
      </c>
      <c r="T159" s="140">
        <f t="shared" si="187"/>
        <v>0.4949190353531378</v>
      </c>
      <c r="U159" s="140">
        <f t="shared" si="187"/>
        <v>0.50516470908830058</v>
      </c>
      <c r="V159" s="140">
        <f t="shared" si="187"/>
        <v>0.67483753965737658</v>
      </c>
      <c r="W159" s="140">
        <f t="shared" si="187"/>
        <v>0.61519046219959073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0.15005436671186645</v>
      </c>
      <c r="C160" s="140">
        <f t="shared" ref="C160:W160" si="188">IF(C68=0,0,C68/C$64)</f>
        <v>0.13808966721694291</v>
      </c>
      <c r="D160" s="140">
        <f t="shared" si="188"/>
        <v>0.13661412862993932</v>
      </c>
      <c r="E160" s="140">
        <f t="shared" si="188"/>
        <v>0.13605303559756105</v>
      </c>
      <c r="F160" s="140">
        <f t="shared" si="188"/>
        <v>0.14157237053563496</v>
      </c>
      <c r="G160" s="140">
        <f t="shared" si="188"/>
        <v>0.13157181412886684</v>
      </c>
      <c r="H160" s="140">
        <f t="shared" si="188"/>
        <v>0.12864249039848139</v>
      </c>
      <c r="I160" s="140">
        <f t="shared" si="188"/>
        <v>0.13068721526287505</v>
      </c>
      <c r="J160" s="140">
        <f t="shared" si="188"/>
        <v>0.12179782800238345</v>
      </c>
      <c r="K160" s="140">
        <f t="shared" si="188"/>
        <v>0.12382133822978422</v>
      </c>
      <c r="L160" s="140">
        <f t="shared" si="188"/>
        <v>0.12214678381340922</v>
      </c>
      <c r="M160" s="140">
        <f t="shared" si="188"/>
        <v>0.11760802268938975</v>
      </c>
      <c r="N160" s="140">
        <f t="shared" si="188"/>
        <v>0.11479922743424807</v>
      </c>
      <c r="O160" s="140">
        <f t="shared" si="188"/>
        <v>0.11220407772159029</v>
      </c>
      <c r="P160" s="140">
        <f t="shared" si="188"/>
        <v>0.11470325113824748</v>
      </c>
      <c r="Q160" s="140">
        <f t="shared" si="188"/>
        <v>0.12425427008017685</v>
      </c>
      <c r="R160" s="140">
        <f t="shared" si="188"/>
        <v>0.12196139113596809</v>
      </c>
      <c r="S160" s="140">
        <f t="shared" si="188"/>
        <v>0.12070956932205407</v>
      </c>
      <c r="T160" s="140">
        <f t="shared" si="188"/>
        <v>0.11930691386869283</v>
      </c>
      <c r="U160" s="140">
        <f t="shared" si="188"/>
        <v>0.1223218505407951</v>
      </c>
      <c r="V160" s="140">
        <f t="shared" si="188"/>
        <v>0.1483951573941715</v>
      </c>
      <c r="W160" s="140">
        <f t="shared" si="188"/>
        <v>0.13949379578907362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0</v>
      </c>
      <c r="C161" s="124">
        <f t="shared" ref="C161:W161" si="189">IF(C69=0,0,C69/C$64)</f>
        <v>0</v>
      </c>
      <c r="D161" s="124">
        <f t="shared" si="189"/>
        <v>0</v>
      </c>
      <c r="E161" s="124">
        <f t="shared" si="189"/>
        <v>0</v>
      </c>
      <c r="F161" s="124">
        <f t="shared" si="189"/>
        <v>0</v>
      </c>
      <c r="G161" s="124">
        <f t="shared" si="189"/>
        <v>0</v>
      </c>
      <c r="H161" s="124">
        <f t="shared" si="189"/>
        <v>0</v>
      </c>
      <c r="I161" s="124">
        <f t="shared" si="189"/>
        <v>0</v>
      </c>
      <c r="J161" s="124">
        <f t="shared" si="189"/>
        <v>0</v>
      </c>
      <c r="K161" s="124">
        <f t="shared" si="189"/>
        <v>0</v>
      </c>
      <c r="L161" s="124">
        <f t="shared" si="189"/>
        <v>0</v>
      </c>
      <c r="M161" s="124">
        <f t="shared" si="189"/>
        <v>0</v>
      </c>
      <c r="N161" s="124">
        <f t="shared" si="189"/>
        <v>0</v>
      </c>
      <c r="O161" s="124">
        <f t="shared" si="189"/>
        <v>0</v>
      </c>
      <c r="P161" s="124">
        <f t="shared" si="189"/>
        <v>0</v>
      </c>
      <c r="Q161" s="124">
        <f t="shared" si="189"/>
        <v>0</v>
      </c>
      <c r="R161" s="124">
        <f t="shared" si="189"/>
        <v>0</v>
      </c>
      <c r="S161" s="124">
        <f t="shared" si="189"/>
        <v>0</v>
      </c>
      <c r="T161" s="124">
        <f t="shared" si="189"/>
        <v>0</v>
      </c>
      <c r="U161" s="124">
        <f t="shared" si="189"/>
        <v>0</v>
      </c>
      <c r="V161" s="124">
        <f t="shared" si="189"/>
        <v>0</v>
      </c>
      <c r="W161" s="124">
        <f t="shared" si="189"/>
        <v>0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0</v>
      </c>
      <c r="C163" s="140">
        <f t="shared" ref="C163:W163" si="191">IF(C71=0,0,C71/C$64)</f>
        <v>0</v>
      </c>
      <c r="D163" s="140">
        <f t="shared" si="191"/>
        <v>0</v>
      </c>
      <c r="E163" s="140">
        <f t="shared" si="191"/>
        <v>0</v>
      </c>
      <c r="F163" s="140">
        <f t="shared" si="191"/>
        <v>0</v>
      </c>
      <c r="G163" s="140">
        <f t="shared" si="191"/>
        <v>0</v>
      </c>
      <c r="H163" s="140">
        <f t="shared" si="191"/>
        <v>0</v>
      </c>
      <c r="I163" s="140">
        <f t="shared" si="191"/>
        <v>0</v>
      </c>
      <c r="J163" s="140">
        <f t="shared" si="191"/>
        <v>0</v>
      </c>
      <c r="K163" s="140">
        <f t="shared" si="191"/>
        <v>0</v>
      </c>
      <c r="L163" s="140">
        <f t="shared" si="191"/>
        <v>0</v>
      </c>
      <c r="M163" s="140">
        <f t="shared" si="191"/>
        <v>0</v>
      </c>
      <c r="N163" s="140">
        <f t="shared" si="191"/>
        <v>0</v>
      </c>
      <c r="O163" s="140">
        <f t="shared" si="191"/>
        <v>0</v>
      </c>
      <c r="P163" s="140">
        <f t="shared" si="191"/>
        <v>0</v>
      </c>
      <c r="Q163" s="140">
        <f t="shared" si="191"/>
        <v>0</v>
      </c>
      <c r="R163" s="140">
        <f t="shared" si="191"/>
        <v>0</v>
      </c>
      <c r="S163" s="140">
        <f t="shared" si="191"/>
        <v>0</v>
      </c>
      <c r="T163" s="140">
        <f t="shared" si="191"/>
        <v>0</v>
      </c>
      <c r="U163" s="140">
        <f t="shared" si="191"/>
        <v>0</v>
      </c>
      <c r="V163" s="140">
        <f t="shared" si="191"/>
        <v>0</v>
      </c>
      <c r="W163" s="140">
        <f t="shared" si="191"/>
        <v>0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0.43907084331795898</v>
      </c>
      <c r="C165" s="124">
        <f t="shared" ref="C165:W165" si="193">IF(C73=0,0,C73/C$64)</f>
        <v>0.46844028999948134</v>
      </c>
      <c r="D165" s="124">
        <f t="shared" si="193"/>
        <v>0.45561575848349517</v>
      </c>
      <c r="E165" s="124">
        <f t="shared" si="193"/>
        <v>0.45367777974616608</v>
      </c>
      <c r="F165" s="124">
        <f t="shared" si="193"/>
        <v>0.40558652037737081</v>
      </c>
      <c r="G165" s="124">
        <f t="shared" si="193"/>
        <v>0.39539467261531192</v>
      </c>
      <c r="H165" s="124">
        <f t="shared" si="193"/>
        <v>0.39088828939389558</v>
      </c>
      <c r="I165" s="124">
        <f t="shared" si="193"/>
        <v>0.36282180715935547</v>
      </c>
      <c r="J165" s="124">
        <f t="shared" si="193"/>
        <v>0.3551374455930239</v>
      </c>
      <c r="K165" s="124">
        <f t="shared" si="193"/>
        <v>0.33129718977232325</v>
      </c>
      <c r="L165" s="124">
        <f t="shared" si="193"/>
        <v>0.33214892142982355</v>
      </c>
      <c r="M165" s="124">
        <f t="shared" si="193"/>
        <v>0.357504077842968</v>
      </c>
      <c r="N165" s="124">
        <f t="shared" si="193"/>
        <v>0.34786323958777621</v>
      </c>
      <c r="O165" s="124">
        <f t="shared" si="193"/>
        <v>0.33901781874175774</v>
      </c>
      <c r="P165" s="124">
        <f t="shared" si="193"/>
        <v>0.33827971041824512</v>
      </c>
      <c r="Q165" s="124">
        <f t="shared" si="193"/>
        <v>0.33134407652900677</v>
      </c>
      <c r="R165" s="124">
        <f t="shared" si="193"/>
        <v>0.34901268928485318</v>
      </c>
      <c r="S165" s="124">
        <f t="shared" si="193"/>
        <v>0.37283674383071608</v>
      </c>
      <c r="T165" s="124">
        <f t="shared" si="193"/>
        <v>0.38089162207327437</v>
      </c>
      <c r="U165" s="124">
        <f t="shared" si="193"/>
        <v>0.36741859908271962</v>
      </c>
      <c r="V165" s="124">
        <f t="shared" si="193"/>
        <v>0.16987451100083734</v>
      </c>
      <c r="W165" s="124">
        <f t="shared" si="193"/>
        <v>0.23962320448260946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0</v>
      </c>
      <c r="C166" s="140">
        <f t="shared" ref="C166:W166" si="194">IF(C74=0,0,C74/C$64)</f>
        <v>0</v>
      </c>
      <c r="D166" s="140">
        <f t="shared" si="194"/>
        <v>0</v>
      </c>
      <c r="E166" s="140">
        <f t="shared" si="194"/>
        <v>0</v>
      </c>
      <c r="F166" s="140">
        <f t="shared" si="194"/>
        <v>0</v>
      </c>
      <c r="G166" s="140">
        <f t="shared" si="194"/>
        <v>0</v>
      </c>
      <c r="H166" s="140">
        <f t="shared" si="194"/>
        <v>0</v>
      </c>
      <c r="I166" s="140">
        <f t="shared" si="194"/>
        <v>0</v>
      </c>
      <c r="J166" s="140">
        <f t="shared" si="194"/>
        <v>0</v>
      </c>
      <c r="K166" s="140">
        <f t="shared" si="194"/>
        <v>0</v>
      </c>
      <c r="L166" s="140">
        <f t="shared" si="194"/>
        <v>0</v>
      </c>
      <c r="M166" s="140">
        <f t="shared" si="194"/>
        <v>0</v>
      </c>
      <c r="N166" s="140">
        <f t="shared" si="194"/>
        <v>0</v>
      </c>
      <c r="O166" s="140">
        <f t="shared" si="194"/>
        <v>0</v>
      </c>
      <c r="P166" s="140">
        <f t="shared" si="194"/>
        <v>0</v>
      </c>
      <c r="Q166" s="140">
        <f t="shared" si="194"/>
        <v>0</v>
      </c>
      <c r="R166" s="140">
        <f t="shared" si="194"/>
        <v>0</v>
      </c>
      <c r="S166" s="140">
        <f t="shared" si="194"/>
        <v>0</v>
      </c>
      <c r="T166" s="140">
        <f t="shared" si="194"/>
        <v>0</v>
      </c>
      <c r="U166" s="140">
        <f t="shared" si="194"/>
        <v>0</v>
      </c>
      <c r="V166" s="140">
        <f t="shared" si="194"/>
        <v>0</v>
      </c>
      <c r="W166" s="140">
        <f t="shared" si="194"/>
        <v>0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0.3739387341524843</v>
      </c>
      <c r="C167" s="140">
        <f t="shared" ref="C167:W167" si="195">IF(C75=0,0,C75/C$64)</f>
        <v>0.39895197193638171</v>
      </c>
      <c r="D167" s="140">
        <f t="shared" si="195"/>
        <v>0.37220112037410119</v>
      </c>
      <c r="E167" s="140">
        <f t="shared" si="195"/>
        <v>0.37061773186023478</v>
      </c>
      <c r="F167" s="140">
        <f t="shared" si="195"/>
        <v>0.34268136020803625</v>
      </c>
      <c r="G167" s="140">
        <f t="shared" si="195"/>
        <v>0.33678398673887638</v>
      </c>
      <c r="H167" s="140">
        <f t="shared" si="195"/>
        <v>0.33319494780344444</v>
      </c>
      <c r="I167" s="140">
        <f t="shared" si="195"/>
        <v>0.30951906371052063</v>
      </c>
      <c r="J167" s="140">
        <f t="shared" si="195"/>
        <v>0.30238249703824777</v>
      </c>
      <c r="K167" s="140">
        <f t="shared" si="195"/>
        <v>0.27952722477235786</v>
      </c>
      <c r="L167" s="140">
        <f t="shared" si="195"/>
        <v>0.27850282700468937</v>
      </c>
      <c r="M167" s="140">
        <f t="shared" si="195"/>
        <v>0.30063975181674979</v>
      </c>
      <c r="N167" s="140">
        <f t="shared" si="195"/>
        <v>0.28915611263853719</v>
      </c>
      <c r="O167" s="140">
        <f t="shared" si="195"/>
        <v>0.27928805379541732</v>
      </c>
      <c r="P167" s="140">
        <f t="shared" si="195"/>
        <v>0.27805361327006017</v>
      </c>
      <c r="Q167" s="140">
        <f t="shared" si="195"/>
        <v>0.27286638331987495</v>
      </c>
      <c r="R167" s="140">
        <f t="shared" si="195"/>
        <v>0.29207980113321758</v>
      </c>
      <c r="S167" s="140">
        <f t="shared" si="195"/>
        <v>0.31570563420532505</v>
      </c>
      <c r="T167" s="140">
        <f t="shared" si="195"/>
        <v>0.32110911207386028</v>
      </c>
      <c r="U167" s="140">
        <f t="shared" si="195"/>
        <v>0.30761525307406296</v>
      </c>
      <c r="V167" s="140">
        <f t="shared" si="195"/>
        <v>0.12544200497455524</v>
      </c>
      <c r="W167" s="140">
        <f t="shared" si="195"/>
        <v>0.18491460585165229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6.5132109165474669E-2</v>
      </c>
      <c r="C168" s="140">
        <f t="shared" ref="C168:W168" si="196">IF(C76=0,0,C76/C$64)</f>
        <v>6.948831806309963E-2</v>
      </c>
      <c r="D168" s="140">
        <f t="shared" si="196"/>
        <v>8.3414638109393965E-2</v>
      </c>
      <c r="E168" s="140">
        <f t="shared" si="196"/>
        <v>8.3060047885931299E-2</v>
      </c>
      <c r="F168" s="140">
        <f t="shared" si="196"/>
        <v>6.2905160169334548E-2</v>
      </c>
      <c r="G168" s="140">
        <f t="shared" si="196"/>
        <v>5.8610685876435545E-2</v>
      </c>
      <c r="H168" s="140">
        <f t="shared" si="196"/>
        <v>5.7693341590451093E-2</v>
      </c>
      <c r="I168" s="140">
        <f t="shared" si="196"/>
        <v>5.3302743448834851E-2</v>
      </c>
      <c r="J168" s="140">
        <f t="shared" si="196"/>
        <v>5.2754948554776131E-2</v>
      </c>
      <c r="K168" s="140">
        <f t="shared" si="196"/>
        <v>5.176996499996539E-2</v>
      </c>
      <c r="L168" s="140">
        <f t="shared" si="196"/>
        <v>5.3646094425134176E-2</v>
      </c>
      <c r="M168" s="140">
        <f t="shared" si="196"/>
        <v>5.6864326026218159E-2</v>
      </c>
      <c r="N168" s="140">
        <f t="shared" si="196"/>
        <v>5.8707126949238998E-2</v>
      </c>
      <c r="O168" s="140">
        <f t="shared" si="196"/>
        <v>5.972976494634042E-2</v>
      </c>
      <c r="P168" s="140">
        <f t="shared" si="196"/>
        <v>6.0226097148184964E-2</v>
      </c>
      <c r="Q168" s="140">
        <f t="shared" si="196"/>
        <v>5.8477693209131806E-2</v>
      </c>
      <c r="R168" s="140">
        <f t="shared" si="196"/>
        <v>5.6932888151635622E-2</v>
      </c>
      <c r="S168" s="140">
        <f t="shared" si="196"/>
        <v>5.713110962539103E-2</v>
      </c>
      <c r="T168" s="140">
        <f t="shared" si="196"/>
        <v>5.9782509999414084E-2</v>
      </c>
      <c r="U168" s="140">
        <f t="shared" si="196"/>
        <v>5.980334600865668E-2</v>
      </c>
      <c r="V168" s="140">
        <f t="shared" si="196"/>
        <v>4.4432506026282119E-2</v>
      </c>
      <c r="W168" s="140">
        <f t="shared" si="196"/>
        <v>5.4708598630957166E-2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0.9614153859761061</v>
      </c>
      <c r="C170" s="139">
        <f t="shared" ref="C170:W170" si="199">IF(C78=0,0,C78/C$77)</f>
        <v>0.96666146909931228</v>
      </c>
      <c r="D170" s="139">
        <f t="shared" si="199"/>
        <v>0.96150623058975304</v>
      </c>
      <c r="E170" s="139">
        <f t="shared" si="199"/>
        <v>0.96369709206652598</v>
      </c>
      <c r="F170" s="139">
        <f t="shared" si="199"/>
        <v>0.95408609335784555</v>
      </c>
      <c r="G170" s="139">
        <f t="shared" si="199"/>
        <v>0.94930705791087033</v>
      </c>
      <c r="H170" s="139">
        <f t="shared" si="199"/>
        <v>0.93524555844397217</v>
      </c>
      <c r="I170" s="139">
        <f t="shared" si="199"/>
        <v>0.94475319201111263</v>
      </c>
      <c r="J170" s="139">
        <f t="shared" si="199"/>
        <v>0.94456160697252955</v>
      </c>
      <c r="K170" s="139">
        <f t="shared" si="199"/>
        <v>0.94672937801282397</v>
      </c>
      <c r="L170" s="139">
        <f t="shared" si="199"/>
        <v>0.95154669858204488</v>
      </c>
      <c r="M170" s="139">
        <f t="shared" si="199"/>
        <v>0.95981080650740869</v>
      </c>
      <c r="N170" s="139">
        <f t="shared" si="199"/>
        <v>0.96549895694852839</v>
      </c>
      <c r="O170" s="139">
        <f t="shared" si="199"/>
        <v>0.96196122219975855</v>
      </c>
      <c r="P170" s="139">
        <f t="shared" si="199"/>
        <v>0.96504308589172283</v>
      </c>
      <c r="Q170" s="139">
        <f t="shared" si="199"/>
        <v>0.96778648755829577</v>
      </c>
      <c r="R170" s="139">
        <f t="shared" si="199"/>
        <v>0.97577224712123645</v>
      </c>
      <c r="S170" s="139">
        <f t="shared" si="199"/>
        <v>0.97209198921856321</v>
      </c>
      <c r="T170" s="139">
        <f t="shared" si="199"/>
        <v>0.97505658443807941</v>
      </c>
      <c r="U170" s="139">
        <f t="shared" si="199"/>
        <v>0.97788129588848283</v>
      </c>
      <c r="V170" s="139">
        <f t="shared" si="199"/>
        <v>0.98328497346700283</v>
      </c>
      <c r="W170" s="139">
        <f t="shared" si="199"/>
        <v>0.98071247107063886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0.75882207741185248</v>
      </c>
      <c r="C171" s="140">
        <f t="shared" ref="C171:W171" si="200">IF(C79=0,0,C79/C$77)</f>
        <v>0.76243063470931705</v>
      </c>
      <c r="D171" s="140">
        <f t="shared" si="200"/>
        <v>0.76299839365247957</v>
      </c>
      <c r="E171" s="140">
        <f t="shared" si="200"/>
        <v>0.75204603523641811</v>
      </c>
      <c r="F171" s="140">
        <f t="shared" si="200"/>
        <v>0.76403922975172456</v>
      </c>
      <c r="G171" s="140">
        <f t="shared" si="200"/>
        <v>0.72616819209707684</v>
      </c>
      <c r="H171" s="140">
        <f t="shared" si="200"/>
        <v>0.73424848836352807</v>
      </c>
      <c r="I171" s="140">
        <f t="shared" si="200"/>
        <v>0.73222446597845181</v>
      </c>
      <c r="J171" s="140">
        <f t="shared" si="200"/>
        <v>0.72238317314815836</v>
      </c>
      <c r="K171" s="140">
        <f t="shared" si="200"/>
        <v>0.75556969558720888</v>
      </c>
      <c r="L171" s="140">
        <f t="shared" si="200"/>
        <v>0.73928670153141463</v>
      </c>
      <c r="M171" s="140">
        <f t="shared" si="200"/>
        <v>0.76768741246394601</v>
      </c>
      <c r="N171" s="140">
        <f t="shared" si="200"/>
        <v>0.78068150475905418</v>
      </c>
      <c r="O171" s="140">
        <f t="shared" si="200"/>
        <v>0.81225169531032881</v>
      </c>
      <c r="P171" s="140">
        <f t="shared" si="200"/>
        <v>0.82326744028765197</v>
      </c>
      <c r="Q171" s="140">
        <f t="shared" si="200"/>
        <v>0.82552412514255435</v>
      </c>
      <c r="R171" s="140">
        <f t="shared" si="200"/>
        <v>0.80048417562802121</v>
      </c>
      <c r="S171" s="140">
        <f t="shared" si="200"/>
        <v>0.78098930502718189</v>
      </c>
      <c r="T171" s="140">
        <f t="shared" si="200"/>
        <v>0.7788685353871464</v>
      </c>
      <c r="U171" s="140">
        <f t="shared" si="200"/>
        <v>0.77024628640701431</v>
      </c>
      <c r="V171" s="140">
        <f t="shared" si="200"/>
        <v>0.81863412326503493</v>
      </c>
      <c r="W171" s="140">
        <f t="shared" si="200"/>
        <v>0.81572661949436587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0.20259330856425356</v>
      </c>
      <c r="C172" s="140">
        <f t="shared" ref="C172:W172" si="201">IF(C80=0,0,C80/C$77)</f>
        <v>0.20423083438999529</v>
      </c>
      <c r="D172" s="140">
        <f t="shared" si="201"/>
        <v>0.19850783693727359</v>
      </c>
      <c r="E172" s="140">
        <f t="shared" si="201"/>
        <v>0.2116510568301079</v>
      </c>
      <c r="F172" s="140">
        <f t="shared" si="201"/>
        <v>0.19004686360612111</v>
      </c>
      <c r="G172" s="140">
        <f t="shared" si="201"/>
        <v>0.22313886581379358</v>
      </c>
      <c r="H172" s="140">
        <f t="shared" si="201"/>
        <v>0.20099707008044407</v>
      </c>
      <c r="I172" s="140">
        <f t="shared" si="201"/>
        <v>0.21252872603266079</v>
      </c>
      <c r="J172" s="140">
        <f t="shared" si="201"/>
        <v>0.22217843382437114</v>
      </c>
      <c r="K172" s="140">
        <f t="shared" si="201"/>
        <v>0.19115968242561501</v>
      </c>
      <c r="L172" s="140">
        <f t="shared" si="201"/>
        <v>0.21225999705063014</v>
      </c>
      <c r="M172" s="140">
        <f t="shared" si="201"/>
        <v>0.19212339404346268</v>
      </c>
      <c r="N172" s="140">
        <f t="shared" si="201"/>
        <v>0.18481745218947429</v>
      </c>
      <c r="O172" s="140">
        <f t="shared" si="201"/>
        <v>0.14970952688942976</v>
      </c>
      <c r="P172" s="140">
        <f t="shared" si="201"/>
        <v>0.14177564560407077</v>
      </c>
      <c r="Q172" s="140">
        <f t="shared" si="201"/>
        <v>0.14226236241574136</v>
      </c>
      <c r="R172" s="140">
        <f t="shared" si="201"/>
        <v>0.17528807149321515</v>
      </c>
      <c r="S172" s="140">
        <f t="shared" si="201"/>
        <v>0.19110268419138132</v>
      </c>
      <c r="T172" s="140">
        <f t="shared" si="201"/>
        <v>0.19618804905093309</v>
      </c>
      <c r="U172" s="140">
        <f t="shared" si="201"/>
        <v>0.20763500948146849</v>
      </c>
      <c r="V172" s="140">
        <f t="shared" si="201"/>
        <v>0.16465085020196785</v>
      </c>
      <c r="W172" s="140">
        <f t="shared" si="201"/>
        <v>0.16498585157627293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0</v>
      </c>
      <c r="C173" s="124">
        <f t="shared" ref="C173:W173" si="202">IF(C81=0,0,C81/C$77)</f>
        <v>0</v>
      </c>
      <c r="D173" s="124">
        <f t="shared" si="202"/>
        <v>0</v>
      </c>
      <c r="E173" s="124">
        <f t="shared" si="202"/>
        <v>0</v>
      </c>
      <c r="F173" s="124">
        <f t="shared" si="202"/>
        <v>0</v>
      </c>
      <c r="G173" s="124">
        <f t="shared" si="202"/>
        <v>0</v>
      </c>
      <c r="H173" s="124">
        <f t="shared" si="202"/>
        <v>0</v>
      </c>
      <c r="I173" s="124">
        <f t="shared" si="202"/>
        <v>0</v>
      </c>
      <c r="J173" s="124">
        <f t="shared" si="202"/>
        <v>0</v>
      </c>
      <c r="K173" s="124">
        <f t="shared" si="202"/>
        <v>0</v>
      </c>
      <c r="L173" s="124">
        <f t="shared" si="202"/>
        <v>0</v>
      </c>
      <c r="M173" s="124">
        <f t="shared" si="202"/>
        <v>0</v>
      </c>
      <c r="N173" s="124">
        <f t="shared" si="202"/>
        <v>0</v>
      </c>
      <c r="O173" s="124">
        <f t="shared" si="202"/>
        <v>0</v>
      </c>
      <c r="P173" s="124">
        <f t="shared" si="202"/>
        <v>0</v>
      </c>
      <c r="Q173" s="124">
        <f t="shared" si="202"/>
        <v>0</v>
      </c>
      <c r="R173" s="124">
        <f t="shared" si="202"/>
        <v>0</v>
      </c>
      <c r="S173" s="124">
        <f t="shared" si="202"/>
        <v>0</v>
      </c>
      <c r="T173" s="124">
        <f t="shared" si="202"/>
        <v>0</v>
      </c>
      <c r="U173" s="124">
        <f t="shared" si="202"/>
        <v>0</v>
      </c>
      <c r="V173" s="124">
        <f t="shared" si="202"/>
        <v>0</v>
      </c>
      <c r="W173" s="124">
        <f t="shared" si="202"/>
        <v>0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3.858461402389389E-2</v>
      </c>
      <c r="C174" s="124">
        <f t="shared" ref="C174:W174" si="203">IF(C82=0,0,C82/C$77)</f>
        <v>3.3338530900687759E-2</v>
      </c>
      <c r="D174" s="124">
        <f t="shared" si="203"/>
        <v>3.8493769410247007E-2</v>
      </c>
      <c r="E174" s="124">
        <f t="shared" si="203"/>
        <v>3.6302907933474064E-2</v>
      </c>
      <c r="F174" s="124">
        <f t="shared" si="203"/>
        <v>4.591390664215441E-2</v>
      </c>
      <c r="G174" s="124">
        <f t="shared" si="203"/>
        <v>5.0692942089129653E-2</v>
      </c>
      <c r="H174" s="124">
        <f t="shared" si="203"/>
        <v>6.4754441556027845E-2</v>
      </c>
      <c r="I174" s="124">
        <f t="shared" si="203"/>
        <v>5.5246807988887328E-2</v>
      </c>
      <c r="J174" s="124">
        <f t="shared" si="203"/>
        <v>5.5438393027470396E-2</v>
      </c>
      <c r="K174" s="124">
        <f t="shared" si="203"/>
        <v>5.3270621987175894E-2</v>
      </c>
      <c r="L174" s="124">
        <f t="shared" si="203"/>
        <v>4.8453301417955175E-2</v>
      </c>
      <c r="M174" s="124">
        <f t="shared" si="203"/>
        <v>4.0189193492591327E-2</v>
      </c>
      <c r="N174" s="124">
        <f t="shared" si="203"/>
        <v>3.4501043051471558E-2</v>
      </c>
      <c r="O174" s="124">
        <f t="shared" si="203"/>
        <v>3.8038777800241418E-2</v>
      </c>
      <c r="P174" s="124">
        <f t="shared" si="203"/>
        <v>3.4956914108277184E-2</v>
      </c>
      <c r="Q174" s="124">
        <f t="shared" si="203"/>
        <v>3.2213512441704201E-2</v>
      </c>
      <c r="R174" s="124">
        <f t="shared" si="203"/>
        <v>2.4227752878763598E-2</v>
      </c>
      <c r="S174" s="124">
        <f t="shared" si="203"/>
        <v>2.3307591749309686E-2</v>
      </c>
      <c r="T174" s="124">
        <f t="shared" si="203"/>
        <v>2.0229124213239278E-2</v>
      </c>
      <c r="U174" s="124">
        <f t="shared" si="203"/>
        <v>1.5868915908138027E-2</v>
      </c>
      <c r="V174" s="124">
        <f t="shared" si="203"/>
        <v>1.3916206207925131E-2</v>
      </c>
      <c r="W174" s="124">
        <f t="shared" si="203"/>
        <v>1.3105157436233136E-2</v>
      </c>
      <c r="DA174" s="176"/>
    </row>
    <row r="175" spans="1:105" ht="11.45" customHeight="1" x14ac:dyDescent="0.25">
      <c r="A175" s="128" t="s">
        <v>27</v>
      </c>
      <c r="B175" s="140">
        <f t="shared" si="197"/>
        <v>0</v>
      </c>
      <c r="C175" s="140">
        <f t="shared" ref="C175:W175" si="204">IF(C83=0,0,C83/C$77)</f>
        <v>0</v>
      </c>
      <c r="D175" s="140">
        <f t="shared" si="204"/>
        <v>0</v>
      </c>
      <c r="E175" s="140">
        <f t="shared" si="204"/>
        <v>0</v>
      </c>
      <c r="F175" s="140">
        <f t="shared" si="204"/>
        <v>0</v>
      </c>
      <c r="G175" s="140">
        <f t="shared" si="204"/>
        <v>0</v>
      </c>
      <c r="H175" s="140">
        <f t="shared" si="204"/>
        <v>0</v>
      </c>
      <c r="I175" s="140">
        <f t="shared" si="204"/>
        <v>0</v>
      </c>
      <c r="J175" s="140">
        <f t="shared" si="204"/>
        <v>0</v>
      </c>
      <c r="K175" s="140">
        <f t="shared" si="204"/>
        <v>0</v>
      </c>
      <c r="L175" s="140">
        <f t="shared" si="204"/>
        <v>0</v>
      </c>
      <c r="M175" s="140">
        <f t="shared" si="204"/>
        <v>0</v>
      </c>
      <c r="N175" s="140">
        <f t="shared" si="204"/>
        <v>0</v>
      </c>
      <c r="O175" s="140">
        <f t="shared" si="204"/>
        <v>0</v>
      </c>
      <c r="P175" s="140">
        <f t="shared" si="204"/>
        <v>0</v>
      </c>
      <c r="Q175" s="140">
        <f t="shared" si="204"/>
        <v>0</v>
      </c>
      <c r="R175" s="140">
        <f t="shared" si="204"/>
        <v>0</v>
      </c>
      <c r="S175" s="140">
        <f t="shared" si="204"/>
        <v>0</v>
      </c>
      <c r="T175" s="140">
        <f t="shared" si="204"/>
        <v>0</v>
      </c>
      <c r="U175" s="140">
        <f t="shared" si="204"/>
        <v>0</v>
      </c>
      <c r="V175" s="140">
        <f t="shared" si="204"/>
        <v>0</v>
      </c>
      <c r="W175" s="140">
        <f t="shared" si="204"/>
        <v>0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3.6775273429128182E-2</v>
      </c>
      <c r="C176" s="140">
        <f t="shared" ref="C176:W176" si="205">IF(C84=0,0,C84/C$77)</f>
        <v>3.1588869757006699E-2</v>
      </c>
      <c r="D176" s="140">
        <f t="shared" si="205"/>
        <v>3.6534412923335383E-2</v>
      </c>
      <c r="E176" s="140">
        <f t="shared" si="205"/>
        <v>3.4401102928055718E-2</v>
      </c>
      <c r="F176" s="140">
        <f t="shared" si="205"/>
        <v>4.3728055965940524E-2</v>
      </c>
      <c r="G176" s="140">
        <f t="shared" si="205"/>
        <v>4.8677592036898323E-2</v>
      </c>
      <c r="H176" s="140">
        <f t="shared" si="205"/>
        <v>6.2706365486734278E-2</v>
      </c>
      <c r="I176" s="140">
        <f t="shared" si="205"/>
        <v>5.3388855249141443E-2</v>
      </c>
      <c r="J176" s="140">
        <f t="shared" si="205"/>
        <v>5.3232225794605695E-2</v>
      </c>
      <c r="K176" s="140">
        <f t="shared" si="205"/>
        <v>5.0392970468617168E-2</v>
      </c>
      <c r="L176" s="140">
        <f t="shared" si="205"/>
        <v>4.4932840027930389E-2</v>
      </c>
      <c r="M176" s="140">
        <f t="shared" si="205"/>
        <v>3.8451607775091191E-2</v>
      </c>
      <c r="N176" s="140">
        <f t="shared" si="205"/>
        <v>3.3476074488868898E-2</v>
      </c>
      <c r="O176" s="140">
        <f t="shared" si="205"/>
        <v>3.6699591467893873E-2</v>
      </c>
      <c r="P176" s="140">
        <f t="shared" si="205"/>
        <v>3.3854780495847211E-2</v>
      </c>
      <c r="Q176" s="140">
        <f t="shared" si="205"/>
        <v>3.1005822663365015E-2</v>
      </c>
      <c r="R176" s="140">
        <f t="shared" si="205"/>
        <v>2.3541995324410179E-2</v>
      </c>
      <c r="S176" s="140">
        <f t="shared" si="205"/>
        <v>2.2622275678721604E-2</v>
      </c>
      <c r="T176" s="140">
        <f t="shared" si="205"/>
        <v>1.9504956817397171E-2</v>
      </c>
      <c r="U176" s="140">
        <f t="shared" si="205"/>
        <v>1.4260182740225164E-2</v>
      </c>
      <c r="V176" s="140">
        <f t="shared" si="205"/>
        <v>1.0360647073241818E-2</v>
      </c>
      <c r="W176" s="140">
        <f t="shared" si="205"/>
        <v>1.1508168985160184E-2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1.8093405947657093E-3</v>
      </c>
      <c r="C177" s="140">
        <f t="shared" ref="C177:W177" si="206">IF(C85=0,0,C85/C$77)</f>
        <v>1.7496611436810603E-3</v>
      </c>
      <c r="D177" s="140">
        <f t="shared" si="206"/>
        <v>1.959356486911618E-3</v>
      </c>
      <c r="E177" s="140">
        <f t="shared" si="206"/>
        <v>1.9018050054183477E-3</v>
      </c>
      <c r="F177" s="140">
        <f t="shared" si="206"/>
        <v>2.1858506762138844E-3</v>
      </c>
      <c r="G177" s="140">
        <f t="shared" si="206"/>
        <v>2.0153500522313321E-3</v>
      </c>
      <c r="H177" s="140">
        <f t="shared" si="206"/>
        <v>2.0480760692935564E-3</v>
      </c>
      <c r="I177" s="140">
        <f t="shared" si="206"/>
        <v>1.8579527397458821E-3</v>
      </c>
      <c r="J177" s="140">
        <f t="shared" si="206"/>
        <v>2.2061672328646995E-3</v>
      </c>
      <c r="K177" s="140">
        <f t="shared" si="206"/>
        <v>2.8776515185587248E-3</v>
      </c>
      <c r="L177" s="140">
        <f t="shared" si="206"/>
        <v>3.5204613900247884E-3</v>
      </c>
      <c r="M177" s="140">
        <f t="shared" si="206"/>
        <v>1.7375857175001344E-3</v>
      </c>
      <c r="N177" s="140">
        <f t="shared" si="206"/>
        <v>1.0249685626026594E-3</v>
      </c>
      <c r="O177" s="140">
        <f t="shared" si="206"/>
        <v>1.3391863323475438E-3</v>
      </c>
      <c r="P177" s="140">
        <f t="shared" si="206"/>
        <v>1.1021336124299728E-3</v>
      </c>
      <c r="Q177" s="140">
        <f t="shared" si="206"/>
        <v>1.2076897783391851E-3</v>
      </c>
      <c r="R177" s="140">
        <f t="shared" si="206"/>
        <v>6.8575755435342162E-4</v>
      </c>
      <c r="S177" s="140">
        <f t="shared" si="206"/>
        <v>6.8531607058808252E-4</v>
      </c>
      <c r="T177" s="140">
        <f t="shared" si="206"/>
        <v>7.2416739584210644E-4</v>
      </c>
      <c r="U177" s="140">
        <f t="shared" si="206"/>
        <v>1.6087331679128642E-3</v>
      </c>
      <c r="V177" s="140">
        <f t="shared" si="206"/>
        <v>3.5555591346833138E-3</v>
      </c>
      <c r="W177" s="140">
        <f t="shared" si="206"/>
        <v>1.5969884510729534E-3</v>
      </c>
      <c r="DA177" s="175"/>
    </row>
    <row r="178" spans="1:105" ht="11.45" customHeight="1" x14ac:dyDescent="0.25">
      <c r="A178" s="109" t="s">
        <v>142</v>
      </c>
      <c r="B178" s="124">
        <f t="shared" si="197"/>
        <v>0</v>
      </c>
      <c r="C178" s="124">
        <f t="shared" ref="C178:W178" si="207">IF(C86=0,0,C86/C$77)</f>
        <v>0</v>
      </c>
      <c r="D178" s="124">
        <f t="shared" si="207"/>
        <v>0</v>
      </c>
      <c r="E178" s="124">
        <f t="shared" si="207"/>
        <v>0</v>
      </c>
      <c r="F178" s="124">
        <f t="shared" si="207"/>
        <v>0</v>
      </c>
      <c r="G178" s="124">
        <f t="shared" si="207"/>
        <v>0</v>
      </c>
      <c r="H178" s="124">
        <f t="shared" si="207"/>
        <v>0</v>
      </c>
      <c r="I178" s="124">
        <f t="shared" si="207"/>
        <v>0</v>
      </c>
      <c r="J178" s="124">
        <f t="shared" si="207"/>
        <v>0</v>
      </c>
      <c r="K178" s="124">
        <f t="shared" si="207"/>
        <v>0</v>
      </c>
      <c r="L178" s="124">
        <f t="shared" si="207"/>
        <v>0</v>
      </c>
      <c r="M178" s="124">
        <f t="shared" si="207"/>
        <v>0</v>
      </c>
      <c r="N178" s="124">
        <f t="shared" si="207"/>
        <v>0</v>
      </c>
      <c r="O178" s="124">
        <f t="shared" si="207"/>
        <v>0</v>
      </c>
      <c r="P178" s="124">
        <f t="shared" si="207"/>
        <v>0</v>
      </c>
      <c r="Q178" s="124">
        <f t="shared" si="207"/>
        <v>0</v>
      </c>
      <c r="R178" s="124">
        <f t="shared" si="207"/>
        <v>0</v>
      </c>
      <c r="S178" s="124">
        <f t="shared" si="207"/>
        <v>4.6004190321271296E-3</v>
      </c>
      <c r="T178" s="124">
        <f t="shared" si="207"/>
        <v>4.714291348681305E-3</v>
      </c>
      <c r="U178" s="124">
        <f t="shared" si="207"/>
        <v>6.2497882033791408E-3</v>
      </c>
      <c r="V178" s="124">
        <f t="shared" si="207"/>
        <v>2.7988203250720327E-3</v>
      </c>
      <c r="W178" s="124">
        <f t="shared" si="207"/>
        <v>6.1823714931280426E-3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0</v>
      </c>
      <c r="C179" s="140">
        <f t="shared" ref="C179:W179" si="208">IF(C87=0,0,C87/C$77)</f>
        <v>0</v>
      </c>
      <c r="D179" s="140">
        <f t="shared" si="208"/>
        <v>0</v>
      </c>
      <c r="E179" s="140">
        <f t="shared" si="208"/>
        <v>0</v>
      </c>
      <c r="F179" s="140">
        <f t="shared" si="208"/>
        <v>0</v>
      </c>
      <c r="G179" s="140">
        <f t="shared" si="208"/>
        <v>0</v>
      </c>
      <c r="H179" s="140">
        <f t="shared" si="208"/>
        <v>0</v>
      </c>
      <c r="I179" s="140">
        <f t="shared" si="208"/>
        <v>0</v>
      </c>
      <c r="J179" s="140">
        <f t="shared" si="208"/>
        <v>0</v>
      </c>
      <c r="K179" s="140">
        <f t="shared" si="208"/>
        <v>0</v>
      </c>
      <c r="L179" s="140">
        <f t="shared" si="208"/>
        <v>0</v>
      </c>
      <c r="M179" s="140">
        <f t="shared" si="208"/>
        <v>0</v>
      </c>
      <c r="N179" s="140">
        <f t="shared" si="208"/>
        <v>0</v>
      </c>
      <c r="O179" s="140">
        <f t="shared" si="208"/>
        <v>0</v>
      </c>
      <c r="P179" s="140">
        <f t="shared" si="208"/>
        <v>0</v>
      </c>
      <c r="Q179" s="140">
        <f t="shared" si="208"/>
        <v>0</v>
      </c>
      <c r="R179" s="140">
        <f t="shared" si="208"/>
        <v>0</v>
      </c>
      <c r="S179" s="140">
        <f t="shared" si="208"/>
        <v>4.6004190321271296E-3</v>
      </c>
      <c r="T179" s="140">
        <f t="shared" si="208"/>
        <v>4.714291348681305E-3</v>
      </c>
      <c r="U179" s="140">
        <f t="shared" si="208"/>
        <v>6.2497882033791408E-3</v>
      </c>
      <c r="V179" s="140">
        <f t="shared" si="208"/>
        <v>2.7988203250720327E-3</v>
      </c>
      <c r="W179" s="140">
        <f t="shared" si="208"/>
        <v>6.1823714931280426E-3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0</v>
      </c>
      <c r="C180" s="127">
        <f t="shared" ref="C180:W180" si="209">IF(C88=0,0,C88/C$77)</f>
        <v>0</v>
      </c>
      <c r="D180" s="127">
        <f t="shared" si="209"/>
        <v>0</v>
      </c>
      <c r="E180" s="127">
        <f t="shared" si="209"/>
        <v>0</v>
      </c>
      <c r="F180" s="127">
        <f t="shared" si="209"/>
        <v>0</v>
      </c>
      <c r="G180" s="127">
        <f t="shared" si="209"/>
        <v>0</v>
      </c>
      <c r="H180" s="127">
        <f t="shared" si="209"/>
        <v>0</v>
      </c>
      <c r="I180" s="127">
        <f t="shared" si="209"/>
        <v>0</v>
      </c>
      <c r="J180" s="127">
        <f t="shared" si="209"/>
        <v>0</v>
      </c>
      <c r="K180" s="127">
        <f t="shared" si="209"/>
        <v>0</v>
      </c>
      <c r="L180" s="127">
        <f t="shared" si="209"/>
        <v>0</v>
      </c>
      <c r="M180" s="127">
        <f t="shared" si="209"/>
        <v>0</v>
      </c>
      <c r="N180" s="127">
        <f t="shared" si="209"/>
        <v>0</v>
      </c>
      <c r="O180" s="127">
        <f t="shared" si="209"/>
        <v>0</v>
      </c>
      <c r="P180" s="127">
        <f t="shared" si="209"/>
        <v>0</v>
      </c>
      <c r="Q180" s="127">
        <f t="shared" si="209"/>
        <v>0</v>
      </c>
      <c r="R180" s="127">
        <f t="shared" si="209"/>
        <v>0</v>
      </c>
      <c r="S180" s="127">
        <f t="shared" si="209"/>
        <v>0</v>
      </c>
      <c r="T180" s="127">
        <f t="shared" si="209"/>
        <v>0</v>
      </c>
      <c r="U180" s="127">
        <f t="shared" si="209"/>
        <v>0</v>
      </c>
      <c r="V180" s="127">
        <f t="shared" si="209"/>
        <v>0</v>
      </c>
      <c r="W180" s="127">
        <f t="shared" si="209"/>
        <v>0</v>
      </c>
      <c r="DA180" s="178"/>
    </row>
    <row r="181" spans="1:105" ht="11.45" customHeight="1" x14ac:dyDescent="0.25">
      <c r="A181" s="27" t="s">
        <v>176</v>
      </c>
      <c r="B181" s="31">
        <f>IF(B89=0,0,B89/B$89)</f>
        <v>1</v>
      </c>
      <c r="C181" s="31">
        <f t="shared" ref="C181:W181" si="210">IF(C89=0,0,C89/C$89)</f>
        <v>1</v>
      </c>
      <c r="D181" s="31">
        <f t="shared" si="210"/>
        <v>1</v>
      </c>
      <c r="E181" s="31">
        <f t="shared" si="210"/>
        <v>1</v>
      </c>
      <c r="F181" s="31">
        <f t="shared" si="210"/>
        <v>1</v>
      </c>
      <c r="G181" s="31">
        <f t="shared" si="210"/>
        <v>1</v>
      </c>
      <c r="H181" s="31">
        <f t="shared" si="210"/>
        <v>1</v>
      </c>
      <c r="I181" s="31">
        <f t="shared" si="210"/>
        <v>1</v>
      </c>
      <c r="J181" s="31">
        <f t="shared" si="210"/>
        <v>1</v>
      </c>
      <c r="K181" s="31">
        <f t="shared" si="210"/>
        <v>1</v>
      </c>
      <c r="L181" s="31">
        <f t="shared" si="210"/>
        <v>1</v>
      </c>
      <c r="M181" s="31">
        <f t="shared" si="210"/>
        <v>1</v>
      </c>
      <c r="N181" s="31">
        <f t="shared" si="210"/>
        <v>1</v>
      </c>
      <c r="O181" s="31">
        <f t="shared" si="210"/>
        <v>1</v>
      </c>
      <c r="P181" s="31">
        <f t="shared" si="210"/>
        <v>1</v>
      </c>
      <c r="Q181" s="31">
        <f t="shared" si="210"/>
        <v>1</v>
      </c>
      <c r="R181" s="31">
        <f t="shared" si="210"/>
        <v>1</v>
      </c>
      <c r="S181" s="31">
        <f t="shared" si="210"/>
        <v>1</v>
      </c>
      <c r="T181" s="31">
        <f t="shared" si="210"/>
        <v>1</v>
      </c>
      <c r="U181" s="31">
        <f t="shared" si="210"/>
        <v>1</v>
      </c>
      <c r="V181" s="31">
        <f t="shared" si="210"/>
        <v>1</v>
      </c>
      <c r="W181" s="31">
        <f t="shared" si="210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0.52795808057856697</v>
      </c>
      <c r="C182" s="140">
        <f t="shared" ref="C182:W182" si="211">IF(C90=0,0,C90/C$89)</f>
        <v>0.52931511615972027</v>
      </c>
      <c r="D182" s="140">
        <f t="shared" si="211"/>
        <v>0.5270617986022561</v>
      </c>
      <c r="E182" s="140">
        <f t="shared" si="211"/>
        <v>0.55711993618786837</v>
      </c>
      <c r="F182" s="140">
        <f t="shared" si="211"/>
        <v>0.56991011244069623</v>
      </c>
      <c r="G182" s="140">
        <f t="shared" si="211"/>
        <v>0.53451257209550307</v>
      </c>
      <c r="H182" s="140">
        <f t="shared" si="211"/>
        <v>0.54204907710082273</v>
      </c>
      <c r="I182" s="140">
        <f t="shared" si="211"/>
        <v>0.45077025689714834</v>
      </c>
      <c r="J182" s="140">
        <f t="shared" si="211"/>
        <v>0.5297020894047928</v>
      </c>
      <c r="K182" s="140">
        <f t="shared" si="211"/>
        <v>0.49200416432762345</v>
      </c>
      <c r="L182" s="140">
        <f t="shared" si="211"/>
        <v>0.51596813654326634</v>
      </c>
      <c r="M182" s="140">
        <f t="shared" si="211"/>
        <v>0.54537507935626595</v>
      </c>
      <c r="N182" s="140">
        <f t="shared" si="211"/>
        <v>0.57129549222135578</v>
      </c>
      <c r="O182" s="140">
        <f t="shared" si="211"/>
        <v>0.57469869133550511</v>
      </c>
      <c r="P182" s="140">
        <f t="shared" si="211"/>
        <v>0.55874903567931122</v>
      </c>
      <c r="Q182" s="140">
        <f t="shared" si="211"/>
        <v>0.56531916812605276</v>
      </c>
      <c r="R182" s="140">
        <f t="shared" si="211"/>
        <v>0.55691244012490881</v>
      </c>
      <c r="S182" s="140">
        <f t="shared" si="211"/>
        <v>0.53644330159622866</v>
      </c>
      <c r="T182" s="140">
        <f t="shared" si="211"/>
        <v>0.50926932293740113</v>
      </c>
      <c r="U182" s="140">
        <f t="shared" si="211"/>
        <v>0.54527787309328057</v>
      </c>
      <c r="V182" s="140">
        <f t="shared" si="211"/>
        <v>0.5193659436911392</v>
      </c>
      <c r="W182" s="140">
        <f t="shared" si="211"/>
        <v>0.51704793699023943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0.47204191942143309</v>
      </c>
      <c r="C183" s="127">
        <f t="shared" ref="C183:W183" si="212">IF(C91=0,0,C91/C$89)</f>
        <v>0.47068488384027962</v>
      </c>
      <c r="D183" s="127">
        <f t="shared" si="212"/>
        <v>0.47293820139774401</v>
      </c>
      <c r="E183" s="127">
        <f t="shared" si="212"/>
        <v>0.44288006381213174</v>
      </c>
      <c r="F183" s="127">
        <f t="shared" si="212"/>
        <v>0.43008988755930372</v>
      </c>
      <c r="G183" s="127">
        <f t="shared" si="212"/>
        <v>0.46548742790449693</v>
      </c>
      <c r="H183" s="127">
        <f t="shared" si="212"/>
        <v>0.45795092289917722</v>
      </c>
      <c r="I183" s="127">
        <f t="shared" si="212"/>
        <v>0.54922974310285166</v>
      </c>
      <c r="J183" s="127">
        <f t="shared" si="212"/>
        <v>0.47029791059520709</v>
      </c>
      <c r="K183" s="127">
        <f t="shared" si="212"/>
        <v>0.50799583567237661</v>
      </c>
      <c r="L183" s="127">
        <f t="shared" si="212"/>
        <v>0.48403186345673371</v>
      </c>
      <c r="M183" s="127">
        <f t="shared" si="212"/>
        <v>0.454624920643734</v>
      </c>
      <c r="N183" s="127">
        <f t="shared" si="212"/>
        <v>0.42870450777864416</v>
      </c>
      <c r="O183" s="127">
        <f t="shared" si="212"/>
        <v>0.42530130866449484</v>
      </c>
      <c r="P183" s="127">
        <f t="shared" si="212"/>
        <v>0.44125096432068883</v>
      </c>
      <c r="Q183" s="127">
        <f t="shared" si="212"/>
        <v>0.43468083187394724</v>
      </c>
      <c r="R183" s="127">
        <f t="shared" si="212"/>
        <v>0.44308755987509113</v>
      </c>
      <c r="S183" s="127">
        <f t="shared" si="212"/>
        <v>0.46355669840377134</v>
      </c>
      <c r="T183" s="127">
        <f t="shared" si="212"/>
        <v>0.49073067706259887</v>
      </c>
      <c r="U183" s="127">
        <f t="shared" si="212"/>
        <v>0.45472212690671948</v>
      </c>
      <c r="V183" s="127">
        <f t="shared" si="212"/>
        <v>0.48063405630886075</v>
      </c>
      <c r="W183" s="127">
        <f t="shared" si="212"/>
        <v>0.48295206300976062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44.087320883403727</v>
      </c>
      <c r="C186" s="32">
        <f t="shared" si="213"/>
        <v>44.136566480916024</v>
      </c>
      <c r="D186" s="32">
        <f t="shared" si="213"/>
        <v>49.736659771729364</v>
      </c>
      <c r="E186" s="32">
        <f t="shared" si="213"/>
        <v>51.577801257080971</v>
      </c>
      <c r="F186" s="32">
        <f t="shared" si="213"/>
        <v>50.796840277962922</v>
      </c>
      <c r="G186" s="32">
        <f t="shared" si="213"/>
        <v>48.996145653604792</v>
      </c>
      <c r="H186" s="32">
        <f t="shared" si="213"/>
        <v>50.11190706788723</v>
      </c>
      <c r="I186" s="32">
        <f t="shared" si="213"/>
        <v>50.995222798810268</v>
      </c>
      <c r="J186" s="32">
        <f t="shared" si="213"/>
        <v>49.738498081386552</v>
      </c>
      <c r="K186" s="32">
        <f t="shared" si="213"/>
        <v>51.040940704238388</v>
      </c>
      <c r="L186" s="32">
        <f t="shared" si="213"/>
        <v>51.578105465464972</v>
      </c>
      <c r="M186" s="32">
        <f t="shared" si="213"/>
        <v>51.511757661002861</v>
      </c>
      <c r="N186" s="32">
        <f t="shared" si="213"/>
        <v>47.552789716058754</v>
      </c>
      <c r="O186" s="32">
        <f t="shared" si="213"/>
        <v>43.578933492476871</v>
      </c>
      <c r="P186" s="32">
        <f t="shared" si="213"/>
        <v>42.298262877375571</v>
      </c>
      <c r="Q186" s="32">
        <f t="shared" si="213"/>
        <v>43.124514304632036</v>
      </c>
      <c r="R186" s="32">
        <f t="shared" si="213"/>
        <v>40.988078736523086</v>
      </c>
      <c r="S186" s="32">
        <f t="shared" si="213"/>
        <v>40.501642300359123</v>
      </c>
      <c r="T186" s="32">
        <f t="shared" si="213"/>
        <v>39.079798981170974</v>
      </c>
      <c r="U186" s="32">
        <f t="shared" si="213"/>
        <v>37.855791949053007</v>
      </c>
      <c r="V186" s="32">
        <f t="shared" si="213"/>
        <v>58.622365192325496</v>
      </c>
      <c r="W186" s="32">
        <f t="shared" ref="W186" si="214">IF(W34=0,0,W34/W4*1000)</f>
        <v>50.04883763424656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68.12359238949044</v>
      </c>
      <c r="C187" s="141">
        <f t="shared" si="215"/>
        <v>69.706845511699825</v>
      </c>
      <c r="D187" s="141">
        <f t="shared" si="215"/>
        <v>68.662997577111696</v>
      </c>
      <c r="E187" s="141">
        <f t="shared" si="215"/>
        <v>72.526396924402846</v>
      </c>
      <c r="F187" s="141">
        <f t="shared" si="215"/>
        <v>74.472280834815749</v>
      </c>
      <c r="G187" s="141">
        <f t="shared" si="215"/>
        <v>73.766060026778518</v>
      </c>
      <c r="H187" s="141">
        <f t="shared" si="215"/>
        <v>74.544731560160486</v>
      </c>
      <c r="I187" s="141">
        <f t="shared" si="215"/>
        <v>76.954030214100499</v>
      </c>
      <c r="J187" s="141">
        <f t="shared" si="215"/>
        <v>74.869417902593497</v>
      </c>
      <c r="K187" s="141">
        <f t="shared" si="215"/>
        <v>75.2378258428176</v>
      </c>
      <c r="L187" s="141">
        <f t="shared" si="215"/>
        <v>77.5789573368411</v>
      </c>
      <c r="M187" s="141">
        <f t="shared" si="215"/>
        <v>75.75156838746129</v>
      </c>
      <c r="N187" s="141">
        <f t="shared" si="215"/>
        <v>70.849411265841269</v>
      </c>
      <c r="O187" s="141">
        <f t="shared" si="215"/>
        <v>66.151343020654551</v>
      </c>
      <c r="P187" s="141">
        <f t="shared" si="215"/>
        <v>63.900753272811642</v>
      </c>
      <c r="Q187" s="141">
        <f t="shared" si="215"/>
        <v>64.592295612884897</v>
      </c>
      <c r="R187" s="141">
        <f t="shared" si="215"/>
        <v>64.768165430545537</v>
      </c>
      <c r="S187" s="141">
        <f t="shared" si="215"/>
        <v>65.036383128181029</v>
      </c>
      <c r="T187" s="141">
        <f t="shared" si="215"/>
        <v>62.931961370458353</v>
      </c>
      <c r="U187" s="141">
        <f t="shared" si="215"/>
        <v>62.158208770890944</v>
      </c>
      <c r="V187" s="141">
        <f t="shared" si="215"/>
        <v>67.605965011414256</v>
      </c>
      <c r="W187" s="141">
        <f t="shared" ref="W187" si="216">IF(W35=0,0,W35/W5*1000)</f>
        <v>67.928093862523824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39.539552130888517</v>
      </c>
      <c r="C188" s="97">
        <f t="shared" si="217"/>
        <v>39.219175285576583</v>
      </c>
      <c r="D188" s="97">
        <f t="shared" si="217"/>
        <v>39.653169129173918</v>
      </c>
      <c r="E188" s="97">
        <f t="shared" si="217"/>
        <v>39.377679002658788</v>
      </c>
      <c r="F188" s="97">
        <f t="shared" si="217"/>
        <v>39.204881195346836</v>
      </c>
      <c r="G188" s="97">
        <f t="shared" si="217"/>
        <v>38.942667464010327</v>
      </c>
      <c r="H188" s="97">
        <f t="shared" si="217"/>
        <v>38.613425139444693</v>
      </c>
      <c r="I188" s="97">
        <f t="shared" si="217"/>
        <v>38.207814604875914</v>
      </c>
      <c r="J188" s="97">
        <f t="shared" si="217"/>
        <v>37.802974771696611</v>
      </c>
      <c r="K188" s="97">
        <f t="shared" si="217"/>
        <v>37.36650040983556</v>
      </c>
      <c r="L188" s="97">
        <f t="shared" si="217"/>
        <v>36.882814325454298</v>
      </c>
      <c r="M188" s="97">
        <f t="shared" si="217"/>
        <v>36.4570723009845</v>
      </c>
      <c r="N188" s="97">
        <f t="shared" si="217"/>
        <v>36.548774184818797</v>
      </c>
      <c r="O188" s="97">
        <f t="shared" si="217"/>
        <v>36.15502494062239</v>
      </c>
      <c r="P188" s="97">
        <f t="shared" si="217"/>
        <v>35.862962569365251</v>
      </c>
      <c r="Q188" s="97">
        <f t="shared" si="217"/>
        <v>35.564529755244628</v>
      </c>
      <c r="R188" s="97">
        <f t="shared" si="217"/>
        <v>35.025687940440612</v>
      </c>
      <c r="S188" s="97">
        <f t="shared" si="217"/>
        <v>34.757641818058971</v>
      </c>
      <c r="T188" s="97">
        <f t="shared" si="217"/>
        <v>34.442310980489978</v>
      </c>
      <c r="U188" s="97">
        <f t="shared" si="217"/>
        <v>33.851879605267762</v>
      </c>
      <c r="V188" s="97">
        <f t="shared" si="217"/>
        <v>33.588762225782787</v>
      </c>
      <c r="W188" s="97">
        <f t="shared" ref="W188" si="218">IF(W36=0,0,W36/W6*1000)</f>
        <v>31.564659373615022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65.543824466742677</v>
      </c>
      <c r="C189" s="97">
        <f t="shared" si="219"/>
        <v>67.939124821862094</v>
      </c>
      <c r="D189" s="97">
        <f t="shared" si="219"/>
        <v>67.798922074414932</v>
      </c>
      <c r="E189" s="97">
        <f t="shared" si="219"/>
        <v>72.768691878828378</v>
      </c>
      <c r="F189" s="97">
        <f t="shared" si="219"/>
        <v>73.532213978950125</v>
      </c>
      <c r="G189" s="97">
        <f t="shared" si="219"/>
        <v>74.322122638679105</v>
      </c>
      <c r="H189" s="97">
        <f t="shared" si="219"/>
        <v>75.326793356137415</v>
      </c>
      <c r="I189" s="97">
        <f t="shared" si="219"/>
        <v>77.664246812899364</v>
      </c>
      <c r="J189" s="97">
        <f t="shared" si="219"/>
        <v>75.677003619012609</v>
      </c>
      <c r="K189" s="97">
        <f t="shared" si="219"/>
        <v>75.26140377073088</v>
      </c>
      <c r="L189" s="97">
        <f t="shared" si="219"/>
        <v>78.179772581760403</v>
      </c>
      <c r="M189" s="97">
        <f t="shared" si="219"/>
        <v>76.535755679247046</v>
      </c>
      <c r="N189" s="97">
        <f t="shared" si="219"/>
        <v>72.419478310867788</v>
      </c>
      <c r="O189" s="97">
        <f t="shared" si="219"/>
        <v>67.905164010894495</v>
      </c>
      <c r="P189" s="97">
        <f t="shared" si="219"/>
        <v>65.219296660069858</v>
      </c>
      <c r="Q189" s="97">
        <f t="shared" si="219"/>
        <v>65.377247789656138</v>
      </c>
      <c r="R189" s="97">
        <f t="shared" si="219"/>
        <v>65.425478109691753</v>
      </c>
      <c r="S189" s="97">
        <f t="shared" si="219"/>
        <v>65.581956397757565</v>
      </c>
      <c r="T189" s="97">
        <f t="shared" si="219"/>
        <v>63.328299433151869</v>
      </c>
      <c r="U189" s="97">
        <f t="shared" si="219"/>
        <v>62.151548129249846</v>
      </c>
      <c r="V189" s="97">
        <f t="shared" si="219"/>
        <v>63.923697742921043</v>
      </c>
      <c r="W189" s="97">
        <f t="shared" ref="W189" si="220">IF(W37=0,0,W37/W7*1000)</f>
        <v>63.922270417104215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80.874104831893334</v>
      </c>
      <c r="C190" s="97">
        <f t="shared" si="221"/>
        <v>79.622061998849219</v>
      </c>
      <c r="D190" s="97">
        <f t="shared" si="221"/>
        <v>74.995378592939787</v>
      </c>
      <c r="E190" s="97">
        <f t="shared" si="221"/>
        <v>75.425971499258893</v>
      </c>
      <c r="F190" s="97">
        <f t="shared" si="221"/>
        <v>81.99344902401576</v>
      </c>
      <c r="G190" s="97">
        <f t="shared" si="221"/>
        <v>75.515682604471777</v>
      </c>
      <c r="H190" s="97">
        <f t="shared" si="221"/>
        <v>75.418484503422434</v>
      </c>
      <c r="I190" s="97">
        <f t="shared" si="221"/>
        <v>78.280380327491699</v>
      </c>
      <c r="J190" s="97">
        <f t="shared" si="221"/>
        <v>75.422852370305918</v>
      </c>
      <c r="K190" s="97">
        <f t="shared" si="221"/>
        <v>79.386735962123609</v>
      </c>
      <c r="L190" s="97">
        <f t="shared" si="221"/>
        <v>79.34046186697266</v>
      </c>
      <c r="M190" s="97">
        <f t="shared" si="221"/>
        <v>76.407824179607644</v>
      </c>
      <c r="N190" s="97">
        <f t="shared" si="221"/>
        <v>67.571089699238257</v>
      </c>
      <c r="O190" s="97">
        <f t="shared" si="221"/>
        <v>61.554410710584996</v>
      </c>
      <c r="P190" s="97">
        <f t="shared" si="221"/>
        <v>60.925442900580123</v>
      </c>
      <c r="Q190" s="97">
        <f t="shared" si="221"/>
        <v>64.014268463399517</v>
      </c>
      <c r="R190" s="97">
        <f t="shared" si="221"/>
        <v>64.68909283151838</v>
      </c>
      <c r="S190" s="97">
        <f t="shared" si="221"/>
        <v>65.283340668558935</v>
      </c>
      <c r="T190" s="97">
        <f t="shared" si="221"/>
        <v>63.463843488533691</v>
      </c>
      <c r="U190" s="97">
        <f t="shared" si="221"/>
        <v>64.512096101235613</v>
      </c>
      <c r="V190" s="97">
        <f t="shared" si="221"/>
        <v>97.473714907840161</v>
      </c>
      <c r="W190" s="97">
        <f t="shared" ref="W190" si="222">IF(W38=0,0,W38/W8*1000)</f>
        <v>100.09282569168705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0</v>
      </c>
      <c r="C191" s="130">
        <f t="shared" si="223"/>
        <v>0</v>
      </c>
      <c r="D191" s="130">
        <f t="shared" si="223"/>
        <v>0</v>
      </c>
      <c r="E191" s="130">
        <f t="shared" si="223"/>
        <v>0</v>
      </c>
      <c r="F191" s="130">
        <f t="shared" si="223"/>
        <v>0</v>
      </c>
      <c r="G191" s="130">
        <f t="shared" si="223"/>
        <v>0</v>
      </c>
      <c r="H191" s="130">
        <f t="shared" si="223"/>
        <v>0</v>
      </c>
      <c r="I191" s="130">
        <f t="shared" si="223"/>
        <v>0</v>
      </c>
      <c r="J191" s="130">
        <f t="shared" si="223"/>
        <v>0</v>
      </c>
      <c r="K191" s="130">
        <f t="shared" si="223"/>
        <v>0</v>
      </c>
      <c r="L191" s="130">
        <f t="shared" si="223"/>
        <v>0</v>
      </c>
      <c r="M191" s="130">
        <f t="shared" si="223"/>
        <v>0</v>
      </c>
      <c r="N191" s="130">
        <f t="shared" si="223"/>
        <v>0</v>
      </c>
      <c r="O191" s="130">
        <f t="shared" si="223"/>
        <v>0</v>
      </c>
      <c r="P191" s="130">
        <f t="shared" si="223"/>
        <v>0</v>
      </c>
      <c r="Q191" s="130">
        <f t="shared" si="223"/>
        <v>0</v>
      </c>
      <c r="R191" s="130">
        <f t="shared" si="223"/>
        <v>0</v>
      </c>
      <c r="S191" s="130">
        <f t="shared" si="223"/>
        <v>0</v>
      </c>
      <c r="T191" s="130">
        <f t="shared" si="223"/>
        <v>0</v>
      </c>
      <c r="U191" s="130">
        <f t="shared" si="223"/>
        <v>0</v>
      </c>
      <c r="V191" s="130">
        <f t="shared" si="223"/>
        <v>0</v>
      </c>
      <c r="W191" s="130">
        <f t="shared" ref="W191" si="224">IF(W39=0,0,W39/W9*1000)</f>
        <v>0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0</v>
      </c>
      <c r="C192" s="97">
        <f t="shared" si="225"/>
        <v>0</v>
      </c>
      <c r="D192" s="97">
        <f t="shared" si="225"/>
        <v>0</v>
      </c>
      <c r="E192" s="97">
        <f t="shared" si="225"/>
        <v>0</v>
      </c>
      <c r="F192" s="97">
        <f t="shared" si="225"/>
        <v>0</v>
      </c>
      <c r="G192" s="97">
        <f t="shared" si="225"/>
        <v>0</v>
      </c>
      <c r="H192" s="97">
        <f t="shared" si="225"/>
        <v>0</v>
      </c>
      <c r="I192" s="97">
        <f t="shared" si="225"/>
        <v>0</v>
      </c>
      <c r="J192" s="97">
        <f t="shared" si="225"/>
        <v>0</v>
      </c>
      <c r="K192" s="97">
        <f t="shared" si="225"/>
        <v>0</v>
      </c>
      <c r="L192" s="97">
        <f t="shared" si="225"/>
        <v>0</v>
      </c>
      <c r="M192" s="97">
        <f t="shared" si="225"/>
        <v>0</v>
      </c>
      <c r="N192" s="97">
        <f t="shared" si="225"/>
        <v>0</v>
      </c>
      <c r="O192" s="97">
        <f t="shared" si="225"/>
        <v>0</v>
      </c>
      <c r="P192" s="97">
        <f t="shared" si="225"/>
        <v>0</v>
      </c>
      <c r="Q192" s="97">
        <f t="shared" si="225"/>
        <v>0</v>
      </c>
      <c r="R192" s="97">
        <f t="shared" si="225"/>
        <v>0</v>
      </c>
      <c r="S192" s="97">
        <f t="shared" si="225"/>
        <v>0</v>
      </c>
      <c r="T192" s="97">
        <f t="shared" si="225"/>
        <v>0</v>
      </c>
      <c r="U192" s="97">
        <f t="shared" si="225"/>
        <v>0</v>
      </c>
      <c r="V192" s="97">
        <f t="shared" si="225"/>
        <v>0</v>
      </c>
      <c r="W192" s="97">
        <f t="shared" ref="W192" si="226">IF(W40=0,0,W40/W10*1000)</f>
        <v>0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0</v>
      </c>
      <c r="C193" s="97">
        <f t="shared" si="227"/>
        <v>0</v>
      </c>
      <c r="D193" s="97">
        <f t="shared" si="227"/>
        <v>0</v>
      </c>
      <c r="E193" s="97">
        <f t="shared" si="227"/>
        <v>0</v>
      </c>
      <c r="F193" s="97">
        <f t="shared" si="227"/>
        <v>0</v>
      </c>
      <c r="G193" s="97">
        <f t="shared" si="227"/>
        <v>0</v>
      </c>
      <c r="H193" s="97">
        <f t="shared" si="227"/>
        <v>0</v>
      </c>
      <c r="I193" s="97">
        <f t="shared" si="227"/>
        <v>0</v>
      </c>
      <c r="J193" s="97">
        <f t="shared" si="227"/>
        <v>0</v>
      </c>
      <c r="K193" s="97">
        <f t="shared" si="227"/>
        <v>0</v>
      </c>
      <c r="L193" s="97">
        <f t="shared" si="227"/>
        <v>0</v>
      </c>
      <c r="M193" s="97">
        <f t="shared" si="227"/>
        <v>0</v>
      </c>
      <c r="N193" s="97">
        <f t="shared" si="227"/>
        <v>0</v>
      </c>
      <c r="O193" s="97">
        <f t="shared" si="227"/>
        <v>0</v>
      </c>
      <c r="P193" s="97">
        <f t="shared" si="227"/>
        <v>0</v>
      </c>
      <c r="Q193" s="97">
        <f t="shared" si="227"/>
        <v>0</v>
      </c>
      <c r="R193" s="97">
        <f t="shared" si="227"/>
        <v>0</v>
      </c>
      <c r="S193" s="97">
        <f t="shared" si="227"/>
        <v>0</v>
      </c>
      <c r="T193" s="97">
        <f t="shared" si="227"/>
        <v>0</v>
      </c>
      <c r="U193" s="97">
        <f t="shared" si="227"/>
        <v>0</v>
      </c>
      <c r="V193" s="97">
        <f t="shared" si="227"/>
        <v>0</v>
      </c>
      <c r="W193" s="97">
        <f t="shared" ref="W193" si="228">IF(W41=0,0,W41/W11*1000)</f>
        <v>0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0</v>
      </c>
      <c r="C194" s="97">
        <f t="shared" si="229"/>
        <v>0</v>
      </c>
      <c r="D194" s="97">
        <f t="shared" si="229"/>
        <v>0</v>
      </c>
      <c r="E194" s="97">
        <f t="shared" si="229"/>
        <v>0</v>
      </c>
      <c r="F194" s="97">
        <f t="shared" si="229"/>
        <v>0</v>
      </c>
      <c r="G194" s="97">
        <f t="shared" si="229"/>
        <v>0</v>
      </c>
      <c r="H194" s="97">
        <f t="shared" si="229"/>
        <v>0</v>
      </c>
      <c r="I194" s="97">
        <f t="shared" si="229"/>
        <v>0</v>
      </c>
      <c r="J194" s="97">
        <f t="shared" si="229"/>
        <v>0</v>
      </c>
      <c r="K194" s="97">
        <f t="shared" si="229"/>
        <v>0</v>
      </c>
      <c r="L194" s="97">
        <f t="shared" si="229"/>
        <v>0</v>
      </c>
      <c r="M194" s="97">
        <f t="shared" si="229"/>
        <v>0</v>
      </c>
      <c r="N194" s="97">
        <f t="shared" si="229"/>
        <v>0</v>
      </c>
      <c r="O194" s="97">
        <f t="shared" si="229"/>
        <v>0</v>
      </c>
      <c r="P194" s="97">
        <f t="shared" si="229"/>
        <v>0</v>
      </c>
      <c r="Q194" s="97">
        <f t="shared" si="229"/>
        <v>0</v>
      </c>
      <c r="R194" s="97">
        <f t="shared" si="229"/>
        <v>0</v>
      </c>
      <c r="S194" s="97">
        <f t="shared" si="229"/>
        <v>0</v>
      </c>
      <c r="T194" s="97">
        <f t="shared" si="229"/>
        <v>0</v>
      </c>
      <c r="U194" s="97">
        <f t="shared" si="229"/>
        <v>0</v>
      </c>
      <c r="V194" s="97">
        <f t="shared" si="229"/>
        <v>0</v>
      </c>
      <c r="W194" s="97">
        <f t="shared" ref="W194" si="230">IF(W42=0,0,W42/W12*1000)</f>
        <v>0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30.300385869403023</v>
      </c>
      <c r="C195" s="130">
        <f t="shared" si="231"/>
        <v>31.073825670625482</v>
      </c>
      <c r="D195" s="130">
        <f t="shared" si="231"/>
        <v>37.310349795953648</v>
      </c>
      <c r="E195" s="130">
        <f t="shared" si="231"/>
        <v>38.148062835227293</v>
      </c>
      <c r="F195" s="130">
        <f t="shared" si="231"/>
        <v>34.507504340684505</v>
      </c>
      <c r="G195" s="130">
        <f t="shared" si="231"/>
        <v>32.203335894957462</v>
      </c>
      <c r="H195" s="130">
        <f t="shared" si="231"/>
        <v>32.985561928914102</v>
      </c>
      <c r="I195" s="130">
        <f t="shared" si="231"/>
        <v>31.813732035226124</v>
      </c>
      <c r="J195" s="130">
        <f t="shared" si="231"/>
        <v>30.556972595584622</v>
      </c>
      <c r="K195" s="130">
        <f t="shared" si="231"/>
        <v>30.577785216778061</v>
      </c>
      <c r="L195" s="130">
        <f t="shared" si="231"/>
        <v>30.438097733294544</v>
      </c>
      <c r="M195" s="130">
        <f t="shared" si="231"/>
        <v>32.325582159937582</v>
      </c>
      <c r="N195" s="130">
        <f t="shared" si="231"/>
        <v>29.037296288346901</v>
      </c>
      <c r="O195" s="130">
        <f t="shared" si="231"/>
        <v>25.796243172946802</v>
      </c>
      <c r="P195" s="130">
        <f t="shared" si="231"/>
        <v>25.154053933974367</v>
      </c>
      <c r="Q195" s="130">
        <f t="shared" si="231"/>
        <v>25.512639471727365</v>
      </c>
      <c r="R195" s="130">
        <f t="shared" si="231"/>
        <v>24.065981434196772</v>
      </c>
      <c r="S195" s="130">
        <f t="shared" si="231"/>
        <v>24.540473136988204</v>
      </c>
      <c r="T195" s="130">
        <f t="shared" si="231"/>
        <v>23.959800055272208</v>
      </c>
      <c r="U195" s="130">
        <f t="shared" si="231"/>
        <v>22.398494825641361</v>
      </c>
      <c r="V195" s="130">
        <f t="shared" si="231"/>
        <v>34.934587632523922</v>
      </c>
      <c r="W195" s="130">
        <f t="shared" ref="W195" si="232">IF(W43=0,0,W43/W13*1000)</f>
        <v>26.770214174555807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0</v>
      </c>
      <c r="C196" s="97">
        <f t="shared" si="233"/>
        <v>0</v>
      </c>
      <c r="D196" s="97">
        <f t="shared" si="233"/>
        <v>0</v>
      </c>
      <c r="E196" s="97">
        <f t="shared" si="233"/>
        <v>0</v>
      </c>
      <c r="F196" s="97">
        <f t="shared" si="233"/>
        <v>0</v>
      </c>
      <c r="G196" s="97">
        <f t="shared" si="233"/>
        <v>0</v>
      </c>
      <c r="H196" s="97">
        <f t="shared" si="233"/>
        <v>0</v>
      </c>
      <c r="I196" s="97">
        <f t="shared" si="233"/>
        <v>0</v>
      </c>
      <c r="J196" s="97">
        <f t="shared" si="233"/>
        <v>0</v>
      </c>
      <c r="K196" s="97">
        <f t="shared" si="233"/>
        <v>0</v>
      </c>
      <c r="L196" s="97">
        <f t="shared" si="233"/>
        <v>0</v>
      </c>
      <c r="M196" s="97">
        <f t="shared" si="233"/>
        <v>0</v>
      </c>
      <c r="N196" s="97">
        <f t="shared" si="233"/>
        <v>0</v>
      </c>
      <c r="O196" s="97">
        <f t="shared" si="233"/>
        <v>0</v>
      </c>
      <c r="P196" s="97">
        <f t="shared" si="233"/>
        <v>0</v>
      </c>
      <c r="Q196" s="97">
        <f t="shared" si="233"/>
        <v>0</v>
      </c>
      <c r="R196" s="97">
        <f t="shared" si="233"/>
        <v>0</v>
      </c>
      <c r="S196" s="97">
        <f t="shared" si="233"/>
        <v>0</v>
      </c>
      <c r="T196" s="97">
        <f t="shared" si="233"/>
        <v>0</v>
      </c>
      <c r="U196" s="97">
        <f t="shared" si="233"/>
        <v>0</v>
      </c>
      <c r="V196" s="97">
        <f t="shared" si="233"/>
        <v>0</v>
      </c>
      <c r="W196" s="97">
        <f t="shared" ref="W196" si="234">IF(W44=0,0,W44/W14*1000)</f>
        <v>0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28.092672745725615</v>
      </c>
      <c r="C197" s="97">
        <f t="shared" si="235"/>
        <v>28.904046004982252</v>
      </c>
      <c r="D197" s="97">
        <f t="shared" si="235"/>
        <v>34.297905537586978</v>
      </c>
      <c r="E197" s="97">
        <f t="shared" si="235"/>
        <v>35.281052775607414</v>
      </c>
      <c r="F197" s="97">
        <f t="shared" si="235"/>
        <v>32.555805820497383</v>
      </c>
      <c r="G197" s="97">
        <f t="shared" si="235"/>
        <v>30.291871996245856</v>
      </c>
      <c r="H197" s="97">
        <f t="shared" si="235"/>
        <v>31.536978303716019</v>
      </c>
      <c r="I197" s="97">
        <f t="shared" si="235"/>
        <v>30.734255079966466</v>
      </c>
      <c r="J197" s="97">
        <f t="shared" si="235"/>
        <v>29.755136444156914</v>
      </c>
      <c r="K197" s="97">
        <f t="shared" si="235"/>
        <v>29.441044621584126</v>
      </c>
      <c r="L197" s="97">
        <f t="shared" si="235"/>
        <v>29.925965552854844</v>
      </c>
      <c r="M197" s="97">
        <f t="shared" si="235"/>
        <v>32.714810088505835</v>
      </c>
      <c r="N197" s="97">
        <f t="shared" si="235"/>
        <v>31.047602346522549</v>
      </c>
      <c r="O197" s="97">
        <f t="shared" si="235"/>
        <v>30.198012446403233</v>
      </c>
      <c r="P197" s="97">
        <f t="shared" si="235"/>
        <v>30.044181860810074</v>
      </c>
      <c r="Q197" s="97">
        <f t="shared" si="235"/>
        <v>29.755322513491599</v>
      </c>
      <c r="R197" s="97">
        <f t="shared" si="235"/>
        <v>30.306893117991372</v>
      </c>
      <c r="S197" s="97">
        <f t="shared" si="235"/>
        <v>30.079859988548783</v>
      </c>
      <c r="T197" s="97">
        <f t="shared" si="235"/>
        <v>28.872468056598631</v>
      </c>
      <c r="U197" s="97">
        <f t="shared" si="235"/>
        <v>26.665083359195737</v>
      </c>
      <c r="V197" s="97">
        <f t="shared" si="235"/>
        <v>30.399494926583483</v>
      </c>
      <c r="W197" s="97">
        <f t="shared" ref="W197" si="236">IF(W45=0,0,W45/W15*1000)</f>
        <v>33.402197366400735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55.210589205369736</v>
      </c>
      <c r="C198" s="97">
        <f t="shared" si="237"/>
        <v>54.610201492656962</v>
      </c>
      <c r="D198" s="97">
        <f t="shared" si="237"/>
        <v>61.356668273655288</v>
      </c>
      <c r="E198" s="97">
        <f t="shared" si="237"/>
        <v>59.849008348734564</v>
      </c>
      <c r="F198" s="97">
        <f t="shared" si="237"/>
        <v>51.242110826527686</v>
      </c>
      <c r="G198" s="97">
        <f t="shared" si="237"/>
        <v>50.522089481851296</v>
      </c>
      <c r="H198" s="97">
        <f t="shared" si="237"/>
        <v>44.895108664791536</v>
      </c>
      <c r="I198" s="97">
        <f t="shared" si="237"/>
        <v>39.964603231623741</v>
      </c>
      <c r="J198" s="97">
        <f t="shared" si="237"/>
        <v>36.139019742510179</v>
      </c>
      <c r="K198" s="97">
        <f t="shared" si="237"/>
        <v>38.631493481438667</v>
      </c>
      <c r="L198" s="97">
        <f t="shared" si="237"/>
        <v>33.406002054692351</v>
      </c>
      <c r="M198" s="97">
        <f t="shared" si="237"/>
        <v>30.412563823032059</v>
      </c>
      <c r="N198" s="97">
        <f t="shared" si="237"/>
        <v>22.016039457473017</v>
      </c>
      <c r="O198" s="97">
        <f t="shared" si="237"/>
        <v>15.340570486929595</v>
      </c>
      <c r="P198" s="97">
        <f t="shared" si="237"/>
        <v>14.361794606189326</v>
      </c>
      <c r="Q198" s="97">
        <f t="shared" si="237"/>
        <v>15.319889640028599</v>
      </c>
      <c r="R198" s="97">
        <f t="shared" si="237"/>
        <v>11.702738144773962</v>
      </c>
      <c r="S198" s="97">
        <f t="shared" si="237"/>
        <v>12.162939640999701</v>
      </c>
      <c r="T198" s="97">
        <f t="shared" si="237"/>
        <v>12.518652666064215</v>
      </c>
      <c r="U198" s="97">
        <f t="shared" si="237"/>
        <v>12.286352545609864</v>
      </c>
      <c r="V198" s="97">
        <f t="shared" si="237"/>
        <v>60.354255993694053</v>
      </c>
      <c r="W198" s="97">
        <f t="shared" ref="W198" si="238">IF(W46=0,0,W46/W16*1000)</f>
        <v>16.019564497574489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157.91129167890739</v>
      </c>
      <c r="C199" s="32">
        <f t="shared" si="239"/>
        <v>156.49894770163735</v>
      </c>
      <c r="D199" s="32">
        <f t="shared" si="239"/>
        <v>151.56628944576758</v>
      </c>
      <c r="E199" s="32">
        <f t="shared" si="239"/>
        <v>146.48037379734154</v>
      </c>
      <c r="F199" s="32">
        <f t="shared" si="239"/>
        <v>173.84200407655538</v>
      </c>
      <c r="G199" s="32">
        <f t="shared" si="239"/>
        <v>144.84813641354302</v>
      </c>
      <c r="H199" s="32">
        <f t="shared" si="239"/>
        <v>153.91063192376126</v>
      </c>
      <c r="I199" s="32">
        <f t="shared" si="239"/>
        <v>152.85019969891837</v>
      </c>
      <c r="J199" s="32">
        <f t="shared" si="239"/>
        <v>144.38358161422414</v>
      </c>
      <c r="K199" s="32">
        <f t="shared" si="239"/>
        <v>175.11993160548721</v>
      </c>
      <c r="L199" s="32">
        <f t="shared" si="239"/>
        <v>162.27737340674668</v>
      </c>
      <c r="M199" s="32">
        <f t="shared" si="239"/>
        <v>171.51146310300396</v>
      </c>
      <c r="N199" s="32">
        <f t="shared" si="239"/>
        <v>154.63498934638136</v>
      </c>
      <c r="O199" s="32">
        <f t="shared" si="239"/>
        <v>168.82296834195679</v>
      </c>
      <c r="P199" s="32">
        <f t="shared" si="239"/>
        <v>174.1544838433193</v>
      </c>
      <c r="Q199" s="32">
        <f t="shared" si="239"/>
        <v>173.56523424904609</v>
      </c>
      <c r="R199" s="32">
        <f t="shared" si="239"/>
        <v>159.63189546950281</v>
      </c>
      <c r="S199" s="32">
        <f t="shared" si="239"/>
        <v>148.86959661918169</v>
      </c>
      <c r="T199" s="32">
        <f t="shared" si="239"/>
        <v>141.30770605591084</v>
      </c>
      <c r="U199" s="32">
        <f t="shared" si="239"/>
        <v>143.37367402748669</v>
      </c>
      <c r="V199" s="32">
        <f t="shared" si="239"/>
        <v>165.27729963543953</v>
      </c>
      <c r="W199" s="32">
        <f t="shared" ref="W199" si="240">IF(W47=0,0,W47/W17*1000)</f>
        <v>164.42780501630156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156.05643427306904</v>
      </c>
      <c r="C200" s="141">
        <f t="shared" si="241"/>
        <v>155.36266351380081</v>
      </c>
      <c r="D200" s="141">
        <f t="shared" si="241"/>
        <v>149.30674844799645</v>
      </c>
      <c r="E200" s="141">
        <f t="shared" si="241"/>
        <v>144.22721990933189</v>
      </c>
      <c r="F200" s="141">
        <f t="shared" si="241"/>
        <v>170.839926812405</v>
      </c>
      <c r="G200" s="141">
        <f t="shared" si="241"/>
        <v>141.31876346146046</v>
      </c>
      <c r="H200" s="141">
        <f t="shared" si="241"/>
        <v>149.14551601915173</v>
      </c>
      <c r="I200" s="141">
        <f t="shared" si="241"/>
        <v>149.247284177019</v>
      </c>
      <c r="J200" s="141">
        <f t="shared" si="241"/>
        <v>140.99364541926855</v>
      </c>
      <c r="K200" s="141">
        <f t="shared" si="241"/>
        <v>172.89018304583036</v>
      </c>
      <c r="L200" s="141">
        <f t="shared" si="241"/>
        <v>160.39235540925259</v>
      </c>
      <c r="M200" s="141">
        <f t="shared" si="241"/>
        <v>169.681782976379</v>
      </c>
      <c r="N200" s="141">
        <f t="shared" si="241"/>
        <v>152.94602211373012</v>
      </c>
      <c r="O200" s="141">
        <f t="shared" si="241"/>
        <v>167.75655589358718</v>
      </c>
      <c r="P200" s="141">
        <f t="shared" si="241"/>
        <v>174.0903284621217</v>
      </c>
      <c r="Q200" s="141">
        <f t="shared" si="241"/>
        <v>173.30282186611788</v>
      </c>
      <c r="R200" s="141">
        <f t="shared" si="241"/>
        <v>159.52561905892881</v>
      </c>
      <c r="S200" s="141">
        <f t="shared" si="241"/>
        <v>148.84874827113347</v>
      </c>
      <c r="T200" s="141">
        <f t="shared" si="241"/>
        <v>141.50252481318964</v>
      </c>
      <c r="U200" s="141">
        <f t="shared" si="241"/>
        <v>145.04925123785202</v>
      </c>
      <c r="V200" s="141">
        <f t="shared" si="241"/>
        <v>166.36101066607472</v>
      </c>
      <c r="W200" s="141">
        <f t="shared" ref="W200" si="242">IF(W48=0,0,W48/W18*1000)</f>
        <v>166.17572885557249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1083.3606126425789</v>
      </c>
      <c r="C201" s="97">
        <f t="shared" si="243"/>
        <v>1064.7193687235092</v>
      </c>
      <c r="D201" s="97">
        <f t="shared" si="243"/>
        <v>996.05200524335442</v>
      </c>
      <c r="E201" s="97">
        <f t="shared" si="243"/>
        <v>988.89032800514997</v>
      </c>
      <c r="F201" s="97">
        <f t="shared" si="243"/>
        <v>1050.5609664777303</v>
      </c>
      <c r="G201" s="97">
        <f t="shared" si="243"/>
        <v>967.56165881363029</v>
      </c>
      <c r="H201" s="97">
        <f t="shared" si="243"/>
        <v>945.56128293083225</v>
      </c>
      <c r="I201" s="97">
        <f t="shared" si="243"/>
        <v>970.05611032471199</v>
      </c>
      <c r="J201" s="97">
        <f t="shared" si="243"/>
        <v>931.40055726236722</v>
      </c>
      <c r="K201" s="97">
        <f t="shared" si="243"/>
        <v>957.18701283247901</v>
      </c>
      <c r="L201" s="97">
        <f t="shared" si="243"/>
        <v>957.04771242910101</v>
      </c>
      <c r="M201" s="97">
        <f t="shared" si="243"/>
        <v>913.200870304354</v>
      </c>
      <c r="N201" s="97">
        <f t="shared" si="243"/>
        <v>792.43808458152796</v>
      </c>
      <c r="O201" s="97">
        <f t="shared" si="243"/>
        <v>700.7396779986384</v>
      </c>
      <c r="P201" s="97">
        <f t="shared" si="243"/>
        <v>673.40315687412476</v>
      </c>
      <c r="Q201" s="97">
        <f t="shared" si="243"/>
        <v>698.46753781978475</v>
      </c>
      <c r="R201" s="97">
        <f t="shared" si="243"/>
        <v>704.96145780530821</v>
      </c>
      <c r="S201" s="97">
        <f t="shared" si="243"/>
        <v>705.90671877133047</v>
      </c>
      <c r="T201" s="97">
        <f t="shared" si="243"/>
        <v>680.4101263773349</v>
      </c>
      <c r="U201" s="97">
        <f t="shared" si="243"/>
        <v>668.37889914138043</v>
      </c>
      <c r="V201" s="97">
        <f t="shared" si="243"/>
        <v>693.99142944519872</v>
      </c>
      <c r="W201" s="97">
        <f t="shared" ref="W201" si="244">IF(W49=0,0,W49/W19*1000)</f>
        <v>723.6207509189943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37.027565282903623</v>
      </c>
      <c r="C202" s="97">
        <f t="shared" si="245"/>
        <v>37.012577226157347</v>
      </c>
      <c r="D202" s="97">
        <f t="shared" si="245"/>
        <v>34.90900078519725</v>
      </c>
      <c r="E202" s="97">
        <f t="shared" si="245"/>
        <v>35.655159352516975</v>
      </c>
      <c r="F202" s="97">
        <f t="shared" si="245"/>
        <v>39.040840570602846</v>
      </c>
      <c r="G202" s="97">
        <f t="shared" si="245"/>
        <v>37.332809266718762</v>
      </c>
      <c r="H202" s="97">
        <f t="shared" si="245"/>
        <v>36.519096388859445</v>
      </c>
      <c r="I202" s="97">
        <f t="shared" si="245"/>
        <v>38.062967767241901</v>
      </c>
      <c r="J202" s="97">
        <f t="shared" si="245"/>
        <v>37.481827851277011</v>
      </c>
      <c r="K202" s="97">
        <f t="shared" si="245"/>
        <v>40.766223408257012</v>
      </c>
      <c r="L202" s="97">
        <f t="shared" si="245"/>
        <v>41.111851158478252</v>
      </c>
      <c r="M202" s="97">
        <f t="shared" si="245"/>
        <v>39.875489114015977</v>
      </c>
      <c r="N202" s="97">
        <f t="shared" si="245"/>
        <v>34.679986821518838</v>
      </c>
      <c r="O202" s="97">
        <f t="shared" si="245"/>
        <v>32.717034498425768</v>
      </c>
      <c r="P202" s="97">
        <f t="shared" si="245"/>
        <v>32.784643327401362</v>
      </c>
      <c r="Q202" s="97">
        <f t="shared" si="245"/>
        <v>32.284651798127207</v>
      </c>
      <c r="R202" s="97">
        <f t="shared" si="245"/>
        <v>35.155640533324011</v>
      </c>
      <c r="S202" s="97">
        <f t="shared" si="245"/>
        <v>35.194411156650268</v>
      </c>
      <c r="T202" s="97">
        <f t="shared" si="245"/>
        <v>34.109347456216938</v>
      </c>
      <c r="U202" s="97">
        <f t="shared" si="245"/>
        <v>37.115541853675197</v>
      </c>
      <c r="V202" s="97">
        <f t="shared" si="245"/>
        <v>34.812061255335436</v>
      </c>
      <c r="W202" s="97">
        <f t="shared" ref="W202" si="246">IF(W50=0,0,W50/W20*1000)</f>
        <v>34.56338259123546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0</v>
      </c>
      <c r="C203" s="130">
        <f t="shared" si="247"/>
        <v>0</v>
      </c>
      <c r="D203" s="130">
        <f t="shared" si="247"/>
        <v>0</v>
      </c>
      <c r="E203" s="130">
        <f t="shared" si="247"/>
        <v>0</v>
      </c>
      <c r="F203" s="130">
        <f t="shared" si="247"/>
        <v>0</v>
      </c>
      <c r="G203" s="130">
        <f t="shared" si="247"/>
        <v>0</v>
      </c>
      <c r="H203" s="130">
        <f t="shared" si="247"/>
        <v>0</v>
      </c>
      <c r="I203" s="130">
        <f t="shared" si="247"/>
        <v>0</v>
      </c>
      <c r="J203" s="130">
        <f t="shared" si="247"/>
        <v>0</v>
      </c>
      <c r="K203" s="130">
        <f t="shared" si="247"/>
        <v>0</v>
      </c>
      <c r="L203" s="130">
        <f t="shared" si="247"/>
        <v>0</v>
      </c>
      <c r="M203" s="130">
        <f t="shared" si="247"/>
        <v>0</v>
      </c>
      <c r="N203" s="130">
        <f t="shared" si="247"/>
        <v>0</v>
      </c>
      <c r="O203" s="130">
        <f t="shared" si="247"/>
        <v>0</v>
      </c>
      <c r="P203" s="130">
        <f t="shared" si="247"/>
        <v>0</v>
      </c>
      <c r="Q203" s="130">
        <f t="shared" si="247"/>
        <v>0</v>
      </c>
      <c r="R203" s="130">
        <f t="shared" si="247"/>
        <v>0</v>
      </c>
      <c r="S203" s="130">
        <f t="shared" si="247"/>
        <v>0</v>
      </c>
      <c r="T203" s="130">
        <f t="shared" si="247"/>
        <v>0</v>
      </c>
      <c r="U203" s="130">
        <f t="shared" si="247"/>
        <v>0</v>
      </c>
      <c r="V203" s="130">
        <f t="shared" si="247"/>
        <v>0</v>
      </c>
      <c r="W203" s="130">
        <f t="shared" ref="W203" si="248">IF(W51=0,0,W51/W21*1000)</f>
        <v>0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221.77772040406271</v>
      </c>
      <c r="C204" s="130">
        <f t="shared" si="249"/>
        <v>197.15980198166966</v>
      </c>
      <c r="D204" s="130">
        <f t="shared" si="249"/>
        <v>239.68136337896385</v>
      </c>
      <c r="E204" s="130">
        <f t="shared" si="249"/>
        <v>245.54010692522874</v>
      </c>
      <c r="F204" s="130">
        <f t="shared" si="249"/>
        <v>269.56726192761653</v>
      </c>
      <c r="G204" s="130">
        <f t="shared" si="249"/>
        <v>265.58041612397159</v>
      </c>
      <c r="H204" s="130">
        <f t="shared" si="249"/>
        <v>279.11091037239339</v>
      </c>
      <c r="I204" s="130">
        <f t="shared" si="249"/>
        <v>255.69129886073222</v>
      </c>
      <c r="J204" s="130">
        <f t="shared" si="249"/>
        <v>246.53991620092171</v>
      </c>
      <c r="K204" s="130">
        <f t="shared" si="249"/>
        <v>228.22404948007022</v>
      </c>
      <c r="L204" s="130">
        <f t="shared" si="249"/>
        <v>211.86258451859683</v>
      </c>
      <c r="M204" s="130">
        <f t="shared" si="249"/>
        <v>232.52129894706991</v>
      </c>
      <c r="N204" s="130">
        <f t="shared" si="249"/>
        <v>226.43685395595722</v>
      </c>
      <c r="O204" s="130">
        <f t="shared" si="249"/>
        <v>202.41600831220637</v>
      </c>
      <c r="P204" s="130">
        <f t="shared" si="249"/>
        <v>175.96688283157934</v>
      </c>
      <c r="Q204" s="130">
        <f t="shared" si="249"/>
        <v>181.91893125189202</v>
      </c>
      <c r="R204" s="130">
        <f t="shared" si="249"/>
        <v>164.0446352293533</v>
      </c>
      <c r="S204" s="130">
        <f t="shared" si="249"/>
        <v>188.79406139565751</v>
      </c>
      <c r="T204" s="130">
        <f t="shared" si="249"/>
        <v>167.5470727649944</v>
      </c>
      <c r="U204" s="130">
        <f t="shared" si="249"/>
        <v>106.46322314981389</v>
      </c>
      <c r="V204" s="130">
        <f t="shared" si="249"/>
        <v>140.47518168431404</v>
      </c>
      <c r="W204" s="130">
        <f t="shared" ref="W204" si="250">IF(W52=0,0,W52/W22*1000)</f>
        <v>136.16562169508393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0</v>
      </c>
      <c r="C205" s="97">
        <f t="shared" si="251"/>
        <v>0</v>
      </c>
      <c r="D205" s="97">
        <f t="shared" si="251"/>
        <v>0</v>
      </c>
      <c r="E205" s="97">
        <f t="shared" si="251"/>
        <v>0</v>
      </c>
      <c r="F205" s="97">
        <f t="shared" si="251"/>
        <v>0</v>
      </c>
      <c r="G205" s="97">
        <f t="shared" si="251"/>
        <v>0</v>
      </c>
      <c r="H205" s="97">
        <f t="shared" si="251"/>
        <v>0</v>
      </c>
      <c r="I205" s="97">
        <f t="shared" si="251"/>
        <v>0</v>
      </c>
      <c r="J205" s="97">
        <f t="shared" si="251"/>
        <v>0</v>
      </c>
      <c r="K205" s="97">
        <f t="shared" si="251"/>
        <v>0</v>
      </c>
      <c r="L205" s="97">
        <f t="shared" si="251"/>
        <v>0</v>
      </c>
      <c r="M205" s="97">
        <f t="shared" si="251"/>
        <v>0</v>
      </c>
      <c r="N205" s="97">
        <f t="shared" si="251"/>
        <v>0</v>
      </c>
      <c r="O205" s="97">
        <f t="shared" si="251"/>
        <v>0</v>
      </c>
      <c r="P205" s="97">
        <f t="shared" si="251"/>
        <v>0</v>
      </c>
      <c r="Q205" s="97">
        <f t="shared" si="251"/>
        <v>0</v>
      </c>
      <c r="R205" s="97">
        <f t="shared" si="251"/>
        <v>0</v>
      </c>
      <c r="S205" s="97">
        <f t="shared" si="251"/>
        <v>0</v>
      </c>
      <c r="T205" s="97">
        <f t="shared" si="251"/>
        <v>0</v>
      </c>
      <c r="U205" s="97">
        <f t="shared" si="251"/>
        <v>0</v>
      </c>
      <c r="V205" s="97">
        <f t="shared" si="251"/>
        <v>0</v>
      </c>
      <c r="W205" s="97">
        <f t="shared" ref="W205" si="252">IF(W53=0,0,W53/W23*1000)</f>
        <v>0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269.19491634507636</v>
      </c>
      <c r="C206" s="97">
        <f t="shared" si="253"/>
        <v>240.14888367630573</v>
      </c>
      <c r="D206" s="97">
        <f t="shared" si="253"/>
        <v>290.16292999926736</v>
      </c>
      <c r="E206" s="97">
        <f t="shared" si="253"/>
        <v>293.26122739990785</v>
      </c>
      <c r="F206" s="97">
        <f t="shared" si="253"/>
        <v>322.52167009377138</v>
      </c>
      <c r="G206" s="97">
        <f t="shared" si="253"/>
        <v>306.18711721847478</v>
      </c>
      <c r="H206" s="97">
        <f t="shared" si="253"/>
        <v>336.25349218855968</v>
      </c>
      <c r="I206" s="97">
        <f t="shared" si="253"/>
        <v>315.72115225385789</v>
      </c>
      <c r="J206" s="97">
        <f t="shared" si="253"/>
        <v>313.58610838320521</v>
      </c>
      <c r="K206" s="97">
        <f t="shared" si="253"/>
        <v>292.58408319996829</v>
      </c>
      <c r="L206" s="97">
        <f t="shared" si="253"/>
        <v>270.36778583964133</v>
      </c>
      <c r="M206" s="97">
        <f t="shared" si="253"/>
        <v>294.57584049808838</v>
      </c>
      <c r="N206" s="97">
        <f t="shared" si="253"/>
        <v>259.0969385521301</v>
      </c>
      <c r="O206" s="97">
        <f t="shared" si="253"/>
        <v>250.51054247152922</v>
      </c>
      <c r="P206" s="97">
        <f t="shared" si="253"/>
        <v>224.47967562095823</v>
      </c>
      <c r="Q206" s="97">
        <f t="shared" si="253"/>
        <v>235.59263915508049</v>
      </c>
      <c r="R206" s="97">
        <f t="shared" si="253"/>
        <v>213.90992138957409</v>
      </c>
      <c r="S206" s="97">
        <f t="shared" si="253"/>
        <v>230.00786063219823</v>
      </c>
      <c r="T206" s="97">
        <f t="shared" si="253"/>
        <v>219.10545162884387</v>
      </c>
      <c r="U206" s="97">
        <f t="shared" si="253"/>
        <v>180.61507344382883</v>
      </c>
      <c r="V206" s="97">
        <f t="shared" si="253"/>
        <v>170.95599971603258</v>
      </c>
      <c r="W206" s="97">
        <f t="shared" ref="W206" si="254">IF(W54=0,0,W54/W24*1000)</f>
        <v>212.13226127383601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48.421203139536942</v>
      </c>
      <c r="C207" s="97">
        <f t="shared" si="255"/>
        <v>46.588970414500686</v>
      </c>
      <c r="D207" s="97">
        <f t="shared" si="255"/>
        <v>56.475471593145429</v>
      </c>
      <c r="E207" s="97">
        <f t="shared" si="255"/>
        <v>62.26469225951552</v>
      </c>
      <c r="F207" s="97">
        <f t="shared" si="255"/>
        <v>62.915340260287905</v>
      </c>
      <c r="G207" s="97">
        <f t="shared" si="255"/>
        <v>63.184699757896048</v>
      </c>
      <c r="H207" s="97">
        <f t="shared" si="255"/>
        <v>44.995701418642682</v>
      </c>
      <c r="I207" s="97">
        <f t="shared" si="255"/>
        <v>39.558601042673466</v>
      </c>
      <c r="J207" s="97">
        <f t="shared" si="255"/>
        <v>40.030140714398634</v>
      </c>
      <c r="K207" s="97">
        <f t="shared" si="255"/>
        <v>47.036158429406946</v>
      </c>
      <c r="L207" s="97">
        <f t="shared" si="255"/>
        <v>56.318366939014744</v>
      </c>
      <c r="M207" s="97">
        <f t="shared" si="255"/>
        <v>41.069135947235765</v>
      </c>
      <c r="N207" s="97">
        <f t="shared" si="255"/>
        <v>44.252029578178814</v>
      </c>
      <c r="O207" s="97">
        <f t="shared" si="255"/>
        <v>32.328307845594779</v>
      </c>
      <c r="P207" s="97">
        <f t="shared" si="255"/>
        <v>23.037065829732413</v>
      </c>
      <c r="Q207" s="97">
        <f t="shared" si="255"/>
        <v>26.561065721266978</v>
      </c>
      <c r="R207" s="97">
        <f t="shared" si="255"/>
        <v>18.221583913677392</v>
      </c>
      <c r="S207" s="97">
        <f t="shared" si="255"/>
        <v>27.302611353117104</v>
      </c>
      <c r="T207" s="97">
        <f t="shared" si="255"/>
        <v>22.83280447275693</v>
      </c>
      <c r="U207" s="97">
        <f t="shared" si="255"/>
        <v>22.948486188929309</v>
      </c>
      <c r="V207" s="97">
        <f t="shared" si="255"/>
        <v>92.445695588232994</v>
      </c>
      <c r="W207" s="97">
        <f t="shared" ref="W207" si="256">IF(W55=0,0,W55/W25*1000)</f>
        <v>38.028719097781959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0</v>
      </c>
      <c r="C208" s="130">
        <f t="shared" si="257"/>
        <v>0</v>
      </c>
      <c r="D208" s="130">
        <f t="shared" si="257"/>
        <v>0</v>
      </c>
      <c r="E208" s="130">
        <f t="shared" si="257"/>
        <v>0</v>
      </c>
      <c r="F208" s="130">
        <f t="shared" si="257"/>
        <v>0</v>
      </c>
      <c r="G208" s="130">
        <f t="shared" si="257"/>
        <v>0</v>
      </c>
      <c r="H208" s="130">
        <f t="shared" si="257"/>
        <v>0</v>
      </c>
      <c r="I208" s="130">
        <f t="shared" si="257"/>
        <v>0</v>
      </c>
      <c r="J208" s="130">
        <f t="shared" si="257"/>
        <v>0</v>
      </c>
      <c r="K208" s="130">
        <f t="shared" si="257"/>
        <v>0</v>
      </c>
      <c r="L208" s="130">
        <f t="shared" si="257"/>
        <v>0</v>
      </c>
      <c r="M208" s="130">
        <f t="shared" si="257"/>
        <v>0</v>
      </c>
      <c r="N208" s="130">
        <f t="shared" si="257"/>
        <v>0</v>
      </c>
      <c r="O208" s="130">
        <f t="shared" si="257"/>
        <v>0</v>
      </c>
      <c r="P208" s="130">
        <f t="shared" si="257"/>
        <v>0</v>
      </c>
      <c r="Q208" s="130">
        <f t="shared" si="257"/>
        <v>0</v>
      </c>
      <c r="R208" s="130">
        <f t="shared" si="257"/>
        <v>0</v>
      </c>
      <c r="S208" s="130">
        <f t="shared" si="257"/>
        <v>71.789273344340018</v>
      </c>
      <c r="T208" s="130">
        <f t="shared" si="257"/>
        <v>71.158074355082789</v>
      </c>
      <c r="U208" s="130">
        <f t="shared" si="257"/>
        <v>73.068662865147516</v>
      </c>
      <c r="V208" s="130">
        <f t="shared" si="257"/>
        <v>67.338506400146713</v>
      </c>
      <c r="W208" s="130">
        <f t="shared" ref="W208" si="258">IF(W56=0,0,W56/W26*1000)</f>
        <v>73.171115831541059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0</v>
      </c>
      <c r="C209" s="97">
        <f t="shared" si="259"/>
        <v>0</v>
      </c>
      <c r="D209" s="97">
        <f t="shared" si="259"/>
        <v>0</v>
      </c>
      <c r="E209" s="97">
        <f t="shared" si="259"/>
        <v>0</v>
      </c>
      <c r="F209" s="97">
        <f t="shared" si="259"/>
        <v>0</v>
      </c>
      <c r="G209" s="97">
        <f t="shared" si="259"/>
        <v>0</v>
      </c>
      <c r="H209" s="97">
        <f t="shared" si="259"/>
        <v>0</v>
      </c>
      <c r="I209" s="97">
        <f t="shared" si="259"/>
        <v>0</v>
      </c>
      <c r="J209" s="97">
        <f t="shared" si="259"/>
        <v>0</v>
      </c>
      <c r="K209" s="97">
        <f t="shared" si="259"/>
        <v>0</v>
      </c>
      <c r="L209" s="97">
        <f t="shared" si="259"/>
        <v>0</v>
      </c>
      <c r="M209" s="97">
        <f t="shared" si="259"/>
        <v>0</v>
      </c>
      <c r="N209" s="97">
        <f t="shared" si="259"/>
        <v>0</v>
      </c>
      <c r="O209" s="97">
        <f t="shared" si="259"/>
        <v>0</v>
      </c>
      <c r="P209" s="97">
        <f t="shared" si="259"/>
        <v>0</v>
      </c>
      <c r="Q209" s="97">
        <f t="shared" si="259"/>
        <v>0</v>
      </c>
      <c r="R209" s="97">
        <f t="shared" si="259"/>
        <v>0</v>
      </c>
      <c r="S209" s="97">
        <f t="shared" si="259"/>
        <v>71.789273344340018</v>
      </c>
      <c r="T209" s="97">
        <f t="shared" si="259"/>
        <v>71.158074355082789</v>
      </c>
      <c r="U209" s="97">
        <f t="shared" si="259"/>
        <v>73.068662865147516</v>
      </c>
      <c r="V209" s="97">
        <f t="shared" si="259"/>
        <v>67.338506400146713</v>
      </c>
      <c r="W209" s="97">
        <f t="shared" ref="W209" si="260">IF(W57=0,0,W57/W27*1000)</f>
        <v>73.171115831541059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0</v>
      </c>
      <c r="C210" s="98">
        <f t="shared" si="261"/>
        <v>0</v>
      </c>
      <c r="D210" s="98">
        <f t="shared" si="261"/>
        <v>0</v>
      </c>
      <c r="E210" s="98">
        <f t="shared" si="261"/>
        <v>0</v>
      </c>
      <c r="F210" s="98">
        <f t="shared" si="261"/>
        <v>0</v>
      </c>
      <c r="G210" s="98">
        <f t="shared" si="261"/>
        <v>0</v>
      </c>
      <c r="H210" s="98">
        <f t="shared" si="261"/>
        <v>0</v>
      </c>
      <c r="I210" s="98">
        <f t="shared" si="261"/>
        <v>0</v>
      </c>
      <c r="J210" s="98">
        <f t="shared" si="261"/>
        <v>0</v>
      </c>
      <c r="K210" s="98">
        <f t="shared" si="261"/>
        <v>0</v>
      </c>
      <c r="L210" s="98">
        <f t="shared" si="261"/>
        <v>0</v>
      </c>
      <c r="M210" s="98">
        <f t="shared" si="261"/>
        <v>0</v>
      </c>
      <c r="N210" s="98">
        <f t="shared" si="261"/>
        <v>0</v>
      </c>
      <c r="O210" s="98">
        <f t="shared" si="261"/>
        <v>0</v>
      </c>
      <c r="P210" s="98">
        <f t="shared" si="261"/>
        <v>0</v>
      </c>
      <c r="Q210" s="98">
        <f t="shared" si="261"/>
        <v>0</v>
      </c>
      <c r="R210" s="98">
        <f t="shared" si="261"/>
        <v>0</v>
      </c>
      <c r="S210" s="98">
        <f t="shared" si="261"/>
        <v>0</v>
      </c>
      <c r="T210" s="98">
        <f t="shared" si="261"/>
        <v>0</v>
      </c>
      <c r="U210" s="98">
        <f t="shared" si="261"/>
        <v>0</v>
      </c>
      <c r="V210" s="98">
        <f t="shared" si="261"/>
        <v>0</v>
      </c>
      <c r="W210" s="98">
        <f t="shared" ref="W210:W213" si="262">IF(W58=0,0,W58/W28*1000)</f>
        <v>0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40.990788414151432</v>
      </c>
      <c r="C211" s="32">
        <f t="shared" si="263"/>
        <v>42.199465040512237</v>
      </c>
      <c r="D211" s="32">
        <f t="shared" si="263"/>
        <v>41.894932289684135</v>
      </c>
      <c r="E211" s="32">
        <f t="shared" si="263"/>
        <v>48.560653434961992</v>
      </c>
      <c r="F211" s="32">
        <f t="shared" si="263"/>
        <v>16.652589894293577</v>
      </c>
      <c r="G211" s="32">
        <f t="shared" si="263"/>
        <v>67.022407587089617</v>
      </c>
      <c r="H211" s="32">
        <f t="shared" si="263"/>
        <v>64.725156986587251</v>
      </c>
      <c r="I211" s="32">
        <f t="shared" si="263"/>
        <v>39.016254070252096</v>
      </c>
      <c r="J211" s="32">
        <f t="shared" si="263"/>
        <v>36.484269471878775</v>
      </c>
      <c r="K211" s="32">
        <f t="shared" si="263"/>
        <v>46.809964601326485</v>
      </c>
      <c r="L211" s="32">
        <f t="shared" si="263"/>
        <v>38.550184017755321</v>
      </c>
      <c r="M211" s="32">
        <f t="shared" si="263"/>
        <v>24.002831006386984</v>
      </c>
      <c r="N211" s="32">
        <f t="shared" si="263"/>
        <v>19.326917313370942</v>
      </c>
      <c r="O211" s="32">
        <f t="shared" si="263"/>
        <v>24.99133680084816</v>
      </c>
      <c r="P211" s="32">
        <f t="shared" si="263"/>
        <v>22.932190720219779</v>
      </c>
      <c r="Q211" s="32">
        <f t="shared" si="263"/>
        <v>23.276655156782176</v>
      </c>
      <c r="R211" s="32">
        <f t="shared" si="263"/>
        <v>20.221160266819389</v>
      </c>
      <c r="S211" s="32">
        <f t="shared" si="263"/>
        <v>21.949785904539471</v>
      </c>
      <c r="T211" s="32">
        <f t="shared" si="263"/>
        <v>24.211478353193552</v>
      </c>
      <c r="U211" s="32">
        <f t="shared" si="263"/>
        <v>24.499934860961879</v>
      </c>
      <c r="V211" s="32">
        <f t="shared" si="263"/>
        <v>24.863634626925609</v>
      </c>
      <c r="W211" s="32">
        <f t="shared" si="262"/>
        <v>23.461057142378024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30.30893286813264</v>
      </c>
      <c r="C212" s="97">
        <f t="shared" si="264"/>
        <v>31.2594153583163</v>
      </c>
      <c r="D212" s="97">
        <f t="shared" si="264"/>
        <v>31.019561012063612</v>
      </c>
      <c r="E212" s="97">
        <f t="shared" si="264"/>
        <v>35.9927773340955</v>
      </c>
      <c r="F212" s="97">
        <f t="shared" si="264"/>
        <v>12.013513862020945</v>
      </c>
      <c r="G212" s="97">
        <f t="shared" si="264"/>
        <v>68.98327346689392</v>
      </c>
      <c r="H212" s="97">
        <f t="shared" si="264"/>
        <v>63.230166194479295</v>
      </c>
      <c r="I212" s="97">
        <f t="shared" si="264"/>
        <v>58.975481084990967</v>
      </c>
      <c r="J212" s="97">
        <f t="shared" si="264"/>
        <v>41.492214141898437</v>
      </c>
      <c r="K212" s="97">
        <f t="shared" si="264"/>
        <v>43.891387043856994</v>
      </c>
      <c r="L212" s="97">
        <f t="shared" si="264"/>
        <v>41.714202232948828</v>
      </c>
      <c r="M212" s="97">
        <f t="shared" si="264"/>
        <v>20.606274221355839</v>
      </c>
      <c r="N212" s="97">
        <f t="shared" si="264"/>
        <v>17.22445617004351</v>
      </c>
      <c r="O212" s="97">
        <f t="shared" si="264"/>
        <v>22.679273802542099</v>
      </c>
      <c r="P212" s="97">
        <f t="shared" si="264"/>
        <v>21.154051124572991</v>
      </c>
      <c r="Q212" s="97">
        <f t="shared" si="264"/>
        <v>22.074767736840691</v>
      </c>
      <c r="R212" s="97">
        <f t="shared" si="264"/>
        <v>19.198592864005061</v>
      </c>
      <c r="S212" s="97">
        <f t="shared" si="264"/>
        <v>22.036533009313452</v>
      </c>
      <c r="T212" s="97">
        <f t="shared" si="264"/>
        <v>25.637084238884469</v>
      </c>
      <c r="U212" s="97">
        <f t="shared" si="264"/>
        <v>23.172735823463658</v>
      </c>
      <c r="V212" s="97">
        <f t="shared" si="264"/>
        <v>21.87149467629613</v>
      </c>
      <c r="W212" s="97">
        <f t="shared" si="262"/>
        <v>19.527004235425679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68.324344326398901</v>
      </c>
      <c r="C213" s="98">
        <f t="shared" si="265"/>
        <v>70.227785929161101</v>
      </c>
      <c r="D213" s="98">
        <f t="shared" si="265"/>
        <v>69.37120254153011</v>
      </c>
      <c r="E213" s="98">
        <f t="shared" si="265"/>
        <v>87.69792537138612</v>
      </c>
      <c r="F213" s="98">
        <f t="shared" si="265"/>
        <v>35.056381712272177</v>
      </c>
      <c r="G213" s="98">
        <f t="shared" si="265"/>
        <v>64.87684676629965</v>
      </c>
      <c r="H213" s="98">
        <f t="shared" si="265"/>
        <v>66.627644566754498</v>
      </c>
      <c r="I213" s="98">
        <f t="shared" si="265"/>
        <v>30.369804072322427</v>
      </c>
      <c r="J213" s="98">
        <f t="shared" si="265"/>
        <v>32.039470362353207</v>
      </c>
      <c r="K213" s="98">
        <f t="shared" si="265"/>
        <v>50.101785774596976</v>
      </c>
      <c r="L213" s="98">
        <f t="shared" si="265"/>
        <v>35.621928619277917</v>
      </c>
      <c r="M213" s="98">
        <f t="shared" si="265"/>
        <v>30.042221969557037</v>
      </c>
      <c r="N213" s="98">
        <f t="shared" si="265"/>
        <v>23.168619999903779</v>
      </c>
      <c r="O213" s="98">
        <f t="shared" si="265"/>
        <v>29.072701599548637</v>
      </c>
      <c r="P213" s="98">
        <f t="shared" si="265"/>
        <v>25.722220279825837</v>
      </c>
      <c r="Q213" s="98">
        <f t="shared" si="265"/>
        <v>25.084682146266871</v>
      </c>
      <c r="R213" s="98">
        <f t="shared" si="265"/>
        <v>21.70064327695918</v>
      </c>
      <c r="S213" s="98">
        <f t="shared" si="265"/>
        <v>21.847999977206829</v>
      </c>
      <c r="T213" s="98">
        <f t="shared" si="265"/>
        <v>22.85838804300036</v>
      </c>
      <c r="U213" s="98">
        <f t="shared" si="265"/>
        <v>26.355446900295586</v>
      </c>
      <c r="V213" s="98">
        <f t="shared" si="265"/>
        <v>29.304327956199742</v>
      </c>
      <c r="W213" s="98">
        <f t="shared" si="262"/>
        <v>30.129923344404034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132.01808339606822</v>
      </c>
      <c r="C216" s="32">
        <f t="shared" si="266"/>
        <v>132.16863347494839</v>
      </c>
      <c r="D216" s="32">
        <f t="shared" si="266"/>
        <v>148.81066367911416</v>
      </c>
      <c r="E216" s="32">
        <f t="shared" si="266"/>
        <v>154.24325194800815</v>
      </c>
      <c r="F216" s="32">
        <f t="shared" si="266"/>
        <v>151.72663461272643</v>
      </c>
      <c r="G216" s="32">
        <f t="shared" si="266"/>
        <v>146.11730550357785</v>
      </c>
      <c r="H216" s="32">
        <f t="shared" si="266"/>
        <v>149.34447034012587</v>
      </c>
      <c r="I216" s="32">
        <f t="shared" si="266"/>
        <v>151.79331843004283</v>
      </c>
      <c r="J216" s="32">
        <f t="shared" si="266"/>
        <v>146.89520919718046</v>
      </c>
      <c r="K216" s="32">
        <f t="shared" si="266"/>
        <v>150.53577707868905</v>
      </c>
      <c r="L216" s="32">
        <f t="shared" si="266"/>
        <v>152.15486606618217</v>
      </c>
      <c r="M216" s="32">
        <f t="shared" si="266"/>
        <v>151.93435797065541</v>
      </c>
      <c r="N216" s="32">
        <f t="shared" si="266"/>
        <v>140.00693668614934</v>
      </c>
      <c r="O216" s="32">
        <f t="shared" si="266"/>
        <v>128.12224433895983</v>
      </c>
      <c r="P216" s="32">
        <f t="shared" si="266"/>
        <v>124.79932932611345</v>
      </c>
      <c r="Q216" s="32">
        <f t="shared" si="266"/>
        <v>127.32794077995219</v>
      </c>
      <c r="R216" s="32">
        <f t="shared" si="266"/>
        <v>121.27441444924719</v>
      </c>
      <c r="S216" s="32">
        <f t="shared" si="266"/>
        <v>120.04543322065797</v>
      </c>
      <c r="T216" s="32">
        <f t="shared" si="266"/>
        <v>115.89538461963362</v>
      </c>
      <c r="U216" s="32">
        <f t="shared" si="266"/>
        <v>112.16956043146887</v>
      </c>
      <c r="V216" s="32">
        <f t="shared" si="266"/>
        <v>170.22426244706409</v>
      </c>
      <c r="W216" s="32">
        <f t="shared" ref="W216" si="267">IF(W4=0,0,W64/W4*1000)</f>
        <v>146.09337931694984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203.1571229864355</v>
      </c>
      <c r="C217" s="141">
        <f t="shared" si="268"/>
        <v>207.78050763691894</v>
      </c>
      <c r="D217" s="141">
        <f t="shared" si="268"/>
        <v>204.39564551739471</v>
      </c>
      <c r="E217" s="141">
        <f t="shared" si="268"/>
        <v>215.71100969241127</v>
      </c>
      <c r="F217" s="141">
        <f t="shared" si="268"/>
        <v>221.2709920788418</v>
      </c>
      <c r="G217" s="141">
        <f t="shared" si="268"/>
        <v>218.65240628987726</v>
      </c>
      <c r="H217" s="141">
        <f t="shared" si="268"/>
        <v>220.74367364223923</v>
      </c>
      <c r="I217" s="141">
        <f t="shared" si="268"/>
        <v>227.61224677112403</v>
      </c>
      <c r="J217" s="141">
        <f t="shared" si="268"/>
        <v>218.83529289907997</v>
      </c>
      <c r="K217" s="141">
        <f t="shared" si="268"/>
        <v>219.69460223465234</v>
      </c>
      <c r="L217" s="141">
        <f t="shared" si="268"/>
        <v>226.59891888432034</v>
      </c>
      <c r="M217" s="141">
        <f t="shared" si="268"/>
        <v>220.94676546718122</v>
      </c>
      <c r="N217" s="141">
        <f t="shared" si="268"/>
        <v>206.18405704765703</v>
      </c>
      <c r="O217" s="141">
        <f t="shared" si="268"/>
        <v>192.1831247336487</v>
      </c>
      <c r="P217" s="141">
        <f t="shared" si="268"/>
        <v>186.63967277630175</v>
      </c>
      <c r="Q217" s="141">
        <f t="shared" si="268"/>
        <v>188.91722395646897</v>
      </c>
      <c r="R217" s="141">
        <f t="shared" si="268"/>
        <v>189.89137311073932</v>
      </c>
      <c r="S217" s="141">
        <f t="shared" si="268"/>
        <v>191.01730416699056</v>
      </c>
      <c r="T217" s="141">
        <f t="shared" si="268"/>
        <v>184.94200148563959</v>
      </c>
      <c r="U217" s="141">
        <f t="shared" si="268"/>
        <v>182.51608004584011</v>
      </c>
      <c r="V217" s="141">
        <f t="shared" si="268"/>
        <v>194.89842886352926</v>
      </c>
      <c r="W217" s="141">
        <f t="shared" ref="W217" si="269">IF(W5=0,0,W65/W5*1000)</f>
        <v>196.40615234246127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114.72212842509161</v>
      </c>
      <c r="C218" s="97">
        <f t="shared" si="270"/>
        <v>113.79257025835686</v>
      </c>
      <c r="D218" s="97">
        <f t="shared" si="270"/>
        <v>115.05178273744758</v>
      </c>
      <c r="E218" s="97">
        <f t="shared" si="270"/>
        <v>114.25246124869395</v>
      </c>
      <c r="F218" s="97">
        <f t="shared" si="270"/>
        <v>113.75109663595396</v>
      </c>
      <c r="G218" s="97">
        <f t="shared" si="270"/>
        <v>112.99029597585469</v>
      </c>
      <c r="H218" s="97">
        <f t="shared" si="270"/>
        <v>112.03501504306216</v>
      </c>
      <c r="I218" s="97">
        <f t="shared" si="270"/>
        <v>110.85815538407228</v>
      </c>
      <c r="J218" s="97">
        <f t="shared" si="270"/>
        <v>109.68353187847859</v>
      </c>
      <c r="K218" s="97">
        <f t="shared" si="270"/>
        <v>108.41712229371836</v>
      </c>
      <c r="L218" s="97">
        <f t="shared" si="270"/>
        <v>107.01373014334375</v>
      </c>
      <c r="M218" s="97">
        <f t="shared" si="270"/>
        <v>105.778459924665</v>
      </c>
      <c r="N218" s="97">
        <f t="shared" si="270"/>
        <v>106.04452857560055</v>
      </c>
      <c r="O218" s="97">
        <f t="shared" si="270"/>
        <v>104.90208388602869</v>
      </c>
      <c r="P218" s="97">
        <f t="shared" si="270"/>
        <v>104.05467881799498</v>
      </c>
      <c r="Q218" s="97">
        <f t="shared" si="270"/>
        <v>103.18879021322597</v>
      </c>
      <c r="R218" s="97">
        <f t="shared" si="270"/>
        <v>101.6253663364425</v>
      </c>
      <c r="S218" s="97">
        <f t="shared" si="270"/>
        <v>100.84764327134758</v>
      </c>
      <c r="T218" s="97">
        <f t="shared" si="270"/>
        <v>99.932725855889004</v>
      </c>
      <c r="U218" s="97">
        <f t="shared" si="270"/>
        <v>98.219617325215197</v>
      </c>
      <c r="V218" s="97">
        <f t="shared" si="270"/>
        <v>97.24554729763608</v>
      </c>
      <c r="W218" s="97">
        <f t="shared" ref="W218" si="271">IF(W6=0,0,W66/W6*1000)</f>
        <v>91.583356694757811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192.83606301275748</v>
      </c>
      <c r="C219" s="97">
        <f t="shared" si="272"/>
        <v>199.85936561323322</v>
      </c>
      <c r="D219" s="97">
        <f t="shared" si="272"/>
        <v>199.21023534448574</v>
      </c>
      <c r="E219" s="97">
        <f t="shared" si="272"/>
        <v>213.59210522710106</v>
      </c>
      <c r="F219" s="97">
        <f t="shared" si="272"/>
        <v>215.70150960369955</v>
      </c>
      <c r="G219" s="97">
        <f t="shared" si="272"/>
        <v>217.66946946478816</v>
      </c>
      <c r="H219" s="97">
        <f t="shared" si="272"/>
        <v>220.43675878545383</v>
      </c>
      <c r="I219" s="97">
        <f t="shared" si="272"/>
        <v>227.17962832845978</v>
      </c>
      <c r="J219" s="97">
        <f t="shared" si="272"/>
        <v>220.27202312952087</v>
      </c>
      <c r="K219" s="97">
        <f t="shared" si="272"/>
        <v>218.99804992693998</v>
      </c>
      <c r="L219" s="97">
        <f t="shared" si="272"/>
        <v>227.53126297150826</v>
      </c>
      <c r="M219" s="97">
        <f t="shared" si="272"/>
        <v>222.59266451814824</v>
      </c>
      <c r="N219" s="97">
        <f t="shared" si="272"/>
        <v>210.39121811519016</v>
      </c>
      <c r="O219" s="97">
        <f t="shared" si="272"/>
        <v>197.13215122833572</v>
      </c>
      <c r="P219" s="97">
        <f t="shared" si="272"/>
        <v>189.76759270254175</v>
      </c>
      <c r="Q219" s="97">
        <f t="shared" si="272"/>
        <v>190.35324293575803</v>
      </c>
      <c r="R219" s="97">
        <f t="shared" si="272"/>
        <v>190.75764872509063</v>
      </c>
      <c r="S219" s="97">
        <f t="shared" si="272"/>
        <v>191.4493453525582</v>
      </c>
      <c r="T219" s="97">
        <f t="shared" si="272"/>
        <v>185.00179692914426</v>
      </c>
      <c r="U219" s="97">
        <f t="shared" si="272"/>
        <v>181.55909639287589</v>
      </c>
      <c r="V219" s="97">
        <f t="shared" si="272"/>
        <v>184.5416940794421</v>
      </c>
      <c r="W219" s="97">
        <f t="shared" ref="W219" si="273">IF(W7=0,0,W67/W7*1000)</f>
        <v>185.02339759159977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250.75230846219264</v>
      </c>
      <c r="C220" s="97">
        <f t="shared" si="274"/>
        <v>246.87000797835967</v>
      </c>
      <c r="D220" s="97">
        <f t="shared" si="274"/>
        <v>232.52249586143969</v>
      </c>
      <c r="E220" s="97">
        <f t="shared" si="274"/>
        <v>233.86003375679857</v>
      </c>
      <c r="F220" s="97">
        <f t="shared" si="274"/>
        <v>254.22991277829669</v>
      </c>
      <c r="G220" s="97">
        <f t="shared" si="274"/>
        <v>234.13318867709251</v>
      </c>
      <c r="H220" s="97">
        <f t="shared" si="274"/>
        <v>233.82862170018007</v>
      </c>
      <c r="I220" s="97">
        <f t="shared" si="274"/>
        <v>242.09770819684226</v>
      </c>
      <c r="J220" s="97">
        <f t="shared" si="274"/>
        <v>224.53505368888631</v>
      </c>
      <c r="K220" s="97">
        <f t="shared" si="274"/>
        <v>235.46622283358269</v>
      </c>
      <c r="L220" s="97">
        <f t="shared" si="274"/>
        <v>235.58559049031288</v>
      </c>
      <c r="M220" s="97">
        <f t="shared" si="274"/>
        <v>225.79117291530855</v>
      </c>
      <c r="N220" s="97">
        <f t="shared" si="274"/>
        <v>198.25441934004249</v>
      </c>
      <c r="O220" s="97">
        <f t="shared" si="274"/>
        <v>179.48506036357352</v>
      </c>
      <c r="P220" s="97">
        <f t="shared" si="274"/>
        <v>181.27550063652268</v>
      </c>
      <c r="Q220" s="97">
        <f t="shared" si="274"/>
        <v>191.04269199886139</v>
      </c>
      <c r="R220" s="97">
        <f t="shared" si="274"/>
        <v>194.3959769071385</v>
      </c>
      <c r="S220" s="97">
        <f t="shared" si="274"/>
        <v>196.8443056278401</v>
      </c>
      <c r="T220" s="97">
        <f t="shared" si="274"/>
        <v>191.34660238658589</v>
      </c>
      <c r="U220" s="97">
        <f t="shared" si="274"/>
        <v>193.6540321795498</v>
      </c>
      <c r="V220" s="97">
        <f t="shared" si="274"/>
        <v>279.16789178462778</v>
      </c>
      <c r="W220" s="97">
        <f t="shared" ref="W220" si="275">IF(W8=0,0,W68/W8*1000)</f>
        <v>287.99565237725795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0</v>
      </c>
      <c r="C221" s="130">
        <f t="shared" si="276"/>
        <v>0</v>
      </c>
      <c r="D221" s="130">
        <f t="shared" si="276"/>
        <v>0</v>
      </c>
      <c r="E221" s="130">
        <f t="shared" si="276"/>
        <v>0</v>
      </c>
      <c r="F221" s="130">
        <f t="shared" si="276"/>
        <v>0</v>
      </c>
      <c r="G221" s="130">
        <f t="shared" si="276"/>
        <v>0</v>
      </c>
      <c r="H221" s="130">
        <f t="shared" si="276"/>
        <v>0</v>
      </c>
      <c r="I221" s="130">
        <f t="shared" si="276"/>
        <v>0</v>
      </c>
      <c r="J221" s="130">
        <f t="shared" si="276"/>
        <v>0</v>
      </c>
      <c r="K221" s="130">
        <f t="shared" si="276"/>
        <v>0</v>
      </c>
      <c r="L221" s="130">
        <f t="shared" si="276"/>
        <v>0</v>
      </c>
      <c r="M221" s="130">
        <f t="shared" si="276"/>
        <v>0</v>
      </c>
      <c r="N221" s="130">
        <f t="shared" si="276"/>
        <v>0</v>
      </c>
      <c r="O221" s="130">
        <f t="shared" si="276"/>
        <v>0</v>
      </c>
      <c r="P221" s="130">
        <f t="shared" si="276"/>
        <v>0</v>
      </c>
      <c r="Q221" s="130">
        <f t="shared" si="276"/>
        <v>0</v>
      </c>
      <c r="R221" s="130">
        <f t="shared" si="276"/>
        <v>0</v>
      </c>
      <c r="S221" s="130">
        <f t="shared" si="276"/>
        <v>0</v>
      </c>
      <c r="T221" s="130">
        <f t="shared" si="276"/>
        <v>0</v>
      </c>
      <c r="U221" s="130">
        <f t="shared" si="276"/>
        <v>0</v>
      </c>
      <c r="V221" s="130">
        <f t="shared" si="276"/>
        <v>0</v>
      </c>
      <c r="W221" s="130">
        <f t="shared" ref="W221" si="277">IF(W9=0,0,W69/W9*1000)</f>
        <v>0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0</v>
      </c>
      <c r="C223" s="97">
        <f t="shared" si="280"/>
        <v>0</v>
      </c>
      <c r="D223" s="97">
        <f t="shared" si="280"/>
        <v>0</v>
      </c>
      <c r="E223" s="97">
        <f t="shared" si="280"/>
        <v>0</v>
      </c>
      <c r="F223" s="97">
        <f t="shared" si="280"/>
        <v>0</v>
      </c>
      <c r="G223" s="97">
        <f t="shared" si="280"/>
        <v>0</v>
      </c>
      <c r="H223" s="97">
        <f t="shared" si="280"/>
        <v>0</v>
      </c>
      <c r="I223" s="97">
        <f t="shared" si="280"/>
        <v>0</v>
      </c>
      <c r="J223" s="97">
        <f t="shared" si="280"/>
        <v>0</v>
      </c>
      <c r="K223" s="97">
        <f t="shared" si="280"/>
        <v>0</v>
      </c>
      <c r="L223" s="97">
        <f t="shared" si="280"/>
        <v>0</v>
      </c>
      <c r="M223" s="97">
        <f t="shared" si="280"/>
        <v>0</v>
      </c>
      <c r="N223" s="97">
        <f t="shared" si="280"/>
        <v>0</v>
      </c>
      <c r="O223" s="97">
        <f t="shared" si="280"/>
        <v>0</v>
      </c>
      <c r="P223" s="97">
        <f t="shared" si="280"/>
        <v>0</v>
      </c>
      <c r="Q223" s="97">
        <f t="shared" si="280"/>
        <v>0</v>
      </c>
      <c r="R223" s="97">
        <f t="shared" si="280"/>
        <v>0</v>
      </c>
      <c r="S223" s="97">
        <f t="shared" si="280"/>
        <v>0</v>
      </c>
      <c r="T223" s="97">
        <f t="shared" si="280"/>
        <v>0</v>
      </c>
      <c r="U223" s="97">
        <f t="shared" si="280"/>
        <v>0</v>
      </c>
      <c r="V223" s="97">
        <f t="shared" si="280"/>
        <v>0</v>
      </c>
      <c r="W223" s="97">
        <f t="shared" ref="W223" si="281">IF(W11=0,0,W71/W11*1000)</f>
        <v>0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91.213530346213915</v>
      </c>
      <c r="C225" s="130">
        <f t="shared" si="284"/>
        <v>93.541823295480086</v>
      </c>
      <c r="D225" s="130">
        <f t="shared" si="284"/>
        <v>112.31568924597742</v>
      </c>
      <c r="E225" s="130">
        <f t="shared" si="284"/>
        <v>114.83746451506281</v>
      </c>
      <c r="F225" s="130">
        <f t="shared" si="284"/>
        <v>103.87825778580252</v>
      </c>
      <c r="G225" s="130">
        <f t="shared" si="284"/>
        <v>96.941998315280685</v>
      </c>
      <c r="H225" s="130">
        <f t="shared" si="284"/>
        <v>99.29674054177984</v>
      </c>
      <c r="I225" s="130">
        <f t="shared" si="284"/>
        <v>95.76917023197592</v>
      </c>
      <c r="J225" s="130">
        <f t="shared" si="284"/>
        <v>91.985935728636292</v>
      </c>
      <c r="K225" s="130">
        <f t="shared" si="284"/>
        <v>92.048588153690986</v>
      </c>
      <c r="L225" s="130">
        <f t="shared" si="284"/>
        <v>91.62808563703571</v>
      </c>
      <c r="M225" s="130">
        <f t="shared" si="284"/>
        <v>97.309997371416017</v>
      </c>
      <c r="N225" s="130">
        <f t="shared" si="284"/>
        <v>87.41124015993654</v>
      </c>
      <c r="O225" s="130">
        <f t="shared" si="284"/>
        <v>77.654668148958962</v>
      </c>
      <c r="P225" s="130">
        <f t="shared" si="284"/>
        <v>75.721479974739225</v>
      </c>
      <c r="Q225" s="130">
        <f t="shared" si="284"/>
        <v>76.800933318024022</v>
      </c>
      <c r="R225" s="130">
        <f t="shared" si="284"/>
        <v>72.446045318391754</v>
      </c>
      <c r="S225" s="130">
        <f t="shared" si="284"/>
        <v>73.874412056628458</v>
      </c>
      <c r="T225" s="130">
        <f t="shared" si="284"/>
        <v>72.126406536546455</v>
      </c>
      <c r="U225" s="130">
        <f t="shared" si="284"/>
        <v>67.426395039780616</v>
      </c>
      <c r="V225" s="130">
        <f t="shared" si="284"/>
        <v>105.16391054839299</v>
      </c>
      <c r="W225" s="130">
        <f t="shared" ref="W225" si="285">IF(W13=0,0,W73/W13*1000)</f>
        <v>80.586622015635783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0</v>
      </c>
      <c r="C226" s="97">
        <f t="shared" si="286"/>
        <v>0</v>
      </c>
      <c r="D226" s="97">
        <f t="shared" si="286"/>
        <v>0</v>
      </c>
      <c r="E226" s="97">
        <f t="shared" si="286"/>
        <v>0</v>
      </c>
      <c r="F226" s="97">
        <f t="shared" si="286"/>
        <v>0</v>
      </c>
      <c r="G226" s="97">
        <f t="shared" si="286"/>
        <v>0</v>
      </c>
      <c r="H226" s="97">
        <f t="shared" si="286"/>
        <v>0</v>
      </c>
      <c r="I226" s="97">
        <f t="shared" si="286"/>
        <v>0</v>
      </c>
      <c r="J226" s="97">
        <f t="shared" si="286"/>
        <v>0</v>
      </c>
      <c r="K226" s="97">
        <f t="shared" si="286"/>
        <v>0</v>
      </c>
      <c r="L226" s="97">
        <f t="shared" si="286"/>
        <v>0</v>
      </c>
      <c r="M226" s="97">
        <f t="shared" si="286"/>
        <v>0</v>
      </c>
      <c r="N226" s="97">
        <f t="shared" si="286"/>
        <v>0</v>
      </c>
      <c r="O226" s="97">
        <f t="shared" si="286"/>
        <v>0</v>
      </c>
      <c r="P226" s="97">
        <f t="shared" si="286"/>
        <v>0</v>
      </c>
      <c r="Q226" s="97">
        <f t="shared" si="286"/>
        <v>0</v>
      </c>
      <c r="R226" s="97">
        <f t="shared" si="286"/>
        <v>0</v>
      </c>
      <c r="S226" s="97">
        <f t="shared" si="286"/>
        <v>0</v>
      </c>
      <c r="T226" s="97">
        <f t="shared" si="286"/>
        <v>0</v>
      </c>
      <c r="U226" s="97">
        <f t="shared" si="286"/>
        <v>0</v>
      </c>
      <c r="V226" s="97">
        <f t="shared" si="286"/>
        <v>0</v>
      </c>
      <c r="W226" s="97">
        <f t="shared" ref="W226" si="287">IF(W14=0,0,W74/W14*1000)</f>
        <v>0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84.567631219047072</v>
      </c>
      <c r="C227" s="97">
        <f t="shared" si="288"/>
        <v>87.010115606021344</v>
      </c>
      <c r="D227" s="97">
        <f t="shared" si="288"/>
        <v>103.24730058052904</v>
      </c>
      <c r="E227" s="97">
        <f t="shared" si="288"/>
        <v>106.20687775609652</v>
      </c>
      <c r="F227" s="97">
        <f t="shared" si="288"/>
        <v>98.003041774856868</v>
      </c>
      <c r="G227" s="97">
        <f t="shared" si="288"/>
        <v>91.187900955521258</v>
      </c>
      <c r="H227" s="97">
        <f t="shared" si="288"/>
        <v>94.93605592787668</v>
      </c>
      <c r="I227" s="97">
        <f t="shared" si="288"/>
        <v>92.519610822369785</v>
      </c>
      <c r="J227" s="97">
        <f t="shared" si="288"/>
        <v>89.572160985100879</v>
      </c>
      <c r="K227" s="97">
        <f t="shared" si="288"/>
        <v>88.626647481965236</v>
      </c>
      <c r="L227" s="97">
        <f t="shared" si="288"/>
        <v>90.086409422642021</v>
      </c>
      <c r="M227" s="97">
        <f t="shared" si="288"/>
        <v>98.481693785681955</v>
      </c>
      <c r="N227" s="97">
        <f t="shared" si="288"/>
        <v>93.462882981678419</v>
      </c>
      <c r="O227" s="97">
        <f t="shared" si="288"/>
        <v>90.905354689122163</v>
      </c>
      <c r="P227" s="97">
        <f t="shared" si="288"/>
        <v>90.442277062069678</v>
      </c>
      <c r="Q227" s="97">
        <f t="shared" si="288"/>
        <v>89.572721111330878</v>
      </c>
      <c r="R227" s="97">
        <f t="shared" si="288"/>
        <v>91.233119176506136</v>
      </c>
      <c r="S227" s="97">
        <f t="shared" si="288"/>
        <v>90.549679258240303</v>
      </c>
      <c r="T227" s="97">
        <f t="shared" si="288"/>
        <v>86.915056217484988</v>
      </c>
      <c r="U227" s="97">
        <f t="shared" si="288"/>
        <v>80.270145754953859</v>
      </c>
      <c r="V227" s="97">
        <f t="shared" si="288"/>
        <v>91.511879252847592</v>
      </c>
      <c r="W227" s="97">
        <f t="shared" ref="W227" si="289">IF(W15=0,0,W75/W15*1000)</f>
        <v>100.55094203229196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166.20094462234519</v>
      </c>
      <c r="C228" s="97">
        <f t="shared" si="290"/>
        <v>164.393591967199</v>
      </c>
      <c r="D228" s="97">
        <f t="shared" si="290"/>
        <v>184.70254298553269</v>
      </c>
      <c r="E228" s="97">
        <f t="shared" si="290"/>
        <v>180.1640204430725</v>
      </c>
      <c r="F228" s="97">
        <f t="shared" si="290"/>
        <v>154.25459764851595</v>
      </c>
      <c r="G228" s="97">
        <f t="shared" si="290"/>
        <v>152.08711077044015</v>
      </c>
      <c r="H228" s="97">
        <f t="shared" si="290"/>
        <v>135.14815864862169</v>
      </c>
      <c r="I228" s="97">
        <f t="shared" si="290"/>
        <v>120.30581278250665</v>
      </c>
      <c r="J228" s="97">
        <f t="shared" si="290"/>
        <v>108.78962360986006</v>
      </c>
      <c r="K228" s="97">
        <f t="shared" si="290"/>
        <v>116.29274023691484</v>
      </c>
      <c r="L228" s="97">
        <f t="shared" si="290"/>
        <v>100.5623953204593</v>
      </c>
      <c r="M228" s="97">
        <f t="shared" si="290"/>
        <v>91.551220672060609</v>
      </c>
      <c r="N228" s="97">
        <f t="shared" si="290"/>
        <v>66.275086126394029</v>
      </c>
      <c r="O228" s="97">
        <f t="shared" si="290"/>
        <v>46.179860470052645</v>
      </c>
      <c r="P228" s="97">
        <f t="shared" si="290"/>
        <v>43.233442431522114</v>
      </c>
      <c r="Q228" s="97">
        <f t="shared" si="290"/>
        <v>46.117604726362785</v>
      </c>
      <c r="R228" s="97">
        <f t="shared" si="290"/>
        <v>35.228860302403994</v>
      </c>
      <c r="S228" s="97">
        <f t="shared" si="290"/>
        <v>36.614209100346102</v>
      </c>
      <c r="T228" s="97">
        <f t="shared" si="290"/>
        <v>37.685015292257638</v>
      </c>
      <c r="U228" s="97">
        <f t="shared" si="290"/>
        <v>36.985720102492799</v>
      </c>
      <c r="V228" s="97">
        <f t="shared" si="290"/>
        <v>181.68497207697237</v>
      </c>
      <c r="W228" s="97">
        <f t="shared" ref="W228" si="291">IF(W16=0,0,W76/W16*1000)</f>
        <v>48.223842387041877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488.33666782322399</v>
      </c>
      <c r="C229" s="32">
        <f t="shared" si="292"/>
        <v>483.9755635449651</v>
      </c>
      <c r="D229" s="32">
        <f t="shared" si="292"/>
        <v>468.62850076197338</v>
      </c>
      <c r="E229" s="32">
        <f t="shared" si="292"/>
        <v>452.81238372305467</v>
      </c>
      <c r="F229" s="32">
        <f t="shared" si="292"/>
        <v>537.42573287221012</v>
      </c>
      <c r="G229" s="32">
        <f t="shared" si="292"/>
        <v>447.94024513473869</v>
      </c>
      <c r="H229" s="32">
        <f t="shared" si="292"/>
        <v>475.7338966737907</v>
      </c>
      <c r="I229" s="32">
        <f t="shared" si="292"/>
        <v>471.57708927700014</v>
      </c>
      <c r="J229" s="32">
        <f t="shared" si="292"/>
        <v>429.96821079515564</v>
      </c>
      <c r="K229" s="32">
        <f t="shared" si="292"/>
        <v>519.69629399458563</v>
      </c>
      <c r="L229" s="32">
        <f t="shared" si="292"/>
        <v>482.06033467066521</v>
      </c>
      <c r="M229" s="32">
        <f t="shared" si="292"/>
        <v>507.11551182812809</v>
      </c>
      <c r="N229" s="32">
        <f t="shared" si="292"/>
        <v>454.06084592926368</v>
      </c>
      <c r="O229" s="32">
        <f t="shared" si="292"/>
        <v>492.87060406779034</v>
      </c>
      <c r="P229" s="32">
        <f t="shared" si="292"/>
        <v>518.06099732287043</v>
      </c>
      <c r="Q229" s="32">
        <f t="shared" si="292"/>
        <v>517.7546901184935</v>
      </c>
      <c r="R229" s="32">
        <f t="shared" si="292"/>
        <v>479.35027997709068</v>
      </c>
      <c r="S229" s="32">
        <f t="shared" si="292"/>
        <v>448.5444380878227</v>
      </c>
      <c r="T229" s="32">
        <f t="shared" si="292"/>
        <v>425.75084617415655</v>
      </c>
      <c r="U229" s="32">
        <f t="shared" si="292"/>
        <v>430.17819848272745</v>
      </c>
      <c r="V229" s="32">
        <f t="shared" si="292"/>
        <v>473.87537183343915</v>
      </c>
      <c r="W229" s="32">
        <f t="shared" ref="W229" si="293">IF(W17=0,0,W77/W17*1000)</f>
        <v>473.537544406682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483.12979908073936</v>
      </c>
      <c r="C230" s="141">
        <f t="shared" si="294"/>
        <v>480.91452402548083</v>
      </c>
      <c r="D230" s="141">
        <f t="shared" si="294"/>
        <v>462.14371425224095</v>
      </c>
      <c r="E230" s="141">
        <f t="shared" si="294"/>
        <v>446.29948090562277</v>
      </c>
      <c r="F230" s="141">
        <f t="shared" si="294"/>
        <v>528.83098441777349</v>
      </c>
      <c r="G230" s="141">
        <f t="shared" si="294"/>
        <v>437.66368963531687</v>
      </c>
      <c r="H230" s="141">
        <f t="shared" si="294"/>
        <v>461.86195028749057</v>
      </c>
      <c r="I230" s="141">
        <f t="shared" si="294"/>
        <v>461.13236212452847</v>
      </c>
      <c r="J230" s="141">
        <f t="shared" si="294"/>
        <v>419.60845267255348</v>
      </c>
      <c r="K230" s="141">
        <f t="shared" si="294"/>
        <v>512.67045762619193</v>
      </c>
      <c r="L230" s="141">
        <f t="shared" si="294"/>
        <v>476.14084632796613</v>
      </c>
      <c r="M230" s="141">
        <f t="shared" si="294"/>
        <v>501.33209080681416</v>
      </c>
      <c r="N230" s="141">
        <f t="shared" si="294"/>
        <v>448.707474013965</v>
      </c>
      <c r="O230" s="141">
        <f t="shared" si="294"/>
        <v>489.17344422055095</v>
      </c>
      <c r="P230" s="141">
        <f t="shared" si="294"/>
        <v>517.64847809908588</v>
      </c>
      <c r="Q230" s="141">
        <f t="shared" si="294"/>
        <v>516.81615511250595</v>
      </c>
      <c r="R230" s="141">
        <f t="shared" si="294"/>
        <v>479.00166906766594</v>
      </c>
      <c r="S230" s="141">
        <f t="shared" si="294"/>
        <v>448.43007605164388</v>
      </c>
      <c r="T230" s="141">
        <f t="shared" si="294"/>
        <v>426.286087179677</v>
      </c>
      <c r="U230" s="141">
        <f t="shared" si="294"/>
        <v>435.09091209241183</v>
      </c>
      <c r="V230" s="141">
        <f t="shared" si="294"/>
        <v>476.66132241989345</v>
      </c>
      <c r="W230" s="141">
        <f t="shared" ref="W230" si="295">IF(W18=0,0,W78/W18*1000)</f>
        <v>478.2980101340878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3352.0489377951767</v>
      </c>
      <c r="C231" s="97">
        <f t="shared" si="296"/>
        <v>3293.7791111887705</v>
      </c>
      <c r="D231" s="97">
        <f t="shared" si="296"/>
        <v>3081.1944486584066</v>
      </c>
      <c r="E231" s="97">
        <f t="shared" si="296"/>
        <v>3057.8222453785143</v>
      </c>
      <c r="F231" s="97">
        <f t="shared" si="296"/>
        <v>3250.1777584226061</v>
      </c>
      <c r="G231" s="97">
        <f t="shared" si="296"/>
        <v>2994.9263876903719</v>
      </c>
      <c r="H231" s="97">
        <f t="shared" si="296"/>
        <v>2926.6672780274912</v>
      </c>
      <c r="I231" s="97">
        <f t="shared" si="296"/>
        <v>2995.8540827202323</v>
      </c>
      <c r="J231" s="97">
        <f t="shared" si="296"/>
        <v>2771.3390574797136</v>
      </c>
      <c r="K231" s="97">
        <f t="shared" si="296"/>
        <v>2837.9211279065566</v>
      </c>
      <c r="L231" s="97">
        <f t="shared" si="296"/>
        <v>2840.6244678340991</v>
      </c>
      <c r="M231" s="97">
        <f t="shared" si="296"/>
        <v>2697.7681382732817</v>
      </c>
      <c r="N231" s="97">
        <f t="shared" si="296"/>
        <v>2324.6412147492229</v>
      </c>
      <c r="O231" s="97">
        <f t="shared" si="296"/>
        <v>2043.2722041807256</v>
      </c>
      <c r="P231" s="97">
        <f t="shared" si="296"/>
        <v>2002.0228405291159</v>
      </c>
      <c r="Q231" s="97">
        <f t="shared" si="296"/>
        <v>2082.5943853709355</v>
      </c>
      <c r="R231" s="97">
        <f t="shared" si="296"/>
        <v>2116.2875239005639</v>
      </c>
      <c r="S231" s="97">
        <f t="shared" si="296"/>
        <v>2126.0952525600492</v>
      </c>
      <c r="T231" s="97">
        <f t="shared" si="296"/>
        <v>2049.2431241564886</v>
      </c>
      <c r="U231" s="97">
        <f t="shared" si="296"/>
        <v>2004.365707208894</v>
      </c>
      <c r="V231" s="97">
        <f t="shared" si="296"/>
        <v>1988.5502797882714</v>
      </c>
      <c r="W231" s="97">
        <f t="shared" ref="W231" si="297">IF(W19=0,0,W79/W19*1000)</f>
        <v>2082.8608678429118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114.87501465190752</v>
      </c>
      <c r="C232" s="97">
        <f t="shared" si="298"/>
        <v>114.8285154228824</v>
      </c>
      <c r="D232" s="97">
        <f t="shared" si="298"/>
        <v>108.30234032521074</v>
      </c>
      <c r="E232" s="97">
        <f t="shared" si="298"/>
        <v>110.61723669224449</v>
      </c>
      <c r="F232" s="97">
        <f t="shared" si="298"/>
        <v>121.12103775404097</v>
      </c>
      <c r="G232" s="97">
        <f t="shared" si="298"/>
        <v>115.82200932588248</v>
      </c>
      <c r="H232" s="97">
        <f t="shared" si="298"/>
        <v>113.29753119580967</v>
      </c>
      <c r="I232" s="97">
        <f t="shared" si="298"/>
        <v>117.78651493606566</v>
      </c>
      <c r="J232" s="97">
        <f t="shared" si="298"/>
        <v>111.62543065390979</v>
      </c>
      <c r="K232" s="97">
        <f t="shared" si="298"/>
        <v>120.95482900260509</v>
      </c>
      <c r="L232" s="97">
        <f t="shared" si="298"/>
        <v>122.1147343075812</v>
      </c>
      <c r="M232" s="97">
        <f t="shared" si="298"/>
        <v>117.87021620728078</v>
      </c>
      <c r="N232" s="97">
        <f t="shared" si="298"/>
        <v>101.77706000461549</v>
      </c>
      <c r="O232" s="97">
        <f t="shared" si="298"/>
        <v>95.418475175825009</v>
      </c>
      <c r="P232" s="97">
        <f t="shared" si="298"/>
        <v>97.570073651372667</v>
      </c>
      <c r="Q232" s="97">
        <f t="shared" si="298"/>
        <v>96.370580503831704</v>
      </c>
      <c r="R232" s="97">
        <f t="shared" si="298"/>
        <v>105.66865326536362</v>
      </c>
      <c r="S232" s="97">
        <f t="shared" si="298"/>
        <v>106.14267755179992</v>
      </c>
      <c r="T232" s="97">
        <f t="shared" si="298"/>
        <v>102.86420111067574</v>
      </c>
      <c r="U232" s="97">
        <f t="shared" si="298"/>
        <v>111.43707295192537</v>
      </c>
      <c r="V232" s="97">
        <f t="shared" si="298"/>
        <v>99.716785318126909</v>
      </c>
      <c r="W232" s="97">
        <f t="shared" ref="W232" si="299">IF(W20=0,0,W80/W20*1000)</f>
        <v>99.461938282608571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0</v>
      </c>
      <c r="C233" s="130">
        <f t="shared" si="300"/>
        <v>0</v>
      </c>
      <c r="D233" s="130">
        <f t="shared" si="300"/>
        <v>0</v>
      </c>
      <c r="E233" s="130">
        <f t="shared" si="300"/>
        <v>0</v>
      </c>
      <c r="F233" s="130">
        <f t="shared" si="300"/>
        <v>0</v>
      </c>
      <c r="G233" s="130">
        <f t="shared" si="300"/>
        <v>0</v>
      </c>
      <c r="H233" s="130">
        <f t="shared" si="300"/>
        <v>0</v>
      </c>
      <c r="I233" s="130">
        <f t="shared" si="300"/>
        <v>0</v>
      </c>
      <c r="J233" s="130">
        <f t="shared" si="300"/>
        <v>0</v>
      </c>
      <c r="K233" s="130">
        <f t="shared" si="300"/>
        <v>0</v>
      </c>
      <c r="L233" s="130">
        <f t="shared" si="300"/>
        <v>0</v>
      </c>
      <c r="M233" s="130">
        <f t="shared" si="300"/>
        <v>0</v>
      </c>
      <c r="N233" s="130">
        <f t="shared" si="300"/>
        <v>0</v>
      </c>
      <c r="O233" s="130">
        <f t="shared" si="300"/>
        <v>0</v>
      </c>
      <c r="P233" s="130">
        <f t="shared" si="300"/>
        <v>0</v>
      </c>
      <c r="Q233" s="130">
        <f t="shared" si="300"/>
        <v>0</v>
      </c>
      <c r="R233" s="130">
        <f t="shared" si="300"/>
        <v>0</v>
      </c>
      <c r="S233" s="130">
        <f t="shared" si="300"/>
        <v>0</v>
      </c>
      <c r="T233" s="130">
        <f t="shared" si="300"/>
        <v>0</v>
      </c>
      <c r="U233" s="130">
        <f t="shared" si="300"/>
        <v>0</v>
      </c>
      <c r="V233" s="130">
        <f t="shared" si="300"/>
        <v>0</v>
      </c>
      <c r="W233" s="130">
        <f t="shared" ref="W233" si="301">IF(W21=0,0,W81/W21*1000)</f>
        <v>0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667.61951208737753</v>
      </c>
      <c r="C234" s="130">
        <f t="shared" si="302"/>
        <v>593.51196577559847</v>
      </c>
      <c r="D234" s="130">
        <f t="shared" si="302"/>
        <v>721.51501324823835</v>
      </c>
      <c r="E234" s="130">
        <f t="shared" si="302"/>
        <v>739.15164284599996</v>
      </c>
      <c r="F234" s="130">
        <f t="shared" si="302"/>
        <v>811.48080859951415</v>
      </c>
      <c r="G234" s="130">
        <f t="shared" si="302"/>
        <v>799.47916999782001</v>
      </c>
      <c r="H234" s="130">
        <f t="shared" si="302"/>
        <v>840.21014131439097</v>
      </c>
      <c r="I234" s="130">
        <f t="shared" si="302"/>
        <v>769.70986932041149</v>
      </c>
      <c r="J234" s="130">
        <f t="shared" si="302"/>
        <v>742.16137790686378</v>
      </c>
      <c r="K234" s="130">
        <f t="shared" si="302"/>
        <v>687.02495581111066</v>
      </c>
      <c r="L234" s="130">
        <f t="shared" si="302"/>
        <v>637.7718873121097</v>
      </c>
      <c r="M234" s="130">
        <f t="shared" si="302"/>
        <v>699.96100541631506</v>
      </c>
      <c r="N234" s="130">
        <f t="shared" si="302"/>
        <v>681.64494468267458</v>
      </c>
      <c r="O234" s="130">
        <f t="shared" si="302"/>
        <v>609.33477204951146</v>
      </c>
      <c r="P234" s="130">
        <f t="shared" si="302"/>
        <v>529.71472628322545</v>
      </c>
      <c r="Q234" s="130">
        <f t="shared" si="302"/>
        <v>547.63223240173807</v>
      </c>
      <c r="R234" s="130">
        <f t="shared" si="302"/>
        <v>493.82507464156635</v>
      </c>
      <c r="S234" s="130">
        <f t="shared" si="302"/>
        <v>568.32849992471267</v>
      </c>
      <c r="T234" s="130">
        <f t="shared" si="302"/>
        <v>504.36849457753209</v>
      </c>
      <c r="U234" s="130">
        <f t="shared" si="302"/>
        <v>320.48722010953776</v>
      </c>
      <c r="V234" s="130">
        <f t="shared" si="302"/>
        <v>422.87373179596199</v>
      </c>
      <c r="W234" s="130">
        <f t="shared" ref="W234" si="303">IF(W22=0,0,W82/W22*1000)</f>
        <v>409.90062371243084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0</v>
      </c>
      <c r="C235" s="97">
        <f t="shared" si="304"/>
        <v>0</v>
      </c>
      <c r="D235" s="97">
        <f t="shared" si="304"/>
        <v>0</v>
      </c>
      <c r="E235" s="97">
        <f t="shared" si="304"/>
        <v>0</v>
      </c>
      <c r="F235" s="97">
        <f t="shared" si="304"/>
        <v>0</v>
      </c>
      <c r="G235" s="97">
        <f t="shared" si="304"/>
        <v>0</v>
      </c>
      <c r="H235" s="97">
        <f t="shared" si="304"/>
        <v>0</v>
      </c>
      <c r="I235" s="97">
        <f t="shared" si="304"/>
        <v>0</v>
      </c>
      <c r="J235" s="97">
        <f t="shared" si="304"/>
        <v>0</v>
      </c>
      <c r="K235" s="97">
        <f t="shared" si="304"/>
        <v>0</v>
      </c>
      <c r="L235" s="97">
        <f t="shared" si="304"/>
        <v>0</v>
      </c>
      <c r="M235" s="97">
        <f t="shared" si="304"/>
        <v>0</v>
      </c>
      <c r="N235" s="97">
        <f t="shared" si="304"/>
        <v>0</v>
      </c>
      <c r="O235" s="97">
        <f t="shared" si="304"/>
        <v>0</v>
      </c>
      <c r="P235" s="97">
        <f t="shared" si="304"/>
        <v>0</v>
      </c>
      <c r="Q235" s="97">
        <f t="shared" si="304"/>
        <v>0</v>
      </c>
      <c r="R235" s="97">
        <f t="shared" si="304"/>
        <v>0</v>
      </c>
      <c r="S235" s="97">
        <f t="shared" si="304"/>
        <v>0</v>
      </c>
      <c r="T235" s="97">
        <f t="shared" si="304"/>
        <v>0</v>
      </c>
      <c r="U235" s="97">
        <f t="shared" si="304"/>
        <v>0</v>
      </c>
      <c r="V235" s="97">
        <f t="shared" si="304"/>
        <v>0</v>
      </c>
      <c r="W235" s="97">
        <f t="shared" ref="W235" si="305">IF(W23=0,0,W83/W23*1000)</f>
        <v>0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810.35993326681364</v>
      </c>
      <c r="C236" s="97">
        <f t="shared" si="306"/>
        <v>722.92239390051316</v>
      </c>
      <c r="D236" s="97">
        <f t="shared" si="306"/>
        <v>873.48013767575083</v>
      </c>
      <c r="E236" s="97">
        <f t="shared" si="306"/>
        <v>882.80697084523513</v>
      </c>
      <c r="F236" s="97">
        <f t="shared" si="306"/>
        <v>970.88995068264512</v>
      </c>
      <c r="G236" s="97">
        <f t="shared" si="306"/>
        <v>921.71789588425304</v>
      </c>
      <c r="H236" s="97">
        <f t="shared" si="306"/>
        <v>1012.226981067349</v>
      </c>
      <c r="I236" s="97">
        <f t="shared" si="306"/>
        <v>950.41828926438882</v>
      </c>
      <c r="J236" s="97">
        <f t="shared" si="306"/>
        <v>943.99114705815987</v>
      </c>
      <c r="K236" s="97">
        <f t="shared" si="306"/>
        <v>880.76855743043018</v>
      </c>
      <c r="L236" s="97">
        <f t="shared" si="306"/>
        <v>813.89063309670212</v>
      </c>
      <c r="M236" s="97">
        <f t="shared" si="306"/>
        <v>886.76436274912817</v>
      </c>
      <c r="N236" s="97">
        <f t="shared" si="306"/>
        <v>779.961897815312</v>
      </c>
      <c r="O236" s="97">
        <f t="shared" si="306"/>
        <v>754.11419069903525</v>
      </c>
      <c r="P236" s="97">
        <f t="shared" si="306"/>
        <v>675.75323273478625</v>
      </c>
      <c r="Q236" s="97">
        <f t="shared" si="306"/>
        <v>709.20668910081918</v>
      </c>
      <c r="R236" s="97">
        <f t="shared" si="306"/>
        <v>643.9350043303117</v>
      </c>
      <c r="S236" s="97">
        <f t="shared" si="306"/>
        <v>692.39477893342428</v>
      </c>
      <c r="T236" s="97">
        <f t="shared" si="306"/>
        <v>659.57515680846382</v>
      </c>
      <c r="U236" s="97">
        <f t="shared" si="306"/>
        <v>543.70721724663383</v>
      </c>
      <c r="V236" s="97">
        <f t="shared" si="306"/>
        <v>514.63041874037026</v>
      </c>
      <c r="W236" s="97">
        <f t="shared" ref="W236" si="307">IF(W24=0,0,W84/W24*1000)</f>
        <v>638.5836977294324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145.76279328601692</v>
      </c>
      <c r="C237" s="97">
        <f t="shared" si="308"/>
        <v>140.24720625729921</v>
      </c>
      <c r="D237" s="97">
        <f t="shared" si="308"/>
        <v>170.00863171118442</v>
      </c>
      <c r="E237" s="97">
        <f t="shared" si="308"/>
        <v>187.43597594398838</v>
      </c>
      <c r="F237" s="97">
        <f t="shared" si="308"/>
        <v>189.39462760667516</v>
      </c>
      <c r="G237" s="97">
        <f t="shared" si="308"/>
        <v>190.20548298043224</v>
      </c>
      <c r="H237" s="97">
        <f t="shared" si="308"/>
        <v>135.45097394099312</v>
      </c>
      <c r="I237" s="97">
        <f t="shared" si="308"/>
        <v>119.08362065788951</v>
      </c>
      <c r="J237" s="97">
        <f t="shared" si="308"/>
        <v>120.50310086984882</v>
      </c>
      <c r="K237" s="97">
        <f t="shared" si="308"/>
        <v>141.59338045270133</v>
      </c>
      <c r="L237" s="97">
        <f t="shared" si="308"/>
        <v>169.53569812549193</v>
      </c>
      <c r="M237" s="97">
        <f t="shared" si="308"/>
        <v>123.63079777801457</v>
      </c>
      <c r="N237" s="97">
        <f t="shared" si="308"/>
        <v>133.2122917578638</v>
      </c>
      <c r="O237" s="97">
        <f t="shared" si="308"/>
        <v>97.318202528026148</v>
      </c>
      <c r="P237" s="97">
        <f t="shared" si="308"/>
        <v>69.348691208249122</v>
      </c>
      <c r="Q237" s="97">
        <f t="shared" si="308"/>
        <v>79.957020502534633</v>
      </c>
      <c r="R237" s="97">
        <f t="shared" si="308"/>
        <v>54.852601693915069</v>
      </c>
      <c r="S237" s="97">
        <f t="shared" si="308"/>
        <v>82.189302140312876</v>
      </c>
      <c r="T237" s="97">
        <f t="shared" si="308"/>
        <v>68.733801366141336</v>
      </c>
      <c r="U237" s="97">
        <f t="shared" si="308"/>
        <v>69.082039100606849</v>
      </c>
      <c r="V237" s="97">
        <f t="shared" si="308"/>
        <v>278.29012792965722</v>
      </c>
      <c r="W237" s="97">
        <f t="shared" ref="W237" si="309">IF(W25=0,0,W85/W25*1000)</f>
        <v>114.47820296426877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0</v>
      </c>
      <c r="C238" s="130">
        <f t="shared" si="310"/>
        <v>0</v>
      </c>
      <c r="D238" s="130">
        <f t="shared" si="310"/>
        <v>0</v>
      </c>
      <c r="E238" s="130">
        <f t="shared" si="310"/>
        <v>0</v>
      </c>
      <c r="F238" s="130">
        <f t="shared" si="310"/>
        <v>0</v>
      </c>
      <c r="G238" s="130">
        <f t="shared" si="310"/>
        <v>0</v>
      </c>
      <c r="H238" s="130">
        <f t="shared" si="310"/>
        <v>0</v>
      </c>
      <c r="I238" s="130">
        <f t="shared" si="310"/>
        <v>0</v>
      </c>
      <c r="J238" s="130">
        <f t="shared" si="310"/>
        <v>0</v>
      </c>
      <c r="K238" s="130">
        <f t="shared" si="310"/>
        <v>0</v>
      </c>
      <c r="L238" s="130">
        <f t="shared" si="310"/>
        <v>0</v>
      </c>
      <c r="M238" s="130">
        <f t="shared" si="310"/>
        <v>0</v>
      </c>
      <c r="N238" s="130">
        <f t="shared" si="310"/>
        <v>0</v>
      </c>
      <c r="O238" s="130">
        <f t="shared" si="310"/>
        <v>0</v>
      </c>
      <c r="P238" s="130">
        <f t="shared" si="310"/>
        <v>0</v>
      </c>
      <c r="Q238" s="130">
        <f t="shared" si="310"/>
        <v>0</v>
      </c>
      <c r="R238" s="130">
        <f t="shared" si="310"/>
        <v>0</v>
      </c>
      <c r="S238" s="130">
        <f t="shared" si="310"/>
        <v>222.72039126181937</v>
      </c>
      <c r="T238" s="130">
        <f t="shared" si="310"/>
        <v>220.76214765100667</v>
      </c>
      <c r="U238" s="130">
        <f t="shared" si="310"/>
        <v>226.68959336369551</v>
      </c>
      <c r="V238" s="130">
        <f t="shared" si="310"/>
        <v>193.12736520854526</v>
      </c>
      <c r="W238" s="130">
        <f t="shared" ref="W238" si="311">IF(W26=0,0,W86/W26*1000)</f>
        <v>210.48495501285342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0</v>
      </c>
      <c r="C239" s="97">
        <f t="shared" si="312"/>
        <v>0</v>
      </c>
      <c r="D239" s="97">
        <f t="shared" si="312"/>
        <v>0</v>
      </c>
      <c r="E239" s="97">
        <f t="shared" si="312"/>
        <v>0</v>
      </c>
      <c r="F239" s="97">
        <f t="shared" si="312"/>
        <v>0</v>
      </c>
      <c r="G239" s="97">
        <f t="shared" si="312"/>
        <v>0</v>
      </c>
      <c r="H239" s="97">
        <f t="shared" si="312"/>
        <v>0</v>
      </c>
      <c r="I239" s="97">
        <f t="shared" si="312"/>
        <v>0</v>
      </c>
      <c r="J239" s="97">
        <f t="shared" si="312"/>
        <v>0</v>
      </c>
      <c r="K239" s="97">
        <f t="shared" si="312"/>
        <v>0</v>
      </c>
      <c r="L239" s="97">
        <f t="shared" si="312"/>
        <v>0</v>
      </c>
      <c r="M239" s="97">
        <f t="shared" si="312"/>
        <v>0</v>
      </c>
      <c r="N239" s="97">
        <f t="shared" si="312"/>
        <v>0</v>
      </c>
      <c r="O239" s="97">
        <f t="shared" si="312"/>
        <v>0</v>
      </c>
      <c r="P239" s="97">
        <f t="shared" si="312"/>
        <v>0</v>
      </c>
      <c r="Q239" s="97">
        <f t="shared" si="312"/>
        <v>0</v>
      </c>
      <c r="R239" s="97">
        <f t="shared" si="312"/>
        <v>0</v>
      </c>
      <c r="S239" s="97">
        <f t="shared" si="312"/>
        <v>222.72039126181937</v>
      </c>
      <c r="T239" s="97">
        <f t="shared" si="312"/>
        <v>220.76214765100667</v>
      </c>
      <c r="U239" s="97">
        <f t="shared" si="312"/>
        <v>226.68959336369551</v>
      </c>
      <c r="V239" s="97">
        <f t="shared" si="312"/>
        <v>193.12736520854526</v>
      </c>
      <c r="W239" s="97">
        <f t="shared" ref="W239" si="313">IF(W27=0,0,W87/W27*1000)</f>
        <v>210.48495501285342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0</v>
      </c>
      <c r="C240" s="98">
        <f t="shared" si="314"/>
        <v>0</v>
      </c>
      <c r="D240" s="98">
        <f t="shared" si="314"/>
        <v>0</v>
      </c>
      <c r="E240" s="98">
        <f t="shared" si="314"/>
        <v>0</v>
      </c>
      <c r="F240" s="98">
        <f t="shared" si="314"/>
        <v>0</v>
      </c>
      <c r="G240" s="98">
        <f t="shared" si="314"/>
        <v>0</v>
      </c>
      <c r="H240" s="98">
        <f t="shared" si="314"/>
        <v>0</v>
      </c>
      <c r="I240" s="98">
        <f t="shared" si="314"/>
        <v>0</v>
      </c>
      <c r="J240" s="98">
        <f t="shared" si="314"/>
        <v>0</v>
      </c>
      <c r="K240" s="98">
        <f t="shared" si="314"/>
        <v>0</v>
      </c>
      <c r="L240" s="98">
        <f t="shared" si="314"/>
        <v>0</v>
      </c>
      <c r="M240" s="98">
        <f t="shared" si="314"/>
        <v>0</v>
      </c>
      <c r="N240" s="98">
        <f t="shared" si="314"/>
        <v>0</v>
      </c>
      <c r="O240" s="98">
        <f t="shared" si="314"/>
        <v>0</v>
      </c>
      <c r="P240" s="98">
        <f t="shared" si="314"/>
        <v>0</v>
      </c>
      <c r="Q240" s="98">
        <f t="shared" si="314"/>
        <v>0</v>
      </c>
      <c r="R240" s="98">
        <f t="shared" si="314"/>
        <v>0</v>
      </c>
      <c r="S240" s="98">
        <f t="shared" si="314"/>
        <v>0</v>
      </c>
      <c r="T240" s="98">
        <f t="shared" si="314"/>
        <v>0</v>
      </c>
      <c r="U240" s="98">
        <f t="shared" si="314"/>
        <v>0</v>
      </c>
      <c r="V240" s="98">
        <f t="shared" si="314"/>
        <v>0</v>
      </c>
      <c r="W240" s="98">
        <f t="shared" ref="W240:W243" si="315">IF(W28=0,0,W88/W28*1000)</f>
        <v>0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131.27032841908249</v>
      </c>
      <c r="C241" s="32">
        <f t="shared" si="316"/>
        <v>135.22623884551248</v>
      </c>
      <c r="D241" s="32">
        <f t="shared" si="316"/>
        <v>134.27268422586798</v>
      </c>
      <c r="E241" s="32">
        <f t="shared" si="316"/>
        <v>155.28045286238114</v>
      </c>
      <c r="F241" s="32">
        <f t="shared" si="316"/>
        <v>52.748553884907423</v>
      </c>
      <c r="G241" s="32">
        <f t="shared" si="316"/>
        <v>214.93209836106413</v>
      </c>
      <c r="H241" s="32">
        <f t="shared" si="316"/>
        <v>206.39005990955687</v>
      </c>
      <c r="I241" s="32">
        <f t="shared" si="316"/>
        <v>124.30190031213114</v>
      </c>
      <c r="J241" s="32">
        <f t="shared" si="316"/>
        <v>116.39592342982858</v>
      </c>
      <c r="K241" s="32">
        <f t="shared" si="316"/>
        <v>149.46067689485994</v>
      </c>
      <c r="L241" s="32">
        <f t="shared" si="316"/>
        <v>123.35383581662599</v>
      </c>
      <c r="M241" s="32">
        <f t="shared" si="316"/>
        <v>76.779867456201444</v>
      </c>
      <c r="N241" s="32">
        <f t="shared" si="316"/>
        <v>61.664779859500499</v>
      </c>
      <c r="O241" s="32">
        <f t="shared" si="316"/>
        <v>79.752628834957491</v>
      </c>
      <c r="P241" s="32">
        <f t="shared" si="316"/>
        <v>73.18920092925913</v>
      </c>
      <c r="Q241" s="32">
        <f t="shared" si="316"/>
        <v>74.407216333692659</v>
      </c>
      <c r="R241" s="32">
        <f t="shared" si="316"/>
        <v>64.57270824233224</v>
      </c>
      <c r="S241" s="32">
        <f t="shared" si="316"/>
        <v>69.888059479894636</v>
      </c>
      <c r="T241" s="32">
        <f t="shared" si="316"/>
        <v>76.961606923628963</v>
      </c>
      <c r="U241" s="32">
        <f t="shared" si="316"/>
        <v>77.848625282861875</v>
      </c>
      <c r="V241" s="32">
        <f t="shared" si="316"/>
        <v>79.054377146921937</v>
      </c>
      <c r="W241" s="32">
        <f t="shared" si="315"/>
        <v>74.538789878262364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96.389466011376456</v>
      </c>
      <c r="C242" s="97">
        <f t="shared" si="317"/>
        <v>99.515431650592035</v>
      </c>
      <c r="D242" s="97">
        <f t="shared" si="317"/>
        <v>98.781448143130945</v>
      </c>
      <c r="E242" s="97">
        <f t="shared" si="317"/>
        <v>114.29012946549474</v>
      </c>
      <c r="F242" s="97">
        <f t="shared" si="317"/>
        <v>37.63969869294057</v>
      </c>
      <c r="G242" s="97">
        <f t="shared" si="317"/>
        <v>219.87833934544912</v>
      </c>
      <c r="H242" s="97">
        <f t="shared" si="317"/>
        <v>199.78471430108098</v>
      </c>
      <c r="I242" s="97">
        <f t="shared" si="317"/>
        <v>185.3734005549305</v>
      </c>
      <c r="J242" s="97">
        <f t="shared" si="317"/>
        <v>131.12189147238479</v>
      </c>
      <c r="K242" s="97">
        <f t="shared" si="317"/>
        <v>138.73274312027604</v>
      </c>
      <c r="L242" s="97">
        <f t="shared" si="317"/>
        <v>132.41768436428467</v>
      </c>
      <c r="M242" s="97">
        <f t="shared" si="317"/>
        <v>65.423689153196463</v>
      </c>
      <c r="N242" s="97">
        <f t="shared" si="317"/>
        <v>54.508596783881025</v>
      </c>
      <c r="O242" s="97">
        <f t="shared" si="317"/>
        <v>71.798201573982013</v>
      </c>
      <c r="P242" s="97">
        <f t="shared" si="317"/>
        <v>66.957181594994907</v>
      </c>
      <c r="Q242" s="97">
        <f t="shared" si="317"/>
        <v>70.02578813634274</v>
      </c>
      <c r="R242" s="97">
        <f t="shared" si="317"/>
        <v>60.816580029474117</v>
      </c>
      <c r="S242" s="97">
        <f t="shared" si="317"/>
        <v>69.442687997078664</v>
      </c>
      <c r="T242" s="97">
        <f t="shared" si="317"/>
        <v>80.488887689703631</v>
      </c>
      <c r="U242" s="97">
        <f t="shared" si="317"/>
        <v>72.811882842107778</v>
      </c>
      <c r="V242" s="97">
        <f t="shared" si="317"/>
        <v>68.723140722923844</v>
      </c>
      <c r="W242" s="97">
        <f t="shared" si="315"/>
        <v>61.275461569552768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220.5261696707262</v>
      </c>
      <c r="C243" s="98">
        <f t="shared" si="318"/>
        <v>226.71704485901788</v>
      </c>
      <c r="D243" s="98">
        <f t="shared" si="318"/>
        <v>223.94013274673463</v>
      </c>
      <c r="E243" s="98">
        <f t="shared" si="318"/>
        <v>282.92727406515451</v>
      </c>
      <c r="F243" s="98">
        <f t="shared" si="318"/>
        <v>112.68726228859884</v>
      </c>
      <c r="G243" s="98">
        <f t="shared" si="318"/>
        <v>209.51996845682959</v>
      </c>
      <c r="H243" s="98">
        <f t="shared" si="318"/>
        <v>214.7958561520332</v>
      </c>
      <c r="I243" s="98">
        <f t="shared" si="318"/>
        <v>97.845381091322849</v>
      </c>
      <c r="J243" s="98">
        <f t="shared" si="318"/>
        <v>103.32589691090558</v>
      </c>
      <c r="K243" s="98">
        <f t="shared" si="318"/>
        <v>161.56055735006299</v>
      </c>
      <c r="L243" s="98">
        <f t="shared" si="318"/>
        <v>114.96536848315336</v>
      </c>
      <c r="M243" s="98">
        <f t="shared" si="318"/>
        <v>96.972198973098827</v>
      </c>
      <c r="N243" s="98">
        <f t="shared" si="318"/>
        <v>74.740849224291921</v>
      </c>
      <c r="O243" s="98">
        <f t="shared" si="318"/>
        <v>93.794166388455949</v>
      </c>
      <c r="P243" s="98">
        <f t="shared" si="318"/>
        <v>82.967689750497627</v>
      </c>
      <c r="Q243" s="98">
        <f t="shared" si="318"/>
        <v>80.998299909293777</v>
      </c>
      <c r="R243" s="98">
        <f t="shared" si="318"/>
        <v>70.007193890452768</v>
      </c>
      <c r="S243" s="98">
        <f t="shared" si="318"/>
        <v>70.41064233155349</v>
      </c>
      <c r="T243" s="98">
        <f t="shared" si="318"/>
        <v>73.613746569086899</v>
      </c>
      <c r="U243" s="98">
        <f t="shared" si="318"/>
        <v>84.890324360235425</v>
      </c>
      <c r="V243" s="98">
        <f t="shared" si="318"/>
        <v>94.387166865380991</v>
      </c>
      <c r="W243" s="98">
        <f t="shared" si="315"/>
        <v>97.022311065284256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5167.6166069807168</v>
      </c>
      <c r="C4" s="29">
        <f t="shared" si="0"/>
        <v>5305.3298442576943</v>
      </c>
      <c r="D4" s="29">
        <f t="shared" si="0"/>
        <v>5439.8197740195628</v>
      </c>
      <c r="E4" s="29">
        <f t="shared" si="0"/>
        <v>5572.2974948176707</v>
      </c>
      <c r="F4" s="29">
        <f t="shared" si="0"/>
        <v>5981.8290281892059</v>
      </c>
      <c r="G4" s="29">
        <f t="shared" si="0"/>
        <v>6199.9526188102363</v>
      </c>
      <c r="H4" s="29">
        <f t="shared" si="0"/>
        <v>6419.9535182044119</v>
      </c>
      <c r="I4" s="29">
        <f t="shared" si="0"/>
        <v>6741.650043358969</v>
      </c>
      <c r="J4" s="29">
        <f t="shared" si="0"/>
        <v>7225.1362811497611</v>
      </c>
      <c r="K4" s="29">
        <f t="shared" si="0"/>
        <v>7427.5226574631124</v>
      </c>
      <c r="L4" s="29">
        <f t="shared" ref="L4" si="1">L5+L6+L13</f>
        <v>7332.9410838089998</v>
      </c>
      <c r="M4" s="29">
        <f t="shared" ref="M4:V4" si="2">M5+M6+M13</f>
        <v>7397.4590702398764</v>
      </c>
      <c r="N4" s="29">
        <f t="shared" si="2"/>
        <v>7459.0645626360365</v>
      </c>
      <c r="O4" s="29">
        <f t="shared" si="2"/>
        <v>7407.3976044576411</v>
      </c>
      <c r="P4" s="29">
        <f t="shared" si="2"/>
        <v>7544.0639704586001</v>
      </c>
      <c r="Q4" s="29">
        <f t="shared" si="2"/>
        <v>7764.0471137662034</v>
      </c>
      <c r="R4" s="29">
        <f t="shared" si="2"/>
        <v>8093.1062396763782</v>
      </c>
      <c r="S4" s="29">
        <f t="shared" si="2"/>
        <v>8224.1054746096816</v>
      </c>
      <c r="T4" s="29">
        <f t="shared" si="2"/>
        <v>8509.0329595421335</v>
      </c>
      <c r="U4" s="29">
        <f t="shared" si="2"/>
        <v>8763.0760268296435</v>
      </c>
      <c r="V4" s="29">
        <f t="shared" si="2"/>
        <v>7042.8566876789555</v>
      </c>
      <c r="W4" s="29">
        <f t="shared" ref="W4" si="3">W5+W6+W13</f>
        <v>7579.1361570033205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147.61660698071668</v>
      </c>
      <c r="C5" s="152">
        <f t="shared" si="4"/>
        <v>145.32984425769459</v>
      </c>
      <c r="D5" s="152">
        <f t="shared" si="4"/>
        <v>139.81977401956243</v>
      </c>
      <c r="E5" s="152">
        <f t="shared" si="4"/>
        <v>142.29749481767101</v>
      </c>
      <c r="F5" s="152">
        <f t="shared" si="4"/>
        <v>141.82902818920604</v>
      </c>
      <c r="G5" s="152">
        <f t="shared" si="4"/>
        <v>139.95261881023609</v>
      </c>
      <c r="H5" s="152">
        <f t="shared" si="4"/>
        <v>139.95351820441203</v>
      </c>
      <c r="I5" s="152">
        <f t="shared" si="4"/>
        <v>141.65004335896865</v>
      </c>
      <c r="J5" s="152">
        <f t="shared" si="4"/>
        <v>145.13628114976143</v>
      </c>
      <c r="K5" s="152">
        <f t="shared" si="4"/>
        <v>144.31453529147763</v>
      </c>
      <c r="L5" s="152">
        <f t="shared" ref="L5:L7" si="5">IF(L32=0,0,L32*L142)</f>
        <v>142.94108380900019</v>
      </c>
      <c r="M5" s="152">
        <f t="shared" ref="M5:V5" si="6">IF(M32=0,0,M32*M142)</f>
        <v>140.51057161183465</v>
      </c>
      <c r="N5" s="152">
        <f t="shared" si="6"/>
        <v>141.90893486347071</v>
      </c>
      <c r="O5" s="152">
        <f t="shared" si="6"/>
        <v>139.86227248788174</v>
      </c>
      <c r="P5" s="152">
        <f t="shared" si="6"/>
        <v>141.91028514665575</v>
      </c>
      <c r="Q5" s="152">
        <f t="shared" si="6"/>
        <v>139.19628367650421</v>
      </c>
      <c r="R5" s="152">
        <f t="shared" si="6"/>
        <v>139.11426465097412</v>
      </c>
      <c r="S5" s="152">
        <f t="shared" si="6"/>
        <v>130.68155871139288</v>
      </c>
      <c r="T5" s="152">
        <f t="shared" si="6"/>
        <v>124.18731992039095</v>
      </c>
      <c r="U5" s="152">
        <f t="shared" si="6"/>
        <v>131.15163693728485</v>
      </c>
      <c r="V5" s="152">
        <f t="shared" si="6"/>
        <v>117.2030423771111</v>
      </c>
      <c r="W5" s="152">
        <f t="shared" ref="W5" si="7">IF(W32=0,0,W32*W142)</f>
        <v>121.6845070665983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3900</v>
      </c>
      <c r="C6" s="116">
        <f t="shared" si="8"/>
        <v>4000</v>
      </c>
      <c r="D6" s="116">
        <f t="shared" si="8"/>
        <v>4100</v>
      </c>
      <c r="E6" s="116">
        <f t="shared" si="8"/>
        <v>4150</v>
      </c>
      <c r="F6" s="116">
        <f t="shared" si="8"/>
        <v>4600</v>
      </c>
      <c r="G6" s="116">
        <f t="shared" si="8"/>
        <v>4800</v>
      </c>
      <c r="H6" s="116">
        <f t="shared" si="8"/>
        <v>5000</v>
      </c>
      <c r="I6" s="116">
        <f t="shared" si="8"/>
        <v>5300</v>
      </c>
      <c r="J6" s="116">
        <f t="shared" si="8"/>
        <v>5750</v>
      </c>
      <c r="K6" s="116">
        <f t="shared" si="8"/>
        <v>6000</v>
      </c>
      <c r="L6" s="116">
        <f t="shared" ref="L6" si="9">SUM(L7:L12)</f>
        <v>5900</v>
      </c>
      <c r="M6" s="116">
        <f t="shared" ref="M6:V6" si="10">SUM(M7:M12)</f>
        <v>5931.90592556501</v>
      </c>
      <c r="N6" s="116">
        <f t="shared" si="10"/>
        <v>5951.5765516010242</v>
      </c>
      <c r="O6" s="116">
        <f t="shared" si="10"/>
        <v>5921.1434324198744</v>
      </c>
      <c r="P6" s="116">
        <f t="shared" si="10"/>
        <v>6055.7617857620589</v>
      </c>
      <c r="Q6" s="116">
        <f t="shared" si="10"/>
        <v>6198.1335730052551</v>
      </c>
      <c r="R6" s="116">
        <f t="shared" si="10"/>
        <v>6472.8965180617506</v>
      </c>
      <c r="S6" s="116">
        <f t="shared" si="10"/>
        <v>6557.3941867523126</v>
      </c>
      <c r="T6" s="116">
        <f t="shared" si="10"/>
        <v>6799.9745805257671</v>
      </c>
      <c r="U6" s="116">
        <f t="shared" si="10"/>
        <v>7034.8733638037784</v>
      </c>
      <c r="V6" s="116">
        <f t="shared" si="10"/>
        <v>6046.6964976588497</v>
      </c>
      <c r="W6" s="116">
        <f t="shared" ref="W6" si="11">SUM(W7:W12)</f>
        <v>6509.2190059238583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3205.2637390834161</v>
      </c>
      <c r="C7" s="87">
        <f t="shared" si="12"/>
        <v>3267.1934644177154</v>
      </c>
      <c r="D7" s="87">
        <f t="shared" si="12"/>
        <v>3374.0218490329171</v>
      </c>
      <c r="E7" s="87">
        <f t="shared" si="12"/>
        <v>3453.3170283331538</v>
      </c>
      <c r="F7" s="87">
        <f t="shared" si="12"/>
        <v>3908.180417975253</v>
      </c>
      <c r="G7" s="87">
        <f t="shared" si="12"/>
        <v>4136.2970305512781</v>
      </c>
      <c r="H7" s="87">
        <f t="shared" si="12"/>
        <v>4360.0209673126556</v>
      </c>
      <c r="I7" s="87">
        <f t="shared" si="12"/>
        <v>4651.0595267614935</v>
      </c>
      <c r="J7" s="87">
        <f t="shared" si="12"/>
        <v>5046.1750629259641</v>
      </c>
      <c r="K7" s="87">
        <f t="shared" si="12"/>
        <v>5254.8655195916854</v>
      </c>
      <c r="L7" s="87">
        <f t="shared" si="5"/>
        <v>5166.1622233987118</v>
      </c>
      <c r="M7" s="87">
        <f t="shared" ref="M7:V7" si="13">IF(M34=0,0,M34*M144)</f>
        <v>5202.3742492135352</v>
      </c>
      <c r="N7" s="87">
        <f t="shared" si="13"/>
        <v>5252.3998421874267</v>
      </c>
      <c r="O7" s="87">
        <f t="shared" si="13"/>
        <v>5240.8213649953623</v>
      </c>
      <c r="P7" s="87">
        <f t="shared" si="13"/>
        <v>5329.9293774822254</v>
      </c>
      <c r="Q7" s="87">
        <f t="shared" si="13"/>
        <v>5393.2998092786174</v>
      </c>
      <c r="R7" s="87">
        <f t="shared" si="13"/>
        <v>5596.5740500164675</v>
      </c>
      <c r="S7" s="87">
        <f t="shared" si="13"/>
        <v>5519.9424481924671</v>
      </c>
      <c r="T7" s="87">
        <f t="shared" si="13"/>
        <v>5545.5841284736371</v>
      </c>
      <c r="U7" s="87">
        <f t="shared" si="13"/>
        <v>5577.8548013941572</v>
      </c>
      <c r="V7" s="87">
        <f t="shared" si="13"/>
        <v>4687.1370244278714</v>
      </c>
      <c r="W7" s="87">
        <f t="shared" ref="W7" si="14">IF(W34=0,0,W34*W144)</f>
        <v>5011.7791756650386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694.73626091658389</v>
      </c>
      <c r="C8" s="87">
        <f t="shared" si="15"/>
        <v>732.8065355822846</v>
      </c>
      <c r="D8" s="87">
        <f t="shared" si="15"/>
        <v>725.97815096708291</v>
      </c>
      <c r="E8" s="87">
        <f t="shared" si="15"/>
        <v>696.6829716668467</v>
      </c>
      <c r="F8" s="87">
        <f t="shared" si="15"/>
        <v>691.81958202474743</v>
      </c>
      <c r="G8" s="87">
        <f t="shared" si="15"/>
        <v>663.70296944872189</v>
      </c>
      <c r="H8" s="87">
        <f t="shared" si="15"/>
        <v>639.97903268734444</v>
      </c>
      <c r="I8" s="87">
        <f t="shared" si="15"/>
        <v>648.94047323850646</v>
      </c>
      <c r="J8" s="87">
        <f t="shared" si="15"/>
        <v>703.82493707403592</v>
      </c>
      <c r="K8" s="87">
        <f t="shared" si="15"/>
        <v>745.13448040831463</v>
      </c>
      <c r="L8" s="87">
        <f t="shared" ref="L8" si="16">IF(L35=0,0,L35*L145)</f>
        <v>733.83777660128817</v>
      </c>
      <c r="M8" s="87">
        <f t="shared" ref="M8:V8" si="17">IF(M35=0,0,M35*M145)</f>
        <v>729.53167635147474</v>
      </c>
      <c r="N8" s="87">
        <f t="shared" si="17"/>
        <v>699.17670941359756</v>
      </c>
      <c r="O8" s="87">
        <f t="shared" si="17"/>
        <v>680.24812747408214</v>
      </c>
      <c r="P8" s="87">
        <f t="shared" si="17"/>
        <v>725.61117286418266</v>
      </c>
      <c r="Q8" s="87">
        <f t="shared" si="17"/>
        <v>804.21902374467936</v>
      </c>
      <c r="R8" s="87">
        <f t="shared" si="17"/>
        <v>875.36783431776257</v>
      </c>
      <c r="S8" s="87">
        <f t="shared" si="17"/>
        <v>1035.2169772601546</v>
      </c>
      <c r="T8" s="87">
        <f t="shared" si="17"/>
        <v>1239.9350948231404</v>
      </c>
      <c r="U8" s="87">
        <f t="shared" si="17"/>
        <v>1441.198836799841</v>
      </c>
      <c r="V8" s="87">
        <f t="shared" si="17"/>
        <v>1345.2832537461591</v>
      </c>
      <c r="W8" s="87">
        <f t="shared" ref="W8" si="18">IF(W35=0,0,W35*W145)</f>
        <v>1479.7751642661597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0</v>
      </c>
      <c r="C9" s="87">
        <f t="shared" si="19"/>
        <v>0</v>
      </c>
      <c r="D9" s="87">
        <f t="shared" si="19"/>
        <v>0</v>
      </c>
      <c r="E9" s="87">
        <f t="shared" si="19"/>
        <v>0</v>
      </c>
      <c r="F9" s="87">
        <f t="shared" si="19"/>
        <v>0</v>
      </c>
      <c r="G9" s="87">
        <f t="shared" si="19"/>
        <v>0</v>
      </c>
      <c r="H9" s="87">
        <f t="shared" si="19"/>
        <v>0</v>
      </c>
      <c r="I9" s="87">
        <f t="shared" si="19"/>
        <v>0</v>
      </c>
      <c r="J9" s="87">
        <f t="shared" si="19"/>
        <v>0</v>
      </c>
      <c r="K9" s="87">
        <f t="shared" si="19"/>
        <v>0</v>
      </c>
      <c r="L9" s="87">
        <f t="shared" ref="L9" si="20">IF(L36=0,0,L36*L146)</f>
        <v>0</v>
      </c>
      <c r="M9" s="87">
        <f t="shared" ref="M9:V9" si="21">IF(M36=0,0,M36*M146)</f>
        <v>0</v>
      </c>
      <c r="N9" s="87">
        <f t="shared" si="21"/>
        <v>0</v>
      </c>
      <c r="O9" s="87">
        <f t="shared" si="21"/>
        <v>0</v>
      </c>
      <c r="P9" s="87">
        <f t="shared" si="21"/>
        <v>0</v>
      </c>
      <c r="Q9" s="87">
        <f t="shared" si="21"/>
        <v>0</v>
      </c>
      <c r="R9" s="87">
        <f t="shared" si="21"/>
        <v>0</v>
      </c>
      <c r="S9" s="87">
        <f t="shared" si="21"/>
        <v>0</v>
      </c>
      <c r="T9" s="87">
        <f t="shared" si="21"/>
        <v>11.01149831326167</v>
      </c>
      <c r="U9" s="87">
        <f t="shared" si="21"/>
        <v>10.698935320855275</v>
      </c>
      <c r="V9" s="87">
        <f t="shared" si="21"/>
        <v>8.5941647740530378</v>
      </c>
      <c r="W9" s="87">
        <f t="shared" ref="W9" si="22">IF(W36=0,0,W36*W146)</f>
        <v>9.1662389208073645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0</v>
      </c>
      <c r="I10" s="87">
        <f t="shared" si="23"/>
        <v>0</v>
      </c>
      <c r="J10" s="87">
        <f t="shared" si="23"/>
        <v>0</v>
      </c>
      <c r="K10" s="87">
        <f t="shared" si="23"/>
        <v>0</v>
      </c>
      <c r="L10" s="87">
        <f t="shared" ref="L10" si="24">IF(L37=0,0,L37*L147)</f>
        <v>0</v>
      </c>
      <c r="M10" s="87">
        <f t="shared" ref="M10:V10" si="25">IF(M37=0,0,M37*M147)</f>
        <v>0</v>
      </c>
      <c r="N10" s="87">
        <f t="shared" si="25"/>
        <v>0</v>
      </c>
      <c r="O10" s="87">
        <f t="shared" si="25"/>
        <v>0</v>
      </c>
      <c r="P10" s="87">
        <f t="shared" si="25"/>
        <v>0</v>
      </c>
      <c r="Q10" s="87">
        <f t="shared" si="25"/>
        <v>0</v>
      </c>
      <c r="R10" s="87">
        <f t="shared" si="25"/>
        <v>0</v>
      </c>
      <c r="S10" s="87">
        <f t="shared" si="25"/>
        <v>0</v>
      </c>
      <c r="T10" s="87">
        <f t="shared" si="25"/>
        <v>0</v>
      </c>
      <c r="U10" s="87">
        <f t="shared" si="25"/>
        <v>0</v>
      </c>
      <c r="V10" s="87">
        <f t="shared" si="25"/>
        <v>0</v>
      </c>
      <c r="W10" s="87">
        <f t="shared" ref="W10" si="26">IF(W37=0,0,W37*W147)</f>
        <v>0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0</v>
      </c>
      <c r="O11" s="87">
        <f t="shared" si="29"/>
        <v>0</v>
      </c>
      <c r="P11" s="87">
        <f t="shared" si="29"/>
        <v>3.3608440866574676E-2</v>
      </c>
      <c r="Q11" s="87">
        <f t="shared" si="29"/>
        <v>0.32585210639027834</v>
      </c>
      <c r="R11" s="87">
        <f t="shared" si="29"/>
        <v>0.54677277057905149</v>
      </c>
      <c r="S11" s="87">
        <f t="shared" si="29"/>
        <v>1.1875867046350244</v>
      </c>
      <c r="T11" s="87">
        <f t="shared" si="29"/>
        <v>1.7835390133111795</v>
      </c>
      <c r="U11" s="87">
        <f t="shared" si="29"/>
        <v>2.712770794461453</v>
      </c>
      <c r="V11" s="87">
        <f t="shared" si="29"/>
        <v>3.1241858258774351</v>
      </c>
      <c r="W11" s="87">
        <f t="shared" ref="W11" si="30">IF(W38=0,0,W38*W148)</f>
        <v>4.717943180868601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</v>
      </c>
      <c r="K12" s="87">
        <f t="shared" si="31"/>
        <v>0</v>
      </c>
      <c r="L12" s="87">
        <f t="shared" ref="L12" si="32">IF(L39=0,0,L39*L149)</f>
        <v>0</v>
      </c>
      <c r="M12" s="87">
        <f t="shared" ref="M12:V12" si="33">IF(M39=0,0,M39*M149)</f>
        <v>0</v>
      </c>
      <c r="N12" s="87">
        <f t="shared" si="33"/>
        <v>0</v>
      </c>
      <c r="O12" s="87">
        <f t="shared" si="33"/>
        <v>7.3939950430087747E-2</v>
      </c>
      <c r="P12" s="87">
        <f t="shared" si="33"/>
        <v>0.18762697478410686</v>
      </c>
      <c r="Q12" s="87">
        <f t="shared" si="33"/>
        <v>0.28888787556810208</v>
      </c>
      <c r="R12" s="87">
        <f t="shared" si="33"/>
        <v>0.40786095694185365</v>
      </c>
      <c r="S12" s="87">
        <f t="shared" si="33"/>
        <v>1.0471745950565805</v>
      </c>
      <c r="T12" s="87">
        <f t="shared" si="33"/>
        <v>1.6603199024169741</v>
      </c>
      <c r="U12" s="87">
        <f t="shared" si="33"/>
        <v>2.4080194944622324</v>
      </c>
      <c r="V12" s="87">
        <f t="shared" si="33"/>
        <v>2.5578688848894719</v>
      </c>
      <c r="W12" s="87">
        <f t="shared" ref="W12" si="34">IF(W39=0,0,W39*W149)</f>
        <v>3.7804838909837102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1120</v>
      </c>
      <c r="C13" s="116">
        <f t="shared" si="35"/>
        <v>1160</v>
      </c>
      <c r="D13" s="116">
        <f t="shared" si="35"/>
        <v>1200</v>
      </c>
      <c r="E13" s="116">
        <f t="shared" si="35"/>
        <v>1280</v>
      </c>
      <c r="F13" s="116">
        <f t="shared" si="35"/>
        <v>1240</v>
      </c>
      <c r="G13" s="116">
        <f t="shared" si="35"/>
        <v>1260</v>
      </c>
      <c r="H13" s="116">
        <f t="shared" si="35"/>
        <v>1279.9999999999998</v>
      </c>
      <c r="I13" s="116">
        <f t="shared" si="35"/>
        <v>1300</v>
      </c>
      <c r="J13" s="116">
        <f t="shared" si="35"/>
        <v>1330</v>
      </c>
      <c r="K13" s="116">
        <f t="shared" si="35"/>
        <v>1283.2081221716342</v>
      </c>
      <c r="L13" s="116">
        <f t="shared" ref="L13" si="36">SUM(L14:L18)</f>
        <v>1290</v>
      </c>
      <c r="M13" s="116">
        <f t="shared" ref="M13:V13" si="37">SUM(M14:M18)</f>
        <v>1325.0425730630311</v>
      </c>
      <c r="N13" s="116">
        <f t="shared" si="37"/>
        <v>1365.5790761715421</v>
      </c>
      <c r="O13" s="116">
        <f t="shared" si="37"/>
        <v>1346.3918995498855</v>
      </c>
      <c r="P13" s="116">
        <f t="shared" si="37"/>
        <v>1346.3918995498855</v>
      </c>
      <c r="Q13" s="116">
        <f t="shared" si="37"/>
        <v>1426.7172570844441</v>
      </c>
      <c r="R13" s="116">
        <f t="shared" si="37"/>
        <v>1481.0954569636533</v>
      </c>
      <c r="S13" s="116">
        <f t="shared" si="37"/>
        <v>1536.0297291459747</v>
      </c>
      <c r="T13" s="116">
        <f t="shared" si="37"/>
        <v>1584.8710590959747</v>
      </c>
      <c r="U13" s="116">
        <f t="shared" si="37"/>
        <v>1597.0510260885806</v>
      </c>
      <c r="V13" s="116">
        <f t="shared" si="37"/>
        <v>878.95714764299453</v>
      </c>
      <c r="W13" s="116">
        <f t="shared" ref="W13" si="38">SUM(W14:W18)</f>
        <v>948.23264401286337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28.806371814967807</v>
      </c>
      <c r="C14" s="101">
        <f t="shared" si="39"/>
        <v>28.4539224674199</v>
      </c>
      <c r="D14" s="101">
        <f t="shared" si="39"/>
        <v>27.561179588400776</v>
      </c>
      <c r="E14" s="101">
        <f t="shared" si="39"/>
        <v>27.716459564532176</v>
      </c>
      <c r="F14" s="101">
        <f t="shared" si="39"/>
        <v>27.328092951591117</v>
      </c>
      <c r="G14" s="101">
        <f t="shared" si="39"/>
        <v>27.153777838625558</v>
      </c>
      <c r="H14" s="101">
        <f t="shared" si="39"/>
        <v>27.739693389324955</v>
      </c>
      <c r="I14" s="101">
        <f t="shared" si="39"/>
        <v>27.542500702581034</v>
      </c>
      <c r="J14" s="101">
        <f t="shared" si="39"/>
        <v>27.717580317445869</v>
      </c>
      <c r="K14" s="101">
        <f t="shared" si="39"/>
        <v>27.085458166140331</v>
      </c>
      <c r="L14" s="101">
        <f t="shared" ref="L14" si="40">IF(L41=0,0,L41*L151)</f>
        <v>27.488781094381498</v>
      </c>
      <c r="M14" s="101">
        <f t="shared" ref="M14:V14" si="41">IF(M41=0,0,M41*M151)</f>
        <v>27.879709046455687</v>
      </c>
      <c r="N14" s="101">
        <f t="shared" si="41"/>
        <v>28.072991384415516</v>
      </c>
      <c r="O14" s="101">
        <f t="shared" si="41"/>
        <v>27.70168091146061</v>
      </c>
      <c r="P14" s="101">
        <f t="shared" si="41"/>
        <v>9.6205673880216871</v>
      </c>
      <c r="Q14" s="101">
        <f t="shared" si="41"/>
        <v>8.4983766011011017</v>
      </c>
      <c r="R14" s="101">
        <f t="shared" si="41"/>
        <v>8.4055500750296126</v>
      </c>
      <c r="S14" s="101">
        <f t="shared" si="41"/>
        <v>8.6917148646479934</v>
      </c>
      <c r="T14" s="101">
        <f t="shared" si="41"/>
        <v>9.0920092222676807</v>
      </c>
      <c r="U14" s="101">
        <f t="shared" si="41"/>
        <v>9.0690624840881728</v>
      </c>
      <c r="V14" s="101">
        <f t="shared" si="41"/>
        <v>7.3484287795849816</v>
      </c>
      <c r="W14" s="101">
        <f t="shared" ref="W14" si="42">IF(W41=0,0,W41*W151)</f>
        <v>8.408308090025006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1091.1936281850321</v>
      </c>
      <c r="C15" s="101">
        <f t="shared" si="43"/>
        <v>1131.5460775325801</v>
      </c>
      <c r="D15" s="101">
        <f t="shared" si="43"/>
        <v>1172.4388204115992</v>
      </c>
      <c r="E15" s="101">
        <f t="shared" si="43"/>
        <v>1252.2835404354678</v>
      </c>
      <c r="F15" s="101">
        <f t="shared" si="43"/>
        <v>1212.6719070484089</v>
      </c>
      <c r="G15" s="101">
        <f t="shared" si="43"/>
        <v>1232.8462221613745</v>
      </c>
      <c r="H15" s="101">
        <f t="shared" si="43"/>
        <v>1252.2603066106749</v>
      </c>
      <c r="I15" s="101">
        <f t="shared" si="43"/>
        <v>1272.457499297419</v>
      </c>
      <c r="J15" s="101">
        <f t="shared" si="43"/>
        <v>1301.9582790010618</v>
      </c>
      <c r="K15" s="101">
        <f t="shared" si="43"/>
        <v>1255.7951074634461</v>
      </c>
      <c r="L15" s="101">
        <f t="shared" ref="L15" si="44">IF(L42=0,0,L42*L152)</f>
        <v>1262.1772454056033</v>
      </c>
      <c r="M15" s="101">
        <f t="shared" ref="M15:V15" si="45">IF(M42=0,0,M42*M152)</f>
        <v>1296.8255012223551</v>
      </c>
      <c r="N15" s="101">
        <f t="shared" si="45"/>
        <v>1337.1657789297092</v>
      </c>
      <c r="O15" s="101">
        <f t="shared" si="45"/>
        <v>1318.3477605557364</v>
      </c>
      <c r="P15" s="101">
        <f t="shared" si="45"/>
        <v>1336.4290809561837</v>
      </c>
      <c r="Q15" s="101">
        <f t="shared" si="45"/>
        <v>1417.8754129528095</v>
      </c>
      <c r="R15" s="101">
        <f t="shared" si="45"/>
        <v>1472.3471287794232</v>
      </c>
      <c r="S15" s="101">
        <f t="shared" si="45"/>
        <v>1526.9962395190146</v>
      </c>
      <c r="T15" s="101">
        <f t="shared" si="45"/>
        <v>1575.438431267067</v>
      </c>
      <c r="U15" s="101">
        <f t="shared" si="45"/>
        <v>1587.6416664549436</v>
      </c>
      <c r="V15" s="101">
        <f t="shared" si="45"/>
        <v>871.37295253149057</v>
      </c>
      <c r="W15" s="101">
        <f t="shared" ref="W15" si="46">IF(W42=0,0,W42*W152)</f>
        <v>939.58240644782074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</v>
      </c>
      <c r="M16" s="101">
        <f t="shared" ref="M16:V16" si="49">IF(M43=0,0,M43*M153)</f>
        <v>0</v>
      </c>
      <c r="N16" s="101">
        <f t="shared" si="49"/>
        <v>0</v>
      </c>
      <c r="O16" s="101">
        <f t="shared" si="49"/>
        <v>0</v>
      </c>
      <c r="P16" s="101">
        <f t="shared" si="49"/>
        <v>0</v>
      </c>
      <c r="Q16" s="101">
        <f t="shared" si="49"/>
        <v>0</v>
      </c>
      <c r="R16" s="101">
        <f t="shared" si="49"/>
        <v>0</v>
      </c>
      <c r="S16" s="101">
        <f t="shared" si="49"/>
        <v>0</v>
      </c>
      <c r="T16" s="101">
        <f t="shared" si="49"/>
        <v>0</v>
      </c>
      <c r="U16" s="101">
        <f t="shared" si="49"/>
        <v>0</v>
      </c>
      <c r="V16" s="101">
        <f t="shared" si="49"/>
        <v>0</v>
      </c>
      <c r="W16" s="101">
        <f t="shared" ref="W16" si="50">IF(W43=0,0,W43*W153)</f>
        <v>0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0</v>
      </c>
      <c r="C17" s="101">
        <f t="shared" si="51"/>
        <v>0</v>
      </c>
      <c r="D17" s="101">
        <f t="shared" si="51"/>
        <v>0</v>
      </c>
      <c r="E17" s="101">
        <f t="shared" si="51"/>
        <v>0</v>
      </c>
      <c r="F17" s="101">
        <f t="shared" si="51"/>
        <v>0</v>
      </c>
      <c r="G17" s="101">
        <f t="shared" si="51"/>
        <v>0</v>
      </c>
      <c r="H17" s="101">
        <f t="shared" si="51"/>
        <v>0</v>
      </c>
      <c r="I17" s="101">
        <f t="shared" si="51"/>
        <v>0</v>
      </c>
      <c r="J17" s="101">
        <f t="shared" si="51"/>
        <v>0</v>
      </c>
      <c r="K17" s="101">
        <f t="shared" si="51"/>
        <v>0</v>
      </c>
      <c r="L17" s="101">
        <f t="shared" ref="L17" si="52">IF(L44=0,0,L44*L154)</f>
        <v>0</v>
      </c>
      <c r="M17" s="101">
        <f t="shared" ref="M17:V17" si="53">IF(M44=0,0,M44*M154)</f>
        <v>0</v>
      </c>
      <c r="N17" s="101">
        <f t="shared" si="53"/>
        <v>0</v>
      </c>
      <c r="O17" s="101">
        <f t="shared" si="53"/>
        <v>0</v>
      </c>
      <c r="P17" s="101">
        <f t="shared" si="53"/>
        <v>0</v>
      </c>
      <c r="Q17" s="101">
        <f t="shared" si="53"/>
        <v>0</v>
      </c>
      <c r="R17" s="101">
        <f t="shared" si="53"/>
        <v>0</v>
      </c>
      <c r="S17" s="101">
        <f t="shared" si="53"/>
        <v>0</v>
      </c>
      <c r="T17" s="101">
        <f t="shared" si="53"/>
        <v>0</v>
      </c>
      <c r="U17" s="101">
        <f t="shared" si="53"/>
        <v>0</v>
      </c>
      <c r="V17" s="101">
        <f t="shared" si="53"/>
        <v>0</v>
      </c>
      <c r="W17" s="101">
        <f t="shared" ref="W17" si="54">IF(W44=0,0,W44*W154)</f>
        <v>0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0</v>
      </c>
      <c r="C18" s="101">
        <f t="shared" si="55"/>
        <v>0</v>
      </c>
      <c r="D18" s="101">
        <f t="shared" si="55"/>
        <v>0</v>
      </c>
      <c r="E18" s="101">
        <f t="shared" si="55"/>
        <v>0</v>
      </c>
      <c r="F18" s="101">
        <f t="shared" si="55"/>
        <v>0</v>
      </c>
      <c r="G18" s="101">
        <f t="shared" si="55"/>
        <v>0</v>
      </c>
      <c r="H18" s="101">
        <f t="shared" si="55"/>
        <v>0</v>
      </c>
      <c r="I18" s="101">
        <f t="shared" si="55"/>
        <v>0</v>
      </c>
      <c r="J18" s="101">
        <f t="shared" si="55"/>
        <v>0.32414068149224334</v>
      </c>
      <c r="K18" s="101">
        <f t="shared" si="55"/>
        <v>0.32755654204773887</v>
      </c>
      <c r="L18" s="101">
        <f t="shared" ref="L18" si="56">IF(L45=0,0,L45*L155)</f>
        <v>0.33397350001520887</v>
      </c>
      <c r="M18" s="101">
        <f t="shared" ref="M18:V18" si="57">IF(M45=0,0,M45*M155)</f>
        <v>0.33736279422031518</v>
      </c>
      <c r="N18" s="101">
        <f t="shared" si="57"/>
        <v>0.3403058574175381</v>
      </c>
      <c r="O18" s="101">
        <f t="shared" si="57"/>
        <v>0.34245808268839389</v>
      </c>
      <c r="P18" s="101">
        <f t="shared" si="57"/>
        <v>0.3422512056800982</v>
      </c>
      <c r="Q18" s="101">
        <f t="shared" si="57"/>
        <v>0.34346753053332696</v>
      </c>
      <c r="R18" s="101">
        <f t="shared" si="57"/>
        <v>0.34277810920048951</v>
      </c>
      <c r="S18" s="101">
        <f t="shared" si="57"/>
        <v>0.34177476231196036</v>
      </c>
      <c r="T18" s="101">
        <f t="shared" si="57"/>
        <v>0.34061860664006638</v>
      </c>
      <c r="U18" s="101">
        <f t="shared" si="57"/>
        <v>0.34029714954883955</v>
      </c>
      <c r="V18" s="101">
        <f t="shared" si="57"/>
        <v>0.23576633191893476</v>
      </c>
      <c r="W18" s="101">
        <f t="shared" ref="W18" si="58">IF(W45=0,0,W45*W155)</f>
        <v>0.24192947501762543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1444.3009444595652</v>
      </c>
      <c r="C19" s="29">
        <f t="shared" si="59"/>
        <v>1457.8896855726732</v>
      </c>
      <c r="D19" s="29">
        <f t="shared" si="59"/>
        <v>1459.7423414110895</v>
      </c>
      <c r="E19" s="29">
        <f t="shared" si="59"/>
        <v>1546.0982828978524</v>
      </c>
      <c r="F19" s="29">
        <f t="shared" si="59"/>
        <v>1267.100738176867</v>
      </c>
      <c r="G19" s="29">
        <f t="shared" si="59"/>
        <v>1546.9233641430305</v>
      </c>
      <c r="H19" s="29">
        <f t="shared" si="59"/>
        <v>1306.9220209272751</v>
      </c>
      <c r="I19" s="29">
        <f t="shared" si="59"/>
        <v>1344.381109992461</v>
      </c>
      <c r="J19" s="29">
        <f t="shared" si="59"/>
        <v>1465.724370521126</v>
      </c>
      <c r="K19" s="29">
        <f t="shared" si="59"/>
        <v>1103.0278236006616</v>
      </c>
      <c r="L19" s="29">
        <f t="shared" ref="L19" si="60">L20+L26</f>
        <v>1225.6085639930711</v>
      </c>
      <c r="M19" s="29">
        <f t="shared" ref="M19:V19" si="61">M20+M26</f>
        <v>1084.1407309871938</v>
      </c>
      <c r="N19" s="29">
        <f t="shared" si="61"/>
        <v>1042.7449614550715</v>
      </c>
      <c r="O19" s="29">
        <f t="shared" si="61"/>
        <v>774.57986296564354</v>
      </c>
      <c r="P19" s="29">
        <f t="shared" si="61"/>
        <v>674.85816296218377</v>
      </c>
      <c r="Q19" s="29">
        <f t="shared" si="61"/>
        <v>695.14994143680588</v>
      </c>
      <c r="R19" s="29">
        <f t="shared" si="61"/>
        <v>839.96530199965412</v>
      </c>
      <c r="S19" s="29">
        <f t="shared" si="61"/>
        <v>965.6288917721954</v>
      </c>
      <c r="T19" s="29">
        <f t="shared" si="61"/>
        <v>1037.3766711476314</v>
      </c>
      <c r="U19" s="29">
        <f t="shared" si="61"/>
        <v>1002.3889378474216</v>
      </c>
      <c r="V19" s="29">
        <f t="shared" si="61"/>
        <v>839.54320990166991</v>
      </c>
      <c r="W19" s="29">
        <f t="shared" ref="W19" si="62">W20+W26</f>
        <v>868.9777659890957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164.30094445956533</v>
      </c>
      <c r="C20" s="152">
        <f t="shared" si="63"/>
        <v>167.88968557267324</v>
      </c>
      <c r="D20" s="152">
        <f t="shared" si="63"/>
        <v>173.74234141108954</v>
      </c>
      <c r="E20" s="152">
        <f t="shared" si="63"/>
        <v>176.09828289785222</v>
      </c>
      <c r="F20" s="152">
        <f t="shared" si="63"/>
        <v>165.10073817686694</v>
      </c>
      <c r="G20" s="152">
        <f t="shared" si="63"/>
        <v>172.92336414303051</v>
      </c>
      <c r="H20" s="152">
        <f t="shared" si="63"/>
        <v>161.92202092727476</v>
      </c>
      <c r="I20" s="152">
        <f t="shared" si="63"/>
        <v>160.38110999246112</v>
      </c>
      <c r="J20" s="152">
        <f t="shared" si="63"/>
        <v>169.72437052112599</v>
      </c>
      <c r="K20" s="152">
        <f t="shared" si="63"/>
        <v>159.02782360066155</v>
      </c>
      <c r="L20" s="152">
        <f t="shared" ref="L20" si="64">SUM(L21:L25)</f>
        <v>159.60856399307116</v>
      </c>
      <c r="M20" s="152">
        <f t="shared" ref="M20:V20" si="65">SUM(M21:M25)</f>
        <v>161.14073098719382</v>
      </c>
      <c r="N20" s="152">
        <f t="shared" si="65"/>
        <v>162.74496145507146</v>
      </c>
      <c r="O20" s="152">
        <f t="shared" si="65"/>
        <v>156.57986296564349</v>
      </c>
      <c r="P20" s="152">
        <f t="shared" si="65"/>
        <v>148.85816296218383</v>
      </c>
      <c r="Q20" s="152">
        <f t="shared" si="65"/>
        <v>147.1499414368059</v>
      </c>
      <c r="R20" s="152">
        <f t="shared" si="65"/>
        <v>155.96530199965412</v>
      </c>
      <c r="S20" s="152">
        <f t="shared" si="65"/>
        <v>163.62889177219537</v>
      </c>
      <c r="T20" s="152">
        <f t="shared" si="65"/>
        <v>172.37667114763136</v>
      </c>
      <c r="U20" s="152">
        <f t="shared" si="65"/>
        <v>171.38893784742169</v>
      </c>
      <c r="V20" s="152">
        <f t="shared" si="65"/>
        <v>167.54320990166994</v>
      </c>
      <c r="W20" s="152">
        <f t="shared" ref="W20" si="66">SUM(W21:W25)</f>
        <v>165.97776598909573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8.6824364839388757</v>
      </c>
      <c r="C21" s="87">
        <f t="shared" si="67"/>
        <v>9.0105528675245203</v>
      </c>
      <c r="D21" s="87">
        <f t="shared" si="67"/>
        <v>8.675354958217655</v>
      </c>
      <c r="E21" s="87">
        <f t="shared" si="67"/>
        <v>9.450838565449752</v>
      </c>
      <c r="F21" s="87">
        <f t="shared" si="67"/>
        <v>7.9612013328731113</v>
      </c>
      <c r="G21" s="87">
        <f t="shared" si="67"/>
        <v>6.1297127759568282</v>
      </c>
      <c r="H21" s="87">
        <f t="shared" si="67"/>
        <v>5.7394332186838071</v>
      </c>
      <c r="I21" s="87">
        <f t="shared" si="67"/>
        <v>5.2475614677653608</v>
      </c>
      <c r="J21" s="87">
        <f t="shared" si="67"/>
        <v>5.799495172320972</v>
      </c>
      <c r="K21" s="87">
        <f t="shared" si="67"/>
        <v>5.4151814404095964</v>
      </c>
      <c r="L21" s="87">
        <f t="shared" ref="L21" si="68">IF(L48=0,0,L48*L158)</f>
        <v>5.1953463967660731</v>
      </c>
      <c r="M21" s="87">
        <f t="shared" ref="M21:V21" si="69">IF(M48=0,0,M48*M158)</f>
        <v>5.149377791101565</v>
      </c>
      <c r="N21" s="87">
        <f t="shared" si="69"/>
        <v>5.1620734063982221</v>
      </c>
      <c r="O21" s="87">
        <f t="shared" si="69"/>
        <v>4.9811468506375451</v>
      </c>
      <c r="P21" s="87">
        <f t="shared" si="69"/>
        <v>4.675126945534446</v>
      </c>
      <c r="Q21" s="87">
        <f t="shared" si="69"/>
        <v>4.608037240147719</v>
      </c>
      <c r="R21" s="87">
        <f t="shared" si="69"/>
        <v>4.7758578043942794</v>
      </c>
      <c r="S21" s="87">
        <f t="shared" si="69"/>
        <v>4.8541897308286392</v>
      </c>
      <c r="T21" s="87">
        <f t="shared" si="69"/>
        <v>4.9968809563816219</v>
      </c>
      <c r="U21" s="87">
        <f t="shared" si="69"/>
        <v>5.0235893250084187</v>
      </c>
      <c r="V21" s="87">
        <f t="shared" si="69"/>
        <v>5.0052991241187543</v>
      </c>
      <c r="W21" s="87">
        <f t="shared" ref="W21" si="70">IF(W48=0,0,W48*W158)</f>
        <v>5.0732112824089297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155.61850797562644</v>
      </c>
      <c r="C22" s="87">
        <f t="shared" si="71"/>
        <v>158.87913270514872</v>
      </c>
      <c r="D22" s="87">
        <f t="shared" si="71"/>
        <v>165.06698645287187</v>
      </c>
      <c r="E22" s="87">
        <f t="shared" si="71"/>
        <v>166.64744433240247</v>
      </c>
      <c r="F22" s="87">
        <f t="shared" si="71"/>
        <v>157.13953684399382</v>
      </c>
      <c r="G22" s="87">
        <f t="shared" si="71"/>
        <v>166.79365136707369</v>
      </c>
      <c r="H22" s="87">
        <f t="shared" si="71"/>
        <v>156.18258770859094</v>
      </c>
      <c r="I22" s="87">
        <f t="shared" si="71"/>
        <v>155.13177647964432</v>
      </c>
      <c r="J22" s="87">
        <f t="shared" si="71"/>
        <v>163.92215874626442</v>
      </c>
      <c r="K22" s="87">
        <f t="shared" si="71"/>
        <v>153.60983160601722</v>
      </c>
      <c r="L22" s="87">
        <f t="shared" ref="L22" si="72">IF(L49=0,0,L49*L159)</f>
        <v>154.4085228702416</v>
      </c>
      <c r="M22" s="87">
        <f t="shared" ref="M22:V22" si="73">IF(M49=0,0,M49*M159)</f>
        <v>155.98568910132656</v>
      </c>
      <c r="N22" s="87">
        <f t="shared" si="73"/>
        <v>157.57719820925925</v>
      </c>
      <c r="O22" s="87">
        <f t="shared" si="73"/>
        <v>151.59290062887962</v>
      </c>
      <c r="P22" s="87">
        <f t="shared" si="73"/>
        <v>144.17816478053567</v>
      </c>
      <c r="Q22" s="87">
        <f t="shared" si="73"/>
        <v>142.5370218370461</v>
      </c>
      <c r="R22" s="87">
        <f t="shared" si="73"/>
        <v>151.18457377218925</v>
      </c>
      <c r="S22" s="87">
        <f t="shared" si="73"/>
        <v>158.76984333251053</v>
      </c>
      <c r="T22" s="87">
        <f t="shared" si="73"/>
        <v>167.37590804892929</v>
      </c>
      <c r="U22" s="87">
        <f t="shared" si="73"/>
        <v>166.35857049600423</v>
      </c>
      <c r="V22" s="87">
        <f t="shared" si="73"/>
        <v>162.53030156726496</v>
      </c>
      <c r="W22" s="87">
        <f t="shared" ref="W22" si="74">IF(W49=0,0,W49*W159)</f>
        <v>160.89299051360078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0</v>
      </c>
      <c r="I23" s="87">
        <f t="shared" si="75"/>
        <v>0</v>
      </c>
      <c r="J23" s="87">
        <f t="shared" si="75"/>
        <v>0</v>
      </c>
      <c r="K23" s="87">
        <f t="shared" si="75"/>
        <v>0</v>
      </c>
      <c r="L23" s="87">
        <f t="shared" ref="L23" si="76">IF(L50=0,0,L50*L160)</f>
        <v>0</v>
      </c>
      <c r="M23" s="87">
        <f t="shared" ref="M23:V23" si="77">IF(M50=0,0,M50*M160)</f>
        <v>0</v>
      </c>
      <c r="N23" s="87">
        <f t="shared" si="77"/>
        <v>0</v>
      </c>
      <c r="O23" s="87">
        <f t="shared" si="77"/>
        <v>0</v>
      </c>
      <c r="P23" s="87">
        <f t="shared" si="77"/>
        <v>0</v>
      </c>
      <c r="Q23" s="87">
        <f t="shared" si="77"/>
        <v>0</v>
      </c>
      <c r="R23" s="87">
        <f t="shared" si="77"/>
        <v>0</v>
      </c>
      <c r="S23" s="87">
        <f t="shared" si="77"/>
        <v>0</v>
      </c>
      <c r="T23" s="87">
        <f t="shared" si="77"/>
        <v>0</v>
      </c>
      <c r="U23" s="87">
        <f t="shared" si="77"/>
        <v>0</v>
      </c>
      <c r="V23" s="87">
        <f t="shared" si="77"/>
        <v>0</v>
      </c>
      <c r="W23" s="87">
        <f t="shared" ref="W23" si="78">IF(W50=0,0,W50*W160)</f>
        <v>0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0</v>
      </c>
      <c r="L24" s="87">
        <f t="shared" ref="L24" si="80">IF(L51=0,0,L51*L161)</f>
        <v>0</v>
      </c>
      <c r="M24" s="87">
        <f t="shared" ref="M24:V24" si="81">IF(M51=0,0,M51*M161)</f>
        <v>0</v>
      </c>
      <c r="N24" s="87">
        <f t="shared" si="81"/>
        <v>0</v>
      </c>
      <c r="O24" s="87">
        <f t="shared" si="81"/>
        <v>0</v>
      </c>
      <c r="P24" s="87">
        <f t="shared" si="81"/>
        <v>0</v>
      </c>
      <c r="Q24" s="87">
        <f t="shared" si="81"/>
        <v>0</v>
      </c>
      <c r="R24" s="87">
        <f t="shared" si="81"/>
        <v>0</v>
      </c>
      <c r="S24" s="87">
        <f t="shared" si="81"/>
        <v>0</v>
      </c>
      <c r="T24" s="87">
        <f t="shared" si="81"/>
        <v>0</v>
      </c>
      <c r="U24" s="87">
        <f t="shared" si="81"/>
        <v>0</v>
      </c>
      <c r="V24" s="87">
        <f t="shared" si="81"/>
        <v>0</v>
      </c>
      <c r="W24" s="87">
        <f t="shared" ref="W24" si="82">IF(W51=0,0,W51*W161)</f>
        <v>0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1.7720450514445616E-3</v>
      </c>
      <c r="J25" s="87">
        <f t="shared" si="83"/>
        <v>2.7166025406075035E-3</v>
      </c>
      <c r="K25" s="87">
        <f t="shared" si="83"/>
        <v>2.8105542347546478E-3</v>
      </c>
      <c r="L25" s="87">
        <f t="shared" ref="L25" si="84">IF(L52=0,0,L52*L162)</f>
        <v>4.6947260635036596E-3</v>
      </c>
      <c r="M25" s="87">
        <f t="shared" ref="M25:V25" si="85">IF(M52=0,0,M52*M162)</f>
        <v>5.6640947657040164E-3</v>
      </c>
      <c r="N25" s="87">
        <f t="shared" si="85"/>
        <v>5.6898394139777517E-3</v>
      </c>
      <c r="O25" s="87">
        <f t="shared" si="85"/>
        <v>5.8154861263274077E-3</v>
      </c>
      <c r="P25" s="87">
        <f t="shared" si="85"/>
        <v>4.8712361137143419E-3</v>
      </c>
      <c r="Q25" s="87">
        <f t="shared" si="85"/>
        <v>4.8823596120847346E-3</v>
      </c>
      <c r="R25" s="87">
        <f t="shared" si="85"/>
        <v>4.8704230705670969E-3</v>
      </c>
      <c r="S25" s="87">
        <f t="shared" si="85"/>
        <v>4.8587088562009936E-3</v>
      </c>
      <c r="T25" s="87">
        <f t="shared" si="85"/>
        <v>3.8821423204485643E-3</v>
      </c>
      <c r="U25" s="87">
        <f t="shared" si="85"/>
        <v>6.7780264090172727E-3</v>
      </c>
      <c r="V25" s="87">
        <f t="shared" si="85"/>
        <v>7.6092102862369785E-3</v>
      </c>
      <c r="W25" s="87">
        <f t="shared" ref="W25" si="86">IF(W52=0,0,W52*W162)</f>
        <v>1.1564193086026308E-2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1280</v>
      </c>
      <c r="C26" s="116">
        <f t="shared" si="87"/>
        <v>1290</v>
      </c>
      <c r="D26" s="116">
        <f t="shared" si="87"/>
        <v>1286</v>
      </c>
      <c r="E26" s="116">
        <f t="shared" si="87"/>
        <v>1370.0000000000002</v>
      </c>
      <c r="F26" s="116">
        <f t="shared" si="87"/>
        <v>1102</v>
      </c>
      <c r="G26" s="116">
        <f t="shared" si="87"/>
        <v>1374</v>
      </c>
      <c r="H26" s="116">
        <f t="shared" si="87"/>
        <v>1145.0000000000002</v>
      </c>
      <c r="I26" s="116">
        <f t="shared" si="87"/>
        <v>1184</v>
      </c>
      <c r="J26" s="116">
        <f t="shared" si="87"/>
        <v>1296</v>
      </c>
      <c r="K26" s="116">
        <f t="shared" si="87"/>
        <v>944</v>
      </c>
      <c r="L26" s="116">
        <f t="shared" ref="L26" si="88">SUM(L27:L28)</f>
        <v>1066</v>
      </c>
      <c r="M26" s="116">
        <f t="shared" ref="M26:V26" si="89">SUM(M27:M28)</f>
        <v>923</v>
      </c>
      <c r="N26" s="116">
        <f t="shared" si="89"/>
        <v>880</v>
      </c>
      <c r="O26" s="116">
        <f t="shared" si="89"/>
        <v>618</v>
      </c>
      <c r="P26" s="116">
        <f t="shared" si="89"/>
        <v>526</v>
      </c>
      <c r="Q26" s="116">
        <f t="shared" si="89"/>
        <v>548</v>
      </c>
      <c r="R26" s="116">
        <f t="shared" si="89"/>
        <v>684</v>
      </c>
      <c r="S26" s="116">
        <f t="shared" si="89"/>
        <v>802</v>
      </c>
      <c r="T26" s="116">
        <f t="shared" si="89"/>
        <v>865</v>
      </c>
      <c r="U26" s="116">
        <f t="shared" si="89"/>
        <v>831</v>
      </c>
      <c r="V26" s="116">
        <f t="shared" si="89"/>
        <v>672</v>
      </c>
      <c r="W26" s="116">
        <f t="shared" ref="W26" si="90">SUM(W27:W28)</f>
        <v>703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1280</v>
      </c>
      <c r="C27" s="101">
        <f t="shared" si="91"/>
        <v>1290</v>
      </c>
      <c r="D27" s="101">
        <f t="shared" si="91"/>
        <v>1286</v>
      </c>
      <c r="E27" s="101">
        <f t="shared" si="91"/>
        <v>1370.0000000000002</v>
      </c>
      <c r="F27" s="101">
        <f t="shared" si="91"/>
        <v>1102</v>
      </c>
      <c r="G27" s="101">
        <f t="shared" si="91"/>
        <v>1374</v>
      </c>
      <c r="H27" s="101">
        <f t="shared" si="91"/>
        <v>1145.0000000000002</v>
      </c>
      <c r="I27" s="101">
        <f t="shared" si="91"/>
        <v>1184</v>
      </c>
      <c r="J27" s="101">
        <f t="shared" si="91"/>
        <v>1296</v>
      </c>
      <c r="K27" s="101">
        <f t="shared" si="91"/>
        <v>944</v>
      </c>
      <c r="L27" s="101">
        <f t="shared" ref="L27:V27" si="92">IF(L54=0,0,L54*L164)</f>
        <v>1066</v>
      </c>
      <c r="M27" s="101">
        <f t="shared" si="92"/>
        <v>923</v>
      </c>
      <c r="N27" s="101">
        <f t="shared" si="92"/>
        <v>880</v>
      </c>
      <c r="O27" s="101">
        <f t="shared" si="92"/>
        <v>618</v>
      </c>
      <c r="P27" s="101">
        <f t="shared" si="92"/>
        <v>526</v>
      </c>
      <c r="Q27" s="101">
        <f t="shared" si="92"/>
        <v>548</v>
      </c>
      <c r="R27" s="101">
        <f t="shared" si="92"/>
        <v>684</v>
      </c>
      <c r="S27" s="101">
        <f t="shared" si="92"/>
        <v>802</v>
      </c>
      <c r="T27" s="101">
        <f t="shared" si="92"/>
        <v>865</v>
      </c>
      <c r="U27" s="101">
        <f t="shared" si="92"/>
        <v>831</v>
      </c>
      <c r="V27" s="101">
        <f t="shared" si="92"/>
        <v>672</v>
      </c>
      <c r="W27" s="101">
        <f t="shared" ref="W27" si="93">IF(W54=0,0,W54*W164)</f>
        <v>703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0</v>
      </c>
      <c r="C28" s="88">
        <f t="shared" si="94"/>
        <v>0</v>
      </c>
      <c r="D28" s="88">
        <f t="shared" si="94"/>
        <v>0</v>
      </c>
      <c r="E28" s="88">
        <f t="shared" si="94"/>
        <v>0</v>
      </c>
      <c r="F28" s="88">
        <f t="shared" si="94"/>
        <v>0</v>
      </c>
      <c r="G28" s="88">
        <f t="shared" si="94"/>
        <v>0</v>
      </c>
      <c r="H28" s="88">
        <f t="shared" si="94"/>
        <v>0</v>
      </c>
      <c r="I28" s="88">
        <f t="shared" si="94"/>
        <v>0</v>
      </c>
      <c r="J28" s="88">
        <f t="shared" si="94"/>
        <v>0</v>
      </c>
      <c r="K28" s="88">
        <f t="shared" si="94"/>
        <v>0</v>
      </c>
      <c r="L28" s="88">
        <f t="shared" ref="L28:V28" si="95">IF(L55=0,0,L55*L165)</f>
        <v>0</v>
      </c>
      <c r="M28" s="88">
        <f t="shared" si="95"/>
        <v>0</v>
      </c>
      <c r="N28" s="88">
        <f t="shared" si="95"/>
        <v>0</v>
      </c>
      <c r="O28" s="88">
        <f t="shared" si="95"/>
        <v>0</v>
      </c>
      <c r="P28" s="88">
        <f t="shared" si="95"/>
        <v>0</v>
      </c>
      <c r="Q28" s="88">
        <f t="shared" si="95"/>
        <v>0</v>
      </c>
      <c r="R28" s="88">
        <f t="shared" si="95"/>
        <v>0</v>
      </c>
      <c r="S28" s="88">
        <f t="shared" si="95"/>
        <v>0</v>
      </c>
      <c r="T28" s="88">
        <f t="shared" si="95"/>
        <v>0</v>
      </c>
      <c r="U28" s="88">
        <f t="shared" si="95"/>
        <v>0</v>
      </c>
      <c r="V28" s="88">
        <f t="shared" si="95"/>
        <v>0</v>
      </c>
      <c r="W28" s="88">
        <f t="shared" ref="W28" si="96">IF(W55=0,0,W55*W165)</f>
        <v>0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4880.3980607683934</v>
      </c>
      <c r="C30" s="62">
        <f t="shared" ref="C30:V30" si="98">C31+C46</f>
        <v>5063.2471251665957</v>
      </c>
      <c r="D30" s="62">
        <f t="shared" si="98"/>
        <v>5194.1147734459728</v>
      </c>
      <c r="E30" s="62">
        <f t="shared" si="98"/>
        <v>5380.8867685277237</v>
      </c>
      <c r="F30" s="62">
        <f t="shared" si="98"/>
        <v>5569.8443136535325</v>
      </c>
      <c r="G30" s="62">
        <f t="shared" si="98"/>
        <v>5891.7886858613783</v>
      </c>
      <c r="H30" s="62">
        <f t="shared" si="98"/>
        <v>5928.8304656137534</v>
      </c>
      <c r="I30" s="62">
        <f t="shared" si="98"/>
        <v>6308.6235757560171</v>
      </c>
      <c r="J30" s="62">
        <f t="shared" si="98"/>
        <v>6764.6606926205313</v>
      </c>
      <c r="K30" s="62">
        <f t="shared" si="98"/>
        <v>6773.0337989200661</v>
      </c>
      <c r="L30" s="62">
        <f t="shared" si="98"/>
        <v>6903.1851584298092</v>
      </c>
      <c r="M30" s="62">
        <f t="shared" si="98"/>
        <v>6955.2051212562928</v>
      </c>
      <c r="N30" s="62">
        <f t="shared" si="98"/>
        <v>6880.7919164823279</v>
      </c>
      <c r="O30" s="62">
        <f t="shared" si="98"/>
        <v>6738.4193979512411</v>
      </c>
      <c r="P30" s="62">
        <f t="shared" si="98"/>
        <v>6685.5923334738663</v>
      </c>
      <c r="Q30" s="62">
        <f t="shared" si="98"/>
        <v>6773.563219330531</v>
      </c>
      <c r="R30" s="62">
        <f t="shared" si="98"/>
        <v>7602.1360980818681</v>
      </c>
      <c r="S30" s="62">
        <f t="shared" si="98"/>
        <v>7774.4475257863196</v>
      </c>
      <c r="T30" s="62">
        <f t="shared" si="98"/>
        <v>8099.5406549821655</v>
      </c>
      <c r="U30" s="62">
        <f t="shared" si="98"/>
        <v>8322.9684319269363</v>
      </c>
      <c r="V30" s="62">
        <f t="shared" si="98"/>
        <v>7710.0299502029766</v>
      </c>
      <c r="W30" s="62">
        <f t="shared" ref="W30" si="99">W31+W46</f>
        <v>7864.5142191535097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3296.5633057660575</v>
      </c>
      <c r="C31" s="29">
        <f t="shared" ref="C31:V31" si="101">C32+C33+C40</f>
        <v>3444.7107246046016</v>
      </c>
      <c r="D31" s="29">
        <f t="shared" si="101"/>
        <v>3516.7286685588283</v>
      </c>
      <c r="E31" s="29">
        <f t="shared" si="101"/>
        <v>3669.8893534950098</v>
      </c>
      <c r="F31" s="29">
        <f t="shared" si="101"/>
        <v>4005.3076430845617</v>
      </c>
      <c r="G31" s="29">
        <f t="shared" si="101"/>
        <v>4200.0841957944222</v>
      </c>
      <c r="H31" s="29">
        <f t="shared" si="101"/>
        <v>4379.5788754254427</v>
      </c>
      <c r="I31" s="29">
        <f t="shared" si="101"/>
        <v>4767.1781883832755</v>
      </c>
      <c r="J31" s="29">
        <f t="shared" si="101"/>
        <v>5110.0406186688706</v>
      </c>
      <c r="K31" s="29">
        <f t="shared" si="101"/>
        <v>5276.3415336255139</v>
      </c>
      <c r="L31" s="29">
        <f t="shared" si="101"/>
        <v>5386.4592650460909</v>
      </c>
      <c r="M31" s="29">
        <f t="shared" si="101"/>
        <v>5439.6425892552024</v>
      </c>
      <c r="N31" s="29">
        <f t="shared" si="101"/>
        <v>5357.1497871620877</v>
      </c>
      <c r="O31" s="29">
        <f t="shared" si="101"/>
        <v>5313.2606089585979</v>
      </c>
      <c r="P31" s="29">
        <f t="shared" si="101"/>
        <v>5340.4012618076003</v>
      </c>
      <c r="Q31" s="29">
        <f t="shared" si="101"/>
        <v>5445.5235456006194</v>
      </c>
      <c r="R31" s="29">
        <f t="shared" si="101"/>
        <v>6163.2219418035365</v>
      </c>
      <c r="S31" s="29">
        <f t="shared" si="101"/>
        <v>6241.4880664386865</v>
      </c>
      <c r="T31" s="29">
        <f t="shared" si="101"/>
        <v>6473.8660434079893</v>
      </c>
      <c r="U31" s="29">
        <f t="shared" si="101"/>
        <v>6716.1784771277316</v>
      </c>
      <c r="V31" s="29">
        <f t="shared" si="101"/>
        <v>6180.7185296197422</v>
      </c>
      <c r="W31" s="29">
        <f t="shared" ref="W31" si="102">W32+W33+W40</f>
        <v>6355.9670138081319</v>
      </c>
      <c r="DA31" s="173" t="s">
        <v>474</v>
      </c>
    </row>
    <row r="32" spans="1:105" ht="11.45" customHeight="1" x14ac:dyDescent="0.25">
      <c r="A32" s="136" t="s">
        <v>180</v>
      </c>
      <c r="B32" s="152">
        <v>128.93358298650557</v>
      </c>
      <c r="C32" s="152">
        <v>126.93867798696904</v>
      </c>
      <c r="D32" s="152">
        <v>124.32831802497259</v>
      </c>
      <c r="E32" s="152">
        <v>126.22769270349171</v>
      </c>
      <c r="F32" s="152">
        <v>126.04513315266645</v>
      </c>
      <c r="G32" s="152">
        <v>124.49027522248764</v>
      </c>
      <c r="H32" s="152">
        <v>124.45635878670699</v>
      </c>
      <c r="I32" s="152">
        <v>125.76316797949602</v>
      </c>
      <c r="J32" s="152">
        <v>128.79062454510864</v>
      </c>
      <c r="K32" s="152">
        <v>128</v>
      </c>
      <c r="L32" s="152">
        <v>127</v>
      </c>
      <c r="M32" s="152">
        <v>124.95</v>
      </c>
      <c r="N32" s="152">
        <v>126.97718166873661</v>
      </c>
      <c r="O32" s="152">
        <v>125.21028338262168</v>
      </c>
      <c r="P32" s="152">
        <v>126.7684963826778</v>
      </c>
      <c r="Q32" s="152">
        <v>124.12954195240015</v>
      </c>
      <c r="R32" s="152">
        <v>123.96105222947706</v>
      </c>
      <c r="S32" s="152">
        <v>116.60460234160658</v>
      </c>
      <c r="T32" s="152">
        <v>110.93726337629928</v>
      </c>
      <c r="U32" s="152">
        <v>117.06323821778254</v>
      </c>
      <c r="V32" s="152">
        <v>104.73952473788097</v>
      </c>
      <c r="W32" s="152">
        <v>108.74218024981751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3031.9914296170314</v>
      </c>
      <c r="C33" s="116">
        <f t="shared" ref="C33:V33" si="104">SUM(C34:C39)</f>
        <v>3177.3960234007318</v>
      </c>
      <c r="D33" s="116">
        <f t="shared" si="104"/>
        <v>3247.3410112696247</v>
      </c>
      <c r="E33" s="116">
        <f t="shared" si="104"/>
        <v>3389.1709823773454</v>
      </c>
      <c r="F33" s="116">
        <f t="shared" si="104"/>
        <v>3729.9301947333151</v>
      </c>
      <c r="G33" s="116">
        <f t="shared" si="104"/>
        <v>3924.331534256843</v>
      </c>
      <c r="H33" s="116">
        <f t="shared" si="104"/>
        <v>4102.1509250442423</v>
      </c>
      <c r="I33" s="116">
        <f t="shared" si="104"/>
        <v>4487.0514701937736</v>
      </c>
      <c r="J33" s="116">
        <f t="shared" si="104"/>
        <v>4824.7717765733178</v>
      </c>
      <c r="K33" s="116">
        <f t="shared" si="104"/>
        <v>4999.3415336255139</v>
      </c>
      <c r="L33" s="116">
        <f t="shared" si="104"/>
        <v>5112.4592650460909</v>
      </c>
      <c r="M33" s="116">
        <f t="shared" si="104"/>
        <v>5165.1925892552026</v>
      </c>
      <c r="N33" s="116">
        <f t="shared" si="104"/>
        <v>5077.4710093462454</v>
      </c>
      <c r="O33" s="116">
        <f t="shared" si="104"/>
        <v>5038.434006222833</v>
      </c>
      <c r="P33" s="116">
        <f t="shared" si="104"/>
        <v>5064.6707655588843</v>
      </c>
      <c r="Q33" s="116">
        <f t="shared" si="104"/>
        <v>5164.0285174789506</v>
      </c>
      <c r="R33" s="116">
        <f t="shared" si="104"/>
        <v>5875.8364235498184</v>
      </c>
      <c r="S33" s="116">
        <f t="shared" si="104"/>
        <v>5955.335799568008</v>
      </c>
      <c r="T33" s="116">
        <f t="shared" si="104"/>
        <v>6187.935219124588</v>
      </c>
      <c r="U33" s="116">
        <f t="shared" si="104"/>
        <v>6422.7633261971205</v>
      </c>
      <c r="V33" s="116">
        <f t="shared" si="104"/>
        <v>5937.0989951107758</v>
      </c>
      <c r="W33" s="116">
        <f t="shared" ref="W33" si="105">SUM(W34:W39)</f>
        <v>6100.2852472003078</v>
      </c>
      <c r="DA33" s="176" t="s">
        <v>476</v>
      </c>
    </row>
    <row r="34" spans="1:105" ht="11.45" customHeight="1" x14ac:dyDescent="0.25">
      <c r="A34" s="111" t="s">
        <v>110</v>
      </c>
      <c r="B34" s="87">
        <v>2514.1240863747562</v>
      </c>
      <c r="C34" s="87">
        <v>2619.1236844994546</v>
      </c>
      <c r="D34" s="87">
        <v>2696.0517805613586</v>
      </c>
      <c r="E34" s="87">
        <v>2843.9249681575538</v>
      </c>
      <c r="F34" s="87">
        <v>3192.8148065222981</v>
      </c>
      <c r="G34" s="87">
        <v>3405.0932852750893</v>
      </c>
      <c r="H34" s="87">
        <v>3599.978668958764</v>
      </c>
      <c r="I34" s="87">
        <v>3961.7424885181581</v>
      </c>
      <c r="J34" s="87">
        <v>4260.0980835327682</v>
      </c>
      <c r="K34" s="87">
        <v>4405.6526372886847</v>
      </c>
      <c r="L34" s="87">
        <v>4504.4016224514153</v>
      </c>
      <c r="M34" s="87">
        <v>4557.7951158678197</v>
      </c>
      <c r="N34" s="87">
        <v>4507.2812050075727</v>
      </c>
      <c r="O34" s="87">
        <v>4485.1234433382078</v>
      </c>
      <c r="P34" s="87">
        <v>4484.3105510979303</v>
      </c>
      <c r="Q34" s="87">
        <v>4522.600881673734</v>
      </c>
      <c r="R34" s="87">
        <v>5114.6850562069176</v>
      </c>
      <c r="S34" s="87">
        <v>5052.7229716588799</v>
      </c>
      <c r="T34" s="87">
        <v>5092.5733931479563</v>
      </c>
      <c r="U34" s="87">
        <v>5144.8703850679904</v>
      </c>
      <c r="V34" s="87">
        <v>4653.7006416543245</v>
      </c>
      <c r="W34" s="87">
        <v>4750.5783265738364</v>
      </c>
      <c r="DA34" s="171" t="s">
        <v>477</v>
      </c>
    </row>
    <row r="35" spans="1:105" ht="11.45" customHeight="1" x14ac:dyDescent="0.25">
      <c r="A35" s="111" t="s">
        <v>111</v>
      </c>
      <c r="B35" s="87">
        <v>517.86734324227518</v>
      </c>
      <c r="C35" s="87">
        <v>558.27233890127741</v>
      </c>
      <c r="D35" s="87">
        <v>551.28923070826602</v>
      </c>
      <c r="E35" s="87">
        <v>545.24601421979128</v>
      </c>
      <c r="F35" s="87">
        <v>537.11538821101681</v>
      </c>
      <c r="G35" s="87">
        <v>519.23824898175371</v>
      </c>
      <c r="H35" s="87">
        <v>502.17225608547784</v>
      </c>
      <c r="I35" s="87">
        <v>525.30898167561554</v>
      </c>
      <c r="J35" s="87">
        <v>564.67369304054955</v>
      </c>
      <c r="K35" s="87">
        <v>593.68889633682954</v>
      </c>
      <c r="L35" s="87">
        <v>608.05764259467514</v>
      </c>
      <c r="M35" s="87">
        <v>607.397473387383</v>
      </c>
      <c r="N35" s="87">
        <v>570.18980433867239</v>
      </c>
      <c r="O35" s="87">
        <v>553.2456636031759</v>
      </c>
      <c r="P35" s="87">
        <v>580.16804908791573</v>
      </c>
      <c r="Q35" s="87">
        <v>640.89024619928387</v>
      </c>
      <c r="R35" s="87">
        <v>760.26123428138862</v>
      </c>
      <c r="S35" s="87">
        <v>900.52949846608647</v>
      </c>
      <c r="T35" s="87">
        <v>1082.0929582818853</v>
      </c>
      <c r="U35" s="87">
        <v>1263.300756058017</v>
      </c>
      <c r="V35" s="87">
        <v>1269.346380827428</v>
      </c>
      <c r="W35" s="87">
        <v>1332.9869872212462</v>
      </c>
      <c r="DA35" s="171" t="s">
        <v>478</v>
      </c>
    </row>
    <row r="36" spans="1:105" ht="11.45" customHeight="1" x14ac:dyDescent="0.25">
      <c r="A36" s="111" t="s">
        <v>112</v>
      </c>
      <c r="B36" s="87">
        <v>0</v>
      </c>
      <c r="C36" s="87">
        <v>0</v>
      </c>
      <c r="D36" s="87">
        <v>0</v>
      </c>
      <c r="E36" s="87">
        <v>0</v>
      </c>
      <c r="F36" s="87">
        <v>0</v>
      </c>
      <c r="G36" s="87">
        <v>0</v>
      </c>
      <c r="H36" s="87">
        <v>0</v>
      </c>
      <c r="I36" s="87">
        <v>0</v>
      </c>
      <c r="J36" s="87">
        <v>0</v>
      </c>
      <c r="K36" s="87">
        <v>0</v>
      </c>
      <c r="L36" s="87">
        <v>0</v>
      </c>
      <c r="M36" s="87">
        <v>0</v>
      </c>
      <c r="N36" s="87">
        <v>0</v>
      </c>
      <c r="O36" s="87">
        <v>0</v>
      </c>
      <c r="P36" s="87">
        <v>0</v>
      </c>
      <c r="Q36" s="87">
        <v>0</v>
      </c>
      <c r="R36" s="87">
        <v>0</v>
      </c>
      <c r="S36" s="87">
        <v>0</v>
      </c>
      <c r="T36" s="87">
        <v>10.054232137413583</v>
      </c>
      <c r="U36" s="87">
        <v>9.799894913111503</v>
      </c>
      <c r="V36" s="87">
        <v>8.4441165712075126</v>
      </c>
      <c r="W36" s="87">
        <v>8.6106074661100109</v>
      </c>
      <c r="DA36" s="171" t="s">
        <v>479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0</v>
      </c>
      <c r="K37" s="87">
        <v>0</v>
      </c>
      <c r="L37" s="87">
        <v>0</v>
      </c>
      <c r="M37" s="87">
        <v>0</v>
      </c>
      <c r="N37" s="87">
        <v>0</v>
      </c>
      <c r="O37" s="87">
        <v>0</v>
      </c>
      <c r="P37" s="87">
        <v>0</v>
      </c>
      <c r="Q37" s="87">
        <v>0</v>
      </c>
      <c r="R37" s="87">
        <v>0</v>
      </c>
      <c r="S37" s="87">
        <v>0</v>
      </c>
      <c r="T37" s="87">
        <v>0</v>
      </c>
      <c r="U37" s="87">
        <v>0</v>
      </c>
      <c r="V37" s="87">
        <v>0</v>
      </c>
      <c r="W37" s="87">
        <v>0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0</v>
      </c>
      <c r="O38" s="87">
        <v>0</v>
      </c>
      <c r="P38" s="87">
        <v>2.9801678374666213E-2</v>
      </c>
      <c r="Q38" s="87">
        <v>0.28818209439885017</v>
      </c>
      <c r="R38" s="87">
        <v>0.51276196731348178</v>
      </c>
      <c r="S38" s="87">
        <v>1.1140681674799207</v>
      </c>
      <c r="T38" s="87">
        <v>1.6753713577037321</v>
      </c>
      <c r="U38" s="87">
        <v>2.5538930642156452</v>
      </c>
      <c r="V38" s="87">
        <v>3.0869882972914109</v>
      </c>
      <c r="W38" s="87">
        <v>4.520151270011139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0</v>
      </c>
      <c r="L39" s="87">
        <v>0</v>
      </c>
      <c r="M39" s="87">
        <v>0</v>
      </c>
      <c r="N39" s="87">
        <v>0</v>
      </c>
      <c r="O39" s="87">
        <v>6.489928144952492E-2</v>
      </c>
      <c r="P39" s="87">
        <v>0.16236369466358061</v>
      </c>
      <c r="Q39" s="87">
        <v>0.2492075115339277</v>
      </c>
      <c r="R39" s="87">
        <v>0.37737109419988157</v>
      </c>
      <c r="S39" s="87">
        <v>0.96926127556152841</v>
      </c>
      <c r="T39" s="87">
        <v>1.5392641996296739</v>
      </c>
      <c r="U39" s="87">
        <v>2.2383970937857072</v>
      </c>
      <c r="V39" s="87">
        <v>2.5208677605246166</v>
      </c>
      <c r="W39" s="87">
        <v>3.589174669102956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135.63829316252085</v>
      </c>
      <c r="C40" s="116">
        <f t="shared" ref="C40:V40" si="107">SUM(C41:C45)</f>
        <v>140.37602321690082</v>
      </c>
      <c r="D40" s="116">
        <f t="shared" si="107"/>
        <v>145.05933926423066</v>
      </c>
      <c r="E40" s="116">
        <f t="shared" si="107"/>
        <v>154.49067841417283</v>
      </c>
      <c r="F40" s="116">
        <f t="shared" si="107"/>
        <v>149.33231519858026</v>
      </c>
      <c r="G40" s="116">
        <f t="shared" si="107"/>
        <v>151.26238631509196</v>
      </c>
      <c r="H40" s="116">
        <f t="shared" si="107"/>
        <v>152.9715915944939</v>
      </c>
      <c r="I40" s="116">
        <f t="shared" si="107"/>
        <v>154.36355021000614</v>
      </c>
      <c r="J40" s="116">
        <f t="shared" si="107"/>
        <v>156.4782175504439</v>
      </c>
      <c r="K40" s="116">
        <f t="shared" si="107"/>
        <v>149</v>
      </c>
      <c r="L40" s="116">
        <f t="shared" si="107"/>
        <v>147</v>
      </c>
      <c r="M40" s="116">
        <f t="shared" si="107"/>
        <v>149.50000000000003</v>
      </c>
      <c r="N40" s="116">
        <f t="shared" si="107"/>
        <v>152.7015961471061</v>
      </c>
      <c r="O40" s="116">
        <f t="shared" si="107"/>
        <v>149.61631935314273</v>
      </c>
      <c r="P40" s="116">
        <f t="shared" si="107"/>
        <v>148.96199986603827</v>
      </c>
      <c r="Q40" s="116">
        <f t="shared" si="107"/>
        <v>157.36548616926802</v>
      </c>
      <c r="R40" s="116">
        <f t="shared" si="107"/>
        <v>163.42446602424116</v>
      </c>
      <c r="S40" s="116">
        <f t="shared" si="107"/>
        <v>169.54766452907199</v>
      </c>
      <c r="T40" s="116">
        <f t="shared" si="107"/>
        <v>174.99356090710174</v>
      </c>
      <c r="U40" s="116">
        <f t="shared" si="107"/>
        <v>176.35191271282829</v>
      </c>
      <c r="V40" s="116">
        <f t="shared" si="107"/>
        <v>138.8800097710855</v>
      </c>
      <c r="W40" s="116">
        <f t="shared" ref="W40" si="108">SUM(W41:W45)</f>
        <v>146.93958635800661</v>
      </c>
      <c r="DA40" s="176" t="s">
        <v>483</v>
      </c>
    </row>
    <row r="41" spans="1:105" ht="11.45" customHeight="1" x14ac:dyDescent="0.25">
      <c r="A41" s="111" t="s">
        <v>110</v>
      </c>
      <c r="B41" s="101">
        <v>4.5597113279948216</v>
      </c>
      <c r="C41" s="101">
        <v>4.5037509641285887</v>
      </c>
      <c r="D41" s="101">
        <v>4.3622077405748581</v>
      </c>
      <c r="E41" s="101">
        <v>4.3864423330252649</v>
      </c>
      <c r="F41" s="101">
        <v>4.3244962099161279</v>
      </c>
      <c r="G41" s="101">
        <v>4.2962250903565513</v>
      </c>
      <c r="H41" s="101">
        <v>4.3879217931139545</v>
      </c>
      <c r="I41" s="101">
        <v>4.3552956654918136</v>
      </c>
      <c r="J41" s="101">
        <v>4.3809051904537446</v>
      </c>
      <c r="K41" s="101">
        <v>4.2780680301226734</v>
      </c>
      <c r="L41" s="101">
        <v>4.3374668211842984</v>
      </c>
      <c r="M41" s="101">
        <v>4.396812670012185</v>
      </c>
      <c r="N41" s="101">
        <v>4.4251570723711895</v>
      </c>
      <c r="O41" s="101">
        <v>4.3651407586086801</v>
      </c>
      <c r="P41" s="101">
        <v>1.5156146211292296</v>
      </c>
      <c r="Q41" s="101">
        <v>1.3386005380232873</v>
      </c>
      <c r="R41" s="101">
        <v>1.3240063967161291</v>
      </c>
      <c r="S41" s="101">
        <v>1.3691092256521395</v>
      </c>
      <c r="T41" s="101">
        <v>1.432187748234105</v>
      </c>
      <c r="U41" s="101">
        <v>1.4285791424330798</v>
      </c>
      <c r="V41" s="101">
        <v>1.3846916599436425</v>
      </c>
      <c r="W41" s="101">
        <v>1.345716742172093</v>
      </c>
      <c r="DA41" s="175" t="s">
        <v>484</v>
      </c>
    </row>
    <row r="42" spans="1:105" ht="11.45" customHeight="1" x14ac:dyDescent="0.25">
      <c r="A42" s="111" t="s">
        <v>111</v>
      </c>
      <c r="B42" s="101">
        <v>131.07858183452603</v>
      </c>
      <c r="C42" s="101">
        <v>135.87227225277223</v>
      </c>
      <c r="D42" s="101">
        <v>140.6971315236558</v>
      </c>
      <c r="E42" s="101">
        <v>150.10423608114758</v>
      </c>
      <c r="F42" s="101">
        <v>145.00781898866413</v>
      </c>
      <c r="G42" s="101">
        <v>146.9661612247354</v>
      </c>
      <c r="H42" s="101">
        <v>148.58366980137995</v>
      </c>
      <c r="I42" s="101">
        <v>150.00825454451433</v>
      </c>
      <c r="J42" s="101">
        <v>152.05945503677333</v>
      </c>
      <c r="K42" s="101">
        <v>144.68419312720462</v>
      </c>
      <c r="L42" s="101">
        <v>142.62479449989286</v>
      </c>
      <c r="M42" s="101">
        <v>145.06544926479503</v>
      </c>
      <c r="N42" s="101">
        <v>148.23871263647189</v>
      </c>
      <c r="O42" s="101">
        <v>145.21345749868709</v>
      </c>
      <c r="P42" s="101">
        <v>147.40863480703749</v>
      </c>
      <c r="Q42" s="101">
        <v>155.9890986790034</v>
      </c>
      <c r="R42" s="101">
        <v>162.06272969619886</v>
      </c>
      <c r="S42" s="101">
        <v>168.14092173100343</v>
      </c>
      <c r="T42" s="101">
        <v>173.52385632990826</v>
      </c>
      <c r="U42" s="101">
        <v>174.88584831352966</v>
      </c>
      <c r="V42" s="101">
        <v>137.45812623122424</v>
      </c>
      <c r="W42" s="101">
        <v>145.55639085826715</v>
      </c>
      <c r="DA42" s="175" t="s">
        <v>485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0</v>
      </c>
      <c r="Q43" s="101">
        <v>0</v>
      </c>
      <c r="R43" s="101">
        <v>0</v>
      </c>
      <c r="S43" s="101">
        <v>0</v>
      </c>
      <c r="T43" s="101">
        <v>0</v>
      </c>
      <c r="U43" s="101">
        <v>0</v>
      </c>
      <c r="V43" s="101">
        <v>0</v>
      </c>
      <c r="W43" s="101">
        <v>0</v>
      </c>
      <c r="DA43" s="175" t="s">
        <v>486</v>
      </c>
    </row>
    <row r="44" spans="1:105" ht="11.45" customHeight="1" x14ac:dyDescent="0.25">
      <c r="A44" s="111" t="s">
        <v>113</v>
      </c>
      <c r="B44" s="101">
        <v>0</v>
      </c>
      <c r="C44" s="101">
        <v>0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0</v>
      </c>
      <c r="J44" s="101">
        <v>0</v>
      </c>
      <c r="K44" s="101">
        <v>0</v>
      </c>
      <c r="L44" s="101">
        <v>0</v>
      </c>
      <c r="M44" s="101">
        <v>0</v>
      </c>
      <c r="N44" s="101">
        <v>0</v>
      </c>
      <c r="O44" s="101">
        <v>0</v>
      </c>
      <c r="P44" s="101">
        <v>0</v>
      </c>
      <c r="Q44" s="101">
        <v>0</v>
      </c>
      <c r="R44" s="101">
        <v>0</v>
      </c>
      <c r="S44" s="101">
        <v>0</v>
      </c>
      <c r="T44" s="101">
        <v>0</v>
      </c>
      <c r="U44" s="101">
        <v>0</v>
      </c>
      <c r="V44" s="101">
        <v>0</v>
      </c>
      <c r="W44" s="101">
        <v>0</v>
      </c>
      <c r="DA44" s="175" t="s">
        <v>487</v>
      </c>
    </row>
    <row r="45" spans="1:105" ht="11.45" customHeight="1" x14ac:dyDescent="0.25">
      <c r="A45" s="111" t="s">
        <v>115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3.7857323216820712E-2</v>
      </c>
      <c r="K45" s="101">
        <v>3.7738842672703977E-2</v>
      </c>
      <c r="L45" s="101">
        <v>3.7738678922841933E-2</v>
      </c>
      <c r="M45" s="101">
        <v>3.7738065192785997E-2</v>
      </c>
      <c r="N45" s="101">
        <v>3.7726438263028884E-2</v>
      </c>
      <c r="O45" s="101">
        <v>3.7721095846963759E-2</v>
      </c>
      <c r="P45" s="101">
        <v>3.7750437871547603E-2</v>
      </c>
      <c r="Q45" s="101">
        <v>3.7786952241324993E-2</v>
      </c>
      <c r="R45" s="101">
        <v>3.7729931326171258E-2</v>
      </c>
      <c r="S45" s="101">
        <v>3.7633572416411992E-2</v>
      </c>
      <c r="T45" s="101">
        <v>3.751682895939519E-2</v>
      </c>
      <c r="U45" s="101">
        <v>3.7485256865557218E-2</v>
      </c>
      <c r="V45" s="101">
        <v>3.7191879917588384E-2</v>
      </c>
      <c r="W45" s="101">
        <v>3.7478757567345394E-2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1583.8347550023364</v>
      </c>
      <c r="C46" s="29">
        <f t="shared" ref="C46:V46" si="110">C47+C53</f>
        <v>1618.5364005619938</v>
      </c>
      <c r="D46" s="29">
        <f t="shared" si="110"/>
        <v>1677.3861048871443</v>
      </c>
      <c r="E46" s="29">
        <f t="shared" si="110"/>
        <v>1710.9974150327143</v>
      </c>
      <c r="F46" s="29">
        <f t="shared" si="110"/>
        <v>1564.5366705689705</v>
      </c>
      <c r="G46" s="29">
        <f t="shared" si="110"/>
        <v>1691.7044900669557</v>
      </c>
      <c r="H46" s="29">
        <f t="shared" si="110"/>
        <v>1549.2515901883107</v>
      </c>
      <c r="I46" s="29">
        <f t="shared" si="110"/>
        <v>1541.4453873727418</v>
      </c>
      <c r="J46" s="29">
        <f t="shared" si="110"/>
        <v>1654.6200739516612</v>
      </c>
      <c r="K46" s="29">
        <f t="shared" si="110"/>
        <v>1496.6922652945525</v>
      </c>
      <c r="L46" s="29">
        <f t="shared" si="110"/>
        <v>1516.7258933837188</v>
      </c>
      <c r="M46" s="29">
        <f t="shared" si="110"/>
        <v>1515.5625320010906</v>
      </c>
      <c r="N46" s="29">
        <f t="shared" si="110"/>
        <v>1523.64212932024</v>
      </c>
      <c r="O46" s="29">
        <f t="shared" si="110"/>
        <v>1425.1587889926429</v>
      </c>
      <c r="P46" s="29">
        <f t="shared" si="110"/>
        <v>1345.1910716662662</v>
      </c>
      <c r="Q46" s="29">
        <f t="shared" si="110"/>
        <v>1328.0396737299118</v>
      </c>
      <c r="R46" s="29">
        <f t="shared" si="110"/>
        <v>1438.9141562783311</v>
      </c>
      <c r="S46" s="29">
        <f t="shared" si="110"/>
        <v>1532.9594593476331</v>
      </c>
      <c r="T46" s="29">
        <f t="shared" si="110"/>
        <v>1625.6746115741757</v>
      </c>
      <c r="U46" s="29">
        <f t="shared" si="110"/>
        <v>1606.7899547992054</v>
      </c>
      <c r="V46" s="29">
        <f t="shared" si="110"/>
        <v>1529.3114205832342</v>
      </c>
      <c r="W46" s="29">
        <f t="shared" ref="W46" si="111">W47+W53</f>
        <v>1508.547205345378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1435.7632153444827</v>
      </c>
      <c r="C47" s="152">
        <f t="shared" ref="C47:V47" si="113">SUM(C48:C52)</f>
        <v>1468.9174270005631</v>
      </c>
      <c r="D47" s="152">
        <f t="shared" si="113"/>
        <v>1528.3861048871443</v>
      </c>
      <c r="E47" s="152">
        <f t="shared" si="113"/>
        <v>1549.9974150327143</v>
      </c>
      <c r="F47" s="152">
        <f t="shared" si="113"/>
        <v>1432.5366705689705</v>
      </c>
      <c r="G47" s="152">
        <f t="shared" si="113"/>
        <v>1522.7044900669557</v>
      </c>
      <c r="H47" s="152">
        <f t="shared" si="113"/>
        <v>1411.2515901883107</v>
      </c>
      <c r="I47" s="152">
        <f t="shared" si="113"/>
        <v>1397.4453873727418</v>
      </c>
      <c r="J47" s="152">
        <f t="shared" si="113"/>
        <v>1495.6200739516612</v>
      </c>
      <c r="K47" s="152">
        <f t="shared" si="113"/>
        <v>1377.6922652945525</v>
      </c>
      <c r="L47" s="152">
        <f t="shared" si="113"/>
        <v>1383.7258933837188</v>
      </c>
      <c r="M47" s="152">
        <f t="shared" si="113"/>
        <v>1400.5625320010906</v>
      </c>
      <c r="N47" s="152">
        <f t="shared" si="113"/>
        <v>1417.64212932024</v>
      </c>
      <c r="O47" s="152">
        <f t="shared" si="113"/>
        <v>1349.1587889926429</v>
      </c>
      <c r="P47" s="152">
        <f t="shared" si="113"/>
        <v>1279.1910716662662</v>
      </c>
      <c r="Q47" s="152">
        <f t="shared" si="113"/>
        <v>1263.0396737299118</v>
      </c>
      <c r="R47" s="152">
        <f t="shared" si="113"/>
        <v>1350.9141562783311</v>
      </c>
      <c r="S47" s="152">
        <f t="shared" si="113"/>
        <v>1429.9594593476331</v>
      </c>
      <c r="T47" s="152">
        <f t="shared" si="113"/>
        <v>1514.6746115741757</v>
      </c>
      <c r="U47" s="152">
        <f t="shared" si="113"/>
        <v>1492.7899547992054</v>
      </c>
      <c r="V47" s="152">
        <f t="shared" si="113"/>
        <v>1446.3114205832342</v>
      </c>
      <c r="W47" s="152">
        <f t="shared" ref="W47" si="114">SUM(W48:W52)</f>
        <v>1425.547205345378</v>
      </c>
      <c r="DA47" s="174" t="s">
        <v>490</v>
      </c>
    </row>
    <row r="48" spans="1:105" ht="11.45" customHeight="1" x14ac:dyDescent="0.25">
      <c r="A48" s="111" t="s">
        <v>110</v>
      </c>
      <c r="B48" s="87">
        <v>94.24485394990765</v>
      </c>
      <c r="C48" s="87">
        <v>97.9053692601112</v>
      </c>
      <c r="D48" s="87">
        <v>94.866181625229004</v>
      </c>
      <c r="E48" s="87">
        <v>103.30659988278424</v>
      </c>
      <c r="F48" s="87">
        <v>85.905776672128979</v>
      </c>
      <c r="G48" s="87">
        <v>67.345917483698486</v>
      </c>
      <c r="H48" s="87">
        <v>62.413271121225662</v>
      </c>
      <c r="I48" s="87">
        <v>57.089068405797228</v>
      </c>
      <c r="J48" s="87">
        <v>63.785110684503671</v>
      </c>
      <c r="K48" s="87">
        <v>58.554086222544328</v>
      </c>
      <c r="L48" s="87">
        <v>56.239459346701544</v>
      </c>
      <c r="M48" s="87">
        <v>55.892193402692897</v>
      </c>
      <c r="N48" s="87">
        <v>56.157650295490946</v>
      </c>
      <c r="O48" s="87">
        <v>53.60083336280529</v>
      </c>
      <c r="P48" s="87">
        <v>50.178353995913419</v>
      </c>
      <c r="Q48" s="87">
        <v>49.401859098298999</v>
      </c>
      <c r="R48" s="87">
        <v>51.578407550684808</v>
      </c>
      <c r="S48" s="87">
        <v>52.804474467893748</v>
      </c>
      <c r="T48" s="87">
        <v>54.559604263700294</v>
      </c>
      <c r="U48" s="87">
        <v>54.471282809570226</v>
      </c>
      <c r="V48" s="87">
        <v>53.886659746525957</v>
      </c>
      <c r="W48" s="87">
        <v>54.227931540132872</v>
      </c>
      <c r="DA48" s="171" t="s">
        <v>491</v>
      </c>
    </row>
    <row r="49" spans="1:105" ht="11.45" customHeight="1" x14ac:dyDescent="0.25">
      <c r="A49" s="111" t="s">
        <v>111</v>
      </c>
      <c r="B49" s="87">
        <v>1341.5183613945751</v>
      </c>
      <c r="C49" s="87">
        <v>1371.0120577404518</v>
      </c>
      <c r="D49" s="87">
        <v>1433.5199232619152</v>
      </c>
      <c r="E49" s="87">
        <v>1446.6908151499301</v>
      </c>
      <c r="F49" s="87">
        <v>1346.6308938968416</v>
      </c>
      <c r="G49" s="87">
        <v>1455.3585725832572</v>
      </c>
      <c r="H49" s="87">
        <v>1348.838319067085</v>
      </c>
      <c r="I49" s="87">
        <v>1340.3417045908448</v>
      </c>
      <c r="J49" s="87">
        <v>1431.8124366154461</v>
      </c>
      <c r="K49" s="87">
        <v>1319.1146744117048</v>
      </c>
      <c r="L49" s="87">
        <v>1327.4471501322762</v>
      </c>
      <c r="M49" s="87">
        <v>1344.62287948115</v>
      </c>
      <c r="N49" s="87">
        <v>1361.4367501133584</v>
      </c>
      <c r="O49" s="87">
        <v>1295.5089056258159</v>
      </c>
      <c r="P49" s="87">
        <v>1228.9715789475126</v>
      </c>
      <c r="Q49" s="87">
        <v>1213.5965584496078</v>
      </c>
      <c r="R49" s="87">
        <v>1299.2946185875501</v>
      </c>
      <c r="S49" s="87">
        <v>1377.1139783588676</v>
      </c>
      <c r="T49" s="87">
        <v>1460.0822529859247</v>
      </c>
      <c r="U49" s="87">
        <v>1438.2615176921829</v>
      </c>
      <c r="V49" s="87">
        <v>1392.3608835712405</v>
      </c>
      <c r="W49" s="87">
        <v>1371.2218773420434</v>
      </c>
      <c r="DA49" s="171" t="s">
        <v>492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</v>
      </c>
      <c r="F50" s="87">
        <v>0</v>
      </c>
      <c r="G50" s="87">
        <v>0</v>
      </c>
      <c r="H50" s="87">
        <v>0</v>
      </c>
      <c r="I50" s="87">
        <v>0</v>
      </c>
      <c r="J50" s="87">
        <v>0</v>
      </c>
      <c r="K50" s="87">
        <v>0</v>
      </c>
      <c r="L50" s="87">
        <v>0</v>
      </c>
      <c r="M50" s="87">
        <v>0</v>
      </c>
      <c r="N50" s="87">
        <v>0</v>
      </c>
      <c r="O50" s="87">
        <v>0</v>
      </c>
      <c r="P50" s="87">
        <v>0</v>
      </c>
      <c r="Q50" s="87">
        <v>0</v>
      </c>
      <c r="R50" s="87">
        <v>0</v>
      </c>
      <c r="S50" s="87">
        <v>0</v>
      </c>
      <c r="T50" s="87">
        <v>0</v>
      </c>
      <c r="U50" s="87">
        <v>0</v>
      </c>
      <c r="V50" s="87">
        <v>0</v>
      </c>
      <c r="W50" s="87">
        <v>0</v>
      </c>
      <c r="DA50" s="171" t="s">
        <v>493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</v>
      </c>
      <c r="Q51" s="87">
        <v>0</v>
      </c>
      <c r="R51" s="87">
        <v>0</v>
      </c>
      <c r="S51" s="87">
        <v>0</v>
      </c>
      <c r="T51" s="87">
        <v>0</v>
      </c>
      <c r="U51" s="87">
        <v>0</v>
      </c>
      <c r="V51" s="87">
        <v>0</v>
      </c>
      <c r="W51" s="87">
        <v>0</v>
      </c>
      <c r="DA51" s="171" t="s">
        <v>494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1.4614376099922341E-2</v>
      </c>
      <c r="J52" s="87">
        <v>2.2526651711302612E-2</v>
      </c>
      <c r="K52" s="87">
        <v>2.350466030347689E-2</v>
      </c>
      <c r="L52" s="87">
        <v>3.9283904740958907E-2</v>
      </c>
      <c r="M52" s="87">
        <v>4.7459117247591637E-2</v>
      </c>
      <c r="N52" s="87">
        <v>4.772891139074855E-2</v>
      </c>
      <c r="O52" s="87">
        <v>4.9050004021588274E-2</v>
      </c>
      <c r="P52" s="87">
        <v>4.1138722840235939E-2</v>
      </c>
      <c r="Q52" s="87">
        <v>4.1256182005044398E-2</v>
      </c>
      <c r="R52" s="87">
        <v>4.1130140096027619E-2</v>
      </c>
      <c r="S52" s="87">
        <v>4.1006520871876714E-2</v>
      </c>
      <c r="T52" s="87">
        <v>3.2754324550687358E-2</v>
      </c>
      <c r="U52" s="87">
        <v>5.7154297452057669E-2</v>
      </c>
      <c r="V52" s="87">
        <v>6.3877265467736255E-2</v>
      </c>
      <c r="W52" s="87">
        <v>9.7396463201580991E-2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148.0715396578538</v>
      </c>
      <c r="C53" s="116">
        <f t="shared" ref="C53:V53" si="116">SUM(C54:C55)</f>
        <v>149.61897356143081</v>
      </c>
      <c r="D53" s="116">
        <f t="shared" si="116"/>
        <v>149</v>
      </c>
      <c r="E53" s="116">
        <f t="shared" si="116"/>
        <v>161</v>
      </c>
      <c r="F53" s="116">
        <f t="shared" si="116"/>
        <v>132</v>
      </c>
      <c r="G53" s="116">
        <f t="shared" si="116"/>
        <v>169</v>
      </c>
      <c r="H53" s="116">
        <f t="shared" si="116"/>
        <v>138</v>
      </c>
      <c r="I53" s="116">
        <f t="shared" si="116"/>
        <v>144</v>
      </c>
      <c r="J53" s="116">
        <f t="shared" si="116"/>
        <v>159</v>
      </c>
      <c r="K53" s="116">
        <f t="shared" si="116"/>
        <v>119</v>
      </c>
      <c r="L53" s="116">
        <f t="shared" si="116"/>
        <v>133</v>
      </c>
      <c r="M53" s="116">
        <f t="shared" si="116"/>
        <v>115</v>
      </c>
      <c r="N53" s="116">
        <f t="shared" si="116"/>
        <v>106</v>
      </c>
      <c r="O53" s="116">
        <f t="shared" si="116"/>
        <v>76</v>
      </c>
      <c r="P53" s="116">
        <f t="shared" si="116"/>
        <v>66</v>
      </c>
      <c r="Q53" s="116">
        <f t="shared" si="116"/>
        <v>65</v>
      </c>
      <c r="R53" s="116">
        <f t="shared" si="116"/>
        <v>88</v>
      </c>
      <c r="S53" s="116">
        <f t="shared" si="116"/>
        <v>103</v>
      </c>
      <c r="T53" s="116">
        <f t="shared" si="116"/>
        <v>111</v>
      </c>
      <c r="U53" s="116">
        <f t="shared" si="116"/>
        <v>114</v>
      </c>
      <c r="V53" s="116">
        <f t="shared" si="116"/>
        <v>83</v>
      </c>
      <c r="W53" s="116">
        <f t="shared" ref="W53" si="117">SUM(W54:W55)</f>
        <v>83</v>
      </c>
      <c r="DA53" s="176" t="s">
        <v>496</v>
      </c>
    </row>
    <row r="54" spans="1:105" ht="11.45" customHeight="1" x14ac:dyDescent="0.25">
      <c r="A54" s="128" t="s">
        <v>27</v>
      </c>
      <c r="B54" s="101">
        <v>148.0715396578538</v>
      </c>
      <c r="C54" s="101">
        <v>149.61897356143081</v>
      </c>
      <c r="D54" s="101">
        <v>149</v>
      </c>
      <c r="E54" s="101">
        <v>161</v>
      </c>
      <c r="F54" s="101">
        <v>132</v>
      </c>
      <c r="G54" s="101">
        <v>169</v>
      </c>
      <c r="H54" s="101">
        <v>138</v>
      </c>
      <c r="I54" s="101">
        <v>144</v>
      </c>
      <c r="J54" s="101">
        <v>159</v>
      </c>
      <c r="K54" s="101">
        <v>119</v>
      </c>
      <c r="L54" s="101">
        <v>133</v>
      </c>
      <c r="M54" s="101">
        <v>115</v>
      </c>
      <c r="N54" s="101">
        <v>106</v>
      </c>
      <c r="O54" s="101">
        <v>76</v>
      </c>
      <c r="P54" s="101">
        <v>66</v>
      </c>
      <c r="Q54" s="101">
        <v>65</v>
      </c>
      <c r="R54" s="101">
        <v>88</v>
      </c>
      <c r="S54" s="101">
        <v>103</v>
      </c>
      <c r="T54" s="101">
        <v>111</v>
      </c>
      <c r="U54" s="101">
        <v>114</v>
      </c>
      <c r="V54" s="101">
        <v>83</v>
      </c>
      <c r="W54" s="101">
        <v>83</v>
      </c>
      <c r="DA54" s="175" t="s">
        <v>497</v>
      </c>
    </row>
    <row r="55" spans="1:105" ht="11.45" customHeight="1" x14ac:dyDescent="0.25">
      <c r="A55" s="138" t="s">
        <v>116</v>
      </c>
      <c r="B55" s="88">
        <v>0</v>
      </c>
      <c r="C55" s="88">
        <v>0</v>
      </c>
      <c r="D55" s="88">
        <v>0</v>
      </c>
      <c r="E55" s="88">
        <v>0</v>
      </c>
      <c r="F55" s="88">
        <v>0</v>
      </c>
      <c r="G55" s="88">
        <v>0</v>
      </c>
      <c r="H55" s="88">
        <v>0</v>
      </c>
      <c r="I55" s="88">
        <v>0</v>
      </c>
      <c r="J55" s="88">
        <v>0</v>
      </c>
      <c r="K55" s="88">
        <v>0</v>
      </c>
      <c r="L55" s="88">
        <v>0</v>
      </c>
      <c r="M55" s="88">
        <v>0</v>
      </c>
      <c r="N55" s="88">
        <v>0</v>
      </c>
      <c r="O55" s="88">
        <v>0</v>
      </c>
      <c r="P55" s="88">
        <v>0</v>
      </c>
      <c r="Q55" s="88">
        <v>0</v>
      </c>
      <c r="R55" s="88">
        <v>0</v>
      </c>
      <c r="S55" s="88">
        <v>0</v>
      </c>
      <c r="T55" s="88">
        <v>0</v>
      </c>
      <c r="U55" s="88">
        <v>0</v>
      </c>
      <c r="V55" s="88">
        <v>0</v>
      </c>
      <c r="W55" s="88">
        <v>0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427905</v>
      </c>
      <c r="C57" s="54">
        <f t="shared" si="118"/>
        <v>442975</v>
      </c>
      <c r="D57" s="54">
        <f t="shared" si="118"/>
        <v>448652</v>
      </c>
      <c r="E57" s="54">
        <f t="shared" si="118"/>
        <v>466903</v>
      </c>
      <c r="F57" s="54">
        <f t="shared" si="118"/>
        <v>498042</v>
      </c>
      <c r="G57" s="54">
        <f t="shared" si="118"/>
        <v>517244</v>
      </c>
      <c r="H57" s="54">
        <f t="shared" si="118"/>
        <v>532448</v>
      </c>
      <c r="I57" s="54">
        <f t="shared" si="118"/>
        <v>568104</v>
      </c>
      <c r="J57" s="54">
        <f t="shared" si="118"/>
        <v>605100</v>
      </c>
      <c r="K57" s="54">
        <f t="shared" si="118"/>
        <v>622895</v>
      </c>
      <c r="L57" s="54">
        <f t="shared" ref="L57" si="119">L58+L73</f>
        <v>622625</v>
      </c>
      <c r="M57" s="54">
        <f t="shared" ref="M57:V57" si="120">M58+M73</f>
        <v>627954</v>
      </c>
      <c r="N57" s="54">
        <f t="shared" si="120"/>
        <v>633994</v>
      </c>
      <c r="O57" s="54">
        <f t="shared" si="120"/>
        <v>627315</v>
      </c>
      <c r="P57" s="54">
        <f t="shared" si="120"/>
        <v>627567</v>
      </c>
      <c r="Q57" s="54">
        <f t="shared" si="120"/>
        <v>634588</v>
      </c>
      <c r="R57" s="54">
        <f t="shared" si="120"/>
        <v>657443</v>
      </c>
      <c r="S57" s="54">
        <f t="shared" si="120"/>
        <v>677128</v>
      </c>
      <c r="T57" s="54">
        <f t="shared" si="120"/>
        <v>705644</v>
      </c>
      <c r="U57" s="54">
        <f t="shared" si="120"/>
        <v>731026</v>
      </c>
      <c r="V57" s="54">
        <f t="shared" si="120"/>
        <v>738541</v>
      </c>
      <c r="W57" s="54">
        <f t="shared" ref="W57" si="121">W58+W73</f>
        <v>755184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313264</v>
      </c>
      <c r="C58" s="28">
        <f t="shared" si="122"/>
        <v>325057</v>
      </c>
      <c r="D58" s="28">
        <f t="shared" si="122"/>
        <v>330895</v>
      </c>
      <c r="E58" s="28">
        <f t="shared" si="122"/>
        <v>347292</v>
      </c>
      <c r="F58" s="28">
        <f t="shared" si="122"/>
        <v>380229</v>
      </c>
      <c r="G58" s="28">
        <f t="shared" si="122"/>
        <v>398732</v>
      </c>
      <c r="H58" s="28">
        <f t="shared" si="122"/>
        <v>416525</v>
      </c>
      <c r="I58" s="28">
        <f t="shared" si="122"/>
        <v>455439</v>
      </c>
      <c r="J58" s="28">
        <f t="shared" si="122"/>
        <v>490138</v>
      </c>
      <c r="K58" s="28">
        <f t="shared" si="122"/>
        <v>506643</v>
      </c>
      <c r="L58" s="28">
        <f t="shared" ref="L58" si="123">L59+L60+L67</f>
        <v>506782</v>
      </c>
      <c r="M58" s="28">
        <f t="shared" ref="M58:V58" si="124">M59+M60+M67</f>
        <v>512808</v>
      </c>
      <c r="N58" s="28">
        <f t="shared" si="124"/>
        <v>520125</v>
      </c>
      <c r="O58" s="28">
        <f t="shared" si="124"/>
        <v>518017</v>
      </c>
      <c r="P58" s="28">
        <f t="shared" si="124"/>
        <v>522892</v>
      </c>
      <c r="Q58" s="28">
        <f t="shared" si="124"/>
        <v>530553</v>
      </c>
      <c r="R58" s="28">
        <f t="shared" si="124"/>
        <v>550974</v>
      </c>
      <c r="S58" s="28">
        <f t="shared" si="124"/>
        <v>569248</v>
      </c>
      <c r="T58" s="28">
        <f t="shared" si="124"/>
        <v>594498</v>
      </c>
      <c r="U58" s="28">
        <f t="shared" si="124"/>
        <v>616236</v>
      </c>
      <c r="V58" s="28">
        <f t="shared" si="124"/>
        <v>621863</v>
      </c>
      <c r="W58" s="28">
        <f t="shared" ref="W58" si="125">W59+W60+W67</f>
        <v>636865</v>
      </c>
      <c r="DA58" s="173" t="s">
        <v>500</v>
      </c>
    </row>
    <row r="59" spans="1:105" ht="11.45" customHeight="1" x14ac:dyDescent="0.25">
      <c r="A59" s="136" t="s">
        <v>180</v>
      </c>
      <c r="B59" s="137">
        <v>43315</v>
      </c>
      <c r="C59" s="137">
        <v>41985</v>
      </c>
      <c r="D59" s="137">
        <v>40276</v>
      </c>
      <c r="E59" s="137">
        <v>41516</v>
      </c>
      <c r="F59" s="137">
        <v>41396</v>
      </c>
      <c r="G59" s="137">
        <v>40381</v>
      </c>
      <c r="H59" s="137">
        <v>40359</v>
      </c>
      <c r="I59" s="137">
        <v>41211</v>
      </c>
      <c r="J59" s="137">
        <v>43219</v>
      </c>
      <c r="K59" s="137">
        <v>42690</v>
      </c>
      <c r="L59" s="137">
        <v>40727</v>
      </c>
      <c r="M59" s="137">
        <v>39803</v>
      </c>
      <c r="N59" s="137">
        <v>41105</v>
      </c>
      <c r="O59" s="137">
        <v>39969</v>
      </c>
      <c r="P59" s="137">
        <v>40970</v>
      </c>
      <c r="Q59" s="137">
        <v>39282</v>
      </c>
      <c r="R59" s="137">
        <v>39242</v>
      </c>
      <c r="S59" s="137">
        <v>39400</v>
      </c>
      <c r="T59" s="137">
        <v>39764</v>
      </c>
      <c r="U59" s="137">
        <v>39703</v>
      </c>
      <c r="V59" s="137">
        <v>40351</v>
      </c>
      <c r="W59" s="137">
        <v>41141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267000</v>
      </c>
      <c r="C60" s="110">
        <f t="shared" si="126"/>
        <v>280069</v>
      </c>
      <c r="D60" s="110">
        <f t="shared" si="126"/>
        <v>287622</v>
      </c>
      <c r="E60" s="110">
        <f t="shared" si="126"/>
        <v>302501</v>
      </c>
      <c r="F60" s="110">
        <f t="shared" si="126"/>
        <v>335634</v>
      </c>
      <c r="G60" s="110">
        <f t="shared" si="126"/>
        <v>355134</v>
      </c>
      <c r="H60" s="110">
        <f t="shared" si="126"/>
        <v>372945</v>
      </c>
      <c r="I60" s="110">
        <f t="shared" si="126"/>
        <v>410936</v>
      </c>
      <c r="J60" s="110">
        <f t="shared" si="126"/>
        <v>443517</v>
      </c>
      <c r="K60" s="110">
        <f t="shared" si="126"/>
        <v>460504</v>
      </c>
      <c r="L60" s="110">
        <f t="shared" ref="L60" si="127">SUM(L61:L66)</f>
        <v>462652</v>
      </c>
      <c r="M60" s="110">
        <f t="shared" ref="M60:V60" si="128">SUM(M61:M66)</f>
        <v>469543</v>
      </c>
      <c r="N60" s="110">
        <f t="shared" si="128"/>
        <v>475462</v>
      </c>
      <c r="O60" s="110">
        <f t="shared" si="128"/>
        <v>474552</v>
      </c>
      <c r="P60" s="110">
        <f t="shared" si="128"/>
        <v>478495</v>
      </c>
      <c r="Q60" s="110">
        <f t="shared" si="128"/>
        <v>487721</v>
      </c>
      <c r="R60" s="110">
        <f t="shared" si="128"/>
        <v>508155</v>
      </c>
      <c r="S60" s="110">
        <f t="shared" si="128"/>
        <v>526322</v>
      </c>
      <c r="T60" s="110">
        <f t="shared" si="128"/>
        <v>551314</v>
      </c>
      <c r="U60" s="110">
        <f t="shared" si="128"/>
        <v>573144</v>
      </c>
      <c r="V60" s="110">
        <f t="shared" si="128"/>
        <v>578815</v>
      </c>
      <c r="W60" s="110">
        <f t="shared" ref="W60" si="129">SUM(W61:W66)</f>
        <v>592910</v>
      </c>
      <c r="DA60" s="176" t="s">
        <v>502</v>
      </c>
    </row>
    <row r="61" spans="1:105" ht="11.45" customHeight="1" x14ac:dyDescent="0.25">
      <c r="A61" s="111" t="s">
        <v>110</v>
      </c>
      <c r="B61" s="84">
        <v>237000</v>
      </c>
      <c r="C61" s="84">
        <v>247164</v>
      </c>
      <c r="D61" s="84">
        <v>254431</v>
      </c>
      <c r="E61" s="84">
        <v>268875</v>
      </c>
      <c r="F61" s="84">
        <v>301834</v>
      </c>
      <c r="G61" s="84">
        <v>322063</v>
      </c>
      <c r="H61" s="84">
        <v>340539</v>
      </c>
      <c r="I61" s="84">
        <v>375337</v>
      </c>
      <c r="J61" s="84">
        <v>403269</v>
      </c>
      <c r="K61" s="84">
        <v>416605</v>
      </c>
      <c r="L61" s="84">
        <v>416450</v>
      </c>
      <c r="M61" s="84">
        <v>421509</v>
      </c>
      <c r="N61" s="84">
        <v>426214</v>
      </c>
      <c r="O61" s="84">
        <v>424068</v>
      </c>
      <c r="P61" s="84">
        <v>423607</v>
      </c>
      <c r="Q61" s="84">
        <v>427077</v>
      </c>
      <c r="R61" s="84">
        <v>437807</v>
      </c>
      <c r="S61" s="84">
        <v>442623</v>
      </c>
      <c r="T61" s="84">
        <v>450682</v>
      </c>
      <c r="U61" s="84">
        <v>457482</v>
      </c>
      <c r="V61" s="84">
        <v>453727</v>
      </c>
      <c r="W61" s="84">
        <v>461558</v>
      </c>
      <c r="DA61" s="171" t="s">
        <v>503</v>
      </c>
    </row>
    <row r="62" spans="1:105" ht="11.45" customHeight="1" x14ac:dyDescent="0.25">
      <c r="A62" s="111" t="s">
        <v>111</v>
      </c>
      <c r="B62" s="84">
        <v>30000</v>
      </c>
      <c r="C62" s="84">
        <v>32905</v>
      </c>
      <c r="D62" s="84">
        <v>33191</v>
      </c>
      <c r="E62" s="84">
        <v>33626</v>
      </c>
      <c r="F62" s="84">
        <v>33800</v>
      </c>
      <c r="G62" s="84">
        <v>33071</v>
      </c>
      <c r="H62" s="84">
        <v>32406</v>
      </c>
      <c r="I62" s="84">
        <v>35599</v>
      </c>
      <c r="J62" s="84">
        <v>40248</v>
      </c>
      <c r="K62" s="84">
        <v>43899</v>
      </c>
      <c r="L62" s="84">
        <v>46202</v>
      </c>
      <c r="M62" s="84">
        <v>48034</v>
      </c>
      <c r="N62" s="84">
        <v>49248</v>
      </c>
      <c r="O62" s="84">
        <v>50478</v>
      </c>
      <c r="P62" s="84">
        <v>54870</v>
      </c>
      <c r="Q62" s="84">
        <v>60592</v>
      </c>
      <c r="R62" s="84">
        <v>70264</v>
      </c>
      <c r="S62" s="84">
        <v>83505</v>
      </c>
      <c r="T62" s="84">
        <v>99381</v>
      </c>
      <c r="U62" s="84">
        <v>114291</v>
      </c>
      <c r="V62" s="84">
        <v>123622</v>
      </c>
      <c r="W62" s="84">
        <v>129664</v>
      </c>
      <c r="DA62" s="171" t="s">
        <v>504</v>
      </c>
    </row>
    <row r="63" spans="1:105" ht="11.45" customHeight="1" x14ac:dyDescent="0.25">
      <c r="A63" s="111" t="s">
        <v>112</v>
      </c>
      <c r="B63" s="84">
        <v>0</v>
      </c>
      <c r="C63" s="84">
        <v>0</v>
      </c>
      <c r="D63" s="84">
        <v>0</v>
      </c>
      <c r="E63" s="84">
        <v>0</v>
      </c>
      <c r="F63" s="84">
        <v>0</v>
      </c>
      <c r="G63" s="84">
        <v>0</v>
      </c>
      <c r="H63" s="84">
        <v>0</v>
      </c>
      <c r="I63" s="84">
        <v>0</v>
      </c>
      <c r="J63" s="84">
        <v>0</v>
      </c>
      <c r="K63" s="84">
        <v>0</v>
      </c>
      <c r="L63" s="84">
        <v>0</v>
      </c>
      <c r="M63" s="84">
        <v>0</v>
      </c>
      <c r="N63" s="84">
        <v>0</v>
      </c>
      <c r="O63" s="84">
        <v>0</v>
      </c>
      <c r="P63" s="84">
        <v>0</v>
      </c>
      <c r="Q63" s="84">
        <v>0</v>
      </c>
      <c r="R63" s="84">
        <v>0</v>
      </c>
      <c r="S63" s="84">
        <v>0</v>
      </c>
      <c r="T63" s="84">
        <v>950</v>
      </c>
      <c r="U63" s="84">
        <v>921</v>
      </c>
      <c r="V63" s="84">
        <v>895</v>
      </c>
      <c r="W63" s="84">
        <v>885</v>
      </c>
      <c r="DA63" s="171" t="s">
        <v>505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84">
        <v>0</v>
      </c>
      <c r="M64" s="84">
        <v>0</v>
      </c>
      <c r="N64" s="84">
        <v>0</v>
      </c>
      <c r="O64" s="84">
        <v>0</v>
      </c>
      <c r="P64" s="84">
        <v>0</v>
      </c>
      <c r="Q64" s="84">
        <v>0</v>
      </c>
      <c r="R64" s="84">
        <v>0</v>
      </c>
      <c r="S64" s="84">
        <v>0</v>
      </c>
      <c r="T64" s="84">
        <v>0</v>
      </c>
      <c r="U64" s="84">
        <v>0</v>
      </c>
      <c r="V64" s="84">
        <v>0</v>
      </c>
      <c r="W64" s="84">
        <v>0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0</v>
      </c>
      <c r="O65" s="84">
        <v>0</v>
      </c>
      <c r="P65" s="84">
        <v>3</v>
      </c>
      <c r="Q65" s="84">
        <v>29</v>
      </c>
      <c r="R65" s="84">
        <v>49</v>
      </c>
      <c r="S65" s="84">
        <v>104</v>
      </c>
      <c r="T65" s="84">
        <v>158</v>
      </c>
      <c r="U65" s="84">
        <v>242</v>
      </c>
      <c r="V65" s="84">
        <v>320</v>
      </c>
      <c r="W65" s="84">
        <v>468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6</v>
      </c>
      <c r="P66" s="84">
        <v>15</v>
      </c>
      <c r="Q66" s="84">
        <v>23</v>
      </c>
      <c r="R66" s="84">
        <v>35</v>
      </c>
      <c r="S66" s="84">
        <v>90</v>
      </c>
      <c r="T66" s="84">
        <v>143</v>
      </c>
      <c r="U66" s="84">
        <v>208</v>
      </c>
      <c r="V66" s="84">
        <v>251</v>
      </c>
      <c r="W66" s="84">
        <v>335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2949</v>
      </c>
      <c r="C67" s="110">
        <f t="shared" si="130"/>
        <v>3003</v>
      </c>
      <c r="D67" s="110">
        <f t="shared" si="130"/>
        <v>2997</v>
      </c>
      <c r="E67" s="110">
        <f t="shared" si="130"/>
        <v>3275</v>
      </c>
      <c r="F67" s="110">
        <f t="shared" si="130"/>
        <v>3199</v>
      </c>
      <c r="G67" s="110">
        <f t="shared" si="130"/>
        <v>3217</v>
      </c>
      <c r="H67" s="110">
        <f t="shared" si="130"/>
        <v>3221</v>
      </c>
      <c r="I67" s="110">
        <f t="shared" si="130"/>
        <v>3292</v>
      </c>
      <c r="J67" s="110">
        <f t="shared" si="130"/>
        <v>3402</v>
      </c>
      <c r="K67" s="110">
        <f t="shared" si="130"/>
        <v>3449</v>
      </c>
      <c r="L67" s="110">
        <f t="shared" ref="L67" si="131">SUM(L68:L72)</f>
        <v>3403</v>
      </c>
      <c r="M67" s="110">
        <f t="shared" ref="M67:V67" si="132">SUM(M68:M72)</f>
        <v>3462</v>
      </c>
      <c r="N67" s="110">
        <f t="shared" si="132"/>
        <v>3558</v>
      </c>
      <c r="O67" s="110">
        <f t="shared" si="132"/>
        <v>3496</v>
      </c>
      <c r="P67" s="110">
        <f t="shared" si="132"/>
        <v>3427</v>
      </c>
      <c r="Q67" s="110">
        <f t="shared" si="132"/>
        <v>3550</v>
      </c>
      <c r="R67" s="110">
        <f t="shared" si="132"/>
        <v>3577</v>
      </c>
      <c r="S67" s="110">
        <f t="shared" si="132"/>
        <v>3526</v>
      </c>
      <c r="T67" s="110">
        <f t="shared" si="132"/>
        <v>3420</v>
      </c>
      <c r="U67" s="110">
        <f t="shared" si="132"/>
        <v>3389</v>
      </c>
      <c r="V67" s="110">
        <f t="shared" si="132"/>
        <v>2697</v>
      </c>
      <c r="W67" s="110">
        <f t="shared" ref="W67" si="133">SUM(W68:W72)</f>
        <v>2814</v>
      </c>
      <c r="DA67" s="176" t="s">
        <v>509</v>
      </c>
    </row>
    <row r="68" spans="1:105" ht="11.45" customHeight="1" x14ac:dyDescent="0.25">
      <c r="A68" s="111" t="s">
        <v>110</v>
      </c>
      <c r="B68" s="102">
        <v>153</v>
      </c>
      <c r="C68" s="102">
        <v>151</v>
      </c>
      <c r="D68" s="102">
        <v>146</v>
      </c>
      <c r="E68" s="102">
        <v>147</v>
      </c>
      <c r="F68" s="102">
        <v>145</v>
      </c>
      <c r="G68" s="102">
        <v>144</v>
      </c>
      <c r="H68" s="102">
        <v>147</v>
      </c>
      <c r="I68" s="102">
        <v>146</v>
      </c>
      <c r="J68" s="102">
        <v>147</v>
      </c>
      <c r="K68" s="102">
        <v>144</v>
      </c>
      <c r="L68" s="102">
        <v>146</v>
      </c>
      <c r="M68" s="102">
        <v>148</v>
      </c>
      <c r="N68" s="102">
        <v>149</v>
      </c>
      <c r="O68" s="102">
        <v>147</v>
      </c>
      <c r="P68" s="102">
        <v>51</v>
      </c>
      <c r="Q68" s="102">
        <v>45</v>
      </c>
      <c r="R68" s="102">
        <v>44</v>
      </c>
      <c r="S68" s="102">
        <v>44</v>
      </c>
      <c r="T68" s="102">
        <v>44</v>
      </c>
      <c r="U68" s="102">
        <v>44</v>
      </c>
      <c r="V68" s="102">
        <v>44</v>
      </c>
      <c r="W68" s="102">
        <v>43</v>
      </c>
      <c r="DA68" s="175" t="s">
        <v>510</v>
      </c>
    </row>
    <row r="69" spans="1:105" ht="11.45" customHeight="1" x14ac:dyDescent="0.25">
      <c r="A69" s="111" t="s">
        <v>111</v>
      </c>
      <c r="B69" s="102">
        <v>2796</v>
      </c>
      <c r="C69" s="102">
        <v>2852</v>
      </c>
      <c r="D69" s="102">
        <v>2851</v>
      </c>
      <c r="E69" s="102">
        <v>3128</v>
      </c>
      <c r="F69" s="102">
        <v>3054</v>
      </c>
      <c r="G69" s="102">
        <v>3073</v>
      </c>
      <c r="H69" s="102">
        <v>3074</v>
      </c>
      <c r="I69" s="102">
        <v>3146</v>
      </c>
      <c r="J69" s="102">
        <v>3254</v>
      </c>
      <c r="K69" s="102">
        <v>3304</v>
      </c>
      <c r="L69" s="102">
        <v>3256</v>
      </c>
      <c r="M69" s="102">
        <v>3313</v>
      </c>
      <c r="N69" s="102">
        <v>3408</v>
      </c>
      <c r="O69" s="102">
        <v>3348</v>
      </c>
      <c r="P69" s="102">
        <v>3375</v>
      </c>
      <c r="Q69" s="102">
        <v>3504</v>
      </c>
      <c r="R69" s="102">
        <v>3532</v>
      </c>
      <c r="S69" s="102">
        <v>3481</v>
      </c>
      <c r="T69" s="102">
        <v>3375</v>
      </c>
      <c r="U69" s="102">
        <v>3344</v>
      </c>
      <c r="V69" s="102">
        <v>2652</v>
      </c>
      <c r="W69" s="102">
        <v>2770</v>
      </c>
      <c r="DA69" s="175" t="s">
        <v>511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DA70" s="175" t="s">
        <v>512</v>
      </c>
    </row>
    <row r="71" spans="1:105" ht="11.45" customHeight="1" x14ac:dyDescent="0.25">
      <c r="A71" s="111" t="s">
        <v>113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75" t="s">
        <v>513</v>
      </c>
    </row>
    <row r="72" spans="1:105" ht="11.45" customHeight="1" x14ac:dyDescent="0.25">
      <c r="A72" s="111" t="s">
        <v>115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1</v>
      </c>
      <c r="K72" s="102">
        <v>1</v>
      </c>
      <c r="L72" s="102">
        <v>1</v>
      </c>
      <c r="M72" s="102">
        <v>1</v>
      </c>
      <c r="N72" s="102">
        <v>1</v>
      </c>
      <c r="O72" s="102">
        <v>1</v>
      </c>
      <c r="P72" s="102">
        <v>1</v>
      </c>
      <c r="Q72" s="102">
        <v>1</v>
      </c>
      <c r="R72" s="102">
        <v>1</v>
      </c>
      <c r="S72" s="102">
        <v>1</v>
      </c>
      <c r="T72" s="102">
        <v>1</v>
      </c>
      <c r="U72" s="102">
        <v>1</v>
      </c>
      <c r="V72" s="102">
        <v>1</v>
      </c>
      <c r="W72" s="102">
        <v>1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114641</v>
      </c>
      <c r="C73" s="28">
        <f t="shared" si="134"/>
        <v>117918</v>
      </c>
      <c r="D73" s="28">
        <f t="shared" si="134"/>
        <v>117757</v>
      </c>
      <c r="E73" s="28">
        <f t="shared" si="134"/>
        <v>119611</v>
      </c>
      <c r="F73" s="28">
        <f t="shared" si="134"/>
        <v>117813</v>
      </c>
      <c r="G73" s="28">
        <f t="shared" si="134"/>
        <v>118512</v>
      </c>
      <c r="H73" s="28">
        <f t="shared" si="134"/>
        <v>115923</v>
      </c>
      <c r="I73" s="28">
        <f t="shared" si="134"/>
        <v>112665</v>
      </c>
      <c r="J73" s="28">
        <f t="shared" si="134"/>
        <v>114962</v>
      </c>
      <c r="K73" s="28">
        <f t="shared" si="134"/>
        <v>116252</v>
      </c>
      <c r="L73" s="28">
        <f t="shared" ref="L73" si="135">L74+L80</f>
        <v>115843</v>
      </c>
      <c r="M73" s="28">
        <f t="shared" ref="M73:V73" si="136">M74+M80</f>
        <v>115146</v>
      </c>
      <c r="N73" s="28">
        <f t="shared" si="136"/>
        <v>113869</v>
      </c>
      <c r="O73" s="28">
        <f t="shared" si="136"/>
        <v>109298</v>
      </c>
      <c r="P73" s="28">
        <f t="shared" si="136"/>
        <v>104675</v>
      </c>
      <c r="Q73" s="28">
        <f t="shared" si="136"/>
        <v>104035</v>
      </c>
      <c r="R73" s="28">
        <f t="shared" si="136"/>
        <v>106469</v>
      </c>
      <c r="S73" s="28">
        <f t="shared" si="136"/>
        <v>107880</v>
      </c>
      <c r="T73" s="28">
        <f t="shared" si="136"/>
        <v>111146</v>
      </c>
      <c r="U73" s="28">
        <f t="shared" si="136"/>
        <v>114790</v>
      </c>
      <c r="V73" s="28">
        <f t="shared" si="136"/>
        <v>116678</v>
      </c>
      <c r="W73" s="28">
        <f t="shared" ref="W73" si="137">W74+W80</f>
        <v>118319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99971</v>
      </c>
      <c r="C74" s="137">
        <f t="shared" si="138"/>
        <v>101799</v>
      </c>
      <c r="D74" s="137">
        <f t="shared" si="138"/>
        <v>102436</v>
      </c>
      <c r="E74" s="137">
        <f t="shared" si="138"/>
        <v>104247</v>
      </c>
      <c r="F74" s="137">
        <f t="shared" si="138"/>
        <v>102545</v>
      </c>
      <c r="G74" s="137">
        <f t="shared" si="138"/>
        <v>99069</v>
      </c>
      <c r="H74" s="137">
        <f t="shared" si="138"/>
        <v>96659</v>
      </c>
      <c r="I74" s="137">
        <f t="shared" si="138"/>
        <v>95397</v>
      </c>
      <c r="J74" s="137">
        <f t="shared" si="138"/>
        <v>96744</v>
      </c>
      <c r="K74" s="137">
        <f t="shared" si="138"/>
        <v>97019</v>
      </c>
      <c r="L74" s="137">
        <f t="shared" ref="L74" si="139">SUM(L75:L79)</f>
        <v>96843</v>
      </c>
      <c r="M74" s="137">
        <f t="shared" ref="M74:V74" si="140">SUM(M75:M79)</f>
        <v>96686</v>
      </c>
      <c r="N74" s="137">
        <f t="shared" si="140"/>
        <v>96748</v>
      </c>
      <c r="O74" s="137">
        <f t="shared" si="140"/>
        <v>97245</v>
      </c>
      <c r="P74" s="137">
        <f t="shared" si="140"/>
        <v>93381</v>
      </c>
      <c r="Q74" s="137">
        <f t="shared" si="140"/>
        <v>92726</v>
      </c>
      <c r="R74" s="137">
        <f t="shared" si="140"/>
        <v>94673</v>
      </c>
      <c r="S74" s="137">
        <f t="shared" si="140"/>
        <v>95705</v>
      </c>
      <c r="T74" s="137">
        <f t="shared" si="140"/>
        <v>98533</v>
      </c>
      <c r="U74" s="137">
        <f t="shared" si="140"/>
        <v>101528</v>
      </c>
      <c r="V74" s="137">
        <f t="shared" si="140"/>
        <v>102951</v>
      </c>
      <c r="W74" s="137">
        <f t="shared" ref="W74" si="141">SUM(W75:W79)</f>
        <v>104216</v>
      </c>
      <c r="DA74" s="174" t="s">
        <v>516</v>
      </c>
    </row>
    <row r="75" spans="1:105" ht="11.45" customHeight="1" x14ac:dyDescent="0.25">
      <c r="A75" s="111" t="s">
        <v>110</v>
      </c>
      <c r="B75" s="84">
        <v>8660</v>
      </c>
      <c r="C75" s="84">
        <v>8951</v>
      </c>
      <c r="D75" s="84">
        <v>8401</v>
      </c>
      <c r="E75" s="84">
        <v>9166</v>
      </c>
      <c r="F75" s="84">
        <v>8131</v>
      </c>
      <c r="G75" s="84">
        <v>5825</v>
      </c>
      <c r="H75" s="84">
        <v>5683</v>
      </c>
      <c r="I75" s="84">
        <v>5187</v>
      </c>
      <c r="J75" s="84">
        <v>5488</v>
      </c>
      <c r="K75" s="84">
        <v>5485</v>
      </c>
      <c r="L75" s="84">
        <v>5239</v>
      </c>
      <c r="M75" s="84">
        <v>5137</v>
      </c>
      <c r="N75" s="84">
        <v>5103</v>
      </c>
      <c r="O75" s="84">
        <v>5144</v>
      </c>
      <c r="P75" s="84">
        <v>4878</v>
      </c>
      <c r="Q75" s="84">
        <v>4830</v>
      </c>
      <c r="R75" s="84">
        <v>4861</v>
      </c>
      <c r="S75" s="84">
        <v>4800</v>
      </c>
      <c r="T75" s="84">
        <v>4868</v>
      </c>
      <c r="U75" s="84">
        <v>5032</v>
      </c>
      <c r="V75" s="84">
        <v>5159</v>
      </c>
      <c r="W75" s="84">
        <v>5381</v>
      </c>
      <c r="DA75" s="171" t="s">
        <v>517</v>
      </c>
    </row>
    <row r="76" spans="1:105" ht="11.45" customHeight="1" x14ac:dyDescent="0.25">
      <c r="A76" s="111" t="s">
        <v>111</v>
      </c>
      <c r="B76" s="84">
        <v>91311</v>
      </c>
      <c r="C76" s="84">
        <v>92848</v>
      </c>
      <c r="D76" s="84">
        <v>94035</v>
      </c>
      <c r="E76" s="84">
        <v>95081</v>
      </c>
      <c r="F76" s="84">
        <v>94414</v>
      </c>
      <c r="G76" s="84">
        <v>93244</v>
      </c>
      <c r="H76" s="84">
        <v>90976</v>
      </c>
      <c r="I76" s="84">
        <v>90208</v>
      </c>
      <c r="J76" s="84">
        <v>91253</v>
      </c>
      <c r="K76" s="84">
        <v>91531</v>
      </c>
      <c r="L76" s="84">
        <v>91599</v>
      </c>
      <c r="M76" s="84">
        <v>91543</v>
      </c>
      <c r="N76" s="84">
        <v>91639</v>
      </c>
      <c r="O76" s="84">
        <v>92095</v>
      </c>
      <c r="P76" s="84">
        <v>88498</v>
      </c>
      <c r="Q76" s="84">
        <v>87891</v>
      </c>
      <c r="R76" s="84">
        <v>89807</v>
      </c>
      <c r="S76" s="84">
        <v>90900</v>
      </c>
      <c r="T76" s="84">
        <v>93661</v>
      </c>
      <c r="U76" s="84">
        <v>96489</v>
      </c>
      <c r="V76" s="84">
        <v>97784</v>
      </c>
      <c r="W76" s="84">
        <v>98823</v>
      </c>
      <c r="DA76" s="171" t="s">
        <v>518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DA77" s="171" t="s">
        <v>519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DA78" s="171" t="s">
        <v>520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2</v>
      </c>
      <c r="J79" s="84">
        <v>3</v>
      </c>
      <c r="K79" s="84">
        <v>3</v>
      </c>
      <c r="L79" s="84">
        <v>5</v>
      </c>
      <c r="M79" s="84">
        <v>6</v>
      </c>
      <c r="N79" s="84">
        <v>6</v>
      </c>
      <c r="O79" s="84">
        <v>6</v>
      </c>
      <c r="P79" s="84">
        <v>5</v>
      </c>
      <c r="Q79" s="84">
        <v>5</v>
      </c>
      <c r="R79" s="84">
        <v>5</v>
      </c>
      <c r="S79" s="84">
        <v>5</v>
      </c>
      <c r="T79" s="84">
        <v>4</v>
      </c>
      <c r="U79" s="84">
        <v>7</v>
      </c>
      <c r="V79" s="84">
        <v>8</v>
      </c>
      <c r="W79" s="84">
        <v>12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14670</v>
      </c>
      <c r="C80" s="110">
        <f t="shared" si="142"/>
        <v>16119</v>
      </c>
      <c r="D80" s="110">
        <f t="shared" si="142"/>
        <v>15321</v>
      </c>
      <c r="E80" s="110">
        <f t="shared" si="142"/>
        <v>15364</v>
      </c>
      <c r="F80" s="110">
        <f t="shared" si="142"/>
        <v>15268</v>
      </c>
      <c r="G80" s="110">
        <f t="shared" si="142"/>
        <v>19443</v>
      </c>
      <c r="H80" s="110">
        <f t="shared" si="142"/>
        <v>19264</v>
      </c>
      <c r="I80" s="110">
        <f t="shared" si="142"/>
        <v>17268</v>
      </c>
      <c r="J80" s="110">
        <f t="shared" si="142"/>
        <v>18218</v>
      </c>
      <c r="K80" s="110">
        <f t="shared" si="142"/>
        <v>19233</v>
      </c>
      <c r="L80" s="110">
        <f t="shared" ref="L80" si="143">SUM(L81:L82)</f>
        <v>19000</v>
      </c>
      <c r="M80" s="110">
        <f t="shared" ref="M80:V80" si="144">SUM(M81:M82)</f>
        <v>18460</v>
      </c>
      <c r="N80" s="110">
        <f t="shared" si="144"/>
        <v>17121</v>
      </c>
      <c r="O80" s="110">
        <f t="shared" si="144"/>
        <v>12053</v>
      </c>
      <c r="P80" s="110">
        <f t="shared" si="144"/>
        <v>11294</v>
      </c>
      <c r="Q80" s="110">
        <f t="shared" si="144"/>
        <v>11309</v>
      </c>
      <c r="R80" s="110">
        <f t="shared" si="144"/>
        <v>11796</v>
      </c>
      <c r="S80" s="110">
        <f t="shared" si="144"/>
        <v>12175</v>
      </c>
      <c r="T80" s="110">
        <f t="shared" si="144"/>
        <v>12613</v>
      </c>
      <c r="U80" s="110">
        <f t="shared" si="144"/>
        <v>13262</v>
      </c>
      <c r="V80" s="110">
        <f t="shared" si="144"/>
        <v>13727</v>
      </c>
      <c r="W80" s="110">
        <f t="shared" ref="W80" si="145">SUM(W81:W82)</f>
        <v>14103</v>
      </c>
      <c r="DA80" s="176" t="s">
        <v>522</v>
      </c>
    </row>
    <row r="81" spans="1:105" ht="11.45" customHeight="1" x14ac:dyDescent="0.25">
      <c r="A81" s="128" t="s">
        <v>27</v>
      </c>
      <c r="B81" s="102">
        <v>14670</v>
      </c>
      <c r="C81" s="102">
        <v>16119</v>
      </c>
      <c r="D81" s="102">
        <v>15321</v>
      </c>
      <c r="E81" s="102">
        <v>15364</v>
      </c>
      <c r="F81" s="102">
        <v>15268</v>
      </c>
      <c r="G81" s="102">
        <v>19443</v>
      </c>
      <c r="H81" s="102">
        <v>19264</v>
      </c>
      <c r="I81" s="102">
        <v>17268</v>
      </c>
      <c r="J81" s="102">
        <v>18218</v>
      </c>
      <c r="K81" s="102">
        <v>19233</v>
      </c>
      <c r="L81" s="102">
        <v>19000</v>
      </c>
      <c r="M81" s="102">
        <v>18460</v>
      </c>
      <c r="N81" s="102">
        <v>17121</v>
      </c>
      <c r="O81" s="102">
        <v>12053</v>
      </c>
      <c r="P81" s="102">
        <v>11294</v>
      </c>
      <c r="Q81" s="102">
        <v>11309</v>
      </c>
      <c r="R81" s="102">
        <v>11796</v>
      </c>
      <c r="S81" s="102">
        <v>12175</v>
      </c>
      <c r="T81" s="102">
        <v>12613</v>
      </c>
      <c r="U81" s="102">
        <v>13262</v>
      </c>
      <c r="V81" s="102">
        <v>13727</v>
      </c>
      <c r="W81" s="102">
        <v>14103</v>
      </c>
      <c r="DA81" s="175" t="s">
        <v>523</v>
      </c>
    </row>
    <row r="82" spans="1:105" ht="11.45" customHeight="1" x14ac:dyDescent="0.25">
      <c r="A82" s="138" t="s">
        <v>116</v>
      </c>
      <c r="B82" s="86">
        <v>0</v>
      </c>
      <c r="C82" s="86">
        <v>0</v>
      </c>
      <c r="D82" s="86">
        <v>0</v>
      </c>
      <c r="E82" s="86">
        <v>0</v>
      </c>
      <c r="F82" s="86">
        <v>0</v>
      </c>
      <c r="G82" s="86">
        <v>0</v>
      </c>
      <c r="H82" s="86">
        <v>0</v>
      </c>
      <c r="I82" s="86">
        <v>0</v>
      </c>
      <c r="J82" s="86">
        <v>0</v>
      </c>
      <c r="K82" s="86">
        <v>0</v>
      </c>
      <c r="L82" s="86">
        <v>0</v>
      </c>
      <c r="M82" s="86">
        <v>0</v>
      </c>
      <c r="N82" s="86">
        <v>0</v>
      </c>
      <c r="O82" s="86">
        <v>0</v>
      </c>
      <c r="P82" s="86">
        <v>0</v>
      </c>
      <c r="Q82" s="86">
        <v>0</v>
      </c>
      <c r="R82" s="86">
        <v>0</v>
      </c>
      <c r="S82" s="86">
        <v>0</v>
      </c>
      <c r="T82" s="86">
        <v>0</v>
      </c>
      <c r="U82" s="86">
        <v>0</v>
      </c>
      <c r="V82" s="86">
        <v>0</v>
      </c>
      <c r="W82" s="86">
        <v>0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427905</v>
      </c>
      <c r="C84" s="54">
        <f t="shared" si="146"/>
        <v>442975</v>
      </c>
      <c r="D84" s="54">
        <f t="shared" ref="D84:V84" si="147">D85+D100</f>
        <v>448652</v>
      </c>
      <c r="E84" s="54">
        <f t="shared" si="147"/>
        <v>466903</v>
      </c>
      <c r="F84" s="54">
        <f t="shared" si="147"/>
        <v>498042</v>
      </c>
      <c r="G84" s="54">
        <f t="shared" si="147"/>
        <v>517244</v>
      </c>
      <c r="H84" s="54">
        <f t="shared" si="147"/>
        <v>532448</v>
      </c>
      <c r="I84" s="54">
        <f t="shared" si="147"/>
        <v>568104</v>
      </c>
      <c r="J84" s="54">
        <f t="shared" si="147"/>
        <v>605100</v>
      </c>
      <c r="K84" s="54">
        <f t="shared" si="147"/>
        <v>622895</v>
      </c>
      <c r="L84" s="54">
        <f t="shared" si="147"/>
        <v>622625</v>
      </c>
      <c r="M84" s="54">
        <f t="shared" si="147"/>
        <v>627954</v>
      </c>
      <c r="N84" s="54">
        <f t="shared" si="147"/>
        <v>633994</v>
      </c>
      <c r="O84" s="54">
        <f t="shared" si="147"/>
        <v>627315</v>
      </c>
      <c r="P84" s="54">
        <f t="shared" si="147"/>
        <v>627567</v>
      </c>
      <c r="Q84" s="54">
        <f t="shared" si="147"/>
        <v>634588</v>
      </c>
      <c r="R84" s="54">
        <f t="shared" si="147"/>
        <v>657443</v>
      </c>
      <c r="S84" s="54">
        <f t="shared" si="147"/>
        <v>677128</v>
      </c>
      <c r="T84" s="54">
        <f t="shared" si="147"/>
        <v>705644</v>
      </c>
      <c r="U84" s="54">
        <f t="shared" si="147"/>
        <v>731026</v>
      </c>
      <c r="V84" s="54">
        <f t="shared" si="147"/>
        <v>738541</v>
      </c>
      <c r="W84" s="54">
        <f t="shared" ref="W84" si="148">W85+W100</f>
        <v>755184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313264</v>
      </c>
      <c r="C85" s="28">
        <f t="shared" si="149"/>
        <v>325057</v>
      </c>
      <c r="D85" s="28">
        <f t="shared" ref="D85:V85" si="150">D86+D87+D94</f>
        <v>330895</v>
      </c>
      <c r="E85" s="28">
        <f t="shared" si="150"/>
        <v>347292</v>
      </c>
      <c r="F85" s="28">
        <f t="shared" si="150"/>
        <v>380229</v>
      </c>
      <c r="G85" s="28">
        <f t="shared" si="150"/>
        <v>398732</v>
      </c>
      <c r="H85" s="28">
        <f t="shared" si="150"/>
        <v>416525</v>
      </c>
      <c r="I85" s="28">
        <f t="shared" si="150"/>
        <v>455439</v>
      </c>
      <c r="J85" s="28">
        <f t="shared" si="150"/>
        <v>490138</v>
      </c>
      <c r="K85" s="28">
        <f t="shared" si="150"/>
        <v>506643</v>
      </c>
      <c r="L85" s="28">
        <f t="shared" si="150"/>
        <v>506782</v>
      </c>
      <c r="M85" s="28">
        <f t="shared" si="150"/>
        <v>512808</v>
      </c>
      <c r="N85" s="28">
        <f t="shared" si="150"/>
        <v>520125</v>
      </c>
      <c r="O85" s="28">
        <f t="shared" si="150"/>
        <v>518017</v>
      </c>
      <c r="P85" s="28">
        <f t="shared" si="150"/>
        <v>522892</v>
      </c>
      <c r="Q85" s="28">
        <f t="shared" si="150"/>
        <v>530553</v>
      </c>
      <c r="R85" s="28">
        <f t="shared" si="150"/>
        <v>550974</v>
      </c>
      <c r="S85" s="28">
        <f t="shared" si="150"/>
        <v>569248</v>
      </c>
      <c r="T85" s="28">
        <f t="shared" si="150"/>
        <v>594498</v>
      </c>
      <c r="U85" s="28">
        <f t="shared" si="150"/>
        <v>616236</v>
      </c>
      <c r="V85" s="28">
        <f t="shared" si="150"/>
        <v>621863</v>
      </c>
      <c r="W85" s="28">
        <f t="shared" ref="W85" si="151">W86+W87+W94</f>
        <v>636865</v>
      </c>
      <c r="DA85" s="173"/>
    </row>
    <row r="86" spans="1:105" ht="11.45" hidden="1" customHeight="1" x14ac:dyDescent="0.25">
      <c r="A86" s="136" t="s">
        <v>180</v>
      </c>
      <c r="B86" s="137">
        <v>43315</v>
      </c>
      <c r="C86" s="137">
        <v>41985</v>
      </c>
      <c r="D86" s="137">
        <v>40276</v>
      </c>
      <c r="E86" s="137">
        <v>41516</v>
      </c>
      <c r="F86" s="137">
        <v>41396</v>
      </c>
      <c r="G86" s="137">
        <v>40381</v>
      </c>
      <c r="H86" s="137">
        <v>40359</v>
      </c>
      <c r="I86" s="137">
        <v>41211</v>
      </c>
      <c r="J86" s="137">
        <v>43219</v>
      </c>
      <c r="K86" s="137">
        <v>42690</v>
      </c>
      <c r="L86" s="137">
        <v>40727</v>
      </c>
      <c r="M86" s="137">
        <v>39803</v>
      </c>
      <c r="N86" s="137">
        <v>41105</v>
      </c>
      <c r="O86" s="137">
        <v>39969</v>
      </c>
      <c r="P86" s="137">
        <v>40970</v>
      </c>
      <c r="Q86" s="137">
        <v>39282</v>
      </c>
      <c r="R86" s="137">
        <v>39242</v>
      </c>
      <c r="S86" s="137">
        <v>39400</v>
      </c>
      <c r="T86" s="137">
        <v>39764</v>
      </c>
      <c r="U86" s="137">
        <v>39703</v>
      </c>
      <c r="V86" s="137">
        <v>40351</v>
      </c>
      <c r="W86" s="137">
        <v>41141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267000</v>
      </c>
      <c r="C87" s="110">
        <f t="shared" si="152"/>
        <v>280069</v>
      </c>
      <c r="D87" s="110">
        <f t="shared" ref="D87:V87" si="153">SUM(D88:D93)</f>
        <v>287622</v>
      </c>
      <c r="E87" s="110">
        <f t="shared" si="153"/>
        <v>302501</v>
      </c>
      <c r="F87" s="110">
        <f t="shared" si="153"/>
        <v>335634</v>
      </c>
      <c r="G87" s="110">
        <f t="shared" si="153"/>
        <v>355134</v>
      </c>
      <c r="H87" s="110">
        <f t="shared" si="153"/>
        <v>372945</v>
      </c>
      <c r="I87" s="110">
        <f t="shared" si="153"/>
        <v>410936</v>
      </c>
      <c r="J87" s="110">
        <f t="shared" si="153"/>
        <v>443517</v>
      </c>
      <c r="K87" s="110">
        <f t="shared" si="153"/>
        <v>460504</v>
      </c>
      <c r="L87" s="110">
        <f t="shared" si="153"/>
        <v>462652</v>
      </c>
      <c r="M87" s="110">
        <f t="shared" si="153"/>
        <v>469543</v>
      </c>
      <c r="N87" s="110">
        <f t="shared" si="153"/>
        <v>475462</v>
      </c>
      <c r="O87" s="110">
        <f t="shared" si="153"/>
        <v>474552</v>
      </c>
      <c r="P87" s="110">
        <f t="shared" si="153"/>
        <v>478495</v>
      </c>
      <c r="Q87" s="110">
        <f t="shared" si="153"/>
        <v>487721</v>
      </c>
      <c r="R87" s="110">
        <f t="shared" si="153"/>
        <v>508155</v>
      </c>
      <c r="S87" s="110">
        <f t="shared" si="153"/>
        <v>526322</v>
      </c>
      <c r="T87" s="110">
        <f t="shared" si="153"/>
        <v>551314</v>
      </c>
      <c r="U87" s="110">
        <f t="shared" si="153"/>
        <v>573144</v>
      </c>
      <c r="V87" s="110">
        <f t="shared" si="153"/>
        <v>578815</v>
      </c>
      <c r="W87" s="110">
        <f t="shared" ref="W87" si="154">SUM(W88:W93)</f>
        <v>592910</v>
      </c>
      <c r="DA87" s="176"/>
    </row>
    <row r="88" spans="1:105" ht="11.45" hidden="1" customHeight="1" x14ac:dyDescent="0.25">
      <c r="A88" s="111" t="s">
        <v>110</v>
      </c>
      <c r="B88" s="84">
        <v>237000</v>
      </c>
      <c r="C88" s="84">
        <v>247164</v>
      </c>
      <c r="D88" s="84">
        <v>254431</v>
      </c>
      <c r="E88" s="84">
        <v>268875</v>
      </c>
      <c r="F88" s="84">
        <v>301834</v>
      </c>
      <c r="G88" s="84">
        <v>322063</v>
      </c>
      <c r="H88" s="84">
        <v>340539</v>
      </c>
      <c r="I88" s="84">
        <v>375337</v>
      </c>
      <c r="J88" s="84">
        <v>403269</v>
      </c>
      <c r="K88" s="84">
        <v>416605</v>
      </c>
      <c r="L88" s="84">
        <v>416450</v>
      </c>
      <c r="M88" s="84">
        <v>421509</v>
      </c>
      <c r="N88" s="84">
        <v>426214</v>
      </c>
      <c r="O88" s="84">
        <v>424068</v>
      </c>
      <c r="P88" s="84">
        <v>423607</v>
      </c>
      <c r="Q88" s="84">
        <v>427077</v>
      </c>
      <c r="R88" s="84">
        <v>437807</v>
      </c>
      <c r="S88" s="84">
        <v>442623</v>
      </c>
      <c r="T88" s="84">
        <v>450682</v>
      </c>
      <c r="U88" s="84">
        <v>457482</v>
      </c>
      <c r="V88" s="84">
        <v>453727</v>
      </c>
      <c r="W88" s="84">
        <v>461558</v>
      </c>
      <c r="DA88" s="171"/>
    </row>
    <row r="89" spans="1:105" ht="11.45" hidden="1" customHeight="1" x14ac:dyDescent="0.25">
      <c r="A89" s="111" t="s">
        <v>111</v>
      </c>
      <c r="B89" s="84">
        <v>30000</v>
      </c>
      <c r="C89" s="84">
        <v>32905</v>
      </c>
      <c r="D89" s="84">
        <v>33191</v>
      </c>
      <c r="E89" s="84">
        <v>33626</v>
      </c>
      <c r="F89" s="84">
        <v>33800</v>
      </c>
      <c r="G89" s="84">
        <v>33071</v>
      </c>
      <c r="H89" s="84">
        <v>32406</v>
      </c>
      <c r="I89" s="84">
        <v>35599</v>
      </c>
      <c r="J89" s="84">
        <v>40248</v>
      </c>
      <c r="K89" s="84">
        <v>43899</v>
      </c>
      <c r="L89" s="84">
        <v>46202</v>
      </c>
      <c r="M89" s="84">
        <v>48034</v>
      </c>
      <c r="N89" s="84">
        <v>49248</v>
      </c>
      <c r="O89" s="84">
        <v>50478</v>
      </c>
      <c r="P89" s="84">
        <v>54870</v>
      </c>
      <c r="Q89" s="84">
        <v>60592</v>
      </c>
      <c r="R89" s="84">
        <v>70264</v>
      </c>
      <c r="S89" s="84">
        <v>83505</v>
      </c>
      <c r="T89" s="84">
        <v>99381</v>
      </c>
      <c r="U89" s="84">
        <v>114291</v>
      </c>
      <c r="V89" s="84">
        <v>123622</v>
      </c>
      <c r="W89" s="84">
        <v>129664</v>
      </c>
      <c r="DA89" s="171"/>
    </row>
    <row r="90" spans="1:105" ht="11.45" hidden="1" customHeight="1" x14ac:dyDescent="0.25">
      <c r="A90" s="111" t="s">
        <v>112</v>
      </c>
      <c r="B90" s="84">
        <v>0</v>
      </c>
      <c r="C90" s="84">
        <v>0</v>
      </c>
      <c r="D90" s="84">
        <v>0</v>
      </c>
      <c r="E90" s="84">
        <v>0</v>
      </c>
      <c r="F90" s="84">
        <v>0</v>
      </c>
      <c r="G90" s="84">
        <v>0</v>
      </c>
      <c r="H90" s="84">
        <v>0</v>
      </c>
      <c r="I90" s="84">
        <v>0</v>
      </c>
      <c r="J90" s="84">
        <v>0</v>
      </c>
      <c r="K90" s="84">
        <v>0</v>
      </c>
      <c r="L90" s="84">
        <v>0</v>
      </c>
      <c r="M90" s="84">
        <v>0</v>
      </c>
      <c r="N90" s="84">
        <v>0</v>
      </c>
      <c r="O90" s="84">
        <v>0</v>
      </c>
      <c r="P90" s="84">
        <v>0</v>
      </c>
      <c r="Q90" s="84">
        <v>0</v>
      </c>
      <c r="R90" s="84">
        <v>0</v>
      </c>
      <c r="S90" s="84">
        <v>0</v>
      </c>
      <c r="T90" s="84">
        <v>950</v>
      </c>
      <c r="U90" s="84">
        <v>921</v>
      </c>
      <c r="V90" s="84">
        <v>895</v>
      </c>
      <c r="W90" s="84">
        <v>885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0</v>
      </c>
      <c r="J91" s="84">
        <v>0</v>
      </c>
      <c r="K91" s="84">
        <v>0</v>
      </c>
      <c r="L91" s="84">
        <v>0</v>
      </c>
      <c r="M91" s="84">
        <v>0</v>
      </c>
      <c r="N91" s="84">
        <v>0</v>
      </c>
      <c r="O91" s="84">
        <v>0</v>
      </c>
      <c r="P91" s="84">
        <v>0</v>
      </c>
      <c r="Q91" s="84">
        <v>0</v>
      </c>
      <c r="R91" s="84">
        <v>0</v>
      </c>
      <c r="S91" s="84">
        <v>0</v>
      </c>
      <c r="T91" s="84">
        <v>0</v>
      </c>
      <c r="U91" s="84">
        <v>0</v>
      </c>
      <c r="V91" s="84">
        <v>0</v>
      </c>
      <c r="W91" s="84">
        <v>0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0</v>
      </c>
      <c r="O92" s="84">
        <v>0</v>
      </c>
      <c r="P92" s="84">
        <v>3</v>
      </c>
      <c r="Q92" s="84">
        <v>29</v>
      </c>
      <c r="R92" s="84">
        <v>49</v>
      </c>
      <c r="S92" s="84">
        <v>104</v>
      </c>
      <c r="T92" s="84">
        <v>158</v>
      </c>
      <c r="U92" s="84">
        <v>242</v>
      </c>
      <c r="V92" s="84">
        <v>320</v>
      </c>
      <c r="W92" s="84">
        <v>468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0</v>
      </c>
      <c r="L93" s="84">
        <v>0</v>
      </c>
      <c r="M93" s="84">
        <v>0</v>
      </c>
      <c r="N93" s="84">
        <v>0</v>
      </c>
      <c r="O93" s="84">
        <v>6</v>
      </c>
      <c r="P93" s="84">
        <v>15</v>
      </c>
      <c r="Q93" s="84">
        <v>23</v>
      </c>
      <c r="R93" s="84">
        <v>35</v>
      </c>
      <c r="S93" s="84">
        <v>90</v>
      </c>
      <c r="T93" s="84">
        <v>143</v>
      </c>
      <c r="U93" s="84">
        <v>208</v>
      </c>
      <c r="V93" s="84">
        <v>251</v>
      </c>
      <c r="W93" s="84">
        <v>335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2949</v>
      </c>
      <c r="C94" s="110">
        <f t="shared" si="155"/>
        <v>3003</v>
      </c>
      <c r="D94" s="110">
        <f t="shared" ref="D94:V94" si="156">SUM(D95:D99)</f>
        <v>2997</v>
      </c>
      <c r="E94" s="110">
        <f t="shared" si="156"/>
        <v>3275</v>
      </c>
      <c r="F94" s="110">
        <f t="shared" si="156"/>
        <v>3199</v>
      </c>
      <c r="G94" s="110">
        <f t="shared" si="156"/>
        <v>3217</v>
      </c>
      <c r="H94" s="110">
        <f t="shared" si="156"/>
        <v>3221</v>
      </c>
      <c r="I94" s="110">
        <f t="shared" si="156"/>
        <v>3292</v>
      </c>
      <c r="J94" s="110">
        <f t="shared" si="156"/>
        <v>3402</v>
      </c>
      <c r="K94" s="110">
        <f t="shared" si="156"/>
        <v>3449</v>
      </c>
      <c r="L94" s="110">
        <f t="shared" si="156"/>
        <v>3403</v>
      </c>
      <c r="M94" s="110">
        <f t="shared" si="156"/>
        <v>3462</v>
      </c>
      <c r="N94" s="110">
        <f t="shared" si="156"/>
        <v>3558</v>
      </c>
      <c r="O94" s="110">
        <f t="shared" si="156"/>
        <v>3496</v>
      </c>
      <c r="P94" s="110">
        <f t="shared" si="156"/>
        <v>3427</v>
      </c>
      <c r="Q94" s="110">
        <f t="shared" si="156"/>
        <v>3550</v>
      </c>
      <c r="R94" s="110">
        <f t="shared" si="156"/>
        <v>3577</v>
      </c>
      <c r="S94" s="110">
        <f t="shared" si="156"/>
        <v>3526</v>
      </c>
      <c r="T94" s="110">
        <f t="shared" si="156"/>
        <v>3420</v>
      </c>
      <c r="U94" s="110">
        <f t="shared" si="156"/>
        <v>3389</v>
      </c>
      <c r="V94" s="110">
        <f t="shared" si="156"/>
        <v>2697</v>
      </c>
      <c r="W94" s="110">
        <f t="shared" ref="W94" si="157">SUM(W95:W99)</f>
        <v>2814</v>
      </c>
      <c r="DA94" s="176"/>
    </row>
    <row r="95" spans="1:105" ht="11.45" hidden="1" customHeight="1" x14ac:dyDescent="0.25">
      <c r="A95" s="111" t="s">
        <v>110</v>
      </c>
      <c r="B95" s="102">
        <v>153</v>
      </c>
      <c r="C95" s="102">
        <v>151</v>
      </c>
      <c r="D95" s="102">
        <v>146</v>
      </c>
      <c r="E95" s="102">
        <v>147</v>
      </c>
      <c r="F95" s="102">
        <v>145</v>
      </c>
      <c r="G95" s="102">
        <v>144</v>
      </c>
      <c r="H95" s="102">
        <v>147</v>
      </c>
      <c r="I95" s="102">
        <v>146</v>
      </c>
      <c r="J95" s="102">
        <v>147</v>
      </c>
      <c r="K95" s="102">
        <v>144</v>
      </c>
      <c r="L95" s="102">
        <v>146</v>
      </c>
      <c r="M95" s="102">
        <v>148</v>
      </c>
      <c r="N95" s="102">
        <v>149</v>
      </c>
      <c r="O95" s="102">
        <v>147</v>
      </c>
      <c r="P95" s="102">
        <v>51</v>
      </c>
      <c r="Q95" s="102">
        <v>45</v>
      </c>
      <c r="R95" s="102">
        <v>44</v>
      </c>
      <c r="S95" s="102">
        <v>44</v>
      </c>
      <c r="T95" s="102">
        <v>44</v>
      </c>
      <c r="U95" s="102">
        <v>44</v>
      </c>
      <c r="V95" s="102">
        <v>44</v>
      </c>
      <c r="W95" s="102">
        <v>43</v>
      </c>
      <c r="DA95" s="175"/>
    </row>
    <row r="96" spans="1:105" ht="11.45" hidden="1" customHeight="1" x14ac:dyDescent="0.25">
      <c r="A96" s="111" t="s">
        <v>111</v>
      </c>
      <c r="B96" s="102">
        <v>2796</v>
      </c>
      <c r="C96" s="102">
        <v>2852</v>
      </c>
      <c r="D96" s="102">
        <v>2851</v>
      </c>
      <c r="E96" s="102">
        <v>3128</v>
      </c>
      <c r="F96" s="102">
        <v>3054</v>
      </c>
      <c r="G96" s="102">
        <v>3073</v>
      </c>
      <c r="H96" s="102">
        <v>3074</v>
      </c>
      <c r="I96" s="102">
        <v>3146</v>
      </c>
      <c r="J96" s="102">
        <v>3254</v>
      </c>
      <c r="K96" s="102">
        <v>3304</v>
      </c>
      <c r="L96" s="102">
        <v>3256</v>
      </c>
      <c r="M96" s="102">
        <v>3313</v>
      </c>
      <c r="N96" s="102">
        <v>3408</v>
      </c>
      <c r="O96" s="102">
        <v>3348</v>
      </c>
      <c r="P96" s="102">
        <v>3375</v>
      </c>
      <c r="Q96" s="102">
        <v>3504</v>
      </c>
      <c r="R96" s="102">
        <v>3532</v>
      </c>
      <c r="S96" s="102">
        <v>3481</v>
      </c>
      <c r="T96" s="102">
        <v>3375</v>
      </c>
      <c r="U96" s="102">
        <v>3344</v>
      </c>
      <c r="V96" s="102">
        <v>2652</v>
      </c>
      <c r="W96" s="102">
        <v>2770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0</v>
      </c>
      <c r="Q97" s="102">
        <v>0</v>
      </c>
      <c r="R97" s="102">
        <v>0</v>
      </c>
      <c r="S97" s="102">
        <v>0</v>
      </c>
      <c r="T97" s="102">
        <v>0</v>
      </c>
      <c r="U97" s="102">
        <v>0</v>
      </c>
      <c r="V97" s="102">
        <v>0</v>
      </c>
      <c r="W97" s="102">
        <v>0</v>
      </c>
      <c r="DA97" s="175"/>
    </row>
    <row r="98" spans="1:105" ht="11.45" hidden="1" customHeight="1" x14ac:dyDescent="0.25">
      <c r="A98" s="111" t="s">
        <v>113</v>
      </c>
      <c r="B98" s="102">
        <v>0</v>
      </c>
      <c r="C98" s="102">
        <v>0</v>
      </c>
      <c r="D98" s="102">
        <v>0</v>
      </c>
      <c r="E98" s="102">
        <v>0</v>
      </c>
      <c r="F98" s="102">
        <v>0</v>
      </c>
      <c r="G98" s="102">
        <v>0</v>
      </c>
      <c r="H98" s="102">
        <v>0</v>
      </c>
      <c r="I98" s="102">
        <v>0</v>
      </c>
      <c r="J98" s="102">
        <v>0</v>
      </c>
      <c r="K98" s="102">
        <v>0</v>
      </c>
      <c r="L98" s="102">
        <v>0</v>
      </c>
      <c r="M98" s="102">
        <v>0</v>
      </c>
      <c r="N98" s="102">
        <v>0</v>
      </c>
      <c r="O98" s="102">
        <v>0</v>
      </c>
      <c r="P98" s="102">
        <v>0</v>
      </c>
      <c r="Q98" s="102">
        <v>0</v>
      </c>
      <c r="R98" s="102">
        <v>0</v>
      </c>
      <c r="S98" s="102">
        <v>0</v>
      </c>
      <c r="T98" s="102">
        <v>0</v>
      </c>
      <c r="U98" s="102">
        <v>0</v>
      </c>
      <c r="V98" s="102">
        <v>0</v>
      </c>
      <c r="W98" s="102">
        <v>0</v>
      </c>
      <c r="DA98" s="175"/>
    </row>
    <row r="99" spans="1:105" ht="11.45" hidden="1" customHeight="1" x14ac:dyDescent="0.25">
      <c r="A99" s="111" t="s">
        <v>115</v>
      </c>
      <c r="B99" s="102">
        <v>0</v>
      </c>
      <c r="C99" s="102">
        <v>0</v>
      </c>
      <c r="D99" s="102">
        <v>0</v>
      </c>
      <c r="E99" s="102">
        <v>0</v>
      </c>
      <c r="F99" s="102">
        <v>0</v>
      </c>
      <c r="G99" s="102">
        <v>0</v>
      </c>
      <c r="H99" s="102">
        <v>0</v>
      </c>
      <c r="I99" s="102">
        <v>0</v>
      </c>
      <c r="J99" s="102">
        <v>1</v>
      </c>
      <c r="K99" s="102">
        <v>1</v>
      </c>
      <c r="L99" s="102">
        <v>1</v>
      </c>
      <c r="M99" s="102">
        <v>1</v>
      </c>
      <c r="N99" s="102">
        <v>1</v>
      </c>
      <c r="O99" s="102">
        <v>1</v>
      </c>
      <c r="P99" s="102">
        <v>1</v>
      </c>
      <c r="Q99" s="102">
        <v>1</v>
      </c>
      <c r="R99" s="102">
        <v>1</v>
      </c>
      <c r="S99" s="102">
        <v>1</v>
      </c>
      <c r="T99" s="102">
        <v>1</v>
      </c>
      <c r="U99" s="102">
        <v>1</v>
      </c>
      <c r="V99" s="102">
        <v>1</v>
      </c>
      <c r="W99" s="102">
        <v>1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114641</v>
      </c>
      <c r="C100" s="28">
        <f t="shared" si="158"/>
        <v>117918</v>
      </c>
      <c r="D100" s="28">
        <f t="shared" ref="D100:V100" si="159">D101+D107</f>
        <v>117757</v>
      </c>
      <c r="E100" s="28">
        <f t="shared" si="159"/>
        <v>119611</v>
      </c>
      <c r="F100" s="28">
        <f t="shared" si="159"/>
        <v>117813</v>
      </c>
      <c r="G100" s="28">
        <f t="shared" si="159"/>
        <v>118512</v>
      </c>
      <c r="H100" s="28">
        <f t="shared" si="159"/>
        <v>115923</v>
      </c>
      <c r="I100" s="28">
        <f t="shared" si="159"/>
        <v>112665</v>
      </c>
      <c r="J100" s="28">
        <f t="shared" si="159"/>
        <v>114962</v>
      </c>
      <c r="K100" s="28">
        <f t="shared" si="159"/>
        <v>116252</v>
      </c>
      <c r="L100" s="28">
        <f t="shared" si="159"/>
        <v>115843</v>
      </c>
      <c r="M100" s="28">
        <f t="shared" si="159"/>
        <v>115146</v>
      </c>
      <c r="N100" s="28">
        <f t="shared" si="159"/>
        <v>113869</v>
      </c>
      <c r="O100" s="28">
        <f t="shared" si="159"/>
        <v>109298</v>
      </c>
      <c r="P100" s="28">
        <f t="shared" si="159"/>
        <v>104675</v>
      </c>
      <c r="Q100" s="28">
        <f t="shared" si="159"/>
        <v>104035</v>
      </c>
      <c r="R100" s="28">
        <f t="shared" si="159"/>
        <v>106469</v>
      </c>
      <c r="S100" s="28">
        <f t="shared" si="159"/>
        <v>107880</v>
      </c>
      <c r="T100" s="28">
        <f t="shared" si="159"/>
        <v>111146</v>
      </c>
      <c r="U100" s="28">
        <f t="shared" si="159"/>
        <v>114790</v>
      </c>
      <c r="V100" s="28">
        <f t="shared" si="159"/>
        <v>116678</v>
      </c>
      <c r="W100" s="28">
        <f t="shared" ref="W100" si="160">W101+W107</f>
        <v>118319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99971</v>
      </c>
      <c r="C101" s="137">
        <f t="shared" si="161"/>
        <v>101799</v>
      </c>
      <c r="D101" s="137">
        <f t="shared" ref="D101:V101" si="162">SUM(D102:D106)</f>
        <v>102436</v>
      </c>
      <c r="E101" s="137">
        <f t="shared" si="162"/>
        <v>104247</v>
      </c>
      <c r="F101" s="137">
        <f t="shared" si="162"/>
        <v>102545</v>
      </c>
      <c r="G101" s="137">
        <f t="shared" si="162"/>
        <v>99069</v>
      </c>
      <c r="H101" s="137">
        <f t="shared" si="162"/>
        <v>96659</v>
      </c>
      <c r="I101" s="137">
        <f t="shared" si="162"/>
        <v>95397</v>
      </c>
      <c r="J101" s="137">
        <f t="shared" si="162"/>
        <v>96744</v>
      </c>
      <c r="K101" s="137">
        <f t="shared" si="162"/>
        <v>97019</v>
      </c>
      <c r="L101" s="137">
        <f t="shared" si="162"/>
        <v>96843</v>
      </c>
      <c r="M101" s="137">
        <f t="shared" si="162"/>
        <v>96686</v>
      </c>
      <c r="N101" s="137">
        <f t="shared" si="162"/>
        <v>96748</v>
      </c>
      <c r="O101" s="137">
        <f t="shared" si="162"/>
        <v>97245</v>
      </c>
      <c r="P101" s="137">
        <f t="shared" si="162"/>
        <v>93381</v>
      </c>
      <c r="Q101" s="137">
        <f t="shared" si="162"/>
        <v>92726</v>
      </c>
      <c r="R101" s="137">
        <f t="shared" si="162"/>
        <v>94673</v>
      </c>
      <c r="S101" s="137">
        <f t="shared" si="162"/>
        <v>95705</v>
      </c>
      <c r="T101" s="137">
        <f t="shared" si="162"/>
        <v>98533</v>
      </c>
      <c r="U101" s="137">
        <f t="shared" si="162"/>
        <v>101528</v>
      </c>
      <c r="V101" s="137">
        <f t="shared" si="162"/>
        <v>102951</v>
      </c>
      <c r="W101" s="137">
        <f t="shared" ref="W101" si="163">SUM(W102:W106)</f>
        <v>104216</v>
      </c>
      <c r="DA101" s="174"/>
    </row>
    <row r="102" spans="1:105" ht="11.45" hidden="1" customHeight="1" x14ac:dyDescent="0.25">
      <c r="A102" s="111" t="s">
        <v>110</v>
      </c>
      <c r="B102" s="84">
        <v>8660</v>
      </c>
      <c r="C102" s="84">
        <v>8951</v>
      </c>
      <c r="D102" s="84">
        <v>8401</v>
      </c>
      <c r="E102" s="84">
        <v>9166</v>
      </c>
      <c r="F102" s="84">
        <v>8131</v>
      </c>
      <c r="G102" s="84">
        <v>5825</v>
      </c>
      <c r="H102" s="84">
        <v>5683</v>
      </c>
      <c r="I102" s="84">
        <v>5187</v>
      </c>
      <c r="J102" s="84">
        <v>5488</v>
      </c>
      <c r="K102" s="84">
        <v>5485</v>
      </c>
      <c r="L102" s="84">
        <v>5239</v>
      </c>
      <c r="M102" s="84">
        <v>5137</v>
      </c>
      <c r="N102" s="84">
        <v>5103</v>
      </c>
      <c r="O102" s="84">
        <v>5144</v>
      </c>
      <c r="P102" s="84">
        <v>4878</v>
      </c>
      <c r="Q102" s="84">
        <v>4830</v>
      </c>
      <c r="R102" s="84">
        <v>4861</v>
      </c>
      <c r="S102" s="84">
        <v>4800</v>
      </c>
      <c r="T102" s="84">
        <v>4868</v>
      </c>
      <c r="U102" s="84">
        <v>5032</v>
      </c>
      <c r="V102" s="84">
        <v>5159</v>
      </c>
      <c r="W102" s="84">
        <v>5381</v>
      </c>
      <c r="DA102" s="171"/>
    </row>
    <row r="103" spans="1:105" ht="11.45" hidden="1" customHeight="1" x14ac:dyDescent="0.25">
      <c r="A103" s="111" t="s">
        <v>111</v>
      </c>
      <c r="B103" s="84">
        <v>91311</v>
      </c>
      <c r="C103" s="84">
        <v>92848</v>
      </c>
      <c r="D103" s="84">
        <v>94035</v>
      </c>
      <c r="E103" s="84">
        <v>95081</v>
      </c>
      <c r="F103" s="84">
        <v>94414</v>
      </c>
      <c r="G103" s="84">
        <v>93244</v>
      </c>
      <c r="H103" s="84">
        <v>90976</v>
      </c>
      <c r="I103" s="84">
        <v>90208</v>
      </c>
      <c r="J103" s="84">
        <v>91253</v>
      </c>
      <c r="K103" s="84">
        <v>91531</v>
      </c>
      <c r="L103" s="84">
        <v>91599</v>
      </c>
      <c r="M103" s="84">
        <v>91543</v>
      </c>
      <c r="N103" s="84">
        <v>91639</v>
      </c>
      <c r="O103" s="84">
        <v>92095</v>
      </c>
      <c r="P103" s="84">
        <v>88498</v>
      </c>
      <c r="Q103" s="84">
        <v>87891</v>
      </c>
      <c r="R103" s="84">
        <v>89807</v>
      </c>
      <c r="S103" s="84">
        <v>90900</v>
      </c>
      <c r="T103" s="84">
        <v>93661</v>
      </c>
      <c r="U103" s="84">
        <v>96489</v>
      </c>
      <c r="V103" s="84">
        <v>97784</v>
      </c>
      <c r="W103" s="84">
        <v>98823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0</v>
      </c>
      <c r="F104" s="84">
        <v>0</v>
      </c>
      <c r="G104" s="84">
        <v>0</v>
      </c>
      <c r="H104" s="84">
        <v>0</v>
      </c>
      <c r="I104" s="84">
        <v>0</v>
      </c>
      <c r="J104" s="84">
        <v>0</v>
      </c>
      <c r="K104" s="84">
        <v>0</v>
      </c>
      <c r="L104" s="84">
        <v>0</v>
      </c>
      <c r="M104" s="84">
        <v>0</v>
      </c>
      <c r="N104" s="84">
        <v>0</v>
      </c>
      <c r="O104" s="84">
        <v>0</v>
      </c>
      <c r="P104" s="84">
        <v>0</v>
      </c>
      <c r="Q104" s="84">
        <v>0</v>
      </c>
      <c r="R104" s="84">
        <v>0</v>
      </c>
      <c r="S104" s="84">
        <v>0</v>
      </c>
      <c r="T104" s="84">
        <v>0</v>
      </c>
      <c r="U104" s="84">
        <v>0</v>
      </c>
      <c r="V104" s="84">
        <v>0</v>
      </c>
      <c r="W104" s="84">
        <v>0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0</v>
      </c>
      <c r="O105" s="84">
        <v>0</v>
      </c>
      <c r="P105" s="84">
        <v>0</v>
      </c>
      <c r="Q105" s="84">
        <v>0</v>
      </c>
      <c r="R105" s="84">
        <v>0</v>
      </c>
      <c r="S105" s="84">
        <v>0</v>
      </c>
      <c r="T105" s="84">
        <v>0</v>
      </c>
      <c r="U105" s="84">
        <v>0</v>
      </c>
      <c r="V105" s="84">
        <v>0</v>
      </c>
      <c r="W105" s="84">
        <v>0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2</v>
      </c>
      <c r="J106" s="84">
        <v>3</v>
      </c>
      <c r="K106" s="84">
        <v>3</v>
      </c>
      <c r="L106" s="84">
        <v>5</v>
      </c>
      <c r="M106" s="84">
        <v>6</v>
      </c>
      <c r="N106" s="84">
        <v>6</v>
      </c>
      <c r="O106" s="84">
        <v>6</v>
      </c>
      <c r="P106" s="84">
        <v>5</v>
      </c>
      <c r="Q106" s="84">
        <v>5</v>
      </c>
      <c r="R106" s="84">
        <v>5</v>
      </c>
      <c r="S106" s="84">
        <v>5</v>
      </c>
      <c r="T106" s="84">
        <v>4</v>
      </c>
      <c r="U106" s="84">
        <v>7</v>
      </c>
      <c r="V106" s="84">
        <v>8</v>
      </c>
      <c r="W106" s="84">
        <v>12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14670</v>
      </c>
      <c r="C107" s="110">
        <f t="shared" si="164"/>
        <v>16119</v>
      </c>
      <c r="D107" s="110">
        <f t="shared" ref="D107:V107" si="165">SUM(D108:D109)</f>
        <v>15321</v>
      </c>
      <c r="E107" s="110">
        <f t="shared" si="165"/>
        <v>15364</v>
      </c>
      <c r="F107" s="110">
        <f t="shared" si="165"/>
        <v>15268</v>
      </c>
      <c r="G107" s="110">
        <f t="shared" si="165"/>
        <v>19443</v>
      </c>
      <c r="H107" s="110">
        <f t="shared" si="165"/>
        <v>19264</v>
      </c>
      <c r="I107" s="110">
        <f t="shared" si="165"/>
        <v>17268</v>
      </c>
      <c r="J107" s="110">
        <f t="shared" si="165"/>
        <v>18218</v>
      </c>
      <c r="K107" s="110">
        <f t="shared" si="165"/>
        <v>19233</v>
      </c>
      <c r="L107" s="110">
        <f t="shared" si="165"/>
        <v>19000</v>
      </c>
      <c r="M107" s="110">
        <f t="shared" si="165"/>
        <v>18460</v>
      </c>
      <c r="N107" s="110">
        <f t="shared" si="165"/>
        <v>17121</v>
      </c>
      <c r="O107" s="110">
        <f t="shared" si="165"/>
        <v>12053</v>
      </c>
      <c r="P107" s="110">
        <f t="shared" si="165"/>
        <v>11294</v>
      </c>
      <c r="Q107" s="110">
        <f t="shared" si="165"/>
        <v>11309</v>
      </c>
      <c r="R107" s="110">
        <f t="shared" si="165"/>
        <v>11796</v>
      </c>
      <c r="S107" s="110">
        <f t="shared" si="165"/>
        <v>12175</v>
      </c>
      <c r="T107" s="110">
        <f t="shared" si="165"/>
        <v>12613</v>
      </c>
      <c r="U107" s="110">
        <f t="shared" si="165"/>
        <v>13262</v>
      </c>
      <c r="V107" s="110">
        <f t="shared" si="165"/>
        <v>13727</v>
      </c>
      <c r="W107" s="110">
        <f t="shared" ref="W107" si="166">SUM(W108:W109)</f>
        <v>14103</v>
      </c>
      <c r="DA107" s="176"/>
    </row>
    <row r="108" spans="1:105" ht="11.45" hidden="1" customHeight="1" x14ac:dyDescent="0.25">
      <c r="A108" s="128" t="s">
        <v>27</v>
      </c>
      <c r="B108" s="102">
        <v>14670</v>
      </c>
      <c r="C108" s="102">
        <v>16119</v>
      </c>
      <c r="D108" s="102">
        <v>15321</v>
      </c>
      <c r="E108" s="102">
        <v>15364</v>
      </c>
      <c r="F108" s="102">
        <v>15268</v>
      </c>
      <c r="G108" s="102">
        <v>19443</v>
      </c>
      <c r="H108" s="102">
        <v>19264</v>
      </c>
      <c r="I108" s="102">
        <v>17268</v>
      </c>
      <c r="J108" s="102">
        <v>18218</v>
      </c>
      <c r="K108" s="102">
        <v>19233</v>
      </c>
      <c r="L108" s="102">
        <v>19000</v>
      </c>
      <c r="M108" s="102">
        <v>18460</v>
      </c>
      <c r="N108" s="102">
        <v>17121</v>
      </c>
      <c r="O108" s="102">
        <v>12053</v>
      </c>
      <c r="P108" s="102">
        <v>11294</v>
      </c>
      <c r="Q108" s="102">
        <v>11309</v>
      </c>
      <c r="R108" s="102">
        <v>11796</v>
      </c>
      <c r="S108" s="102">
        <v>12175</v>
      </c>
      <c r="T108" s="102">
        <v>12613</v>
      </c>
      <c r="U108" s="102">
        <v>13262</v>
      </c>
      <c r="V108" s="102">
        <v>13727</v>
      </c>
      <c r="W108" s="102">
        <v>14103</v>
      </c>
      <c r="DA108" s="175"/>
    </row>
    <row r="109" spans="1:105" ht="11.45" hidden="1" customHeight="1" x14ac:dyDescent="0.25">
      <c r="A109" s="138" t="s">
        <v>116</v>
      </c>
      <c r="B109" s="86">
        <v>0</v>
      </c>
      <c r="C109" s="86">
        <v>0</v>
      </c>
      <c r="D109" s="86">
        <v>0</v>
      </c>
      <c r="E109" s="86">
        <v>0</v>
      </c>
      <c r="F109" s="86">
        <v>0</v>
      </c>
      <c r="G109" s="86">
        <v>0</v>
      </c>
      <c r="H109" s="86">
        <v>0</v>
      </c>
      <c r="I109" s="86">
        <v>0</v>
      </c>
      <c r="J109" s="86">
        <v>0</v>
      </c>
      <c r="K109" s="86">
        <v>0</v>
      </c>
      <c r="L109" s="86">
        <v>0</v>
      </c>
      <c r="M109" s="86">
        <v>0</v>
      </c>
      <c r="N109" s="86">
        <v>0</v>
      </c>
      <c r="O109" s="86">
        <v>0</v>
      </c>
      <c r="P109" s="86">
        <v>0</v>
      </c>
      <c r="Q109" s="86">
        <v>0</v>
      </c>
      <c r="R109" s="86">
        <v>0</v>
      </c>
      <c r="S109" s="86">
        <v>0</v>
      </c>
      <c r="T109" s="86">
        <v>0</v>
      </c>
      <c r="U109" s="86">
        <v>0</v>
      </c>
      <c r="V109" s="86">
        <v>0</v>
      </c>
      <c r="W109" s="86">
        <v>0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28616</v>
      </c>
      <c r="C111" s="54">
        <f t="shared" si="167"/>
        <v>35441</v>
      </c>
      <c r="D111" s="54">
        <f t="shared" si="167"/>
        <v>37794</v>
      </c>
      <c r="E111" s="54">
        <f t="shared" si="167"/>
        <v>40169</v>
      </c>
      <c r="F111" s="54">
        <f t="shared" si="167"/>
        <v>53146</v>
      </c>
      <c r="G111" s="54">
        <f t="shared" si="167"/>
        <v>51165</v>
      </c>
      <c r="H111" s="54">
        <f t="shared" si="167"/>
        <v>46675</v>
      </c>
      <c r="I111" s="54">
        <f t="shared" si="167"/>
        <v>63099</v>
      </c>
      <c r="J111" s="54">
        <f t="shared" si="167"/>
        <v>66834</v>
      </c>
      <c r="K111" s="54">
        <f t="shared" si="167"/>
        <v>64344</v>
      </c>
      <c r="L111" s="54">
        <f t="shared" ref="L111" si="168">L112+L127</f>
        <v>45151</v>
      </c>
      <c r="M111" s="54">
        <f t="shared" ref="M111:V111" si="169">M112+M127</f>
        <v>39224</v>
      </c>
      <c r="N111" s="54">
        <f t="shared" si="169"/>
        <v>30709</v>
      </c>
      <c r="O111" s="54">
        <f t="shared" si="169"/>
        <v>24324</v>
      </c>
      <c r="P111" s="54">
        <f t="shared" si="169"/>
        <v>24951</v>
      </c>
      <c r="Q111" s="54">
        <f t="shared" si="169"/>
        <v>29316</v>
      </c>
      <c r="R111" s="54">
        <f t="shared" si="169"/>
        <v>36534</v>
      </c>
      <c r="S111" s="54">
        <f t="shared" si="169"/>
        <v>44149</v>
      </c>
      <c r="T111" s="54">
        <f t="shared" si="169"/>
        <v>51366</v>
      </c>
      <c r="U111" s="54">
        <f t="shared" si="169"/>
        <v>47779</v>
      </c>
      <c r="V111" s="54">
        <f t="shared" si="169"/>
        <v>39118</v>
      </c>
      <c r="W111" s="54">
        <f t="shared" ref="W111" si="170">W112+W127</f>
        <v>36029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21856</v>
      </c>
      <c r="C112" s="28">
        <f t="shared" si="171"/>
        <v>27554</v>
      </c>
      <c r="D112" s="28">
        <f t="shared" si="171"/>
        <v>30464</v>
      </c>
      <c r="E112" s="28">
        <f t="shared" si="171"/>
        <v>32135</v>
      </c>
      <c r="F112" s="28">
        <f t="shared" si="171"/>
        <v>46238</v>
      </c>
      <c r="G112" s="28">
        <f t="shared" si="171"/>
        <v>41273</v>
      </c>
      <c r="H112" s="28">
        <f t="shared" si="171"/>
        <v>40283</v>
      </c>
      <c r="I112" s="28">
        <f t="shared" si="171"/>
        <v>54844</v>
      </c>
      <c r="J112" s="28">
        <f t="shared" si="171"/>
        <v>56257</v>
      </c>
      <c r="K112" s="28">
        <f t="shared" si="171"/>
        <v>54844</v>
      </c>
      <c r="L112" s="28">
        <f t="shared" ref="L112" si="172">L113+L114+L121</f>
        <v>36144</v>
      </c>
      <c r="M112" s="28">
        <f t="shared" ref="M112:V112" si="173">M113+M114+M121</f>
        <v>30673</v>
      </c>
      <c r="N112" s="28">
        <f t="shared" si="173"/>
        <v>22807</v>
      </c>
      <c r="O112" s="28">
        <f t="shared" si="173"/>
        <v>16523</v>
      </c>
      <c r="P112" s="28">
        <f t="shared" si="173"/>
        <v>19929</v>
      </c>
      <c r="Q112" s="28">
        <f t="shared" si="173"/>
        <v>23348</v>
      </c>
      <c r="R112" s="28">
        <f t="shared" si="173"/>
        <v>30078</v>
      </c>
      <c r="S112" s="28">
        <f t="shared" si="173"/>
        <v>38248</v>
      </c>
      <c r="T112" s="28">
        <f t="shared" si="173"/>
        <v>44124</v>
      </c>
      <c r="U112" s="28">
        <f t="shared" si="173"/>
        <v>40225</v>
      </c>
      <c r="V112" s="28">
        <f t="shared" si="173"/>
        <v>33516</v>
      </c>
      <c r="W112" s="28">
        <f t="shared" ref="W112" si="174">W113+W114+W121</f>
        <v>30471</v>
      </c>
      <c r="DA112" s="173" t="s">
        <v>526</v>
      </c>
    </row>
    <row r="113" spans="1:105" ht="11.45" customHeight="1" x14ac:dyDescent="0.25">
      <c r="A113" s="136" t="s">
        <v>180</v>
      </c>
      <c r="B113" s="137">
        <v>2551</v>
      </c>
      <c r="C113" s="137">
        <v>2834</v>
      </c>
      <c r="D113" s="137">
        <v>2145</v>
      </c>
      <c r="E113" s="137">
        <v>1844</v>
      </c>
      <c r="F113" s="137">
        <v>2273</v>
      </c>
      <c r="G113" s="137">
        <v>2455</v>
      </c>
      <c r="H113" s="137">
        <v>2925</v>
      </c>
      <c r="I113" s="137">
        <v>3710</v>
      </c>
      <c r="J113" s="137">
        <v>4459</v>
      </c>
      <c r="K113" s="137">
        <v>3140</v>
      </c>
      <c r="L113" s="137">
        <v>3060</v>
      </c>
      <c r="M113" s="137">
        <v>2527</v>
      </c>
      <c r="N113" s="137">
        <v>2074</v>
      </c>
      <c r="O113" s="137">
        <v>1675</v>
      </c>
      <c r="P113" s="137">
        <v>1901</v>
      </c>
      <c r="Q113" s="137">
        <v>1673</v>
      </c>
      <c r="R113" s="137">
        <v>1996</v>
      </c>
      <c r="S113" s="137">
        <v>2023.0000000000002</v>
      </c>
      <c r="T113" s="137">
        <v>2320</v>
      </c>
      <c r="U113" s="137">
        <v>2316</v>
      </c>
      <c r="V113" s="137">
        <v>2354</v>
      </c>
      <c r="W113" s="137">
        <v>2400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19056</v>
      </c>
      <c r="C114" s="110">
        <f t="shared" si="175"/>
        <v>24533</v>
      </c>
      <c r="D114" s="110">
        <f t="shared" si="175"/>
        <v>28101</v>
      </c>
      <c r="E114" s="110">
        <f t="shared" si="175"/>
        <v>29961</v>
      </c>
      <c r="F114" s="110">
        <f t="shared" si="175"/>
        <v>43842</v>
      </c>
      <c r="G114" s="110">
        <f t="shared" si="175"/>
        <v>38676</v>
      </c>
      <c r="H114" s="110">
        <f t="shared" si="175"/>
        <v>37192</v>
      </c>
      <c r="I114" s="110">
        <f t="shared" si="175"/>
        <v>50908</v>
      </c>
      <c r="J114" s="110">
        <f t="shared" si="175"/>
        <v>51528</v>
      </c>
      <c r="K114" s="110">
        <f t="shared" si="175"/>
        <v>51515</v>
      </c>
      <c r="L114" s="110">
        <f t="shared" ref="L114" si="176">SUM(L115:L120)</f>
        <v>32680</v>
      </c>
      <c r="M114" s="110">
        <f t="shared" ref="M114:V114" si="177">SUM(M115:M120)</f>
        <v>27929</v>
      </c>
      <c r="N114" s="110">
        <f t="shared" si="177"/>
        <v>20556</v>
      </c>
      <c r="O114" s="110">
        <f t="shared" si="177"/>
        <v>14777</v>
      </c>
      <c r="P114" s="110">
        <f t="shared" si="177"/>
        <v>17945</v>
      </c>
      <c r="Q114" s="110">
        <f t="shared" si="177"/>
        <v>21488</v>
      </c>
      <c r="R114" s="110">
        <f t="shared" si="177"/>
        <v>27968</v>
      </c>
      <c r="S114" s="110">
        <f t="shared" si="177"/>
        <v>36120</v>
      </c>
      <c r="T114" s="110">
        <f t="shared" si="177"/>
        <v>41703</v>
      </c>
      <c r="U114" s="110">
        <f t="shared" si="177"/>
        <v>37834</v>
      </c>
      <c r="V114" s="110">
        <f t="shared" si="177"/>
        <v>30872</v>
      </c>
      <c r="W114" s="110">
        <f t="shared" ref="W114" si="178">SUM(W115:W120)</f>
        <v>27907</v>
      </c>
      <c r="DA114" s="176" t="s">
        <v>528</v>
      </c>
    </row>
    <row r="115" spans="1:105" ht="11.45" customHeight="1" x14ac:dyDescent="0.25">
      <c r="A115" s="111" t="s">
        <v>110</v>
      </c>
      <c r="B115" s="84">
        <v>16430</v>
      </c>
      <c r="C115" s="84">
        <v>21469</v>
      </c>
      <c r="D115" s="84">
        <v>25866</v>
      </c>
      <c r="E115" s="84">
        <v>28618</v>
      </c>
      <c r="F115" s="84">
        <v>42778</v>
      </c>
      <c r="G115" s="84">
        <v>37383</v>
      </c>
      <c r="H115" s="84">
        <v>35768</v>
      </c>
      <c r="I115" s="84">
        <v>46812</v>
      </c>
      <c r="J115" s="84">
        <v>45176</v>
      </c>
      <c r="K115" s="84">
        <v>45176</v>
      </c>
      <c r="L115" s="84">
        <v>26802</v>
      </c>
      <c r="M115" s="84">
        <v>22967</v>
      </c>
      <c r="N115" s="84">
        <v>16875</v>
      </c>
      <c r="O115" s="84">
        <v>11773</v>
      </c>
      <c r="P115" s="84">
        <v>12151</v>
      </c>
      <c r="Q115" s="84">
        <v>14786</v>
      </c>
      <c r="R115" s="84">
        <v>17581</v>
      </c>
      <c r="S115" s="84">
        <v>20532</v>
      </c>
      <c r="T115" s="84">
        <v>22546</v>
      </c>
      <c r="U115" s="84">
        <v>20808</v>
      </c>
      <c r="V115" s="84">
        <v>18114</v>
      </c>
      <c r="W115" s="84">
        <v>21027</v>
      </c>
      <c r="DA115" s="171" t="s">
        <v>529</v>
      </c>
    </row>
    <row r="116" spans="1:105" ht="11.45" customHeight="1" x14ac:dyDescent="0.25">
      <c r="A116" s="111" t="s">
        <v>111</v>
      </c>
      <c r="B116" s="84">
        <v>2626</v>
      </c>
      <c r="C116" s="84">
        <v>3064</v>
      </c>
      <c r="D116" s="84">
        <v>2235</v>
      </c>
      <c r="E116" s="84">
        <v>1343</v>
      </c>
      <c r="F116" s="84">
        <v>1064</v>
      </c>
      <c r="G116" s="84">
        <v>1293</v>
      </c>
      <c r="H116" s="84">
        <v>1424</v>
      </c>
      <c r="I116" s="84">
        <v>4096</v>
      </c>
      <c r="J116" s="84">
        <v>6352</v>
      </c>
      <c r="K116" s="84">
        <v>6339</v>
      </c>
      <c r="L116" s="84">
        <v>5878</v>
      </c>
      <c r="M116" s="84">
        <v>4962</v>
      </c>
      <c r="N116" s="84">
        <v>3681</v>
      </c>
      <c r="O116" s="84">
        <v>2998</v>
      </c>
      <c r="P116" s="84">
        <v>5782</v>
      </c>
      <c r="Q116" s="84">
        <v>6667</v>
      </c>
      <c r="R116" s="84">
        <v>10344</v>
      </c>
      <c r="S116" s="84">
        <v>15478</v>
      </c>
      <c r="T116" s="84">
        <v>18100</v>
      </c>
      <c r="U116" s="84">
        <v>16873</v>
      </c>
      <c r="V116" s="84">
        <v>12635</v>
      </c>
      <c r="W116" s="84">
        <v>6646</v>
      </c>
      <c r="DA116" s="171" t="s">
        <v>530</v>
      </c>
    </row>
    <row r="117" spans="1:105" ht="11.45" customHeight="1" x14ac:dyDescent="0.25">
      <c r="A117" s="111" t="s">
        <v>112</v>
      </c>
      <c r="B117" s="84">
        <v>0</v>
      </c>
      <c r="C117" s="84">
        <v>0</v>
      </c>
      <c r="D117" s="84">
        <v>0</v>
      </c>
      <c r="E117" s="84">
        <v>0</v>
      </c>
      <c r="F117" s="84">
        <v>0</v>
      </c>
      <c r="G117" s="84">
        <v>0</v>
      </c>
      <c r="H117" s="84">
        <v>0</v>
      </c>
      <c r="I117" s="84">
        <v>0</v>
      </c>
      <c r="J117" s="84">
        <v>0</v>
      </c>
      <c r="K117" s="84">
        <v>0</v>
      </c>
      <c r="L117" s="84">
        <v>0</v>
      </c>
      <c r="M117" s="84">
        <v>0</v>
      </c>
      <c r="N117" s="84">
        <v>0</v>
      </c>
      <c r="O117" s="84">
        <v>0</v>
      </c>
      <c r="P117" s="84">
        <v>0</v>
      </c>
      <c r="Q117" s="84">
        <v>0</v>
      </c>
      <c r="R117" s="84">
        <v>0</v>
      </c>
      <c r="S117" s="84">
        <v>0</v>
      </c>
      <c r="T117" s="84">
        <v>950</v>
      </c>
      <c r="U117" s="84">
        <v>0</v>
      </c>
      <c r="V117" s="84">
        <v>0</v>
      </c>
      <c r="W117" s="84">
        <v>0</v>
      </c>
      <c r="DA117" s="171" t="s">
        <v>531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0</v>
      </c>
      <c r="K118" s="84">
        <v>0</v>
      </c>
      <c r="L118" s="84">
        <v>0</v>
      </c>
      <c r="M118" s="84">
        <v>0</v>
      </c>
      <c r="N118" s="84">
        <v>0</v>
      </c>
      <c r="O118" s="84">
        <v>0</v>
      </c>
      <c r="P118" s="84">
        <v>0</v>
      </c>
      <c r="Q118" s="84">
        <v>0</v>
      </c>
      <c r="R118" s="84">
        <v>0</v>
      </c>
      <c r="S118" s="84">
        <v>0</v>
      </c>
      <c r="T118" s="84">
        <v>0</v>
      </c>
      <c r="U118" s="84">
        <v>0</v>
      </c>
      <c r="V118" s="84">
        <v>0</v>
      </c>
      <c r="W118" s="84">
        <v>0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0</v>
      </c>
      <c r="O119" s="84">
        <v>0</v>
      </c>
      <c r="P119" s="84">
        <v>3</v>
      </c>
      <c r="Q119" s="84">
        <v>26</v>
      </c>
      <c r="R119" s="84">
        <v>22</v>
      </c>
      <c r="S119" s="84">
        <v>55</v>
      </c>
      <c r="T119" s="84">
        <v>54</v>
      </c>
      <c r="U119" s="84">
        <v>88</v>
      </c>
      <c r="V119" s="84">
        <v>79</v>
      </c>
      <c r="W119" s="84">
        <v>149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0</v>
      </c>
      <c r="L120" s="84">
        <v>0</v>
      </c>
      <c r="M120" s="84">
        <v>0</v>
      </c>
      <c r="N120" s="84">
        <v>0</v>
      </c>
      <c r="O120" s="84">
        <v>6</v>
      </c>
      <c r="P120" s="84">
        <v>9</v>
      </c>
      <c r="Q120" s="84">
        <v>9</v>
      </c>
      <c r="R120" s="84">
        <v>21</v>
      </c>
      <c r="S120" s="84">
        <v>55</v>
      </c>
      <c r="T120" s="84">
        <v>53</v>
      </c>
      <c r="U120" s="84">
        <v>65</v>
      </c>
      <c r="V120" s="84">
        <v>44</v>
      </c>
      <c r="W120" s="84">
        <v>85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249</v>
      </c>
      <c r="C121" s="110">
        <f t="shared" si="179"/>
        <v>187</v>
      </c>
      <c r="D121" s="110">
        <f t="shared" si="179"/>
        <v>218</v>
      </c>
      <c r="E121" s="110">
        <f t="shared" si="179"/>
        <v>330</v>
      </c>
      <c r="F121" s="110">
        <f t="shared" si="179"/>
        <v>123</v>
      </c>
      <c r="G121" s="110">
        <f t="shared" si="179"/>
        <v>142</v>
      </c>
      <c r="H121" s="110">
        <f t="shared" si="179"/>
        <v>166</v>
      </c>
      <c r="I121" s="110">
        <f t="shared" si="179"/>
        <v>226</v>
      </c>
      <c r="J121" s="110">
        <f t="shared" si="179"/>
        <v>270</v>
      </c>
      <c r="K121" s="110">
        <f t="shared" si="179"/>
        <v>189</v>
      </c>
      <c r="L121" s="110">
        <f t="shared" ref="L121" si="180">SUM(L122:L126)</f>
        <v>404</v>
      </c>
      <c r="M121" s="110">
        <f t="shared" ref="M121:V121" si="181">SUM(M122:M126)</f>
        <v>217</v>
      </c>
      <c r="N121" s="110">
        <f t="shared" si="181"/>
        <v>177</v>
      </c>
      <c r="O121" s="110">
        <f t="shared" si="181"/>
        <v>71</v>
      </c>
      <c r="P121" s="110">
        <f t="shared" si="181"/>
        <v>83</v>
      </c>
      <c r="Q121" s="110">
        <f t="shared" si="181"/>
        <v>187</v>
      </c>
      <c r="R121" s="110">
        <f t="shared" si="181"/>
        <v>114</v>
      </c>
      <c r="S121" s="110">
        <f t="shared" si="181"/>
        <v>105</v>
      </c>
      <c r="T121" s="110">
        <f t="shared" si="181"/>
        <v>101</v>
      </c>
      <c r="U121" s="110">
        <f t="shared" si="181"/>
        <v>75</v>
      </c>
      <c r="V121" s="110">
        <f t="shared" si="181"/>
        <v>290</v>
      </c>
      <c r="W121" s="110">
        <f t="shared" ref="W121" si="182">SUM(W122:W126)</f>
        <v>164</v>
      </c>
      <c r="DA121" s="176" t="s">
        <v>535</v>
      </c>
    </row>
    <row r="122" spans="1:105" ht="11.45" customHeight="1" x14ac:dyDescent="0.25">
      <c r="A122" s="111" t="s">
        <v>110</v>
      </c>
      <c r="B122" s="102">
        <v>1</v>
      </c>
      <c r="C122" s="102">
        <v>0</v>
      </c>
      <c r="D122" s="102">
        <v>0</v>
      </c>
      <c r="E122" s="102">
        <v>1</v>
      </c>
      <c r="F122" s="102">
        <v>0</v>
      </c>
      <c r="G122" s="102">
        <v>0</v>
      </c>
      <c r="H122" s="102">
        <v>3</v>
      </c>
      <c r="I122" s="102">
        <v>0</v>
      </c>
      <c r="J122" s="102">
        <v>1</v>
      </c>
      <c r="K122" s="102">
        <v>0</v>
      </c>
      <c r="L122" s="102">
        <v>3</v>
      </c>
      <c r="M122" s="102">
        <v>2</v>
      </c>
      <c r="N122" s="102">
        <v>1</v>
      </c>
      <c r="O122" s="102">
        <v>0</v>
      </c>
      <c r="P122" s="102">
        <v>0</v>
      </c>
      <c r="Q122" s="102">
        <v>0</v>
      </c>
      <c r="R122" s="102">
        <v>0</v>
      </c>
      <c r="S122" s="102">
        <v>0</v>
      </c>
      <c r="T122" s="102">
        <v>0</v>
      </c>
      <c r="U122" s="102">
        <v>1</v>
      </c>
      <c r="V122" s="102">
        <v>0</v>
      </c>
      <c r="W122" s="102">
        <v>0</v>
      </c>
      <c r="DA122" s="175" t="s">
        <v>536</v>
      </c>
    </row>
    <row r="123" spans="1:105" ht="11.45" customHeight="1" x14ac:dyDescent="0.25">
      <c r="A123" s="111" t="s">
        <v>111</v>
      </c>
      <c r="B123" s="102">
        <v>248</v>
      </c>
      <c r="C123" s="102">
        <v>187</v>
      </c>
      <c r="D123" s="102">
        <v>218</v>
      </c>
      <c r="E123" s="102">
        <v>329</v>
      </c>
      <c r="F123" s="102">
        <v>123</v>
      </c>
      <c r="G123" s="102">
        <v>142</v>
      </c>
      <c r="H123" s="102">
        <v>163</v>
      </c>
      <c r="I123" s="102">
        <v>226</v>
      </c>
      <c r="J123" s="102">
        <v>268</v>
      </c>
      <c r="K123" s="102">
        <v>189</v>
      </c>
      <c r="L123" s="102">
        <v>401</v>
      </c>
      <c r="M123" s="102">
        <v>215</v>
      </c>
      <c r="N123" s="102">
        <v>176</v>
      </c>
      <c r="O123" s="102">
        <v>71</v>
      </c>
      <c r="P123" s="102">
        <v>83</v>
      </c>
      <c r="Q123" s="102">
        <v>187</v>
      </c>
      <c r="R123" s="102">
        <v>114</v>
      </c>
      <c r="S123" s="102">
        <v>105</v>
      </c>
      <c r="T123" s="102">
        <v>101</v>
      </c>
      <c r="U123" s="102">
        <v>74</v>
      </c>
      <c r="V123" s="102">
        <v>289</v>
      </c>
      <c r="W123" s="102">
        <v>164</v>
      </c>
      <c r="DA123" s="175" t="s">
        <v>537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0</v>
      </c>
      <c r="Q124" s="102">
        <v>0</v>
      </c>
      <c r="R124" s="102">
        <v>0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0</v>
      </c>
      <c r="D125" s="102">
        <v>0</v>
      </c>
      <c r="E125" s="102">
        <v>0</v>
      </c>
      <c r="F125" s="102">
        <v>0</v>
      </c>
      <c r="G125" s="102">
        <v>0</v>
      </c>
      <c r="H125" s="102">
        <v>0</v>
      </c>
      <c r="I125" s="102">
        <v>0</v>
      </c>
      <c r="J125" s="102">
        <v>0</v>
      </c>
      <c r="K125" s="102">
        <v>0</v>
      </c>
      <c r="L125" s="102">
        <v>0</v>
      </c>
      <c r="M125" s="102">
        <v>0</v>
      </c>
      <c r="N125" s="102">
        <v>0</v>
      </c>
      <c r="O125" s="102">
        <v>0</v>
      </c>
      <c r="P125" s="102">
        <v>0</v>
      </c>
      <c r="Q125" s="102">
        <v>0</v>
      </c>
      <c r="R125" s="102">
        <v>0</v>
      </c>
      <c r="S125" s="102">
        <v>0</v>
      </c>
      <c r="T125" s="102">
        <v>0</v>
      </c>
      <c r="U125" s="102">
        <v>0</v>
      </c>
      <c r="V125" s="102">
        <v>0</v>
      </c>
      <c r="W125" s="102">
        <v>0</v>
      </c>
      <c r="DA125" s="175" t="s">
        <v>539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0</v>
      </c>
      <c r="F126" s="102">
        <v>0</v>
      </c>
      <c r="G126" s="102">
        <v>0</v>
      </c>
      <c r="H126" s="102">
        <v>0</v>
      </c>
      <c r="I126" s="102">
        <v>0</v>
      </c>
      <c r="J126" s="102">
        <v>1</v>
      </c>
      <c r="K126" s="102">
        <v>0</v>
      </c>
      <c r="L126" s="102">
        <v>0</v>
      </c>
      <c r="M126" s="102">
        <v>0</v>
      </c>
      <c r="N126" s="102">
        <v>0</v>
      </c>
      <c r="O126" s="102">
        <v>0</v>
      </c>
      <c r="P126" s="102">
        <v>0</v>
      </c>
      <c r="Q126" s="102">
        <v>0</v>
      </c>
      <c r="R126" s="102">
        <v>0</v>
      </c>
      <c r="S126" s="102">
        <v>0</v>
      </c>
      <c r="T126" s="102">
        <v>0</v>
      </c>
      <c r="U126" s="102">
        <v>0</v>
      </c>
      <c r="V126" s="102">
        <v>1</v>
      </c>
      <c r="W126" s="102">
        <v>0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6760</v>
      </c>
      <c r="C127" s="28">
        <f t="shared" si="183"/>
        <v>7887</v>
      </c>
      <c r="D127" s="28">
        <f t="shared" si="183"/>
        <v>7330</v>
      </c>
      <c r="E127" s="28">
        <f t="shared" si="183"/>
        <v>8034</v>
      </c>
      <c r="F127" s="28">
        <f t="shared" si="183"/>
        <v>6908</v>
      </c>
      <c r="G127" s="28">
        <f t="shared" si="183"/>
        <v>9892</v>
      </c>
      <c r="H127" s="28">
        <f t="shared" si="183"/>
        <v>6392</v>
      </c>
      <c r="I127" s="28">
        <f t="shared" si="183"/>
        <v>8255</v>
      </c>
      <c r="J127" s="28">
        <f t="shared" si="183"/>
        <v>10577</v>
      </c>
      <c r="K127" s="28">
        <f t="shared" si="183"/>
        <v>9500</v>
      </c>
      <c r="L127" s="28">
        <f t="shared" ref="L127" si="184">L128+L134</f>
        <v>9007</v>
      </c>
      <c r="M127" s="28">
        <f t="shared" ref="M127:V127" si="185">M128+M134</f>
        <v>8551</v>
      </c>
      <c r="N127" s="28">
        <f t="shared" si="185"/>
        <v>7902</v>
      </c>
      <c r="O127" s="28">
        <f t="shared" si="185"/>
        <v>7801</v>
      </c>
      <c r="P127" s="28">
        <f t="shared" si="185"/>
        <v>5022</v>
      </c>
      <c r="Q127" s="28">
        <f t="shared" si="185"/>
        <v>5968</v>
      </c>
      <c r="R127" s="28">
        <f t="shared" si="185"/>
        <v>6456</v>
      </c>
      <c r="S127" s="28">
        <f t="shared" si="185"/>
        <v>5901</v>
      </c>
      <c r="T127" s="28">
        <f t="shared" si="185"/>
        <v>7242</v>
      </c>
      <c r="U127" s="28">
        <f t="shared" si="185"/>
        <v>7554</v>
      </c>
      <c r="V127" s="28">
        <f t="shared" si="185"/>
        <v>5602</v>
      </c>
      <c r="W127" s="28">
        <f t="shared" ref="W127" si="186">W128+W134</f>
        <v>5558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192</v>
      </c>
      <c r="C128" s="137">
        <f t="shared" si="187"/>
        <v>6068</v>
      </c>
      <c r="D128" s="137">
        <f t="shared" si="187"/>
        <v>5684</v>
      </c>
      <c r="E128" s="137">
        <f t="shared" si="187"/>
        <v>6936</v>
      </c>
      <c r="F128" s="137">
        <f t="shared" si="187"/>
        <v>5865</v>
      </c>
      <c r="G128" s="137">
        <f t="shared" si="187"/>
        <v>5702</v>
      </c>
      <c r="H128" s="137">
        <f t="shared" si="187"/>
        <v>5181</v>
      </c>
      <c r="I128" s="137">
        <f t="shared" si="187"/>
        <v>6681</v>
      </c>
      <c r="J128" s="137">
        <f t="shared" si="187"/>
        <v>8656</v>
      </c>
      <c r="K128" s="137">
        <f t="shared" si="187"/>
        <v>8064</v>
      </c>
      <c r="L128" s="137">
        <f t="shared" ref="L128" si="188">SUM(L129:L133)</f>
        <v>7785</v>
      </c>
      <c r="M128" s="137">
        <f t="shared" ref="M128:V128" si="189">SUM(M129:M133)</f>
        <v>7577</v>
      </c>
      <c r="N128" s="137">
        <f t="shared" si="189"/>
        <v>7543</v>
      </c>
      <c r="O128" s="137">
        <f t="shared" si="189"/>
        <v>7630</v>
      </c>
      <c r="P128" s="137">
        <f t="shared" si="189"/>
        <v>4901</v>
      </c>
      <c r="Q128" s="137">
        <f t="shared" si="189"/>
        <v>5855</v>
      </c>
      <c r="R128" s="137">
        <f t="shared" si="189"/>
        <v>5939</v>
      </c>
      <c r="S128" s="137">
        <f t="shared" si="189"/>
        <v>5492</v>
      </c>
      <c r="T128" s="137">
        <f t="shared" si="189"/>
        <v>6776</v>
      </c>
      <c r="U128" s="137">
        <f t="shared" si="189"/>
        <v>6862</v>
      </c>
      <c r="V128" s="137">
        <f t="shared" si="189"/>
        <v>5114</v>
      </c>
      <c r="W128" s="137">
        <f t="shared" ref="W128" si="190">SUM(W129:W133)</f>
        <v>5177</v>
      </c>
      <c r="DA128" s="174" t="s">
        <v>542</v>
      </c>
    </row>
    <row r="129" spans="1:105" ht="11.45" customHeight="1" x14ac:dyDescent="0.25">
      <c r="A129" s="111" t="s">
        <v>110</v>
      </c>
      <c r="B129" s="84">
        <v>71</v>
      </c>
      <c r="C129" s="84">
        <v>667</v>
      </c>
      <c r="D129" s="84">
        <v>631</v>
      </c>
      <c r="E129" s="84">
        <v>765</v>
      </c>
      <c r="F129" s="84">
        <v>403</v>
      </c>
      <c r="G129" s="84">
        <v>401</v>
      </c>
      <c r="H129" s="84">
        <v>472</v>
      </c>
      <c r="I129" s="84">
        <v>646</v>
      </c>
      <c r="J129" s="84">
        <v>746</v>
      </c>
      <c r="K129" s="84">
        <v>306</v>
      </c>
      <c r="L129" s="84">
        <v>202</v>
      </c>
      <c r="M129" s="84">
        <v>169</v>
      </c>
      <c r="N129" s="84">
        <v>134</v>
      </c>
      <c r="O129" s="84">
        <v>54</v>
      </c>
      <c r="P129" s="84">
        <v>670</v>
      </c>
      <c r="Q129" s="84">
        <v>45</v>
      </c>
      <c r="R129" s="84">
        <v>58</v>
      </c>
      <c r="S129" s="84">
        <v>303</v>
      </c>
      <c r="T129" s="84">
        <v>507</v>
      </c>
      <c r="U129" s="84">
        <v>601</v>
      </c>
      <c r="V129" s="84">
        <v>510</v>
      </c>
      <c r="W129" s="84">
        <v>574</v>
      </c>
      <c r="DA129" s="171" t="s">
        <v>543</v>
      </c>
    </row>
    <row r="130" spans="1:105" ht="11.45" customHeight="1" x14ac:dyDescent="0.25">
      <c r="A130" s="111" t="s">
        <v>111</v>
      </c>
      <c r="B130" s="84">
        <v>121</v>
      </c>
      <c r="C130" s="84">
        <v>5401</v>
      </c>
      <c r="D130" s="84">
        <v>5053</v>
      </c>
      <c r="E130" s="84">
        <v>6171</v>
      </c>
      <c r="F130" s="84">
        <v>5462</v>
      </c>
      <c r="G130" s="84">
        <v>5301</v>
      </c>
      <c r="H130" s="84">
        <v>4709</v>
      </c>
      <c r="I130" s="84">
        <v>6033</v>
      </c>
      <c r="J130" s="84">
        <v>7909</v>
      </c>
      <c r="K130" s="84">
        <v>7758</v>
      </c>
      <c r="L130" s="84">
        <v>7581</v>
      </c>
      <c r="M130" s="84">
        <v>7407</v>
      </c>
      <c r="N130" s="84">
        <v>7409</v>
      </c>
      <c r="O130" s="84">
        <v>7576</v>
      </c>
      <c r="P130" s="84">
        <v>4231</v>
      </c>
      <c r="Q130" s="84">
        <v>5810</v>
      </c>
      <c r="R130" s="84">
        <v>5881</v>
      </c>
      <c r="S130" s="84">
        <v>5189</v>
      </c>
      <c r="T130" s="84">
        <v>6269</v>
      </c>
      <c r="U130" s="84">
        <v>6258</v>
      </c>
      <c r="V130" s="84">
        <v>4603</v>
      </c>
      <c r="W130" s="84">
        <v>4599</v>
      </c>
      <c r="DA130" s="171" t="s">
        <v>544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0</v>
      </c>
      <c r="F131" s="84">
        <v>0</v>
      </c>
      <c r="G131" s="84">
        <v>0</v>
      </c>
      <c r="H131" s="84">
        <v>0</v>
      </c>
      <c r="I131" s="84">
        <v>0</v>
      </c>
      <c r="J131" s="84">
        <v>0</v>
      </c>
      <c r="K131" s="84">
        <v>0</v>
      </c>
      <c r="L131" s="84">
        <v>0</v>
      </c>
      <c r="M131" s="84">
        <v>0</v>
      </c>
      <c r="N131" s="84">
        <v>0</v>
      </c>
      <c r="O131" s="84">
        <v>0</v>
      </c>
      <c r="P131" s="84">
        <v>0</v>
      </c>
      <c r="Q131" s="84">
        <v>0</v>
      </c>
      <c r="R131" s="84">
        <v>0</v>
      </c>
      <c r="S131" s="84">
        <v>0</v>
      </c>
      <c r="T131" s="84">
        <v>0</v>
      </c>
      <c r="U131" s="84">
        <v>0</v>
      </c>
      <c r="V131" s="84">
        <v>0</v>
      </c>
      <c r="W131" s="84">
        <v>0</v>
      </c>
      <c r="DA131" s="171" t="s">
        <v>545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0</v>
      </c>
      <c r="O132" s="84">
        <v>0</v>
      </c>
      <c r="P132" s="84">
        <v>0</v>
      </c>
      <c r="Q132" s="84">
        <v>0</v>
      </c>
      <c r="R132" s="84">
        <v>0</v>
      </c>
      <c r="S132" s="84">
        <v>0</v>
      </c>
      <c r="T132" s="84">
        <v>0</v>
      </c>
      <c r="U132" s="84">
        <v>0</v>
      </c>
      <c r="V132" s="84">
        <v>0</v>
      </c>
      <c r="W132" s="84">
        <v>0</v>
      </c>
      <c r="DA132" s="171" t="s">
        <v>546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2</v>
      </c>
      <c r="J133" s="84">
        <v>1</v>
      </c>
      <c r="K133" s="84">
        <v>0</v>
      </c>
      <c r="L133" s="84">
        <v>2</v>
      </c>
      <c r="M133" s="84">
        <v>1</v>
      </c>
      <c r="N133" s="84">
        <v>0</v>
      </c>
      <c r="O133" s="84">
        <v>0</v>
      </c>
      <c r="P133" s="84">
        <v>0</v>
      </c>
      <c r="Q133" s="84">
        <v>0</v>
      </c>
      <c r="R133" s="84">
        <v>0</v>
      </c>
      <c r="S133" s="84">
        <v>0</v>
      </c>
      <c r="T133" s="84">
        <v>0</v>
      </c>
      <c r="U133" s="84">
        <v>3</v>
      </c>
      <c r="V133" s="84">
        <v>1</v>
      </c>
      <c r="W133" s="84">
        <v>4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6568</v>
      </c>
      <c r="C134" s="110">
        <f t="shared" si="191"/>
        <v>1819</v>
      </c>
      <c r="D134" s="110">
        <f t="shared" si="191"/>
        <v>1646</v>
      </c>
      <c r="E134" s="110">
        <f t="shared" si="191"/>
        <v>1098</v>
      </c>
      <c r="F134" s="110">
        <f t="shared" si="191"/>
        <v>1043</v>
      </c>
      <c r="G134" s="110">
        <f t="shared" si="191"/>
        <v>4190</v>
      </c>
      <c r="H134" s="110">
        <f t="shared" si="191"/>
        <v>1211</v>
      </c>
      <c r="I134" s="110">
        <f t="shared" si="191"/>
        <v>1574</v>
      </c>
      <c r="J134" s="110">
        <f t="shared" si="191"/>
        <v>1921</v>
      </c>
      <c r="K134" s="110">
        <f t="shared" si="191"/>
        <v>1436</v>
      </c>
      <c r="L134" s="110">
        <f t="shared" ref="L134" si="192">SUM(L135:L136)</f>
        <v>1222</v>
      </c>
      <c r="M134" s="110">
        <f t="shared" ref="M134:V134" si="193">SUM(M135:M136)</f>
        <v>974</v>
      </c>
      <c r="N134" s="110">
        <f t="shared" si="193"/>
        <v>359</v>
      </c>
      <c r="O134" s="110">
        <f t="shared" si="193"/>
        <v>171</v>
      </c>
      <c r="P134" s="110">
        <f t="shared" si="193"/>
        <v>121</v>
      </c>
      <c r="Q134" s="110">
        <f t="shared" si="193"/>
        <v>113</v>
      </c>
      <c r="R134" s="110">
        <f t="shared" si="193"/>
        <v>517</v>
      </c>
      <c r="S134" s="110">
        <f t="shared" si="193"/>
        <v>409</v>
      </c>
      <c r="T134" s="110">
        <f t="shared" si="193"/>
        <v>466</v>
      </c>
      <c r="U134" s="110">
        <f t="shared" si="193"/>
        <v>692</v>
      </c>
      <c r="V134" s="110">
        <f t="shared" si="193"/>
        <v>488</v>
      </c>
      <c r="W134" s="110">
        <f t="shared" ref="W134" si="194">SUM(W135:W136)</f>
        <v>381</v>
      </c>
      <c r="DA134" s="176" t="s">
        <v>548</v>
      </c>
    </row>
    <row r="135" spans="1:105" ht="11.45" customHeight="1" x14ac:dyDescent="0.25">
      <c r="A135" s="128" t="s">
        <v>27</v>
      </c>
      <c r="B135" s="102">
        <v>6568</v>
      </c>
      <c r="C135" s="102">
        <v>1819</v>
      </c>
      <c r="D135" s="102">
        <v>1646</v>
      </c>
      <c r="E135" s="102">
        <v>1098</v>
      </c>
      <c r="F135" s="102">
        <v>1043</v>
      </c>
      <c r="G135" s="102">
        <v>4190</v>
      </c>
      <c r="H135" s="102">
        <v>1211</v>
      </c>
      <c r="I135" s="102">
        <v>1574</v>
      </c>
      <c r="J135" s="102">
        <v>1921</v>
      </c>
      <c r="K135" s="102">
        <v>1436</v>
      </c>
      <c r="L135" s="102">
        <v>1222</v>
      </c>
      <c r="M135" s="102">
        <v>974</v>
      </c>
      <c r="N135" s="102">
        <v>359</v>
      </c>
      <c r="O135" s="102">
        <v>171</v>
      </c>
      <c r="P135" s="102">
        <v>121</v>
      </c>
      <c r="Q135" s="102">
        <v>113</v>
      </c>
      <c r="R135" s="102">
        <v>517</v>
      </c>
      <c r="S135" s="102">
        <v>409</v>
      </c>
      <c r="T135" s="102">
        <v>466</v>
      </c>
      <c r="U135" s="102">
        <v>692</v>
      </c>
      <c r="V135" s="102">
        <v>488</v>
      </c>
      <c r="W135" s="102">
        <v>381</v>
      </c>
      <c r="DA135" s="175" t="s">
        <v>549</v>
      </c>
    </row>
    <row r="136" spans="1:105" ht="11.45" customHeight="1" x14ac:dyDescent="0.25">
      <c r="A136" s="138" t="s">
        <v>116</v>
      </c>
      <c r="B136" s="86">
        <v>0</v>
      </c>
      <c r="C136" s="86">
        <v>0</v>
      </c>
      <c r="D136" s="86">
        <v>0</v>
      </c>
      <c r="E136" s="86">
        <v>0</v>
      </c>
      <c r="F136" s="86">
        <v>0</v>
      </c>
      <c r="G136" s="86">
        <v>0</v>
      </c>
      <c r="H136" s="86">
        <v>0</v>
      </c>
      <c r="I136" s="86">
        <v>0</v>
      </c>
      <c r="J136" s="86">
        <v>0</v>
      </c>
      <c r="K136" s="86">
        <v>0</v>
      </c>
      <c r="L136" s="86">
        <v>0</v>
      </c>
      <c r="M136" s="86">
        <v>0</v>
      </c>
      <c r="N136" s="86">
        <v>0</v>
      </c>
      <c r="O136" s="86">
        <v>0</v>
      </c>
      <c r="P136" s="86">
        <v>0</v>
      </c>
      <c r="Q136" s="86">
        <v>0</v>
      </c>
      <c r="R136" s="86">
        <v>0</v>
      </c>
      <c r="S136" s="86">
        <v>0</v>
      </c>
      <c r="T136" s="86">
        <v>0</v>
      </c>
      <c r="U136" s="86">
        <v>0</v>
      </c>
      <c r="V136" s="86">
        <v>0</v>
      </c>
      <c r="W136" s="86">
        <v>0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1.5675769362420489</v>
      </c>
      <c r="C141" s="32">
        <f t="shared" si="195"/>
        <v>1.5401379878905979</v>
      </c>
      <c r="D141" s="32">
        <f t="shared" si="195"/>
        <v>1.5468409100349576</v>
      </c>
      <c r="E141" s="32">
        <f t="shared" si="195"/>
        <v>1.5183829696420976</v>
      </c>
      <c r="F141" s="32">
        <f t="shared" si="195"/>
        <v>1.4934755482558859</v>
      </c>
      <c r="G141" s="32">
        <f t="shared" si="195"/>
        <v>1.476149603148027</v>
      </c>
      <c r="H141" s="32">
        <f t="shared" si="195"/>
        <v>1.4658837529397761</v>
      </c>
      <c r="I141" s="32">
        <f t="shared" si="195"/>
        <v>1.4141804180483779</v>
      </c>
      <c r="J141" s="32">
        <f t="shared" si="195"/>
        <v>1.4139097553850477</v>
      </c>
      <c r="K141" s="32">
        <f t="shared" si="195"/>
        <v>1.4077031613909696</v>
      </c>
      <c r="L141" s="32">
        <f t="shared" ref="L141" si="196">IF(L4=0,0,L4/L31)</f>
        <v>1.3613657363741807</v>
      </c>
      <c r="M141" s="32">
        <f t="shared" ref="M141:V141" si="197">IF(M4=0,0,M4/M31)</f>
        <v>1.3599163821630309</v>
      </c>
      <c r="N141" s="32">
        <f t="shared" si="197"/>
        <v>1.3923569172008206</v>
      </c>
      <c r="O141" s="32">
        <f t="shared" si="197"/>
        <v>1.3941340637363344</v>
      </c>
      <c r="P141" s="32">
        <f t="shared" si="197"/>
        <v>1.4126399123621494</v>
      </c>
      <c r="Q141" s="32">
        <f t="shared" si="197"/>
        <v>1.4257668796673728</v>
      </c>
      <c r="R141" s="32">
        <f t="shared" si="197"/>
        <v>1.3131291256579511</v>
      </c>
      <c r="S141" s="32">
        <f t="shared" si="197"/>
        <v>1.3176513977222504</v>
      </c>
      <c r="T141" s="32">
        <f t="shared" si="197"/>
        <v>1.3143665473595105</v>
      </c>
      <c r="U141" s="32">
        <f t="shared" si="197"/>
        <v>1.3047711666199342</v>
      </c>
      <c r="V141" s="32">
        <f t="shared" si="197"/>
        <v>1.1394883384395527</v>
      </c>
      <c r="W141" s="32">
        <f t="shared" ref="W141" si="198">IF(W4=0,0,W4/W31)</f>
        <v>1.192444224543314</v>
      </c>
      <c r="DA141" s="173" t="s">
        <v>551</v>
      </c>
    </row>
    <row r="142" spans="1:105" ht="11.45" customHeight="1" x14ac:dyDescent="0.25">
      <c r="A142" s="136" t="s">
        <v>180</v>
      </c>
      <c r="B142" s="141">
        <v>1.144904248850096</v>
      </c>
      <c r="C142" s="141">
        <v>1.1448822893256656</v>
      </c>
      <c r="D142" s="141">
        <v>1.1246011869273276</v>
      </c>
      <c r="E142" s="141">
        <v>1.1273080555463149</v>
      </c>
      <c r="F142" s="141">
        <v>1.1252241529819487</v>
      </c>
      <c r="G142" s="141">
        <v>1.1242052325783225</v>
      </c>
      <c r="H142" s="141">
        <v>1.1245188238574779</v>
      </c>
      <c r="I142" s="141">
        <v>1.1263237530885257</v>
      </c>
      <c r="J142" s="141">
        <v>1.1269165101294136</v>
      </c>
      <c r="K142" s="141">
        <v>1.1274573069646689</v>
      </c>
      <c r="L142" s="141">
        <v>1.1255203449527573</v>
      </c>
      <c r="M142" s="141">
        <v>1.1245343866493369</v>
      </c>
      <c r="N142" s="141">
        <v>1.1175939881362991</v>
      </c>
      <c r="O142" s="141">
        <v>1.1170190555394401</v>
      </c>
      <c r="P142" s="141">
        <v>1.1194444139991155</v>
      </c>
      <c r="Q142" s="141">
        <v>1.121379177648796</v>
      </c>
      <c r="R142" s="141">
        <v>1.1222417214839819</v>
      </c>
      <c r="S142" s="141">
        <v>1.1207238486912054</v>
      </c>
      <c r="T142" s="141">
        <v>1.1194373841650254</v>
      </c>
      <c r="U142" s="141">
        <v>1.1203486161325256</v>
      </c>
      <c r="V142" s="141">
        <v>1.118995361783635</v>
      </c>
      <c r="W142" s="141">
        <v>1.1190184598749804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1.2862833192416399</v>
      </c>
      <c r="C143" s="130">
        <f t="shared" si="199"/>
        <v>1.2588924926389391</v>
      </c>
      <c r="D143" s="130">
        <f t="shared" si="199"/>
        <v>1.262571434835853</v>
      </c>
      <c r="E143" s="130">
        <f t="shared" si="199"/>
        <v>1.2244882366746126</v>
      </c>
      <c r="F143" s="130">
        <f t="shared" si="199"/>
        <v>1.2332670478646568</v>
      </c>
      <c r="G143" s="130">
        <f t="shared" si="199"/>
        <v>1.223138248667103</v>
      </c>
      <c r="H143" s="130">
        <f t="shared" si="199"/>
        <v>1.2188727551378609</v>
      </c>
      <c r="I143" s="130">
        <f t="shared" si="199"/>
        <v>1.1811765555190119</v>
      </c>
      <c r="J143" s="130">
        <f t="shared" si="199"/>
        <v>1.1917662153304593</v>
      </c>
      <c r="K143" s="130">
        <f t="shared" si="199"/>
        <v>1.2001580527443603</v>
      </c>
      <c r="L143" s="130">
        <f t="shared" ref="L143" si="200">IF(L6=0,0,L6/L33)</f>
        <v>1.1540434249204348</v>
      </c>
      <c r="M143" s="130">
        <f t="shared" ref="M143:V143" si="201">IF(M6=0,0,M6/M33)</f>
        <v>1.1484384798941958</v>
      </c>
      <c r="N143" s="130">
        <f t="shared" si="201"/>
        <v>1.1721537239003015</v>
      </c>
      <c r="O143" s="130">
        <f t="shared" si="201"/>
        <v>1.1751951945995187</v>
      </c>
      <c r="P143" s="130">
        <f t="shared" si="201"/>
        <v>1.1956871563977778</v>
      </c>
      <c r="Q143" s="130">
        <f t="shared" si="201"/>
        <v>1.2002516159672854</v>
      </c>
      <c r="R143" s="130">
        <f t="shared" si="201"/>
        <v>1.1016127835211629</v>
      </c>
      <c r="S143" s="130">
        <f t="shared" si="201"/>
        <v>1.1010956237309031</v>
      </c>
      <c r="T143" s="130">
        <f t="shared" si="201"/>
        <v>1.0989084952779717</v>
      </c>
      <c r="U143" s="130">
        <f t="shared" si="201"/>
        <v>1.0953032217628178</v>
      </c>
      <c r="V143" s="130">
        <f t="shared" si="201"/>
        <v>1.0184597734749459</v>
      </c>
      <c r="W143" s="130">
        <f t="shared" ref="W143" si="202">IF(W6=0,0,W6/W33)</f>
        <v>1.0670351864138203</v>
      </c>
      <c r="DA143" s="176" t="s">
        <v>553</v>
      </c>
    </row>
    <row r="144" spans="1:105" ht="11.45" customHeight="1" x14ac:dyDescent="0.25">
      <c r="A144" s="111" t="s">
        <v>110</v>
      </c>
      <c r="B144" s="96">
        <v>1.2749027609473522</v>
      </c>
      <c r="C144" s="96">
        <v>1.2474376386856716</v>
      </c>
      <c r="D144" s="96">
        <v>1.2514677475261231</v>
      </c>
      <c r="E144" s="96">
        <v>1.2142785294966472</v>
      </c>
      <c r="F144" s="96">
        <v>1.224054840259323</v>
      </c>
      <c r="G144" s="96">
        <v>1.2147382418091717</v>
      </c>
      <c r="H144" s="96">
        <v>1.211124111625284</v>
      </c>
      <c r="I144" s="96">
        <v>1.173993398167877</v>
      </c>
      <c r="J144" s="96">
        <v>1.1845208640692437</v>
      </c>
      <c r="K144" s="96">
        <v>1.1927552969372595</v>
      </c>
      <c r="L144" s="96">
        <v>1.1469142089037676</v>
      </c>
      <c r="M144" s="96">
        <v>1.1414234551925411</v>
      </c>
      <c r="N144" s="96">
        <v>1.1653144330892933</v>
      </c>
      <c r="O144" s="96">
        <v>1.1684898824311289</v>
      </c>
      <c r="P144" s="96">
        <v>1.1885727620218576</v>
      </c>
      <c r="Q144" s="96">
        <v>1.1925217259681453</v>
      </c>
      <c r="R144" s="96">
        <v>1.0942167481504563</v>
      </c>
      <c r="S144" s="96">
        <v>1.0924688488077137</v>
      </c>
      <c r="T144" s="96">
        <v>1.0889551706677818</v>
      </c>
      <c r="U144" s="96">
        <v>1.0841584692945467</v>
      </c>
      <c r="V144" s="96">
        <v>1.0071849019411057</v>
      </c>
      <c r="W144" s="96">
        <v>1.0549829581021943</v>
      </c>
      <c r="DA144" s="171" t="s">
        <v>554</v>
      </c>
    </row>
    <row r="145" spans="1:105" ht="11.45" customHeight="1" x14ac:dyDescent="0.25">
      <c r="A145" s="111" t="s">
        <v>111</v>
      </c>
      <c r="B145" s="96">
        <v>1.3415332516759291</v>
      </c>
      <c r="C145" s="96">
        <v>1.3126327143925915</v>
      </c>
      <c r="D145" s="96">
        <v>1.3168734495944827</v>
      </c>
      <c r="E145" s="96">
        <v>1.2777406042366968</v>
      </c>
      <c r="F145" s="96">
        <v>1.2880278562284495</v>
      </c>
      <c r="G145" s="96">
        <v>1.2782243425831381</v>
      </c>
      <c r="H145" s="96">
        <v>1.2744213264111701</v>
      </c>
      <c r="I145" s="96">
        <v>1.2353500432612721</v>
      </c>
      <c r="J145" s="96">
        <v>1.2464277081586903</v>
      </c>
      <c r="K145" s="96">
        <v>1.2550924987917618</v>
      </c>
      <c r="L145" s="96">
        <v>1.2068556090667488</v>
      </c>
      <c r="M145" s="96">
        <v>1.2010778910273761</v>
      </c>
      <c r="N145" s="96">
        <v>1.2262174877443293</v>
      </c>
      <c r="O145" s="96">
        <v>1.2295588962121549</v>
      </c>
      <c r="P145" s="96">
        <v>1.2506913712413474</v>
      </c>
      <c r="Q145" s="96">
        <v>1.2548467206577032</v>
      </c>
      <c r="R145" s="96">
        <v>1.1514040106821632</v>
      </c>
      <c r="S145" s="96">
        <v>1.1495647605364261</v>
      </c>
      <c r="T145" s="96">
        <v>1.1458674463531044</v>
      </c>
      <c r="U145" s="96">
        <v>1.1408200540439273</v>
      </c>
      <c r="V145" s="96">
        <v>1.0598236021827481</v>
      </c>
      <c r="W145" s="96">
        <v>1.1101197374408802</v>
      </c>
      <c r="DA145" s="171" t="s">
        <v>555</v>
      </c>
    </row>
    <row r="146" spans="1:105" ht="11.45" customHeight="1" x14ac:dyDescent="0.25">
      <c r="A146" s="111" t="s">
        <v>112</v>
      </c>
      <c r="B146" s="96">
        <v>0</v>
      </c>
      <c r="C146" s="96">
        <v>0</v>
      </c>
      <c r="D146" s="96">
        <v>0</v>
      </c>
      <c r="E146" s="96">
        <v>0</v>
      </c>
      <c r="F146" s="96">
        <v>0</v>
      </c>
      <c r="G146" s="96">
        <v>0</v>
      </c>
      <c r="H146" s="96">
        <v>0</v>
      </c>
      <c r="I146" s="96">
        <v>0</v>
      </c>
      <c r="J146" s="96">
        <v>0</v>
      </c>
      <c r="K146" s="96">
        <v>0</v>
      </c>
      <c r="L146" s="96">
        <v>0</v>
      </c>
      <c r="M146" s="96">
        <v>0</v>
      </c>
      <c r="N146" s="96">
        <v>0</v>
      </c>
      <c r="O146" s="96">
        <v>0</v>
      </c>
      <c r="P146" s="96">
        <v>0</v>
      </c>
      <c r="Q146" s="96">
        <v>0</v>
      </c>
      <c r="R146" s="96">
        <v>0</v>
      </c>
      <c r="S146" s="96">
        <v>0</v>
      </c>
      <c r="T146" s="96">
        <v>1.0952102719297607</v>
      </c>
      <c r="U146" s="96">
        <v>1.0917398008565302</v>
      </c>
      <c r="V146" s="96">
        <v>1.0177695560666649</v>
      </c>
      <c r="W146" s="96">
        <v>1.0645287172692788</v>
      </c>
      <c r="DA146" s="171" t="s">
        <v>556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0</v>
      </c>
      <c r="I147" s="96">
        <v>0</v>
      </c>
      <c r="J147" s="96">
        <v>0</v>
      </c>
      <c r="K147" s="96">
        <v>0</v>
      </c>
      <c r="L147" s="96">
        <v>0</v>
      </c>
      <c r="M147" s="96">
        <v>0</v>
      </c>
      <c r="N147" s="96">
        <v>0</v>
      </c>
      <c r="O147" s="96">
        <v>0</v>
      </c>
      <c r="P147" s="96">
        <v>0</v>
      </c>
      <c r="Q147" s="96">
        <v>0</v>
      </c>
      <c r="R147" s="96">
        <v>0</v>
      </c>
      <c r="S147" s="96">
        <v>0</v>
      </c>
      <c r="T147" s="96">
        <v>0</v>
      </c>
      <c r="U147" s="96">
        <v>0</v>
      </c>
      <c r="V147" s="96">
        <v>0</v>
      </c>
      <c r="W147" s="96">
        <v>0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0</v>
      </c>
      <c r="O148" s="96">
        <v>0</v>
      </c>
      <c r="P148" s="96">
        <v>1.127736513495982</v>
      </c>
      <c r="Q148" s="96">
        <v>1.1307160046497964</v>
      </c>
      <c r="R148" s="96">
        <v>1.0663286386932378</v>
      </c>
      <c r="S148" s="96">
        <v>1.0659910580888479</v>
      </c>
      <c r="T148" s="96">
        <v>1.0645633907432333</v>
      </c>
      <c r="U148" s="96">
        <v>1.0622100167277766</v>
      </c>
      <c r="V148" s="96">
        <v>1.0120497795921877</v>
      </c>
      <c r="W148" s="96">
        <v>1.0437578078790657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0</v>
      </c>
      <c r="M149" s="96">
        <v>0</v>
      </c>
      <c r="N149" s="96">
        <v>0</v>
      </c>
      <c r="O149" s="96">
        <v>1.1393030674398785</v>
      </c>
      <c r="P149" s="96">
        <v>1.1555968541666415</v>
      </c>
      <c r="Q149" s="96">
        <v>1.1592261958314696</v>
      </c>
      <c r="R149" s="96">
        <v>1.0807954377285256</v>
      </c>
      <c r="S149" s="96">
        <v>1.0803842281328262</v>
      </c>
      <c r="T149" s="96">
        <v>1.0786451752833754</v>
      </c>
      <c r="U149" s="96">
        <v>1.0757785118411005</v>
      </c>
      <c r="V149" s="96">
        <v>1.0146779315219434</v>
      </c>
      <c r="W149" s="96">
        <v>1.0533017307649082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8.2572551886805581</v>
      </c>
      <c r="C150" s="130">
        <f t="shared" si="203"/>
        <v>8.2635194630612663</v>
      </c>
      <c r="D150" s="130">
        <f t="shared" si="203"/>
        <v>8.2724766711790831</v>
      </c>
      <c r="E150" s="130">
        <f t="shared" si="203"/>
        <v>8.2852895277503933</v>
      </c>
      <c r="F150" s="130">
        <f t="shared" si="203"/>
        <v>8.3036280416001276</v>
      </c>
      <c r="G150" s="130">
        <f t="shared" si="203"/>
        <v>8.3298963522584959</v>
      </c>
      <c r="H150" s="130">
        <f t="shared" si="203"/>
        <v>8.3675667269848315</v>
      </c>
      <c r="I150" s="130">
        <f t="shared" si="203"/>
        <v>8.4216772562654594</v>
      </c>
      <c r="J150" s="130">
        <f t="shared" si="203"/>
        <v>8.4995855705682981</v>
      </c>
      <c r="K150" s="130">
        <f t="shared" si="203"/>
        <v>8.6121350481317727</v>
      </c>
      <c r="L150" s="130">
        <f t="shared" ref="L150" si="204">IF(L13=0,0,L13/L40)</f>
        <v>8.7755102040816322</v>
      </c>
      <c r="M150" s="130">
        <f t="shared" ref="M150:V150" si="205">IF(M13=0,0,M13/M40)</f>
        <v>8.8631610238329817</v>
      </c>
      <c r="N150" s="130">
        <f t="shared" si="205"/>
        <v>8.9427950370342053</v>
      </c>
      <c r="O150" s="130">
        <f t="shared" si="205"/>
        <v>8.9989641863329535</v>
      </c>
      <c r="P150" s="130">
        <f t="shared" si="205"/>
        <v>9.0384923722875463</v>
      </c>
      <c r="Q150" s="130">
        <f t="shared" si="205"/>
        <v>9.0662653661541466</v>
      </c>
      <c r="R150" s="130">
        <f t="shared" si="205"/>
        <v>9.0628746906473516</v>
      </c>
      <c r="S150" s="130">
        <f t="shared" si="205"/>
        <v>9.059574683098008</v>
      </c>
      <c r="T150" s="130">
        <f t="shared" si="205"/>
        <v>9.0567392930379302</v>
      </c>
      <c r="U150" s="130">
        <f t="shared" si="205"/>
        <v>9.0560459567525111</v>
      </c>
      <c r="V150" s="130">
        <f t="shared" si="205"/>
        <v>6.3288960671285279</v>
      </c>
      <c r="W150" s="130">
        <f t="shared" ref="W150" si="206">IF(W13=0,0,W13/W40)</f>
        <v>6.4532143278433489</v>
      </c>
      <c r="DA150" s="176" t="s">
        <v>560</v>
      </c>
    </row>
    <row r="151" spans="1:105" ht="11.45" customHeight="1" x14ac:dyDescent="0.25">
      <c r="A151" s="111" t="s">
        <v>110</v>
      </c>
      <c r="B151" s="97">
        <v>6.3175867380261757</v>
      </c>
      <c r="C151" s="97">
        <v>6.317827671656203</v>
      </c>
      <c r="D151" s="97">
        <v>6.318172179660734</v>
      </c>
      <c r="E151" s="97">
        <v>6.3186649818365535</v>
      </c>
      <c r="F151" s="97">
        <v>6.3193703092923128</v>
      </c>
      <c r="G151" s="97">
        <v>6.3203806289330196</v>
      </c>
      <c r="H151" s="97">
        <v>6.3218294894994163</v>
      </c>
      <c r="I151" s="97">
        <v>6.3239106637025175</v>
      </c>
      <c r="J151" s="97">
        <v>6.3269071373295498</v>
      </c>
      <c r="K151" s="97">
        <v>6.331235963389684</v>
      </c>
      <c r="L151" s="97">
        <v>6.3375196232339093</v>
      </c>
      <c r="M151" s="97">
        <v>6.340890808608961</v>
      </c>
      <c r="N151" s="97">
        <v>6.3439536552705462</v>
      </c>
      <c r="O151" s="97">
        <v>6.3461140071666522</v>
      </c>
      <c r="P151" s="97">
        <v>6.3476343220110598</v>
      </c>
      <c r="Q151" s="97">
        <v>6.3487025140828512</v>
      </c>
      <c r="R151" s="97">
        <v>6.3485721034864362</v>
      </c>
      <c r="S151" s="97">
        <v>6.348445180119155</v>
      </c>
      <c r="T151" s="97">
        <v>6.3483361266553047</v>
      </c>
      <c r="U151" s="97">
        <v>6.3483094598750958</v>
      </c>
      <c r="V151" s="97">
        <v>5.3069062175792014</v>
      </c>
      <c r="W151" s="97">
        <v>6.2482005510708989</v>
      </c>
      <c r="DA151" s="175" t="s">
        <v>561</v>
      </c>
    </row>
    <row r="152" spans="1:105" ht="11.45" customHeight="1" x14ac:dyDescent="0.25">
      <c r="A152" s="111" t="s">
        <v>111</v>
      </c>
      <c r="B152" s="97">
        <v>8.3247286697269729</v>
      </c>
      <c r="C152" s="97">
        <v>8.328013205133491</v>
      </c>
      <c r="D152" s="97">
        <v>8.3330683981604405</v>
      </c>
      <c r="E152" s="97">
        <v>8.3427594925333963</v>
      </c>
      <c r="F152" s="97">
        <v>8.3628035750486571</v>
      </c>
      <c r="G152" s="97">
        <v>8.3886400235776044</v>
      </c>
      <c r="H152" s="97">
        <v>8.4279807349262601</v>
      </c>
      <c r="I152" s="97">
        <v>8.4825831962455265</v>
      </c>
      <c r="J152" s="97">
        <v>8.5621658889031433</v>
      </c>
      <c r="K152" s="97">
        <v>8.6795598076105378</v>
      </c>
      <c r="L152" s="97">
        <v>8.8496341034626447</v>
      </c>
      <c r="M152" s="97">
        <v>8.9395890461497576</v>
      </c>
      <c r="N152" s="97">
        <v>9.0203547720281527</v>
      </c>
      <c r="O152" s="97">
        <v>9.0786885958393757</v>
      </c>
      <c r="P152" s="97">
        <v>9.0661519435792286</v>
      </c>
      <c r="Q152" s="97">
        <v>9.0895801370744103</v>
      </c>
      <c r="R152" s="97">
        <v>9.0850446092045356</v>
      </c>
      <c r="S152" s="97">
        <v>9.0816454661878563</v>
      </c>
      <c r="T152" s="97">
        <v>9.0790884008006412</v>
      </c>
      <c r="U152" s="97">
        <v>9.0781597354216519</v>
      </c>
      <c r="V152" s="97">
        <v>6.3391883508270475</v>
      </c>
      <c r="W152" s="97">
        <v>6.4551092597694444</v>
      </c>
      <c r="DA152" s="175" t="s">
        <v>562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DA153" s="175" t="s">
        <v>563</v>
      </c>
    </row>
    <row r="154" spans="1:105" ht="11.45" customHeight="1" x14ac:dyDescent="0.25">
      <c r="A154" s="111" t="s">
        <v>113</v>
      </c>
      <c r="B154" s="97">
        <v>0</v>
      </c>
      <c r="C154" s="97">
        <v>0</v>
      </c>
      <c r="D154" s="97">
        <v>0</v>
      </c>
      <c r="E154" s="97">
        <v>0</v>
      </c>
      <c r="F154" s="97">
        <v>0</v>
      </c>
      <c r="G154" s="97">
        <v>0</v>
      </c>
      <c r="H154" s="97">
        <v>0</v>
      </c>
      <c r="I154" s="97">
        <v>0</v>
      </c>
      <c r="J154" s="97">
        <v>0</v>
      </c>
      <c r="K154" s="97">
        <v>0</v>
      </c>
      <c r="L154" s="97">
        <v>0</v>
      </c>
      <c r="M154" s="97">
        <v>0</v>
      </c>
      <c r="N154" s="97">
        <v>0</v>
      </c>
      <c r="O154" s="97">
        <v>0</v>
      </c>
      <c r="P154" s="97">
        <v>0</v>
      </c>
      <c r="Q154" s="97">
        <v>0</v>
      </c>
      <c r="R154" s="97">
        <v>0</v>
      </c>
      <c r="S154" s="97">
        <v>0</v>
      </c>
      <c r="T154" s="97">
        <v>0</v>
      </c>
      <c r="U154" s="97">
        <v>0</v>
      </c>
      <c r="V154" s="97">
        <v>0</v>
      </c>
      <c r="W154" s="97">
        <v>0</v>
      </c>
      <c r="DA154" s="175" t="s">
        <v>564</v>
      </c>
    </row>
    <row r="155" spans="1:105" ht="11.45" customHeight="1" x14ac:dyDescent="0.25">
      <c r="A155" s="111" t="s">
        <v>115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8.5621658889031433</v>
      </c>
      <c r="K155" s="97">
        <v>8.6795598076105378</v>
      </c>
      <c r="L155" s="97">
        <v>8.8496341034626447</v>
      </c>
      <c r="M155" s="97">
        <v>8.9395890461497594</v>
      </c>
      <c r="N155" s="97">
        <v>9.0203547720281527</v>
      </c>
      <c r="O155" s="97">
        <v>9.0786885958393757</v>
      </c>
      <c r="P155" s="97">
        <v>9.0661519435792286</v>
      </c>
      <c r="Q155" s="97">
        <v>9.0895801370744085</v>
      </c>
      <c r="R155" s="97">
        <v>9.0850446092045356</v>
      </c>
      <c r="S155" s="97">
        <v>9.0816454661878563</v>
      </c>
      <c r="T155" s="97">
        <v>9.0790884008006394</v>
      </c>
      <c r="U155" s="97">
        <v>9.0781597354216519</v>
      </c>
      <c r="V155" s="97">
        <v>6.3391883508270492</v>
      </c>
      <c r="W155" s="97">
        <v>6.4551092597694453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0.91190128256620728</v>
      </c>
      <c r="C156" s="32">
        <f t="shared" si="207"/>
        <v>0.90074568917106823</v>
      </c>
      <c r="D156" s="32">
        <f t="shared" si="207"/>
        <v>0.87024826136216382</v>
      </c>
      <c r="E156" s="32">
        <f t="shared" si="207"/>
        <v>0.90362397354544866</v>
      </c>
      <c r="F156" s="32">
        <f t="shared" si="207"/>
        <v>0.80988880734643576</v>
      </c>
      <c r="G156" s="32">
        <f t="shared" si="207"/>
        <v>0.91441701149696963</v>
      </c>
      <c r="H156" s="32">
        <f t="shared" si="207"/>
        <v>0.84358281715135719</v>
      </c>
      <c r="I156" s="32">
        <f t="shared" si="207"/>
        <v>0.87215617303434956</v>
      </c>
      <c r="J156" s="32">
        <f t="shared" si="207"/>
        <v>0.88583741584894271</v>
      </c>
      <c r="K156" s="32">
        <f t="shared" si="207"/>
        <v>0.73697703207117404</v>
      </c>
      <c r="L156" s="32">
        <f t="shared" ref="L156" si="208">IF(L19=0,0,L19/L46)</f>
        <v>0.80806200338468315</v>
      </c>
      <c r="M156" s="32">
        <f t="shared" ref="M156:V156" si="209">IF(M19=0,0,M19/M46)</f>
        <v>0.71533883168498236</v>
      </c>
      <c r="N156" s="32">
        <f t="shared" si="209"/>
        <v>0.68437656152254289</v>
      </c>
      <c r="O156" s="32">
        <f t="shared" si="209"/>
        <v>0.54350425296338134</v>
      </c>
      <c r="P156" s="32">
        <f t="shared" si="209"/>
        <v>0.50168201170577797</v>
      </c>
      <c r="Q156" s="32">
        <f t="shared" si="209"/>
        <v>0.52344064351964614</v>
      </c>
      <c r="R156" s="32">
        <f t="shared" si="209"/>
        <v>0.58374941850052831</v>
      </c>
      <c r="S156" s="32">
        <f t="shared" si="209"/>
        <v>0.62991156477362342</v>
      </c>
      <c r="T156" s="32">
        <f t="shared" si="209"/>
        <v>0.63812073077964682</v>
      </c>
      <c r="U156" s="32">
        <f t="shared" si="209"/>
        <v>0.62384565876420761</v>
      </c>
      <c r="V156" s="32">
        <f t="shared" si="209"/>
        <v>0.5489681163706297</v>
      </c>
      <c r="W156" s="32">
        <f t="shared" ref="W156" si="210">IF(W19=0,0,W19/W46)</f>
        <v>0.57603617766150417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0.11443456880885794</v>
      </c>
      <c r="C157" s="141">
        <f t="shared" si="211"/>
        <v>0.11429484223323119</v>
      </c>
      <c r="D157" s="141">
        <f t="shared" si="211"/>
        <v>0.11367699618279285</v>
      </c>
      <c r="E157" s="141">
        <f t="shared" si="211"/>
        <v>0.11361198489104285</v>
      </c>
      <c r="F157" s="141">
        <f t="shared" si="211"/>
        <v>0.11525061910721821</v>
      </c>
      <c r="G157" s="141">
        <f t="shared" si="211"/>
        <v>0.11356331137857668</v>
      </c>
      <c r="H157" s="141">
        <f t="shared" si="211"/>
        <v>0.11473646658968062</v>
      </c>
      <c r="I157" s="141">
        <f t="shared" si="211"/>
        <v>0.11476735437510341</v>
      </c>
      <c r="J157" s="141">
        <f t="shared" si="211"/>
        <v>0.11348093909483828</v>
      </c>
      <c r="K157" s="141">
        <f t="shared" si="211"/>
        <v>0.11543058461365549</v>
      </c>
      <c r="L157" s="141">
        <f t="shared" ref="L157" si="212">IF(L20=0,0,L20/L47)</f>
        <v>0.11534695184663309</v>
      </c>
      <c r="M157" s="141">
        <f t="shared" ref="M157:V157" si="213">IF(M20=0,0,M20/M47)</f>
        <v>0.11505429233278128</v>
      </c>
      <c r="N157" s="141">
        <f t="shared" si="213"/>
        <v>0.11479974959061617</v>
      </c>
      <c r="O157" s="141">
        <f t="shared" si="213"/>
        <v>0.11605740128080456</v>
      </c>
      <c r="P157" s="141">
        <f t="shared" si="213"/>
        <v>0.11636898213202983</v>
      </c>
      <c r="Q157" s="141">
        <f t="shared" si="213"/>
        <v>0.11650460749364586</v>
      </c>
      <c r="R157" s="141">
        <f t="shared" si="213"/>
        <v>0.115451674908291</v>
      </c>
      <c r="S157" s="141">
        <f t="shared" si="213"/>
        <v>0.11442904251764249</v>
      </c>
      <c r="T157" s="141">
        <f t="shared" si="213"/>
        <v>0.1138044236236872</v>
      </c>
      <c r="U157" s="141">
        <f t="shared" si="213"/>
        <v>0.11481115430635058</v>
      </c>
      <c r="V157" s="141">
        <f t="shared" si="213"/>
        <v>0.11584172503741075</v>
      </c>
      <c r="W157" s="141">
        <f t="shared" ref="W157" si="214">IF(W20=0,0,W20/W47)</f>
        <v>0.11643091534726348</v>
      </c>
      <c r="DA157" s="174" t="s">
        <v>567</v>
      </c>
    </row>
    <row r="158" spans="1:105" ht="11.45" customHeight="1" x14ac:dyDescent="0.25">
      <c r="A158" s="111" t="s">
        <v>110</v>
      </c>
      <c r="B158" s="96">
        <v>9.2126372104663692E-2</v>
      </c>
      <c r="C158" s="96">
        <v>9.2033286178469245E-2</v>
      </c>
      <c r="D158" s="96">
        <v>9.1448341332950878E-2</v>
      </c>
      <c r="E158" s="96">
        <v>9.1483395796329053E-2</v>
      </c>
      <c r="F158" s="96">
        <v>9.267364362769355E-2</v>
      </c>
      <c r="G158" s="96">
        <v>9.1018327539164709E-2</v>
      </c>
      <c r="H158" s="96">
        <v>9.1958538874465853E-2</v>
      </c>
      <c r="I158" s="96">
        <v>9.1918849165044114E-2</v>
      </c>
      <c r="J158" s="96">
        <v>9.0922397250459502E-2</v>
      </c>
      <c r="K158" s="96">
        <v>9.2481700078596032E-2</v>
      </c>
      <c r="L158" s="96">
        <v>9.2379024569530843E-2</v>
      </c>
      <c r="M158" s="96">
        <v>9.2130536978594704E-2</v>
      </c>
      <c r="N158" s="96">
        <v>9.1921107440150487E-2</v>
      </c>
      <c r="O158" s="96">
        <v>9.2930399363791688E-2</v>
      </c>
      <c r="P158" s="96">
        <v>9.3170193384884512E-2</v>
      </c>
      <c r="Q158" s="96">
        <v>9.3276595744680849E-2</v>
      </c>
      <c r="R158" s="96">
        <v>9.259413059042515E-2</v>
      </c>
      <c r="S158" s="96">
        <v>9.192762128103539E-2</v>
      </c>
      <c r="T158" s="96">
        <v>9.1585725809711499E-2</v>
      </c>
      <c r="U158" s="96">
        <v>9.2224545960680207E-2</v>
      </c>
      <c r="V158" s="96">
        <v>9.2885681681938781E-2</v>
      </c>
      <c r="W158" s="96">
        <v>9.3553472137405058E-2</v>
      </c>
      <c r="DA158" s="171" t="s">
        <v>568</v>
      </c>
    </row>
    <row r="159" spans="1:105" ht="11.45" customHeight="1" x14ac:dyDescent="0.25">
      <c r="A159" s="111" t="s">
        <v>111</v>
      </c>
      <c r="B159" s="96">
        <v>0.11600177265844745</v>
      </c>
      <c r="C159" s="96">
        <v>0.11588456265439086</v>
      </c>
      <c r="D159" s="96">
        <v>0.11514802394742361</v>
      </c>
      <c r="E159" s="96">
        <v>0.11519216309888004</v>
      </c>
      <c r="F159" s="96">
        <v>0.11669087465331199</v>
      </c>
      <c r="G159" s="96">
        <v>0.11460656810576617</v>
      </c>
      <c r="H159" s="96">
        <v>0.11579044389591006</v>
      </c>
      <c r="I159" s="96">
        <v>0.11574046823156946</v>
      </c>
      <c r="J159" s="96">
        <v>0.11448577659637298</v>
      </c>
      <c r="K159" s="96">
        <v>0.11644918715995918</v>
      </c>
      <c r="L159" s="96">
        <v>0.11631990234402571</v>
      </c>
      <c r="M159" s="96">
        <v>0.11600701689794003</v>
      </c>
      <c r="N159" s="96">
        <v>0.11574331175953549</v>
      </c>
      <c r="O159" s="96">
        <v>0.11701417101077378</v>
      </c>
      <c r="P159" s="96">
        <v>0.11731610986806497</v>
      </c>
      <c r="Q159" s="96">
        <v>0.11745008738253164</v>
      </c>
      <c r="R159" s="96">
        <v>0.11635896247807173</v>
      </c>
      <c r="S159" s="96">
        <v>0.11529172300009584</v>
      </c>
      <c r="T159" s="96">
        <v>0.11463457466635121</v>
      </c>
      <c r="U159" s="96">
        <v>0.11566642675870324</v>
      </c>
      <c r="V159" s="96">
        <v>0.11673001122409732</v>
      </c>
      <c r="W159" s="96">
        <v>0.11733548973523776</v>
      </c>
      <c r="DA159" s="171" t="s">
        <v>569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</v>
      </c>
      <c r="J160" s="96">
        <v>0</v>
      </c>
      <c r="K160" s="96">
        <v>0</v>
      </c>
      <c r="L160" s="96">
        <v>0</v>
      </c>
      <c r="M160" s="96">
        <v>0</v>
      </c>
      <c r="N160" s="96">
        <v>0</v>
      </c>
      <c r="O160" s="96">
        <v>0</v>
      </c>
      <c r="P160" s="96">
        <v>0</v>
      </c>
      <c r="Q160" s="96">
        <v>0</v>
      </c>
      <c r="R160" s="96">
        <v>0</v>
      </c>
      <c r="S160" s="96">
        <v>0</v>
      </c>
      <c r="T160" s="96">
        <v>0</v>
      </c>
      <c r="U160" s="96">
        <v>0</v>
      </c>
      <c r="V160" s="96">
        <v>0</v>
      </c>
      <c r="W160" s="96">
        <v>0</v>
      </c>
      <c r="DA160" s="171" t="s">
        <v>570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</v>
      </c>
      <c r="L161" s="96">
        <v>0</v>
      </c>
      <c r="M161" s="96">
        <v>0</v>
      </c>
      <c r="N161" s="96">
        <v>0</v>
      </c>
      <c r="O161" s="96">
        <v>0</v>
      </c>
      <c r="P161" s="96">
        <v>0</v>
      </c>
      <c r="Q161" s="96">
        <v>0</v>
      </c>
      <c r="R161" s="96">
        <v>0</v>
      </c>
      <c r="S161" s="96">
        <v>0</v>
      </c>
      <c r="T161" s="96">
        <v>0</v>
      </c>
      <c r="U161" s="96">
        <v>0</v>
      </c>
      <c r="V161" s="96">
        <v>0</v>
      </c>
      <c r="W161" s="96">
        <v>0</v>
      </c>
      <c r="DA161" s="171" t="s">
        <v>571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0.12125355467305772</v>
      </c>
      <c r="J162" s="96">
        <v>0.12059504339228827</v>
      </c>
      <c r="K162" s="96">
        <v>0.11957433966143731</v>
      </c>
      <c r="L162" s="96">
        <v>0.11950762263733823</v>
      </c>
      <c r="M162" s="96">
        <v>0.11934682088911898</v>
      </c>
      <c r="N162" s="96">
        <v>0.11921158996055861</v>
      </c>
      <c r="O162" s="96">
        <v>0.11856239856306332</v>
      </c>
      <c r="P162" s="96">
        <v>0.11840999859504643</v>
      </c>
      <c r="Q162" s="96">
        <v>0.11834249741015221</v>
      </c>
      <c r="R162" s="96">
        <v>0.11841493997336242</v>
      </c>
      <c r="S162" s="96">
        <v>0.11848624933048675</v>
      </c>
      <c r="T162" s="96">
        <v>0.11852304615352224</v>
      </c>
      <c r="U162" s="96">
        <v>0.11859171945386672</v>
      </c>
      <c r="V162" s="96">
        <v>0.11912235488665857</v>
      </c>
      <c r="W162" s="96">
        <v>0.11873319323815644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8.6444701186850121</v>
      </c>
      <c r="C163" s="130">
        <f t="shared" si="215"/>
        <v>8.6219011485889503</v>
      </c>
      <c r="D163" s="130">
        <f t="shared" si="215"/>
        <v>8.6308724832214772</v>
      </c>
      <c r="E163" s="130">
        <f t="shared" si="215"/>
        <v>8.5093167701863361</v>
      </c>
      <c r="F163" s="130">
        <f t="shared" si="215"/>
        <v>8.3484848484848477</v>
      </c>
      <c r="G163" s="130">
        <f t="shared" si="215"/>
        <v>8.1301775147928996</v>
      </c>
      <c r="H163" s="130">
        <f t="shared" si="215"/>
        <v>8.2971014492753632</v>
      </c>
      <c r="I163" s="130">
        <f t="shared" si="215"/>
        <v>8.2222222222222214</v>
      </c>
      <c r="J163" s="130">
        <f t="shared" si="215"/>
        <v>8.1509433962264151</v>
      </c>
      <c r="K163" s="130">
        <f t="shared" si="215"/>
        <v>7.9327731092436977</v>
      </c>
      <c r="L163" s="130">
        <f t="shared" ref="L163" si="216">IF(L26=0,0,L26/L53)</f>
        <v>8.0150375939849621</v>
      </c>
      <c r="M163" s="130">
        <f t="shared" ref="M163:V163" si="217">IF(M26=0,0,M26/M53)</f>
        <v>8.0260869565217394</v>
      </c>
      <c r="N163" s="130">
        <f t="shared" si="217"/>
        <v>8.3018867924528301</v>
      </c>
      <c r="O163" s="130">
        <f t="shared" si="217"/>
        <v>8.1315789473684212</v>
      </c>
      <c r="P163" s="130">
        <f t="shared" si="217"/>
        <v>7.9696969696969697</v>
      </c>
      <c r="Q163" s="130">
        <f t="shared" si="217"/>
        <v>8.430769230769231</v>
      </c>
      <c r="R163" s="130">
        <f t="shared" si="217"/>
        <v>7.7727272727272725</v>
      </c>
      <c r="S163" s="130">
        <f t="shared" si="217"/>
        <v>7.7864077669902914</v>
      </c>
      <c r="T163" s="130">
        <f t="shared" si="217"/>
        <v>7.7927927927927927</v>
      </c>
      <c r="U163" s="130">
        <f t="shared" si="217"/>
        <v>7.2894736842105265</v>
      </c>
      <c r="V163" s="130">
        <f t="shared" si="217"/>
        <v>8.0963855421686741</v>
      </c>
      <c r="W163" s="130">
        <f t="shared" ref="W163" si="218">IF(W26=0,0,W26/W53)</f>
        <v>8.4698795180722897</v>
      </c>
      <c r="DA163" s="176" t="s">
        <v>573</v>
      </c>
    </row>
    <row r="164" spans="1:105" ht="11.45" customHeight="1" x14ac:dyDescent="0.25">
      <c r="A164" s="128" t="s">
        <v>27</v>
      </c>
      <c r="B164" s="97">
        <v>8.6444701186850121</v>
      </c>
      <c r="C164" s="97">
        <v>8.6219011485889503</v>
      </c>
      <c r="D164" s="97">
        <v>8.6308724832214772</v>
      </c>
      <c r="E164" s="97">
        <v>8.5093167701863361</v>
      </c>
      <c r="F164" s="97">
        <v>8.3484848484848477</v>
      </c>
      <c r="G164" s="97">
        <v>8.1301775147928996</v>
      </c>
      <c r="H164" s="97">
        <v>8.2971014492753632</v>
      </c>
      <c r="I164" s="97">
        <v>8.2222222222222214</v>
      </c>
      <c r="J164" s="97">
        <v>8.1509433962264151</v>
      </c>
      <c r="K164" s="97">
        <v>7.9327731092436977</v>
      </c>
      <c r="L164" s="97">
        <v>8.0150375939849621</v>
      </c>
      <c r="M164" s="97">
        <v>8.0260869565217394</v>
      </c>
      <c r="N164" s="97">
        <v>8.3018867924528301</v>
      </c>
      <c r="O164" s="97">
        <v>8.1315789473684212</v>
      </c>
      <c r="P164" s="97">
        <v>7.9696969696969697</v>
      </c>
      <c r="Q164" s="97">
        <v>8.430769230769231</v>
      </c>
      <c r="R164" s="97">
        <v>7.7727272727272725</v>
      </c>
      <c r="S164" s="97">
        <v>7.7864077669902914</v>
      </c>
      <c r="T164" s="97">
        <v>7.7927927927927927</v>
      </c>
      <c r="U164" s="97">
        <v>7.2894736842105265</v>
      </c>
      <c r="V164" s="97">
        <v>8.0963855421686741</v>
      </c>
      <c r="W164" s="97">
        <v>8.4698795180722897</v>
      </c>
      <c r="DA164" s="175" t="s">
        <v>574</v>
      </c>
    </row>
    <row r="165" spans="1:105" ht="11.45" customHeight="1" x14ac:dyDescent="0.25">
      <c r="A165" s="138" t="s">
        <v>116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11405.330764464994</v>
      </c>
      <c r="C167" s="54">
        <f t="shared" si="219"/>
        <v>11430.096789133913</v>
      </c>
      <c r="D167" s="54">
        <f t="shared" si="219"/>
        <v>11577.157292168478</v>
      </c>
      <c r="E167" s="54">
        <f t="shared" si="219"/>
        <v>11524.635242283137</v>
      </c>
      <c r="F167" s="54">
        <f t="shared" si="219"/>
        <v>11183.483147311938</v>
      </c>
      <c r="G167" s="54">
        <f t="shared" si="219"/>
        <v>11390.733746281017</v>
      </c>
      <c r="H167" s="54">
        <f t="shared" si="219"/>
        <v>11135.041291569793</v>
      </c>
      <c r="I167" s="54">
        <f t="shared" si="219"/>
        <v>11104.698392822471</v>
      </c>
      <c r="J167" s="54">
        <f t="shared" si="219"/>
        <v>11179.4095068923</v>
      </c>
      <c r="K167" s="54">
        <f t="shared" si="219"/>
        <v>10873.475945255726</v>
      </c>
      <c r="L167" s="54">
        <f t="shared" si="219"/>
        <v>11087.227718819207</v>
      </c>
      <c r="M167" s="54">
        <f>IF(M30=0,0,M30*1000000/M57)</f>
        <v>11075.978688337511</v>
      </c>
      <c r="N167" s="54">
        <f t="shared" ref="N167:V167" si="220">IF(N30=0,0,N30*1000000/N57)</f>
        <v>10853.086805998681</v>
      </c>
      <c r="O167" s="54">
        <f t="shared" si="220"/>
        <v>10741.683839779444</v>
      </c>
      <c r="P167" s="54">
        <f t="shared" si="220"/>
        <v>10653.192939517003</v>
      </c>
      <c r="Q167" s="54">
        <f t="shared" si="220"/>
        <v>10673.954155027406</v>
      </c>
      <c r="R167" s="54">
        <f t="shared" si="220"/>
        <v>11563.186615542136</v>
      </c>
      <c r="S167" s="54">
        <f t="shared" si="220"/>
        <v>11481.503535205042</v>
      </c>
      <c r="T167" s="54">
        <f t="shared" si="220"/>
        <v>11478.225075225135</v>
      </c>
      <c r="U167" s="54">
        <f t="shared" si="220"/>
        <v>11385.324779046075</v>
      </c>
      <c r="V167" s="54">
        <f t="shared" si="220"/>
        <v>10439.542219325638</v>
      </c>
      <c r="W167" s="54">
        <f t="shared" ref="W167:W191" si="221">IF(W30=0,0,W30*1000000/W57)</f>
        <v>10414.037134199758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10523.275275058921</v>
      </c>
      <c r="C168" s="28">
        <f t="shared" si="219"/>
        <v>10597.251327012191</v>
      </c>
      <c r="D168" s="28">
        <f t="shared" si="219"/>
        <v>10627.929308568664</v>
      </c>
      <c r="E168" s="28">
        <f t="shared" si="219"/>
        <v>10567.157762041768</v>
      </c>
      <c r="F168" s="28">
        <f t="shared" si="219"/>
        <v>10533.935189279518</v>
      </c>
      <c r="G168" s="28">
        <f t="shared" si="219"/>
        <v>10533.602007850943</v>
      </c>
      <c r="H168" s="28">
        <f t="shared" si="219"/>
        <v>10514.564252867038</v>
      </c>
      <c r="I168" s="28">
        <f t="shared" si="219"/>
        <v>10467.215562091245</v>
      </c>
      <c r="J168" s="28">
        <f t="shared" si="219"/>
        <v>10425.718101165123</v>
      </c>
      <c r="K168" s="28">
        <f t="shared" si="219"/>
        <v>10414.318432556089</v>
      </c>
      <c r="L168" s="28">
        <f t="shared" si="219"/>
        <v>10628.75016288284</v>
      </c>
      <c r="M168" s="28">
        <f t="shared" ref="M168:M192" si="222">IF(M31=0,0,M31*1000000/M58)</f>
        <v>10607.561873557359</v>
      </c>
      <c r="N168" s="28">
        <f t="shared" si="219"/>
        <v>10299.735231265729</v>
      </c>
      <c r="O168" s="28">
        <f t="shared" si="219"/>
        <v>10256.923245682281</v>
      </c>
      <c r="P168" s="28">
        <f t="shared" si="219"/>
        <v>10213.201314626347</v>
      </c>
      <c r="Q168" s="28">
        <f t="shared" si="219"/>
        <v>10263.863451154963</v>
      </c>
      <c r="R168" s="28">
        <f t="shared" si="219"/>
        <v>11186.048600847838</v>
      </c>
      <c r="S168" s="28">
        <f t="shared" si="219"/>
        <v>10964.444436236379</v>
      </c>
      <c r="T168" s="28">
        <f t="shared" si="219"/>
        <v>10889.634689112478</v>
      </c>
      <c r="U168" s="28">
        <f t="shared" si="219"/>
        <v>10898.71165775406</v>
      </c>
      <c r="V168" s="28">
        <f t="shared" si="219"/>
        <v>9939.0356551519271</v>
      </c>
      <c r="W168" s="28">
        <f t="shared" si="221"/>
        <v>9980.0852830790391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2976.6497284198445</v>
      </c>
      <c r="C169" s="137">
        <f t="shared" si="219"/>
        <v>3023.4292720488043</v>
      </c>
      <c r="D169" s="137">
        <f t="shared" si="219"/>
        <v>3086.9082834683827</v>
      </c>
      <c r="E169" s="137">
        <f t="shared" si="219"/>
        <v>3040.4589243542664</v>
      </c>
      <c r="F169" s="137">
        <f t="shared" si="219"/>
        <v>3044.8626232647225</v>
      </c>
      <c r="G169" s="137">
        <f t="shared" si="219"/>
        <v>3082.8923311083836</v>
      </c>
      <c r="H169" s="137">
        <f t="shared" si="219"/>
        <v>3083.7324707427583</v>
      </c>
      <c r="I169" s="137">
        <f t="shared" si="219"/>
        <v>3051.6893057556481</v>
      </c>
      <c r="J169" s="137">
        <f t="shared" si="219"/>
        <v>2979.9538292211446</v>
      </c>
      <c r="K169" s="137">
        <f t="shared" si="219"/>
        <v>2998.3602717263998</v>
      </c>
      <c r="L169" s="137">
        <f t="shared" si="219"/>
        <v>3118.3244530655338</v>
      </c>
      <c r="M169" s="137">
        <f t="shared" si="222"/>
        <v>3139.2106122654072</v>
      </c>
      <c r="N169" s="137">
        <f t="shared" si="219"/>
        <v>3089.093338249279</v>
      </c>
      <c r="O169" s="137">
        <f t="shared" si="219"/>
        <v>3132.6849153749577</v>
      </c>
      <c r="P169" s="137">
        <f t="shared" si="219"/>
        <v>3094.1785790255744</v>
      </c>
      <c r="Q169" s="137">
        <f t="shared" si="219"/>
        <v>3159.9598277175332</v>
      </c>
      <c r="R169" s="137">
        <f t="shared" si="219"/>
        <v>3158.8872185280329</v>
      </c>
      <c r="S169" s="137">
        <f t="shared" si="219"/>
        <v>2959.5076736448368</v>
      </c>
      <c r="T169" s="137">
        <f t="shared" si="219"/>
        <v>2789.8919468941576</v>
      </c>
      <c r="U169" s="137">
        <f t="shared" si="219"/>
        <v>2948.4733702184353</v>
      </c>
      <c r="V169" s="137">
        <f t="shared" si="219"/>
        <v>2595.710756558226</v>
      </c>
      <c r="W169" s="137">
        <f t="shared" si="221"/>
        <v>2643.1584125280742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11355.773144633076</v>
      </c>
      <c r="C170" s="110">
        <f t="shared" si="219"/>
        <v>11345.047196943366</v>
      </c>
      <c r="D170" s="110">
        <f t="shared" si="219"/>
        <v>11290.308151913361</v>
      </c>
      <c r="E170" s="110">
        <f t="shared" si="219"/>
        <v>11203.833978655759</v>
      </c>
      <c r="F170" s="110">
        <f t="shared" si="219"/>
        <v>11113.088050475562</v>
      </c>
      <c r="G170" s="110">
        <f t="shared" si="219"/>
        <v>11050.283932985418</v>
      </c>
      <c r="H170" s="110">
        <f t="shared" si="219"/>
        <v>10999.345547049143</v>
      </c>
      <c r="I170" s="110">
        <f t="shared" si="219"/>
        <v>10919.100468670969</v>
      </c>
      <c r="J170" s="110">
        <f t="shared" si="219"/>
        <v>10878.437075858012</v>
      </c>
      <c r="K170" s="110">
        <f t="shared" si="219"/>
        <v>10856.239106773262</v>
      </c>
      <c r="L170" s="110">
        <f t="shared" si="219"/>
        <v>11050.334301042882</v>
      </c>
      <c r="M170" s="110">
        <f t="shared" si="222"/>
        <v>11000.467665911754</v>
      </c>
      <c r="N170" s="110">
        <f t="shared" si="219"/>
        <v>10679.025893438898</v>
      </c>
      <c r="O170" s="110">
        <f t="shared" si="219"/>
        <v>10617.243223551544</v>
      </c>
      <c r="P170" s="110">
        <f t="shared" si="219"/>
        <v>10584.584510932997</v>
      </c>
      <c r="Q170" s="110">
        <f t="shared" si="219"/>
        <v>10588.079081029831</v>
      </c>
      <c r="R170" s="110">
        <f t="shared" si="219"/>
        <v>11563.079028150501</v>
      </c>
      <c r="S170" s="110">
        <f t="shared" si="219"/>
        <v>11315.00450212609</v>
      </c>
      <c r="T170" s="110">
        <f t="shared" si="219"/>
        <v>11223.976207976921</v>
      </c>
      <c r="U170" s="110">
        <f t="shared" si="219"/>
        <v>11206.194823983364</v>
      </c>
      <c r="V170" s="110">
        <f t="shared" si="219"/>
        <v>10257.334373004805</v>
      </c>
      <c r="W170" s="110">
        <f t="shared" si="221"/>
        <v>10288.720458754799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10608.118507910363</v>
      </c>
      <c r="C171" s="84">
        <f t="shared" si="219"/>
        <v>10596.703745284323</v>
      </c>
      <c r="D171" s="84">
        <f t="shared" si="219"/>
        <v>10596.396589100221</v>
      </c>
      <c r="E171" s="84">
        <f t="shared" si="219"/>
        <v>10577.126799284253</v>
      </c>
      <c r="F171" s="84">
        <f t="shared" si="219"/>
        <v>10578.048882903511</v>
      </c>
      <c r="G171" s="84">
        <f t="shared" si="219"/>
        <v>10572.755284758228</v>
      </c>
      <c r="H171" s="84">
        <f t="shared" si="219"/>
        <v>10571.413755718917</v>
      </c>
      <c r="I171" s="84">
        <f t="shared" si="219"/>
        <v>10555.161064638332</v>
      </c>
      <c r="J171" s="84">
        <f t="shared" si="219"/>
        <v>10563.911640946288</v>
      </c>
      <c r="K171" s="84">
        <f t="shared" si="219"/>
        <v>10575.131448947288</v>
      </c>
      <c r="L171" s="84">
        <f t="shared" si="219"/>
        <v>10816.188311805536</v>
      </c>
      <c r="M171" s="84">
        <f t="shared" si="222"/>
        <v>10813.04341275707</v>
      </c>
      <c r="N171" s="84">
        <f t="shared" si="219"/>
        <v>10575.159907951342</v>
      </c>
      <c r="O171" s="84">
        <f t="shared" si="219"/>
        <v>10576.425109506514</v>
      </c>
      <c r="P171" s="84">
        <f t="shared" si="219"/>
        <v>10586.01616851924</v>
      </c>
      <c r="Q171" s="84">
        <f t="shared" si="219"/>
        <v>10589.661540363291</v>
      </c>
      <c r="R171" s="84">
        <f t="shared" si="219"/>
        <v>11682.510915099389</v>
      </c>
      <c r="S171" s="84">
        <f t="shared" si="219"/>
        <v>11415.409889813409</v>
      </c>
      <c r="T171" s="84">
        <f t="shared" si="219"/>
        <v>11299.704432721866</v>
      </c>
      <c r="U171" s="84">
        <f t="shared" si="219"/>
        <v>11246.060795983209</v>
      </c>
      <c r="V171" s="84">
        <f t="shared" si="219"/>
        <v>10256.60946263794</v>
      </c>
      <c r="W171" s="84">
        <f t="shared" si="221"/>
        <v>10292.483992420966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17262.244774742507</v>
      </c>
      <c r="C172" s="84">
        <f t="shared" si="219"/>
        <v>16966.185652675198</v>
      </c>
      <c r="D172" s="84">
        <f t="shared" si="219"/>
        <v>16609.599912875961</v>
      </c>
      <c r="E172" s="84">
        <f t="shared" si="219"/>
        <v>16215.012615826779</v>
      </c>
      <c r="F172" s="84">
        <f t="shared" si="219"/>
        <v>15890.987816893987</v>
      </c>
      <c r="G172" s="84">
        <f t="shared" si="219"/>
        <v>15700.712073470826</v>
      </c>
      <c r="H172" s="84">
        <f t="shared" si="219"/>
        <v>15496.27402596673</v>
      </c>
      <c r="I172" s="84">
        <f t="shared" si="219"/>
        <v>14756.284774168251</v>
      </c>
      <c r="J172" s="84">
        <f t="shared" si="219"/>
        <v>14029.857211303655</v>
      </c>
      <c r="K172" s="84">
        <f t="shared" si="219"/>
        <v>13523.973127789461</v>
      </c>
      <c r="L172" s="84">
        <f t="shared" si="219"/>
        <v>13160.851101568658</v>
      </c>
      <c r="M172" s="84">
        <f t="shared" si="222"/>
        <v>12645.157042665258</v>
      </c>
      <c r="N172" s="84">
        <f t="shared" si="219"/>
        <v>11577.928125785258</v>
      </c>
      <c r="O172" s="84">
        <f t="shared" si="219"/>
        <v>10960.134387320732</v>
      </c>
      <c r="P172" s="84">
        <f t="shared" si="219"/>
        <v>10573.501896991358</v>
      </c>
      <c r="Q172" s="84">
        <f t="shared" si="219"/>
        <v>10577.142959454777</v>
      </c>
      <c r="R172" s="84">
        <f t="shared" si="219"/>
        <v>10820.067663118933</v>
      </c>
      <c r="S172" s="84">
        <f t="shared" si="219"/>
        <v>10784.138655961757</v>
      </c>
      <c r="T172" s="84">
        <f t="shared" si="219"/>
        <v>10888.328335213828</v>
      </c>
      <c r="U172" s="84">
        <f t="shared" si="219"/>
        <v>11053.370397126782</v>
      </c>
      <c r="V172" s="84">
        <f t="shared" si="219"/>
        <v>10267.965093813626</v>
      </c>
      <c r="W172" s="84">
        <f t="shared" si="221"/>
        <v>10280.31672030206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0</v>
      </c>
      <c r="C173" s="84">
        <f t="shared" si="219"/>
        <v>0</v>
      </c>
      <c r="D173" s="84">
        <f t="shared" si="219"/>
        <v>0</v>
      </c>
      <c r="E173" s="84">
        <f t="shared" si="219"/>
        <v>0</v>
      </c>
      <c r="F173" s="84">
        <f t="shared" si="219"/>
        <v>0</v>
      </c>
      <c r="G173" s="84">
        <f t="shared" si="219"/>
        <v>0</v>
      </c>
      <c r="H173" s="84">
        <f t="shared" si="219"/>
        <v>0</v>
      </c>
      <c r="I173" s="84">
        <f t="shared" si="219"/>
        <v>0</v>
      </c>
      <c r="J173" s="84">
        <f t="shared" si="219"/>
        <v>0</v>
      </c>
      <c r="K173" s="84">
        <f t="shared" si="219"/>
        <v>0</v>
      </c>
      <c r="L173" s="84">
        <f t="shared" si="219"/>
        <v>0</v>
      </c>
      <c r="M173" s="84">
        <f t="shared" si="222"/>
        <v>0</v>
      </c>
      <c r="N173" s="84">
        <f t="shared" si="219"/>
        <v>0</v>
      </c>
      <c r="O173" s="84">
        <f t="shared" si="219"/>
        <v>0</v>
      </c>
      <c r="P173" s="84">
        <f t="shared" si="219"/>
        <v>0</v>
      </c>
      <c r="Q173" s="84">
        <f t="shared" si="219"/>
        <v>0</v>
      </c>
      <c r="R173" s="84">
        <f t="shared" si="219"/>
        <v>0</v>
      </c>
      <c r="S173" s="84">
        <f t="shared" si="219"/>
        <v>0</v>
      </c>
      <c r="T173" s="84">
        <f t="shared" si="219"/>
        <v>10583.402249909035</v>
      </c>
      <c r="U173" s="84">
        <f t="shared" si="219"/>
        <v>10640.493933888711</v>
      </c>
      <c r="V173" s="84">
        <f t="shared" si="219"/>
        <v>9434.7671186676107</v>
      </c>
      <c r="W173" s="84">
        <f t="shared" si="221"/>
        <v>9729.4999617062276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0</v>
      </c>
      <c r="I174" s="84">
        <f t="shared" si="219"/>
        <v>0</v>
      </c>
      <c r="J174" s="84">
        <f t="shared" si="219"/>
        <v>0</v>
      </c>
      <c r="K174" s="84">
        <f t="shared" si="219"/>
        <v>0</v>
      </c>
      <c r="L174" s="84">
        <f t="shared" si="219"/>
        <v>0</v>
      </c>
      <c r="M174" s="84">
        <f t="shared" si="222"/>
        <v>0</v>
      </c>
      <c r="N174" s="84">
        <f t="shared" si="219"/>
        <v>0</v>
      </c>
      <c r="O174" s="84">
        <f t="shared" si="219"/>
        <v>0</v>
      </c>
      <c r="P174" s="84">
        <f t="shared" si="219"/>
        <v>0</v>
      </c>
      <c r="Q174" s="84">
        <f t="shared" si="219"/>
        <v>0</v>
      </c>
      <c r="R174" s="84">
        <f t="shared" si="219"/>
        <v>0</v>
      </c>
      <c r="S174" s="84">
        <f t="shared" si="219"/>
        <v>0</v>
      </c>
      <c r="T174" s="84">
        <f t="shared" si="219"/>
        <v>0</v>
      </c>
      <c r="U174" s="84">
        <f t="shared" si="219"/>
        <v>0</v>
      </c>
      <c r="V174" s="84">
        <f t="shared" si="219"/>
        <v>0</v>
      </c>
      <c r="W174" s="84">
        <f t="shared" si="221"/>
        <v>0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0</v>
      </c>
      <c r="O175" s="84">
        <f t="shared" si="219"/>
        <v>0</v>
      </c>
      <c r="P175" s="84">
        <f t="shared" si="219"/>
        <v>9933.8927915554032</v>
      </c>
      <c r="Q175" s="84">
        <f t="shared" si="219"/>
        <v>9937.313599960351</v>
      </c>
      <c r="R175" s="84">
        <f t="shared" si="219"/>
        <v>10464.529945173097</v>
      </c>
      <c r="S175" s="84">
        <f t="shared" si="219"/>
        <v>10712.19391807616</v>
      </c>
      <c r="T175" s="84">
        <f t="shared" si="219"/>
        <v>10603.616187998305</v>
      </c>
      <c r="U175" s="84">
        <f t="shared" si="219"/>
        <v>10553.277124858037</v>
      </c>
      <c r="V175" s="84">
        <f t="shared" si="219"/>
        <v>9646.8384290356589</v>
      </c>
      <c r="W175" s="84">
        <f t="shared" si="221"/>
        <v>9658.4428846391856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0</v>
      </c>
      <c r="K176" s="84">
        <f t="shared" si="219"/>
        <v>0</v>
      </c>
      <c r="L176" s="84">
        <f t="shared" si="219"/>
        <v>0</v>
      </c>
      <c r="M176" s="84">
        <f t="shared" si="222"/>
        <v>0</v>
      </c>
      <c r="N176" s="84">
        <f t="shared" si="219"/>
        <v>0</v>
      </c>
      <c r="O176" s="84">
        <f t="shared" si="219"/>
        <v>10816.546908254153</v>
      </c>
      <c r="P176" s="84">
        <f t="shared" si="219"/>
        <v>10824.246310905375</v>
      </c>
      <c r="Q176" s="84">
        <f t="shared" si="219"/>
        <v>10835.109197127291</v>
      </c>
      <c r="R176" s="84">
        <f t="shared" si="219"/>
        <v>10782.031262853759</v>
      </c>
      <c r="S176" s="84">
        <f t="shared" si="219"/>
        <v>10769.569728461427</v>
      </c>
      <c r="T176" s="84">
        <f t="shared" si="219"/>
        <v>10764.085312095622</v>
      </c>
      <c r="U176" s="84">
        <f t="shared" si="219"/>
        <v>10761.524489354362</v>
      </c>
      <c r="V176" s="84">
        <f t="shared" si="219"/>
        <v>10043.297850695684</v>
      </c>
      <c r="W176" s="84">
        <f t="shared" si="221"/>
        <v>10713.954236128227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45994.673842835153</v>
      </c>
      <c r="C177" s="110">
        <f t="shared" si="219"/>
        <v>46745.262476490454</v>
      </c>
      <c r="D177" s="110">
        <f t="shared" si="219"/>
        <v>48401.51460267957</v>
      </c>
      <c r="E177" s="110">
        <f t="shared" si="219"/>
        <v>47172.726233335212</v>
      </c>
      <c r="F177" s="110">
        <f t="shared" si="219"/>
        <v>46680.936292147628</v>
      </c>
      <c r="G177" s="110">
        <f t="shared" si="219"/>
        <v>47019.703548365549</v>
      </c>
      <c r="H177" s="110">
        <f t="shared" si="219"/>
        <v>47491.956409343031</v>
      </c>
      <c r="I177" s="110">
        <f t="shared" si="219"/>
        <v>46890.507354193847</v>
      </c>
      <c r="J177" s="110">
        <f t="shared" si="219"/>
        <v>45995.948721470864</v>
      </c>
      <c r="K177" s="110">
        <f t="shared" si="219"/>
        <v>43200.927805160914</v>
      </c>
      <c r="L177" s="110">
        <f t="shared" si="219"/>
        <v>43197.178959741403</v>
      </c>
      <c r="M177" s="110">
        <f t="shared" si="222"/>
        <v>43183.131138070486</v>
      </c>
      <c r="N177" s="110">
        <f t="shared" si="219"/>
        <v>42917.817916555963</v>
      </c>
      <c r="O177" s="110">
        <f t="shared" si="219"/>
        <v>42796.430020921835</v>
      </c>
      <c r="P177" s="110">
        <f t="shared" si="219"/>
        <v>43467.172414951347</v>
      </c>
      <c r="Q177" s="110">
        <f t="shared" si="219"/>
        <v>44328.305963174091</v>
      </c>
      <c r="R177" s="110">
        <f t="shared" si="219"/>
        <v>45687.577865317624</v>
      </c>
      <c r="S177" s="110">
        <f t="shared" si="219"/>
        <v>48084.987104104366</v>
      </c>
      <c r="T177" s="110">
        <f t="shared" si="219"/>
        <v>51167.707867573612</v>
      </c>
      <c r="U177" s="110">
        <f t="shared" si="219"/>
        <v>52036.563208270374</v>
      </c>
      <c r="V177" s="110">
        <f t="shared" si="219"/>
        <v>51494.256496509268</v>
      </c>
      <c r="W177" s="110">
        <f t="shared" si="221"/>
        <v>52217.337014216988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29802.034823495567</v>
      </c>
      <c r="C178" s="102">
        <f t="shared" si="219"/>
        <v>29826.16532535489</v>
      </c>
      <c r="D178" s="102">
        <f t="shared" si="219"/>
        <v>29878.135209416836</v>
      </c>
      <c r="E178" s="102">
        <f t="shared" si="219"/>
        <v>29839.743762076629</v>
      </c>
      <c r="F178" s="102">
        <f t="shared" si="219"/>
        <v>29824.111792525018</v>
      </c>
      <c r="G178" s="102">
        <f t="shared" si="219"/>
        <v>29834.896460809381</v>
      </c>
      <c r="H178" s="102">
        <f t="shared" si="219"/>
        <v>29849.80811642146</v>
      </c>
      <c r="I178" s="102">
        <f t="shared" si="219"/>
        <v>29830.792229395985</v>
      </c>
      <c r="J178" s="102">
        <f t="shared" si="219"/>
        <v>29802.076125535677</v>
      </c>
      <c r="K178" s="102">
        <f t="shared" si="219"/>
        <v>29708.805764740784</v>
      </c>
      <c r="L178" s="102">
        <f t="shared" si="219"/>
        <v>29708.676857426697</v>
      </c>
      <c r="M178" s="102">
        <f t="shared" si="222"/>
        <v>29708.193716298549</v>
      </c>
      <c r="N178" s="102">
        <f t="shared" si="219"/>
        <v>29699.040754169058</v>
      </c>
      <c r="O178" s="102">
        <f t="shared" si="219"/>
        <v>29694.835092576057</v>
      </c>
      <c r="P178" s="102">
        <f t="shared" si="219"/>
        <v>29717.933747631952</v>
      </c>
      <c r="Q178" s="102">
        <f t="shared" si="219"/>
        <v>29746.678622739717</v>
      </c>
      <c r="R178" s="102">
        <f t="shared" si="219"/>
        <v>30091.054470821113</v>
      </c>
      <c r="S178" s="102">
        <f t="shared" si="219"/>
        <v>31116.118764821356</v>
      </c>
      <c r="T178" s="102">
        <f t="shared" si="219"/>
        <v>32549.721550775113</v>
      </c>
      <c r="U178" s="102">
        <f t="shared" si="219"/>
        <v>32467.707782569996</v>
      </c>
      <c r="V178" s="102">
        <f t="shared" si="219"/>
        <v>31470.264998719151</v>
      </c>
      <c r="W178" s="102">
        <f t="shared" si="221"/>
        <v>31295.738190048676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46880.751729086565</v>
      </c>
      <c r="C179" s="102">
        <f t="shared" si="219"/>
        <v>47641.049176988861</v>
      </c>
      <c r="D179" s="102">
        <f t="shared" si="219"/>
        <v>49350.098745582531</v>
      </c>
      <c r="E179" s="102">
        <f t="shared" si="219"/>
        <v>47987.287749727489</v>
      </c>
      <c r="F179" s="102">
        <f t="shared" si="219"/>
        <v>47481.276682601216</v>
      </c>
      <c r="G179" s="102">
        <f t="shared" si="219"/>
        <v>47824.979246578398</v>
      </c>
      <c r="H179" s="102">
        <f t="shared" si="219"/>
        <v>48335.61151638905</v>
      </c>
      <c r="I179" s="102">
        <f t="shared" si="219"/>
        <v>47682.21695629826</v>
      </c>
      <c r="J179" s="102">
        <f t="shared" si="219"/>
        <v>46730.010767293585</v>
      </c>
      <c r="K179" s="102">
        <f t="shared" si="219"/>
        <v>43790.615353270165</v>
      </c>
      <c r="L179" s="102">
        <f t="shared" si="219"/>
        <v>43803.683814463409</v>
      </c>
      <c r="M179" s="102">
        <f t="shared" si="222"/>
        <v>43786.733855959865</v>
      </c>
      <c r="N179" s="102">
        <f t="shared" si="219"/>
        <v>43497.274834645512</v>
      </c>
      <c r="O179" s="102">
        <f t="shared" si="219"/>
        <v>43373.195190766754</v>
      </c>
      <c r="P179" s="102">
        <f t="shared" si="219"/>
        <v>43676.63253541851</v>
      </c>
      <c r="Q179" s="102">
        <f t="shared" si="219"/>
        <v>44517.436837615132</v>
      </c>
      <c r="R179" s="102">
        <f t="shared" si="219"/>
        <v>45884.125055548939</v>
      </c>
      <c r="S179" s="102">
        <f t="shared" si="219"/>
        <v>48302.4767971857</v>
      </c>
      <c r="T179" s="102">
        <f t="shared" si="219"/>
        <v>51414.475949602442</v>
      </c>
      <c r="U179" s="102">
        <f t="shared" si="219"/>
        <v>52298.399615289971</v>
      </c>
      <c r="V179" s="102">
        <f t="shared" si="219"/>
        <v>51831.872636208238</v>
      </c>
      <c r="W179" s="102">
        <f t="shared" si="221"/>
        <v>52547.433522840132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0</v>
      </c>
      <c r="K180" s="102">
        <f t="shared" si="223"/>
        <v>0</v>
      </c>
      <c r="L180" s="102">
        <f t="shared" si="223"/>
        <v>0</v>
      </c>
      <c r="M180" s="102">
        <f t="shared" si="222"/>
        <v>0</v>
      </c>
      <c r="N180" s="102">
        <f t="shared" si="223"/>
        <v>0</v>
      </c>
      <c r="O180" s="102">
        <f t="shared" si="223"/>
        <v>0</v>
      </c>
      <c r="P180" s="102">
        <f t="shared" si="223"/>
        <v>0</v>
      </c>
      <c r="Q180" s="102">
        <f t="shared" si="223"/>
        <v>0</v>
      </c>
      <c r="R180" s="102">
        <f t="shared" si="223"/>
        <v>0</v>
      </c>
      <c r="S180" s="102">
        <f t="shared" si="223"/>
        <v>0</v>
      </c>
      <c r="T180" s="102">
        <f t="shared" si="223"/>
        <v>0</v>
      </c>
      <c r="U180" s="102">
        <f t="shared" si="223"/>
        <v>0</v>
      </c>
      <c r="V180" s="102">
        <f t="shared" si="223"/>
        <v>0</v>
      </c>
      <c r="W180" s="102">
        <f t="shared" si="221"/>
        <v>0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0</v>
      </c>
      <c r="C181" s="102">
        <f t="shared" si="223"/>
        <v>0</v>
      </c>
      <c r="D181" s="102">
        <f t="shared" si="223"/>
        <v>0</v>
      </c>
      <c r="E181" s="102">
        <f t="shared" si="223"/>
        <v>0</v>
      </c>
      <c r="F181" s="102">
        <f t="shared" si="223"/>
        <v>0</v>
      </c>
      <c r="G181" s="102">
        <f t="shared" si="223"/>
        <v>0</v>
      </c>
      <c r="H181" s="102">
        <f t="shared" si="223"/>
        <v>0</v>
      </c>
      <c r="I181" s="102">
        <f t="shared" si="223"/>
        <v>0</v>
      </c>
      <c r="J181" s="102">
        <f t="shared" si="223"/>
        <v>0</v>
      </c>
      <c r="K181" s="102">
        <f t="shared" si="223"/>
        <v>0</v>
      </c>
      <c r="L181" s="102">
        <f t="shared" si="223"/>
        <v>0</v>
      </c>
      <c r="M181" s="102">
        <f t="shared" si="222"/>
        <v>0</v>
      </c>
      <c r="N181" s="102">
        <f t="shared" si="223"/>
        <v>0</v>
      </c>
      <c r="O181" s="102">
        <f t="shared" si="223"/>
        <v>0</v>
      </c>
      <c r="P181" s="102">
        <f t="shared" si="223"/>
        <v>0</v>
      </c>
      <c r="Q181" s="102">
        <f t="shared" si="223"/>
        <v>0</v>
      </c>
      <c r="R181" s="102">
        <f t="shared" si="223"/>
        <v>0</v>
      </c>
      <c r="S181" s="102">
        <f t="shared" si="223"/>
        <v>0</v>
      </c>
      <c r="T181" s="102">
        <f t="shared" si="223"/>
        <v>0</v>
      </c>
      <c r="U181" s="102">
        <f t="shared" si="223"/>
        <v>0</v>
      </c>
      <c r="V181" s="102">
        <f t="shared" si="223"/>
        <v>0</v>
      </c>
      <c r="W181" s="102">
        <f t="shared" si="221"/>
        <v>0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0</v>
      </c>
      <c r="C182" s="102">
        <f t="shared" si="223"/>
        <v>0</v>
      </c>
      <c r="D182" s="102">
        <f t="shared" si="223"/>
        <v>0</v>
      </c>
      <c r="E182" s="102">
        <f t="shared" si="223"/>
        <v>0</v>
      </c>
      <c r="F182" s="102">
        <f t="shared" si="223"/>
        <v>0</v>
      </c>
      <c r="G182" s="102">
        <f t="shared" si="223"/>
        <v>0</v>
      </c>
      <c r="H182" s="102">
        <f t="shared" si="223"/>
        <v>0</v>
      </c>
      <c r="I182" s="102">
        <f t="shared" si="223"/>
        <v>0</v>
      </c>
      <c r="J182" s="102">
        <f t="shared" si="223"/>
        <v>37857.323216820711</v>
      </c>
      <c r="K182" s="102">
        <f t="shared" si="223"/>
        <v>37738.842672703977</v>
      </c>
      <c r="L182" s="102">
        <f t="shared" si="223"/>
        <v>37738.678922841929</v>
      </c>
      <c r="M182" s="102">
        <f t="shared" si="222"/>
        <v>37738.065192785994</v>
      </c>
      <c r="N182" s="102">
        <f t="shared" si="223"/>
        <v>37726.438263028882</v>
      </c>
      <c r="O182" s="102">
        <f t="shared" si="223"/>
        <v>37721.095846963763</v>
      </c>
      <c r="P182" s="102">
        <f t="shared" si="223"/>
        <v>37750.437871547605</v>
      </c>
      <c r="Q182" s="102">
        <f t="shared" si="223"/>
        <v>37786.952241324994</v>
      </c>
      <c r="R182" s="102">
        <f t="shared" si="223"/>
        <v>37729.93132617126</v>
      </c>
      <c r="S182" s="102">
        <f t="shared" si="223"/>
        <v>37633.572416411989</v>
      </c>
      <c r="T182" s="102">
        <f t="shared" si="223"/>
        <v>37516.828959395192</v>
      </c>
      <c r="U182" s="102">
        <f t="shared" si="223"/>
        <v>37485.256865557218</v>
      </c>
      <c r="V182" s="102">
        <f t="shared" si="223"/>
        <v>37191.879917588383</v>
      </c>
      <c r="W182" s="102">
        <f t="shared" si="221"/>
        <v>37478.757567345398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13815.604844709453</v>
      </c>
      <c r="C183" s="28">
        <f t="shared" si="223"/>
        <v>13725.948545277175</v>
      </c>
      <c r="D183" s="28">
        <f t="shared" si="223"/>
        <v>14244.470433920229</v>
      </c>
      <c r="E183" s="28">
        <f t="shared" si="223"/>
        <v>14304.682805366683</v>
      </c>
      <c r="F183" s="28">
        <f t="shared" si="223"/>
        <v>13279.830498917525</v>
      </c>
      <c r="G183" s="28">
        <f t="shared" si="223"/>
        <v>14274.54173473535</v>
      </c>
      <c r="H183" s="28">
        <f t="shared" si="223"/>
        <v>13364.488412034805</v>
      </c>
      <c r="I183" s="28">
        <f t="shared" si="223"/>
        <v>13681.670326833906</v>
      </c>
      <c r="J183" s="28">
        <f t="shared" si="223"/>
        <v>14392.756510426585</v>
      </c>
      <c r="K183" s="28">
        <f t="shared" si="223"/>
        <v>12874.550676930741</v>
      </c>
      <c r="L183" s="28">
        <f t="shared" si="223"/>
        <v>13092.943841092847</v>
      </c>
      <c r="M183" s="28">
        <f t="shared" si="222"/>
        <v>13162.09448874551</v>
      </c>
      <c r="N183" s="28">
        <f t="shared" si="223"/>
        <v>13380.65785525683</v>
      </c>
      <c r="O183" s="28">
        <f t="shared" si="223"/>
        <v>13039.202812426969</v>
      </c>
      <c r="P183" s="28">
        <f t="shared" si="223"/>
        <v>12851.120818402353</v>
      </c>
      <c r="Q183" s="28">
        <f t="shared" si="223"/>
        <v>12765.316227518737</v>
      </c>
      <c r="R183" s="28">
        <f t="shared" si="223"/>
        <v>13514.864949218374</v>
      </c>
      <c r="S183" s="28">
        <f t="shared" si="223"/>
        <v>14209.85779892133</v>
      </c>
      <c r="T183" s="28">
        <f t="shared" si="223"/>
        <v>14626.478789827577</v>
      </c>
      <c r="U183" s="28">
        <f t="shared" si="223"/>
        <v>13997.647484965635</v>
      </c>
      <c r="V183" s="28">
        <f t="shared" si="223"/>
        <v>13107.110342851558</v>
      </c>
      <c r="W183" s="28">
        <f t="shared" si="221"/>
        <v>12749.830588032166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14361.797074596459</v>
      </c>
      <c r="C184" s="137">
        <f t="shared" si="223"/>
        <v>14429.586017549909</v>
      </c>
      <c r="D184" s="137">
        <f t="shared" si="223"/>
        <v>14920.400102377527</v>
      </c>
      <c r="E184" s="137">
        <f t="shared" si="223"/>
        <v>14868.508590489073</v>
      </c>
      <c r="F184" s="137">
        <f t="shared" si="223"/>
        <v>13969.834419708133</v>
      </c>
      <c r="G184" s="137">
        <f t="shared" si="223"/>
        <v>15370.140912565543</v>
      </c>
      <c r="H184" s="137">
        <f t="shared" si="223"/>
        <v>14600.312337064428</v>
      </c>
      <c r="I184" s="137">
        <f t="shared" si="223"/>
        <v>14648.735152811325</v>
      </c>
      <c r="J184" s="137">
        <f t="shared" si="223"/>
        <v>15459.564148181398</v>
      </c>
      <c r="K184" s="137">
        <f t="shared" si="223"/>
        <v>14200.231555618513</v>
      </c>
      <c r="L184" s="137">
        <f t="shared" si="223"/>
        <v>14288.341887216617</v>
      </c>
      <c r="M184" s="137">
        <f t="shared" si="222"/>
        <v>14485.680781096442</v>
      </c>
      <c r="N184" s="137">
        <f t="shared" si="223"/>
        <v>14652.934730642908</v>
      </c>
      <c r="O184" s="137">
        <f t="shared" si="223"/>
        <v>13873.811393826345</v>
      </c>
      <c r="P184" s="137">
        <f t="shared" si="223"/>
        <v>13698.622542768509</v>
      </c>
      <c r="Q184" s="137">
        <f t="shared" si="223"/>
        <v>13621.203046933026</v>
      </c>
      <c r="R184" s="137">
        <f t="shared" si="223"/>
        <v>14269.26532673868</v>
      </c>
      <c r="S184" s="137">
        <f t="shared" si="223"/>
        <v>14941.324479887498</v>
      </c>
      <c r="T184" s="137">
        <f t="shared" si="223"/>
        <v>15372.257127806683</v>
      </c>
      <c r="U184" s="137">
        <f t="shared" si="223"/>
        <v>14703.234130478344</v>
      </c>
      <c r="V184" s="137">
        <f t="shared" si="223"/>
        <v>14048.54173911117</v>
      </c>
      <c r="W184" s="137">
        <f t="shared" si="221"/>
        <v>13678.77490352132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10882.777592368089</v>
      </c>
      <c r="C185" s="84">
        <f t="shared" si="223"/>
        <v>10937.925288806971</v>
      </c>
      <c r="D185" s="84">
        <f t="shared" si="223"/>
        <v>11292.248735296869</v>
      </c>
      <c r="E185" s="84">
        <f t="shared" si="223"/>
        <v>11270.630578527629</v>
      </c>
      <c r="F185" s="84">
        <f t="shared" si="223"/>
        <v>10565.21666118915</v>
      </c>
      <c r="G185" s="84">
        <f t="shared" si="223"/>
        <v>11561.530898489011</v>
      </c>
      <c r="H185" s="84">
        <f t="shared" si="223"/>
        <v>10982.451367451287</v>
      </c>
      <c r="I185" s="84">
        <f t="shared" si="223"/>
        <v>11006.182457257997</v>
      </c>
      <c r="J185" s="84">
        <f t="shared" si="223"/>
        <v>11622.651363794401</v>
      </c>
      <c r="K185" s="84">
        <f t="shared" si="223"/>
        <v>10675.31198223233</v>
      </c>
      <c r="L185" s="84">
        <f t="shared" si="223"/>
        <v>10734.769869574642</v>
      </c>
      <c r="M185" s="84">
        <f t="shared" si="222"/>
        <v>10880.317968209636</v>
      </c>
      <c r="N185" s="84">
        <f t="shared" si="223"/>
        <v>11004.830549772867</v>
      </c>
      <c r="O185" s="84">
        <f t="shared" si="223"/>
        <v>10420.068694168991</v>
      </c>
      <c r="P185" s="84">
        <f t="shared" si="223"/>
        <v>10286.665435816609</v>
      </c>
      <c r="Q185" s="84">
        <f t="shared" si="223"/>
        <v>10228.128177701656</v>
      </c>
      <c r="R185" s="84">
        <f t="shared" si="223"/>
        <v>10610.657796890519</v>
      </c>
      <c r="S185" s="84">
        <f t="shared" si="223"/>
        <v>11000.932180811198</v>
      </c>
      <c r="T185" s="84">
        <f t="shared" si="223"/>
        <v>11207.80695638872</v>
      </c>
      <c r="U185" s="84">
        <f t="shared" si="223"/>
        <v>10824.976710963876</v>
      </c>
      <c r="V185" s="84">
        <f t="shared" si="223"/>
        <v>10445.175372460933</v>
      </c>
      <c r="W185" s="84">
        <f t="shared" si="221"/>
        <v>10077.668005971544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14691.749749696915</v>
      </c>
      <c r="C186" s="84">
        <f t="shared" si="223"/>
        <v>14766.199139889408</v>
      </c>
      <c r="D186" s="84">
        <f t="shared" si="223"/>
        <v>15244.535792650771</v>
      </c>
      <c r="E186" s="84">
        <f t="shared" si="223"/>
        <v>15215.351281012297</v>
      </c>
      <c r="F186" s="84">
        <f t="shared" si="223"/>
        <v>14263.042492605349</v>
      </c>
      <c r="G186" s="84">
        <f t="shared" si="223"/>
        <v>15608.066712960161</v>
      </c>
      <c r="H186" s="84">
        <f t="shared" si="223"/>
        <v>14826.309346059235</v>
      </c>
      <c r="I186" s="84">
        <f t="shared" si="223"/>
        <v>14858.346317298297</v>
      </c>
      <c r="J186" s="84">
        <f t="shared" si="223"/>
        <v>15690.57934112244</v>
      </c>
      <c r="K186" s="84">
        <f t="shared" si="223"/>
        <v>14411.671176013644</v>
      </c>
      <c r="L186" s="84">
        <f t="shared" si="223"/>
        <v>14491.939323925766</v>
      </c>
      <c r="M186" s="84">
        <f t="shared" si="222"/>
        <v>14688.429257083009</v>
      </c>
      <c r="N186" s="84">
        <f t="shared" si="223"/>
        <v>14856.52124219337</v>
      </c>
      <c r="O186" s="84">
        <f t="shared" si="223"/>
        <v>14067.092737128138</v>
      </c>
      <c r="P186" s="84">
        <f t="shared" si="223"/>
        <v>13886.998338352421</v>
      </c>
      <c r="Q186" s="84">
        <f t="shared" si="223"/>
        <v>13807.973039897235</v>
      </c>
      <c r="R186" s="84">
        <f t="shared" si="223"/>
        <v>14467.63190606022</v>
      </c>
      <c r="S186" s="84">
        <f t="shared" si="223"/>
        <v>15149.768738821425</v>
      </c>
      <c r="T186" s="84">
        <f t="shared" si="223"/>
        <v>15589.009865215241</v>
      </c>
      <c r="U186" s="84">
        <f t="shared" si="223"/>
        <v>14905.963557422951</v>
      </c>
      <c r="V186" s="84">
        <f t="shared" si="223"/>
        <v>14239.148363446377</v>
      </c>
      <c r="W186" s="84">
        <f t="shared" si="221"/>
        <v>13875.533806320831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0</v>
      </c>
      <c r="F187" s="84">
        <f t="shared" si="223"/>
        <v>0</v>
      </c>
      <c r="G187" s="84">
        <f t="shared" si="223"/>
        <v>0</v>
      </c>
      <c r="H187" s="84">
        <f t="shared" si="223"/>
        <v>0</v>
      </c>
      <c r="I187" s="84">
        <f t="shared" si="223"/>
        <v>0</v>
      </c>
      <c r="J187" s="84">
        <f t="shared" si="223"/>
        <v>0</v>
      </c>
      <c r="K187" s="84">
        <f t="shared" si="223"/>
        <v>0</v>
      </c>
      <c r="L187" s="84">
        <f t="shared" si="223"/>
        <v>0</v>
      </c>
      <c r="M187" s="84">
        <f t="shared" si="222"/>
        <v>0</v>
      </c>
      <c r="N187" s="84">
        <f t="shared" si="223"/>
        <v>0</v>
      </c>
      <c r="O187" s="84">
        <f t="shared" si="223"/>
        <v>0</v>
      </c>
      <c r="P187" s="84">
        <f t="shared" si="223"/>
        <v>0</v>
      </c>
      <c r="Q187" s="84">
        <f t="shared" si="223"/>
        <v>0</v>
      </c>
      <c r="R187" s="84">
        <f t="shared" si="223"/>
        <v>0</v>
      </c>
      <c r="S187" s="84">
        <f t="shared" si="223"/>
        <v>0</v>
      </c>
      <c r="T187" s="84">
        <f t="shared" si="223"/>
        <v>0</v>
      </c>
      <c r="U187" s="84">
        <f t="shared" si="223"/>
        <v>0</v>
      </c>
      <c r="V187" s="84">
        <f t="shared" si="223"/>
        <v>0</v>
      </c>
      <c r="W187" s="84">
        <f t="shared" si="221"/>
        <v>0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0</v>
      </c>
      <c r="L188" s="84">
        <f t="shared" si="223"/>
        <v>0</v>
      </c>
      <c r="M188" s="84">
        <f t="shared" si="222"/>
        <v>0</v>
      </c>
      <c r="N188" s="84">
        <f t="shared" si="223"/>
        <v>0</v>
      </c>
      <c r="O188" s="84">
        <f t="shared" si="223"/>
        <v>0</v>
      </c>
      <c r="P188" s="84">
        <f t="shared" si="223"/>
        <v>0</v>
      </c>
      <c r="Q188" s="84">
        <f t="shared" si="223"/>
        <v>0</v>
      </c>
      <c r="R188" s="84">
        <f t="shared" si="223"/>
        <v>0</v>
      </c>
      <c r="S188" s="84">
        <f t="shared" si="223"/>
        <v>0</v>
      </c>
      <c r="T188" s="84">
        <f t="shared" si="223"/>
        <v>0</v>
      </c>
      <c r="U188" s="84">
        <f t="shared" si="223"/>
        <v>0</v>
      </c>
      <c r="V188" s="84">
        <f t="shared" si="223"/>
        <v>0</v>
      </c>
      <c r="W188" s="84">
        <f t="shared" si="221"/>
        <v>0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7307.1880499611707</v>
      </c>
      <c r="J189" s="84">
        <f t="shared" si="223"/>
        <v>7508.883903767538</v>
      </c>
      <c r="K189" s="84">
        <f t="shared" si="223"/>
        <v>7834.8867678256292</v>
      </c>
      <c r="L189" s="84">
        <f t="shared" si="223"/>
        <v>7856.7809481917811</v>
      </c>
      <c r="M189" s="84">
        <f t="shared" si="222"/>
        <v>7909.8528745986068</v>
      </c>
      <c r="N189" s="84">
        <f t="shared" si="223"/>
        <v>7954.8185651247586</v>
      </c>
      <c r="O189" s="84">
        <f t="shared" si="223"/>
        <v>8175.0006702647124</v>
      </c>
      <c r="P189" s="84">
        <f t="shared" si="223"/>
        <v>8227.7445680471883</v>
      </c>
      <c r="Q189" s="84">
        <f t="shared" si="223"/>
        <v>8251.2364010088804</v>
      </c>
      <c r="R189" s="84">
        <f t="shared" si="223"/>
        <v>8226.0280192055252</v>
      </c>
      <c r="S189" s="84">
        <f t="shared" si="223"/>
        <v>8201.3041743753438</v>
      </c>
      <c r="T189" s="84">
        <f t="shared" si="223"/>
        <v>8188.5811376718393</v>
      </c>
      <c r="U189" s="84">
        <f t="shared" si="223"/>
        <v>8164.8996360082383</v>
      </c>
      <c r="V189" s="84">
        <f t="shared" si="223"/>
        <v>7984.6581834670314</v>
      </c>
      <c r="W189" s="84">
        <f t="shared" si="221"/>
        <v>8116.3719334650823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10093.492819212939</v>
      </c>
      <c r="C190" s="110">
        <f t="shared" si="223"/>
        <v>9282.1498580203988</v>
      </c>
      <c r="D190" s="110">
        <f t="shared" si="223"/>
        <v>9725.2137588930218</v>
      </c>
      <c r="E190" s="110">
        <f t="shared" si="223"/>
        <v>10479.041916167665</v>
      </c>
      <c r="F190" s="110">
        <f t="shared" si="223"/>
        <v>8645.5331412103751</v>
      </c>
      <c r="G190" s="110">
        <f t="shared" si="223"/>
        <v>8692.0742683742228</v>
      </c>
      <c r="H190" s="110">
        <f t="shared" si="223"/>
        <v>7163.6212624584714</v>
      </c>
      <c r="I190" s="110">
        <f t="shared" si="223"/>
        <v>8339.1243919388471</v>
      </c>
      <c r="J190" s="110">
        <f t="shared" si="223"/>
        <v>8727.6320122955312</v>
      </c>
      <c r="K190" s="110">
        <f t="shared" si="223"/>
        <v>6187.2822752560705</v>
      </c>
      <c r="L190" s="110">
        <f t="shared" si="223"/>
        <v>7000</v>
      </c>
      <c r="M190" s="110">
        <f t="shared" si="222"/>
        <v>6229.6858071505958</v>
      </c>
      <c r="N190" s="110">
        <f t="shared" si="223"/>
        <v>6191.2271479469655</v>
      </c>
      <c r="O190" s="110">
        <f t="shared" si="223"/>
        <v>6305.4841118393761</v>
      </c>
      <c r="P190" s="110">
        <f t="shared" si="223"/>
        <v>5843.8108730299273</v>
      </c>
      <c r="Q190" s="110">
        <f t="shared" si="223"/>
        <v>5747.634627288001</v>
      </c>
      <c r="R190" s="110">
        <f t="shared" si="223"/>
        <v>7460.1559850796884</v>
      </c>
      <c r="S190" s="110">
        <f t="shared" si="223"/>
        <v>8459.9589322381926</v>
      </c>
      <c r="T190" s="110">
        <f t="shared" si="223"/>
        <v>8800.4439863632761</v>
      </c>
      <c r="U190" s="110">
        <f t="shared" si="223"/>
        <v>8595.9885386819478</v>
      </c>
      <c r="V190" s="110">
        <f t="shared" si="223"/>
        <v>6046.4777445909522</v>
      </c>
      <c r="W190" s="110">
        <f t="shared" si="221"/>
        <v>5885.2726370275832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10093.492819212939</v>
      </c>
      <c r="C191" s="102">
        <f t="shared" si="223"/>
        <v>9282.1498580203988</v>
      </c>
      <c r="D191" s="102">
        <f t="shared" si="223"/>
        <v>9725.2137588930218</v>
      </c>
      <c r="E191" s="102">
        <f t="shared" si="223"/>
        <v>10479.041916167665</v>
      </c>
      <c r="F191" s="102">
        <f t="shared" si="223"/>
        <v>8645.5331412103751</v>
      </c>
      <c r="G191" s="102">
        <f t="shared" si="223"/>
        <v>8692.0742683742228</v>
      </c>
      <c r="H191" s="102">
        <f t="shared" si="223"/>
        <v>7163.6212624584714</v>
      </c>
      <c r="I191" s="102">
        <f t="shared" si="223"/>
        <v>8339.1243919388471</v>
      </c>
      <c r="J191" s="102">
        <f t="shared" si="223"/>
        <v>8727.6320122955312</v>
      </c>
      <c r="K191" s="102">
        <f t="shared" si="223"/>
        <v>6187.2822752560705</v>
      </c>
      <c r="L191" s="102">
        <f t="shared" si="223"/>
        <v>7000</v>
      </c>
      <c r="M191" s="102">
        <f t="shared" si="222"/>
        <v>6229.6858071505958</v>
      </c>
      <c r="N191" s="102">
        <f t="shared" si="223"/>
        <v>6191.2271479469655</v>
      </c>
      <c r="O191" s="102">
        <f t="shared" si="223"/>
        <v>6305.4841118393761</v>
      </c>
      <c r="P191" s="102">
        <f t="shared" si="223"/>
        <v>5843.8108730299273</v>
      </c>
      <c r="Q191" s="102">
        <f t="shared" si="223"/>
        <v>5747.634627288001</v>
      </c>
      <c r="R191" s="102">
        <f t="shared" si="223"/>
        <v>7460.1559850796884</v>
      </c>
      <c r="S191" s="102">
        <f t="shared" si="223"/>
        <v>8459.9589322381926</v>
      </c>
      <c r="T191" s="102">
        <f t="shared" si="223"/>
        <v>8800.4439863632761</v>
      </c>
      <c r="U191" s="102">
        <f t="shared" si="223"/>
        <v>8595.9885386819478</v>
      </c>
      <c r="V191" s="102">
        <f t="shared" si="223"/>
        <v>6046.4777445909522</v>
      </c>
      <c r="W191" s="102">
        <f t="shared" si="221"/>
        <v>5885.2726370275832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0</v>
      </c>
      <c r="C192" s="86">
        <f t="shared" si="223"/>
        <v>0</v>
      </c>
      <c r="D192" s="86">
        <f t="shared" si="223"/>
        <v>0</v>
      </c>
      <c r="E192" s="86">
        <f t="shared" si="223"/>
        <v>0</v>
      </c>
      <c r="F192" s="86">
        <f t="shared" si="223"/>
        <v>0</v>
      </c>
      <c r="G192" s="86">
        <f t="shared" si="223"/>
        <v>0</v>
      </c>
      <c r="H192" s="86">
        <f t="shared" si="223"/>
        <v>0</v>
      </c>
      <c r="I192" s="86">
        <f t="shared" si="223"/>
        <v>0</v>
      </c>
      <c r="J192" s="86">
        <f t="shared" si="223"/>
        <v>0</v>
      </c>
      <c r="K192" s="86">
        <f t="shared" si="223"/>
        <v>0</v>
      </c>
      <c r="L192" s="86">
        <f t="shared" si="223"/>
        <v>0</v>
      </c>
      <c r="M192" s="86">
        <f t="shared" si="222"/>
        <v>0</v>
      </c>
      <c r="N192" s="86">
        <f t="shared" si="223"/>
        <v>0</v>
      </c>
      <c r="O192" s="86">
        <f t="shared" si="223"/>
        <v>0</v>
      </c>
      <c r="P192" s="86">
        <f t="shared" si="223"/>
        <v>0</v>
      </c>
      <c r="Q192" s="86">
        <f t="shared" si="223"/>
        <v>0</v>
      </c>
      <c r="R192" s="86">
        <f t="shared" si="223"/>
        <v>0</v>
      </c>
      <c r="S192" s="86">
        <f t="shared" si="223"/>
        <v>0</v>
      </c>
      <c r="T192" s="86">
        <f t="shared" si="223"/>
        <v>0</v>
      </c>
      <c r="U192" s="86">
        <f t="shared" si="223"/>
        <v>0</v>
      </c>
      <c r="V192" s="86">
        <f t="shared" ref="V192:W192" si="224">IF(V55=0,0,V55*1000000/V82)</f>
        <v>0</v>
      </c>
      <c r="W192" s="86">
        <f t="shared" si="224"/>
        <v>0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16496.043614908565</v>
      </c>
      <c r="C195" s="28">
        <f t="shared" si="225"/>
        <v>16321.229335955522</v>
      </c>
      <c r="D195" s="28">
        <f t="shared" si="225"/>
        <v>16439.715843453552</v>
      </c>
      <c r="E195" s="28">
        <f t="shared" si="225"/>
        <v>16044.992383405523</v>
      </c>
      <c r="F195" s="28">
        <f t="shared" si="225"/>
        <v>15732.174632101198</v>
      </c>
      <c r="G195" s="28">
        <f t="shared" si="225"/>
        <v>15549.172423608428</v>
      </c>
      <c r="H195" s="28">
        <f t="shared" si="225"/>
        <v>15413.128907519143</v>
      </c>
      <c r="I195" s="28">
        <f t="shared" si="225"/>
        <v>14802.531279400686</v>
      </c>
      <c r="J195" s="28">
        <f t="shared" si="225"/>
        <v>14741.024530131843</v>
      </c>
      <c r="K195" s="28">
        <f t="shared" si="225"/>
        <v>14660.268981241452</v>
      </c>
      <c r="L195" s="28">
        <f t="shared" si="225"/>
        <v>14469.61629223019</v>
      </c>
      <c r="M195" s="28">
        <f>IF(M4=0,0,M4*1000000/M58)</f>
        <v>14425.397166658626</v>
      </c>
      <c r="N195" s="28">
        <f t="shared" ref="N195:V195" si="226">IF(N4=0,0,N4*1000000/N58)</f>
        <v>14340.907594589833</v>
      </c>
      <c r="O195" s="28">
        <f t="shared" si="226"/>
        <v>14299.526085934713</v>
      </c>
      <c r="P195" s="28">
        <f t="shared" si="226"/>
        <v>14427.575810030752</v>
      </c>
      <c r="Q195" s="28">
        <f t="shared" si="226"/>
        <v>14633.876566085206</v>
      </c>
      <c r="R195" s="28">
        <f t="shared" si="226"/>
        <v>14688.726218798669</v>
      </c>
      <c r="S195" s="28">
        <f t="shared" si="226"/>
        <v>14447.315536654816</v>
      </c>
      <c r="T195" s="28">
        <f t="shared" si="226"/>
        <v>14312.971548335123</v>
      </c>
      <c r="U195" s="28">
        <f t="shared" si="226"/>
        <v>14220.324724342043</v>
      </c>
      <c r="V195" s="28">
        <f t="shared" si="226"/>
        <v>11325.415224380538</v>
      </c>
      <c r="W195" s="28">
        <f t="shared" ref="W195" si="227">IF(W4=0,0,W4*1000000/W58)</f>
        <v>11900.695056257324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3407.9789214063644</v>
      </c>
      <c r="C196" s="137">
        <f t="shared" si="228"/>
        <v>3461.470626597466</v>
      </c>
      <c r="D196" s="137">
        <f t="shared" si="228"/>
        <v>3471.5407195243424</v>
      </c>
      <c r="E196" s="137">
        <f t="shared" si="228"/>
        <v>3427.5338379822479</v>
      </c>
      <c r="F196" s="137">
        <f t="shared" si="228"/>
        <v>3426.1529662094413</v>
      </c>
      <c r="G196" s="137">
        <f t="shared" si="228"/>
        <v>3465.8036901076271</v>
      </c>
      <c r="H196" s="137">
        <f t="shared" si="228"/>
        <v>3467.7152110907614</v>
      </c>
      <c r="I196" s="137">
        <f t="shared" si="228"/>
        <v>3437.1901521188188</v>
      </c>
      <c r="J196" s="137">
        <f t="shared" si="228"/>
        <v>3358.1591695726747</v>
      </c>
      <c r="K196" s="137">
        <f t="shared" si="228"/>
        <v>3380.5231972704996</v>
      </c>
      <c r="L196" s="137">
        <f t="shared" si="228"/>
        <v>3509.7376140889382</v>
      </c>
      <c r="M196" s="137">
        <f>IF(M5=0,0,M5*1000000/M59)</f>
        <v>3530.1502804269689</v>
      </c>
      <c r="N196" s="137">
        <f t="shared" ref="N196:V196" si="229">IF(N5=0,0,N5*1000000/N59)</f>
        <v>3452.352143619285</v>
      </c>
      <c r="O196" s="137">
        <f t="shared" si="229"/>
        <v>3499.2687454747866</v>
      </c>
      <c r="P196" s="137">
        <f t="shared" si="229"/>
        <v>3463.7609262059004</v>
      </c>
      <c r="Q196" s="137">
        <f t="shared" si="229"/>
        <v>3543.5131530091185</v>
      </c>
      <c r="R196" s="137">
        <f t="shared" si="229"/>
        <v>3545.0350300946466</v>
      </c>
      <c r="S196" s="137">
        <f t="shared" si="229"/>
        <v>3316.790830238398</v>
      </c>
      <c r="T196" s="137">
        <f t="shared" si="229"/>
        <v>3123.1093431342661</v>
      </c>
      <c r="U196" s="137">
        <f t="shared" si="229"/>
        <v>3303.3180600278279</v>
      </c>
      <c r="V196" s="137">
        <f t="shared" si="229"/>
        <v>2904.5882971205451</v>
      </c>
      <c r="W196" s="137">
        <f t="shared" ref="W196" si="230">IF(W5=0,0,W5*1000000/W59)</f>
        <v>2957.7430559927639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14606.741573033707</v>
      </c>
      <c r="C197" s="110">
        <f t="shared" si="231"/>
        <v>14282.194744866443</v>
      </c>
      <c r="D197" s="110">
        <f t="shared" si="231"/>
        <v>14254.82056310018</v>
      </c>
      <c r="E197" s="110">
        <f t="shared" si="231"/>
        <v>13718.962912519297</v>
      </c>
      <c r="F197" s="110">
        <f t="shared" si="231"/>
        <v>13705.405292669991</v>
      </c>
      <c r="G197" s="110">
        <f t="shared" si="231"/>
        <v>13516.024937066009</v>
      </c>
      <c r="H197" s="110">
        <f t="shared" si="231"/>
        <v>13406.802611645149</v>
      </c>
      <c r="I197" s="110">
        <f t="shared" si="231"/>
        <v>12897.385480950805</v>
      </c>
      <c r="J197" s="110">
        <f t="shared" si="231"/>
        <v>12964.553782605853</v>
      </c>
      <c r="K197" s="110">
        <f t="shared" si="231"/>
        <v>13029.202786512169</v>
      </c>
      <c r="L197" s="110">
        <f t="shared" si="231"/>
        <v>12752.565643291286</v>
      </c>
      <c r="M197" s="110">
        <f>IF(M6=0,0,M6*1000000/M60)</f>
        <v>12633.360364364946</v>
      </c>
      <c r="N197" s="110">
        <f t="shared" ref="N197:V197" si="232">IF(N6=0,0,N6*1000000/N60)</f>
        <v>12517.45996862215</v>
      </c>
      <c r="O197" s="110">
        <f t="shared" si="232"/>
        <v>12477.333216212079</v>
      </c>
      <c r="P197" s="110">
        <f t="shared" si="232"/>
        <v>12655.85175552944</v>
      </c>
      <c r="Q197" s="110">
        <f t="shared" si="232"/>
        <v>12708.359026995464</v>
      </c>
      <c r="R197" s="110">
        <f t="shared" si="232"/>
        <v>12738.035674276058</v>
      </c>
      <c r="S197" s="110">
        <f t="shared" si="232"/>
        <v>12458.901939786505</v>
      </c>
      <c r="T197" s="110">
        <f t="shared" si="232"/>
        <v>12334.122805743673</v>
      </c>
      <c r="U197" s="110">
        <f t="shared" si="232"/>
        <v>12274.181294410791</v>
      </c>
      <c r="V197" s="110">
        <f t="shared" si="232"/>
        <v>10446.68244198725</v>
      </c>
      <c r="W197" s="110">
        <f t="shared" ref="W197:W209" si="233">IF(W6=0,0,W6*1000000/W60)</f>
        <v>10978.426752667114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13524.319574191628</v>
      </c>
      <c r="C198" s="84">
        <f t="shared" si="231"/>
        <v>13218.727097869089</v>
      </c>
      <c r="D198" s="84">
        <f t="shared" si="231"/>
        <v>13261.048571254749</v>
      </c>
      <c r="E198" s="84">
        <f t="shared" si="231"/>
        <v>12843.577976134464</v>
      </c>
      <c r="F198" s="84">
        <f t="shared" si="231"/>
        <v>12948.111935617768</v>
      </c>
      <c r="G198" s="84">
        <f t="shared" si="231"/>
        <v>12843.130165685838</v>
      </c>
      <c r="H198" s="84">
        <f t="shared" si="231"/>
        <v>12803.29409351838</v>
      </c>
      <c r="I198" s="84">
        <f t="shared" si="231"/>
        <v>12391.689406484023</v>
      </c>
      <c r="J198" s="84">
        <f t="shared" si="231"/>
        <v>12513.17374488484</v>
      </c>
      <c r="K198" s="84">
        <f t="shared" si="231"/>
        <v>12613.544051539673</v>
      </c>
      <c r="L198" s="84">
        <f t="shared" si="231"/>
        <v>12405.240060988623</v>
      </c>
      <c r="M198" s="84">
        <f t="shared" ref="M198:M219" si="234">IF(M7=0,0,M7*1000000/M61)</f>
        <v>12342.261373336121</v>
      </c>
      <c r="N198" s="84">
        <f t="shared" si="231"/>
        <v>12323.38647296294</v>
      </c>
      <c r="O198" s="84">
        <f t="shared" si="231"/>
        <v>12358.445732748904</v>
      </c>
      <c r="P198" s="84">
        <f t="shared" si="231"/>
        <v>12582.250476224957</v>
      </c>
      <c r="Q198" s="84">
        <f t="shared" si="231"/>
        <v>12628.401457532524</v>
      </c>
      <c r="R198" s="84">
        <f t="shared" si="231"/>
        <v>12783.199103752264</v>
      </c>
      <c r="S198" s="84">
        <f t="shared" si="231"/>
        <v>12470.979700992642</v>
      </c>
      <c r="T198" s="84">
        <f t="shared" si="231"/>
        <v>12304.871569030129</v>
      </c>
      <c r="U198" s="84">
        <f t="shared" si="231"/>
        <v>12192.512058166567</v>
      </c>
      <c r="V198" s="84">
        <f t="shared" si="231"/>
        <v>10330.302195875211</v>
      </c>
      <c r="W198" s="84">
        <f t="shared" si="233"/>
        <v>10858.395208543754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23157.875363886131</v>
      </c>
      <c r="C199" s="84">
        <f t="shared" si="231"/>
        <v>22270.370326159689</v>
      </c>
      <c r="D199" s="84">
        <f t="shared" si="231"/>
        <v>21872.741133653184</v>
      </c>
      <c r="E199" s="84">
        <f t="shared" si="231"/>
        <v>20718.580017452172</v>
      </c>
      <c r="F199" s="84">
        <f t="shared" si="231"/>
        <v>20468.034971146375</v>
      </c>
      <c r="G199" s="84">
        <f t="shared" si="231"/>
        <v>20069.032368199387</v>
      </c>
      <c r="H199" s="84">
        <f t="shared" si="231"/>
        <v>19748.782098603482</v>
      </c>
      <c r="I199" s="84">
        <f t="shared" si="231"/>
        <v>18229.177034144399</v>
      </c>
      <c r="J199" s="84">
        <f t="shared" si="231"/>
        <v>17487.202769678886</v>
      </c>
      <c r="K199" s="84">
        <f t="shared" si="231"/>
        <v>16973.837226549913</v>
      </c>
      <c r="L199" s="84">
        <f t="shared" si="231"/>
        <v>15883.246972020437</v>
      </c>
      <c r="M199" s="84">
        <f t="shared" si="234"/>
        <v>15187.81855251436</v>
      </c>
      <c r="N199" s="84">
        <f t="shared" si="231"/>
        <v>14197.057939684812</v>
      </c>
      <c r="O199" s="84">
        <f t="shared" si="231"/>
        <v>13476.130739610962</v>
      </c>
      <c r="P199" s="84">
        <f t="shared" si="231"/>
        <v>13224.187586371108</v>
      </c>
      <c r="Q199" s="84">
        <f t="shared" si="231"/>
        <v>13272.69315659954</v>
      </c>
      <c r="R199" s="84">
        <f t="shared" si="231"/>
        <v>12458.269303167519</v>
      </c>
      <c r="S199" s="84">
        <f t="shared" si="231"/>
        <v>12397.065771632293</v>
      </c>
      <c r="T199" s="84">
        <f t="shared" si="231"/>
        <v>12476.580984525617</v>
      </c>
      <c r="U199" s="84">
        <f t="shared" si="231"/>
        <v>12609.90661381772</v>
      </c>
      <c r="V199" s="84">
        <f t="shared" si="231"/>
        <v>10882.231752812275</v>
      </c>
      <c r="W199" s="84">
        <f t="shared" si="233"/>
        <v>11412.382498350813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0</v>
      </c>
      <c r="C200" s="84">
        <f t="shared" si="231"/>
        <v>0</v>
      </c>
      <c r="D200" s="84">
        <f t="shared" si="231"/>
        <v>0</v>
      </c>
      <c r="E200" s="84">
        <f t="shared" si="231"/>
        <v>0</v>
      </c>
      <c r="F200" s="84">
        <f t="shared" si="231"/>
        <v>0</v>
      </c>
      <c r="G200" s="84">
        <f t="shared" si="231"/>
        <v>0</v>
      </c>
      <c r="H200" s="84">
        <f t="shared" si="231"/>
        <v>0</v>
      </c>
      <c r="I200" s="84">
        <f t="shared" si="231"/>
        <v>0</v>
      </c>
      <c r="J200" s="84">
        <f t="shared" si="231"/>
        <v>0</v>
      </c>
      <c r="K200" s="84">
        <f t="shared" si="231"/>
        <v>0</v>
      </c>
      <c r="L200" s="84">
        <f t="shared" si="231"/>
        <v>0</v>
      </c>
      <c r="M200" s="84">
        <f t="shared" si="234"/>
        <v>0</v>
      </c>
      <c r="N200" s="84">
        <f t="shared" si="231"/>
        <v>0</v>
      </c>
      <c r="O200" s="84">
        <f t="shared" si="231"/>
        <v>0</v>
      </c>
      <c r="P200" s="84">
        <f t="shared" si="231"/>
        <v>0</v>
      </c>
      <c r="Q200" s="84">
        <f t="shared" si="231"/>
        <v>0</v>
      </c>
      <c r="R200" s="84">
        <f t="shared" si="231"/>
        <v>0</v>
      </c>
      <c r="S200" s="84">
        <f t="shared" si="231"/>
        <v>0</v>
      </c>
      <c r="T200" s="84">
        <f t="shared" si="231"/>
        <v>11591.050856064916</v>
      </c>
      <c r="U200" s="84">
        <f t="shared" si="231"/>
        <v>11616.650728398778</v>
      </c>
      <c r="V200" s="84">
        <f t="shared" si="231"/>
        <v>9602.4187419587015</v>
      </c>
      <c r="W200" s="84">
        <f t="shared" si="233"/>
        <v>10357.332113906628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0</v>
      </c>
      <c r="C201" s="84">
        <f t="shared" si="231"/>
        <v>0</v>
      </c>
      <c r="D201" s="84">
        <f t="shared" si="231"/>
        <v>0</v>
      </c>
      <c r="E201" s="84">
        <f t="shared" si="231"/>
        <v>0</v>
      </c>
      <c r="F201" s="84">
        <f t="shared" si="231"/>
        <v>0</v>
      </c>
      <c r="G201" s="84">
        <f t="shared" si="231"/>
        <v>0</v>
      </c>
      <c r="H201" s="84">
        <f t="shared" si="231"/>
        <v>0</v>
      </c>
      <c r="I201" s="84">
        <f t="shared" si="231"/>
        <v>0</v>
      </c>
      <c r="J201" s="84">
        <f t="shared" si="231"/>
        <v>0</v>
      </c>
      <c r="K201" s="84">
        <f t="shared" si="231"/>
        <v>0</v>
      </c>
      <c r="L201" s="84">
        <f t="shared" si="231"/>
        <v>0</v>
      </c>
      <c r="M201" s="84">
        <f t="shared" si="234"/>
        <v>0</v>
      </c>
      <c r="N201" s="84">
        <f t="shared" si="231"/>
        <v>0</v>
      </c>
      <c r="O201" s="84">
        <f t="shared" si="231"/>
        <v>0</v>
      </c>
      <c r="P201" s="84">
        <f t="shared" si="231"/>
        <v>0</v>
      </c>
      <c r="Q201" s="84">
        <f t="shared" si="231"/>
        <v>0</v>
      </c>
      <c r="R201" s="84">
        <f t="shared" si="231"/>
        <v>0</v>
      </c>
      <c r="S201" s="84">
        <f t="shared" si="231"/>
        <v>0</v>
      </c>
      <c r="T201" s="84">
        <f t="shared" si="231"/>
        <v>0</v>
      </c>
      <c r="U201" s="84">
        <f t="shared" si="231"/>
        <v>0</v>
      </c>
      <c r="V201" s="84">
        <f t="shared" si="231"/>
        <v>0</v>
      </c>
      <c r="W201" s="84">
        <f t="shared" si="233"/>
        <v>0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0</v>
      </c>
      <c r="K202" s="84">
        <f t="shared" si="231"/>
        <v>0</v>
      </c>
      <c r="L202" s="84">
        <f t="shared" si="231"/>
        <v>0</v>
      </c>
      <c r="M202" s="84">
        <f t="shared" si="234"/>
        <v>0</v>
      </c>
      <c r="N202" s="84">
        <f t="shared" si="231"/>
        <v>0</v>
      </c>
      <c r="O202" s="84">
        <f t="shared" si="231"/>
        <v>0</v>
      </c>
      <c r="P202" s="84">
        <f t="shared" si="231"/>
        <v>11202.813622191557</v>
      </c>
      <c r="Q202" s="84">
        <f t="shared" si="231"/>
        <v>11236.279530699252</v>
      </c>
      <c r="R202" s="84">
        <f t="shared" si="231"/>
        <v>11158.627971001049</v>
      </c>
      <c r="S202" s="84">
        <f t="shared" si="231"/>
        <v>11419.102929182925</v>
      </c>
      <c r="T202" s="84">
        <f t="shared" si="231"/>
        <v>11288.221603235314</v>
      </c>
      <c r="U202" s="84">
        <f t="shared" si="231"/>
        <v>11209.796671328317</v>
      </c>
      <c r="V202" s="84">
        <f t="shared" si="231"/>
        <v>9763.0807058669852</v>
      </c>
      <c r="W202" s="84">
        <f t="shared" si="233"/>
        <v>10081.075172796156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0</v>
      </c>
      <c r="F203" s="84">
        <f t="shared" si="231"/>
        <v>0</v>
      </c>
      <c r="G203" s="84">
        <f t="shared" si="231"/>
        <v>0</v>
      </c>
      <c r="H203" s="84">
        <f t="shared" si="231"/>
        <v>0</v>
      </c>
      <c r="I203" s="84">
        <f t="shared" si="231"/>
        <v>0</v>
      </c>
      <c r="J203" s="84">
        <f t="shared" si="231"/>
        <v>0</v>
      </c>
      <c r="K203" s="84">
        <f t="shared" si="231"/>
        <v>0</v>
      </c>
      <c r="L203" s="84">
        <f t="shared" si="231"/>
        <v>0</v>
      </c>
      <c r="M203" s="84">
        <f t="shared" si="234"/>
        <v>0</v>
      </c>
      <c r="N203" s="84">
        <f t="shared" si="231"/>
        <v>0</v>
      </c>
      <c r="O203" s="84">
        <f t="shared" si="231"/>
        <v>12323.325071681291</v>
      </c>
      <c r="P203" s="84">
        <f t="shared" si="231"/>
        <v>12508.464985607125</v>
      </c>
      <c r="Q203" s="84">
        <f t="shared" si="231"/>
        <v>12560.342416004438</v>
      </c>
      <c r="R203" s="84">
        <f t="shared" si="231"/>
        <v>11653.170198338676</v>
      </c>
      <c r="S203" s="84">
        <f t="shared" si="231"/>
        <v>11635.27327840645</v>
      </c>
      <c r="T203" s="84">
        <f t="shared" si="231"/>
        <v>11610.628688230589</v>
      </c>
      <c r="U203" s="84">
        <f t="shared" si="231"/>
        <v>11577.016800299196</v>
      </c>
      <c r="V203" s="84">
        <f t="shared" si="231"/>
        <v>10190.712688802676</v>
      </c>
      <c r="W203" s="84">
        <f t="shared" si="233"/>
        <v>11285.026540249881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379789.75924042048</v>
      </c>
      <c r="C204" s="110">
        <f t="shared" si="231"/>
        <v>386280.3862803863</v>
      </c>
      <c r="D204" s="110">
        <f t="shared" si="231"/>
        <v>400400.40040040039</v>
      </c>
      <c r="E204" s="110">
        <f t="shared" si="231"/>
        <v>390839.69465648854</v>
      </c>
      <c r="F204" s="110">
        <f t="shared" si="231"/>
        <v>387621.13160362613</v>
      </c>
      <c r="G204" s="110">
        <f t="shared" si="231"/>
        <v>391669.257071806</v>
      </c>
      <c r="H204" s="110">
        <f t="shared" si="231"/>
        <v>397392.11425023276</v>
      </c>
      <c r="I204" s="110">
        <f t="shared" si="231"/>
        <v>394896.7193195626</v>
      </c>
      <c r="J204" s="110">
        <f t="shared" si="231"/>
        <v>390946.50205761316</v>
      </c>
      <c r="K204" s="110">
        <f t="shared" si="231"/>
        <v>372052.22446263675</v>
      </c>
      <c r="L204" s="110">
        <f t="shared" si="231"/>
        <v>379077.28474875109</v>
      </c>
      <c r="M204" s="110">
        <f t="shared" si="234"/>
        <v>382739.0447900148</v>
      </c>
      <c r="N204" s="110">
        <f t="shared" si="231"/>
        <v>383805.24906451436</v>
      </c>
      <c r="O204" s="110">
        <f t="shared" si="231"/>
        <v>385123.54106118006</v>
      </c>
      <c r="P204" s="110">
        <f t="shared" si="231"/>
        <v>392877.70631744544</v>
      </c>
      <c r="Q204" s="110">
        <f t="shared" si="231"/>
        <v>401892.18509420956</v>
      </c>
      <c r="R204" s="110">
        <f t="shared" si="231"/>
        <v>414060.79311256733</v>
      </c>
      <c r="S204" s="110">
        <f t="shared" si="231"/>
        <v>435629.53180543805</v>
      </c>
      <c r="T204" s="110">
        <f t="shared" si="231"/>
        <v>463412.59037893999</v>
      </c>
      <c r="U204" s="110">
        <f t="shared" si="231"/>
        <v>471245.50784555345</v>
      </c>
      <c r="V204" s="110">
        <f t="shared" si="231"/>
        <v>325901.79742046515</v>
      </c>
      <c r="W204" s="110">
        <f t="shared" si="233"/>
        <v>336969.66738196992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188276.93996710985</v>
      </c>
      <c r="C205" s="102">
        <f t="shared" si="231"/>
        <v>188436.57263191987</v>
      </c>
      <c r="D205" s="102">
        <f t="shared" si="231"/>
        <v>188775.20266027929</v>
      </c>
      <c r="E205" s="102">
        <f t="shared" si="231"/>
        <v>188547.34397640935</v>
      </c>
      <c r="F205" s="102">
        <f t="shared" si="231"/>
        <v>188469.60656269736</v>
      </c>
      <c r="G205" s="102">
        <f t="shared" si="231"/>
        <v>188567.90165712193</v>
      </c>
      <c r="H205" s="102">
        <f t="shared" si="231"/>
        <v>188705.39720629223</v>
      </c>
      <c r="I205" s="102">
        <f t="shared" si="231"/>
        <v>188647.26508617145</v>
      </c>
      <c r="J205" s="102">
        <f t="shared" si="231"/>
        <v>188554.96814589025</v>
      </c>
      <c r="K205" s="102">
        <f t="shared" si="231"/>
        <v>188093.45948708561</v>
      </c>
      <c r="L205" s="102">
        <f t="shared" si="231"/>
        <v>188279.32256425681</v>
      </c>
      <c r="M205" s="102">
        <f t="shared" si="234"/>
        <v>188376.41247605195</v>
      </c>
      <c r="N205" s="102">
        <f t="shared" si="231"/>
        <v>188409.3381504397</v>
      </c>
      <c r="O205" s="102">
        <f t="shared" si="231"/>
        <v>188446.80892150075</v>
      </c>
      <c r="P205" s="102">
        <f t="shared" si="231"/>
        <v>188638.57623571935</v>
      </c>
      <c r="Q205" s="102">
        <f t="shared" si="231"/>
        <v>188852.81335780228</v>
      </c>
      <c r="R205" s="102">
        <f t="shared" si="231"/>
        <v>191035.22897794575</v>
      </c>
      <c r="S205" s="102">
        <f t="shared" si="231"/>
        <v>197538.97419654531</v>
      </c>
      <c r="T205" s="102">
        <f t="shared" si="231"/>
        <v>206636.57323335635</v>
      </c>
      <c r="U205" s="102">
        <f t="shared" si="231"/>
        <v>206115.05645654938</v>
      </c>
      <c r="V205" s="102">
        <f t="shared" si="231"/>
        <v>167009.74499056776</v>
      </c>
      <c r="W205" s="102">
        <f t="shared" si="233"/>
        <v>195542.0486052327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390269.53797747928</v>
      </c>
      <c r="C206" s="102">
        <f t="shared" si="231"/>
        <v>396755.28665237734</v>
      </c>
      <c r="D206" s="102">
        <f t="shared" si="231"/>
        <v>411237.74830291094</v>
      </c>
      <c r="E206" s="102">
        <f t="shared" si="231"/>
        <v>400346.40039497049</v>
      </c>
      <c r="F206" s="102">
        <f t="shared" si="231"/>
        <v>397076.59038913198</v>
      </c>
      <c r="G206" s="102">
        <f t="shared" si="231"/>
        <v>401186.5350346159</v>
      </c>
      <c r="H206" s="102">
        <f t="shared" si="231"/>
        <v>407371.60267100681</v>
      </c>
      <c r="I206" s="102">
        <f t="shared" si="231"/>
        <v>404468.37231322919</v>
      </c>
      <c r="J206" s="102">
        <f t="shared" si="231"/>
        <v>400110.10417979769</v>
      </c>
      <c r="K206" s="102">
        <f t="shared" si="231"/>
        <v>380083.26497077668</v>
      </c>
      <c r="L206" s="102">
        <f t="shared" si="231"/>
        <v>387646.57414177008</v>
      </c>
      <c r="M206" s="102">
        <f t="shared" si="234"/>
        <v>391435.40634541353</v>
      </c>
      <c r="N206" s="102">
        <f t="shared" si="231"/>
        <v>392360.85062491469</v>
      </c>
      <c r="O206" s="102">
        <f t="shared" si="231"/>
        <v>393771.73254352936</v>
      </c>
      <c r="P206" s="102">
        <f t="shared" si="231"/>
        <v>395978.98694998038</v>
      </c>
      <c r="Q206" s="102">
        <f t="shared" si="231"/>
        <v>404644.80963265116</v>
      </c>
      <c r="R206" s="102">
        <f t="shared" si="231"/>
        <v>416859.32298398169</v>
      </c>
      <c r="S206" s="102">
        <f t="shared" si="231"/>
        <v>438665.96941080567</v>
      </c>
      <c r="T206" s="102">
        <f t="shared" si="231"/>
        <v>466796.57222727907</v>
      </c>
      <c r="U206" s="102">
        <f t="shared" si="231"/>
        <v>474773.22561451665</v>
      </c>
      <c r="V206" s="102">
        <f t="shared" si="231"/>
        <v>328572.00321700249</v>
      </c>
      <c r="W206" s="102">
        <f t="shared" si="233"/>
        <v>339199.42471040459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0</v>
      </c>
      <c r="C207" s="102">
        <f t="shared" si="231"/>
        <v>0</v>
      </c>
      <c r="D207" s="102">
        <f t="shared" si="231"/>
        <v>0</v>
      </c>
      <c r="E207" s="102">
        <f t="shared" si="231"/>
        <v>0</v>
      </c>
      <c r="F207" s="102">
        <f t="shared" si="231"/>
        <v>0</v>
      </c>
      <c r="G207" s="102">
        <f t="shared" si="231"/>
        <v>0</v>
      </c>
      <c r="H207" s="102">
        <f t="shared" si="231"/>
        <v>0</v>
      </c>
      <c r="I207" s="102">
        <f t="shared" si="231"/>
        <v>0</v>
      </c>
      <c r="J207" s="102">
        <f t="shared" si="231"/>
        <v>0</v>
      </c>
      <c r="K207" s="102">
        <f t="shared" si="231"/>
        <v>0</v>
      </c>
      <c r="L207" s="102">
        <f t="shared" si="231"/>
        <v>0</v>
      </c>
      <c r="M207" s="102">
        <f t="shared" si="234"/>
        <v>0</v>
      </c>
      <c r="N207" s="102">
        <f t="shared" si="231"/>
        <v>0</v>
      </c>
      <c r="O207" s="102">
        <f t="shared" si="231"/>
        <v>0</v>
      </c>
      <c r="P207" s="102">
        <f t="shared" si="231"/>
        <v>0</v>
      </c>
      <c r="Q207" s="102">
        <f t="shared" si="231"/>
        <v>0</v>
      </c>
      <c r="R207" s="102">
        <f t="shared" si="231"/>
        <v>0</v>
      </c>
      <c r="S207" s="102">
        <f t="shared" si="231"/>
        <v>0</v>
      </c>
      <c r="T207" s="102">
        <f t="shared" si="231"/>
        <v>0</v>
      </c>
      <c r="U207" s="102">
        <f t="shared" si="231"/>
        <v>0</v>
      </c>
      <c r="V207" s="102">
        <f t="shared" si="231"/>
        <v>0</v>
      </c>
      <c r="W207" s="102">
        <f t="shared" si="233"/>
        <v>0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0</v>
      </c>
      <c r="C208" s="102">
        <f t="shared" si="231"/>
        <v>0</v>
      </c>
      <c r="D208" s="102">
        <f t="shared" si="231"/>
        <v>0</v>
      </c>
      <c r="E208" s="102">
        <f t="shared" si="231"/>
        <v>0</v>
      </c>
      <c r="F208" s="102">
        <f t="shared" si="231"/>
        <v>0</v>
      </c>
      <c r="G208" s="102">
        <f t="shared" si="231"/>
        <v>0</v>
      </c>
      <c r="H208" s="102">
        <f t="shared" si="231"/>
        <v>0</v>
      </c>
      <c r="I208" s="102">
        <f t="shared" si="231"/>
        <v>0</v>
      </c>
      <c r="J208" s="102">
        <f t="shared" si="231"/>
        <v>0</v>
      </c>
      <c r="K208" s="102">
        <f t="shared" si="231"/>
        <v>0</v>
      </c>
      <c r="L208" s="102">
        <f t="shared" si="231"/>
        <v>0</v>
      </c>
      <c r="M208" s="102">
        <f t="shared" si="234"/>
        <v>0</v>
      </c>
      <c r="N208" s="102">
        <f t="shared" si="231"/>
        <v>0</v>
      </c>
      <c r="O208" s="102">
        <f t="shared" si="231"/>
        <v>0</v>
      </c>
      <c r="P208" s="102">
        <f t="shared" si="231"/>
        <v>0</v>
      </c>
      <c r="Q208" s="102">
        <f t="shared" si="231"/>
        <v>0</v>
      </c>
      <c r="R208" s="102">
        <f t="shared" si="231"/>
        <v>0</v>
      </c>
      <c r="S208" s="102">
        <f t="shared" si="231"/>
        <v>0</v>
      </c>
      <c r="T208" s="102">
        <f t="shared" si="231"/>
        <v>0</v>
      </c>
      <c r="U208" s="102">
        <f t="shared" si="231"/>
        <v>0</v>
      </c>
      <c r="V208" s="102">
        <f t="shared" si="231"/>
        <v>0</v>
      </c>
      <c r="W208" s="102">
        <f t="shared" si="233"/>
        <v>0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0</v>
      </c>
      <c r="C209" s="102">
        <f t="shared" si="231"/>
        <v>0</v>
      </c>
      <c r="D209" s="102">
        <f t="shared" si="231"/>
        <v>0</v>
      </c>
      <c r="E209" s="102">
        <f t="shared" si="231"/>
        <v>0</v>
      </c>
      <c r="F209" s="102">
        <f t="shared" si="231"/>
        <v>0</v>
      </c>
      <c r="G209" s="102">
        <f t="shared" si="231"/>
        <v>0</v>
      </c>
      <c r="H209" s="102">
        <f t="shared" si="231"/>
        <v>0</v>
      </c>
      <c r="I209" s="102">
        <f t="shared" si="231"/>
        <v>0</v>
      </c>
      <c r="J209" s="102">
        <f t="shared" si="231"/>
        <v>324140.68149224337</v>
      </c>
      <c r="K209" s="102">
        <f t="shared" si="231"/>
        <v>327556.54204773885</v>
      </c>
      <c r="L209" s="102">
        <f t="shared" si="231"/>
        <v>333973.50001520885</v>
      </c>
      <c r="M209" s="102">
        <f t="shared" si="234"/>
        <v>337362.79422031518</v>
      </c>
      <c r="N209" s="102">
        <f t="shared" si="231"/>
        <v>340305.85741753812</v>
      </c>
      <c r="O209" s="102">
        <f t="shared" si="231"/>
        <v>342458.08268839389</v>
      </c>
      <c r="P209" s="102">
        <f t="shared" si="231"/>
        <v>342251.20568009821</v>
      </c>
      <c r="Q209" s="102">
        <f t="shared" si="231"/>
        <v>343467.53053332696</v>
      </c>
      <c r="R209" s="102">
        <f t="shared" si="231"/>
        <v>342778.10920048953</v>
      </c>
      <c r="S209" s="102">
        <f t="shared" si="231"/>
        <v>341774.76231196034</v>
      </c>
      <c r="T209" s="102">
        <f t="shared" si="231"/>
        <v>340618.60664006637</v>
      </c>
      <c r="U209" s="102">
        <f t="shared" si="231"/>
        <v>340297.14954883954</v>
      </c>
      <c r="V209" s="102">
        <f t="shared" si="231"/>
        <v>235766.33191893477</v>
      </c>
      <c r="W209" s="102">
        <f t="shared" si="233"/>
        <v>241929.47501762543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12598.467777318456</v>
      </c>
      <c r="C210" s="28">
        <f t="shared" si="231"/>
        <v>12363.58898194231</v>
      </c>
      <c r="D210" s="28">
        <f t="shared" si="231"/>
        <v>12396.225629143824</v>
      </c>
      <c r="E210" s="28">
        <f t="shared" si="231"/>
        <v>12926.054316892698</v>
      </c>
      <c r="F210" s="28">
        <f t="shared" ref="B210:V219" si="235">IF(F19=0,0,F19*1000000/F73)</f>
        <v>10755.186084531138</v>
      </c>
      <c r="G210" s="28">
        <f t="shared" si="235"/>
        <v>13052.883793565466</v>
      </c>
      <c r="H210" s="28">
        <f t="shared" si="235"/>
        <v>11274.052784410989</v>
      </c>
      <c r="I210" s="28">
        <f t="shared" si="235"/>
        <v>11932.553232969076</v>
      </c>
      <c r="J210" s="28">
        <f t="shared" si="235"/>
        <v>12749.642234139334</v>
      </c>
      <c r="K210" s="28">
        <f t="shared" si="235"/>
        <v>9488.2481471343417</v>
      </c>
      <c r="L210" s="28">
        <f t="shared" si="235"/>
        <v>10579.910430436636</v>
      </c>
      <c r="M210" s="28">
        <f t="shared" si="234"/>
        <v>9415.3572941065595</v>
      </c>
      <c r="N210" s="28">
        <f t="shared" si="235"/>
        <v>9157.408613890273</v>
      </c>
      <c r="O210" s="28">
        <f t="shared" si="235"/>
        <v>7086.8621838061399</v>
      </c>
      <c r="P210" s="28">
        <f t="shared" si="235"/>
        <v>6447.1761448500956</v>
      </c>
      <c r="Q210" s="28">
        <f t="shared" si="235"/>
        <v>6681.885340864188</v>
      </c>
      <c r="R210" s="28">
        <f t="shared" si="235"/>
        <v>7889.2945552193987</v>
      </c>
      <c r="S210" s="28">
        <f t="shared" si="235"/>
        <v>8950.9537613292123</v>
      </c>
      <c r="T210" s="28">
        <f t="shared" si="235"/>
        <v>9333.4593340977754</v>
      </c>
      <c r="U210" s="28">
        <f t="shared" si="235"/>
        <v>8732.3716164075413</v>
      </c>
      <c r="V210" s="28">
        <f t="shared" si="235"/>
        <v>7195.3856759772179</v>
      </c>
      <c r="W210" s="28">
        <f t="shared" ref="W210" si="236">IF(W19=0,0,W19*1000000/W73)</f>
        <v>7344.3636777617767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1643.4860555517635</v>
      </c>
      <c r="C211" s="137">
        <f t="shared" si="235"/>
        <v>1649.2272573667053</v>
      </c>
      <c r="D211" s="137">
        <f t="shared" si="235"/>
        <v>1696.1062654837121</v>
      </c>
      <c r="E211" s="137">
        <f t="shared" si="235"/>
        <v>1689.2407733349853</v>
      </c>
      <c r="F211" s="137">
        <f t="shared" si="235"/>
        <v>1610.0320656966887</v>
      </c>
      <c r="G211" s="137">
        <f t="shared" si="235"/>
        <v>1745.4840983862816</v>
      </c>
      <c r="H211" s="137">
        <f t="shared" si="235"/>
        <v>1675.1882486604948</v>
      </c>
      <c r="I211" s="137">
        <f t="shared" si="235"/>
        <v>1681.1965784297317</v>
      </c>
      <c r="J211" s="137">
        <f t="shared" si="235"/>
        <v>1754.3658575325189</v>
      </c>
      <c r="K211" s="137">
        <f t="shared" si="235"/>
        <v>1639.1410301143235</v>
      </c>
      <c r="L211" s="137">
        <f t="shared" si="235"/>
        <v>1648.1166836330058</v>
      </c>
      <c r="M211" s="137">
        <f t="shared" si="234"/>
        <v>1666.6397512276217</v>
      </c>
      <c r="N211" s="137">
        <f t="shared" si="235"/>
        <v>1682.1532378454485</v>
      </c>
      <c r="O211" s="137">
        <f t="shared" si="235"/>
        <v>1610.1584962275026</v>
      </c>
      <c r="P211" s="137">
        <f t="shared" si="235"/>
        <v>1594.0947619128499</v>
      </c>
      <c r="Q211" s="137">
        <f t="shared" si="235"/>
        <v>1586.9329145741854</v>
      </c>
      <c r="R211" s="137">
        <f t="shared" si="235"/>
        <v>1647.410581682783</v>
      </c>
      <c r="S211" s="137">
        <f t="shared" si="235"/>
        <v>1709.7214541789392</v>
      </c>
      <c r="T211" s="137">
        <f t="shared" si="235"/>
        <v>1749.4308622251565</v>
      </c>
      <c r="U211" s="137">
        <f t="shared" si="235"/>
        <v>1688.0952825567497</v>
      </c>
      <c r="V211" s="137">
        <f t="shared" si="235"/>
        <v>1627.4073093187046</v>
      </c>
      <c r="W211" s="137">
        <f t="shared" ref="W211" si="237">IF(W20=0,0,W20*1000000/W74)</f>
        <v>1592.632282846163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1002.5908180067987</v>
      </c>
      <c r="C212" s="84">
        <f t="shared" si="235"/>
        <v>1006.6532083034879</v>
      </c>
      <c r="D212" s="84">
        <f t="shared" si="235"/>
        <v>1032.6574167620111</v>
      </c>
      <c r="E212" s="84">
        <f t="shared" si="235"/>
        <v>1031.0755580896521</v>
      </c>
      <c r="F212" s="84">
        <f t="shared" si="235"/>
        <v>979.11712370841371</v>
      </c>
      <c r="G212" s="84">
        <f t="shared" si="235"/>
        <v>1052.3112061728461</v>
      </c>
      <c r="H212" s="84">
        <f t="shared" si="235"/>
        <v>1009.9301810106998</v>
      </c>
      <c r="I212" s="84">
        <f t="shared" si="235"/>
        <v>1011.6756251716524</v>
      </c>
      <c r="J212" s="84">
        <f t="shared" si="235"/>
        <v>1056.7593244025095</v>
      </c>
      <c r="K212" s="84">
        <f t="shared" si="235"/>
        <v>987.27100098625272</v>
      </c>
      <c r="L212" s="84">
        <f t="shared" si="235"/>
        <v>991.66756952969513</v>
      </c>
      <c r="M212" s="84">
        <f t="shared" si="234"/>
        <v>1002.4095369090062</v>
      </c>
      <c r="N212" s="84">
        <f t="shared" si="235"/>
        <v>1011.5762113263221</v>
      </c>
      <c r="O212" s="84">
        <f t="shared" si="235"/>
        <v>968.34114514726764</v>
      </c>
      <c r="P212" s="84">
        <f t="shared" si="235"/>
        <v>958.41060794064094</v>
      </c>
      <c r="Q212" s="84">
        <f t="shared" si="235"/>
        <v>954.04497725625652</v>
      </c>
      <c r="R212" s="84">
        <f t="shared" si="235"/>
        <v>982.4846336955934</v>
      </c>
      <c r="S212" s="84">
        <f t="shared" si="235"/>
        <v>1011.2895272559665</v>
      </c>
      <c r="T212" s="84">
        <f t="shared" si="235"/>
        <v>1026.4751348359946</v>
      </c>
      <c r="U212" s="84">
        <f t="shared" si="235"/>
        <v>998.32856220358076</v>
      </c>
      <c r="V212" s="84">
        <f t="shared" si="235"/>
        <v>970.20723475843272</v>
      </c>
      <c r="W212" s="84">
        <f t="shared" ref="W212" si="238">IF(W21=0,0,W21*1000000/W75)</f>
        <v>942.80083300667707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1704.2690144191438</v>
      </c>
      <c r="C213" s="84">
        <f t="shared" si="235"/>
        <v>1711.1745293937265</v>
      </c>
      <c r="D213" s="84">
        <f t="shared" si="235"/>
        <v>1755.3781725195072</v>
      </c>
      <c r="E213" s="84">
        <f t="shared" si="235"/>
        <v>1752.6892263691218</v>
      </c>
      <c r="F213" s="84">
        <f t="shared" si="235"/>
        <v>1664.3669036794736</v>
      </c>
      <c r="G213" s="84">
        <f t="shared" si="235"/>
        <v>1788.7869607382104</v>
      </c>
      <c r="H213" s="84">
        <f t="shared" si="235"/>
        <v>1716.744940518279</v>
      </c>
      <c r="I213" s="84">
        <f t="shared" si="235"/>
        <v>1719.7119599109205</v>
      </c>
      <c r="J213" s="84">
        <f t="shared" si="235"/>
        <v>1796.3481611154091</v>
      </c>
      <c r="K213" s="84">
        <f t="shared" si="235"/>
        <v>1678.2273940634018</v>
      </c>
      <c r="L213" s="84">
        <f t="shared" si="235"/>
        <v>1685.7009669345912</v>
      </c>
      <c r="M213" s="84">
        <f t="shared" si="234"/>
        <v>1703.9608610306257</v>
      </c>
      <c r="N213" s="84">
        <f t="shared" si="235"/>
        <v>1719.5429697973489</v>
      </c>
      <c r="O213" s="84">
        <f t="shared" si="235"/>
        <v>1646.0491951667257</v>
      </c>
      <c r="P213" s="84">
        <f t="shared" si="235"/>
        <v>1629.1686227997884</v>
      </c>
      <c r="Q213" s="84">
        <f t="shared" si="235"/>
        <v>1621.7476401115709</v>
      </c>
      <c r="R213" s="84">
        <f t="shared" si="235"/>
        <v>1683.4386381038144</v>
      </c>
      <c r="S213" s="84">
        <f t="shared" si="235"/>
        <v>1746.6429409517109</v>
      </c>
      <c r="T213" s="84">
        <f t="shared" si="235"/>
        <v>1787.0395153685024</v>
      </c>
      <c r="U213" s="84">
        <f t="shared" si="235"/>
        <v>1724.1195420825609</v>
      </c>
      <c r="V213" s="84">
        <f t="shared" si="235"/>
        <v>1662.1359482866824</v>
      </c>
      <c r="W213" s="84">
        <f t="shared" ref="W213" si="239">IF(W22=0,0,W22*1000000/W76)</f>
        <v>1628.092554502502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0</v>
      </c>
      <c r="C214" s="84">
        <f t="shared" si="235"/>
        <v>0</v>
      </c>
      <c r="D214" s="84">
        <f t="shared" si="235"/>
        <v>0</v>
      </c>
      <c r="E214" s="84">
        <f t="shared" si="235"/>
        <v>0</v>
      </c>
      <c r="F214" s="84">
        <f t="shared" si="235"/>
        <v>0</v>
      </c>
      <c r="G214" s="84">
        <f t="shared" si="235"/>
        <v>0</v>
      </c>
      <c r="H214" s="84">
        <f t="shared" si="235"/>
        <v>0</v>
      </c>
      <c r="I214" s="84">
        <f t="shared" si="235"/>
        <v>0</v>
      </c>
      <c r="J214" s="84">
        <f t="shared" si="235"/>
        <v>0</v>
      </c>
      <c r="K214" s="84">
        <f t="shared" si="235"/>
        <v>0</v>
      </c>
      <c r="L214" s="84">
        <f t="shared" si="235"/>
        <v>0</v>
      </c>
      <c r="M214" s="84">
        <f t="shared" si="234"/>
        <v>0</v>
      </c>
      <c r="N214" s="84">
        <f t="shared" si="235"/>
        <v>0</v>
      </c>
      <c r="O214" s="84">
        <f t="shared" si="235"/>
        <v>0</v>
      </c>
      <c r="P214" s="84">
        <f t="shared" si="235"/>
        <v>0</v>
      </c>
      <c r="Q214" s="84">
        <f t="shared" si="235"/>
        <v>0</v>
      </c>
      <c r="R214" s="84">
        <f t="shared" si="235"/>
        <v>0</v>
      </c>
      <c r="S214" s="84">
        <f t="shared" si="235"/>
        <v>0</v>
      </c>
      <c r="T214" s="84">
        <f t="shared" si="235"/>
        <v>0</v>
      </c>
      <c r="U214" s="84">
        <f t="shared" si="235"/>
        <v>0</v>
      </c>
      <c r="V214" s="84">
        <f t="shared" si="235"/>
        <v>0</v>
      </c>
      <c r="W214" s="84">
        <f t="shared" ref="W214" si="240">IF(W23=0,0,W23*1000000/W77)</f>
        <v>0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0</v>
      </c>
      <c r="C215" s="84">
        <f t="shared" si="235"/>
        <v>0</v>
      </c>
      <c r="D215" s="84">
        <f t="shared" si="235"/>
        <v>0</v>
      </c>
      <c r="E215" s="84">
        <f t="shared" si="235"/>
        <v>0</v>
      </c>
      <c r="F215" s="84">
        <f t="shared" si="235"/>
        <v>0</v>
      </c>
      <c r="G215" s="84">
        <f t="shared" si="235"/>
        <v>0</v>
      </c>
      <c r="H215" s="84">
        <f t="shared" si="235"/>
        <v>0</v>
      </c>
      <c r="I215" s="84">
        <f t="shared" si="235"/>
        <v>0</v>
      </c>
      <c r="J215" s="84">
        <f t="shared" si="235"/>
        <v>0</v>
      </c>
      <c r="K215" s="84">
        <f t="shared" si="235"/>
        <v>0</v>
      </c>
      <c r="L215" s="84">
        <f t="shared" si="235"/>
        <v>0</v>
      </c>
      <c r="M215" s="84">
        <f t="shared" si="234"/>
        <v>0</v>
      </c>
      <c r="N215" s="84">
        <f t="shared" si="235"/>
        <v>0</v>
      </c>
      <c r="O215" s="84">
        <f t="shared" si="235"/>
        <v>0</v>
      </c>
      <c r="P215" s="84">
        <f t="shared" si="235"/>
        <v>0</v>
      </c>
      <c r="Q215" s="84">
        <f t="shared" si="235"/>
        <v>0</v>
      </c>
      <c r="R215" s="84">
        <f t="shared" si="235"/>
        <v>0</v>
      </c>
      <c r="S215" s="84">
        <f t="shared" si="235"/>
        <v>0</v>
      </c>
      <c r="T215" s="84">
        <f t="shared" si="235"/>
        <v>0</v>
      </c>
      <c r="U215" s="84">
        <f t="shared" si="235"/>
        <v>0</v>
      </c>
      <c r="V215" s="84">
        <f t="shared" si="235"/>
        <v>0</v>
      </c>
      <c r="W215" s="84">
        <f t="shared" ref="W215" si="241">IF(W24=0,0,W24*1000000/W78)</f>
        <v>0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0</v>
      </c>
      <c r="C216" s="84">
        <f t="shared" si="235"/>
        <v>0</v>
      </c>
      <c r="D216" s="84">
        <f t="shared" si="235"/>
        <v>0</v>
      </c>
      <c r="E216" s="84">
        <f t="shared" si="235"/>
        <v>0</v>
      </c>
      <c r="F216" s="84">
        <f t="shared" si="235"/>
        <v>0</v>
      </c>
      <c r="G216" s="84">
        <f t="shared" si="235"/>
        <v>0</v>
      </c>
      <c r="H216" s="84">
        <f t="shared" si="235"/>
        <v>0</v>
      </c>
      <c r="I216" s="84">
        <f t="shared" si="235"/>
        <v>886.02252572228076</v>
      </c>
      <c r="J216" s="84">
        <f t="shared" si="235"/>
        <v>905.53418020250126</v>
      </c>
      <c r="K216" s="84">
        <f t="shared" si="235"/>
        <v>936.85141158488261</v>
      </c>
      <c r="L216" s="84">
        <f t="shared" si="235"/>
        <v>938.94521270073187</v>
      </c>
      <c r="M216" s="84">
        <f t="shared" si="234"/>
        <v>944.01579428400271</v>
      </c>
      <c r="N216" s="84">
        <f t="shared" si="235"/>
        <v>948.30656899629196</v>
      </c>
      <c r="O216" s="84">
        <f t="shared" si="235"/>
        <v>969.24768772123468</v>
      </c>
      <c r="P216" s="84">
        <f t="shared" si="235"/>
        <v>974.2472227428683</v>
      </c>
      <c r="Q216" s="84">
        <f t="shared" si="235"/>
        <v>976.471922416947</v>
      </c>
      <c r="R216" s="84">
        <f t="shared" si="235"/>
        <v>974.08461411341943</v>
      </c>
      <c r="S216" s="84">
        <f t="shared" si="235"/>
        <v>971.74177124019877</v>
      </c>
      <c r="T216" s="84">
        <f t="shared" si="235"/>
        <v>970.53558011214102</v>
      </c>
      <c r="U216" s="84">
        <f t="shared" si="235"/>
        <v>968.28948700246747</v>
      </c>
      <c r="V216" s="84">
        <f t="shared" si="235"/>
        <v>951.1512857796223</v>
      </c>
      <c r="W216" s="84">
        <f t="shared" ref="W216" si="242">IF(W25=0,0,W25*1000000/W79)</f>
        <v>963.68275716885898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87252.897068847989</v>
      </c>
      <c r="C217" s="110">
        <f t="shared" si="235"/>
        <v>80029.778522240827</v>
      </c>
      <c r="D217" s="110">
        <f t="shared" si="235"/>
        <v>83937.079825076697</v>
      </c>
      <c r="E217" s="110">
        <f t="shared" si="235"/>
        <v>89169.487112731076</v>
      </c>
      <c r="F217" s="110">
        <f t="shared" si="235"/>
        <v>72177.102436468427</v>
      </c>
      <c r="G217" s="110">
        <f t="shared" si="235"/>
        <v>70668.106773646039</v>
      </c>
      <c r="H217" s="110">
        <f t="shared" si="235"/>
        <v>59437.292358803999</v>
      </c>
      <c r="I217" s="110">
        <f t="shared" si="235"/>
        <v>68566.133889274963</v>
      </c>
      <c r="J217" s="110">
        <f t="shared" si="235"/>
        <v>71138.434515314526</v>
      </c>
      <c r="K217" s="110">
        <f t="shared" si="235"/>
        <v>49082.306452451514</v>
      </c>
      <c r="L217" s="110">
        <f t="shared" si="235"/>
        <v>56105.26315789474</v>
      </c>
      <c r="M217" s="110">
        <f t="shared" si="234"/>
        <v>50000</v>
      </c>
      <c r="N217" s="110">
        <f t="shared" si="235"/>
        <v>51398.866888616321</v>
      </c>
      <c r="O217" s="110">
        <f t="shared" si="235"/>
        <v>51273.541856799136</v>
      </c>
      <c r="P217" s="110">
        <f t="shared" si="235"/>
        <v>46573.401806268812</v>
      </c>
      <c r="Q217" s="110">
        <f t="shared" si="235"/>
        <v>48456.981165443452</v>
      </c>
      <c r="R217" s="110">
        <f t="shared" si="235"/>
        <v>57985.757884028484</v>
      </c>
      <c r="S217" s="110">
        <f t="shared" si="235"/>
        <v>65872.689938398355</v>
      </c>
      <c r="T217" s="110">
        <f t="shared" si="235"/>
        <v>68580.036470308405</v>
      </c>
      <c r="U217" s="110">
        <f t="shared" si="235"/>
        <v>62660.232242497361</v>
      </c>
      <c r="V217" s="110">
        <f t="shared" si="235"/>
        <v>48954.614992350842</v>
      </c>
      <c r="W217" s="110">
        <f t="shared" ref="W217" si="243">IF(W26=0,0,W26*1000000/W80)</f>
        <v>49847.550166631212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87252.897068847989</v>
      </c>
      <c r="C218" s="163">
        <f t="shared" si="235"/>
        <v>80029.778522240827</v>
      </c>
      <c r="D218" s="163">
        <f t="shared" si="235"/>
        <v>83937.079825076697</v>
      </c>
      <c r="E218" s="163">
        <f t="shared" si="235"/>
        <v>89169.487112731076</v>
      </c>
      <c r="F218" s="163">
        <f t="shared" si="235"/>
        <v>72177.102436468427</v>
      </c>
      <c r="G218" s="163">
        <f t="shared" si="235"/>
        <v>70668.106773646039</v>
      </c>
      <c r="H218" s="163">
        <f t="shared" si="235"/>
        <v>59437.292358803999</v>
      </c>
      <c r="I218" s="163">
        <f t="shared" si="235"/>
        <v>68566.133889274963</v>
      </c>
      <c r="J218" s="163">
        <f t="shared" si="235"/>
        <v>71138.434515314526</v>
      </c>
      <c r="K218" s="163">
        <f t="shared" si="235"/>
        <v>49082.306452451514</v>
      </c>
      <c r="L218" s="163">
        <f t="shared" si="235"/>
        <v>56105.26315789474</v>
      </c>
      <c r="M218" s="163">
        <f t="shared" si="234"/>
        <v>50000</v>
      </c>
      <c r="N218" s="163">
        <f t="shared" si="235"/>
        <v>51398.866888616321</v>
      </c>
      <c r="O218" s="163">
        <f t="shared" si="235"/>
        <v>51273.541856799136</v>
      </c>
      <c r="P218" s="163">
        <f t="shared" si="235"/>
        <v>46573.401806268812</v>
      </c>
      <c r="Q218" s="163">
        <f t="shared" si="235"/>
        <v>48456.981165443452</v>
      </c>
      <c r="R218" s="163">
        <f t="shared" si="235"/>
        <v>57985.757884028484</v>
      </c>
      <c r="S218" s="163">
        <f t="shared" si="235"/>
        <v>65872.689938398355</v>
      </c>
      <c r="T218" s="163">
        <f t="shared" si="235"/>
        <v>68580.036470308405</v>
      </c>
      <c r="U218" s="163">
        <f t="shared" si="235"/>
        <v>62660.232242497361</v>
      </c>
      <c r="V218" s="163">
        <f t="shared" si="235"/>
        <v>48954.614992350842</v>
      </c>
      <c r="W218" s="163">
        <f t="shared" ref="W218" si="244">IF(W27=0,0,W27*1000000/W81)</f>
        <v>49847.550166631212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0</v>
      </c>
      <c r="C219" s="86">
        <f t="shared" si="235"/>
        <v>0</v>
      </c>
      <c r="D219" s="86">
        <f t="shared" si="235"/>
        <v>0</v>
      </c>
      <c r="E219" s="86">
        <f t="shared" si="235"/>
        <v>0</v>
      </c>
      <c r="F219" s="86">
        <f t="shared" si="235"/>
        <v>0</v>
      </c>
      <c r="G219" s="86">
        <f t="shared" si="235"/>
        <v>0</v>
      </c>
      <c r="H219" s="86">
        <f t="shared" si="235"/>
        <v>0</v>
      </c>
      <c r="I219" s="86">
        <f t="shared" si="235"/>
        <v>0</v>
      </c>
      <c r="J219" s="86">
        <f t="shared" si="235"/>
        <v>0</v>
      </c>
      <c r="K219" s="86">
        <f t="shared" si="235"/>
        <v>0</v>
      </c>
      <c r="L219" s="86">
        <f t="shared" si="235"/>
        <v>0</v>
      </c>
      <c r="M219" s="86">
        <f t="shared" si="234"/>
        <v>0</v>
      </c>
      <c r="N219" s="86">
        <f t="shared" si="235"/>
        <v>0</v>
      </c>
      <c r="O219" s="86">
        <f t="shared" si="235"/>
        <v>0</v>
      </c>
      <c r="P219" s="86">
        <f t="shared" si="235"/>
        <v>0</v>
      </c>
      <c r="Q219" s="86">
        <f t="shared" si="235"/>
        <v>0</v>
      </c>
      <c r="R219" s="86">
        <f t="shared" si="235"/>
        <v>0</v>
      </c>
      <c r="S219" s="86">
        <f t="shared" si="235"/>
        <v>0</v>
      </c>
      <c r="T219" s="86">
        <f t="shared" si="235"/>
        <v>0</v>
      </c>
      <c r="U219" s="86">
        <f t="shared" si="235"/>
        <v>0</v>
      </c>
      <c r="V219" s="86">
        <f t="shared" si="235"/>
        <v>0</v>
      </c>
      <c r="W219" s="86">
        <f t="shared" ref="W219" si="245">IF(W28=0,0,W28*1000000/W82)</f>
        <v>0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2.8565704116150489E-2</v>
      </c>
      <c r="C223" s="154">
        <f t="shared" si="250"/>
        <v>2.7393177902971404E-2</v>
      </c>
      <c r="D223" s="154">
        <f t="shared" si="250"/>
        <v>2.5703015876985119E-2</v>
      </c>
      <c r="E223" s="154">
        <f t="shared" si="250"/>
        <v>2.5536593290291849E-2</v>
      </c>
      <c r="F223" s="154">
        <f t="shared" si="250"/>
        <v>2.3709976918571331E-2</v>
      </c>
      <c r="G223" s="154">
        <f t="shared" si="250"/>
        <v>2.2573175540991929E-2</v>
      </c>
      <c r="H223" s="154">
        <f t="shared" si="250"/>
        <v>2.1799771261203062E-2</v>
      </c>
      <c r="I223" s="154">
        <f t="shared" si="250"/>
        <v>2.1011183085438343E-2</v>
      </c>
      <c r="J223" s="154">
        <f t="shared" si="250"/>
        <v>2.0087687692261134E-2</v>
      </c>
      <c r="K223" s="154">
        <f t="shared" si="250"/>
        <v>1.9429699772974988E-2</v>
      </c>
      <c r="L223" s="154">
        <f t="shared" ref="L223" si="251">IF(L5=0,0,L5/L$4)</f>
        <v>1.9493008627140276E-2</v>
      </c>
      <c r="M223" s="154">
        <f t="shared" ref="M223:V223" si="252">IF(M5=0,0,M5/M$4)</f>
        <v>1.89944371814251E-2</v>
      </c>
      <c r="N223" s="154">
        <f t="shared" si="252"/>
        <v>1.9025031044016066E-2</v>
      </c>
      <c r="O223" s="154">
        <f t="shared" si="252"/>
        <v>1.8881431773517206E-2</v>
      </c>
      <c r="P223" s="154">
        <f t="shared" si="252"/>
        <v>1.8810853898158168E-2</v>
      </c>
      <c r="Q223" s="154">
        <f t="shared" si="252"/>
        <v>1.7928315173371293E-2</v>
      </c>
      <c r="R223" s="154">
        <f t="shared" si="252"/>
        <v>1.7189230010223731E-2</v>
      </c>
      <c r="S223" s="154">
        <f t="shared" si="252"/>
        <v>1.5890063559477276E-2</v>
      </c>
      <c r="T223" s="154">
        <f t="shared" si="252"/>
        <v>1.4594763060721931E-2</v>
      </c>
      <c r="U223" s="154">
        <f t="shared" si="252"/>
        <v>1.4966392684000672E-2</v>
      </c>
      <c r="V223" s="154">
        <f t="shared" si="252"/>
        <v>1.6641406686884685E-2</v>
      </c>
      <c r="W223" s="154">
        <f t="shared" ref="W223" si="253">IF(W5=0,0,W5/W$4)</f>
        <v>1.6055194753845217E-2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0.75469995098546072</v>
      </c>
      <c r="C224" s="156">
        <f t="shared" si="254"/>
        <v>0.75395877681940204</v>
      </c>
      <c r="D224" s="156">
        <f t="shared" si="254"/>
        <v>0.7537014405479926</v>
      </c>
      <c r="E224" s="156">
        <f t="shared" si="254"/>
        <v>0.74475564232878255</v>
      </c>
      <c r="F224" s="156">
        <f t="shared" si="254"/>
        <v>0.7689955661257829</v>
      </c>
      <c r="G224" s="156">
        <f t="shared" si="254"/>
        <v>0.77419946491802616</v>
      </c>
      <c r="H224" s="156">
        <f t="shared" si="254"/>
        <v>0.77882183816783201</v>
      </c>
      <c r="I224" s="156">
        <f t="shared" si="254"/>
        <v>0.78615768631017824</v>
      </c>
      <c r="J224" s="156">
        <f t="shared" si="254"/>
        <v>0.79583273951546596</v>
      </c>
      <c r="K224" s="156">
        <f t="shared" si="254"/>
        <v>0.80780635437998294</v>
      </c>
      <c r="L224" s="156">
        <f t="shared" ref="L224" si="255">IF(L6=0,0,L6/L$4)</f>
        <v>0.80458849083447459</v>
      </c>
      <c r="M224" s="156">
        <f t="shared" ref="M224:V224" si="256">IF(M6=0,0,M6/M$4)</f>
        <v>0.80188425096249394</v>
      </c>
      <c r="N224" s="156">
        <f t="shared" si="256"/>
        <v>0.79789851684803414</v>
      </c>
      <c r="O224" s="156">
        <f t="shared" si="256"/>
        <v>0.79935542124222347</v>
      </c>
      <c r="P224" s="156">
        <f t="shared" si="256"/>
        <v>0.80271877458562058</v>
      </c>
      <c r="Q224" s="156">
        <f t="shared" si="256"/>
        <v>0.7983122052435162</v>
      </c>
      <c r="R224" s="156">
        <f t="shared" si="256"/>
        <v>0.7998037250924046</v>
      </c>
      <c r="S224" s="156">
        <f t="shared" si="256"/>
        <v>0.79733828888709968</v>
      </c>
      <c r="T224" s="156">
        <f t="shared" si="256"/>
        <v>0.79914775425804319</v>
      </c>
      <c r="U224" s="156">
        <f t="shared" si="256"/>
        <v>0.80278584166853284</v>
      </c>
      <c r="V224" s="156">
        <f t="shared" si="256"/>
        <v>0.85855736752916945</v>
      </c>
      <c r="W224" s="156">
        <f t="shared" ref="W224" si="257">IF(W6=0,0,W6/W$4)</f>
        <v>0.85883389229116425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0.62025958635428946</v>
      </c>
      <c r="C225" s="103">
        <f t="shared" si="258"/>
        <v>0.61583229701618136</v>
      </c>
      <c r="D225" s="103">
        <f t="shared" si="258"/>
        <v>0.6202451531845149</v>
      </c>
      <c r="E225" s="103">
        <f t="shared" si="258"/>
        <v>0.61972947990389893</v>
      </c>
      <c r="F225" s="103">
        <f t="shared" si="258"/>
        <v>0.65334204631360404</v>
      </c>
      <c r="G225" s="103">
        <f t="shared" si="258"/>
        <v>0.66714978079058751</v>
      </c>
      <c r="H225" s="103">
        <f t="shared" si="258"/>
        <v>0.67913590884254627</v>
      </c>
      <c r="I225" s="103">
        <f t="shared" si="258"/>
        <v>0.68989928234900533</v>
      </c>
      <c r="J225" s="103">
        <f t="shared" si="258"/>
        <v>0.69841936076573885</v>
      </c>
      <c r="K225" s="103">
        <f t="shared" si="258"/>
        <v>0.70748562635640577</v>
      </c>
      <c r="L225" s="103">
        <f t="shared" ref="L225" si="259">IF(L7=0,0,L7/L$4)</f>
        <v>0.70451435029329557</v>
      </c>
      <c r="M225" s="103">
        <f t="shared" ref="M225:V225" si="260">IF(M7=0,0,M7/M$4)</f>
        <v>0.70326502652009115</v>
      </c>
      <c r="N225" s="103">
        <f t="shared" si="260"/>
        <v>0.70416334355084687</v>
      </c>
      <c r="O225" s="103">
        <f t="shared" si="260"/>
        <v>0.70751182059425677</v>
      </c>
      <c r="P225" s="103">
        <f t="shared" si="260"/>
        <v>0.70650638679011912</v>
      </c>
      <c r="Q225" s="103">
        <f t="shared" si="260"/>
        <v>0.69465057723772905</v>
      </c>
      <c r="R225" s="103">
        <f t="shared" si="260"/>
        <v>0.69152361087011505</v>
      </c>
      <c r="S225" s="103">
        <f t="shared" si="260"/>
        <v>0.67119061948247272</v>
      </c>
      <c r="T225" s="103">
        <f t="shared" si="260"/>
        <v>0.65172906896015148</v>
      </c>
      <c r="U225" s="103">
        <f t="shared" si="260"/>
        <v>0.6365179058491115</v>
      </c>
      <c r="V225" s="103">
        <f t="shared" si="260"/>
        <v>0.66551645621693956</v>
      </c>
      <c r="W225" s="103">
        <f t="shared" ref="W225" si="261">IF(W7=0,0,W7/W$4)</f>
        <v>0.66125994728753135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0.13444036463117132</v>
      </c>
      <c r="C226" s="103">
        <f t="shared" si="262"/>
        <v>0.13812647980322074</v>
      </c>
      <c r="D226" s="103">
        <f t="shared" si="262"/>
        <v>0.13345628736347767</v>
      </c>
      <c r="E226" s="103">
        <f t="shared" si="262"/>
        <v>0.12502616242488371</v>
      </c>
      <c r="F226" s="103">
        <f t="shared" si="262"/>
        <v>0.11565351981217895</v>
      </c>
      <c r="G226" s="103">
        <f t="shared" si="262"/>
        <v>0.10704968412743866</v>
      </c>
      <c r="H226" s="103">
        <f t="shared" si="262"/>
        <v>9.9685929325285721E-2</v>
      </c>
      <c r="I226" s="103">
        <f t="shared" si="262"/>
        <v>9.6258403961172898E-2</v>
      </c>
      <c r="J226" s="103">
        <f t="shared" si="262"/>
        <v>9.7413378749727025E-2</v>
      </c>
      <c r="K226" s="103">
        <f t="shared" si="262"/>
        <v>0.10032072802357725</v>
      </c>
      <c r="L226" s="103">
        <f t="shared" ref="L226" si="263">IF(L8=0,0,L8/L$4)</f>
        <v>0.10007414054117912</v>
      </c>
      <c r="M226" s="103">
        <f t="shared" ref="M226:V226" si="264">IF(M8=0,0,M8/M$4)</f>
        <v>9.86192244424028E-2</v>
      </c>
      <c r="N226" s="103">
        <f t="shared" si="264"/>
        <v>9.3735173297187308E-2</v>
      </c>
      <c r="O226" s="103">
        <f t="shared" si="264"/>
        <v>9.1833618741448519E-2</v>
      </c>
      <c r="P226" s="103">
        <f t="shared" si="264"/>
        <v>9.6183062034675873E-2</v>
      </c>
      <c r="Q226" s="103">
        <f t="shared" si="264"/>
        <v>0.10358245022995059</v>
      </c>
      <c r="R226" s="103">
        <f t="shared" si="264"/>
        <v>0.10816215781602864</v>
      </c>
      <c r="S226" s="103">
        <f t="shared" si="264"/>
        <v>0.12587593635030397</v>
      </c>
      <c r="T226" s="103">
        <f t="shared" si="264"/>
        <v>0.14571986037880627</v>
      </c>
      <c r="U226" s="103">
        <f t="shared" si="264"/>
        <v>0.1644626649805806</v>
      </c>
      <c r="V226" s="103">
        <f t="shared" si="264"/>
        <v>0.19101386176147092</v>
      </c>
      <c r="W226" s="103">
        <f t="shared" ref="W226" si="265">IF(W8=0,0,W8/W$4)</f>
        <v>0.19524324851966257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0</v>
      </c>
      <c r="C227" s="103">
        <f t="shared" si="266"/>
        <v>0</v>
      </c>
      <c r="D227" s="103">
        <f t="shared" si="266"/>
        <v>0</v>
      </c>
      <c r="E227" s="103">
        <f t="shared" si="266"/>
        <v>0</v>
      </c>
      <c r="F227" s="103">
        <f t="shared" si="266"/>
        <v>0</v>
      </c>
      <c r="G227" s="103">
        <f t="shared" si="266"/>
        <v>0</v>
      </c>
      <c r="H227" s="103">
        <f t="shared" si="266"/>
        <v>0</v>
      </c>
      <c r="I227" s="103">
        <f t="shared" si="266"/>
        <v>0</v>
      </c>
      <c r="J227" s="103">
        <f t="shared" si="266"/>
        <v>0</v>
      </c>
      <c r="K227" s="103">
        <f t="shared" si="266"/>
        <v>0</v>
      </c>
      <c r="L227" s="103">
        <f t="shared" ref="L227" si="267">IF(L9=0,0,L9/L$4)</f>
        <v>0</v>
      </c>
      <c r="M227" s="103">
        <f t="shared" ref="M227:V227" si="268">IF(M9=0,0,M9/M$4)</f>
        <v>0</v>
      </c>
      <c r="N227" s="103">
        <f t="shared" si="268"/>
        <v>0</v>
      </c>
      <c r="O227" s="103">
        <f t="shared" si="268"/>
        <v>0</v>
      </c>
      <c r="P227" s="103">
        <f t="shared" si="268"/>
        <v>0</v>
      </c>
      <c r="Q227" s="103">
        <f t="shared" si="268"/>
        <v>0</v>
      </c>
      <c r="R227" s="103">
        <f t="shared" si="268"/>
        <v>0</v>
      </c>
      <c r="S227" s="103">
        <f t="shared" si="268"/>
        <v>0</v>
      </c>
      <c r="T227" s="103">
        <f t="shared" si="268"/>
        <v>1.2940951534231916E-3</v>
      </c>
      <c r="U227" s="103">
        <f t="shared" si="268"/>
        <v>1.2209109321999114E-3</v>
      </c>
      <c r="V227" s="103">
        <f t="shared" si="268"/>
        <v>1.2202668824836376E-3</v>
      </c>
      <c r="W227" s="103">
        <f t="shared" ref="W227" si="269">IF(W9=0,0,W9/W$4)</f>
        <v>1.2094041762711334E-3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0</v>
      </c>
      <c r="C228" s="103">
        <f t="shared" si="270"/>
        <v>0</v>
      </c>
      <c r="D228" s="103">
        <f t="shared" si="270"/>
        <v>0</v>
      </c>
      <c r="E228" s="103">
        <f t="shared" si="270"/>
        <v>0</v>
      </c>
      <c r="F228" s="103">
        <f t="shared" si="270"/>
        <v>0</v>
      </c>
      <c r="G228" s="103">
        <f t="shared" si="270"/>
        <v>0</v>
      </c>
      <c r="H228" s="103">
        <f t="shared" si="270"/>
        <v>0</v>
      </c>
      <c r="I228" s="103">
        <f t="shared" si="270"/>
        <v>0</v>
      </c>
      <c r="J228" s="103">
        <f t="shared" si="270"/>
        <v>0</v>
      </c>
      <c r="K228" s="103">
        <f t="shared" si="270"/>
        <v>0</v>
      </c>
      <c r="L228" s="103">
        <f t="shared" ref="L228" si="271">IF(L10=0,0,L10/L$4)</f>
        <v>0</v>
      </c>
      <c r="M228" s="103">
        <f t="shared" ref="M228:V228" si="272">IF(M10=0,0,M10/M$4)</f>
        <v>0</v>
      </c>
      <c r="N228" s="103">
        <f t="shared" si="272"/>
        <v>0</v>
      </c>
      <c r="O228" s="103">
        <f t="shared" si="272"/>
        <v>0</v>
      </c>
      <c r="P228" s="103">
        <f t="shared" si="272"/>
        <v>0</v>
      </c>
      <c r="Q228" s="103">
        <f t="shared" si="272"/>
        <v>0</v>
      </c>
      <c r="R228" s="103">
        <f t="shared" si="272"/>
        <v>0</v>
      </c>
      <c r="S228" s="103">
        <f t="shared" si="272"/>
        <v>0</v>
      </c>
      <c r="T228" s="103">
        <f t="shared" si="272"/>
        <v>0</v>
      </c>
      <c r="U228" s="103">
        <f t="shared" si="272"/>
        <v>0</v>
      </c>
      <c r="V228" s="103">
        <f t="shared" si="272"/>
        <v>0</v>
      </c>
      <c r="W228" s="103">
        <f t="shared" ref="W228" si="273">IF(W10=0,0,W10/W$4)</f>
        <v>0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0</v>
      </c>
      <c r="K229" s="103">
        <f t="shared" si="274"/>
        <v>0</v>
      </c>
      <c r="L229" s="103">
        <f t="shared" ref="L229" si="275">IF(L11=0,0,L11/L$4)</f>
        <v>0</v>
      </c>
      <c r="M229" s="103">
        <f t="shared" ref="M229:V229" si="276">IF(M11=0,0,M11/M$4)</f>
        <v>0</v>
      </c>
      <c r="N229" s="103">
        <f t="shared" si="276"/>
        <v>0</v>
      </c>
      <c r="O229" s="103">
        <f t="shared" si="276"/>
        <v>0</v>
      </c>
      <c r="P229" s="103">
        <f t="shared" si="276"/>
        <v>4.4549517339964494E-6</v>
      </c>
      <c r="Q229" s="103">
        <f t="shared" si="276"/>
        <v>4.1969362320395966E-5</v>
      </c>
      <c r="R229" s="103">
        <f t="shared" si="276"/>
        <v>6.7560310514460197E-5</v>
      </c>
      <c r="S229" s="103">
        <f t="shared" si="276"/>
        <v>1.4440314612956584E-4</v>
      </c>
      <c r="T229" s="103">
        <f t="shared" si="276"/>
        <v>2.0960537134964285E-4</v>
      </c>
      <c r="U229" s="103">
        <f t="shared" si="276"/>
        <v>3.0956832807975707E-4</v>
      </c>
      <c r="V229" s="103">
        <f t="shared" si="276"/>
        <v>4.4359639339857732E-4</v>
      </c>
      <c r="W229" s="103">
        <f t="shared" ref="W229" si="277">IF(W11=0,0,W11/W$4)</f>
        <v>6.2249088591832433E-4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0</v>
      </c>
      <c r="F230" s="103">
        <f t="shared" si="278"/>
        <v>0</v>
      </c>
      <c r="G230" s="103">
        <f t="shared" si="278"/>
        <v>0</v>
      </c>
      <c r="H230" s="103">
        <f t="shared" si="278"/>
        <v>0</v>
      </c>
      <c r="I230" s="103">
        <f t="shared" si="278"/>
        <v>0</v>
      </c>
      <c r="J230" s="103">
        <f t="shared" si="278"/>
        <v>0</v>
      </c>
      <c r="K230" s="103">
        <f t="shared" si="278"/>
        <v>0</v>
      </c>
      <c r="L230" s="103">
        <f t="shared" ref="L230" si="279">IF(L12=0,0,L12/L$4)</f>
        <v>0</v>
      </c>
      <c r="M230" s="103">
        <f t="shared" ref="M230:V230" si="280">IF(M12=0,0,M12/M$4)</f>
        <v>0</v>
      </c>
      <c r="N230" s="103">
        <f t="shared" si="280"/>
        <v>0</v>
      </c>
      <c r="O230" s="103">
        <f t="shared" si="280"/>
        <v>9.9819065180991488E-6</v>
      </c>
      <c r="P230" s="103">
        <f t="shared" si="280"/>
        <v>2.4870809091601738E-5</v>
      </c>
      <c r="Q230" s="103">
        <f t="shared" si="280"/>
        <v>3.7208413516178114E-5</v>
      </c>
      <c r="R230" s="103">
        <f t="shared" si="280"/>
        <v>5.0396095746565031E-5</v>
      </c>
      <c r="S230" s="103">
        <f t="shared" si="280"/>
        <v>1.2732990819360566E-4</v>
      </c>
      <c r="T230" s="103">
        <f t="shared" si="280"/>
        <v>1.9512439431264292E-4</v>
      </c>
      <c r="U230" s="103">
        <f t="shared" si="280"/>
        <v>2.7479157856096105E-4</v>
      </c>
      <c r="V230" s="103">
        <f t="shared" si="280"/>
        <v>3.6318627487682751E-4</v>
      </c>
      <c r="W230" s="103">
        <f t="shared" ref="W230" si="281">IF(W12=0,0,W12/W$4)</f>
        <v>4.9880142178082446E-4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0.21673434489838872</v>
      </c>
      <c r="C231" s="156">
        <f t="shared" si="282"/>
        <v>0.2186480452776266</v>
      </c>
      <c r="D231" s="156">
        <f t="shared" si="282"/>
        <v>0.22059554357502223</v>
      </c>
      <c r="E231" s="156">
        <f t="shared" si="282"/>
        <v>0.22970776438092569</v>
      </c>
      <c r="F231" s="156">
        <f t="shared" si="282"/>
        <v>0.20729445695564583</v>
      </c>
      <c r="G231" s="156">
        <f t="shared" si="282"/>
        <v>0.20322735954098187</v>
      </c>
      <c r="H231" s="156">
        <f t="shared" si="282"/>
        <v>0.19937839057096496</v>
      </c>
      <c r="I231" s="156">
        <f t="shared" si="282"/>
        <v>0.19283113060438334</v>
      </c>
      <c r="J231" s="156">
        <f t="shared" si="282"/>
        <v>0.18407957279227299</v>
      </c>
      <c r="K231" s="156">
        <f t="shared" si="282"/>
        <v>0.17276394584704194</v>
      </c>
      <c r="L231" s="156">
        <f t="shared" ref="L231" si="283">IF(L13=0,0,L13/L$4)</f>
        <v>0.17591850053838515</v>
      </c>
      <c r="M231" s="156">
        <f t="shared" ref="M231:V231" si="284">IF(M13=0,0,M13/M$4)</f>
        <v>0.17912131185608091</v>
      </c>
      <c r="N231" s="156">
        <f t="shared" si="284"/>
        <v>0.18307645210794982</v>
      </c>
      <c r="O231" s="156">
        <f t="shared" si="284"/>
        <v>0.18176314698425944</v>
      </c>
      <c r="P231" s="156">
        <f t="shared" si="284"/>
        <v>0.17847037151622125</v>
      </c>
      <c r="Q231" s="156">
        <f t="shared" si="284"/>
        <v>0.18375947958311248</v>
      </c>
      <c r="R231" s="156">
        <f t="shared" si="284"/>
        <v>0.1830070448973716</v>
      </c>
      <c r="S231" s="156">
        <f t="shared" si="284"/>
        <v>0.18677164755342285</v>
      </c>
      <c r="T231" s="156">
        <f t="shared" si="284"/>
        <v>0.18625748268123477</v>
      </c>
      <c r="U231" s="156">
        <f t="shared" si="284"/>
        <v>0.18224776564746648</v>
      </c>
      <c r="V231" s="156">
        <f t="shared" si="284"/>
        <v>0.12480122578394588</v>
      </c>
      <c r="W231" s="156">
        <f t="shared" ref="W231" si="285">IF(W13=0,0,W13/W$4)</f>
        <v>0.12511091295499047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5.5744018966218363E-3</v>
      </c>
      <c r="C232" s="103">
        <f t="shared" si="286"/>
        <v>5.3632711448125025E-3</v>
      </c>
      <c r="D232" s="103">
        <f t="shared" si="286"/>
        <v>5.0665611607267303E-3</v>
      </c>
      <c r="E232" s="103">
        <f t="shared" si="286"/>
        <v>4.9739734086898524E-3</v>
      </c>
      <c r="F232" s="103">
        <f t="shared" si="286"/>
        <v>4.5685178935753971E-3</v>
      </c>
      <c r="G232" s="103">
        <f t="shared" si="286"/>
        <v>4.3796750569097638E-3</v>
      </c>
      <c r="H232" s="103">
        <f t="shared" si="286"/>
        <v>4.3208557991372236E-3</v>
      </c>
      <c r="I232" s="103">
        <f t="shared" si="286"/>
        <v>4.0854242693467106E-3</v>
      </c>
      <c r="J232" s="103">
        <f t="shared" si="286"/>
        <v>3.8362709350909397E-3</v>
      </c>
      <c r="K232" s="103">
        <f t="shared" si="286"/>
        <v>3.6466342029835602E-3</v>
      </c>
      <c r="L232" s="103">
        <f t="shared" ref="L232" si="287">IF(L14=0,0,L14/L$4)</f>
        <v>3.7486706602724825E-3</v>
      </c>
      <c r="M232" s="103">
        <f t="shared" ref="M232:V232" si="288">IF(M14=0,0,M14/M$4)</f>
        <v>3.7688223458533627E-3</v>
      </c>
      <c r="N232" s="103">
        <f t="shared" si="288"/>
        <v>3.7636075071717182E-3</v>
      </c>
      <c r="O232" s="103">
        <f t="shared" si="288"/>
        <v>3.7397318722016794E-3</v>
      </c>
      <c r="P232" s="103">
        <f t="shared" si="288"/>
        <v>1.2752499747741212E-3</v>
      </c>
      <c r="Q232" s="103">
        <f t="shared" si="288"/>
        <v>1.0945807613703014E-3</v>
      </c>
      <c r="R232" s="103">
        <f t="shared" si="288"/>
        <v>1.0386061700044763E-3</v>
      </c>
      <c r="S232" s="103">
        <f t="shared" si="288"/>
        <v>1.0568583892171573E-3</v>
      </c>
      <c r="T232" s="103">
        <f t="shared" si="288"/>
        <v>1.0685126342202954E-3</v>
      </c>
      <c r="U232" s="103">
        <f t="shared" si="288"/>
        <v>1.0349176997120303E-3</v>
      </c>
      <c r="V232" s="103">
        <f t="shared" si="288"/>
        <v>1.0433875209246563E-3</v>
      </c>
      <c r="W232" s="103">
        <f t="shared" ref="W232" si="289">IF(W14=0,0,W14/W$4)</f>
        <v>1.1094019048932785E-3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0.21115994300176688</v>
      </c>
      <c r="C233" s="103">
        <f t="shared" si="290"/>
        <v>0.21328477413281408</v>
      </c>
      <c r="D233" s="103">
        <f t="shared" si="290"/>
        <v>0.21552898241429549</v>
      </c>
      <c r="E233" s="103">
        <f t="shared" si="290"/>
        <v>0.22473379097223584</v>
      </c>
      <c r="F233" s="103">
        <f t="shared" si="290"/>
        <v>0.20272593906207043</v>
      </c>
      <c r="G233" s="103">
        <f t="shared" si="290"/>
        <v>0.19884768448407211</v>
      </c>
      <c r="H233" s="103">
        <f t="shared" si="290"/>
        <v>0.19505753477182775</v>
      </c>
      <c r="I233" s="103">
        <f t="shared" si="290"/>
        <v>0.18874570633503662</v>
      </c>
      <c r="J233" s="103">
        <f t="shared" si="290"/>
        <v>0.18019843894126197</v>
      </c>
      <c r="K233" s="103">
        <f t="shared" si="290"/>
        <v>0.16907321126804423</v>
      </c>
      <c r="L233" s="103">
        <f t="shared" ref="L233" si="291">IF(L15=0,0,L15/L$4)</f>
        <v>0.17212428560110318</v>
      </c>
      <c r="M233" s="103">
        <f t="shared" ref="M233:V233" si="292">IF(M15=0,0,M15/M$4)</f>
        <v>0.17530688428402527</v>
      </c>
      <c r="N233" s="103">
        <f t="shared" si="292"/>
        <v>0.17926722147276256</v>
      </c>
      <c r="O233" s="103">
        <f t="shared" si="292"/>
        <v>0.17797718320971159</v>
      </c>
      <c r="P233" s="103">
        <f t="shared" si="292"/>
        <v>0.17714975458710788</v>
      </c>
      <c r="Q233" s="103">
        <f t="shared" si="292"/>
        <v>0.18262066061382037</v>
      </c>
      <c r="R233" s="103">
        <f t="shared" si="292"/>
        <v>0.18192608439529129</v>
      </c>
      <c r="S233" s="103">
        <f t="shared" si="292"/>
        <v>0.18567323148193041</v>
      </c>
      <c r="T233" s="103">
        <f t="shared" si="292"/>
        <v>0.18514893980994057</v>
      </c>
      <c r="U233" s="103">
        <f t="shared" si="292"/>
        <v>0.18117401487720858</v>
      </c>
      <c r="V233" s="103">
        <f t="shared" si="292"/>
        <v>0.12372436231109231</v>
      </c>
      <c r="W233" s="103">
        <f t="shared" ref="W233" si="293">IF(W15=0,0,W15/W$4)</f>
        <v>0.12396959059504717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0</v>
      </c>
      <c r="C234" s="103">
        <f t="shared" si="294"/>
        <v>0</v>
      </c>
      <c r="D234" s="103">
        <f t="shared" si="294"/>
        <v>0</v>
      </c>
      <c r="E234" s="103">
        <f t="shared" si="294"/>
        <v>0</v>
      </c>
      <c r="F234" s="103">
        <f t="shared" si="294"/>
        <v>0</v>
      </c>
      <c r="G234" s="103">
        <f t="shared" si="294"/>
        <v>0</v>
      </c>
      <c r="H234" s="103">
        <f t="shared" si="294"/>
        <v>0</v>
      </c>
      <c r="I234" s="103">
        <f t="shared" si="294"/>
        <v>0</v>
      </c>
      <c r="J234" s="103">
        <f t="shared" si="294"/>
        <v>0</v>
      </c>
      <c r="K234" s="103">
        <f t="shared" si="294"/>
        <v>0</v>
      </c>
      <c r="L234" s="103">
        <f t="shared" ref="L234" si="295">IF(L16=0,0,L16/L$4)</f>
        <v>0</v>
      </c>
      <c r="M234" s="103">
        <f t="shared" ref="M234:V234" si="296">IF(M16=0,0,M16/M$4)</f>
        <v>0</v>
      </c>
      <c r="N234" s="103">
        <f t="shared" si="296"/>
        <v>0</v>
      </c>
      <c r="O234" s="103">
        <f t="shared" si="296"/>
        <v>0</v>
      </c>
      <c r="P234" s="103">
        <f t="shared" si="296"/>
        <v>0</v>
      </c>
      <c r="Q234" s="103">
        <f t="shared" si="296"/>
        <v>0</v>
      </c>
      <c r="R234" s="103">
        <f t="shared" si="296"/>
        <v>0</v>
      </c>
      <c r="S234" s="103">
        <f t="shared" si="296"/>
        <v>0</v>
      </c>
      <c r="T234" s="103">
        <f t="shared" si="296"/>
        <v>0</v>
      </c>
      <c r="U234" s="103">
        <f t="shared" si="296"/>
        <v>0</v>
      </c>
      <c r="V234" s="103">
        <f t="shared" si="296"/>
        <v>0</v>
      </c>
      <c r="W234" s="103">
        <f t="shared" ref="W234" si="297">IF(W16=0,0,W16/W$4)</f>
        <v>0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0</v>
      </c>
      <c r="C235" s="103">
        <f t="shared" si="298"/>
        <v>0</v>
      </c>
      <c r="D235" s="103">
        <f t="shared" si="298"/>
        <v>0</v>
      </c>
      <c r="E235" s="103">
        <f t="shared" si="298"/>
        <v>0</v>
      </c>
      <c r="F235" s="103">
        <f t="shared" si="298"/>
        <v>0</v>
      </c>
      <c r="G235" s="103">
        <f t="shared" si="298"/>
        <v>0</v>
      </c>
      <c r="H235" s="103">
        <f t="shared" si="298"/>
        <v>0</v>
      </c>
      <c r="I235" s="103">
        <f t="shared" si="298"/>
        <v>0</v>
      </c>
      <c r="J235" s="103">
        <f t="shared" si="298"/>
        <v>0</v>
      </c>
      <c r="K235" s="103">
        <f t="shared" si="298"/>
        <v>0</v>
      </c>
      <c r="L235" s="103">
        <f t="shared" ref="L235" si="299">IF(L17=0,0,L17/L$4)</f>
        <v>0</v>
      </c>
      <c r="M235" s="103">
        <f t="shared" ref="M235:V235" si="300">IF(M17=0,0,M17/M$4)</f>
        <v>0</v>
      </c>
      <c r="N235" s="103">
        <f t="shared" si="300"/>
        <v>0</v>
      </c>
      <c r="O235" s="103">
        <f t="shared" si="300"/>
        <v>0</v>
      </c>
      <c r="P235" s="103">
        <f t="shared" si="300"/>
        <v>0</v>
      </c>
      <c r="Q235" s="103">
        <f t="shared" si="300"/>
        <v>0</v>
      </c>
      <c r="R235" s="103">
        <f t="shared" si="300"/>
        <v>0</v>
      </c>
      <c r="S235" s="103">
        <f t="shared" si="300"/>
        <v>0</v>
      </c>
      <c r="T235" s="103">
        <f t="shared" si="300"/>
        <v>0</v>
      </c>
      <c r="U235" s="103">
        <f t="shared" si="300"/>
        <v>0</v>
      </c>
      <c r="V235" s="103">
        <f t="shared" si="300"/>
        <v>0</v>
      </c>
      <c r="W235" s="103">
        <f t="shared" ref="W235" si="301">IF(W17=0,0,W17/W$4)</f>
        <v>0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0</v>
      </c>
      <c r="C236" s="103">
        <f t="shared" si="302"/>
        <v>0</v>
      </c>
      <c r="D236" s="103">
        <f t="shared" si="302"/>
        <v>0</v>
      </c>
      <c r="E236" s="103">
        <f t="shared" si="302"/>
        <v>0</v>
      </c>
      <c r="F236" s="103">
        <f t="shared" si="302"/>
        <v>0</v>
      </c>
      <c r="G236" s="103">
        <f t="shared" si="302"/>
        <v>0</v>
      </c>
      <c r="H236" s="103">
        <f t="shared" si="302"/>
        <v>0</v>
      </c>
      <c r="I236" s="103">
        <f t="shared" si="302"/>
        <v>0</v>
      </c>
      <c r="J236" s="103">
        <f t="shared" si="302"/>
        <v>4.4862915920066454E-5</v>
      </c>
      <c r="K236" s="103">
        <f t="shared" si="302"/>
        <v>4.4100376014149594E-5</v>
      </c>
      <c r="L236" s="103">
        <f t="shared" ref="L236" si="303">IF(L18=0,0,L18/L$4)</f>
        <v>4.5544277009482087E-5</v>
      </c>
      <c r="M236" s="103">
        <f t="shared" ref="M236:V236" si="304">IF(M18=0,0,M18/M$4)</f>
        <v>4.5605226202268879E-5</v>
      </c>
      <c r="N236" s="103">
        <f t="shared" si="304"/>
        <v>4.5623128015569005E-5</v>
      </c>
      <c r="O236" s="103">
        <f t="shared" si="304"/>
        <v>4.6231902346150374E-5</v>
      </c>
      <c r="P236" s="103">
        <f t="shared" si="304"/>
        <v>4.5366954339239638E-5</v>
      </c>
      <c r="Q236" s="103">
        <f t="shared" si="304"/>
        <v>4.4238207921785379E-5</v>
      </c>
      <c r="R236" s="103">
        <f t="shared" si="304"/>
        <v>4.2354332075862666E-5</v>
      </c>
      <c r="S236" s="103">
        <f t="shared" si="304"/>
        <v>4.1557682275248433E-5</v>
      </c>
      <c r="T236" s="103">
        <f t="shared" si="304"/>
        <v>4.0030237073895984E-5</v>
      </c>
      <c r="U236" s="103">
        <f t="shared" si="304"/>
        <v>3.8833070545886182E-5</v>
      </c>
      <c r="V236" s="103">
        <f t="shared" si="304"/>
        <v>3.3475951928908828E-5</v>
      </c>
      <c r="W236" s="103">
        <f t="shared" ref="W236" si="305">IF(W18=0,0,W18/W$4)</f>
        <v>3.1920455050022585E-5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0.11375810913219625</v>
      </c>
      <c r="C238" s="154">
        <f t="shared" si="310"/>
        <v>0.11515938910475558</v>
      </c>
      <c r="D238" s="154">
        <f t="shared" si="310"/>
        <v>0.1190226086359446</v>
      </c>
      <c r="E238" s="154">
        <f t="shared" si="310"/>
        <v>0.11389850493061228</v>
      </c>
      <c r="F238" s="154">
        <f t="shared" si="310"/>
        <v>0.13029803645637331</v>
      </c>
      <c r="G238" s="154">
        <f t="shared" si="310"/>
        <v>0.1117853464181318</v>
      </c>
      <c r="H238" s="154">
        <f t="shared" si="310"/>
        <v>0.12389570175915267</v>
      </c>
      <c r="I238" s="154">
        <f t="shared" si="310"/>
        <v>0.1192973545971354</v>
      </c>
      <c r="J238" s="154">
        <f t="shared" si="310"/>
        <v>0.11579555742856476</v>
      </c>
      <c r="K238" s="154">
        <f t="shared" si="310"/>
        <v>0.14417390042033584</v>
      </c>
      <c r="L238" s="154">
        <f t="shared" ref="L238" si="311">IF(L20=0,0,L20/L$19)</f>
        <v>0.13022800972690779</v>
      </c>
      <c r="M238" s="154">
        <f t="shared" ref="M238:V238" si="312">IF(M20=0,0,M20/M$19)</f>
        <v>0.1486345143037498</v>
      </c>
      <c r="N238" s="154">
        <f t="shared" si="312"/>
        <v>0.15607360137993206</v>
      </c>
      <c r="O238" s="154">
        <f t="shared" si="312"/>
        <v>0.20214811984156703</v>
      </c>
      <c r="P238" s="154">
        <f t="shared" si="312"/>
        <v>0.22057696139999897</v>
      </c>
      <c r="Q238" s="154">
        <f t="shared" si="312"/>
        <v>0.21168086576064668</v>
      </c>
      <c r="R238" s="154">
        <f t="shared" si="312"/>
        <v>0.18568064850816698</v>
      </c>
      <c r="S238" s="154">
        <f t="shared" si="312"/>
        <v>0.16945318555236186</v>
      </c>
      <c r="T238" s="154">
        <f t="shared" si="312"/>
        <v>0.16616594139998742</v>
      </c>
      <c r="U238" s="154">
        <f t="shared" si="312"/>
        <v>0.17098047611685596</v>
      </c>
      <c r="V238" s="154">
        <f t="shared" si="312"/>
        <v>0.19956472510961426</v>
      </c>
      <c r="W238" s="154">
        <f t="shared" ref="W238" si="313">IF(W20=0,0,W20/W$19)</f>
        <v>0.19100346693010611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6.0115147866137463E-3</v>
      </c>
      <c r="C239" s="103">
        <f t="shared" si="314"/>
        <v>6.1805450417087545E-3</v>
      </c>
      <c r="D239" s="103">
        <f t="shared" si="314"/>
        <v>5.9430727684664187E-3</v>
      </c>
      <c r="E239" s="103">
        <f t="shared" si="314"/>
        <v>6.1127023229959497E-3</v>
      </c>
      <c r="F239" s="103">
        <f t="shared" si="314"/>
        <v>6.2830058360851928E-3</v>
      </c>
      <c r="G239" s="103">
        <f t="shared" si="314"/>
        <v>3.9625187116832938E-3</v>
      </c>
      <c r="H239" s="103">
        <f t="shared" si="314"/>
        <v>4.3915651636289811E-3</v>
      </c>
      <c r="I239" s="103">
        <f t="shared" si="314"/>
        <v>3.9033287724451796E-3</v>
      </c>
      <c r="J239" s="103">
        <f t="shared" si="314"/>
        <v>3.9567433611402735E-3</v>
      </c>
      <c r="K239" s="103">
        <f t="shared" si="314"/>
        <v>4.9093788248537416E-3</v>
      </c>
      <c r="L239" s="103">
        <f t="shared" ref="L239" si="315">IF(L21=0,0,L21/L$19)</f>
        <v>4.2389932229581293E-3</v>
      </c>
      <c r="M239" s="103">
        <f t="shared" ref="M239:V239" si="316">IF(M21=0,0,M21/M$19)</f>
        <v>4.7497318788241255E-3</v>
      </c>
      <c r="N239" s="103">
        <f t="shared" si="316"/>
        <v>4.9504659309932706E-3</v>
      </c>
      <c r="O239" s="103">
        <f t="shared" si="316"/>
        <v>6.4307724597514916E-3</v>
      </c>
      <c r="P239" s="103">
        <f t="shared" si="316"/>
        <v>6.9275696762912545E-3</v>
      </c>
      <c r="Q239" s="103">
        <f t="shared" si="316"/>
        <v>6.6288392841166955E-3</v>
      </c>
      <c r="R239" s="103">
        <f t="shared" si="316"/>
        <v>5.6857798685549113E-3</v>
      </c>
      <c r="S239" s="103">
        <f t="shared" si="316"/>
        <v>5.026972341227137E-3</v>
      </c>
      <c r="T239" s="103">
        <f t="shared" si="316"/>
        <v>4.8168433852032368E-3</v>
      </c>
      <c r="U239" s="103">
        <f t="shared" si="316"/>
        <v>5.011616883758032E-3</v>
      </c>
      <c r="V239" s="103">
        <f t="shared" si="316"/>
        <v>5.9619315183372058E-3</v>
      </c>
      <c r="W239" s="103">
        <f t="shared" ref="W239" si="317">IF(W21=0,0,W21/W$19)</f>
        <v>5.8381370398291532E-3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0.10774659434558249</v>
      </c>
      <c r="C240" s="103">
        <f t="shared" si="318"/>
        <v>0.10897884406304682</v>
      </c>
      <c r="D240" s="103">
        <f t="shared" si="318"/>
        <v>0.11307953586747818</v>
      </c>
      <c r="E240" s="103">
        <f t="shared" si="318"/>
        <v>0.10778580260761633</v>
      </c>
      <c r="F240" s="103">
        <f t="shared" si="318"/>
        <v>0.1240150306202881</v>
      </c>
      <c r="G240" s="103">
        <f t="shared" si="318"/>
        <v>0.10782282770644851</v>
      </c>
      <c r="H240" s="103">
        <f t="shared" si="318"/>
        <v>0.11950413659552368</v>
      </c>
      <c r="I240" s="103">
        <f t="shared" si="318"/>
        <v>0.11539270771255798</v>
      </c>
      <c r="J240" s="103">
        <f t="shared" si="318"/>
        <v>0.11183696064764433</v>
      </c>
      <c r="K240" s="103">
        <f t="shared" si="318"/>
        <v>0.13926197355981645</v>
      </c>
      <c r="L240" s="103">
        <f t="shared" ref="L240" si="319">IF(L22=0,0,L22/L$19)</f>
        <v>0.12598518597746558</v>
      </c>
      <c r="M240" s="103">
        <f t="shared" ref="M240:V240" si="320">IF(M22=0,0,M22/M$19)</f>
        <v>0.14387955792352672</v>
      </c>
      <c r="N240" s="103">
        <f t="shared" si="320"/>
        <v>0.15111767885156907</v>
      </c>
      <c r="O240" s="103">
        <f t="shared" si="320"/>
        <v>0.19570983945861178</v>
      </c>
      <c r="P240" s="103">
        <f t="shared" si="320"/>
        <v>0.2136421735608684</v>
      </c>
      <c r="Q240" s="103">
        <f t="shared" si="320"/>
        <v>0.20504500301393427</v>
      </c>
      <c r="R240" s="103">
        <f t="shared" si="320"/>
        <v>0.17998907027739522</v>
      </c>
      <c r="S240" s="103">
        <f t="shared" si="320"/>
        <v>0.16442118155881197</v>
      </c>
      <c r="T240" s="103">
        <f t="shared" si="320"/>
        <v>0.16134535574601297</v>
      </c>
      <c r="U240" s="103">
        <f t="shared" si="320"/>
        <v>0.16596209736038253</v>
      </c>
      <c r="V240" s="103">
        <f t="shared" si="320"/>
        <v>0.19359373007888545</v>
      </c>
      <c r="W240" s="103">
        <f t="shared" ref="W240" si="321">IF(W22=0,0,W22/W$19)</f>
        <v>0.18515202207788103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0</v>
      </c>
      <c r="C241" s="103">
        <f t="shared" si="322"/>
        <v>0</v>
      </c>
      <c r="D241" s="103">
        <f t="shared" si="322"/>
        <v>0</v>
      </c>
      <c r="E241" s="103">
        <f t="shared" si="322"/>
        <v>0</v>
      </c>
      <c r="F241" s="103">
        <f t="shared" si="322"/>
        <v>0</v>
      </c>
      <c r="G241" s="103">
        <f t="shared" si="322"/>
        <v>0</v>
      </c>
      <c r="H241" s="103">
        <f t="shared" si="322"/>
        <v>0</v>
      </c>
      <c r="I241" s="103">
        <f t="shared" si="322"/>
        <v>0</v>
      </c>
      <c r="J241" s="103">
        <f t="shared" si="322"/>
        <v>0</v>
      </c>
      <c r="K241" s="103">
        <f t="shared" si="322"/>
        <v>0</v>
      </c>
      <c r="L241" s="103">
        <f t="shared" ref="L241" si="323">IF(L23=0,0,L23/L$19)</f>
        <v>0</v>
      </c>
      <c r="M241" s="103">
        <f t="shared" ref="M241:V241" si="324">IF(M23=0,0,M23/M$19)</f>
        <v>0</v>
      </c>
      <c r="N241" s="103">
        <f t="shared" si="324"/>
        <v>0</v>
      </c>
      <c r="O241" s="103">
        <f t="shared" si="324"/>
        <v>0</v>
      </c>
      <c r="P241" s="103">
        <f t="shared" si="324"/>
        <v>0</v>
      </c>
      <c r="Q241" s="103">
        <f t="shared" si="324"/>
        <v>0</v>
      </c>
      <c r="R241" s="103">
        <f t="shared" si="324"/>
        <v>0</v>
      </c>
      <c r="S241" s="103">
        <f t="shared" si="324"/>
        <v>0</v>
      </c>
      <c r="T241" s="103">
        <f t="shared" si="324"/>
        <v>0</v>
      </c>
      <c r="U241" s="103">
        <f t="shared" si="324"/>
        <v>0</v>
      </c>
      <c r="V241" s="103">
        <f t="shared" si="324"/>
        <v>0</v>
      </c>
      <c r="W241" s="103">
        <f t="shared" ref="W241" si="325">IF(W23=0,0,W23/W$19)</f>
        <v>0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0</v>
      </c>
      <c r="C242" s="103">
        <f t="shared" si="326"/>
        <v>0</v>
      </c>
      <c r="D242" s="103">
        <f t="shared" si="326"/>
        <v>0</v>
      </c>
      <c r="E242" s="103">
        <f t="shared" si="326"/>
        <v>0</v>
      </c>
      <c r="F242" s="103">
        <f t="shared" si="326"/>
        <v>0</v>
      </c>
      <c r="G242" s="103">
        <f t="shared" si="326"/>
        <v>0</v>
      </c>
      <c r="H242" s="103">
        <f t="shared" si="326"/>
        <v>0</v>
      </c>
      <c r="I242" s="103">
        <f t="shared" si="326"/>
        <v>0</v>
      </c>
      <c r="J242" s="103">
        <f t="shared" si="326"/>
        <v>0</v>
      </c>
      <c r="K242" s="103">
        <f t="shared" si="326"/>
        <v>0</v>
      </c>
      <c r="L242" s="103">
        <f t="shared" ref="L242" si="327">IF(L24=0,0,L24/L$19)</f>
        <v>0</v>
      </c>
      <c r="M242" s="103">
        <f t="shared" ref="M242:V242" si="328">IF(M24=0,0,M24/M$19)</f>
        <v>0</v>
      </c>
      <c r="N242" s="103">
        <f t="shared" si="328"/>
        <v>0</v>
      </c>
      <c r="O242" s="103">
        <f t="shared" si="328"/>
        <v>0</v>
      </c>
      <c r="P242" s="103">
        <f t="shared" si="328"/>
        <v>0</v>
      </c>
      <c r="Q242" s="103">
        <f t="shared" si="328"/>
        <v>0</v>
      </c>
      <c r="R242" s="103">
        <f t="shared" si="328"/>
        <v>0</v>
      </c>
      <c r="S242" s="103">
        <f t="shared" si="328"/>
        <v>0</v>
      </c>
      <c r="T242" s="103">
        <f t="shared" si="328"/>
        <v>0</v>
      </c>
      <c r="U242" s="103">
        <f t="shared" si="328"/>
        <v>0</v>
      </c>
      <c r="V242" s="103">
        <f t="shared" si="328"/>
        <v>0</v>
      </c>
      <c r="W242" s="103">
        <f t="shared" ref="W242" si="329">IF(W24=0,0,W24/W$19)</f>
        <v>0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0</v>
      </c>
      <c r="C243" s="103">
        <f t="shared" si="330"/>
        <v>0</v>
      </c>
      <c r="D243" s="103">
        <f t="shared" si="330"/>
        <v>0</v>
      </c>
      <c r="E243" s="103">
        <f t="shared" si="330"/>
        <v>0</v>
      </c>
      <c r="F243" s="103">
        <f t="shared" si="330"/>
        <v>0</v>
      </c>
      <c r="G243" s="103">
        <f t="shared" si="330"/>
        <v>0</v>
      </c>
      <c r="H243" s="103">
        <f t="shared" si="330"/>
        <v>0</v>
      </c>
      <c r="I243" s="103">
        <f t="shared" si="330"/>
        <v>1.3181121322468587E-6</v>
      </c>
      <c r="J243" s="103">
        <f t="shared" si="330"/>
        <v>1.8534197801743845E-6</v>
      </c>
      <c r="K243" s="103">
        <f t="shared" si="330"/>
        <v>2.5480356656643835E-6</v>
      </c>
      <c r="L243" s="103">
        <f t="shared" ref="L243" si="331">IF(L25=0,0,L25/L$19)</f>
        <v>3.8305264840905605E-6</v>
      </c>
      <c r="M243" s="103">
        <f t="shared" ref="M243:V243" si="332">IF(M25=0,0,M25/M$19)</f>
        <v>5.2245013989525333E-6</v>
      </c>
      <c r="N243" s="103">
        <f t="shared" si="332"/>
        <v>5.456597369732684E-6</v>
      </c>
      <c r="O243" s="103">
        <f t="shared" si="332"/>
        <v>7.5079232037631133E-6</v>
      </c>
      <c r="P243" s="103">
        <f t="shared" si="332"/>
        <v>7.2181628393332568E-6</v>
      </c>
      <c r="Q243" s="103">
        <f t="shared" si="332"/>
        <v>7.023462595700407E-6</v>
      </c>
      <c r="R243" s="103">
        <f t="shared" si="332"/>
        <v>5.7983622168348835E-6</v>
      </c>
      <c r="S243" s="103">
        <f t="shared" si="332"/>
        <v>5.0316523227509507E-6</v>
      </c>
      <c r="T243" s="103">
        <f t="shared" si="332"/>
        <v>3.7422687712398806E-6</v>
      </c>
      <c r="U243" s="103">
        <f t="shared" si="332"/>
        <v>6.7618727153680822E-6</v>
      </c>
      <c r="V243" s="103">
        <f t="shared" si="332"/>
        <v>9.0635123916113785E-6</v>
      </c>
      <c r="W243" s="103">
        <f t="shared" ref="W243" si="333">IF(W25=0,0,W25/W$19)</f>
        <v>1.3307812395940428E-5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0.88624189086780381</v>
      </c>
      <c r="C244" s="156">
        <f t="shared" si="334"/>
        <v>0.88484061089524446</v>
      </c>
      <c r="D244" s="156">
        <f t="shared" si="334"/>
        <v>0.8809773913640554</v>
      </c>
      <c r="E244" s="156">
        <f t="shared" si="334"/>
        <v>0.88610149506938773</v>
      </c>
      <c r="F244" s="156">
        <f t="shared" si="334"/>
        <v>0.86970196354362661</v>
      </c>
      <c r="G244" s="156">
        <f t="shared" si="334"/>
        <v>0.88821465358186813</v>
      </c>
      <c r="H244" s="156">
        <f t="shared" si="334"/>
        <v>0.87610429824084723</v>
      </c>
      <c r="I244" s="156">
        <f t="shared" si="334"/>
        <v>0.88070264540286469</v>
      </c>
      <c r="J244" s="156">
        <f t="shared" si="334"/>
        <v>0.88420444257143516</v>
      </c>
      <c r="K244" s="156">
        <f t="shared" si="334"/>
        <v>0.85582609957966416</v>
      </c>
      <c r="L244" s="156">
        <f t="shared" ref="L244" si="335">IF(L26=0,0,L26/L$19)</f>
        <v>0.86977199027309227</v>
      </c>
      <c r="M244" s="156">
        <f t="shared" ref="M244:V244" si="336">IF(M26=0,0,M26/M$19)</f>
        <v>0.85136548569625026</v>
      </c>
      <c r="N244" s="156">
        <f t="shared" si="336"/>
        <v>0.84392639862006791</v>
      </c>
      <c r="O244" s="156">
        <f t="shared" si="336"/>
        <v>0.79785188015843289</v>
      </c>
      <c r="P244" s="156">
        <f t="shared" si="336"/>
        <v>0.77942303860000106</v>
      </c>
      <c r="Q244" s="156">
        <f t="shared" si="336"/>
        <v>0.7883191342393534</v>
      </c>
      <c r="R244" s="156">
        <f t="shared" si="336"/>
        <v>0.81431935149183299</v>
      </c>
      <c r="S244" s="156">
        <f t="shared" si="336"/>
        <v>0.83054681444763812</v>
      </c>
      <c r="T244" s="156">
        <f t="shared" si="336"/>
        <v>0.83383405860001247</v>
      </c>
      <c r="U244" s="156">
        <f t="shared" si="336"/>
        <v>0.82901952388314415</v>
      </c>
      <c r="V244" s="156">
        <f t="shared" si="336"/>
        <v>0.8004352748903858</v>
      </c>
      <c r="W244" s="156">
        <f t="shared" ref="W244" si="337">IF(W26=0,0,W26/W$19)</f>
        <v>0.80899653306989394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0.88624189086780381</v>
      </c>
      <c r="C245" s="103">
        <f t="shared" si="338"/>
        <v>0.88484061089524446</v>
      </c>
      <c r="D245" s="103">
        <f t="shared" si="338"/>
        <v>0.8809773913640554</v>
      </c>
      <c r="E245" s="103">
        <f t="shared" si="338"/>
        <v>0.88610149506938773</v>
      </c>
      <c r="F245" s="103">
        <f t="shared" si="338"/>
        <v>0.86970196354362661</v>
      </c>
      <c r="G245" s="103">
        <f t="shared" si="338"/>
        <v>0.88821465358186813</v>
      </c>
      <c r="H245" s="103">
        <f t="shared" si="338"/>
        <v>0.87610429824084723</v>
      </c>
      <c r="I245" s="103">
        <f t="shared" si="338"/>
        <v>0.88070264540286469</v>
      </c>
      <c r="J245" s="103">
        <f t="shared" si="338"/>
        <v>0.88420444257143516</v>
      </c>
      <c r="K245" s="103">
        <f t="shared" si="338"/>
        <v>0.85582609957966416</v>
      </c>
      <c r="L245" s="103">
        <f t="shared" ref="L245" si="339">IF(L27=0,0,L27/L$19)</f>
        <v>0.86977199027309227</v>
      </c>
      <c r="M245" s="103">
        <f t="shared" ref="M245:V245" si="340">IF(M27=0,0,M27/M$19)</f>
        <v>0.85136548569625026</v>
      </c>
      <c r="N245" s="103">
        <f t="shared" si="340"/>
        <v>0.84392639862006791</v>
      </c>
      <c r="O245" s="103">
        <f t="shared" si="340"/>
        <v>0.79785188015843289</v>
      </c>
      <c r="P245" s="103">
        <f t="shared" si="340"/>
        <v>0.77942303860000106</v>
      </c>
      <c r="Q245" s="103">
        <f t="shared" si="340"/>
        <v>0.7883191342393534</v>
      </c>
      <c r="R245" s="103">
        <f t="shared" si="340"/>
        <v>0.81431935149183299</v>
      </c>
      <c r="S245" s="103">
        <f t="shared" si="340"/>
        <v>0.83054681444763812</v>
      </c>
      <c r="T245" s="103">
        <f t="shared" si="340"/>
        <v>0.83383405860001247</v>
      </c>
      <c r="U245" s="103">
        <f t="shared" si="340"/>
        <v>0.82901952388314415</v>
      </c>
      <c r="V245" s="103">
        <f t="shared" si="340"/>
        <v>0.8004352748903858</v>
      </c>
      <c r="W245" s="103">
        <f t="shared" ref="W245" si="341">IF(W27=0,0,W27/W$19)</f>
        <v>0.80899653306989394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0</v>
      </c>
      <c r="C246" s="105">
        <f t="shared" si="342"/>
        <v>0</v>
      </c>
      <c r="D246" s="105">
        <f t="shared" si="342"/>
        <v>0</v>
      </c>
      <c r="E246" s="105">
        <f t="shared" si="342"/>
        <v>0</v>
      </c>
      <c r="F246" s="105">
        <f t="shared" si="342"/>
        <v>0</v>
      </c>
      <c r="G246" s="105">
        <f t="shared" si="342"/>
        <v>0</v>
      </c>
      <c r="H246" s="105">
        <f t="shared" si="342"/>
        <v>0</v>
      </c>
      <c r="I246" s="105">
        <f t="shared" si="342"/>
        <v>0</v>
      </c>
      <c r="J246" s="105">
        <f t="shared" si="342"/>
        <v>0</v>
      </c>
      <c r="K246" s="105">
        <f t="shared" si="342"/>
        <v>0</v>
      </c>
      <c r="L246" s="105">
        <f t="shared" ref="L246" si="343">IF(L28=0,0,L28/L$19)</f>
        <v>0</v>
      </c>
      <c r="M246" s="105">
        <f t="shared" ref="M246:V246" si="344">IF(M28=0,0,M28/M$19)</f>
        <v>0</v>
      </c>
      <c r="N246" s="105">
        <f t="shared" si="344"/>
        <v>0</v>
      </c>
      <c r="O246" s="105">
        <f t="shared" si="344"/>
        <v>0</v>
      </c>
      <c r="P246" s="105">
        <f t="shared" si="344"/>
        <v>0</v>
      </c>
      <c r="Q246" s="105">
        <f t="shared" si="344"/>
        <v>0</v>
      </c>
      <c r="R246" s="105">
        <f t="shared" si="344"/>
        <v>0</v>
      </c>
      <c r="S246" s="105">
        <f t="shared" si="344"/>
        <v>0</v>
      </c>
      <c r="T246" s="105">
        <f t="shared" si="344"/>
        <v>0</v>
      </c>
      <c r="U246" s="105">
        <f t="shared" si="344"/>
        <v>0</v>
      </c>
      <c r="V246" s="105">
        <f t="shared" si="344"/>
        <v>0</v>
      </c>
      <c r="W246" s="105">
        <f t="shared" ref="W246" si="345">IF(W28=0,0,W28/W$19)</f>
        <v>0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3.9111514334029721E-2</v>
      </c>
      <c r="C250" s="154">
        <f t="shared" si="350"/>
        <v>3.6850315784220052E-2</v>
      </c>
      <c r="D250" s="154">
        <f t="shared" si="350"/>
        <v>3.5353400771724282E-2</v>
      </c>
      <c r="E250" s="154">
        <f t="shared" si="350"/>
        <v>3.4395503663694683E-2</v>
      </c>
      <c r="F250" s="154">
        <f t="shared" si="350"/>
        <v>3.1469526035107942E-2</v>
      </c>
      <c r="G250" s="154">
        <f t="shared" si="350"/>
        <v>2.9639947538942373E-2</v>
      </c>
      <c r="H250" s="154">
        <f t="shared" si="350"/>
        <v>2.8417426041817091E-2</v>
      </c>
      <c r="I250" s="154">
        <f t="shared" si="350"/>
        <v>2.6381050384472183E-2</v>
      </c>
      <c r="J250" s="154">
        <f t="shared" si="350"/>
        <v>2.5203444386447497E-2</v>
      </c>
      <c r="K250" s="154">
        <f t="shared" si="350"/>
        <v>2.4259233255518205E-2</v>
      </c>
      <c r="L250" s="154">
        <f t="shared" ref="L250" si="351">IF(L32=0,0,L32/L$31)</f>
        <v>2.3577640477879542E-2</v>
      </c>
      <c r="M250" s="154">
        <f t="shared" ref="M250:V250" si="352">IF(M32=0,0,M32/M$31)</f>
        <v>2.2970259157616493E-2</v>
      </c>
      <c r="N250" s="154">
        <f t="shared" si="352"/>
        <v>2.3702376583351399E-2</v>
      </c>
      <c r="O250" s="154">
        <f t="shared" si="352"/>
        <v>2.3565620547862223E-2</v>
      </c>
      <c r="P250" s="154">
        <f t="shared" si="352"/>
        <v>2.373763508919733E-2</v>
      </c>
      <c r="Q250" s="154">
        <f t="shared" si="352"/>
        <v>2.2794785646034547E-2</v>
      </c>
      <c r="R250" s="154">
        <f t="shared" si="352"/>
        <v>2.0113027471667277E-2</v>
      </c>
      <c r="S250" s="154">
        <f t="shared" si="352"/>
        <v>1.8682179810389301E-2</v>
      </c>
      <c r="T250" s="154">
        <f t="shared" si="352"/>
        <v>1.7136169119418388E-2</v>
      </c>
      <c r="U250" s="154">
        <f t="shared" si="352"/>
        <v>1.7430036830683851E-2</v>
      </c>
      <c r="V250" s="154">
        <f t="shared" si="352"/>
        <v>1.6946172881994171E-2</v>
      </c>
      <c r="W250" s="154">
        <f t="shared" ref="W250" si="353">IF(W32=0,0,W32/W$31)</f>
        <v>1.7108675991171548E-2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0.9197431228800429</v>
      </c>
      <c r="C251" s="156">
        <f t="shared" si="354"/>
        <v>0.92239850525197487</v>
      </c>
      <c r="D251" s="156">
        <f t="shared" si="354"/>
        <v>0.92339822526040949</v>
      </c>
      <c r="E251" s="156">
        <f t="shared" si="354"/>
        <v>0.92350767446154114</v>
      </c>
      <c r="F251" s="156">
        <f t="shared" si="354"/>
        <v>0.93124686718467065</v>
      </c>
      <c r="G251" s="156">
        <f t="shared" si="354"/>
        <v>0.93434592053804721</v>
      </c>
      <c r="H251" s="156">
        <f t="shared" si="354"/>
        <v>0.93665419478162715</v>
      </c>
      <c r="I251" s="156">
        <f t="shared" si="354"/>
        <v>0.94123846285584234</v>
      </c>
      <c r="J251" s="156">
        <f t="shared" si="354"/>
        <v>0.94417483863956775</v>
      </c>
      <c r="K251" s="156">
        <f t="shared" si="354"/>
        <v>0.94750150303298009</v>
      </c>
      <c r="L251" s="156">
        <f t="shared" ref="L251" si="355">IF(L33=0,0,L33/L$31)</f>
        <v>0.94913170479575593</v>
      </c>
      <c r="M251" s="156">
        <f t="shared" ref="M251:V251" si="356">IF(M33=0,0,M33/M$31)</f>
        <v>0.94954631752054552</v>
      </c>
      <c r="N251" s="156">
        <f t="shared" si="356"/>
        <v>0.9477933623424033</v>
      </c>
      <c r="O251" s="156">
        <f t="shared" si="356"/>
        <v>0.94827533920086948</v>
      </c>
      <c r="P251" s="156">
        <f t="shared" si="356"/>
        <v>0.94836895530292276</v>
      </c>
      <c r="Q251" s="156">
        <f t="shared" si="356"/>
        <v>0.94830707722325691</v>
      </c>
      <c r="R251" s="156">
        <f t="shared" si="356"/>
        <v>0.95337089578026446</v>
      </c>
      <c r="S251" s="156">
        <f t="shared" si="356"/>
        <v>0.9541531981116238</v>
      </c>
      <c r="T251" s="156">
        <f t="shared" si="356"/>
        <v>0.95583306445233751</v>
      </c>
      <c r="U251" s="156">
        <f t="shared" si="356"/>
        <v>0.95631218676962637</v>
      </c>
      <c r="V251" s="156">
        <f t="shared" si="356"/>
        <v>0.96058394613159082</v>
      </c>
      <c r="W251" s="156">
        <f t="shared" ref="W251" si="357">IF(W33=0,0,W33/W$31)</f>
        <v>0.95977295570408661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0.76265002464150233</v>
      </c>
      <c r="C252" s="103">
        <f t="shared" si="358"/>
        <v>0.76033196802035929</v>
      </c>
      <c r="D252" s="103">
        <f t="shared" si="358"/>
        <v>0.76663627895586639</v>
      </c>
      <c r="E252" s="103">
        <f t="shared" si="358"/>
        <v>0.77493479890589867</v>
      </c>
      <c r="F252" s="103">
        <f t="shared" si="358"/>
        <v>0.79714596006998661</v>
      </c>
      <c r="G252" s="103">
        <f t="shared" si="358"/>
        <v>0.81072024429525402</v>
      </c>
      <c r="H252" s="103">
        <f t="shared" si="358"/>
        <v>0.82199197031450966</v>
      </c>
      <c r="I252" s="103">
        <f t="shared" si="358"/>
        <v>0.83104560642859671</v>
      </c>
      <c r="J252" s="103">
        <f t="shared" si="358"/>
        <v>0.83367205888130369</v>
      </c>
      <c r="K252" s="103">
        <f t="shared" si="358"/>
        <v>0.83498246070918081</v>
      </c>
      <c r="L252" s="103">
        <f t="shared" ref="L252" si="359">IF(L34=0,0,L34/L$31)</f>
        <v>0.83624537025304546</v>
      </c>
      <c r="M252" s="103">
        <f t="shared" ref="M252:V252" si="360">IF(M34=0,0,M34/M$31)</f>
        <v>0.8378850340040217</v>
      </c>
      <c r="N252" s="103">
        <f t="shared" si="360"/>
        <v>0.84135806988426076</v>
      </c>
      <c r="O252" s="103">
        <f t="shared" si="360"/>
        <v>0.84413767240701831</v>
      </c>
      <c r="P252" s="103">
        <f t="shared" si="360"/>
        <v>0.83969543321920659</v>
      </c>
      <c r="Q252" s="103">
        <f t="shared" si="360"/>
        <v>0.83051718421592269</v>
      </c>
      <c r="R252" s="103">
        <f t="shared" si="360"/>
        <v>0.82987195731429608</v>
      </c>
      <c r="S252" s="103">
        <f t="shared" si="360"/>
        <v>0.80953819311584441</v>
      </c>
      <c r="T252" s="103">
        <f t="shared" si="360"/>
        <v>0.78663558359127106</v>
      </c>
      <c r="U252" s="103">
        <f t="shared" si="360"/>
        <v>0.76604134368809484</v>
      </c>
      <c r="V252" s="103">
        <f t="shared" si="360"/>
        <v>0.75293845195384346</v>
      </c>
      <c r="W252" s="103">
        <f t="shared" ref="W252" si="361">IF(W34=0,0,W34/W$31)</f>
        <v>0.74742022988057666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0.15709309823854054</v>
      </c>
      <c r="C253" s="103">
        <f t="shared" si="362"/>
        <v>0.16206653723161565</v>
      </c>
      <c r="D253" s="103">
        <f t="shared" si="362"/>
        <v>0.15676194630454299</v>
      </c>
      <c r="E253" s="103">
        <f t="shared" si="362"/>
        <v>0.14857287555564247</v>
      </c>
      <c r="F253" s="103">
        <f t="shared" si="362"/>
        <v>0.13410090711468403</v>
      </c>
      <c r="G253" s="103">
        <f t="shared" si="362"/>
        <v>0.12362567624279321</v>
      </c>
      <c r="H253" s="103">
        <f t="shared" si="362"/>
        <v>0.11466222446711744</v>
      </c>
      <c r="I253" s="103">
        <f t="shared" si="362"/>
        <v>0.1101928564272457</v>
      </c>
      <c r="J253" s="103">
        <f t="shared" si="362"/>
        <v>0.11050277975826404</v>
      </c>
      <c r="K253" s="103">
        <f t="shared" si="362"/>
        <v>0.11251904232379935</v>
      </c>
      <c r="L253" s="103">
        <f t="shared" ref="L253" si="363">IF(L35=0,0,L35/L$31)</f>
        <v>0.11288633454271042</v>
      </c>
      <c r="M253" s="103">
        <f t="shared" ref="M253:V253" si="364">IF(M35=0,0,M35/M$31)</f>
        <v>0.11166128351652384</v>
      </c>
      <c r="N253" s="103">
        <f t="shared" si="364"/>
        <v>0.10643529245814246</v>
      </c>
      <c r="O253" s="103">
        <f t="shared" si="364"/>
        <v>0.10412545220732404</v>
      </c>
      <c r="P253" s="103">
        <f t="shared" si="364"/>
        <v>0.10863753876268513</v>
      </c>
      <c r="Q253" s="103">
        <f t="shared" si="364"/>
        <v>0.11769120835352044</v>
      </c>
      <c r="R253" s="103">
        <f t="shared" si="364"/>
        <v>0.12335451188683208</v>
      </c>
      <c r="S253" s="103">
        <f t="shared" si="364"/>
        <v>0.1442812176968428</v>
      </c>
      <c r="T253" s="103">
        <f t="shared" si="364"/>
        <v>0.16714787594094968</v>
      </c>
      <c r="U253" s="103">
        <f t="shared" si="364"/>
        <v>0.18809815140563169</v>
      </c>
      <c r="V253" s="103">
        <f t="shared" si="364"/>
        <v>0.20537197653385492</v>
      </c>
      <c r="W253" s="103">
        <f t="shared" ref="W253" si="365">IF(W35=0,0,W35/W$31)</f>
        <v>0.20972213737506429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0</v>
      </c>
      <c r="C254" s="103">
        <f t="shared" si="366"/>
        <v>0</v>
      </c>
      <c r="D254" s="103">
        <f t="shared" si="366"/>
        <v>0</v>
      </c>
      <c r="E254" s="103">
        <f t="shared" si="366"/>
        <v>0</v>
      </c>
      <c r="F254" s="103">
        <f t="shared" si="366"/>
        <v>0</v>
      </c>
      <c r="G254" s="103">
        <f t="shared" si="366"/>
        <v>0</v>
      </c>
      <c r="H254" s="103">
        <f t="shared" si="366"/>
        <v>0</v>
      </c>
      <c r="I254" s="103">
        <f t="shared" si="366"/>
        <v>0</v>
      </c>
      <c r="J254" s="103">
        <f t="shared" si="366"/>
        <v>0</v>
      </c>
      <c r="K254" s="103">
        <f t="shared" si="366"/>
        <v>0</v>
      </c>
      <c r="L254" s="103">
        <f t="shared" ref="L254" si="367">IF(L36=0,0,L36/L$31)</f>
        <v>0</v>
      </c>
      <c r="M254" s="103">
        <f t="shared" ref="M254:V254" si="368">IF(M36=0,0,M36/M$31)</f>
        <v>0</v>
      </c>
      <c r="N254" s="103">
        <f t="shared" si="368"/>
        <v>0</v>
      </c>
      <c r="O254" s="103">
        <f t="shared" si="368"/>
        <v>0</v>
      </c>
      <c r="P254" s="103">
        <f t="shared" si="368"/>
        <v>0</v>
      </c>
      <c r="Q254" s="103">
        <f t="shared" si="368"/>
        <v>0</v>
      </c>
      <c r="R254" s="103">
        <f t="shared" si="368"/>
        <v>0</v>
      </c>
      <c r="S254" s="103">
        <f t="shared" si="368"/>
        <v>0</v>
      </c>
      <c r="T254" s="103">
        <f t="shared" si="368"/>
        <v>1.5530491471400308E-3</v>
      </c>
      <c r="U254" s="103">
        <f t="shared" si="368"/>
        <v>1.4591474819326967E-3</v>
      </c>
      <c r="V254" s="103">
        <f t="shared" si="368"/>
        <v>1.3662030604922276E-3</v>
      </c>
      <c r="W254" s="103">
        <f t="shared" ref="W254" si="369">IF(W36=0,0,W36/W$31)</f>
        <v>1.3547281550397832E-3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0</v>
      </c>
      <c r="C255" s="103">
        <f t="shared" si="370"/>
        <v>0</v>
      </c>
      <c r="D255" s="103">
        <f t="shared" si="370"/>
        <v>0</v>
      </c>
      <c r="E255" s="103">
        <f t="shared" si="370"/>
        <v>0</v>
      </c>
      <c r="F255" s="103">
        <f t="shared" si="370"/>
        <v>0</v>
      </c>
      <c r="G255" s="103">
        <f t="shared" si="370"/>
        <v>0</v>
      </c>
      <c r="H255" s="103">
        <f t="shared" si="370"/>
        <v>0</v>
      </c>
      <c r="I255" s="103">
        <f t="shared" si="370"/>
        <v>0</v>
      </c>
      <c r="J255" s="103">
        <f t="shared" si="370"/>
        <v>0</v>
      </c>
      <c r="K255" s="103">
        <f t="shared" si="370"/>
        <v>0</v>
      </c>
      <c r="L255" s="103">
        <f t="shared" ref="L255" si="371">IF(L37=0,0,L37/L$31)</f>
        <v>0</v>
      </c>
      <c r="M255" s="103">
        <f t="shared" ref="M255:V255" si="372">IF(M37=0,0,M37/M$31)</f>
        <v>0</v>
      </c>
      <c r="N255" s="103">
        <f t="shared" si="372"/>
        <v>0</v>
      </c>
      <c r="O255" s="103">
        <f t="shared" si="372"/>
        <v>0</v>
      </c>
      <c r="P255" s="103">
        <f t="shared" si="372"/>
        <v>0</v>
      </c>
      <c r="Q255" s="103">
        <f t="shared" si="372"/>
        <v>0</v>
      </c>
      <c r="R255" s="103">
        <f t="shared" si="372"/>
        <v>0</v>
      </c>
      <c r="S255" s="103">
        <f t="shared" si="372"/>
        <v>0</v>
      </c>
      <c r="T255" s="103">
        <f t="shared" si="372"/>
        <v>0</v>
      </c>
      <c r="U255" s="103">
        <f t="shared" si="372"/>
        <v>0</v>
      </c>
      <c r="V255" s="103">
        <f t="shared" si="372"/>
        <v>0</v>
      </c>
      <c r="W255" s="103">
        <f t="shared" ref="W255" si="373">IF(W37=0,0,W37/W$31)</f>
        <v>0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0</v>
      </c>
      <c r="K256" s="103">
        <f t="shared" si="374"/>
        <v>0</v>
      </c>
      <c r="L256" s="103">
        <f t="shared" ref="L256" si="375">IF(L38=0,0,L38/L$31)</f>
        <v>0</v>
      </c>
      <c r="M256" s="103">
        <f t="shared" ref="M256:V256" si="376">IF(M38=0,0,M38/M$31)</f>
        <v>0</v>
      </c>
      <c r="N256" s="103">
        <f t="shared" si="376"/>
        <v>0</v>
      </c>
      <c r="O256" s="103">
        <f t="shared" si="376"/>
        <v>0</v>
      </c>
      <c r="P256" s="103">
        <f t="shared" si="376"/>
        <v>5.5804193193863201E-6</v>
      </c>
      <c r="Q256" s="103">
        <f t="shared" si="376"/>
        <v>5.2920916048865392E-5</v>
      </c>
      <c r="R256" s="103">
        <f t="shared" si="376"/>
        <v>8.3197063509193181E-5</v>
      </c>
      <c r="S256" s="103">
        <f t="shared" si="376"/>
        <v>1.7849399944708919E-4</v>
      </c>
      <c r="T256" s="103">
        <f t="shared" si="376"/>
        <v>2.5878993270329995E-4</v>
      </c>
      <c r="U256" s="103">
        <f t="shared" si="376"/>
        <v>3.8025985654089608E-4</v>
      </c>
      <c r="V256" s="103">
        <f t="shared" si="376"/>
        <v>4.9945459941230048E-4</v>
      </c>
      <c r="W256" s="103">
        <f t="shared" ref="W256" si="377">IF(W38=0,0,W38/W$31)</f>
        <v>7.1116657153683419E-4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0</v>
      </c>
      <c r="F257" s="103">
        <f t="shared" si="378"/>
        <v>0</v>
      </c>
      <c r="G257" s="103">
        <f t="shared" si="378"/>
        <v>0</v>
      </c>
      <c r="H257" s="103">
        <f t="shared" si="378"/>
        <v>0</v>
      </c>
      <c r="I257" s="103">
        <f t="shared" si="378"/>
        <v>0</v>
      </c>
      <c r="J257" s="103">
        <f t="shared" si="378"/>
        <v>0</v>
      </c>
      <c r="K257" s="103">
        <f t="shared" si="378"/>
        <v>0</v>
      </c>
      <c r="L257" s="103">
        <f t="shared" ref="L257" si="379">IF(L39=0,0,L39/L$31)</f>
        <v>0</v>
      </c>
      <c r="M257" s="103">
        <f t="shared" ref="M257:V257" si="380">IF(M39=0,0,M39/M$31)</f>
        <v>0</v>
      </c>
      <c r="N257" s="103">
        <f t="shared" si="380"/>
        <v>0</v>
      </c>
      <c r="O257" s="103">
        <f t="shared" si="380"/>
        <v>1.2214586527169278E-5</v>
      </c>
      <c r="P257" s="103">
        <f t="shared" si="380"/>
        <v>3.0402901711663576E-5</v>
      </c>
      <c r="Q257" s="103">
        <f t="shared" si="380"/>
        <v>4.5763737764986766E-5</v>
      </c>
      <c r="R257" s="103">
        <f t="shared" si="380"/>
        <v>6.1229515627251921E-5</v>
      </c>
      <c r="S257" s="103">
        <f t="shared" si="380"/>
        <v>1.5529329948948801E-4</v>
      </c>
      <c r="T257" s="103">
        <f t="shared" si="380"/>
        <v>2.3776584027360728E-4</v>
      </c>
      <c r="U257" s="103">
        <f t="shared" si="380"/>
        <v>3.3328433742621283E-4</v>
      </c>
      <c r="V257" s="103">
        <f t="shared" si="380"/>
        <v>4.0785998398793101E-4</v>
      </c>
      <c r="W257" s="103">
        <f t="shared" ref="W257" si="381">IF(W39=0,0,W39/W$31)</f>
        <v>5.6469372186885029E-4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4.1145362785927495E-2</v>
      </c>
      <c r="C258" s="156">
        <f t="shared" si="382"/>
        <v>4.0751178963805083E-2</v>
      </c>
      <c r="D258" s="156">
        <f t="shared" si="382"/>
        <v>4.1248373967866181E-2</v>
      </c>
      <c r="E258" s="156">
        <f t="shared" si="382"/>
        <v>4.2096821874764163E-2</v>
      </c>
      <c r="F258" s="156">
        <f t="shared" si="382"/>
        <v>3.7283606780221426E-2</v>
      </c>
      <c r="G258" s="156">
        <f t="shared" si="382"/>
        <v>3.6014131923010541E-2</v>
      </c>
      <c r="H258" s="156">
        <f t="shared" si="382"/>
        <v>3.4928379176555849E-2</v>
      </c>
      <c r="I258" s="156">
        <f t="shared" si="382"/>
        <v>3.2380486759685495E-2</v>
      </c>
      <c r="J258" s="156">
        <f t="shared" si="382"/>
        <v>3.0621716973984713E-2</v>
      </c>
      <c r="K258" s="156">
        <f t="shared" si="382"/>
        <v>2.823926371150166E-2</v>
      </c>
      <c r="L258" s="156">
        <f t="shared" ref="L258" si="383">IF(L40=0,0,L40/L$31)</f>
        <v>2.7290654726364508E-2</v>
      </c>
      <c r="M258" s="156">
        <f t="shared" ref="M258:V258" si="384">IF(M40=0,0,M40/M$31)</f>
        <v>2.7483423321838066E-2</v>
      </c>
      <c r="N258" s="156">
        <f t="shared" si="384"/>
        <v>2.8504261074245359E-2</v>
      </c>
      <c r="O258" s="156">
        <f t="shared" si="384"/>
        <v>2.8159040251268159E-2</v>
      </c>
      <c r="P258" s="156">
        <f t="shared" si="384"/>
        <v>2.7893409607879938E-2</v>
      </c>
      <c r="Q258" s="156">
        <f t="shared" si="384"/>
        <v>2.8898137130708382E-2</v>
      </c>
      <c r="R258" s="156">
        <f t="shared" si="384"/>
        <v>2.6516076748068308E-2</v>
      </c>
      <c r="S258" s="156">
        <f t="shared" si="384"/>
        <v>2.716462207798688E-2</v>
      </c>
      <c r="T258" s="156">
        <f t="shared" si="384"/>
        <v>2.7030766428244039E-2</v>
      </c>
      <c r="U258" s="156">
        <f t="shared" si="384"/>
        <v>2.6257776399689674E-2</v>
      </c>
      <c r="V258" s="156">
        <f t="shared" si="384"/>
        <v>2.2469880986414996E-2</v>
      </c>
      <c r="W258" s="156">
        <f t="shared" ref="W258" si="385">IF(W40=0,0,W40/W$31)</f>
        <v>2.3118368304741847E-2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1.3831711710251028E-3</v>
      </c>
      <c r="C259" s="103">
        <f t="shared" si="386"/>
        <v>1.3074395280740295E-3</v>
      </c>
      <c r="D259" s="103">
        <f t="shared" si="386"/>
        <v>1.2404163504494963E-3</v>
      </c>
      <c r="E259" s="103">
        <f t="shared" si="386"/>
        <v>1.1952519301018838E-3</v>
      </c>
      <c r="F259" s="103">
        <f t="shared" si="386"/>
        <v>1.0796913983330762E-3</v>
      </c>
      <c r="G259" s="103">
        <f t="shared" si="386"/>
        <v>1.0228902303097628E-3</v>
      </c>
      <c r="H259" s="103">
        <f t="shared" si="386"/>
        <v>1.0019049588843633E-3</v>
      </c>
      <c r="I259" s="103">
        <f t="shared" si="386"/>
        <v>9.1360035085427628E-4</v>
      </c>
      <c r="J259" s="103">
        <f t="shared" si="386"/>
        <v>8.5731318347033794E-4</v>
      </c>
      <c r="K259" s="103">
        <f t="shared" si="386"/>
        <v>8.1080195488844706E-4</v>
      </c>
      <c r="L259" s="103">
        <f t="shared" ref="L259" si="387">IF(L41=0,0,L41/L$31)</f>
        <v>8.0525380546940485E-4</v>
      </c>
      <c r="M259" s="103">
        <f t="shared" ref="M259:V259" si="388">IF(M41=0,0,M41/M$31)</f>
        <v>8.0829072827268199E-4</v>
      </c>
      <c r="N259" s="103">
        <f t="shared" si="388"/>
        <v>8.260282516228439E-4</v>
      </c>
      <c r="O259" s="103">
        <f t="shared" si="388"/>
        <v>8.2155592956398391E-4</v>
      </c>
      <c r="P259" s="103">
        <f t="shared" si="388"/>
        <v>2.8380163714818494E-4</v>
      </c>
      <c r="Q259" s="103">
        <f t="shared" si="388"/>
        <v>2.4581668352251061E-4</v>
      </c>
      <c r="R259" s="103">
        <f t="shared" si="388"/>
        <v>2.14823741416115E-4</v>
      </c>
      <c r="S259" s="103">
        <f t="shared" si="388"/>
        <v>2.1935621939486234E-4</v>
      </c>
      <c r="T259" s="103">
        <f t="shared" si="388"/>
        <v>2.2122603999389661E-4</v>
      </c>
      <c r="U259" s="103">
        <f t="shared" si="388"/>
        <v>2.1270714399537991E-4</v>
      </c>
      <c r="V259" s="103">
        <f t="shared" si="388"/>
        <v>2.2403409139371263E-4</v>
      </c>
      <c r="W259" s="103">
        <f t="shared" ref="W259" si="389">IF(W41=0,0,W41/W$31)</f>
        <v>2.1172494118496321E-4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3.9762191614902388E-2</v>
      </c>
      <c r="C260" s="103">
        <f t="shared" si="390"/>
        <v>3.9443739435731061E-2</v>
      </c>
      <c r="D260" s="103">
        <f t="shared" si="390"/>
        <v>4.0007957617416684E-2</v>
      </c>
      <c r="E260" s="103">
        <f t="shared" si="390"/>
        <v>4.0901569944662278E-2</v>
      </c>
      <c r="F260" s="103">
        <f t="shared" si="390"/>
        <v>3.6203915381888351E-2</v>
      </c>
      <c r="G260" s="103">
        <f t="shared" si="390"/>
        <v>3.4991241692700778E-2</v>
      </c>
      <c r="H260" s="103">
        <f t="shared" si="390"/>
        <v>3.3926474217671483E-2</v>
      </c>
      <c r="I260" s="103">
        <f t="shared" si="390"/>
        <v>3.1466886408831218E-2</v>
      </c>
      <c r="J260" s="103">
        <f t="shared" si="390"/>
        <v>2.9756995371278232E-2</v>
      </c>
      <c r="K260" s="103">
        <f t="shared" si="390"/>
        <v>2.742130929265079E-2</v>
      </c>
      <c r="L260" s="103">
        <f t="shared" ref="L260" si="391">IF(L42=0,0,L42/L$31)</f>
        <v>2.6478394708267128E-2</v>
      </c>
      <c r="M260" s="103">
        <f t="shared" ref="M260:V260" si="392">IF(M42=0,0,M42/M$31)</f>
        <v>2.666819499342464E-2</v>
      </c>
      <c r="N260" s="103">
        <f t="shared" si="392"/>
        <v>2.7671190563256641E-2</v>
      </c>
      <c r="O260" s="103">
        <f t="shared" si="392"/>
        <v>2.7330384896582179E-2</v>
      </c>
      <c r="P260" s="103">
        <f t="shared" si="392"/>
        <v>2.7602539131515207E-2</v>
      </c>
      <c r="Q260" s="103">
        <f t="shared" si="392"/>
        <v>2.8645381361912452E-2</v>
      </c>
      <c r="R260" s="103">
        <f t="shared" si="392"/>
        <v>2.6295131219755269E-2</v>
      </c>
      <c r="S260" s="103">
        <f t="shared" si="392"/>
        <v>2.6939236275259355E-2</v>
      </c>
      <c r="T260" s="103">
        <f t="shared" si="392"/>
        <v>2.6803745268501319E-2</v>
      </c>
      <c r="U260" s="103">
        <f t="shared" si="392"/>
        <v>2.6039487918480996E-2</v>
      </c>
      <c r="V260" s="103">
        <f t="shared" si="392"/>
        <v>2.2239829491099816E-2</v>
      </c>
      <c r="W260" s="103">
        <f t="shared" ref="W260" si="393">IF(W42=0,0,W42/W$31)</f>
        <v>2.2900746737994488E-2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0</v>
      </c>
      <c r="C261" s="103">
        <f t="shared" si="394"/>
        <v>0</v>
      </c>
      <c r="D261" s="103">
        <f t="shared" si="394"/>
        <v>0</v>
      </c>
      <c r="E261" s="103">
        <f t="shared" si="394"/>
        <v>0</v>
      </c>
      <c r="F261" s="103">
        <f t="shared" si="394"/>
        <v>0</v>
      </c>
      <c r="G261" s="103">
        <f t="shared" si="394"/>
        <v>0</v>
      </c>
      <c r="H261" s="103">
        <f t="shared" si="394"/>
        <v>0</v>
      </c>
      <c r="I261" s="103">
        <f t="shared" si="394"/>
        <v>0</v>
      </c>
      <c r="J261" s="103">
        <f t="shared" si="394"/>
        <v>0</v>
      </c>
      <c r="K261" s="103">
        <f t="shared" si="394"/>
        <v>0</v>
      </c>
      <c r="L261" s="103">
        <f t="shared" ref="L261" si="395">IF(L43=0,0,L43/L$31)</f>
        <v>0</v>
      </c>
      <c r="M261" s="103">
        <f t="shared" ref="M261:V261" si="396">IF(M43=0,0,M43/M$31)</f>
        <v>0</v>
      </c>
      <c r="N261" s="103">
        <f t="shared" si="396"/>
        <v>0</v>
      </c>
      <c r="O261" s="103">
        <f t="shared" si="396"/>
        <v>0</v>
      </c>
      <c r="P261" s="103">
        <f t="shared" si="396"/>
        <v>0</v>
      </c>
      <c r="Q261" s="103">
        <f t="shared" si="396"/>
        <v>0</v>
      </c>
      <c r="R261" s="103">
        <f t="shared" si="396"/>
        <v>0</v>
      </c>
      <c r="S261" s="103">
        <f t="shared" si="396"/>
        <v>0</v>
      </c>
      <c r="T261" s="103">
        <f t="shared" si="396"/>
        <v>0</v>
      </c>
      <c r="U261" s="103">
        <f t="shared" si="396"/>
        <v>0</v>
      </c>
      <c r="V261" s="103">
        <f t="shared" si="396"/>
        <v>0</v>
      </c>
      <c r="W261" s="103">
        <f t="shared" ref="W261" si="397">IF(W43=0,0,W43/W$31)</f>
        <v>0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0</v>
      </c>
      <c r="C262" s="103">
        <f t="shared" si="398"/>
        <v>0</v>
      </c>
      <c r="D262" s="103">
        <f t="shared" si="398"/>
        <v>0</v>
      </c>
      <c r="E262" s="103">
        <f t="shared" si="398"/>
        <v>0</v>
      </c>
      <c r="F262" s="103">
        <f t="shared" si="398"/>
        <v>0</v>
      </c>
      <c r="G262" s="103">
        <f t="shared" si="398"/>
        <v>0</v>
      </c>
      <c r="H262" s="103">
        <f t="shared" si="398"/>
        <v>0</v>
      </c>
      <c r="I262" s="103">
        <f t="shared" si="398"/>
        <v>0</v>
      </c>
      <c r="J262" s="103">
        <f t="shared" si="398"/>
        <v>0</v>
      </c>
      <c r="K262" s="103">
        <f t="shared" si="398"/>
        <v>0</v>
      </c>
      <c r="L262" s="103">
        <f t="shared" ref="L262" si="399">IF(L44=0,0,L44/L$31)</f>
        <v>0</v>
      </c>
      <c r="M262" s="103">
        <f t="shared" ref="M262:V262" si="400">IF(M44=0,0,M44/M$31)</f>
        <v>0</v>
      </c>
      <c r="N262" s="103">
        <f t="shared" si="400"/>
        <v>0</v>
      </c>
      <c r="O262" s="103">
        <f t="shared" si="400"/>
        <v>0</v>
      </c>
      <c r="P262" s="103">
        <f t="shared" si="400"/>
        <v>0</v>
      </c>
      <c r="Q262" s="103">
        <f t="shared" si="400"/>
        <v>0</v>
      </c>
      <c r="R262" s="103">
        <f t="shared" si="400"/>
        <v>0</v>
      </c>
      <c r="S262" s="103">
        <f t="shared" si="400"/>
        <v>0</v>
      </c>
      <c r="T262" s="103">
        <f t="shared" si="400"/>
        <v>0</v>
      </c>
      <c r="U262" s="103">
        <f t="shared" si="400"/>
        <v>0</v>
      </c>
      <c r="V262" s="103">
        <f t="shared" si="400"/>
        <v>0</v>
      </c>
      <c r="W262" s="103">
        <f t="shared" ref="W262" si="401">IF(W44=0,0,W44/W$31)</f>
        <v>0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0</v>
      </c>
      <c r="C263" s="103">
        <f t="shared" si="402"/>
        <v>0</v>
      </c>
      <c r="D263" s="103">
        <f t="shared" si="402"/>
        <v>0</v>
      </c>
      <c r="E263" s="103">
        <f t="shared" si="402"/>
        <v>0</v>
      </c>
      <c r="F263" s="103">
        <f t="shared" si="402"/>
        <v>0</v>
      </c>
      <c r="G263" s="103">
        <f t="shared" si="402"/>
        <v>0</v>
      </c>
      <c r="H263" s="103">
        <f t="shared" si="402"/>
        <v>0</v>
      </c>
      <c r="I263" s="103">
        <f t="shared" si="402"/>
        <v>0</v>
      </c>
      <c r="J263" s="103">
        <f t="shared" si="402"/>
        <v>7.4084192361434255E-6</v>
      </c>
      <c r="K263" s="103">
        <f t="shared" si="402"/>
        <v>7.1524639624252335E-6</v>
      </c>
      <c r="L263" s="103">
        <f t="shared" ref="L263" si="403">IF(L45=0,0,L45/L$31)</f>
        <v>7.0062126279755703E-6</v>
      </c>
      <c r="M263" s="103">
        <f t="shared" ref="M263:V263" si="404">IF(M45=0,0,M45/M$31)</f>
        <v>6.9376001407388613E-6</v>
      </c>
      <c r="N263" s="103">
        <f t="shared" si="404"/>
        <v>7.0422593658733962E-6</v>
      </c>
      <c r="O263" s="103">
        <f t="shared" si="404"/>
        <v>7.099425121998131E-6</v>
      </c>
      <c r="P263" s="103">
        <f t="shared" si="404"/>
        <v>7.068839216544183E-6</v>
      </c>
      <c r="Q263" s="103">
        <f t="shared" si="404"/>
        <v>6.9390852734174056E-6</v>
      </c>
      <c r="R263" s="103">
        <f t="shared" si="404"/>
        <v>6.1217868969246291E-6</v>
      </c>
      <c r="S263" s="103">
        <f t="shared" si="404"/>
        <v>6.0295833326627236E-6</v>
      </c>
      <c r="T263" s="103">
        <f t="shared" si="404"/>
        <v>5.7951197488240714E-6</v>
      </c>
      <c r="U263" s="103">
        <f t="shared" si="404"/>
        <v>5.5813372132999535E-6</v>
      </c>
      <c r="V263" s="103">
        <f t="shared" si="404"/>
        <v>6.0174039214622753E-6</v>
      </c>
      <c r="W263" s="103">
        <f t="shared" ref="W263" si="405">IF(W45=0,0,W45/W$31)</f>
        <v>5.8966255623926317E-6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0.90651073971562435</v>
      </c>
      <c r="C265" s="154">
        <f t="shared" si="410"/>
        <v>0.90755909257927125</v>
      </c>
      <c r="D265" s="154">
        <f t="shared" si="410"/>
        <v>0.91117131615322111</v>
      </c>
      <c r="E265" s="154">
        <f t="shared" si="410"/>
        <v>0.90590283855167508</v>
      </c>
      <c r="F265" s="154">
        <f t="shared" si="410"/>
        <v>0.91562997372762378</v>
      </c>
      <c r="G265" s="154">
        <f t="shared" si="410"/>
        <v>0.90010075578075033</v>
      </c>
      <c r="H265" s="154">
        <f t="shared" si="410"/>
        <v>0.91092473238434679</v>
      </c>
      <c r="I265" s="154">
        <f t="shared" si="410"/>
        <v>0.90658118595726878</v>
      </c>
      <c r="J265" s="154">
        <f t="shared" si="410"/>
        <v>0.90390543273159574</v>
      </c>
      <c r="K265" s="154">
        <f t="shared" si="410"/>
        <v>0.92049133762538649</v>
      </c>
      <c r="L265" s="154">
        <f t="shared" ref="L265" si="411">IF(L47=0,0,L47/L$46)</f>
        <v>0.91231111660968256</v>
      </c>
      <c r="M265" s="154">
        <f t="shared" ref="M265:V265" si="412">IF(M47=0,0,M47/M$46)</f>
        <v>0.92412058389424656</v>
      </c>
      <c r="N265" s="154">
        <f t="shared" si="412"/>
        <v>0.93042985753663099</v>
      </c>
      <c r="O265" s="154">
        <f t="shared" si="412"/>
        <v>0.94667260898435068</v>
      </c>
      <c r="P265" s="154">
        <f t="shared" si="412"/>
        <v>0.95093633804880451</v>
      </c>
      <c r="Q265" s="154">
        <f t="shared" si="412"/>
        <v>0.95105567906910338</v>
      </c>
      <c r="R265" s="154">
        <f t="shared" si="412"/>
        <v>0.93884277278388384</v>
      </c>
      <c r="S265" s="154">
        <f t="shared" si="412"/>
        <v>0.93280970388882123</v>
      </c>
      <c r="T265" s="154">
        <f t="shared" si="412"/>
        <v>0.93172065356146749</v>
      </c>
      <c r="U265" s="154">
        <f t="shared" si="412"/>
        <v>0.92905108744332043</v>
      </c>
      <c r="V265" s="154">
        <f t="shared" si="412"/>
        <v>0.94572720841360991</v>
      </c>
      <c r="W265" s="154">
        <f t="shared" ref="W265" si="413">IF(W47=0,0,W47/W$46)</f>
        <v>0.94498017714931404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5.9504221417194893E-2</v>
      </c>
      <c r="C266" s="103">
        <f t="shared" si="414"/>
        <v>6.0490063260928921E-2</v>
      </c>
      <c r="D266" s="103">
        <f t="shared" si="414"/>
        <v>5.6555960102943427E-2</v>
      </c>
      <c r="E266" s="103">
        <f t="shared" si="414"/>
        <v>6.0377998806508432E-2</v>
      </c>
      <c r="F266" s="103">
        <f t="shared" si="414"/>
        <v>5.4908126021033357E-2</v>
      </c>
      <c r="G266" s="103">
        <f t="shared" si="414"/>
        <v>3.9809504484458164E-2</v>
      </c>
      <c r="H266" s="103">
        <f t="shared" si="414"/>
        <v>4.0286078462981836E-2</v>
      </c>
      <c r="I266" s="103">
        <f t="shared" si="414"/>
        <v>3.7036062953291211E-2</v>
      </c>
      <c r="J266" s="103">
        <f t="shared" si="414"/>
        <v>3.8549701945878312E-2</v>
      </c>
      <c r="K266" s="103">
        <f t="shared" si="414"/>
        <v>3.9122328337162046E-2</v>
      </c>
      <c r="L266" s="103">
        <f t="shared" ref="L266" si="415">IF(L48=0,0,L48/L$46)</f>
        <v>3.7079514229980536E-2</v>
      </c>
      <c r="M266" s="103">
        <f t="shared" ref="M266:V266" si="416">IF(M48=0,0,M48/M$46)</f>
        <v>3.6878843480575484E-2</v>
      </c>
      <c r="N266" s="103">
        <f t="shared" si="416"/>
        <v>3.6857506900616621E-2</v>
      </c>
      <c r="O266" s="103">
        <f t="shared" si="416"/>
        <v>3.7610428940828708E-2</v>
      </c>
      <c r="P266" s="103">
        <f t="shared" si="416"/>
        <v>3.7302027238225947E-2</v>
      </c>
      <c r="Q266" s="103">
        <f t="shared" si="416"/>
        <v>3.7199083789078151E-2</v>
      </c>
      <c r="R266" s="103">
        <f t="shared" si="416"/>
        <v>3.5845368068439465E-2</v>
      </c>
      <c r="S266" s="103">
        <f t="shared" si="416"/>
        <v>3.4446099762067577E-2</v>
      </c>
      <c r="T266" s="103">
        <f t="shared" si="416"/>
        <v>3.3561208297931806E-2</v>
      </c>
      <c r="U266" s="103">
        <f t="shared" si="416"/>
        <v>3.3900686674617223E-2</v>
      </c>
      <c r="V266" s="103">
        <f t="shared" si="416"/>
        <v>3.5235897032649621E-2</v>
      </c>
      <c r="W266" s="103">
        <f t="shared" ref="W266" si="417">IF(W48=0,0,W48/W$46)</f>
        <v>3.5947122733701611E-2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0.84700651829842954</v>
      </c>
      <c r="C267" s="103">
        <f t="shared" si="418"/>
        <v>0.84706902931834238</v>
      </c>
      <c r="D267" s="103">
        <f t="shared" si="418"/>
        <v>0.85461535605027772</v>
      </c>
      <c r="E267" s="103">
        <f t="shared" si="418"/>
        <v>0.84552483974516657</v>
      </c>
      <c r="F267" s="103">
        <f t="shared" si="418"/>
        <v>0.86072184770659055</v>
      </c>
      <c r="G267" s="103">
        <f t="shared" si="418"/>
        <v>0.86029125129629214</v>
      </c>
      <c r="H267" s="103">
        <f t="shared" si="418"/>
        <v>0.87063865392136497</v>
      </c>
      <c r="I267" s="103">
        <f t="shared" si="418"/>
        <v>0.86953564204784406</v>
      </c>
      <c r="J267" s="103">
        <f t="shared" si="418"/>
        <v>0.86534211639044556</v>
      </c>
      <c r="K267" s="103">
        <f t="shared" si="418"/>
        <v>0.88135330488402031</v>
      </c>
      <c r="L267" s="103">
        <f t="shared" ref="L267" si="419">IF(L49=0,0,L49/L$46)</f>
        <v>0.87520570191547675</v>
      </c>
      <c r="M267" s="103">
        <f t="shared" ref="M267:V267" si="420">IF(M49=0,0,M49/M$46)</f>
        <v>0.88721042589101329</v>
      </c>
      <c r="N267" s="103">
        <f t="shared" si="420"/>
        <v>0.89354102509672129</v>
      </c>
      <c r="O267" s="103">
        <f t="shared" si="420"/>
        <v>0.90902776282320896</v>
      </c>
      <c r="P267" s="103">
        <f t="shared" si="420"/>
        <v>0.91360372874405538</v>
      </c>
      <c r="Q267" s="103">
        <f t="shared" si="420"/>
        <v>0.91382552980598775</v>
      </c>
      <c r="R267" s="103">
        <f t="shared" si="420"/>
        <v>0.90296882056404326</v>
      </c>
      <c r="S267" s="103">
        <f t="shared" si="420"/>
        <v>0.89833685422112386</v>
      </c>
      <c r="T267" s="103">
        <f t="shared" si="420"/>
        <v>0.89813929712053242</v>
      </c>
      <c r="U267" s="103">
        <f t="shared" si="420"/>
        <v>0.89511483028403493</v>
      </c>
      <c r="V267" s="103">
        <f t="shared" si="420"/>
        <v>0.91044954273619116</v>
      </c>
      <c r="W267" s="103">
        <f t="shared" ref="W267" si="421">IF(W49=0,0,W49/W$46)</f>
        <v>0.90896849132944812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0</v>
      </c>
      <c r="C268" s="103">
        <f t="shared" si="422"/>
        <v>0</v>
      </c>
      <c r="D268" s="103">
        <f t="shared" si="422"/>
        <v>0</v>
      </c>
      <c r="E268" s="103">
        <f t="shared" si="422"/>
        <v>0</v>
      </c>
      <c r="F268" s="103">
        <f t="shared" si="422"/>
        <v>0</v>
      </c>
      <c r="G268" s="103">
        <f t="shared" si="422"/>
        <v>0</v>
      </c>
      <c r="H268" s="103">
        <f t="shared" si="422"/>
        <v>0</v>
      </c>
      <c r="I268" s="103">
        <f t="shared" si="422"/>
        <v>0</v>
      </c>
      <c r="J268" s="103">
        <f t="shared" si="422"/>
        <v>0</v>
      </c>
      <c r="K268" s="103">
        <f t="shared" si="422"/>
        <v>0</v>
      </c>
      <c r="L268" s="103">
        <f t="shared" ref="L268" si="423">IF(L50=0,0,L50/L$46)</f>
        <v>0</v>
      </c>
      <c r="M268" s="103">
        <f t="shared" ref="M268:V268" si="424">IF(M50=0,0,M50/M$46)</f>
        <v>0</v>
      </c>
      <c r="N268" s="103">
        <f t="shared" si="424"/>
        <v>0</v>
      </c>
      <c r="O268" s="103">
        <f t="shared" si="424"/>
        <v>0</v>
      </c>
      <c r="P268" s="103">
        <f t="shared" si="424"/>
        <v>0</v>
      </c>
      <c r="Q268" s="103">
        <f t="shared" si="424"/>
        <v>0</v>
      </c>
      <c r="R268" s="103">
        <f t="shared" si="424"/>
        <v>0</v>
      </c>
      <c r="S268" s="103">
        <f t="shared" si="424"/>
        <v>0</v>
      </c>
      <c r="T268" s="103">
        <f t="shared" si="424"/>
        <v>0</v>
      </c>
      <c r="U268" s="103">
        <f t="shared" si="424"/>
        <v>0</v>
      </c>
      <c r="V268" s="103">
        <f t="shared" si="424"/>
        <v>0</v>
      </c>
      <c r="W268" s="103">
        <f t="shared" ref="W268" si="425">IF(W50=0,0,W50/W$46)</f>
        <v>0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0</v>
      </c>
      <c r="C269" s="103">
        <f t="shared" si="426"/>
        <v>0</v>
      </c>
      <c r="D269" s="103">
        <f t="shared" si="426"/>
        <v>0</v>
      </c>
      <c r="E269" s="103">
        <f t="shared" si="426"/>
        <v>0</v>
      </c>
      <c r="F269" s="103">
        <f t="shared" si="426"/>
        <v>0</v>
      </c>
      <c r="G269" s="103">
        <f t="shared" si="426"/>
        <v>0</v>
      </c>
      <c r="H269" s="103">
        <f t="shared" si="426"/>
        <v>0</v>
      </c>
      <c r="I269" s="103">
        <f t="shared" si="426"/>
        <v>0</v>
      </c>
      <c r="J269" s="103">
        <f t="shared" si="426"/>
        <v>0</v>
      </c>
      <c r="K269" s="103">
        <f t="shared" si="426"/>
        <v>0</v>
      </c>
      <c r="L269" s="103">
        <f t="shared" ref="L269" si="427">IF(L51=0,0,L51/L$46)</f>
        <v>0</v>
      </c>
      <c r="M269" s="103">
        <f t="shared" ref="M269:V269" si="428">IF(M51=0,0,M51/M$46)</f>
        <v>0</v>
      </c>
      <c r="N269" s="103">
        <f t="shared" si="428"/>
        <v>0</v>
      </c>
      <c r="O269" s="103">
        <f t="shared" si="428"/>
        <v>0</v>
      </c>
      <c r="P269" s="103">
        <f t="shared" si="428"/>
        <v>0</v>
      </c>
      <c r="Q269" s="103">
        <f t="shared" si="428"/>
        <v>0</v>
      </c>
      <c r="R269" s="103">
        <f t="shared" si="428"/>
        <v>0</v>
      </c>
      <c r="S269" s="103">
        <f t="shared" si="428"/>
        <v>0</v>
      </c>
      <c r="T269" s="103">
        <f t="shared" si="428"/>
        <v>0</v>
      </c>
      <c r="U269" s="103">
        <f t="shared" si="428"/>
        <v>0</v>
      </c>
      <c r="V269" s="103">
        <f t="shared" si="428"/>
        <v>0</v>
      </c>
      <c r="W269" s="103">
        <f t="shared" ref="W269" si="429">IF(W51=0,0,W51/W$46)</f>
        <v>0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0</v>
      </c>
      <c r="C270" s="103">
        <f t="shared" si="430"/>
        <v>0</v>
      </c>
      <c r="D270" s="103">
        <f t="shared" si="430"/>
        <v>0</v>
      </c>
      <c r="E270" s="103">
        <f t="shared" si="430"/>
        <v>0</v>
      </c>
      <c r="F270" s="103">
        <f t="shared" si="430"/>
        <v>0</v>
      </c>
      <c r="G270" s="103">
        <f t="shared" si="430"/>
        <v>0</v>
      </c>
      <c r="H270" s="103">
        <f t="shared" si="430"/>
        <v>0</v>
      </c>
      <c r="I270" s="103">
        <f t="shared" si="430"/>
        <v>9.48095613353598E-6</v>
      </c>
      <c r="J270" s="103">
        <f t="shared" si="430"/>
        <v>1.3614395271721281E-5</v>
      </c>
      <c r="K270" s="103">
        <f t="shared" si="430"/>
        <v>1.570440420419432E-5</v>
      </c>
      <c r="L270" s="103">
        <f t="shared" ref="L270" si="431">IF(L52=0,0,L52/L$46)</f>
        <v>2.5900464225160038E-5</v>
      </c>
      <c r="M270" s="103">
        <f t="shared" ref="M270:V270" si="432">IF(M52=0,0,M52/M$46)</f>
        <v>3.1314522657754308E-5</v>
      </c>
      <c r="N270" s="103">
        <f t="shared" si="432"/>
        <v>3.13255392931688E-5</v>
      </c>
      <c r="O270" s="103">
        <f t="shared" si="432"/>
        <v>3.441722031287384E-5</v>
      </c>
      <c r="P270" s="103">
        <f t="shared" si="432"/>
        <v>3.0582066523291798E-5</v>
      </c>
      <c r="Q270" s="103">
        <f t="shared" si="432"/>
        <v>3.1065474037513441E-5</v>
      </c>
      <c r="R270" s="103">
        <f t="shared" si="432"/>
        <v>2.8584151400948313E-5</v>
      </c>
      <c r="S270" s="103">
        <f t="shared" si="432"/>
        <v>2.6749905629811937E-5</v>
      </c>
      <c r="T270" s="103">
        <f t="shared" si="432"/>
        <v>2.0148143003211843E-5</v>
      </c>
      <c r="U270" s="103">
        <f t="shared" si="432"/>
        <v>3.5570484668109608E-5</v>
      </c>
      <c r="V270" s="103">
        <f t="shared" si="432"/>
        <v>4.1768644769144113E-5</v>
      </c>
      <c r="W270" s="103">
        <f t="shared" ref="W270" si="433">IF(W52=0,0,W52/W$46)</f>
        <v>6.4563086164269105E-5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9.348926028437568E-2</v>
      </c>
      <c r="C271" s="156">
        <f t="shared" si="434"/>
        <v>9.2440907420728746E-2</v>
      </c>
      <c r="D271" s="156">
        <f t="shared" si="434"/>
        <v>8.8828683846778875E-2</v>
      </c>
      <c r="E271" s="156">
        <f t="shared" si="434"/>
        <v>9.4097161448324973E-2</v>
      </c>
      <c r="F271" s="156">
        <f t="shared" si="434"/>
        <v>8.4370026272376178E-2</v>
      </c>
      <c r="G271" s="156">
        <f t="shared" si="434"/>
        <v>9.9899244219249644E-2</v>
      </c>
      <c r="H271" s="156">
        <f t="shared" si="434"/>
        <v>8.9075267615653167E-2</v>
      </c>
      <c r="I271" s="156">
        <f t="shared" si="434"/>
        <v>9.3418814042731252E-2</v>
      </c>
      <c r="J271" s="156">
        <f t="shared" si="434"/>
        <v>9.6094567268404291E-2</v>
      </c>
      <c r="K271" s="156">
        <f t="shared" si="434"/>
        <v>7.9508662374613473E-2</v>
      </c>
      <c r="L271" s="156">
        <f t="shared" ref="L271" si="435">IF(L53=0,0,L53/L$46)</f>
        <v>8.7688883390317468E-2</v>
      </c>
      <c r="M271" s="156">
        <f t="shared" ref="M271:V271" si="436">IF(M53=0,0,M53/M$46)</f>
        <v>7.5879416105753425E-2</v>
      </c>
      <c r="N271" s="156">
        <f t="shared" si="436"/>
        <v>6.9570142463369011E-2</v>
      </c>
      <c r="O271" s="156">
        <f t="shared" si="436"/>
        <v>5.3327391015649366E-2</v>
      </c>
      <c r="P271" s="156">
        <f t="shared" si="436"/>
        <v>4.9063661951195436E-2</v>
      </c>
      <c r="Q271" s="156">
        <f t="shared" si="436"/>
        <v>4.8944320930896588E-2</v>
      </c>
      <c r="R271" s="156">
        <f t="shared" si="436"/>
        <v>6.1157227216116175E-2</v>
      </c>
      <c r="S271" s="156">
        <f t="shared" si="436"/>
        <v>6.7190296111178785E-2</v>
      </c>
      <c r="T271" s="156">
        <f t="shared" si="436"/>
        <v>6.8279346438532562E-2</v>
      </c>
      <c r="U271" s="156">
        <f t="shared" si="436"/>
        <v>7.0948912556679608E-2</v>
      </c>
      <c r="V271" s="156">
        <f t="shared" si="436"/>
        <v>5.4272791586390069E-2</v>
      </c>
      <c r="W271" s="156">
        <f t="shared" ref="W271" si="437">IF(W53=0,0,W53/W$46)</f>
        <v>5.5019822850685914E-2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9.348926028437568E-2</v>
      </c>
      <c r="C272" s="104">
        <f t="shared" si="438"/>
        <v>9.2440907420728746E-2</v>
      </c>
      <c r="D272" s="104">
        <f t="shared" si="438"/>
        <v>8.8828683846778875E-2</v>
      </c>
      <c r="E272" s="104">
        <f t="shared" si="438"/>
        <v>9.4097161448324973E-2</v>
      </c>
      <c r="F272" s="104">
        <f t="shared" si="438"/>
        <v>8.4370026272376178E-2</v>
      </c>
      <c r="G272" s="104">
        <f t="shared" si="438"/>
        <v>9.9899244219249644E-2</v>
      </c>
      <c r="H272" s="104">
        <f t="shared" si="438"/>
        <v>8.9075267615653167E-2</v>
      </c>
      <c r="I272" s="104">
        <f t="shared" si="438"/>
        <v>9.3418814042731252E-2</v>
      </c>
      <c r="J272" s="104">
        <f t="shared" si="438"/>
        <v>9.6094567268404291E-2</v>
      </c>
      <c r="K272" s="104">
        <f t="shared" si="438"/>
        <v>7.9508662374613473E-2</v>
      </c>
      <c r="L272" s="104">
        <f t="shared" ref="L272" si="439">IF(L54=0,0,L54/L$46)</f>
        <v>8.7688883390317468E-2</v>
      </c>
      <c r="M272" s="104">
        <f t="shared" ref="M272:V272" si="440">IF(M54=0,0,M54/M$46)</f>
        <v>7.5879416105753425E-2</v>
      </c>
      <c r="N272" s="104">
        <f t="shared" si="440"/>
        <v>6.9570142463369011E-2</v>
      </c>
      <c r="O272" s="104">
        <f t="shared" si="440"/>
        <v>5.3327391015649366E-2</v>
      </c>
      <c r="P272" s="104">
        <f t="shared" si="440"/>
        <v>4.9063661951195436E-2</v>
      </c>
      <c r="Q272" s="104">
        <f t="shared" si="440"/>
        <v>4.8944320930896588E-2</v>
      </c>
      <c r="R272" s="104">
        <f t="shared" si="440"/>
        <v>6.1157227216116175E-2</v>
      </c>
      <c r="S272" s="104">
        <f t="shared" si="440"/>
        <v>6.7190296111178785E-2</v>
      </c>
      <c r="T272" s="104">
        <f t="shared" si="440"/>
        <v>6.8279346438532562E-2</v>
      </c>
      <c r="U272" s="104">
        <f t="shared" si="440"/>
        <v>7.0948912556679608E-2</v>
      </c>
      <c r="V272" s="104">
        <f t="shared" si="440"/>
        <v>5.4272791586390069E-2</v>
      </c>
      <c r="W272" s="104">
        <f t="shared" ref="W272" si="441">IF(W54=0,0,W54/W$46)</f>
        <v>5.5019822850685914E-2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0</v>
      </c>
      <c r="C273" s="105">
        <f t="shared" si="442"/>
        <v>0</v>
      </c>
      <c r="D273" s="105">
        <f t="shared" si="442"/>
        <v>0</v>
      </c>
      <c r="E273" s="105">
        <f t="shared" si="442"/>
        <v>0</v>
      </c>
      <c r="F273" s="105">
        <f t="shared" si="442"/>
        <v>0</v>
      </c>
      <c r="G273" s="105">
        <f t="shared" si="442"/>
        <v>0</v>
      </c>
      <c r="H273" s="105">
        <f t="shared" si="442"/>
        <v>0</v>
      </c>
      <c r="I273" s="105">
        <f t="shared" si="442"/>
        <v>0</v>
      </c>
      <c r="J273" s="105">
        <f t="shared" si="442"/>
        <v>0</v>
      </c>
      <c r="K273" s="105">
        <f t="shared" si="442"/>
        <v>0</v>
      </c>
      <c r="L273" s="105">
        <f t="shared" ref="L273" si="443">IF(L55=0,0,L55/L$46)</f>
        <v>0</v>
      </c>
      <c r="M273" s="105">
        <f t="shared" ref="M273:V273" si="444">IF(M55=0,0,M55/M$46)</f>
        <v>0</v>
      </c>
      <c r="N273" s="105">
        <f t="shared" si="444"/>
        <v>0</v>
      </c>
      <c r="O273" s="105">
        <f t="shared" si="444"/>
        <v>0</v>
      </c>
      <c r="P273" s="105">
        <f t="shared" si="444"/>
        <v>0</v>
      </c>
      <c r="Q273" s="105">
        <f t="shared" si="444"/>
        <v>0</v>
      </c>
      <c r="R273" s="105">
        <f t="shared" si="444"/>
        <v>0</v>
      </c>
      <c r="S273" s="105">
        <f t="shared" si="444"/>
        <v>0</v>
      </c>
      <c r="T273" s="105">
        <f t="shared" si="444"/>
        <v>0</v>
      </c>
      <c r="U273" s="105">
        <f t="shared" si="444"/>
        <v>0</v>
      </c>
      <c r="V273" s="105">
        <f t="shared" si="444"/>
        <v>0</v>
      </c>
      <c r="W273" s="105">
        <f t="shared" ref="W273" si="445">IF(W55=0,0,W55/W$46)</f>
        <v>0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577.42906276870156</v>
      </c>
      <c r="C4" s="145">
        <f t="shared" si="0"/>
        <v>596.31943250214954</v>
      </c>
      <c r="D4" s="145">
        <f t="shared" si="0"/>
        <v>591.46371453138443</v>
      </c>
      <c r="E4" s="145">
        <f t="shared" si="0"/>
        <v>627.12811693895094</v>
      </c>
      <c r="F4" s="145">
        <f t="shared" si="0"/>
        <v>661.9518486672398</v>
      </c>
      <c r="G4" s="145">
        <f t="shared" si="0"/>
        <v>675.95537403267417</v>
      </c>
      <c r="H4" s="145">
        <f t="shared" si="0"/>
        <v>673.4952708512468</v>
      </c>
      <c r="I4" s="145">
        <f t="shared" si="0"/>
        <v>719.44237069479914</v>
      </c>
      <c r="J4" s="145">
        <f t="shared" si="0"/>
        <v>747.59956981622793</v>
      </c>
      <c r="K4" s="145">
        <f t="shared" si="0"/>
        <v>749.5333384727536</v>
      </c>
      <c r="L4" s="145">
        <f t="shared" ref="L4" si="1">L5+L9+L10+L15</f>
        <v>765.460167882988</v>
      </c>
      <c r="M4" s="145">
        <f t="shared" ref="M4:V4" si="2">M5+M9+M10+M15</f>
        <v>744.32805888394353</v>
      </c>
      <c r="N4" s="145">
        <f t="shared" si="2"/>
        <v>687.95402679035101</v>
      </c>
      <c r="O4" s="145">
        <f t="shared" si="2"/>
        <v>619.95014989849528</v>
      </c>
      <c r="P4" s="145">
        <f t="shared" si="2"/>
        <v>599.55764970601331</v>
      </c>
      <c r="Q4" s="145">
        <f t="shared" si="2"/>
        <v>621.96907279581762</v>
      </c>
      <c r="R4" s="145">
        <f t="shared" si="2"/>
        <v>658.17162856785478</v>
      </c>
      <c r="S4" s="145">
        <f t="shared" si="2"/>
        <v>678.59872636801936</v>
      </c>
      <c r="T4" s="145">
        <f t="shared" si="2"/>
        <v>682.28155165955422</v>
      </c>
      <c r="U4" s="145">
        <f t="shared" si="2"/>
        <v>690.0928740347407</v>
      </c>
      <c r="V4" s="145">
        <f t="shared" si="2"/>
        <v>615.80637970471082</v>
      </c>
      <c r="W4" s="145">
        <f t="shared" ref="W4" si="3">W5+W9+W10+W15</f>
        <v>659.23928589229467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577.42906276870156</v>
      </c>
      <c r="C5" s="97">
        <f t="shared" si="4"/>
        <v>596.31943250214954</v>
      </c>
      <c r="D5" s="97">
        <f t="shared" si="4"/>
        <v>591.46371453138443</v>
      </c>
      <c r="E5" s="97">
        <f t="shared" si="4"/>
        <v>627.12811693895094</v>
      </c>
      <c r="F5" s="97">
        <f t="shared" si="4"/>
        <v>661.9518486672398</v>
      </c>
      <c r="G5" s="97">
        <f t="shared" si="4"/>
        <v>675.95537403267417</v>
      </c>
      <c r="H5" s="97">
        <f t="shared" si="4"/>
        <v>673.4952708512468</v>
      </c>
      <c r="I5" s="97">
        <f t="shared" si="4"/>
        <v>718.55838349097166</v>
      </c>
      <c r="J5" s="97">
        <f t="shared" si="4"/>
        <v>733.4470335339638</v>
      </c>
      <c r="K5" s="97">
        <f t="shared" si="4"/>
        <v>734.49707652622521</v>
      </c>
      <c r="L5" s="97">
        <f t="shared" ref="L5" si="5">SUM(L6:L8)</f>
        <v>750.42364574376609</v>
      </c>
      <c r="M5" s="97">
        <f t="shared" ref="M5:V5" si="6">SUM(M6:M8)</f>
        <v>728.40765262252785</v>
      </c>
      <c r="N5" s="97">
        <f t="shared" si="6"/>
        <v>672.0336199484093</v>
      </c>
      <c r="O5" s="97">
        <f t="shared" si="6"/>
        <v>604.91255374032676</v>
      </c>
      <c r="P5" s="97">
        <f t="shared" si="6"/>
        <v>589.82080825451419</v>
      </c>
      <c r="Q5" s="97">
        <f t="shared" si="6"/>
        <v>612.22803095442828</v>
      </c>
      <c r="R5" s="97">
        <f t="shared" si="6"/>
        <v>649.30963026655195</v>
      </c>
      <c r="S5" s="97">
        <f t="shared" si="6"/>
        <v>669.98641444539976</v>
      </c>
      <c r="T5" s="97">
        <f t="shared" si="6"/>
        <v>673.26981943250212</v>
      </c>
      <c r="U5" s="97">
        <f t="shared" si="6"/>
        <v>679.26741186586412</v>
      </c>
      <c r="V5" s="97">
        <f t="shared" si="6"/>
        <v>590.99664660361145</v>
      </c>
      <c r="W5" s="97">
        <f t="shared" ref="W5" si="7">SUM(W6:W8)</f>
        <v>634.79234737747197</v>
      </c>
      <c r="DA5" s="175"/>
    </row>
    <row r="6" spans="1:105" ht="11.45" customHeight="1" x14ac:dyDescent="0.25">
      <c r="A6" s="128" t="s">
        <v>52</v>
      </c>
      <c r="B6" s="97">
        <v>0</v>
      </c>
      <c r="C6" s="97">
        <v>0</v>
      </c>
      <c r="D6" s="97">
        <v>0</v>
      </c>
      <c r="E6" s="97">
        <v>0</v>
      </c>
      <c r="F6" s="97">
        <v>0</v>
      </c>
      <c r="G6" s="97">
        <v>0</v>
      </c>
      <c r="H6" s="97">
        <v>0</v>
      </c>
      <c r="I6" s="97">
        <v>0</v>
      </c>
      <c r="J6" s="97">
        <v>0</v>
      </c>
      <c r="K6" s="97">
        <v>0</v>
      </c>
      <c r="L6" s="97">
        <v>0</v>
      </c>
      <c r="M6" s="97">
        <v>0</v>
      </c>
      <c r="N6" s="97">
        <v>0</v>
      </c>
      <c r="O6" s="97">
        <v>0</v>
      </c>
      <c r="P6" s="97">
        <v>0</v>
      </c>
      <c r="Q6" s="97">
        <v>0</v>
      </c>
      <c r="R6" s="97">
        <v>0</v>
      </c>
      <c r="S6" s="97">
        <v>0</v>
      </c>
      <c r="T6" s="97">
        <v>0.49819432502149608</v>
      </c>
      <c r="U6" s="97">
        <v>0.53886500429922612</v>
      </c>
      <c r="V6" s="97">
        <v>0.4507308684436801</v>
      </c>
      <c r="W6" s="97">
        <v>0.51745485812553738</v>
      </c>
      <c r="DA6" s="175" t="s">
        <v>629</v>
      </c>
    </row>
    <row r="7" spans="1:105" ht="11.45" customHeight="1" x14ac:dyDescent="0.25">
      <c r="A7" s="128" t="s">
        <v>53</v>
      </c>
      <c r="B7" s="97">
        <v>217.9659501289768</v>
      </c>
      <c r="C7" s="97">
        <v>231.7211521926053</v>
      </c>
      <c r="D7" s="97">
        <v>241.2439380911436</v>
      </c>
      <c r="E7" s="97">
        <v>266.63800515907133</v>
      </c>
      <c r="F7" s="97">
        <v>298.38065348237308</v>
      </c>
      <c r="G7" s="97">
        <v>320.6004299226139</v>
      </c>
      <c r="H7" s="97">
        <v>341.76216680997419</v>
      </c>
      <c r="I7" s="97">
        <v>372.44677558039552</v>
      </c>
      <c r="J7" s="97">
        <v>394.66655202063617</v>
      </c>
      <c r="K7" s="97">
        <v>405.2474634565778</v>
      </c>
      <c r="L7" s="97">
        <v>412.65408426483231</v>
      </c>
      <c r="M7" s="97">
        <v>407.36362854686149</v>
      </c>
      <c r="N7" s="97">
        <v>393.60851246775582</v>
      </c>
      <c r="O7" s="97">
        <v>369.27248495270851</v>
      </c>
      <c r="P7" s="97">
        <v>360.80773860705068</v>
      </c>
      <c r="Q7" s="97">
        <v>365.04015477214102</v>
      </c>
      <c r="R7" s="97">
        <v>374.56294067067932</v>
      </c>
      <c r="S7" s="97">
        <v>371.28073946689591</v>
      </c>
      <c r="T7" s="97">
        <v>361.44686156491832</v>
      </c>
      <c r="U7" s="97">
        <v>356.23473774720549</v>
      </c>
      <c r="V7" s="97">
        <v>301.00576096302672</v>
      </c>
      <c r="W7" s="97">
        <v>323.10920034393808</v>
      </c>
      <c r="DA7" s="175" t="s">
        <v>630</v>
      </c>
    </row>
    <row r="8" spans="1:105" ht="11.45" customHeight="1" x14ac:dyDescent="0.25">
      <c r="A8" s="128" t="s">
        <v>54</v>
      </c>
      <c r="B8" s="97">
        <v>359.46311263972478</v>
      </c>
      <c r="C8" s="97">
        <v>364.59828030954429</v>
      </c>
      <c r="D8" s="97">
        <v>350.21977644024082</v>
      </c>
      <c r="E8" s="97">
        <v>360.49011177987961</v>
      </c>
      <c r="F8" s="97">
        <v>363.57119518486672</v>
      </c>
      <c r="G8" s="97">
        <v>355.35494411006022</v>
      </c>
      <c r="H8" s="97">
        <v>331.73310404127261</v>
      </c>
      <c r="I8" s="97">
        <v>346.11160791057608</v>
      </c>
      <c r="J8" s="97">
        <v>338.78048151332757</v>
      </c>
      <c r="K8" s="97">
        <v>329.24961306964741</v>
      </c>
      <c r="L8" s="97">
        <v>337.76956147893378</v>
      </c>
      <c r="M8" s="97">
        <v>321.04402407566641</v>
      </c>
      <c r="N8" s="97">
        <v>278.42510748065342</v>
      </c>
      <c r="O8" s="97">
        <v>235.64006878761819</v>
      </c>
      <c r="P8" s="97">
        <v>229.01306964746351</v>
      </c>
      <c r="Q8" s="97">
        <v>247.1878761822872</v>
      </c>
      <c r="R8" s="97">
        <v>274.74668959587268</v>
      </c>
      <c r="S8" s="97">
        <v>298.70567497850391</v>
      </c>
      <c r="T8" s="97">
        <v>311.32476354256232</v>
      </c>
      <c r="U8" s="97">
        <v>322.49380911435941</v>
      </c>
      <c r="V8" s="97">
        <v>289.54015477214102</v>
      </c>
      <c r="W8" s="97">
        <v>311.16569217540842</v>
      </c>
      <c r="DA8" s="175" t="s">
        <v>631</v>
      </c>
    </row>
    <row r="9" spans="1:105" ht="11.45" customHeight="1" x14ac:dyDescent="0.25">
      <c r="A9" s="92" t="s">
        <v>55</v>
      </c>
      <c r="B9" s="97">
        <v>0</v>
      </c>
      <c r="C9" s="97">
        <v>0</v>
      </c>
      <c r="D9" s="97">
        <v>0</v>
      </c>
      <c r="E9" s="97">
        <v>0</v>
      </c>
      <c r="F9" s="97">
        <v>0</v>
      </c>
      <c r="G9" s="97">
        <v>0</v>
      </c>
      <c r="H9" s="97">
        <v>0</v>
      </c>
      <c r="I9" s="97">
        <v>0</v>
      </c>
      <c r="J9" s="97">
        <v>0</v>
      </c>
      <c r="K9" s="97">
        <v>0</v>
      </c>
      <c r="L9" s="97">
        <v>0</v>
      </c>
      <c r="M9" s="97">
        <v>0</v>
      </c>
      <c r="N9" s="97">
        <v>0</v>
      </c>
      <c r="O9" s="97">
        <v>0</v>
      </c>
      <c r="P9" s="97">
        <v>0</v>
      </c>
      <c r="Q9" s="97">
        <v>0</v>
      </c>
      <c r="R9" s="97">
        <v>0</v>
      </c>
      <c r="S9" s="97">
        <v>0</v>
      </c>
      <c r="T9" s="97">
        <v>0</v>
      </c>
      <c r="U9" s="97">
        <v>0</v>
      </c>
      <c r="V9" s="97">
        <v>0</v>
      </c>
      <c r="W9" s="97">
        <v>0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0</v>
      </c>
      <c r="G10" s="97">
        <f t="shared" si="8"/>
        <v>0</v>
      </c>
      <c r="H10" s="97">
        <f t="shared" si="8"/>
        <v>0</v>
      </c>
      <c r="I10" s="97">
        <f t="shared" si="8"/>
        <v>0.88374892519346515</v>
      </c>
      <c r="J10" s="97">
        <f t="shared" si="8"/>
        <v>14.139638865004301</v>
      </c>
      <c r="K10" s="97">
        <f t="shared" si="8"/>
        <v>15.023387790197759</v>
      </c>
      <c r="L10" s="97">
        <f t="shared" si="8"/>
        <v>15.023387790197759</v>
      </c>
      <c r="M10" s="97">
        <f t="shared" si="8"/>
        <v>15.90713671539123</v>
      </c>
      <c r="N10" s="97">
        <f t="shared" si="8"/>
        <v>15.90713671539123</v>
      </c>
      <c r="O10" s="97">
        <f t="shared" si="8"/>
        <v>15.023387790197759</v>
      </c>
      <c r="P10" s="97">
        <f t="shared" si="8"/>
        <v>9.7210662080825436</v>
      </c>
      <c r="Q10" s="97">
        <f t="shared" si="8"/>
        <v>9.7210662080825436</v>
      </c>
      <c r="R10" s="97">
        <f t="shared" si="8"/>
        <v>8.8373172828890798</v>
      </c>
      <c r="S10" s="97">
        <f t="shared" si="8"/>
        <v>8.5695614789337906</v>
      </c>
      <c r="T10" s="97">
        <f t="shared" si="8"/>
        <v>8.9503869303525363</v>
      </c>
      <c r="U10" s="97">
        <f t="shared" si="8"/>
        <v>10.739122957867581</v>
      </c>
      <c r="V10" s="97">
        <f t="shared" si="8"/>
        <v>24.707996560619087</v>
      </c>
      <c r="W10" s="97">
        <f t="shared" si="8"/>
        <v>24.302579535683581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633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0</v>
      </c>
      <c r="I12" s="97">
        <v>0</v>
      </c>
      <c r="J12" s="97">
        <v>0</v>
      </c>
      <c r="K12" s="97">
        <v>0</v>
      </c>
      <c r="L12" s="97">
        <v>0</v>
      </c>
      <c r="M12" s="97">
        <v>0</v>
      </c>
      <c r="N12" s="97">
        <v>0</v>
      </c>
      <c r="O12" s="97">
        <v>0</v>
      </c>
      <c r="P12" s="97">
        <v>0</v>
      </c>
      <c r="Q12" s="97">
        <v>0</v>
      </c>
      <c r="R12" s="97">
        <v>0</v>
      </c>
      <c r="S12" s="97">
        <v>0</v>
      </c>
      <c r="T12" s="97">
        <v>0</v>
      </c>
      <c r="U12" s="97">
        <v>0</v>
      </c>
      <c r="V12" s="97">
        <v>0.65202063628546858</v>
      </c>
      <c r="W12" s="97">
        <v>0</v>
      </c>
      <c r="DA12" s="175" t="s">
        <v>634</v>
      </c>
    </row>
    <row r="13" spans="1:105" ht="11.45" customHeight="1" x14ac:dyDescent="0.25">
      <c r="A13" s="128" t="s">
        <v>184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0</v>
      </c>
      <c r="I13" s="97">
        <v>0.88374892519346515</v>
      </c>
      <c r="J13" s="97">
        <v>14.139638865004301</v>
      </c>
      <c r="K13" s="97">
        <v>15.023387790197759</v>
      </c>
      <c r="L13" s="97">
        <v>15.023387790197759</v>
      </c>
      <c r="M13" s="97">
        <v>15.90713671539123</v>
      </c>
      <c r="N13" s="97">
        <v>15.90713671539123</v>
      </c>
      <c r="O13" s="97">
        <v>15.023387790197759</v>
      </c>
      <c r="P13" s="97">
        <v>9.7210662080825436</v>
      </c>
      <c r="Q13" s="97">
        <v>9.7210662080825436</v>
      </c>
      <c r="R13" s="97">
        <v>8.8373172828890798</v>
      </c>
      <c r="S13" s="97">
        <v>8.5695614789337906</v>
      </c>
      <c r="T13" s="97">
        <v>8.9503869303525363</v>
      </c>
      <c r="U13" s="97">
        <v>10.739122957867581</v>
      </c>
      <c r="V13" s="97">
        <v>24.05597592433362</v>
      </c>
      <c r="W13" s="97">
        <v>24.302579535683581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0</v>
      </c>
      <c r="C15" s="98">
        <v>0</v>
      </c>
      <c r="D15" s="98">
        <v>0</v>
      </c>
      <c r="E15" s="98">
        <v>0</v>
      </c>
      <c r="F15" s="98">
        <v>0</v>
      </c>
      <c r="G15" s="98">
        <v>0</v>
      </c>
      <c r="H15" s="98">
        <v>0</v>
      </c>
      <c r="I15" s="98">
        <v>2.3827863395856113E-4</v>
      </c>
      <c r="J15" s="98">
        <v>1.2897417259895134E-2</v>
      </c>
      <c r="K15" s="98">
        <v>1.287415633063989E-2</v>
      </c>
      <c r="L15" s="98">
        <v>1.3134349024179209E-2</v>
      </c>
      <c r="M15" s="98">
        <v>1.3269546024495154E-2</v>
      </c>
      <c r="N15" s="98">
        <v>1.3270126550554125E-2</v>
      </c>
      <c r="O15" s="98">
        <v>1.4208367970827238E-2</v>
      </c>
      <c r="P15" s="98">
        <v>1.5775243416609387E-2</v>
      </c>
      <c r="Q15" s="98">
        <v>1.9975633306830099E-2</v>
      </c>
      <c r="R15" s="98">
        <v>2.4681018413741023E-2</v>
      </c>
      <c r="S15" s="98">
        <v>4.2750443685826436E-2</v>
      </c>
      <c r="T15" s="98">
        <v>6.1345296699582705E-2</v>
      </c>
      <c r="U15" s="98">
        <v>8.6339211008994665E-2</v>
      </c>
      <c r="V15" s="98">
        <v>0.10173654048030642</v>
      </c>
      <c r="W15" s="98">
        <v>0.14435897913913753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577.42906276870156</v>
      </c>
      <c r="C17" s="79">
        <f t="shared" si="9"/>
        <v>596.31943250214965</v>
      </c>
      <c r="D17" s="79">
        <f t="shared" si="9"/>
        <v>591.46371453138443</v>
      </c>
      <c r="E17" s="79">
        <f t="shared" si="9"/>
        <v>627.12811693895094</v>
      </c>
      <c r="F17" s="79">
        <f t="shared" si="9"/>
        <v>661.9518486672398</v>
      </c>
      <c r="G17" s="79">
        <f t="shared" si="9"/>
        <v>675.95537403267417</v>
      </c>
      <c r="H17" s="79">
        <f t="shared" si="9"/>
        <v>673.4952708512468</v>
      </c>
      <c r="I17" s="79">
        <f t="shared" si="9"/>
        <v>719.44237069479902</v>
      </c>
      <c r="J17" s="79">
        <f t="shared" si="9"/>
        <v>747.59956981622793</v>
      </c>
      <c r="K17" s="79">
        <f t="shared" si="9"/>
        <v>749.53333847275371</v>
      </c>
      <c r="L17" s="79">
        <f t="shared" ref="L17" si="10">L18+L42</f>
        <v>765.46016788298812</v>
      </c>
      <c r="M17" s="79">
        <f t="shared" ref="M17:V17" si="11">M18+M42</f>
        <v>744.32805888394364</v>
      </c>
      <c r="N17" s="79">
        <f t="shared" si="11"/>
        <v>687.95402679035101</v>
      </c>
      <c r="O17" s="79">
        <f t="shared" si="11"/>
        <v>619.95014989849528</v>
      </c>
      <c r="P17" s="79">
        <f t="shared" si="11"/>
        <v>599.55764970601342</v>
      </c>
      <c r="Q17" s="79">
        <f t="shared" si="11"/>
        <v>621.96907279581751</v>
      </c>
      <c r="R17" s="79">
        <f t="shared" si="11"/>
        <v>658.1716285678549</v>
      </c>
      <c r="S17" s="79">
        <f t="shared" si="11"/>
        <v>678.59872636801947</v>
      </c>
      <c r="T17" s="79">
        <f t="shared" si="11"/>
        <v>682.28155165955422</v>
      </c>
      <c r="U17" s="79">
        <f t="shared" si="11"/>
        <v>690.09287403474082</v>
      </c>
      <c r="V17" s="79">
        <f t="shared" si="11"/>
        <v>615.80637970471071</v>
      </c>
      <c r="W17" s="79">
        <f t="shared" ref="W17" si="12">W18+W42</f>
        <v>659.23928589229479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352.03660735911592</v>
      </c>
      <c r="C18" s="32">
        <f t="shared" si="13"/>
        <v>369.81780784228158</v>
      </c>
      <c r="D18" s="32">
        <f t="shared" si="13"/>
        <v>373.51433196342953</v>
      </c>
      <c r="E18" s="32">
        <f t="shared" si="13"/>
        <v>404.13865989000192</v>
      </c>
      <c r="F18" s="32">
        <f t="shared" si="13"/>
        <v>445.48045129315949</v>
      </c>
      <c r="G18" s="32">
        <f t="shared" si="13"/>
        <v>457.34607704233855</v>
      </c>
      <c r="H18" s="32">
        <f t="shared" si="13"/>
        <v>478.57371164325576</v>
      </c>
      <c r="I18" s="32">
        <f t="shared" si="13"/>
        <v>518.79714112953798</v>
      </c>
      <c r="J18" s="32">
        <f t="shared" si="13"/>
        <v>540.94174763659169</v>
      </c>
      <c r="K18" s="32">
        <f t="shared" si="13"/>
        <v>558.83065614579141</v>
      </c>
      <c r="L18" s="32">
        <f t="shared" ref="L18" si="14">L19+L21+L33</f>
        <v>568.88192349438771</v>
      </c>
      <c r="M18" s="32">
        <f t="shared" ref="M18:V18" si="15">M19+M21+M33</f>
        <v>560.36912665272177</v>
      </c>
      <c r="N18" s="32">
        <f t="shared" si="15"/>
        <v>528.47033285666294</v>
      </c>
      <c r="O18" s="32">
        <f t="shared" si="15"/>
        <v>490.0092998228522</v>
      </c>
      <c r="P18" s="32">
        <f t="shared" si="15"/>
        <v>482.07137045058278</v>
      </c>
      <c r="Q18" s="32">
        <f t="shared" si="15"/>
        <v>501.49762632475245</v>
      </c>
      <c r="R18" s="32">
        <f t="shared" si="15"/>
        <v>524.17564377833992</v>
      </c>
      <c r="S18" s="32">
        <f t="shared" si="15"/>
        <v>534.86607453328634</v>
      </c>
      <c r="T18" s="32">
        <f t="shared" si="15"/>
        <v>535.4901335098624</v>
      </c>
      <c r="U18" s="32">
        <f t="shared" si="15"/>
        <v>544.69710915086648</v>
      </c>
      <c r="V18" s="32">
        <f t="shared" si="15"/>
        <v>476.13912280762838</v>
      </c>
      <c r="W18" s="32">
        <f t="shared" ref="W18" si="16">W19+W21+W33</f>
        <v>514.83627226976967</v>
      </c>
      <c r="DA18" s="173" t="s">
        <v>390</v>
      </c>
    </row>
    <row r="19" spans="1:105" ht="11.45" customHeight="1" x14ac:dyDescent="0.25">
      <c r="A19" s="107" t="s">
        <v>181</v>
      </c>
      <c r="B19" s="129">
        <v>5.8366945270989286</v>
      </c>
      <c r="C19" s="129">
        <v>5.6997166361680698</v>
      </c>
      <c r="D19" s="129">
        <v>5.5442971468005862</v>
      </c>
      <c r="E19" s="129">
        <v>5.6033450738127515</v>
      </c>
      <c r="F19" s="129">
        <v>5.5603902002093202</v>
      </c>
      <c r="G19" s="129">
        <v>5.4501282950444212</v>
      </c>
      <c r="H19" s="129">
        <v>5.4040846981879742</v>
      </c>
      <c r="I19" s="129">
        <v>5.4121385954321086</v>
      </c>
      <c r="J19" s="129">
        <v>5.4865831747622975</v>
      </c>
      <c r="K19" s="129">
        <v>5.3925291421142267</v>
      </c>
      <c r="L19" s="129">
        <v>5.2720694536065551</v>
      </c>
      <c r="M19" s="129">
        <v>5.122604068305316</v>
      </c>
      <c r="N19" s="129">
        <v>5.1865976151331505</v>
      </c>
      <c r="O19" s="129">
        <v>5.0567239500514889</v>
      </c>
      <c r="P19" s="129">
        <v>5.0893232444224656</v>
      </c>
      <c r="Q19" s="129">
        <v>4.9504503726325062</v>
      </c>
      <c r="R19" s="129">
        <v>4.8725728217288884</v>
      </c>
      <c r="S19" s="129">
        <v>4.5421828099162385</v>
      </c>
      <c r="T19" s="129">
        <v>4.2772982925317029</v>
      </c>
      <c r="U19" s="129">
        <v>4.4397294236347546</v>
      </c>
      <c r="V19" s="129">
        <v>3.9367051225431293</v>
      </c>
      <c r="W19" s="129">
        <v>3.8409300166034255</v>
      </c>
      <c r="DA19" s="203" t="s">
        <v>391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0</v>
      </c>
      <c r="I20" s="97">
        <v>0</v>
      </c>
      <c r="J20" s="97">
        <v>0</v>
      </c>
      <c r="K20" s="97">
        <v>0</v>
      </c>
      <c r="L20" s="97">
        <v>0</v>
      </c>
      <c r="M20" s="97">
        <v>0</v>
      </c>
      <c r="N20" s="97">
        <v>0</v>
      </c>
      <c r="O20" s="97">
        <v>0</v>
      </c>
      <c r="P20" s="97">
        <v>0</v>
      </c>
      <c r="Q20" s="97">
        <v>0</v>
      </c>
      <c r="R20" s="97">
        <v>0</v>
      </c>
      <c r="S20" s="97">
        <v>0</v>
      </c>
      <c r="T20" s="97">
        <v>0</v>
      </c>
      <c r="U20" s="97">
        <v>0</v>
      </c>
      <c r="V20" s="97">
        <v>8.5090229241236558E-3</v>
      </c>
      <c r="W20" s="97">
        <v>0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255.62091542029643</v>
      </c>
      <c r="C21" s="130">
        <f t="shared" si="17"/>
        <v>271.75649928744838</v>
      </c>
      <c r="D21" s="130">
        <f t="shared" si="17"/>
        <v>277.97558050510122</v>
      </c>
      <c r="E21" s="130">
        <f t="shared" si="17"/>
        <v>301.99007129713777</v>
      </c>
      <c r="F21" s="130">
        <f t="shared" si="17"/>
        <v>338.2481843031706</v>
      </c>
      <c r="G21" s="130">
        <f t="shared" si="17"/>
        <v>356.7461886656597</v>
      </c>
      <c r="H21" s="130">
        <f t="shared" si="17"/>
        <v>376.63396678068705</v>
      </c>
      <c r="I21" s="130">
        <f t="shared" si="17"/>
        <v>411.62050810836666</v>
      </c>
      <c r="J21" s="130">
        <f t="shared" si="17"/>
        <v>435.14277080932254</v>
      </c>
      <c r="K21" s="130">
        <f t="shared" si="17"/>
        <v>451.56842262438522</v>
      </c>
      <c r="L21" s="130">
        <f t="shared" ref="L21" si="18">L22+L24+L26+L27+L29+L32</f>
        <v>461.26065823238639</v>
      </c>
      <c r="M21" s="130">
        <f t="shared" ref="M21:V21" si="19">M22+M24+M26+M27+M29+M32</f>
        <v>454.00290263132143</v>
      </c>
      <c r="N21" s="130">
        <f t="shared" si="19"/>
        <v>431.01006899413966</v>
      </c>
      <c r="O21" s="130">
        <f t="shared" si="19"/>
        <v>402.07621591050236</v>
      </c>
      <c r="P21" s="130">
        <f t="shared" si="19"/>
        <v>394.95252440833013</v>
      </c>
      <c r="Q21" s="130">
        <f t="shared" si="19"/>
        <v>405.21691443575133</v>
      </c>
      <c r="R21" s="130">
        <f t="shared" si="19"/>
        <v>423.49234944874905</v>
      </c>
      <c r="S21" s="130">
        <f t="shared" si="19"/>
        <v>430.0467396384991</v>
      </c>
      <c r="T21" s="130">
        <f t="shared" si="19"/>
        <v>430.63082637335708</v>
      </c>
      <c r="U21" s="130">
        <f t="shared" si="19"/>
        <v>437.22827045362828</v>
      </c>
      <c r="V21" s="130">
        <f t="shared" si="19"/>
        <v>386.52719925952363</v>
      </c>
      <c r="W21" s="130">
        <f t="shared" ref="W21" si="20">W22+W24+W26+W27+W29+W32</f>
        <v>416.0840575008192</v>
      </c>
      <c r="DA21" s="176" t="s">
        <v>392</v>
      </c>
    </row>
    <row r="22" spans="1:105" ht="11.45" customHeight="1" x14ac:dyDescent="0.25">
      <c r="A22" s="111" t="s">
        <v>110</v>
      </c>
      <c r="B22" s="96">
        <v>203.92706404345816</v>
      </c>
      <c r="C22" s="96">
        <v>217.27517614204916</v>
      </c>
      <c r="D22" s="96">
        <v>227.07627736551052</v>
      </c>
      <c r="E22" s="96">
        <v>251.24815846385897</v>
      </c>
      <c r="F22" s="96">
        <v>284.42855059852548</v>
      </c>
      <c r="G22" s="96">
        <v>308.32332725125377</v>
      </c>
      <c r="H22" s="96">
        <v>329.86860157573523</v>
      </c>
      <c r="I22" s="96">
        <v>361.09493132814225</v>
      </c>
      <c r="J22" s="96">
        <v>382.73435990456045</v>
      </c>
      <c r="K22" s="96">
        <v>393.87032217508613</v>
      </c>
      <c r="L22" s="96">
        <v>401.58808717238236</v>
      </c>
      <c r="M22" s="96">
        <v>396.55902159910846</v>
      </c>
      <c r="N22" s="96">
        <v>382.82987576891622</v>
      </c>
      <c r="O22" s="96">
        <v>359.11841851173676</v>
      </c>
      <c r="P22" s="96">
        <v>351.28614893408997</v>
      </c>
      <c r="Q22" s="96">
        <v>355.70420126451432</v>
      </c>
      <c r="R22" s="96">
        <v>365.50043375984774</v>
      </c>
      <c r="S22" s="96">
        <v>362.40252213585978</v>
      </c>
      <c r="T22" s="96">
        <v>352.83268339305943</v>
      </c>
      <c r="U22" s="96">
        <v>347.43933792023381</v>
      </c>
      <c r="V22" s="96">
        <v>293.68512835654849</v>
      </c>
      <c r="W22" s="96">
        <v>315.00303079830866</v>
      </c>
      <c r="DA22" s="171" t="s">
        <v>640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6">
        <v>0</v>
      </c>
      <c r="J23" s="96">
        <v>0</v>
      </c>
      <c r="K23" s="96">
        <v>0</v>
      </c>
      <c r="L23" s="96">
        <v>0</v>
      </c>
      <c r="M23" s="96">
        <v>0</v>
      </c>
      <c r="N23" s="96">
        <v>0</v>
      </c>
      <c r="O23" s="96">
        <v>0</v>
      </c>
      <c r="P23" s="96">
        <v>0</v>
      </c>
      <c r="Q23" s="96">
        <v>0</v>
      </c>
      <c r="R23" s="96">
        <v>0</v>
      </c>
      <c r="S23" s="96">
        <v>0</v>
      </c>
      <c r="T23" s="96">
        <v>0</v>
      </c>
      <c r="U23" s="96">
        <v>0</v>
      </c>
      <c r="V23" s="96">
        <v>0.63478808086233329</v>
      </c>
      <c r="W23" s="96">
        <v>0</v>
      </c>
      <c r="DA23" s="171" t="s">
        <v>641</v>
      </c>
    </row>
    <row r="24" spans="1:105" ht="11.45" customHeight="1" x14ac:dyDescent="0.25">
      <c r="A24" s="111" t="s">
        <v>111</v>
      </c>
      <c r="B24" s="96">
        <v>51.693851376838261</v>
      </c>
      <c r="C24" s="96">
        <v>54.481323145399195</v>
      </c>
      <c r="D24" s="96">
        <v>50.899303139590693</v>
      </c>
      <c r="E24" s="96">
        <v>50.741912833278782</v>
      </c>
      <c r="F24" s="96">
        <v>53.819633704645106</v>
      </c>
      <c r="G24" s="96">
        <v>48.422861414405901</v>
      </c>
      <c r="H24" s="96">
        <v>46.765365204951792</v>
      </c>
      <c r="I24" s="96">
        <v>50.525576780224405</v>
      </c>
      <c r="J24" s="96">
        <v>52.408410904762071</v>
      </c>
      <c r="K24" s="96">
        <v>57.698100449299076</v>
      </c>
      <c r="L24" s="96">
        <v>59.672571060004017</v>
      </c>
      <c r="M24" s="96">
        <v>57.443881032212985</v>
      </c>
      <c r="N24" s="96">
        <v>48.180193225223448</v>
      </c>
      <c r="O24" s="96">
        <v>42.956879075432724</v>
      </c>
      <c r="P24" s="96">
        <v>43.663120013213081</v>
      </c>
      <c r="Q24" s="96">
        <v>49.499545595579704</v>
      </c>
      <c r="R24" s="96">
        <v>57.966095139953801</v>
      </c>
      <c r="S24" s="96">
        <v>67.584680612818318</v>
      </c>
      <c r="T24" s="96">
        <v>77.208958739710056</v>
      </c>
      <c r="U24" s="96">
        <v>89.114923457969255</v>
      </c>
      <c r="V24" s="96">
        <v>92.2259656986528</v>
      </c>
      <c r="W24" s="96">
        <v>100.33423649273735</v>
      </c>
      <c r="DA24" s="171" t="s">
        <v>642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0.12868161862879524</v>
      </c>
      <c r="J25" s="96">
        <v>2.0997272779112039</v>
      </c>
      <c r="K25" s="96">
        <v>2.5178301395771947</v>
      </c>
      <c r="L25" s="96">
        <v>2.5411057033021396</v>
      </c>
      <c r="M25" s="96">
        <v>2.7118697763107149</v>
      </c>
      <c r="N25" s="96">
        <v>2.6038904527806914</v>
      </c>
      <c r="O25" s="96">
        <v>2.5745988721994375</v>
      </c>
      <c r="P25" s="96">
        <v>1.7779278986593143</v>
      </c>
      <c r="Q25" s="96">
        <v>1.8729918683541642</v>
      </c>
      <c r="R25" s="96">
        <v>1.8063951491485575</v>
      </c>
      <c r="S25" s="96">
        <v>1.8848608896144328</v>
      </c>
      <c r="T25" s="96">
        <v>2.1576761549862109</v>
      </c>
      <c r="U25" s="96">
        <v>2.8719133923674156</v>
      </c>
      <c r="V25" s="96">
        <v>7.0746587514262034</v>
      </c>
      <c r="W25" s="96">
        <v>7.2685883230614108</v>
      </c>
      <c r="DA25" s="171" t="s">
        <v>643</v>
      </c>
    </row>
    <row r="26" spans="1:105" ht="11.45" customHeight="1" x14ac:dyDescent="0.25">
      <c r="A26" s="111" t="s">
        <v>112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0.49819432502149608</v>
      </c>
      <c r="U26" s="96">
        <v>0.53886500429922612</v>
      </c>
      <c r="V26" s="96">
        <v>0.4507308684436801</v>
      </c>
      <c r="W26" s="96">
        <v>0.51745485812553738</v>
      </c>
      <c r="DA26" s="171" t="s">
        <v>644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0</v>
      </c>
      <c r="I27" s="96">
        <v>0</v>
      </c>
      <c r="J27" s="96">
        <v>0</v>
      </c>
      <c r="K27" s="96">
        <v>0</v>
      </c>
      <c r="L27" s="96">
        <v>0</v>
      </c>
      <c r="M27" s="96">
        <v>0</v>
      </c>
      <c r="N27" s="96">
        <v>0</v>
      </c>
      <c r="O27" s="96">
        <v>0</v>
      </c>
      <c r="P27" s="96">
        <v>0</v>
      </c>
      <c r="Q27" s="96">
        <v>0</v>
      </c>
      <c r="R27" s="96">
        <v>0</v>
      </c>
      <c r="S27" s="96">
        <v>0</v>
      </c>
      <c r="T27" s="96">
        <v>0</v>
      </c>
      <c r="U27" s="96">
        <v>0</v>
      </c>
      <c r="V27" s="96">
        <v>0</v>
      </c>
      <c r="W27" s="96">
        <v>0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0</v>
      </c>
      <c r="O29" s="96">
        <v>0</v>
      </c>
      <c r="P29" s="96">
        <v>9.6080724044974274E-4</v>
      </c>
      <c r="Q29" s="96">
        <v>9.5643179402657326E-3</v>
      </c>
      <c r="R29" s="96">
        <v>2.0306438687316922E-2</v>
      </c>
      <c r="S29" s="96">
        <v>4.5877294112546083E-2</v>
      </c>
      <c r="T29" s="96">
        <v>6.8545789475435825E-2</v>
      </c>
      <c r="U29" s="96">
        <v>0.10108710938697632</v>
      </c>
      <c r="V29" s="96">
        <v>0.12658745696639925</v>
      </c>
      <c r="W29" s="96">
        <v>0.17371122656066496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0</v>
      </c>
      <c r="O30" s="96">
        <v>0</v>
      </c>
      <c r="P30" s="96">
        <v>0</v>
      </c>
      <c r="Q30" s="96">
        <v>0</v>
      </c>
      <c r="R30" s="96">
        <v>0</v>
      </c>
      <c r="S30" s="96">
        <v>0</v>
      </c>
      <c r="T30" s="96">
        <v>0</v>
      </c>
      <c r="U30" s="96">
        <v>0</v>
      </c>
      <c r="V30" s="96">
        <v>1.7187101673913098E-4</v>
      </c>
      <c r="W30" s="96">
        <v>0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0</v>
      </c>
      <c r="O31" s="96">
        <v>0</v>
      </c>
      <c r="P31" s="96">
        <v>3.0985920656980375E-4</v>
      </c>
      <c r="Q31" s="96">
        <v>3.1876291535809101E-3</v>
      </c>
      <c r="R31" s="96">
        <v>6.0031060184374627E-3</v>
      </c>
      <c r="S31" s="96">
        <v>1.5960970350375626E-2</v>
      </c>
      <c r="T31" s="96">
        <v>2.5944592372024931E-2</v>
      </c>
      <c r="U31" s="96">
        <v>3.8703597136698978E-2</v>
      </c>
      <c r="V31" s="96">
        <v>4.7071216612244088E-2</v>
      </c>
      <c r="W31" s="96">
        <v>7.1744697303448499E-2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0</v>
      </c>
      <c r="M32" s="96">
        <v>0</v>
      </c>
      <c r="N32" s="96">
        <v>0</v>
      </c>
      <c r="O32" s="96">
        <v>9.1832333290424169E-4</v>
      </c>
      <c r="P32" s="96">
        <v>2.2946537866345034E-3</v>
      </c>
      <c r="Q32" s="96">
        <v>3.6032577170568092E-3</v>
      </c>
      <c r="R32" s="96">
        <v>5.5141102602127533E-3</v>
      </c>
      <c r="S32" s="96">
        <v>1.3659595708460884E-2</v>
      </c>
      <c r="T32" s="96">
        <v>2.2444126090714195E-2</v>
      </c>
      <c r="U32" s="96">
        <v>3.4056961738987993E-2</v>
      </c>
      <c r="V32" s="96">
        <v>3.8786878912359907E-2</v>
      </c>
      <c r="W32" s="96">
        <v>5.5624125086998565E-2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90.578997411720536</v>
      </c>
      <c r="C33" s="130">
        <f t="shared" si="21"/>
        <v>92.361591918665098</v>
      </c>
      <c r="D33" s="130">
        <f t="shared" si="21"/>
        <v>89.994454311527733</v>
      </c>
      <c r="E33" s="130">
        <f t="shared" si="21"/>
        <v>96.545243519051382</v>
      </c>
      <c r="F33" s="130">
        <f t="shared" si="21"/>
        <v>101.67187678977955</v>
      </c>
      <c r="G33" s="130">
        <f t="shared" si="21"/>
        <v>95.14976008163444</v>
      </c>
      <c r="H33" s="130">
        <f t="shared" si="21"/>
        <v>96.535660164380701</v>
      </c>
      <c r="I33" s="130">
        <f t="shared" si="21"/>
        <v>101.7644944257392</v>
      </c>
      <c r="J33" s="130">
        <f t="shared" si="21"/>
        <v>100.31239365250687</v>
      </c>
      <c r="K33" s="130">
        <f t="shared" si="21"/>
        <v>101.86970437929197</v>
      </c>
      <c r="L33" s="130">
        <f t="shared" ref="L33" si="22">L34+L36+L38+L39+L41</f>
        <v>102.34919580839474</v>
      </c>
      <c r="M33" s="130">
        <f t="shared" ref="M33:V33" si="23">M34+M36+M38+M39+M41</f>
        <v>101.24361995309501</v>
      </c>
      <c r="N33" s="130">
        <f t="shared" si="23"/>
        <v>92.273666247390167</v>
      </c>
      <c r="O33" s="130">
        <f t="shared" si="23"/>
        <v>82.876359962298352</v>
      </c>
      <c r="P33" s="130">
        <f t="shared" si="23"/>
        <v>82.029522797830154</v>
      </c>
      <c r="Q33" s="130">
        <f t="shared" si="23"/>
        <v>91.330261516368594</v>
      </c>
      <c r="R33" s="130">
        <f t="shared" si="23"/>
        <v>95.810721507861913</v>
      </c>
      <c r="S33" s="130">
        <f t="shared" si="23"/>
        <v>100.27715208487099</v>
      </c>
      <c r="T33" s="130">
        <f t="shared" si="23"/>
        <v>100.58200884397357</v>
      </c>
      <c r="U33" s="130">
        <f t="shared" si="23"/>
        <v>103.02910927360344</v>
      </c>
      <c r="V33" s="130">
        <f t="shared" si="23"/>
        <v>85.675218425561624</v>
      </c>
      <c r="W33" s="130">
        <f t="shared" ref="W33" si="24">W34+W36+W38+W39+W41</f>
        <v>94.911284752347072</v>
      </c>
      <c r="DA33" s="176" t="s">
        <v>393</v>
      </c>
    </row>
    <row r="34" spans="1:105" ht="11.45" customHeight="1" x14ac:dyDescent="0.25">
      <c r="A34" s="111" t="s">
        <v>110</v>
      </c>
      <c r="B34" s="97">
        <v>0.85287380187658512</v>
      </c>
      <c r="C34" s="97">
        <v>0.87143876537301113</v>
      </c>
      <c r="D34" s="97">
        <v>0.86328818198998269</v>
      </c>
      <c r="E34" s="97">
        <v>0.91027821258216268</v>
      </c>
      <c r="F34" s="97">
        <v>0.91383504311045083</v>
      </c>
      <c r="G34" s="97">
        <v>0.92844753956688353</v>
      </c>
      <c r="H34" s="97">
        <v>0.96240559693229866</v>
      </c>
      <c r="I34" s="97">
        <v>0.95809749553538859</v>
      </c>
      <c r="J34" s="97">
        <v>0.95920365706136168</v>
      </c>
      <c r="K34" s="97">
        <v>0.9421879469006722</v>
      </c>
      <c r="L34" s="97">
        <v>0.95578666855463501</v>
      </c>
      <c r="M34" s="97">
        <v>0.95242230823125251</v>
      </c>
      <c r="N34" s="97">
        <v>0.94083609428412707</v>
      </c>
      <c r="O34" s="97">
        <v>0.88826620518023924</v>
      </c>
      <c r="P34" s="97">
        <v>0.29814616735490379</v>
      </c>
      <c r="Q34" s="97">
        <v>0.26471836387716663</v>
      </c>
      <c r="R34" s="97">
        <v>0.24372050706172874</v>
      </c>
      <c r="S34" s="97">
        <v>0.25491046248073118</v>
      </c>
      <c r="T34" s="97">
        <v>0.26182518334046617</v>
      </c>
      <c r="U34" s="97">
        <v>0.25528129564609153</v>
      </c>
      <c r="V34" s="97">
        <v>0.23687192990019063</v>
      </c>
      <c r="W34" s="97">
        <v>0.24153818241919503</v>
      </c>
      <c r="DA34" s="175" t="s">
        <v>651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0</v>
      </c>
      <c r="K35" s="97">
        <v>0</v>
      </c>
      <c r="L35" s="97">
        <v>0</v>
      </c>
      <c r="M35" s="97">
        <v>0</v>
      </c>
      <c r="N35" s="97">
        <v>0</v>
      </c>
      <c r="O35" s="97">
        <v>0</v>
      </c>
      <c r="P35" s="97">
        <v>0</v>
      </c>
      <c r="Q35" s="97">
        <v>0</v>
      </c>
      <c r="R35" s="97">
        <v>0</v>
      </c>
      <c r="S35" s="97">
        <v>0</v>
      </c>
      <c r="T35" s="97">
        <v>0</v>
      </c>
      <c r="U35" s="97">
        <v>0</v>
      </c>
      <c r="V35" s="97">
        <v>5.119887364843015E-4</v>
      </c>
      <c r="W35" s="97">
        <v>0</v>
      </c>
      <c r="DA35" s="175" t="s">
        <v>652</v>
      </c>
    </row>
    <row r="36" spans="1:105" ht="11.45" customHeight="1" x14ac:dyDescent="0.25">
      <c r="A36" s="111" t="s">
        <v>111</v>
      </c>
      <c r="B36" s="97">
        <v>89.726123609843953</v>
      </c>
      <c r="C36" s="97">
        <v>91.490153153292084</v>
      </c>
      <c r="D36" s="97">
        <v>89.131166129537746</v>
      </c>
      <c r="E36" s="97">
        <v>95.634965306469226</v>
      </c>
      <c r="F36" s="97">
        <v>100.75804174666909</v>
      </c>
      <c r="G36" s="97">
        <v>94.221312542067551</v>
      </c>
      <c r="H36" s="97">
        <v>95.573254567448402</v>
      </c>
      <c r="I36" s="97">
        <v>100.80639693020382</v>
      </c>
      <c r="J36" s="97">
        <v>99.340660039697525</v>
      </c>
      <c r="K36" s="97">
        <v>100.91502569114262</v>
      </c>
      <c r="L36" s="97">
        <v>101.38091845278909</v>
      </c>
      <c r="M36" s="97">
        <v>100.27870716094412</v>
      </c>
      <c r="N36" s="97">
        <v>91.320343517448862</v>
      </c>
      <c r="O36" s="97">
        <v>81.975608889685176</v>
      </c>
      <c r="P36" s="97">
        <v>81.718882051466366</v>
      </c>
      <c r="Q36" s="97">
        <v>91.053036488015366</v>
      </c>
      <c r="R36" s="97">
        <v>95.554513209014601</v>
      </c>
      <c r="S36" s="97">
        <v>100.00978572332113</v>
      </c>
      <c r="T36" s="97">
        <v>100.30776640112499</v>
      </c>
      <c r="U36" s="97">
        <v>102.76142116812991</v>
      </c>
      <c r="V36" s="97">
        <v>85.423853391799028</v>
      </c>
      <c r="W36" s="97">
        <v>94.655141674255461</v>
      </c>
      <c r="DA36" s="175" t="s">
        <v>653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0</v>
      </c>
      <c r="G37" s="97">
        <v>0</v>
      </c>
      <c r="H37" s="97">
        <v>0</v>
      </c>
      <c r="I37" s="97">
        <v>0.2567398761530344</v>
      </c>
      <c r="J37" s="97">
        <v>3.9800537755305805</v>
      </c>
      <c r="K37" s="97">
        <v>4.403730646984453</v>
      </c>
      <c r="L37" s="97">
        <v>4.3172202154209325</v>
      </c>
      <c r="M37" s="97">
        <v>4.7340602736221626</v>
      </c>
      <c r="N37" s="97">
        <v>4.9353926315357866</v>
      </c>
      <c r="O37" s="97">
        <v>4.913166755541809</v>
      </c>
      <c r="P37" s="97">
        <v>3.3275285916944335</v>
      </c>
      <c r="Q37" s="97">
        <v>3.4453164141013262</v>
      </c>
      <c r="R37" s="97">
        <v>2.9777615470434342</v>
      </c>
      <c r="S37" s="97">
        <v>2.7891606793042314</v>
      </c>
      <c r="T37" s="97">
        <v>2.8031938165786898</v>
      </c>
      <c r="U37" s="97">
        <v>3.3117001083511437</v>
      </c>
      <c r="V37" s="97">
        <v>6.5528683532957359</v>
      </c>
      <c r="W37" s="97">
        <v>6.8571733990422885</v>
      </c>
      <c r="DA37" s="175" t="s">
        <v>654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0</v>
      </c>
      <c r="Q38" s="97">
        <v>0</v>
      </c>
      <c r="R38" s="97">
        <v>0</v>
      </c>
      <c r="S38" s="97">
        <v>0</v>
      </c>
      <c r="T38" s="97">
        <v>0</v>
      </c>
      <c r="U38" s="97">
        <v>0</v>
      </c>
      <c r="V38" s="97">
        <v>0</v>
      </c>
      <c r="W38" s="97">
        <v>0</v>
      </c>
      <c r="DA38" s="175" t="s">
        <v>655</v>
      </c>
    </row>
    <row r="39" spans="1:105" ht="11.45" customHeight="1" x14ac:dyDescent="0.25">
      <c r="A39" s="111" t="s">
        <v>113</v>
      </c>
      <c r="B39" s="97">
        <v>0</v>
      </c>
      <c r="C39" s="97">
        <v>0</v>
      </c>
      <c r="D39" s="97"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97">
        <v>0</v>
      </c>
      <c r="K39" s="97">
        <v>0</v>
      </c>
      <c r="L39" s="97">
        <v>0</v>
      </c>
      <c r="M39" s="97">
        <v>0</v>
      </c>
      <c r="N39" s="97">
        <v>0</v>
      </c>
      <c r="O39" s="97">
        <v>0</v>
      </c>
      <c r="P39" s="97">
        <v>0</v>
      </c>
      <c r="Q39" s="97">
        <v>0</v>
      </c>
      <c r="R39" s="97">
        <v>0</v>
      </c>
      <c r="S39" s="97">
        <v>0</v>
      </c>
      <c r="T39" s="97">
        <v>0</v>
      </c>
      <c r="U39" s="97">
        <v>0</v>
      </c>
      <c r="V39" s="97">
        <v>0</v>
      </c>
      <c r="W39" s="97">
        <v>0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DA40" s="175" t="s">
        <v>657</v>
      </c>
    </row>
    <row r="41" spans="1:105" ht="11.45" customHeight="1" x14ac:dyDescent="0.25">
      <c r="A41" s="111" t="s">
        <v>115</v>
      </c>
      <c r="B41" s="97">
        <v>0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1.2529955747980213E-2</v>
      </c>
      <c r="K41" s="97">
        <v>1.2490741248680388E-2</v>
      </c>
      <c r="L41" s="97">
        <v>1.249068705101529E-2</v>
      </c>
      <c r="M41" s="97">
        <v>1.2490483919631751E-2</v>
      </c>
      <c r="N41" s="97">
        <v>1.2486635657183108E-2</v>
      </c>
      <c r="O41" s="97">
        <v>1.2484867432934926E-2</v>
      </c>
      <c r="P41" s="97">
        <v>1.2494579008882489E-2</v>
      </c>
      <c r="Q41" s="97">
        <v>1.250666447606821E-2</v>
      </c>
      <c r="R41" s="97">
        <v>1.2487791785585218E-2</v>
      </c>
      <c r="S41" s="97">
        <v>1.245589906912737E-2</v>
      </c>
      <c r="T41" s="97">
        <v>1.2417259508112743E-2</v>
      </c>
      <c r="U41" s="97">
        <v>1.2406809827442107E-2</v>
      </c>
      <c r="V41" s="97">
        <v>1.4493103862405798E-2</v>
      </c>
      <c r="W41" s="97">
        <v>1.4604895672417666E-2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225.39245540958566</v>
      </c>
      <c r="C42" s="32">
        <f t="shared" si="25"/>
        <v>226.5016246598681</v>
      </c>
      <c r="D42" s="32">
        <f t="shared" si="25"/>
        <v>217.9493825679549</v>
      </c>
      <c r="E42" s="32">
        <f t="shared" si="25"/>
        <v>222.98945704894902</v>
      </c>
      <c r="F42" s="32">
        <f t="shared" si="25"/>
        <v>216.47139737408034</v>
      </c>
      <c r="G42" s="32">
        <f t="shared" si="25"/>
        <v>218.60929699033562</v>
      </c>
      <c r="H42" s="32">
        <f t="shared" si="25"/>
        <v>194.92155920799107</v>
      </c>
      <c r="I42" s="32">
        <f t="shared" si="25"/>
        <v>200.64522956526105</v>
      </c>
      <c r="J42" s="32">
        <f t="shared" si="25"/>
        <v>206.65782217963624</v>
      </c>
      <c r="K42" s="32">
        <f t="shared" si="25"/>
        <v>190.70268232696225</v>
      </c>
      <c r="L42" s="32">
        <f t="shared" ref="L42" si="26">L43+L52</f>
        <v>196.57824438860035</v>
      </c>
      <c r="M42" s="32">
        <f t="shared" ref="M42:V42" si="27">M43+M52</f>
        <v>183.95893223122192</v>
      </c>
      <c r="N42" s="32">
        <f t="shared" si="27"/>
        <v>159.48369393368802</v>
      </c>
      <c r="O42" s="32">
        <f t="shared" si="27"/>
        <v>129.94085007564308</v>
      </c>
      <c r="P42" s="32">
        <f t="shared" si="27"/>
        <v>117.48627925543062</v>
      </c>
      <c r="Q42" s="32">
        <f t="shared" si="27"/>
        <v>120.47144647106505</v>
      </c>
      <c r="R42" s="32">
        <f t="shared" si="27"/>
        <v>133.99598478951492</v>
      </c>
      <c r="S42" s="32">
        <f t="shared" si="27"/>
        <v>143.7326518347331</v>
      </c>
      <c r="T42" s="32">
        <f t="shared" si="27"/>
        <v>146.79141814969179</v>
      </c>
      <c r="U42" s="32">
        <f t="shared" si="27"/>
        <v>145.39576488387428</v>
      </c>
      <c r="V42" s="32">
        <f t="shared" si="27"/>
        <v>139.66725689708232</v>
      </c>
      <c r="W42" s="32">
        <f t="shared" ref="W42" si="28">W43+W52</f>
        <v>144.40301362252509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177.99717184746902</v>
      </c>
      <c r="C43" s="141">
        <f t="shared" si="29"/>
        <v>178.75540003812512</v>
      </c>
      <c r="D43" s="141">
        <f t="shared" si="29"/>
        <v>173.05640755819124</v>
      </c>
      <c r="E43" s="141">
        <f t="shared" si="29"/>
        <v>174.14188873600077</v>
      </c>
      <c r="F43" s="141">
        <f t="shared" si="29"/>
        <v>173.44839106527601</v>
      </c>
      <c r="G43" s="141">
        <f t="shared" si="29"/>
        <v>167.31401705786405</v>
      </c>
      <c r="H43" s="141">
        <f t="shared" si="29"/>
        <v>153.10719384274699</v>
      </c>
      <c r="I43" s="141">
        <f t="shared" si="29"/>
        <v>155.57867572884663</v>
      </c>
      <c r="J43" s="141">
        <f t="shared" si="29"/>
        <v>158.08137328438124</v>
      </c>
      <c r="K43" s="141">
        <f t="shared" si="29"/>
        <v>152.21936742956763</v>
      </c>
      <c r="L43" s="141">
        <f t="shared" ref="L43" si="30">L44+L46+L48+L49+L51</f>
        <v>152.75301105366253</v>
      </c>
      <c r="M43" s="141">
        <f t="shared" ref="M43:V43" si="31">M44+M46+M48+M49+M51</f>
        <v>147.15385577898519</v>
      </c>
      <c r="N43" s="141">
        <f t="shared" si="31"/>
        <v>128.96530553075144</v>
      </c>
      <c r="O43" s="141">
        <f t="shared" si="31"/>
        <v>109.72172275561596</v>
      </c>
      <c r="P43" s="141">
        <f t="shared" si="31"/>
        <v>100.2415568652175</v>
      </c>
      <c r="Q43" s="141">
        <f t="shared" si="31"/>
        <v>102.77945728569134</v>
      </c>
      <c r="R43" s="141">
        <f t="shared" si="31"/>
        <v>109.9495266647213</v>
      </c>
      <c r="S43" s="141">
        <f t="shared" si="31"/>
        <v>115.50673408709959</v>
      </c>
      <c r="T43" s="141">
        <f t="shared" si="31"/>
        <v>117.28683260006414</v>
      </c>
      <c r="U43" s="141">
        <f t="shared" si="31"/>
        <v>114.55274960347018</v>
      </c>
      <c r="V43" s="141">
        <f t="shared" si="31"/>
        <v>116.2735517334969</v>
      </c>
      <c r="W43" s="141">
        <f t="shared" ref="W43" si="32">W44+W46+W48+W49+W51</f>
        <v>120.10495566088656</v>
      </c>
      <c r="DA43" s="174" t="s">
        <v>399</v>
      </c>
    </row>
    <row r="44" spans="1:105" ht="11.45" customHeight="1" x14ac:dyDescent="0.25">
      <c r="A44" s="111" t="s">
        <v>110</v>
      </c>
      <c r="B44" s="96">
        <v>7.3493177565431012</v>
      </c>
      <c r="C44" s="96">
        <v>7.8748206490150645</v>
      </c>
      <c r="D44" s="96">
        <v>7.7600753968425353</v>
      </c>
      <c r="E44" s="96">
        <v>8.8762234088174363</v>
      </c>
      <c r="F44" s="96">
        <v>7.4778776405278249</v>
      </c>
      <c r="G44" s="96">
        <v>5.8985268367488439</v>
      </c>
      <c r="H44" s="96">
        <v>5.5270749391186538</v>
      </c>
      <c r="I44" s="96">
        <v>4.9816081612857488</v>
      </c>
      <c r="J44" s="96">
        <v>5.4864052842520534</v>
      </c>
      <c r="K44" s="96">
        <v>5.0424241924767887</v>
      </c>
      <c r="L44" s="96">
        <v>4.8381409702887392</v>
      </c>
      <c r="M44" s="96">
        <v>4.7295805712165295</v>
      </c>
      <c r="N44" s="96">
        <v>4.6512029894222904</v>
      </c>
      <c r="O44" s="96">
        <v>4.2090762857400357</v>
      </c>
      <c r="P44" s="96">
        <v>4.1334693131494857</v>
      </c>
      <c r="Q44" s="96">
        <v>4.1144080823302636</v>
      </c>
      <c r="R44" s="96">
        <v>3.9319102493720735</v>
      </c>
      <c r="S44" s="96">
        <v>4.0512077348769946</v>
      </c>
      <c r="T44" s="96">
        <v>4.0324534988832736</v>
      </c>
      <c r="U44" s="96">
        <v>4.0380055954405689</v>
      </c>
      <c r="V44" s="96">
        <v>3.7195599499662242</v>
      </c>
      <c r="W44" s="96">
        <v>3.9217348173496243</v>
      </c>
      <c r="DA44" s="171" t="s">
        <v>659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0</v>
      </c>
      <c r="I45" s="96">
        <v>0</v>
      </c>
      <c r="J45" s="96">
        <v>0</v>
      </c>
      <c r="K45" s="96">
        <v>0</v>
      </c>
      <c r="L45" s="96">
        <v>0</v>
      </c>
      <c r="M45" s="96">
        <v>0</v>
      </c>
      <c r="N45" s="96">
        <v>0</v>
      </c>
      <c r="O45" s="96">
        <v>0</v>
      </c>
      <c r="P45" s="96">
        <v>0</v>
      </c>
      <c r="Q45" s="96">
        <v>0</v>
      </c>
      <c r="R45" s="96">
        <v>0</v>
      </c>
      <c r="S45" s="96">
        <v>0</v>
      </c>
      <c r="T45" s="96">
        <v>0</v>
      </c>
      <c r="U45" s="96">
        <v>0</v>
      </c>
      <c r="V45" s="96">
        <v>8.0396727457882136E-3</v>
      </c>
      <c r="W45" s="96">
        <v>0</v>
      </c>
      <c r="DA45" s="171" t="s">
        <v>660</v>
      </c>
    </row>
    <row r="46" spans="1:105" ht="11.45" customHeight="1" x14ac:dyDescent="0.25">
      <c r="A46" s="111" t="s">
        <v>111</v>
      </c>
      <c r="B46" s="96">
        <v>170.64785409092593</v>
      </c>
      <c r="C46" s="96">
        <v>170.88057938911004</v>
      </c>
      <c r="D46" s="96">
        <v>165.29633216134872</v>
      </c>
      <c r="E46" s="96">
        <v>165.26566532718334</v>
      </c>
      <c r="F46" s="96">
        <v>165.97051342474819</v>
      </c>
      <c r="G46" s="96">
        <v>161.41549022111519</v>
      </c>
      <c r="H46" s="96">
        <v>147.58011890362835</v>
      </c>
      <c r="I46" s="96">
        <v>150.59682928892693</v>
      </c>
      <c r="J46" s="96">
        <v>152.59460053861727</v>
      </c>
      <c r="K46" s="96">
        <v>147.17655982200887</v>
      </c>
      <c r="L46" s="96">
        <v>147.91422642140063</v>
      </c>
      <c r="M46" s="96">
        <v>142.42349614566379</v>
      </c>
      <c r="N46" s="96">
        <v>124.31331905043577</v>
      </c>
      <c r="O46" s="96">
        <v>105.51184129267094</v>
      </c>
      <c r="P46" s="96">
        <v>96.10741140065349</v>
      </c>
      <c r="Q46" s="96">
        <v>98.664371121400961</v>
      </c>
      <c r="R46" s="96">
        <v>106.01694040499973</v>
      </c>
      <c r="S46" s="96">
        <v>111.45485237366474</v>
      </c>
      <c r="T46" s="96">
        <v>113.25383978245215</v>
      </c>
      <c r="U46" s="96">
        <v>110.51357216572374</v>
      </c>
      <c r="V46" s="96">
        <v>112.55260644243738</v>
      </c>
      <c r="W46" s="96">
        <v>116.18083558246066</v>
      </c>
      <c r="DA46" s="171" t="s">
        <v>661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0</v>
      </c>
      <c r="G47" s="96">
        <v>0</v>
      </c>
      <c r="H47" s="96">
        <v>0</v>
      </c>
      <c r="I47" s="96">
        <v>0.38354918415990041</v>
      </c>
      <c r="J47" s="96">
        <v>6.1136569432557355</v>
      </c>
      <c r="K47" s="96">
        <v>6.422491819895634</v>
      </c>
      <c r="L47" s="96">
        <v>6.2988015713449279</v>
      </c>
      <c r="M47" s="96">
        <v>6.7236747882222909</v>
      </c>
      <c r="N47" s="96">
        <v>6.7184924542694899</v>
      </c>
      <c r="O47" s="96">
        <v>6.3237989687001059</v>
      </c>
      <c r="P47" s="96">
        <v>3.9134181878308696</v>
      </c>
      <c r="Q47" s="96">
        <v>3.7333184089504812</v>
      </c>
      <c r="R47" s="96">
        <v>3.3038017553672296</v>
      </c>
      <c r="S47" s="96">
        <v>3.1083507429792774</v>
      </c>
      <c r="T47" s="96">
        <v>3.1649838768456808</v>
      </c>
      <c r="U47" s="96">
        <v>3.5615292660919868</v>
      </c>
      <c r="V47" s="96">
        <v>8.6339164478431751</v>
      </c>
      <c r="W47" s="96">
        <v>8.4165753824151306</v>
      </c>
      <c r="DA47" s="171" t="s">
        <v>662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0</v>
      </c>
      <c r="K48" s="96">
        <v>0</v>
      </c>
      <c r="L48" s="96">
        <v>0</v>
      </c>
      <c r="M48" s="96">
        <v>0</v>
      </c>
      <c r="N48" s="96">
        <v>0</v>
      </c>
      <c r="O48" s="96">
        <v>0</v>
      </c>
      <c r="P48" s="96">
        <v>0</v>
      </c>
      <c r="Q48" s="96">
        <v>0</v>
      </c>
      <c r="R48" s="96">
        <v>0</v>
      </c>
      <c r="S48" s="96">
        <v>0</v>
      </c>
      <c r="T48" s="96">
        <v>0</v>
      </c>
      <c r="U48" s="96">
        <v>0</v>
      </c>
      <c r="V48" s="96">
        <v>0</v>
      </c>
      <c r="W48" s="96">
        <v>0</v>
      </c>
      <c r="DA48" s="171" t="s">
        <v>663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0</v>
      </c>
      <c r="O49" s="96">
        <v>0</v>
      </c>
      <c r="P49" s="96">
        <v>0</v>
      </c>
      <c r="Q49" s="96">
        <v>0</v>
      </c>
      <c r="R49" s="96">
        <v>0</v>
      </c>
      <c r="S49" s="96">
        <v>0</v>
      </c>
      <c r="T49" s="96">
        <v>0</v>
      </c>
      <c r="U49" s="96">
        <v>0</v>
      </c>
      <c r="V49" s="96">
        <v>0</v>
      </c>
      <c r="W49" s="96">
        <v>0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</v>
      </c>
      <c r="W50" s="96">
        <v>0</v>
      </c>
      <c r="DA50" s="171" t="s">
        <v>665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2.3827863395856113E-4</v>
      </c>
      <c r="J51" s="96">
        <v>3.6746151191492074E-4</v>
      </c>
      <c r="K51" s="96">
        <v>3.8341508195950154E-4</v>
      </c>
      <c r="L51" s="96">
        <v>6.4366197316391937E-4</v>
      </c>
      <c r="M51" s="96">
        <v>7.7906210486340351E-4</v>
      </c>
      <c r="N51" s="96">
        <v>7.8349089337101743E-4</v>
      </c>
      <c r="O51" s="96">
        <v>8.0517720498807048E-4</v>
      </c>
      <c r="P51" s="96">
        <v>6.7615141452259024E-4</v>
      </c>
      <c r="Q51" s="96">
        <v>6.7808196012417155E-4</v>
      </c>
      <c r="R51" s="96">
        <v>6.7601034950558745E-4</v>
      </c>
      <c r="S51" s="96">
        <v>6.7397855786255486E-4</v>
      </c>
      <c r="T51" s="96">
        <v>5.3931872873083609E-4</v>
      </c>
      <c r="U51" s="96">
        <v>1.1718423058655883E-3</v>
      </c>
      <c r="V51" s="96">
        <v>1.3853410932966189E-3</v>
      </c>
      <c r="W51" s="96">
        <v>2.3852610762728137E-3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47.395283562116639</v>
      </c>
      <c r="C52" s="130">
        <f t="shared" si="33"/>
        <v>47.746224621742975</v>
      </c>
      <c r="D52" s="130">
        <f t="shared" si="33"/>
        <v>44.892975009763667</v>
      </c>
      <c r="E52" s="130">
        <f t="shared" si="33"/>
        <v>48.847568312948262</v>
      </c>
      <c r="F52" s="130">
        <f t="shared" si="33"/>
        <v>43.023006308804334</v>
      </c>
      <c r="G52" s="130">
        <f t="shared" si="33"/>
        <v>51.295279932471573</v>
      </c>
      <c r="H52" s="130">
        <f t="shared" si="33"/>
        <v>41.814365365244072</v>
      </c>
      <c r="I52" s="130">
        <f t="shared" si="33"/>
        <v>45.066553836414407</v>
      </c>
      <c r="J52" s="130">
        <f t="shared" si="33"/>
        <v>48.576448895255005</v>
      </c>
      <c r="K52" s="130">
        <f t="shared" si="33"/>
        <v>38.483314897394614</v>
      </c>
      <c r="L52" s="130">
        <f t="shared" ref="L52" si="34">L53+L55</f>
        <v>43.825233334937813</v>
      </c>
      <c r="M52" s="130">
        <f t="shared" ref="M52:V52" si="35">M53+M55</f>
        <v>36.805076452236747</v>
      </c>
      <c r="N52" s="130">
        <f t="shared" si="35"/>
        <v>30.518388402936573</v>
      </c>
      <c r="O52" s="130">
        <f t="shared" si="35"/>
        <v>20.219127320027123</v>
      </c>
      <c r="P52" s="130">
        <f t="shared" si="35"/>
        <v>17.244722390213116</v>
      </c>
      <c r="Q52" s="130">
        <f t="shared" si="35"/>
        <v>17.691989185373711</v>
      </c>
      <c r="R52" s="130">
        <f t="shared" si="35"/>
        <v>24.046458124793624</v>
      </c>
      <c r="S52" s="130">
        <f t="shared" si="35"/>
        <v>28.225917747633517</v>
      </c>
      <c r="T52" s="130">
        <f t="shared" si="35"/>
        <v>29.504585549627652</v>
      </c>
      <c r="U52" s="130">
        <f t="shared" si="35"/>
        <v>30.843015280404089</v>
      </c>
      <c r="V52" s="130">
        <f t="shared" si="35"/>
        <v>23.393705163585416</v>
      </c>
      <c r="W52" s="130">
        <f t="shared" ref="W52" si="36">W53+W55</f>
        <v>24.298057961638531</v>
      </c>
      <c r="DA52" s="176" t="s">
        <v>400</v>
      </c>
    </row>
    <row r="53" spans="1:105" ht="11.45" customHeight="1" x14ac:dyDescent="0.25">
      <c r="A53" s="128" t="s">
        <v>27</v>
      </c>
      <c r="B53" s="97">
        <v>47.395283562116639</v>
      </c>
      <c r="C53" s="97">
        <v>47.746224621742975</v>
      </c>
      <c r="D53" s="97">
        <v>44.892975009763667</v>
      </c>
      <c r="E53" s="97">
        <v>48.847568312948262</v>
      </c>
      <c r="F53" s="97">
        <v>43.023006308804334</v>
      </c>
      <c r="G53" s="97">
        <v>51.295279932471573</v>
      </c>
      <c r="H53" s="97">
        <v>41.814365365244072</v>
      </c>
      <c r="I53" s="97">
        <v>45.066553836414407</v>
      </c>
      <c r="J53" s="97">
        <v>48.576448895255005</v>
      </c>
      <c r="K53" s="97">
        <v>38.483314897394614</v>
      </c>
      <c r="L53" s="97">
        <v>43.825233334937813</v>
      </c>
      <c r="M53" s="97">
        <v>36.805076452236747</v>
      </c>
      <c r="N53" s="97">
        <v>30.518388402936573</v>
      </c>
      <c r="O53" s="97">
        <v>20.219127320027123</v>
      </c>
      <c r="P53" s="97">
        <v>17.244722390213116</v>
      </c>
      <c r="Q53" s="97">
        <v>17.691989185373711</v>
      </c>
      <c r="R53" s="97">
        <v>24.046458124793624</v>
      </c>
      <c r="S53" s="97">
        <v>28.225917747633517</v>
      </c>
      <c r="T53" s="97">
        <v>29.504585549627652</v>
      </c>
      <c r="U53" s="97">
        <v>30.843015280404089</v>
      </c>
      <c r="V53" s="97">
        <v>23.393705163585416</v>
      </c>
      <c r="W53" s="97">
        <v>24.298057961638531</v>
      </c>
      <c r="DA53" s="175" t="s">
        <v>667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</v>
      </c>
      <c r="G54" s="97">
        <v>0</v>
      </c>
      <c r="H54" s="97">
        <v>0</v>
      </c>
      <c r="I54" s="97">
        <v>0.11477824625173516</v>
      </c>
      <c r="J54" s="97">
        <v>1.9462008683067813</v>
      </c>
      <c r="K54" s="97">
        <v>1.6793351837404784</v>
      </c>
      <c r="L54" s="97">
        <v>1.8662603001297593</v>
      </c>
      <c r="M54" s="97">
        <v>1.7375318772360608</v>
      </c>
      <c r="N54" s="97">
        <v>1.6493611768052632</v>
      </c>
      <c r="O54" s="97">
        <v>1.2118231937564059</v>
      </c>
      <c r="P54" s="97">
        <v>0.70219152989792666</v>
      </c>
      <c r="Q54" s="97">
        <v>0.66943951667657209</v>
      </c>
      <c r="R54" s="97">
        <v>0.74935883132985803</v>
      </c>
      <c r="S54" s="97">
        <v>0.78718916703584862</v>
      </c>
      <c r="T54" s="97">
        <v>0.82453308194195474</v>
      </c>
      <c r="U54" s="97">
        <v>0.99398019105703472</v>
      </c>
      <c r="V54" s="97">
        <v>1.7945323717685051</v>
      </c>
      <c r="W54" s="97">
        <v>1.7602424311647509</v>
      </c>
      <c r="DA54" s="175" t="s">
        <v>668</v>
      </c>
    </row>
    <row r="55" spans="1:105" ht="11.45" customHeight="1" x14ac:dyDescent="0.25">
      <c r="A55" s="128" t="s">
        <v>116</v>
      </c>
      <c r="B55" s="97">
        <v>0</v>
      </c>
      <c r="C55" s="97">
        <v>0</v>
      </c>
      <c r="D55" s="97">
        <v>0</v>
      </c>
      <c r="E55" s="97">
        <v>0</v>
      </c>
      <c r="F55" s="97">
        <v>0</v>
      </c>
      <c r="G55" s="97">
        <v>0</v>
      </c>
      <c r="H55" s="97">
        <v>0</v>
      </c>
      <c r="I55" s="97">
        <v>0</v>
      </c>
      <c r="J55" s="97">
        <v>0</v>
      </c>
      <c r="K55" s="97">
        <v>0</v>
      </c>
      <c r="L55" s="97">
        <v>0</v>
      </c>
      <c r="M55" s="97">
        <v>0</v>
      </c>
      <c r="N55" s="97">
        <v>0</v>
      </c>
      <c r="O55" s="97">
        <v>0</v>
      </c>
      <c r="P55" s="97">
        <v>0</v>
      </c>
      <c r="Q55" s="97">
        <v>0</v>
      </c>
      <c r="R55" s="97">
        <v>0</v>
      </c>
      <c r="S55" s="97">
        <v>0</v>
      </c>
      <c r="T55" s="97">
        <v>0</v>
      </c>
      <c r="U55" s="97">
        <v>0</v>
      </c>
      <c r="V55" s="97">
        <v>0</v>
      </c>
      <c r="W55" s="97">
        <v>0</v>
      </c>
      <c r="DA55" s="175" t="s">
        <v>669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11.831597660248811</v>
      </c>
      <c r="C60" s="79">
        <f>IF(C17=0,0,C17/TrRoad_act!C30*100)</f>
        <v>11.777411170356986</v>
      </c>
      <c r="D60" s="79">
        <f>IF(D17=0,0,D17/TrRoad_act!D30*100)</f>
        <v>11.387189931865617</v>
      </c>
      <c r="E60" s="79">
        <f>IF(E17=0,0,E17/TrRoad_act!E30*100)</f>
        <v>11.654735435188146</v>
      </c>
      <c r="F60" s="79">
        <f>IF(F17=0,0,F17/TrRoad_act!F30*100)</f>
        <v>11.88456645088942</v>
      </c>
      <c r="G60" s="79">
        <f>IF(G17=0,0,G17/TrRoad_act!G30*100)</f>
        <v>11.472838047548708</v>
      </c>
      <c r="H60" s="79">
        <f>IF(H17=0,0,H17/TrRoad_act!H30*100)</f>
        <v>11.359664857300427</v>
      </c>
      <c r="I60" s="79">
        <f>IF(I17=0,0,I17/TrRoad_act!I30*100)</f>
        <v>11.404109978278139</v>
      </c>
      <c r="J60" s="79">
        <f>IF(J17=0,0,J17/TrRoad_act!J30*100)</f>
        <v>11.051545728402509</v>
      </c>
      <c r="K60" s="79">
        <f>IF(K17=0,0,K17/TrRoad_act!K30*100)</f>
        <v>11.066434344270714</v>
      </c>
      <c r="L60" s="79">
        <f>IF(L17=0,0,L17/TrRoad_act!L30*100)</f>
        <v>11.088506976352042</v>
      </c>
      <c r="M60" s="79">
        <f>IF(M17=0,0,M17/TrRoad_act!M30*100)</f>
        <v>10.701741298889234</v>
      </c>
      <c r="N60" s="79">
        <f>IF(N17=0,0,N17/TrRoad_act!N30*100)</f>
        <v>9.9981809527246135</v>
      </c>
      <c r="O60" s="79">
        <f>IF(O17=0,0,O17/TrRoad_act!O30*100)</f>
        <v>9.2002309931463433</v>
      </c>
      <c r="P60" s="79">
        <f>IF(P17=0,0,P17/TrRoad_act!P30*100)</f>
        <v>8.9679062048714595</v>
      </c>
      <c r="Q60" s="79">
        <f>IF(Q17=0,0,Q17/TrRoad_act!Q30*100)</f>
        <v>9.1823026176360116</v>
      </c>
      <c r="R60" s="79">
        <f>IF(R17=0,0,R17/TrRoad_act!R30*100)</f>
        <v>8.6577196208565823</v>
      </c>
      <c r="S60" s="79">
        <f>IF(S17=0,0,S17/TrRoad_act!S30*100)</f>
        <v>8.7285781287640116</v>
      </c>
      <c r="T60" s="79">
        <f>IF(T17=0,0,T17/TrRoad_act!T30*100)</f>
        <v>8.4237067350217103</v>
      </c>
      <c r="U60" s="79">
        <f>IF(U17=0,0,U17/TrRoad_act!U30*100)</f>
        <v>8.2914272675544716</v>
      </c>
      <c r="V60" s="79">
        <f>IF(V17=0,0,V17/TrRoad_act!V30*100)</f>
        <v>7.9870815506818991</v>
      </c>
      <c r="W60" s="79">
        <f>IF(W17=0,0,W17/TrRoad_act!W30*100)</f>
        <v>8.3824539891702479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10.678897224371957</v>
      </c>
      <c r="C61" s="32">
        <f>IF(C18=0,0,C18/TrRoad_act!C31*100)</f>
        <v>10.735816078859012</v>
      </c>
      <c r="D61" s="32">
        <f>IF(D18=0,0,D18/TrRoad_act!D31*100)</f>
        <v>10.621073365790755</v>
      </c>
      <c r="E61" s="32">
        <f>IF(E18=0,0,E18/TrRoad_act!E31*100)</f>
        <v>11.012284593951627</v>
      </c>
      <c r="F61" s="32">
        <f>IF(F18=0,0,F18/TrRoad_act!F31*100)</f>
        <v>11.122253044964275</v>
      </c>
      <c r="G61" s="32">
        <f>IF(G18=0,0,G18/TrRoad_act!G31*100)</f>
        <v>10.888974023432265</v>
      </c>
      <c r="H61" s="32">
        <f>IF(H18=0,0,H18/TrRoad_act!H31*100)</f>
        <v>10.927391086129621</v>
      </c>
      <c r="I61" s="32">
        <f>IF(I18=0,0,I18/TrRoad_act!I31*100)</f>
        <v>10.882688261868413</v>
      </c>
      <c r="J61" s="32">
        <f>IF(J18=0,0,J18/TrRoad_act!J31*100)</f>
        <v>10.585860035247688</v>
      </c>
      <c r="K61" s="32">
        <f>IF(K18=0,0,K18/TrRoad_act!K31*100)</f>
        <v>10.591252529511753</v>
      </c>
      <c r="L61" s="32">
        <f>IF(L18=0,0,L18/TrRoad_act!L31*100)</f>
        <v>10.561333438200982</v>
      </c>
      <c r="M61" s="32">
        <f>IF(M18=0,0,M18/TrRoad_act!M31*100)</f>
        <v>10.301579882465177</v>
      </c>
      <c r="N61" s="32">
        <f>IF(N18=0,0,N18/TrRoad_act!N31*100)</f>
        <v>9.8647667855599828</v>
      </c>
      <c r="O61" s="32">
        <f>IF(O18=0,0,O18/TrRoad_act!O31*100)</f>
        <v>9.2223840667001333</v>
      </c>
      <c r="P61" s="32">
        <f>IF(P18=0,0,P18/TrRoad_act!P31*100)</f>
        <v>9.0268754503179967</v>
      </c>
      <c r="Q61" s="32">
        <f>IF(Q18=0,0,Q18/TrRoad_act!Q31*100)</f>
        <v>9.2093555766535431</v>
      </c>
      <c r="R61" s="32">
        <f>IF(R18=0,0,R18/TrRoad_act!R31*100)</f>
        <v>8.5048964442281783</v>
      </c>
      <c r="S61" s="32">
        <f>IF(S18=0,0,S18/TrRoad_act!S31*100)</f>
        <v>8.5695281131647523</v>
      </c>
      <c r="T61" s="32">
        <f>IF(T18=0,0,T18/TrRoad_act!T31*100)</f>
        <v>8.2715664785051413</v>
      </c>
      <c r="U61" s="32">
        <f>IF(U18=0,0,U18/TrRoad_act!U31*100)</f>
        <v>8.1102238573000793</v>
      </c>
      <c r="V61" s="32">
        <f>IF(V18=0,0,V18/TrRoad_act!V31*100)</f>
        <v>7.7036208739458978</v>
      </c>
      <c r="W61" s="32">
        <f>IF(W18=0,0,W18/TrRoad_act!W31*100)</f>
        <v>8.1000463210602671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4.5269001232284127</v>
      </c>
      <c r="C62" s="141">
        <f>IF(C19=0,0,C19/TrRoad_act!C32*100)</f>
        <v>4.4901339186415488</v>
      </c>
      <c r="D62" s="141">
        <f>IF(D19=0,0,D19/TrRoad_act!D32*100)</f>
        <v>4.4594001068099045</v>
      </c>
      <c r="E62" s="141">
        <f>IF(E19=0,0,E19/TrRoad_act!E32*100)</f>
        <v>4.4390774748414232</v>
      </c>
      <c r="F62" s="141">
        <f>IF(F19=0,0,F19/TrRoad_act!F32*100)</f>
        <v>4.4114279235792067</v>
      </c>
      <c r="G62" s="141">
        <f>IF(G19=0,0,G19/TrRoad_act!G32*100)</f>
        <v>4.3779550533598011</v>
      </c>
      <c r="H62" s="141">
        <f>IF(H19=0,0,H19/TrRoad_act!H32*100)</f>
        <v>4.3421523422917119</v>
      </c>
      <c r="I62" s="141">
        <f>IF(I19=0,0,I19/TrRoad_act!I32*100)</f>
        <v>4.3034369143074427</v>
      </c>
      <c r="J62" s="141">
        <f>IF(J19=0,0,J19/TrRoad_act!J32*100)</f>
        <v>4.2600796402230614</v>
      </c>
      <c r="K62" s="141">
        <f>IF(K19=0,0,K19/TrRoad_act!K32*100)</f>
        <v>4.2129133922767394</v>
      </c>
      <c r="L62" s="141">
        <f>IF(L19=0,0,L19/TrRoad_act!L32*100)</f>
        <v>4.1512357902413815</v>
      </c>
      <c r="M62" s="141">
        <f>IF(M19=0,0,M19/TrRoad_act!M32*100)</f>
        <v>4.099723143901814</v>
      </c>
      <c r="N62" s="141">
        <f>IF(N19=0,0,N19/TrRoad_act!N32*100)</f>
        <v>4.0846690302704651</v>
      </c>
      <c r="O62" s="141">
        <f>IF(O19=0,0,O19/TrRoad_act!O32*100)</f>
        <v>4.0385851812178926</v>
      </c>
      <c r="P62" s="141">
        <f>IF(P19=0,0,P19/TrRoad_act!P32*100)</f>
        <v>4.0146593117735305</v>
      </c>
      <c r="Q62" s="141">
        <f>IF(Q19=0,0,Q19/TrRoad_act!Q32*100)</f>
        <v>3.9881323130402357</v>
      </c>
      <c r="R62" s="141">
        <f>IF(R19=0,0,R19/TrRoad_act!R32*100)</f>
        <v>3.9307288330440815</v>
      </c>
      <c r="S62" s="141">
        <f>IF(S19=0,0,S19/TrRoad_act!S32*100)</f>
        <v>3.8953718109765445</v>
      </c>
      <c r="T62" s="141">
        <f>IF(T19=0,0,T19/TrRoad_act!T32*100)</f>
        <v>3.8556010508598035</v>
      </c>
      <c r="U62" s="141">
        <f>IF(U19=0,0,U19/TrRoad_act!U32*100)</f>
        <v>3.7925906469246602</v>
      </c>
      <c r="V62" s="141">
        <f>IF(V19=0,0,V19/TrRoad_act!V32*100)</f>
        <v>3.7585669138704305</v>
      </c>
      <c r="W62" s="141">
        <f>IF(W19=0,0,W19/TrRoad_act!W32*100)</f>
        <v>3.532143651874105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8.4307928090873183</v>
      </c>
      <c r="C63" s="130">
        <f>IF(C21=0,0,C21/TrRoad_act!C33*100)</f>
        <v>8.5528054194701983</v>
      </c>
      <c r="D63" s="130">
        <f>IF(D21=0,0,D21/TrRoad_act!D33*100)</f>
        <v>8.560098232381824</v>
      </c>
      <c r="E63" s="130">
        <f>IF(E21=0,0,E21/TrRoad_act!E33*100)</f>
        <v>8.9104407203824767</v>
      </c>
      <c r="F63" s="130">
        <f>IF(F21=0,0,F21/TrRoad_act!F33*100)</f>
        <v>9.0684856456772067</v>
      </c>
      <c r="G63" s="130">
        <f>IF(G21=0,0,G21/TrRoad_act!G33*100)</f>
        <v>9.0906230921495599</v>
      </c>
      <c r="H63" s="130">
        <f>IF(H21=0,0,H21/TrRoad_act!H33*100)</f>
        <v>9.1813776153695521</v>
      </c>
      <c r="I63" s="130">
        <f>IF(I21=0,0,I21/TrRoad_act!I33*100)</f>
        <v>9.1735187537438883</v>
      </c>
      <c r="J63" s="130">
        <f>IF(J21=0,0,J21/TrRoad_act!J33*100)</f>
        <v>9.0189296190580155</v>
      </c>
      <c r="K63" s="130">
        <f>IF(K21=0,0,K21/TrRoad_act!K33*100)</f>
        <v>9.0325579796287414</v>
      </c>
      <c r="L63" s="130">
        <f>IF(L21=0,0,L21/TrRoad_act!L33*100)</f>
        <v>9.022285250975548</v>
      </c>
      <c r="M63" s="130">
        <f>IF(M21=0,0,M21/TrRoad_act!M33*100)</f>
        <v>8.789660690982803</v>
      </c>
      <c r="N63" s="130">
        <f>IF(N21=0,0,N21/TrRoad_act!N33*100)</f>
        <v>8.488676118500079</v>
      </c>
      <c r="O63" s="130">
        <f>IF(O21=0,0,O21/TrRoad_act!O33*100)</f>
        <v>7.980182243409538</v>
      </c>
      <c r="P63" s="130">
        <f>IF(P21=0,0,P21/TrRoad_act!P33*100)</f>
        <v>7.7981875365742015</v>
      </c>
      <c r="Q63" s="130">
        <f>IF(Q21=0,0,Q21/TrRoad_act!Q33*100)</f>
        <v>7.8469147307028422</v>
      </c>
      <c r="R63" s="130">
        <f>IF(R21=0,0,R21/TrRoad_act!R33*100)</f>
        <v>7.2073543053620446</v>
      </c>
      <c r="S63" s="130">
        <f>IF(S21=0,0,S21/TrRoad_act!S33*100)</f>
        <v>7.2212005185281756</v>
      </c>
      <c r="T63" s="130">
        <f>IF(T21=0,0,T21/TrRoad_act!T33*100)</f>
        <v>6.9592006238597754</v>
      </c>
      <c r="U63" s="130">
        <f>IF(U21=0,0,U21/TrRoad_act!U33*100)</f>
        <v>6.8074790903514186</v>
      </c>
      <c r="V63" s="130">
        <f>IF(V21=0,0,V21/TrRoad_act!V33*100)</f>
        <v>6.5103714722936283</v>
      </c>
      <c r="W63" s="130">
        <f>IF(W21=0,0,W21/TrRoad_act!W33*100)</f>
        <v>6.8207311730509437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8.1112569243752404</v>
      </c>
      <c r="C64" s="96">
        <f>IF(C22=0,0,C22/TrRoad_act!C34*100)</f>
        <v>8.2957203368413275</v>
      </c>
      <c r="D64" s="96">
        <f>IF(D22=0,0,D22/TrRoad_act!D34*100)</f>
        <v>8.4225488175983703</v>
      </c>
      <c r="E64" s="96">
        <f>IF(E22=0,0,E22/TrRoad_act!E34*100)</f>
        <v>8.8345565117574445</v>
      </c>
      <c r="F64" s="96">
        <f>IF(F22=0,0,F22/TrRoad_act!F34*100)</f>
        <v>8.908394875189547</v>
      </c>
      <c r="G64" s="96">
        <f>IF(G22=0,0,G22/TrRoad_act!G34*100)</f>
        <v>9.0547688835592375</v>
      </c>
      <c r="H64" s="96">
        <f>IF(H22=0,0,H22/TrRoad_act!H34*100)</f>
        <v>9.1630710042830454</v>
      </c>
      <c r="I64" s="96">
        <f>IF(I22=0,0,I22/TrRoad_act!I34*100)</f>
        <v>9.1145482669471889</v>
      </c>
      <c r="J64" s="96">
        <f>IF(J22=0,0,J22/TrRoad_act!J34*100)</f>
        <v>8.9841677914413332</v>
      </c>
      <c r="K64" s="96">
        <f>IF(K22=0,0,K22/TrRoad_act!K34*100)</f>
        <v>8.9401129549214939</v>
      </c>
      <c r="L64" s="96">
        <f>IF(L22=0,0,L22/TrRoad_act!L34*100)</f>
        <v>8.9154591626718105</v>
      </c>
      <c r="M64" s="96">
        <f>IF(M22=0,0,M22/TrRoad_act!M34*100)</f>
        <v>8.7006767859858538</v>
      </c>
      <c r="N64" s="96">
        <f>IF(N22=0,0,N22/TrRoad_act!N34*100)</f>
        <v>8.4935875610244516</v>
      </c>
      <c r="O64" s="96">
        <f>IF(O22=0,0,O22/TrRoad_act!O34*100)</f>
        <v>8.006879254240781</v>
      </c>
      <c r="P64" s="96">
        <f>IF(P22=0,0,P22/TrRoad_act!P34*100)</f>
        <v>7.8336713064638603</v>
      </c>
      <c r="Q64" s="96">
        <f>IF(Q22=0,0,Q22/TrRoad_act!Q34*100)</f>
        <v>7.8650363047927092</v>
      </c>
      <c r="R64" s="96">
        <f>IF(R22=0,0,R22/TrRoad_act!R34*100)</f>
        <v>7.1460985328176809</v>
      </c>
      <c r="S64" s="96">
        <f>IF(S22=0,0,S22/TrRoad_act!S34*100)</f>
        <v>7.1724201815259612</v>
      </c>
      <c r="T64" s="96">
        <f>IF(T22=0,0,T22/TrRoad_act!T34*100)</f>
        <v>6.9283769943854878</v>
      </c>
      <c r="U64" s="96">
        <f>IF(U22=0,0,U22/TrRoad_act!U34*100)</f>
        <v>6.7531213017262894</v>
      </c>
      <c r="V64" s="96">
        <f>IF(V22=0,0,V22/TrRoad_act!V34*100)</f>
        <v>6.3107868548275938</v>
      </c>
      <c r="W64" s="96">
        <f>IF(W22=0,0,W22/TrRoad_act!W34*100)</f>
        <v>6.630835429788438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9.9820643358571832</v>
      </c>
      <c r="C65" s="96">
        <f>IF(C24=0,0,C24/TrRoad_act!C35*100)</f>
        <v>9.7589150221238974</v>
      </c>
      <c r="D65" s="96">
        <f>IF(D24=0,0,D24/TrRoad_act!D35*100)</f>
        <v>9.2327766087862937</v>
      </c>
      <c r="E65" s="96">
        <f>IF(E24=0,0,E24/TrRoad_act!E35*100)</f>
        <v>9.3062418632966804</v>
      </c>
      <c r="F65" s="96">
        <f>IF(F24=0,0,F24/TrRoad_act!F35*100)</f>
        <v>10.020125076643858</v>
      </c>
      <c r="G65" s="96">
        <f>IF(G24=0,0,G24/TrRoad_act!G35*100)</f>
        <v>9.325750078959901</v>
      </c>
      <c r="H65" s="96">
        <f>IF(H24=0,0,H24/TrRoad_act!H35*100)</f>
        <v>9.312614274929512</v>
      </c>
      <c r="I65" s="96">
        <f>IF(I24=0,0,I24/TrRoad_act!I35*100)</f>
        <v>9.6182586901635236</v>
      </c>
      <c r="J65" s="96">
        <f>IF(J24=0,0,J24/TrRoad_act!J35*100)</f>
        <v>9.281185142973996</v>
      </c>
      <c r="K65" s="96">
        <f>IF(K24=0,0,K24/TrRoad_act!K35*100)</f>
        <v>9.7185749649870576</v>
      </c>
      <c r="L65" s="96">
        <f>IF(L24=0,0,L24/TrRoad_act!L35*100)</f>
        <v>9.813637208040344</v>
      </c>
      <c r="M65" s="96">
        <f>IF(M24=0,0,M24/TrRoad_act!M35*100)</f>
        <v>9.4573789897174478</v>
      </c>
      <c r="N65" s="96">
        <f>IF(N24=0,0,N24/TrRoad_act!N35*100)</f>
        <v>8.4498517613980582</v>
      </c>
      <c r="O65" s="96">
        <f>IF(O24=0,0,O24/TrRoad_act!O35*100)</f>
        <v>7.7645216043201044</v>
      </c>
      <c r="P65" s="96">
        <f>IF(P24=0,0,P24/TrRoad_act!P35*100)</f>
        <v>7.5259435747721763</v>
      </c>
      <c r="Q65" s="96">
        <f>IF(Q24=0,0,Q24/TrRoad_act!Q35*100)</f>
        <v>7.7235604519073755</v>
      </c>
      <c r="R65" s="96">
        <f>IF(R24=0,0,R24/TrRoad_act!R35*100)</f>
        <v>7.6244970184155587</v>
      </c>
      <c r="S65" s="96">
        <f>IF(S24=0,0,S24/TrRoad_act!S35*100)</f>
        <v>7.5049935319096637</v>
      </c>
      <c r="T65" s="96">
        <f>IF(T24=0,0,T24/TrRoad_act!T35*100)</f>
        <v>7.1351502797227431</v>
      </c>
      <c r="U65" s="96">
        <f>IF(U24=0,0,U24/TrRoad_act!U35*100)</f>
        <v>7.0541336281664231</v>
      </c>
      <c r="V65" s="96">
        <f>IF(V24=0,0,V24/TrRoad_act!V35*100)</f>
        <v>7.2656263957309255</v>
      </c>
      <c r="W65" s="96">
        <f>IF(W24=0,0,W24/TrRoad_act!W35*100)</f>
        <v>7.5270229533069024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0</v>
      </c>
      <c r="C66" s="96">
        <f>IF(C26=0,0,C26/TrRoad_act!C36*100)</f>
        <v>0</v>
      </c>
      <c r="D66" s="96">
        <f>IF(D26=0,0,D26/TrRoad_act!D36*100)</f>
        <v>0</v>
      </c>
      <c r="E66" s="96">
        <f>IF(E26=0,0,E26/TrRoad_act!E36*100)</f>
        <v>0</v>
      </c>
      <c r="F66" s="96">
        <f>IF(F26=0,0,F26/TrRoad_act!F36*100)</f>
        <v>0</v>
      </c>
      <c r="G66" s="96">
        <f>IF(G26=0,0,G26/TrRoad_act!G36*100)</f>
        <v>0</v>
      </c>
      <c r="H66" s="96">
        <f>IF(H26=0,0,H26/TrRoad_act!H36*100)</f>
        <v>0</v>
      </c>
      <c r="I66" s="96">
        <f>IF(I26=0,0,I26/TrRoad_act!I36*100)</f>
        <v>0</v>
      </c>
      <c r="J66" s="96">
        <f>IF(J26=0,0,J26/TrRoad_act!J36*100)</f>
        <v>0</v>
      </c>
      <c r="K66" s="96">
        <f>IF(K26=0,0,K26/TrRoad_act!K36*100)</f>
        <v>0</v>
      </c>
      <c r="L66" s="96">
        <f>IF(L26=0,0,L26/TrRoad_act!L36*100)</f>
        <v>0</v>
      </c>
      <c r="M66" s="96">
        <f>IF(M26=0,0,M26/TrRoad_act!M36*100)</f>
        <v>0</v>
      </c>
      <c r="N66" s="96">
        <f>IF(N26=0,0,N26/TrRoad_act!N36*100)</f>
        <v>0</v>
      </c>
      <c r="O66" s="96">
        <f>IF(O26=0,0,O26/TrRoad_act!O36*100)</f>
        <v>0</v>
      </c>
      <c r="P66" s="96">
        <f>IF(P26=0,0,P26/TrRoad_act!P36*100)</f>
        <v>0</v>
      </c>
      <c r="Q66" s="96">
        <f>IF(Q26=0,0,Q26/TrRoad_act!Q36*100)</f>
        <v>0</v>
      </c>
      <c r="R66" s="96">
        <f>IF(R26=0,0,R26/TrRoad_act!R36*100)</f>
        <v>0</v>
      </c>
      <c r="S66" s="96">
        <f>IF(S26=0,0,S26/TrRoad_act!S36*100)</f>
        <v>0</v>
      </c>
      <c r="T66" s="96">
        <f>IF(T26=0,0,T26/TrRoad_act!T36*100)</f>
        <v>4.9550708419355711</v>
      </c>
      <c r="U66" s="96">
        <f>IF(U26=0,0,U26/TrRoad_act!U36*100)</f>
        <v>5.4986814560456798</v>
      </c>
      <c r="V66" s="96">
        <f>IF(V26=0,0,V26/TrRoad_act!V36*100)</f>
        <v>5.337809641100506</v>
      </c>
      <c r="W66" s="96">
        <f>IF(W26=0,0,W26/TrRoad_act!W36*100)</f>
        <v>6.0095046738822768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0</v>
      </c>
      <c r="I67" s="96">
        <f>IF(I27=0,0,I27/TrRoad_act!I37*100)</f>
        <v>0</v>
      </c>
      <c r="J67" s="96">
        <f>IF(J27=0,0,J27/TrRoad_act!J37*100)</f>
        <v>0</v>
      </c>
      <c r="K67" s="96">
        <f>IF(K27=0,0,K27/TrRoad_act!K37*100)</f>
        <v>0</v>
      </c>
      <c r="L67" s="96">
        <f>IF(L27=0,0,L27/TrRoad_act!L37*100)</f>
        <v>0</v>
      </c>
      <c r="M67" s="96">
        <f>IF(M27=0,0,M27/TrRoad_act!M37*100)</f>
        <v>0</v>
      </c>
      <c r="N67" s="96">
        <f>IF(N27=0,0,N27/TrRoad_act!N37*100)</f>
        <v>0</v>
      </c>
      <c r="O67" s="96">
        <f>IF(O27=0,0,O27/TrRoad_act!O37*100)</f>
        <v>0</v>
      </c>
      <c r="P67" s="96">
        <f>IF(P27=0,0,P27/TrRoad_act!P37*100)</f>
        <v>0</v>
      </c>
      <c r="Q67" s="96">
        <f>IF(Q27=0,0,Q27/TrRoad_act!Q37*100)</f>
        <v>0</v>
      </c>
      <c r="R67" s="96">
        <f>IF(R27=0,0,R27/TrRoad_act!R37*100)</f>
        <v>0</v>
      </c>
      <c r="S67" s="96">
        <f>IF(S27=0,0,S27/TrRoad_act!S37*100)</f>
        <v>0</v>
      </c>
      <c r="T67" s="96">
        <f>IF(T27=0,0,T27/TrRoad_act!T37*100)</f>
        <v>0</v>
      </c>
      <c r="U67" s="96">
        <f>IF(U27=0,0,U27/TrRoad_act!U37*100)</f>
        <v>0</v>
      </c>
      <c r="V67" s="96">
        <f>IF(V27=0,0,V27/TrRoad_act!V37*100)</f>
        <v>0</v>
      </c>
      <c r="W67" s="96">
        <f>IF(W27=0,0,W27/TrRoad_act!W37*100)</f>
        <v>0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0</v>
      </c>
      <c r="O68" s="96">
        <f>IF(O29=0,0,O29/TrRoad_act!O38*100)</f>
        <v>0</v>
      </c>
      <c r="P68" s="96">
        <f>IF(P29=0,0,P29/TrRoad_act!P38*100)</f>
        <v>3.2240037905600141</v>
      </c>
      <c r="Q68" s="96">
        <f>IF(Q29=0,0,Q29/TrRoad_act!Q38*100)</f>
        <v>3.3188453155692987</v>
      </c>
      <c r="R68" s="96">
        <f>IF(R29=0,0,R29/TrRoad_act!R38*100)</f>
        <v>3.9602076561388948</v>
      </c>
      <c r="S68" s="96">
        <f>IF(S29=0,0,S29/TrRoad_act!S38*100)</f>
        <v>4.1179970357040965</v>
      </c>
      <c r="T68" s="96">
        <f>IF(T29=0,0,T29/TrRoad_act!T38*100)</f>
        <v>4.0913788552160071</v>
      </c>
      <c r="U68" s="96">
        <f>IF(U29=0,0,U29/TrRoad_act!U38*100)</f>
        <v>3.958157481351801</v>
      </c>
      <c r="V68" s="96">
        <f>IF(V29=0,0,V29/TrRoad_act!V38*100)</f>
        <v>4.1006782266544315</v>
      </c>
      <c r="W68" s="96">
        <f>IF(W29=0,0,W29/TrRoad_act!W38*100)</f>
        <v>3.8430401148994484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0</v>
      </c>
      <c r="K69" s="96">
        <f>IF(K32=0,0,K32/TrRoad_act!K39*100)</f>
        <v>0</v>
      </c>
      <c r="L69" s="96">
        <f>IF(L32=0,0,L32/TrRoad_act!L39*100)</f>
        <v>0</v>
      </c>
      <c r="M69" s="96">
        <f>IF(M32=0,0,M32/TrRoad_act!M39*100)</f>
        <v>0</v>
      </c>
      <c r="N69" s="96">
        <f>IF(N32=0,0,N32/TrRoad_act!N39*100)</f>
        <v>0</v>
      </c>
      <c r="O69" s="96">
        <f>IF(O32=0,0,O32/TrRoad_act!O39*100)</f>
        <v>1.4149976893326053</v>
      </c>
      <c r="P69" s="96">
        <f>IF(P32=0,0,P32/TrRoad_act!P39*100)</f>
        <v>1.4132801002028512</v>
      </c>
      <c r="Q69" s="96">
        <f>IF(Q32=0,0,Q32/TrRoad_act!Q39*100)</f>
        <v>1.4458864802581415</v>
      </c>
      <c r="R69" s="96">
        <f>IF(R32=0,0,R32/TrRoad_act!R39*100)</f>
        <v>1.461190415737593</v>
      </c>
      <c r="S69" s="96">
        <f>IF(S32=0,0,S32/TrRoad_act!S39*100)</f>
        <v>1.4092790099911277</v>
      </c>
      <c r="T69" s="96">
        <f>IF(T32=0,0,T32/TrRoad_act!T39*100)</f>
        <v>1.4581074578434261</v>
      </c>
      <c r="U69" s="96">
        <f>IF(U32=0,0,U32/TrRoad_act!U39*100)</f>
        <v>1.521488829374277</v>
      </c>
      <c r="V69" s="96">
        <f>IF(V32=0,0,V32/TrRoad_act!V39*100)</f>
        <v>1.5386320345613047</v>
      </c>
      <c r="W69" s="96">
        <f>IF(W32=0,0,W32/TrRoad_act!W39*100)</f>
        <v>1.5497748149688331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66.77981217530467</v>
      </c>
      <c r="C70" s="130">
        <f>IF(C33=0,0,C33/TrRoad_act!C40*100)</f>
        <v>65.795845901656136</v>
      </c>
      <c r="D70" s="130">
        <f>IF(D33=0,0,D33/TrRoad_act!D40*100)</f>
        <v>62.03975198563375</v>
      </c>
      <c r="E70" s="130">
        <f>IF(E33=0,0,E33/TrRoad_act!E40*100)</f>
        <v>62.492601178320939</v>
      </c>
      <c r="F70" s="130">
        <f>IF(F33=0,0,F33/TrRoad_act!F40*100)</f>
        <v>68.084310254332792</v>
      </c>
      <c r="G70" s="130">
        <f>IF(G33=0,0,G33/TrRoad_act!G40*100)</f>
        <v>62.903780906529981</v>
      </c>
      <c r="H70" s="130">
        <f>IF(H33=0,0,H33/TrRoad_act!H40*100)</f>
        <v>63.106920153045877</v>
      </c>
      <c r="I70" s="130">
        <f>IF(I33=0,0,I33/TrRoad_act!I40*100)</f>
        <v>65.92520986158469</v>
      </c>
      <c r="J70" s="130">
        <f>IF(J33=0,0,J33/TrRoad_act!J40*100)</f>
        <v>64.10629876977552</v>
      </c>
      <c r="K70" s="130">
        <f>IF(K33=0,0,K33/TrRoad_act!K40*100)</f>
        <v>68.368929113618776</v>
      </c>
      <c r="L70" s="130">
        <f>IF(L33=0,0,L33/TrRoad_act!L40*100)</f>
        <v>69.625303271016818</v>
      </c>
      <c r="M70" s="130">
        <f>IF(M33=0,0,M33/TrRoad_act!M40*100)</f>
        <v>67.721484918458188</v>
      </c>
      <c r="N70" s="130">
        <f>IF(N33=0,0,N33/TrRoad_act!N40*100)</f>
        <v>60.427440560934102</v>
      </c>
      <c r="O70" s="130">
        <f>IF(O33=0,0,O33/TrRoad_act!O40*100)</f>
        <v>55.392593749538399</v>
      </c>
      <c r="P70" s="130">
        <f>IF(P33=0,0,P33/TrRoad_act!P40*100)</f>
        <v>55.067415093513397</v>
      </c>
      <c r="Q70" s="130">
        <f>IF(Q33=0,0,Q33/TrRoad_act!Q40*100)</f>
        <v>58.037034510941268</v>
      </c>
      <c r="R70" s="130">
        <f>IF(R33=0,0,R33/TrRoad_act!R40*100)</f>
        <v>58.626914218370509</v>
      </c>
      <c r="S70" s="130">
        <f>IF(S33=0,0,S33/TrRoad_act!S40*100)</f>
        <v>59.14393003489392</v>
      </c>
      <c r="T70" s="130">
        <f>IF(T33=0,0,T33/TrRoad_act!T40*100)</f>
        <v>57.477548500981257</v>
      </c>
      <c r="U70" s="130">
        <f>IF(U33=0,0,U33/TrRoad_act!U40*100)</f>
        <v>58.422450705922415</v>
      </c>
      <c r="V70" s="130">
        <f>IF(V33=0,0,V33/TrRoad_act!V40*100)</f>
        <v>61.690101092863699</v>
      </c>
      <c r="W70" s="130">
        <f>IF(W33=0,0,W33/TrRoad_act!W40*100)</f>
        <v>64.592045686792176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18.704556945091628</v>
      </c>
      <c r="C71" s="97">
        <f>IF(C34=0,0,C34/TrRoad_act!C41*100)</f>
        <v>19.349177437070438</v>
      </c>
      <c r="D71" s="97">
        <f>IF(D34=0,0,D34/TrRoad_act!D41*100)</f>
        <v>19.790166661714679</v>
      </c>
      <c r="E71" s="97">
        <f>IF(E34=0,0,E34/TrRoad_act!E41*100)</f>
        <v>20.752084342446082</v>
      </c>
      <c r="F71" s="97">
        <f>IF(F34=0,0,F34/TrRoad_act!F41*100)</f>
        <v>21.131595421797684</v>
      </c>
      <c r="G71" s="97">
        <f>IF(G34=0,0,G34/TrRoad_act!G41*100)</f>
        <v>21.610775041813046</v>
      </c>
      <c r="H71" s="97">
        <f>IF(H34=0,0,H34/TrRoad_act!H41*100)</f>
        <v>21.933061761552345</v>
      </c>
      <c r="I71" s="97">
        <f>IF(I34=0,0,I34/TrRoad_act!I41*100)</f>
        <v>21.998448994557464</v>
      </c>
      <c r="J71" s="97">
        <f>IF(J34=0,0,J34/TrRoad_act!J41*100)</f>
        <v>21.89510193353474</v>
      </c>
      <c r="K71" s="97">
        <f>IF(K34=0,0,K34/TrRoad_act!K41*100)</f>
        <v>22.023678451734554</v>
      </c>
      <c r="L71" s="97">
        <f>IF(L34=0,0,L34/TrRoad_act!L41*100)</f>
        <v>22.035596073877699</v>
      </c>
      <c r="M71" s="97">
        <f>IF(M34=0,0,M34/TrRoad_act!M41*100)</f>
        <v>21.661653104466083</v>
      </c>
      <c r="N71" s="97">
        <f>IF(N34=0,0,N34/TrRoad_act!N41*100)</f>
        <v>21.261077943612669</v>
      </c>
      <c r="O71" s="97">
        <f>IF(O34=0,0,O34/TrRoad_act!O41*100)</f>
        <v>20.349085042182239</v>
      </c>
      <c r="P71" s="97">
        <f>IF(P34=0,0,P34/TrRoad_act!P41*100)</f>
        <v>19.671634411442</v>
      </c>
      <c r="Q71" s="97">
        <f>IF(Q34=0,0,Q34/TrRoad_act!Q41*100)</f>
        <v>19.775755078365385</v>
      </c>
      <c r="R71" s="97">
        <f>IF(R34=0,0,R34/TrRoad_act!R41*100)</f>
        <v>18.407804347941013</v>
      </c>
      <c r="S71" s="97">
        <f>IF(S34=0,0,S34/TrRoad_act!S41*100)</f>
        <v>18.618708990096184</v>
      </c>
      <c r="T71" s="97">
        <f>IF(T34=0,0,T34/TrRoad_act!T41*100)</f>
        <v>18.28148464915288</v>
      </c>
      <c r="U71" s="97">
        <f>IF(U34=0,0,U34/TrRoad_act!U41*100)</f>
        <v>17.869594204722187</v>
      </c>
      <c r="V71" s="97">
        <f>IF(V34=0,0,V34/TrRoad_act!V41*100)</f>
        <v>17.106474802472011</v>
      </c>
      <c r="W71" s="97">
        <f>IF(W34=0,0,W34/TrRoad_act!W41*100)</f>
        <v>17.948664443999807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68.452162324363925</v>
      </c>
      <c r="C72" s="97">
        <f>IF(C36=0,0,C36/TrRoad_act!C42*100)</f>
        <v>67.335411144877938</v>
      </c>
      <c r="D72" s="97">
        <f>IF(D36=0,0,D36/TrRoad_act!D42*100)</f>
        <v>63.349668301199067</v>
      </c>
      <c r="E72" s="97">
        <f>IF(E36=0,0,E36/TrRoad_act!E42*100)</f>
        <v>63.712369352966277</v>
      </c>
      <c r="F72" s="97">
        <f>IF(F36=0,0,F36/TrRoad_act!F42*100)</f>
        <v>69.484557763430516</v>
      </c>
      <c r="G72" s="97">
        <f>IF(G36=0,0,G36/TrRoad_act!G42*100)</f>
        <v>64.110889035189317</v>
      </c>
      <c r="H72" s="97">
        <f>IF(H36=0,0,H36/TrRoad_act!H42*100)</f>
        <v>64.322852366755029</v>
      </c>
      <c r="I72" s="97">
        <f>IF(I36=0,0,I36/TrRoad_act!I42*100)</f>
        <v>67.200566553015889</v>
      </c>
      <c r="J72" s="97">
        <f>IF(J36=0,0,J36/TrRoad_act!J42*100)</f>
        <v>65.330143407178113</v>
      </c>
      <c r="K72" s="97">
        <f>IF(K36=0,0,K36/TrRoad_act!K42*100)</f>
        <v>69.748480127624816</v>
      </c>
      <c r="L72" s="97">
        <f>IF(L36=0,0,L36/TrRoad_act!L42*100)</f>
        <v>71.082253831303674</v>
      </c>
      <c r="M72" s="97">
        <f>IF(M36=0,0,M36/TrRoad_act!M42*100)</f>
        <v>69.126527142862599</v>
      </c>
      <c r="N72" s="97">
        <f>IF(N36=0,0,N36/TrRoad_act!N42*100)</f>
        <v>61.603572975836052</v>
      </c>
      <c r="O72" s="97">
        <f>IF(O36=0,0,O36/TrRoad_act!O42*100)</f>
        <v>56.451798822038469</v>
      </c>
      <c r="P72" s="97">
        <f>IF(P36=0,0,P36/TrRoad_act!P42*100)</f>
        <v>55.436970947081178</v>
      </c>
      <c r="Q72" s="97">
        <f>IF(Q36=0,0,Q36/TrRoad_act!Q42*100)</f>
        <v>58.371410091538259</v>
      </c>
      <c r="R72" s="97">
        <f>IF(R36=0,0,R36/TrRoad_act!R42*100)</f>
        <v>58.961436345136306</v>
      </c>
      <c r="S72" s="97">
        <f>IF(S36=0,0,S36/TrRoad_act!S42*100)</f>
        <v>59.479741572559952</v>
      </c>
      <c r="T72" s="97">
        <f>IF(T36=0,0,T36/TrRoad_act!T42*100)</f>
        <v>57.806326186306713</v>
      </c>
      <c r="U72" s="97">
        <f>IF(U36=0,0,U36/TrRoad_act!U42*100)</f>
        <v>58.759140410207792</v>
      </c>
      <c r="V72" s="97">
        <f>IF(V36=0,0,V36/TrRoad_act!V42*100)</f>
        <v>62.145364362165012</v>
      </c>
      <c r="W72" s="97">
        <f>IF(W36=0,0,W36/TrRoad_act!W42*100)</f>
        <v>65.029876816899204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0</v>
      </c>
      <c r="M73" s="97">
        <f>IF(M38=0,0,M38/TrRoad_act!M43*100)</f>
        <v>0</v>
      </c>
      <c r="N73" s="97">
        <f>IF(N38=0,0,N38/TrRoad_act!N43*100)</f>
        <v>0</v>
      </c>
      <c r="O73" s="97">
        <f>IF(O38=0,0,O38/TrRoad_act!O43*100)</f>
        <v>0</v>
      </c>
      <c r="P73" s="97">
        <f>IF(P38=0,0,P38/TrRoad_act!P43*100)</f>
        <v>0</v>
      </c>
      <c r="Q73" s="97">
        <f>IF(Q38=0,0,Q38/TrRoad_act!Q43*100)</f>
        <v>0</v>
      </c>
      <c r="R73" s="97">
        <f>IF(R38=0,0,R38/TrRoad_act!R43*100)</f>
        <v>0</v>
      </c>
      <c r="S73" s="97">
        <f>IF(S38=0,0,S38/TrRoad_act!S43*100)</f>
        <v>0</v>
      </c>
      <c r="T73" s="97">
        <f>IF(T38=0,0,T38/TrRoad_act!T43*100)</f>
        <v>0</v>
      </c>
      <c r="U73" s="97">
        <f>IF(U38=0,0,U38/TrRoad_act!U43*100)</f>
        <v>0</v>
      </c>
      <c r="V73" s="97">
        <f>IF(V38=0,0,V38/TrRoad_act!V43*100)</f>
        <v>0</v>
      </c>
      <c r="W73" s="97">
        <f>IF(W38=0,0,W38/TrRoad_act!W43*100)</f>
        <v>0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0</v>
      </c>
      <c r="C74" s="97">
        <f>IF(C39=0,0,C39/TrRoad_act!C44*100)</f>
        <v>0</v>
      </c>
      <c r="D74" s="97">
        <f>IF(D39=0,0,D39/TrRoad_act!D44*100)</f>
        <v>0</v>
      </c>
      <c r="E74" s="97">
        <f>IF(E39=0,0,E39/TrRoad_act!E44*100)</f>
        <v>0</v>
      </c>
      <c r="F74" s="97">
        <f>IF(F39=0,0,F39/TrRoad_act!F44*100)</f>
        <v>0</v>
      </c>
      <c r="G74" s="97">
        <f>IF(G39=0,0,G39/TrRoad_act!G44*100)</f>
        <v>0</v>
      </c>
      <c r="H74" s="97">
        <f>IF(H39=0,0,H39/TrRoad_act!H44*100)</f>
        <v>0</v>
      </c>
      <c r="I74" s="97">
        <f>IF(I39=0,0,I39/TrRoad_act!I44*100)</f>
        <v>0</v>
      </c>
      <c r="J74" s="97">
        <f>IF(J39=0,0,J39/TrRoad_act!J44*100)</f>
        <v>0</v>
      </c>
      <c r="K74" s="97">
        <f>IF(K39=0,0,K39/TrRoad_act!K44*100)</f>
        <v>0</v>
      </c>
      <c r="L74" s="97">
        <f>IF(L39=0,0,L39/TrRoad_act!L44*100)</f>
        <v>0</v>
      </c>
      <c r="M74" s="97">
        <f>IF(M39=0,0,M39/TrRoad_act!M44*100)</f>
        <v>0</v>
      </c>
      <c r="N74" s="97">
        <f>IF(N39=0,0,N39/TrRoad_act!N44*100)</f>
        <v>0</v>
      </c>
      <c r="O74" s="97">
        <f>IF(O39=0,0,O39/TrRoad_act!O44*100)</f>
        <v>0</v>
      </c>
      <c r="P74" s="97">
        <f>IF(P39=0,0,P39/TrRoad_act!P44*100)</f>
        <v>0</v>
      </c>
      <c r="Q74" s="97">
        <f>IF(Q39=0,0,Q39/TrRoad_act!Q44*100)</f>
        <v>0</v>
      </c>
      <c r="R74" s="97">
        <f>IF(R39=0,0,R39/TrRoad_act!R44*100)</f>
        <v>0</v>
      </c>
      <c r="S74" s="97">
        <f>IF(S39=0,0,S39/TrRoad_act!S44*100)</f>
        <v>0</v>
      </c>
      <c r="T74" s="97">
        <f>IF(T39=0,0,T39/TrRoad_act!T44*100)</f>
        <v>0</v>
      </c>
      <c r="U74" s="97">
        <f>IF(U39=0,0,U39/TrRoad_act!U44*100)</f>
        <v>0</v>
      </c>
      <c r="V74" s="97">
        <f>IF(V39=0,0,V39/TrRoad_act!V44*100)</f>
        <v>0</v>
      </c>
      <c r="W74" s="97">
        <f>IF(W39=0,0,W39/TrRoad_act!W44*100)</f>
        <v>0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0</v>
      </c>
      <c r="C75" s="97">
        <f>IF(C41=0,0,C41/TrRoad_act!C45*100)</f>
        <v>0</v>
      </c>
      <c r="D75" s="97">
        <f>IF(D41=0,0,D41/TrRoad_act!D45*100)</f>
        <v>0</v>
      </c>
      <c r="E75" s="97">
        <f>IF(E41=0,0,E41/TrRoad_act!E45*100)</f>
        <v>0</v>
      </c>
      <c r="F75" s="97">
        <f>IF(F41=0,0,F41/TrRoad_act!F45*100)</f>
        <v>0</v>
      </c>
      <c r="G75" s="97">
        <f>IF(G41=0,0,G41/TrRoad_act!G45*100)</f>
        <v>0</v>
      </c>
      <c r="H75" s="97">
        <f>IF(H41=0,0,H41/TrRoad_act!H45*100)</f>
        <v>0</v>
      </c>
      <c r="I75" s="97">
        <f>IF(I41=0,0,I41/TrRoad_act!I45*100)</f>
        <v>0</v>
      </c>
      <c r="J75" s="97">
        <f>IF(J41=0,0,J41/TrRoad_act!J45*100)</f>
        <v>33.097838630103993</v>
      </c>
      <c r="K75" s="97">
        <f>IF(K41=0,0,K41/TrRoad_act!K45*100)</f>
        <v>33.097838630104</v>
      </c>
      <c r="L75" s="97">
        <f>IF(L41=0,0,L41/TrRoad_act!L45*100)</f>
        <v>33.097838630103993</v>
      </c>
      <c r="M75" s="97">
        <f>IF(M41=0,0,M41/TrRoad_act!M45*100)</f>
        <v>33.097838630103986</v>
      </c>
      <c r="N75" s="97">
        <f>IF(N41=0,0,N41/TrRoad_act!N45*100)</f>
        <v>33.097838630103993</v>
      </c>
      <c r="O75" s="97">
        <f>IF(O41=0,0,O41/TrRoad_act!O45*100)</f>
        <v>33.097838630104</v>
      </c>
      <c r="P75" s="97">
        <f>IF(P41=0,0,P41/TrRoad_act!P45*100)</f>
        <v>33.097838630103993</v>
      </c>
      <c r="Q75" s="97">
        <f>IF(Q41=0,0,Q41/TrRoad_act!Q45*100)</f>
        <v>33.097838630103993</v>
      </c>
      <c r="R75" s="97">
        <f>IF(R41=0,0,R41/TrRoad_act!R45*100)</f>
        <v>33.097838630103993</v>
      </c>
      <c r="S75" s="97">
        <f>IF(S41=0,0,S41/TrRoad_act!S45*100)</f>
        <v>33.097838630103993</v>
      </c>
      <c r="T75" s="97">
        <f>IF(T41=0,0,T41/TrRoad_act!T45*100)</f>
        <v>33.097838630103993</v>
      </c>
      <c r="U75" s="97">
        <f>IF(U41=0,0,U41/TrRoad_act!U45*100)</f>
        <v>33.097838630104</v>
      </c>
      <c r="V75" s="97">
        <f>IF(V41=0,0,V41/TrRoad_act!V45*100)</f>
        <v>38.968462724982814</v>
      </c>
      <c r="W75" s="97">
        <f>IF(W41=0,0,W41/TrRoad_act!W45*100)</f>
        <v>38.968462724982814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14.230806256632068</v>
      </c>
      <c r="C76" s="32">
        <f>IF(C42=0,0,C42/TrRoad_act!C46*100)</f>
        <v>13.994224941819128</v>
      </c>
      <c r="D76" s="32">
        <f>IF(D42=0,0,D42/TrRoad_act!D46*100)</f>
        <v>12.993393824650687</v>
      </c>
      <c r="E76" s="32">
        <f>IF(E42=0,0,E42/TrRoad_act!E46*100)</f>
        <v>13.032717354788373</v>
      </c>
      <c r="F76" s="32">
        <f>IF(F42=0,0,F42/TrRoad_act!F46*100)</f>
        <v>13.836134457325109</v>
      </c>
      <c r="G76" s="32">
        <f>IF(G42=0,0,G42/TrRoad_act!G46*100)</f>
        <v>12.922428135287584</v>
      </c>
      <c r="H76" s="32">
        <f>IF(H42=0,0,H42/TrRoad_act!H46*100)</f>
        <v>12.581659456892888</v>
      </c>
      <c r="I76" s="32">
        <f>IF(I42=0,0,I42/TrRoad_act!I46*100)</f>
        <v>13.016694020359893</v>
      </c>
      <c r="J76" s="32">
        <f>IF(J42=0,0,J42/TrRoad_act!J46*100)</f>
        <v>12.489744650932696</v>
      </c>
      <c r="K76" s="32">
        <f>IF(K42=0,0,K42/TrRoad_act!K46*100)</f>
        <v>12.741609397535806</v>
      </c>
      <c r="L76" s="32">
        <f>IF(L42=0,0,L42/TrRoad_act!L46*100)</f>
        <v>12.960696803958877</v>
      </c>
      <c r="M76" s="32">
        <f>IF(M42=0,0,M42/TrRoad_act!M46*100)</f>
        <v>12.137996839254768</v>
      </c>
      <c r="N76" s="32">
        <f>IF(N42=0,0,N42/TrRoad_act!N46*100)</f>
        <v>10.467267271274542</v>
      </c>
      <c r="O76" s="32">
        <f>IF(O42=0,0,O42/TrRoad_act!O46*100)</f>
        <v>9.1176401590653828</v>
      </c>
      <c r="P76" s="32">
        <f>IF(P42=0,0,P42/TrRoad_act!P46*100)</f>
        <v>8.7337986201396856</v>
      </c>
      <c r="Q76" s="32">
        <f>IF(Q42=0,0,Q42/TrRoad_act!Q46*100)</f>
        <v>9.0713740601371349</v>
      </c>
      <c r="R76" s="32">
        <f>IF(R42=0,0,R42/TrRoad_act!R46*100)</f>
        <v>9.3122987361586489</v>
      </c>
      <c r="S76" s="32">
        <f>IF(S42=0,0,S42/TrRoad_act!S46*100)</f>
        <v>9.3761547938064869</v>
      </c>
      <c r="T76" s="32">
        <f>IF(T42=0,0,T42/TrRoad_act!T46*100)</f>
        <v>9.0295694540957676</v>
      </c>
      <c r="U76" s="32">
        <f>IF(U42=0,0,U42/TrRoad_act!U46*100)</f>
        <v>9.0488345691732839</v>
      </c>
      <c r="V76" s="32">
        <f>IF(V42=0,0,V42/TrRoad_act!V46*100)</f>
        <v>9.1326890662869289</v>
      </c>
      <c r="W76" s="32">
        <f>IF(W42=0,0,W42/TrRoad_act!W46*100)</f>
        <v>9.5723231670078501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12.397390457225368</v>
      </c>
      <c r="C77" s="141">
        <f>IF(C43=0,0,C43/TrRoad_act!C47*100)</f>
        <v>12.169193227091899</v>
      </c>
      <c r="D77" s="141">
        <f>IF(D43=0,0,D43/TrRoad_act!D47*100)</f>
        <v>11.322819999791198</v>
      </c>
      <c r="E77" s="141">
        <f>IF(E43=0,0,E43/TrRoad_act!E47*100)</f>
        <v>11.23497930042195</v>
      </c>
      <c r="F77" s="141">
        <f>IF(F43=0,0,F43/TrRoad_act!F47*100)</f>
        <v>12.107780179643591</v>
      </c>
      <c r="G77" s="141">
        <f>IF(G43=0,0,G43/TrRoad_act!G47*100)</f>
        <v>10.987950593782447</v>
      </c>
      <c r="H77" s="141">
        <f>IF(H43=0,0,H43/TrRoad_act!H47*100)</f>
        <v>10.849036054748899</v>
      </c>
      <c r="I77" s="141">
        <f>IF(I43=0,0,I43/TrRoad_act!I47*100)</f>
        <v>11.133077337737063</v>
      </c>
      <c r="J77" s="141">
        <f>IF(J43=0,0,J43/TrRoad_act!J47*100)</f>
        <v>10.569620991158914</v>
      </c>
      <c r="K77" s="141">
        <f>IF(K43=0,0,K43/TrRoad_act!K47*100)</f>
        <v>11.04886564758516</v>
      </c>
      <c r="L77" s="141">
        <f>IF(L43=0,0,L43/TrRoad_act!L47*100)</f>
        <v>11.039253640048987</v>
      </c>
      <c r="M77" s="141">
        <f>IF(M43=0,0,M43/TrRoad_act!M47*100)</f>
        <v>10.506767989054744</v>
      </c>
      <c r="N77" s="141">
        <f>IF(N43=0,0,N43/TrRoad_act!N47*100)</f>
        <v>9.0971693676026941</v>
      </c>
      <c r="O77" s="141">
        <f>IF(O43=0,0,O43/TrRoad_act!O47*100)</f>
        <v>8.132602600286976</v>
      </c>
      <c r="P77" s="141">
        <f>IF(P43=0,0,P43/TrRoad_act!P47*100)</f>
        <v>7.8363239929937505</v>
      </c>
      <c r="Q77" s="141">
        <f>IF(Q43=0,0,Q43/TrRoad_act!Q47*100)</f>
        <v>8.1374686340747271</v>
      </c>
      <c r="R77" s="141">
        <f>IF(R43=0,0,R43/TrRoad_act!R47*100)</f>
        <v>8.1388981049413349</v>
      </c>
      <c r="S77" s="141">
        <f>IF(S43=0,0,S43/TrRoad_act!S47*100)</f>
        <v>8.0776229935774069</v>
      </c>
      <c r="T77" s="141">
        <f>IF(T43=0,0,T43/TrRoad_act!T47*100)</f>
        <v>7.7433682260092755</v>
      </c>
      <c r="U77" s="141">
        <f>IF(U43=0,0,U43/TrRoad_act!U47*100)</f>
        <v>7.6737352924429763</v>
      </c>
      <c r="V77" s="141">
        <f>IF(V43=0,0,V43/TrRoad_act!V47*100)</f>
        <v>8.0393164348110346</v>
      </c>
      <c r="W77" s="141">
        <f>IF(W43=0,0,W43/TrRoad_act!W47*100)</f>
        <v>8.4251826393772653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7.7981103991623337</v>
      </c>
      <c r="C78" s="96">
        <f>IF(C44=0,0,C44/TrRoad_act!C48*100)</f>
        <v>8.0432980423101679</v>
      </c>
      <c r="D78" s="96">
        <f>IF(D44=0,0,D44/TrRoad_act!D48*100)</f>
        <v>8.1800229163843543</v>
      </c>
      <c r="E78" s="96">
        <f>IF(E44=0,0,E44/TrRoad_act!E48*100)</f>
        <v>8.5921164948693995</v>
      </c>
      <c r="F78" s="96">
        <f>IF(F44=0,0,F44/TrRoad_act!F48*100)</f>
        <v>8.7047436507886502</v>
      </c>
      <c r="G78" s="96">
        <f>IF(G44=0,0,G44/TrRoad_act!G48*100)</f>
        <v>8.7585514566293057</v>
      </c>
      <c r="H78" s="96">
        <f>IF(H44=0,0,H44/TrRoad_act!H48*100)</f>
        <v>8.8556084945193536</v>
      </c>
      <c r="I78" s="96">
        <f>IF(I44=0,0,I44/TrRoad_act!I48*100)</f>
        <v>8.7260281178101717</v>
      </c>
      <c r="J78" s="96">
        <f>IF(J44=0,0,J44/TrRoad_act!J48*100)</f>
        <v>8.6013886710789276</v>
      </c>
      <c r="K78" s="96">
        <f>IF(K44=0,0,K44/TrRoad_act!K48*100)</f>
        <v>8.6115667031541339</v>
      </c>
      <c r="L78" s="96">
        <f>IF(L44=0,0,L44/TrRoad_act!L48*100)</f>
        <v>8.6027515671209898</v>
      </c>
      <c r="M78" s="96">
        <f>IF(M44=0,0,M44/TrRoad_act!M48*100)</f>
        <v>8.4619698803744878</v>
      </c>
      <c r="N78" s="96">
        <f>IF(N44=0,0,N44/TrRoad_act!N48*100)</f>
        <v>8.2824031364356223</v>
      </c>
      <c r="O78" s="96">
        <f>IF(O44=0,0,O44/TrRoad_act!O48*100)</f>
        <v>7.8526321731796047</v>
      </c>
      <c r="P78" s="96">
        <f>IF(P44=0,0,P44/TrRoad_act!P48*100)</f>
        <v>8.2375546106716069</v>
      </c>
      <c r="Q78" s="96">
        <f>IF(Q44=0,0,Q44/TrRoad_act!Q48*100)</f>
        <v>8.3284478710476915</v>
      </c>
      <c r="R78" s="96">
        <f>IF(R44=0,0,R44/TrRoad_act!R48*100)</f>
        <v>7.6231710827991028</v>
      </c>
      <c r="S78" s="96">
        <f>IF(S44=0,0,S44/TrRoad_act!S48*100)</f>
        <v>7.6720917605954311</v>
      </c>
      <c r="T78" s="96">
        <f>IF(T44=0,0,T44/TrRoad_act!T48*100)</f>
        <v>7.3909141264907481</v>
      </c>
      <c r="U78" s="96">
        <f>IF(U44=0,0,U44/TrRoad_act!U48*100)</f>
        <v>7.4130906913966035</v>
      </c>
      <c r="V78" s="96">
        <f>IF(V44=0,0,V44/TrRoad_act!V48*100)</f>
        <v>6.9025617239265271</v>
      </c>
      <c r="W78" s="96">
        <f>IF(W44=0,0,W44/TrRoad_act!W48*100)</f>
        <v>7.2319461686404853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12.720500814728245</v>
      </c>
      <c r="C79" s="96">
        <f>IF(C46=0,0,C46/TrRoad_act!C49*100)</f>
        <v>12.46382761000193</v>
      </c>
      <c r="D79" s="96">
        <f>IF(D46=0,0,D46/TrRoad_act!D49*100)</f>
        <v>11.530801175418878</v>
      </c>
      <c r="E79" s="96">
        <f>IF(E46=0,0,E46/TrRoad_act!E49*100)</f>
        <v>11.42370322646002</v>
      </c>
      <c r="F79" s="96">
        <f>IF(F46=0,0,F46/TrRoad_act!F49*100)</f>
        <v>12.324870473190135</v>
      </c>
      <c r="G79" s="96">
        <f>IF(G46=0,0,G46/TrRoad_act!G49*100)</f>
        <v>11.091114812661127</v>
      </c>
      <c r="H79" s="96">
        <f>IF(H46=0,0,H46/TrRoad_act!H49*100)</f>
        <v>10.941275675330839</v>
      </c>
      <c r="I79" s="96">
        <f>IF(I46=0,0,I46/TrRoad_act!I49*100)</f>
        <v>11.23570420685361</v>
      </c>
      <c r="J79" s="96">
        <f>IF(J46=0,0,J46/TrRoad_act!J49*100)</f>
        <v>10.657443435770412</v>
      </c>
      <c r="K79" s="96">
        <f>IF(K46=0,0,K46/TrRoad_act!K49*100)</f>
        <v>11.157222543039806</v>
      </c>
      <c r="L79" s="96">
        <f>IF(L46=0,0,L46/TrRoad_act!L49*100)</f>
        <v>11.142758218785691</v>
      </c>
      <c r="M79" s="96">
        <f>IF(M46=0,0,M46/TrRoad_act!M49*100)</f>
        <v>10.592077400960244</v>
      </c>
      <c r="N79" s="96">
        <f>IF(N46=0,0,N46/TrRoad_act!N49*100)</f>
        <v>9.131038885213357</v>
      </c>
      <c r="O79" s="96">
        <f>IF(O46=0,0,O46/TrRoad_act!O49*100)</f>
        <v>8.1444319552324327</v>
      </c>
      <c r="P79" s="96">
        <f>IF(P46=0,0,P46/TrRoad_act!P49*100)</f>
        <v>7.8201492245214954</v>
      </c>
      <c r="Q79" s="96">
        <f>IF(Q46=0,0,Q46/TrRoad_act!Q49*100)</f>
        <v>8.1299152040647282</v>
      </c>
      <c r="R79" s="96">
        <f>IF(R46=0,0,R46/TrRoad_act!R49*100)</f>
        <v>8.1595766570825692</v>
      </c>
      <c r="S79" s="96">
        <f>IF(S46=0,0,S46/TrRoad_act!S49*100)</f>
        <v>8.0933643928651104</v>
      </c>
      <c r="T79" s="96">
        <f>IF(T46=0,0,T46/TrRoad_act!T49*100)</f>
        <v>7.7566753209172754</v>
      </c>
      <c r="U79" s="96">
        <f>IF(U46=0,0,U46/TrRoad_act!U49*100)</f>
        <v>7.6838301523253216</v>
      </c>
      <c r="V79" s="96">
        <f>IF(V46=0,0,V46/TrRoad_act!V49*100)</f>
        <v>8.0835800380827489</v>
      </c>
      <c r="W79" s="96">
        <f>IF(W46=0,0,W46/TrRoad_act!W49*100)</f>
        <v>8.4727962339445675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0</v>
      </c>
      <c r="F80" s="96">
        <f>IF(F48=0,0,F48/TrRoad_act!F50*100)</f>
        <v>0</v>
      </c>
      <c r="G80" s="96">
        <f>IF(G48=0,0,G48/TrRoad_act!G50*100)</f>
        <v>0</v>
      </c>
      <c r="H80" s="96">
        <f>IF(H48=0,0,H48/TrRoad_act!H50*100)</f>
        <v>0</v>
      </c>
      <c r="I80" s="96">
        <f>IF(I48=0,0,I48/TrRoad_act!I50*100)</f>
        <v>0</v>
      </c>
      <c r="J80" s="96">
        <f>IF(J48=0,0,J48/TrRoad_act!J50*100)</f>
        <v>0</v>
      </c>
      <c r="K80" s="96">
        <f>IF(K48=0,0,K48/TrRoad_act!K50*100)</f>
        <v>0</v>
      </c>
      <c r="L80" s="96">
        <f>IF(L48=0,0,L48/TrRoad_act!L50*100)</f>
        <v>0</v>
      </c>
      <c r="M80" s="96">
        <f>IF(M48=0,0,M48/TrRoad_act!M50*100)</f>
        <v>0</v>
      </c>
      <c r="N80" s="96">
        <f>IF(N48=0,0,N48/TrRoad_act!N50*100)</f>
        <v>0</v>
      </c>
      <c r="O80" s="96">
        <f>IF(O48=0,0,O48/TrRoad_act!O50*100)</f>
        <v>0</v>
      </c>
      <c r="P80" s="96">
        <f>IF(P48=0,0,P48/TrRoad_act!P50*100)</f>
        <v>0</v>
      </c>
      <c r="Q80" s="96">
        <f>IF(Q48=0,0,Q48/TrRoad_act!Q50*100)</f>
        <v>0</v>
      </c>
      <c r="R80" s="96">
        <f>IF(R48=0,0,R48/TrRoad_act!R50*100)</f>
        <v>0</v>
      </c>
      <c r="S80" s="96">
        <f>IF(S48=0,0,S48/TrRoad_act!S50*100)</f>
        <v>0</v>
      </c>
      <c r="T80" s="96">
        <f>IF(T48=0,0,T48/TrRoad_act!T50*100)</f>
        <v>0</v>
      </c>
      <c r="U80" s="96">
        <f>IF(U48=0,0,U48/TrRoad_act!U50*100)</f>
        <v>0</v>
      </c>
      <c r="V80" s="96">
        <f>IF(V48=0,0,V48/TrRoad_act!V50*100)</f>
        <v>0</v>
      </c>
      <c r="W80" s="96">
        <f>IF(W48=0,0,W48/TrRoad_act!W50*100)</f>
        <v>0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0</v>
      </c>
      <c r="L81" s="96">
        <f>IF(L49=0,0,L49/TrRoad_act!L51*100)</f>
        <v>0</v>
      </c>
      <c r="M81" s="96">
        <f>IF(M49=0,0,M49/TrRoad_act!M51*100)</f>
        <v>0</v>
      </c>
      <c r="N81" s="96">
        <f>IF(N49=0,0,N49/TrRoad_act!N51*100)</f>
        <v>0</v>
      </c>
      <c r="O81" s="96">
        <f>IF(O49=0,0,O49/TrRoad_act!O51*100)</f>
        <v>0</v>
      </c>
      <c r="P81" s="96">
        <f>IF(P49=0,0,P49/TrRoad_act!P51*100)</f>
        <v>0</v>
      </c>
      <c r="Q81" s="96">
        <f>IF(Q49=0,0,Q49/TrRoad_act!Q51*100)</f>
        <v>0</v>
      </c>
      <c r="R81" s="96">
        <f>IF(R49=0,0,R49/TrRoad_act!R51*100)</f>
        <v>0</v>
      </c>
      <c r="S81" s="96">
        <f>IF(S49=0,0,S49/TrRoad_act!S51*100)</f>
        <v>0</v>
      </c>
      <c r="T81" s="96">
        <f>IF(T49=0,0,T49/TrRoad_act!T51*100)</f>
        <v>0</v>
      </c>
      <c r="U81" s="96">
        <f>IF(U49=0,0,U49/TrRoad_act!U51*100)</f>
        <v>0</v>
      </c>
      <c r="V81" s="96">
        <f>IF(V49=0,0,V49/TrRoad_act!V51*100)</f>
        <v>0</v>
      </c>
      <c r="W81" s="96">
        <f>IF(W49=0,0,W49/TrRoad_act!W51*100)</f>
        <v>0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1.6304400018816219</v>
      </c>
      <c r="J82" s="96">
        <f>IF(J51=0,0,J51/TrRoad_act!J52*100)</f>
        <v>1.6312300497394787</v>
      </c>
      <c r="K82" s="96">
        <f>IF(K51=0,0,K51/TrRoad_act!K52*100)</f>
        <v>1.6312300497394787</v>
      </c>
      <c r="L82" s="96">
        <f>IF(L51=0,0,L51/TrRoad_act!L52*100)</f>
        <v>1.6384877659394503</v>
      </c>
      <c r="M82" s="96">
        <f>IF(M51=0,0,M51/TrRoad_act!M52*100)</f>
        <v>1.6415436064667592</v>
      </c>
      <c r="N82" s="96">
        <f>IF(N51=0,0,N51/TrRoad_act!N52*100)</f>
        <v>1.641543606466759</v>
      </c>
      <c r="O82" s="96">
        <f>IF(O51=0,0,O51/TrRoad_act!O52*100)</f>
        <v>1.641543606466759</v>
      </c>
      <c r="P82" s="96">
        <f>IF(P51=0,0,P51/TrRoad_act!P52*100)</f>
        <v>1.6435887354803267</v>
      </c>
      <c r="Q82" s="96">
        <f>IF(Q51=0,0,Q51/TrRoad_act!Q52*100)</f>
        <v>1.6435887354803274</v>
      </c>
      <c r="R82" s="96">
        <f>IF(R51=0,0,R51/TrRoad_act!R52*100)</f>
        <v>1.6435887354803274</v>
      </c>
      <c r="S82" s="96">
        <f>IF(S51=0,0,S51/TrRoad_act!S52*100)</f>
        <v>1.6435887354803269</v>
      </c>
      <c r="T82" s="96">
        <f>IF(T51=0,0,T51/TrRoad_act!T52*100)</f>
        <v>1.6465573206867379</v>
      </c>
      <c r="U82" s="96">
        <f>IF(U51=0,0,U51/TrRoad_act!U52*100)</f>
        <v>2.0503135513975241</v>
      </c>
      <c r="V82" s="96">
        <f>IF(V51=0,0,V51/TrRoad_act!V52*100)</f>
        <v>2.1687545375534905</v>
      </c>
      <c r="W82" s="96">
        <f>IF(W51=0,0,W51/TrRoad_act!W52*100)</f>
        <v>2.4490222723345201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32.008368165571895</v>
      </c>
      <c r="C83" s="130">
        <f>IF(C52=0,0,C52/TrRoad_act!C53*100)</f>
        <v>31.911878209844325</v>
      </c>
      <c r="D83" s="130">
        <f>IF(D52=0,0,D52/TrRoad_act!D53*100)</f>
        <v>30.129513429371592</v>
      </c>
      <c r="E83" s="130">
        <f>IF(E52=0,0,E52/TrRoad_act!E53*100)</f>
        <v>30.340104542203889</v>
      </c>
      <c r="F83" s="130">
        <f>IF(F52=0,0,F52/TrRoad_act!F53*100)</f>
        <v>32.593186597579034</v>
      </c>
      <c r="G83" s="130">
        <f>IF(G52=0,0,G52/TrRoad_act!G53*100)</f>
        <v>30.352236646432885</v>
      </c>
      <c r="H83" s="130">
        <f>IF(H52=0,0,H52/TrRoad_act!H53*100)</f>
        <v>30.300264757423239</v>
      </c>
      <c r="I83" s="130">
        <f>IF(I52=0,0,I52/TrRoad_act!I53*100)</f>
        <v>31.296217941954453</v>
      </c>
      <c r="J83" s="130">
        <f>IF(J52=0,0,J52/TrRoad_act!J53*100)</f>
        <v>30.551225720286169</v>
      </c>
      <c r="K83" s="130">
        <f>IF(K52=0,0,K52/TrRoad_act!K53*100)</f>
        <v>32.338920081844215</v>
      </c>
      <c r="L83" s="130">
        <f>IF(L52=0,0,L52/TrRoad_act!L53*100)</f>
        <v>32.951303259351739</v>
      </c>
      <c r="M83" s="130">
        <f>IF(M52=0,0,M52/TrRoad_act!M53*100)</f>
        <v>32.004414306292823</v>
      </c>
      <c r="N83" s="130">
        <f>IF(N52=0,0,N52/TrRoad_act!N53*100)</f>
        <v>28.790932455600544</v>
      </c>
      <c r="O83" s="130">
        <f>IF(O52=0,0,O52/TrRoad_act!O53*100)</f>
        <v>26.604114894772529</v>
      </c>
      <c r="P83" s="130">
        <f>IF(P52=0,0,P52/TrRoad_act!P53*100)</f>
        <v>26.12836725789866</v>
      </c>
      <c r="Q83" s="130">
        <f>IF(Q52=0,0,Q52/TrRoad_act!Q53*100)</f>
        <v>27.218444900574941</v>
      </c>
      <c r="R83" s="130">
        <f>IF(R52=0,0,R52/TrRoad_act!R53*100)</f>
        <v>27.325520596356391</v>
      </c>
      <c r="S83" s="130">
        <f>IF(S52=0,0,S52/TrRoad_act!S53*100)</f>
        <v>27.40380363847914</v>
      </c>
      <c r="T83" s="130">
        <f>IF(T52=0,0,T52/TrRoad_act!T53*100)</f>
        <v>26.580707702367256</v>
      </c>
      <c r="U83" s="130">
        <f>IF(U52=0,0,U52/TrRoad_act!U53*100)</f>
        <v>27.055276561757974</v>
      </c>
      <c r="V83" s="130">
        <f>IF(V52=0,0,V52/TrRoad_act!V53*100)</f>
        <v>28.185186944078815</v>
      </c>
      <c r="W83" s="130">
        <f>IF(W52=0,0,W52/TrRoad_act!W53*100)</f>
        <v>29.274768628480157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32.008368165571895</v>
      </c>
      <c r="C84" s="97">
        <f>IF(C53=0,0,C53/TrRoad_act!C54*100)</f>
        <v>31.911878209844325</v>
      </c>
      <c r="D84" s="97">
        <f>IF(D53=0,0,D53/TrRoad_act!D54*100)</f>
        <v>30.129513429371592</v>
      </c>
      <c r="E84" s="97">
        <f>IF(E53=0,0,E53/TrRoad_act!E54*100)</f>
        <v>30.340104542203889</v>
      </c>
      <c r="F84" s="97">
        <f>IF(F53=0,0,F53/TrRoad_act!F54*100)</f>
        <v>32.593186597579034</v>
      </c>
      <c r="G84" s="97">
        <f>IF(G53=0,0,G53/TrRoad_act!G54*100)</f>
        <v>30.352236646432885</v>
      </c>
      <c r="H84" s="97">
        <f>IF(H53=0,0,H53/TrRoad_act!H54*100)</f>
        <v>30.300264757423239</v>
      </c>
      <c r="I84" s="97">
        <f>IF(I53=0,0,I53/TrRoad_act!I54*100)</f>
        <v>31.296217941954453</v>
      </c>
      <c r="J84" s="97">
        <f>IF(J53=0,0,J53/TrRoad_act!J54*100)</f>
        <v>30.551225720286169</v>
      </c>
      <c r="K84" s="97">
        <f>IF(K53=0,0,K53/TrRoad_act!K54*100)</f>
        <v>32.338920081844215</v>
      </c>
      <c r="L84" s="97">
        <f>IF(L53=0,0,L53/TrRoad_act!L54*100)</f>
        <v>32.951303259351739</v>
      </c>
      <c r="M84" s="97">
        <f>IF(M53=0,0,M53/TrRoad_act!M54*100)</f>
        <v>32.004414306292823</v>
      </c>
      <c r="N84" s="97">
        <f>IF(N53=0,0,N53/TrRoad_act!N54*100)</f>
        <v>28.790932455600544</v>
      </c>
      <c r="O84" s="97">
        <f>IF(O53=0,0,O53/TrRoad_act!O54*100)</f>
        <v>26.604114894772529</v>
      </c>
      <c r="P84" s="97">
        <f>IF(P53=0,0,P53/TrRoad_act!P54*100)</f>
        <v>26.12836725789866</v>
      </c>
      <c r="Q84" s="97">
        <f>IF(Q53=0,0,Q53/TrRoad_act!Q54*100)</f>
        <v>27.218444900574941</v>
      </c>
      <c r="R84" s="97">
        <f>IF(R53=0,0,R53/TrRoad_act!R54*100)</f>
        <v>27.325520596356391</v>
      </c>
      <c r="S84" s="97">
        <f>IF(S53=0,0,S53/TrRoad_act!S54*100)</f>
        <v>27.40380363847914</v>
      </c>
      <c r="T84" s="97">
        <f>IF(T53=0,0,T53/TrRoad_act!T54*100)</f>
        <v>26.580707702367256</v>
      </c>
      <c r="U84" s="97">
        <f>IF(U53=0,0,U53/TrRoad_act!U54*100)</f>
        <v>27.055276561757974</v>
      </c>
      <c r="V84" s="97">
        <f>IF(V53=0,0,V53/TrRoad_act!V54*100)</f>
        <v>28.185186944078815</v>
      </c>
      <c r="W84" s="97">
        <f>IF(W53=0,0,W53/TrRoad_act!W54*100)</f>
        <v>29.274768628480157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0</v>
      </c>
      <c r="C85" s="98">
        <f>IF(C55=0,0,C55/TrRoad_act!C55*100)</f>
        <v>0</v>
      </c>
      <c r="D85" s="98">
        <f>IF(D55=0,0,D55/TrRoad_act!D55*100)</f>
        <v>0</v>
      </c>
      <c r="E85" s="98">
        <f>IF(E55=0,0,E55/TrRoad_act!E55*100)</f>
        <v>0</v>
      </c>
      <c r="F85" s="98">
        <f>IF(F55=0,0,F55/TrRoad_act!F55*100)</f>
        <v>0</v>
      </c>
      <c r="G85" s="98">
        <f>IF(G55=0,0,G55/TrRoad_act!G55*100)</f>
        <v>0</v>
      </c>
      <c r="H85" s="98">
        <f>IF(H55=0,0,H55/TrRoad_act!H55*100)</f>
        <v>0</v>
      </c>
      <c r="I85" s="98">
        <f>IF(I55=0,0,I55/TrRoad_act!I55*100)</f>
        <v>0</v>
      </c>
      <c r="J85" s="98">
        <f>IF(J55=0,0,J55/TrRoad_act!J55*100)</f>
        <v>0</v>
      </c>
      <c r="K85" s="98">
        <f>IF(K55=0,0,K55/TrRoad_act!K55*100)</f>
        <v>0</v>
      </c>
      <c r="L85" s="98">
        <f>IF(L55=0,0,L55/TrRoad_act!L55*100)</f>
        <v>0</v>
      </c>
      <c r="M85" s="98">
        <f>IF(M55=0,0,M55/TrRoad_act!M55*100)</f>
        <v>0</v>
      </c>
      <c r="N85" s="98">
        <f>IF(N55=0,0,N55/TrRoad_act!N55*100)</f>
        <v>0</v>
      </c>
      <c r="O85" s="98">
        <f>IF(O55=0,0,O55/TrRoad_act!O55*100)</f>
        <v>0</v>
      </c>
      <c r="P85" s="98">
        <f>IF(P55=0,0,P55/TrRoad_act!P55*100)</f>
        <v>0</v>
      </c>
      <c r="Q85" s="98">
        <f>IF(Q55=0,0,Q55/TrRoad_act!Q55*100)</f>
        <v>0</v>
      </c>
      <c r="R85" s="98">
        <f>IF(R55=0,0,R55/TrRoad_act!R55*100)</f>
        <v>0</v>
      </c>
      <c r="S85" s="98">
        <f>IF(S55=0,0,S55/TrRoad_act!S55*100)</f>
        <v>0</v>
      </c>
      <c r="T85" s="98">
        <f>IF(T55=0,0,T55/TrRoad_act!T55*100)</f>
        <v>0</v>
      </c>
      <c r="U85" s="98">
        <f>IF(U55=0,0,U55/TrRoad_act!U55*100)</f>
        <v>0</v>
      </c>
      <c r="V85" s="98">
        <f>IF(V55=0,0,V55/TrRoad_act!V55*100)</f>
        <v>0</v>
      </c>
      <c r="W85" s="98">
        <f>IF(W55=0,0,W55/TrRoad_act!W55*100)</f>
        <v>0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68.12359238949044</v>
      </c>
      <c r="C88" s="29">
        <f>IF(TrRoad_act!C4=0,0,C18/TrRoad_act!C4*1000)</f>
        <v>69.706845511699825</v>
      </c>
      <c r="D88" s="29">
        <f>IF(TrRoad_act!D4=0,0,D18/TrRoad_act!D4*1000)</f>
        <v>68.662997577111696</v>
      </c>
      <c r="E88" s="29">
        <f>IF(TrRoad_act!E4=0,0,E18/TrRoad_act!E4*1000)</f>
        <v>72.526396924402846</v>
      </c>
      <c r="F88" s="29">
        <f>IF(TrRoad_act!F4=0,0,F18/TrRoad_act!F4*1000)</f>
        <v>74.472280834815749</v>
      </c>
      <c r="G88" s="29">
        <f>IF(TrRoad_act!G4=0,0,G18/TrRoad_act!G4*1000)</f>
        <v>73.766060026778518</v>
      </c>
      <c r="H88" s="29">
        <f>IF(TrRoad_act!H4=0,0,H18/TrRoad_act!H4*1000)</f>
        <v>74.544731560160486</v>
      </c>
      <c r="I88" s="29">
        <f>IF(TrRoad_act!I4=0,0,I18/TrRoad_act!I4*1000)</f>
        <v>76.954030214100499</v>
      </c>
      <c r="J88" s="29">
        <f>IF(TrRoad_act!J4=0,0,J18/TrRoad_act!J4*1000)</f>
        <v>74.869417902593497</v>
      </c>
      <c r="K88" s="29">
        <f>IF(TrRoad_act!K4=0,0,K18/TrRoad_act!K4*1000)</f>
        <v>75.2378258428176</v>
      </c>
      <c r="L88" s="29">
        <f>IF(TrRoad_act!L4=0,0,L18/TrRoad_act!L4*1000)</f>
        <v>77.5789573368411</v>
      </c>
      <c r="M88" s="29">
        <f>IF(TrRoad_act!M4=0,0,M18/TrRoad_act!M4*1000)</f>
        <v>75.75156838746129</v>
      </c>
      <c r="N88" s="29">
        <f>IF(TrRoad_act!N4=0,0,N18/TrRoad_act!N4*1000)</f>
        <v>70.849411265841269</v>
      </c>
      <c r="O88" s="29">
        <f>IF(TrRoad_act!O4=0,0,O18/TrRoad_act!O4*1000)</f>
        <v>66.151343020654551</v>
      </c>
      <c r="P88" s="29">
        <f>IF(TrRoad_act!P4=0,0,P18/TrRoad_act!P4*1000)</f>
        <v>63.900753272811642</v>
      </c>
      <c r="Q88" s="29">
        <f>IF(TrRoad_act!Q4=0,0,Q18/TrRoad_act!Q4*1000)</f>
        <v>64.592295612884897</v>
      </c>
      <c r="R88" s="29">
        <f>IF(TrRoad_act!R4=0,0,R18/TrRoad_act!R4*1000)</f>
        <v>64.768165430545537</v>
      </c>
      <c r="S88" s="29">
        <f>IF(TrRoad_act!S4=0,0,S18/TrRoad_act!S4*1000)</f>
        <v>65.036383128181029</v>
      </c>
      <c r="T88" s="29">
        <f>IF(TrRoad_act!T4=0,0,T18/TrRoad_act!T4*1000)</f>
        <v>62.931961370458353</v>
      </c>
      <c r="U88" s="29">
        <f>IF(TrRoad_act!U4=0,0,U18/TrRoad_act!U4*1000)</f>
        <v>62.158208770890944</v>
      </c>
      <c r="V88" s="29">
        <f>IF(TrRoad_act!V4=0,0,V18/TrRoad_act!V4*1000)</f>
        <v>67.605965011414256</v>
      </c>
      <c r="W88" s="29">
        <f>IF(TrRoad_act!W4=0,0,W18/TrRoad_act!W4*1000)</f>
        <v>67.928093862523824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39.539552130888517</v>
      </c>
      <c r="C89" s="152">
        <f>IF(TrRoad_act!C5=0,0,C19/TrRoad_act!C5*1000)</f>
        <v>39.219175285576583</v>
      </c>
      <c r="D89" s="152">
        <f>IF(TrRoad_act!D5=0,0,D19/TrRoad_act!D5*1000)</f>
        <v>39.653169129173918</v>
      </c>
      <c r="E89" s="152">
        <f>IF(TrRoad_act!E5=0,0,E19/TrRoad_act!E5*1000)</f>
        <v>39.377679002658788</v>
      </c>
      <c r="F89" s="152">
        <f>IF(TrRoad_act!F5=0,0,F19/TrRoad_act!F5*1000)</f>
        <v>39.204881195346836</v>
      </c>
      <c r="G89" s="152">
        <f>IF(TrRoad_act!G5=0,0,G19/TrRoad_act!G5*1000)</f>
        <v>38.942667464010327</v>
      </c>
      <c r="H89" s="152">
        <f>IF(TrRoad_act!H5=0,0,H19/TrRoad_act!H5*1000)</f>
        <v>38.613425139444693</v>
      </c>
      <c r="I89" s="152">
        <f>IF(TrRoad_act!I5=0,0,I19/TrRoad_act!I5*1000)</f>
        <v>38.207814604875914</v>
      </c>
      <c r="J89" s="152">
        <f>IF(TrRoad_act!J5=0,0,J19/TrRoad_act!J5*1000)</f>
        <v>37.802974771696611</v>
      </c>
      <c r="K89" s="152">
        <f>IF(TrRoad_act!K5=0,0,K19/TrRoad_act!K5*1000)</f>
        <v>37.36650040983556</v>
      </c>
      <c r="L89" s="152">
        <f>IF(TrRoad_act!L5=0,0,L19/TrRoad_act!L5*1000)</f>
        <v>36.882814325454298</v>
      </c>
      <c r="M89" s="152">
        <f>IF(TrRoad_act!M5=0,0,M19/TrRoad_act!M5*1000)</f>
        <v>36.4570723009845</v>
      </c>
      <c r="N89" s="152">
        <f>IF(TrRoad_act!N5=0,0,N19/TrRoad_act!N5*1000)</f>
        <v>36.548774184818797</v>
      </c>
      <c r="O89" s="152">
        <f>IF(TrRoad_act!O5=0,0,O19/TrRoad_act!O5*1000)</f>
        <v>36.15502494062239</v>
      </c>
      <c r="P89" s="152">
        <f>IF(TrRoad_act!P5=0,0,P19/TrRoad_act!P5*1000)</f>
        <v>35.862962569365251</v>
      </c>
      <c r="Q89" s="152">
        <f>IF(TrRoad_act!Q5=0,0,Q19/TrRoad_act!Q5*1000)</f>
        <v>35.564529755244628</v>
      </c>
      <c r="R89" s="152">
        <f>IF(TrRoad_act!R5=0,0,R19/TrRoad_act!R5*1000)</f>
        <v>35.025687940440612</v>
      </c>
      <c r="S89" s="152">
        <f>IF(TrRoad_act!S5=0,0,S19/TrRoad_act!S5*1000)</f>
        <v>34.757641818058971</v>
      </c>
      <c r="T89" s="152">
        <f>IF(TrRoad_act!T5=0,0,T19/TrRoad_act!T5*1000)</f>
        <v>34.442310980489978</v>
      </c>
      <c r="U89" s="152">
        <f>IF(TrRoad_act!U5=0,0,U19/TrRoad_act!U5*1000)</f>
        <v>33.851879605267762</v>
      </c>
      <c r="V89" s="152">
        <f>IF(TrRoad_act!V5=0,0,V19/TrRoad_act!V5*1000)</f>
        <v>33.588762225782787</v>
      </c>
      <c r="W89" s="152">
        <f>IF(TrRoad_act!W5=0,0,W19/TrRoad_act!W5*1000)</f>
        <v>31.564659373615022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65.543824466742677</v>
      </c>
      <c r="C90" s="116">
        <f>IF(TrRoad_act!C6=0,0,C21/TrRoad_act!C6*1000)</f>
        <v>67.939124821862094</v>
      </c>
      <c r="D90" s="116">
        <f>IF(TrRoad_act!D6=0,0,D21/TrRoad_act!D6*1000)</f>
        <v>67.798922074414932</v>
      </c>
      <c r="E90" s="116">
        <f>IF(TrRoad_act!E6=0,0,E21/TrRoad_act!E6*1000)</f>
        <v>72.768691878828378</v>
      </c>
      <c r="F90" s="116">
        <f>IF(TrRoad_act!F6=0,0,F21/TrRoad_act!F6*1000)</f>
        <v>73.532213978950125</v>
      </c>
      <c r="G90" s="116">
        <f>IF(TrRoad_act!G6=0,0,G21/TrRoad_act!G6*1000)</f>
        <v>74.322122638679105</v>
      </c>
      <c r="H90" s="116">
        <f>IF(TrRoad_act!H6=0,0,H21/TrRoad_act!H6*1000)</f>
        <v>75.326793356137415</v>
      </c>
      <c r="I90" s="116">
        <f>IF(TrRoad_act!I6=0,0,I21/TrRoad_act!I6*1000)</f>
        <v>77.664246812899364</v>
      </c>
      <c r="J90" s="116">
        <f>IF(TrRoad_act!J6=0,0,J21/TrRoad_act!J6*1000)</f>
        <v>75.677003619012609</v>
      </c>
      <c r="K90" s="116">
        <f>IF(TrRoad_act!K6=0,0,K21/TrRoad_act!K6*1000)</f>
        <v>75.26140377073088</v>
      </c>
      <c r="L90" s="116">
        <f>IF(TrRoad_act!L6=0,0,L21/TrRoad_act!L6*1000)</f>
        <v>78.179772581760403</v>
      </c>
      <c r="M90" s="116">
        <f>IF(TrRoad_act!M6=0,0,M21/TrRoad_act!M6*1000)</f>
        <v>76.535755679247046</v>
      </c>
      <c r="N90" s="116">
        <f>IF(TrRoad_act!N6=0,0,N21/TrRoad_act!N6*1000)</f>
        <v>72.419478310867788</v>
      </c>
      <c r="O90" s="116">
        <f>IF(TrRoad_act!O6=0,0,O21/TrRoad_act!O6*1000)</f>
        <v>67.905164010894495</v>
      </c>
      <c r="P90" s="116">
        <f>IF(TrRoad_act!P6=0,0,P21/TrRoad_act!P6*1000)</f>
        <v>65.219296660069858</v>
      </c>
      <c r="Q90" s="116">
        <f>IF(TrRoad_act!Q6=0,0,Q21/TrRoad_act!Q6*1000)</f>
        <v>65.377247789656138</v>
      </c>
      <c r="R90" s="116">
        <f>IF(TrRoad_act!R6=0,0,R21/TrRoad_act!R6*1000)</f>
        <v>65.425478109691753</v>
      </c>
      <c r="S90" s="116">
        <f>IF(TrRoad_act!S6=0,0,S21/TrRoad_act!S6*1000)</f>
        <v>65.581956397757565</v>
      </c>
      <c r="T90" s="116">
        <f>IF(TrRoad_act!T6=0,0,T21/TrRoad_act!T6*1000)</f>
        <v>63.328299433151869</v>
      </c>
      <c r="U90" s="116">
        <f>IF(TrRoad_act!U6=0,0,U21/TrRoad_act!U6*1000)</f>
        <v>62.151548129249846</v>
      </c>
      <c r="V90" s="116">
        <f>IF(TrRoad_act!V6=0,0,V21/TrRoad_act!V6*1000)</f>
        <v>63.923697742921043</v>
      </c>
      <c r="W90" s="116">
        <f>IF(TrRoad_act!W6=0,0,W21/TrRoad_act!W6*1000)</f>
        <v>63.922270417104215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63.622553600463952</v>
      </c>
      <c r="C91" s="87">
        <f>IF(TrRoad_act!C7=0,0,C22/TrRoad_act!C7*1000)</f>
        <v>66.502084589830773</v>
      </c>
      <c r="D91" s="87">
        <f>IF(TrRoad_act!D7=0,0,D22/TrRoad_act!D7*1000)</f>
        <v>67.301365410717935</v>
      </c>
      <c r="E91" s="87">
        <f>IF(TrRoad_act!E7=0,0,E22/TrRoad_act!E7*1000)</f>
        <v>72.75560175983361</v>
      </c>
      <c r="F91" s="87">
        <f>IF(TrRoad_act!F7=0,0,F22/TrRoad_act!F7*1000)</f>
        <v>72.77774313855295</v>
      </c>
      <c r="G91" s="87">
        <f>IF(TrRoad_act!G7=0,0,G22/TrRoad_act!G7*1000)</f>
        <v>74.540905784554127</v>
      </c>
      <c r="H91" s="87">
        <f>IF(TrRoad_act!H7=0,0,H22/TrRoad_act!H7*1000)</f>
        <v>75.657572302697702</v>
      </c>
      <c r="I91" s="87">
        <f>IF(TrRoad_act!I7=0,0,I22/TrRoad_act!I7*1000)</f>
        <v>77.637133915499589</v>
      </c>
      <c r="J91" s="87">
        <f>IF(TrRoad_act!J7=0,0,J22/TrRoad_act!J7*1000)</f>
        <v>75.846429252225846</v>
      </c>
      <c r="K91" s="87">
        <f>IF(TrRoad_act!K7=0,0,K22/TrRoad_act!K7*1000)</f>
        <v>74.953454223827734</v>
      </c>
      <c r="L91" s="87">
        <f>IF(TrRoad_act!L7=0,0,L22/TrRoad_act!L7*1000)</f>
        <v>77.734316075770806</v>
      </c>
      <c r="M91" s="87">
        <f>IF(TrRoad_act!M7=0,0,M22/TrRoad_act!M7*1000)</f>
        <v>76.22654630413372</v>
      </c>
      <c r="N91" s="87">
        <f>IF(TrRoad_act!N7=0,0,N22/TrRoad_act!N7*1000)</f>
        <v>72.886658912372909</v>
      </c>
      <c r="O91" s="87">
        <f>IF(TrRoad_act!O7=0,0,O22/TrRoad_act!O7*1000)</f>
        <v>68.523308371159217</v>
      </c>
      <c r="P91" s="87">
        <f>IF(TrRoad_act!P7=0,0,P22/TrRoad_act!P7*1000)</f>
        <v>65.908218299888986</v>
      </c>
      <c r="Q91" s="87">
        <f>IF(TrRoad_act!Q7=0,0,Q22/TrRoad_act!Q7*1000)</f>
        <v>65.952981262521661</v>
      </c>
      <c r="R91" s="87">
        <f>IF(TrRoad_act!R7=0,0,R22/TrRoad_act!R7*1000)</f>
        <v>65.30788844985841</v>
      </c>
      <c r="S91" s="87">
        <f>IF(TrRoad_act!S7=0,0,S22/TrRoad_act!S7*1000)</f>
        <v>65.653315326599156</v>
      </c>
      <c r="T91" s="87">
        <f>IF(TrRoad_act!T7=0,0,T22/TrRoad_act!T7*1000)</f>
        <v>63.624079126570365</v>
      </c>
      <c r="U91" s="87">
        <f>IF(TrRoad_act!U7=0,0,U22/TrRoad_act!U7*1000)</f>
        <v>62.289060990507146</v>
      </c>
      <c r="V91" s="87">
        <f>IF(TrRoad_act!V7=0,0,V22/TrRoad_act!V7*1000)</f>
        <v>62.657679266886106</v>
      </c>
      <c r="W91" s="87">
        <f>IF(TrRoad_act!W7=0,0,W22/TrRoad_act!W7*1000)</f>
        <v>62.852535947278504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74.407878622366994</v>
      </c>
      <c r="C92" s="87">
        <f>IF(TrRoad_act!C8=0,0,C24/TrRoad_act!C8*1000)</f>
        <v>74.34612070170553</v>
      </c>
      <c r="D92" s="87">
        <f>IF(TrRoad_act!D8=0,0,D24/TrRoad_act!D8*1000)</f>
        <v>70.111342981585892</v>
      </c>
      <c r="E92" s="87">
        <f>IF(TrRoad_act!E8=0,0,E24/TrRoad_act!E8*1000)</f>
        <v>72.833576959511987</v>
      </c>
      <c r="F92" s="87">
        <f>IF(TrRoad_act!F8=0,0,F24/TrRoad_act!F8*1000)</f>
        <v>77.79431965069746</v>
      </c>
      <c r="G92" s="87">
        <f>IF(TrRoad_act!G8=0,0,G24/TrRoad_act!G8*1000)</f>
        <v>72.958633068383591</v>
      </c>
      <c r="H92" s="87">
        <f>IF(TrRoad_act!H8=0,0,H24/TrRoad_act!H8*1000)</f>
        <v>73.073277117499813</v>
      </c>
      <c r="I92" s="87">
        <f>IF(TrRoad_act!I8=0,0,I24/TrRoad_act!I8*1000)</f>
        <v>77.858569258408124</v>
      </c>
      <c r="J92" s="87">
        <f>IF(TrRoad_act!J8=0,0,J24/TrRoad_act!J8*1000)</f>
        <v>74.462281945615672</v>
      </c>
      <c r="K92" s="87">
        <f>IF(TrRoad_act!K8=0,0,K24/TrRoad_act!K8*1000)</f>
        <v>77.433137193814986</v>
      </c>
      <c r="L92" s="87">
        <f>IF(TrRoad_act!L8=0,0,L24/TrRoad_act!L8*1000)</f>
        <v>81.315752558246359</v>
      </c>
      <c r="M92" s="87">
        <f>IF(TrRoad_act!M8=0,0,M24/TrRoad_act!M8*1000)</f>
        <v>78.740763279122646</v>
      </c>
      <c r="N92" s="87">
        <f>IF(TrRoad_act!N8=0,0,N24/TrRoad_act!N8*1000)</f>
        <v>68.909894418011106</v>
      </c>
      <c r="O92" s="87">
        <f>IF(TrRoad_act!O8=0,0,O24/TrRoad_act!O8*1000)</f>
        <v>63.148838402453968</v>
      </c>
      <c r="P92" s="87">
        <f>IF(TrRoad_act!P8=0,0,P24/TrRoad_act!P8*1000)</f>
        <v>60.174266392375124</v>
      </c>
      <c r="Q92" s="87">
        <f>IF(TrRoad_act!Q8=0,0,Q24/TrRoad_act!Q8*1000)</f>
        <v>61.54983174247149</v>
      </c>
      <c r="R92" s="87">
        <f>IF(TrRoad_act!R8=0,0,R24/TrRoad_act!R8*1000)</f>
        <v>66.219128539411059</v>
      </c>
      <c r="S92" s="87">
        <f>IF(TrRoad_act!S8=0,0,S24/TrRoad_act!S8*1000)</f>
        <v>65.285521873579157</v>
      </c>
      <c r="T92" s="87">
        <f>IF(TrRoad_act!T8=0,0,T24/TrRoad_act!T8*1000)</f>
        <v>62.26854862167027</v>
      </c>
      <c r="U92" s="87">
        <f>IF(TrRoad_act!U8=0,0,U24/TrRoad_act!U8*1000)</f>
        <v>61.83388522283817</v>
      </c>
      <c r="V92" s="87">
        <f>IF(TrRoad_act!V8=0,0,V24/TrRoad_act!V8*1000)</f>
        <v>68.555053697304757</v>
      </c>
      <c r="W92" s="87">
        <f>IF(TrRoad_act!W8=0,0,W24/TrRoad_act!W8*1000)</f>
        <v>67.803703505521682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0</v>
      </c>
      <c r="C93" s="87">
        <f>IF(TrRoad_act!C9=0,0,C26/TrRoad_act!C9*1000)</f>
        <v>0</v>
      </c>
      <c r="D93" s="87">
        <f>IF(TrRoad_act!D9=0,0,D26/TrRoad_act!D9*1000)</f>
        <v>0</v>
      </c>
      <c r="E93" s="87">
        <f>IF(TrRoad_act!E9=0,0,E26/TrRoad_act!E9*1000)</f>
        <v>0</v>
      </c>
      <c r="F93" s="87">
        <f>IF(TrRoad_act!F9=0,0,F26/TrRoad_act!F9*1000)</f>
        <v>0</v>
      </c>
      <c r="G93" s="87">
        <f>IF(TrRoad_act!G9=0,0,G26/TrRoad_act!G9*1000)</f>
        <v>0</v>
      </c>
      <c r="H93" s="87">
        <f>IF(TrRoad_act!H9=0,0,H26/TrRoad_act!H9*1000)</f>
        <v>0</v>
      </c>
      <c r="I93" s="87">
        <f>IF(TrRoad_act!I9=0,0,I26/TrRoad_act!I9*1000)</f>
        <v>0</v>
      </c>
      <c r="J93" s="87">
        <f>IF(TrRoad_act!J9=0,0,J26/TrRoad_act!J9*1000)</f>
        <v>0</v>
      </c>
      <c r="K93" s="87">
        <f>IF(TrRoad_act!K9=0,0,K26/TrRoad_act!K9*1000)</f>
        <v>0</v>
      </c>
      <c r="L93" s="87">
        <f>IF(TrRoad_act!L9=0,0,L26/TrRoad_act!L9*1000)</f>
        <v>0</v>
      </c>
      <c r="M93" s="87">
        <f>IF(TrRoad_act!M9=0,0,M26/TrRoad_act!M9*1000)</f>
        <v>0</v>
      </c>
      <c r="N93" s="87">
        <f>IF(TrRoad_act!N9=0,0,N26/TrRoad_act!N9*1000)</f>
        <v>0</v>
      </c>
      <c r="O93" s="87">
        <f>IF(TrRoad_act!O9=0,0,O26/TrRoad_act!O9*1000)</f>
        <v>0</v>
      </c>
      <c r="P93" s="87">
        <f>IF(TrRoad_act!P9=0,0,P26/TrRoad_act!P9*1000)</f>
        <v>0</v>
      </c>
      <c r="Q93" s="87">
        <f>IF(TrRoad_act!Q9=0,0,Q26/TrRoad_act!Q9*1000)</f>
        <v>0</v>
      </c>
      <c r="R93" s="87">
        <f>IF(TrRoad_act!R9=0,0,R26/TrRoad_act!R9*1000)</f>
        <v>0</v>
      </c>
      <c r="S93" s="87">
        <f>IF(TrRoad_act!S9=0,0,S26/TrRoad_act!S9*1000)</f>
        <v>0</v>
      </c>
      <c r="T93" s="87">
        <f>IF(TrRoad_act!T9=0,0,T26/TrRoad_act!T9*1000)</f>
        <v>45.243100516257357</v>
      </c>
      <c r="U93" s="87">
        <f>IF(TrRoad_act!U9=0,0,U26/TrRoad_act!U9*1000)</f>
        <v>50.366226931835413</v>
      </c>
      <c r="V93" s="87">
        <f>IF(TrRoad_act!V9=0,0,V26/TrRoad_act!V9*1000)</f>
        <v>52.446151580023042</v>
      </c>
      <c r="W93" s="87">
        <f>IF(TrRoad_act!W9=0,0,W26/TrRoad_act!W9*1000)</f>
        <v>56.452255128427289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0</v>
      </c>
      <c r="I94" s="87">
        <f>IF(TrRoad_act!I10=0,0,I27/TrRoad_act!I10*1000)</f>
        <v>0</v>
      </c>
      <c r="J94" s="87">
        <f>IF(TrRoad_act!J10=0,0,J27/TrRoad_act!J10*1000)</f>
        <v>0</v>
      </c>
      <c r="K94" s="87">
        <f>IF(TrRoad_act!K10=0,0,K27/TrRoad_act!K10*1000)</f>
        <v>0</v>
      </c>
      <c r="L94" s="87">
        <f>IF(TrRoad_act!L10=0,0,L27/TrRoad_act!L10*1000)</f>
        <v>0</v>
      </c>
      <c r="M94" s="87">
        <f>IF(TrRoad_act!M10=0,0,M27/TrRoad_act!M10*1000)</f>
        <v>0</v>
      </c>
      <c r="N94" s="87">
        <f>IF(TrRoad_act!N10=0,0,N27/TrRoad_act!N10*1000)</f>
        <v>0</v>
      </c>
      <c r="O94" s="87">
        <f>IF(TrRoad_act!O10=0,0,O27/TrRoad_act!O10*1000)</f>
        <v>0</v>
      </c>
      <c r="P94" s="87">
        <f>IF(TrRoad_act!P10=0,0,P27/TrRoad_act!P10*1000)</f>
        <v>0</v>
      </c>
      <c r="Q94" s="87">
        <f>IF(TrRoad_act!Q10=0,0,Q27/TrRoad_act!Q10*1000)</f>
        <v>0</v>
      </c>
      <c r="R94" s="87">
        <f>IF(TrRoad_act!R10=0,0,R27/TrRoad_act!R10*1000)</f>
        <v>0</v>
      </c>
      <c r="S94" s="87">
        <f>IF(TrRoad_act!S10=0,0,S27/TrRoad_act!S10*1000)</f>
        <v>0</v>
      </c>
      <c r="T94" s="87">
        <f>IF(TrRoad_act!T10=0,0,T27/TrRoad_act!T10*1000)</f>
        <v>0</v>
      </c>
      <c r="U94" s="87">
        <f>IF(TrRoad_act!U10=0,0,U27/TrRoad_act!U10*1000)</f>
        <v>0</v>
      </c>
      <c r="V94" s="87">
        <f>IF(TrRoad_act!V10=0,0,V27/TrRoad_act!V10*1000)</f>
        <v>0</v>
      </c>
      <c r="W94" s="87">
        <f>IF(TrRoad_act!W10=0,0,W27/TrRoad_act!W10*1000)</f>
        <v>0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0</v>
      </c>
      <c r="O95" s="87">
        <f>IF(TrRoad_act!O11=0,0,O29/TrRoad_act!O11*1000)</f>
        <v>0</v>
      </c>
      <c r="P95" s="87">
        <f>IF(TrRoad_act!P11=0,0,P29/TrRoad_act!P11*1000)</f>
        <v>28.588271745902826</v>
      </c>
      <c r="Q95" s="87">
        <f>IF(TrRoad_act!Q11=0,0,Q29/TrRoad_act!Q11*1000)</f>
        <v>29.351714328985786</v>
      </c>
      <c r="R95" s="87">
        <f>IF(TrRoad_act!R11=0,0,R29/TrRoad_act!R11*1000)</f>
        <v>37.138716080926443</v>
      </c>
      <c r="S95" s="87">
        <f>IF(TrRoad_act!S11=0,0,S29/TrRoad_act!S11*1000)</f>
        <v>38.630690233809361</v>
      </c>
      <c r="T95" s="87">
        <f>IF(TrRoad_act!T11=0,0,T29/TrRoad_act!T11*1000)</f>
        <v>38.432458703652941</v>
      </c>
      <c r="U95" s="87">
        <f>IF(TrRoad_act!U11=0,0,U29/TrRoad_act!U11*1000)</f>
        <v>37.263417017523743</v>
      </c>
      <c r="V95" s="87">
        <f>IF(TrRoad_act!V11=0,0,V29/TrRoad_act!V11*1000)</f>
        <v>40.518542756926713</v>
      </c>
      <c r="W95" s="87">
        <f>IF(TrRoad_act!W11=0,0,W29/TrRoad_act!W11*1000)</f>
        <v>36.819270580677845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0</v>
      </c>
      <c r="K96" s="87">
        <f>IF(TrRoad_act!K12=0,0,K32/TrRoad_act!K12*1000)</f>
        <v>0</v>
      </c>
      <c r="L96" s="87">
        <f>IF(TrRoad_act!L12=0,0,L32/TrRoad_act!L12*1000)</f>
        <v>0</v>
      </c>
      <c r="M96" s="87">
        <f>IF(TrRoad_act!M12=0,0,M32/TrRoad_act!M12*1000)</f>
        <v>0</v>
      </c>
      <c r="N96" s="87">
        <f>IF(TrRoad_act!N12=0,0,N32/TrRoad_act!N12*1000)</f>
        <v>0</v>
      </c>
      <c r="O96" s="87">
        <f>IF(TrRoad_act!O12=0,0,O32/TrRoad_act!O12*1000)</f>
        <v>12.419853239860387</v>
      </c>
      <c r="P96" s="87">
        <f>IF(TrRoad_act!P12=0,0,P32/TrRoad_act!P12*1000)</f>
        <v>12.229871473837109</v>
      </c>
      <c r="Q96" s="87">
        <f>IF(TrRoad_act!Q12=0,0,Q32/TrRoad_act!Q12*1000)</f>
        <v>12.472858924837023</v>
      </c>
      <c r="R96" s="87">
        <f>IF(TrRoad_act!R12=0,0,R32/TrRoad_act!R12*1000)</f>
        <v>13.519583491289822</v>
      </c>
      <c r="S96" s="87">
        <f>IF(TrRoad_act!S12=0,0,S32/TrRoad_act!S12*1000)</f>
        <v>13.044239015102189</v>
      </c>
      <c r="T96" s="87">
        <f>IF(TrRoad_act!T12=0,0,T32/TrRoad_act!T12*1000)</f>
        <v>13.517952810203415</v>
      </c>
      <c r="U96" s="87">
        <f>IF(TrRoad_act!U12=0,0,U32/TrRoad_act!U12*1000)</f>
        <v>14.143142037391902</v>
      </c>
      <c r="V96" s="87">
        <f>IF(TrRoad_act!V12=0,0,V32/TrRoad_act!V12*1000)</f>
        <v>15.163747892431916</v>
      </c>
      <c r="W96" s="87">
        <f>IF(TrRoad_act!W12=0,0,W32/TrRoad_act!W12*1000)</f>
        <v>14.713493481524861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80.874104831893334</v>
      </c>
      <c r="C97" s="116">
        <f>IF(TrRoad_act!C13=0,0,C33/TrRoad_act!C13*1000)</f>
        <v>79.622061998849219</v>
      </c>
      <c r="D97" s="116">
        <f>IF(TrRoad_act!D13=0,0,D33/TrRoad_act!D13*1000)</f>
        <v>74.995378592939787</v>
      </c>
      <c r="E97" s="116">
        <f>IF(TrRoad_act!E13=0,0,E33/TrRoad_act!E13*1000)</f>
        <v>75.425971499258893</v>
      </c>
      <c r="F97" s="116">
        <f>IF(TrRoad_act!F13=0,0,F33/TrRoad_act!F13*1000)</f>
        <v>81.99344902401576</v>
      </c>
      <c r="G97" s="116">
        <f>IF(TrRoad_act!G13=0,0,G33/TrRoad_act!G13*1000)</f>
        <v>75.515682604471777</v>
      </c>
      <c r="H97" s="116">
        <f>IF(TrRoad_act!H13=0,0,H33/TrRoad_act!H13*1000)</f>
        <v>75.418484503422434</v>
      </c>
      <c r="I97" s="116">
        <f>IF(TrRoad_act!I13=0,0,I33/TrRoad_act!I13*1000)</f>
        <v>78.280380327491699</v>
      </c>
      <c r="J97" s="116">
        <f>IF(TrRoad_act!J13=0,0,J33/TrRoad_act!J13*1000)</f>
        <v>75.422852370305918</v>
      </c>
      <c r="K97" s="116">
        <f>IF(TrRoad_act!K13=0,0,K33/TrRoad_act!K13*1000)</f>
        <v>79.386735962123609</v>
      </c>
      <c r="L97" s="116">
        <f>IF(TrRoad_act!L13=0,0,L33/TrRoad_act!L13*1000)</f>
        <v>79.34046186697266</v>
      </c>
      <c r="M97" s="116">
        <f>IF(TrRoad_act!M13=0,0,M33/TrRoad_act!M13*1000)</f>
        <v>76.407824179607644</v>
      </c>
      <c r="N97" s="116">
        <f>IF(TrRoad_act!N13=0,0,N33/TrRoad_act!N13*1000)</f>
        <v>67.571089699238257</v>
      </c>
      <c r="O97" s="116">
        <f>IF(TrRoad_act!O13=0,0,O33/TrRoad_act!O13*1000)</f>
        <v>61.554410710584996</v>
      </c>
      <c r="P97" s="116">
        <f>IF(TrRoad_act!P13=0,0,P33/TrRoad_act!P13*1000)</f>
        <v>60.925442900580123</v>
      </c>
      <c r="Q97" s="116">
        <f>IF(TrRoad_act!Q13=0,0,Q33/TrRoad_act!Q13*1000)</f>
        <v>64.014268463399517</v>
      </c>
      <c r="R97" s="116">
        <f>IF(TrRoad_act!R13=0,0,R33/TrRoad_act!R13*1000)</f>
        <v>64.68909283151838</v>
      </c>
      <c r="S97" s="116">
        <f>IF(TrRoad_act!S13=0,0,S33/TrRoad_act!S13*1000)</f>
        <v>65.283340668558935</v>
      </c>
      <c r="T97" s="116">
        <f>IF(TrRoad_act!T13=0,0,T33/TrRoad_act!T13*1000)</f>
        <v>63.463843488533691</v>
      </c>
      <c r="U97" s="116">
        <f>IF(TrRoad_act!U13=0,0,U33/TrRoad_act!U13*1000)</f>
        <v>64.512096101235613</v>
      </c>
      <c r="V97" s="116">
        <f>IF(TrRoad_act!V13=0,0,V33/TrRoad_act!V13*1000)</f>
        <v>97.473714907840161</v>
      </c>
      <c r="W97" s="116">
        <f>IF(TrRoad_act!W13=0,0,W33/TrRoad_act!W13*1000)</f>
        <v>100.09282569168705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29.607123290460045</v>
      </c>
      <c r="C98" s="101">
        <f>IF(TrRoad_act!C14=0,0,C34/TrRoad_act!C14*1000)</f>
        <v>30.626314047591134</v>
      </c>
      <c r="D98" s="101">
        <f>IF(TrRoad_act!D14=0,0,D34/TrRoad_act!D14*1000)</f>
        <v>31.322613722719648</v>
      </c>
      <c r="E98" s="101">
        <f>IF(TrRoad_act!E14=0,0,E34/TrRoad_act!E14*1000)</f>
        <v>32.842514047032729</v>
      </c>
      <c r="F98" s="101">
        <f>IF(TrRoad_act!F14=0,0,F34/TrRoad_act!F14*1000)</f>
        <v>33.439400426850675</v>
      </c>
      <c r="G98" s="101">
        <f>IF(TrRoad_act!G14=0,0,G34/TrRoad_act!G14*1000)</f>
        <v>34.192205043608723</v>
      </c>
      <c r="H98" s="101">
        <f>IF(TrRoad_act!H14=0,0,H34/TrRoad_act!H14*1000)</f>
        <v>34.694168512427048</v>
      </c>
      <c r="I98" s="101">
        <f>IF(TrRoad_act!I14=0,0,I34/TrRoad_act!I14*1000)</f>
        <v>34.786147629855712</v>
      </c>
      <c r="J98" s="101">
        <f>IF(TrRoad_act!J14=0,0,J34/TrRoad_act!J14*1000)</f>
        <v>34.606327322793909</v>
      </c>
      <c r="K98" s="101">
        <f>IF(TrRoad_act!K14=0,0,K34/TrRoad_act!K14*1000)</f>
        <v>34.785748910775531</v>
      </c>
      <c r="L98" s="101">
        <f>IF(TrRoad_act!L14=0,0,L34/TrRoad_act!L14*1000)</f>
        <v>34.770063658806272</v>
      </c>
      <c r="M98" s="101">
        <f>IF(TrRoad_act!M14=0,0,M34/TrRoad_act!M14*1000)</f>
        <v>34.161845327877721</v>
      </c>
      <c r="N98" s="101">
        <f>IF(TrRoad_act!N14=0,0,N34/TrRoad_act!N14*1000)</f>
        <v>33.513923806724215</v>
      </c>
      <c r="O98" s="101">
        <f>IF(TrRoad_act!O14=0,0,O34/TrRoad_act!O14*1000)</f>
        <v>32.065426210752072</v>
      </c>
      <c r="P98" s="101">
        <f>IF(TrRoad_act!P14=0,0,P34/TrRoad_act!P14*1000)</f>
        <v>30.990497267980022</v>
      </c>
      <c r="Q98" s="101">
        <f>IF(TrRoad_act!Q14=0,0,Q34/TrRoad_act!Q14*1000)</f>
        <v>31.149286069867518</v>
      </c>
      <c r="R98" s="101">
        <f>IF(TrRoad_act!R14=0,0,R34/TrRoad_act!R14*1000)</f>
        <v>28.995188284672746</v>
      </c>
      <c r="S98" s="101">
        <f>IF(TrRoad_act!S14=0,0,S34/TrRoad_act!S14*1000)</f>
        <v>29.327982619118607</v>
      </c>
      <c r="T98" s="101">
        <f>IF(TrRoad_act!T14=0,0,T34/TrRoad_act!T14*1000)</f>
        <v>28.797285279827634</v>
      </c>
      <c r="U98" s="101">
        <f>IF(TrRoad_act!U14=0,0,U34/TrRoad_act!U14*1000)</f>
        <v>28.148587143818556</v>
      </c>
      <c r="V98" s="101">
        <f>IF(TrRoad_act!V14=0,0,V34/TrRoad_act!V14*1000)</f>
        <v>32.234364243721835</v>
      </c>
      <c r="W98" s="101">
        <f>IF(TrRoad_act!W14=0,0,W34/TrRoad_act!W14*1000)</f>
        <v>28.72613370408466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82.227499586012257</v>
      </c>
      <c r="C99" s="101">
        <f>IF(TrRoad_act!C15=0,0,C36/TrRoad_act!C15*1000)</f>
        <v>80.854111882737584</v>
      </c>
      <c r="D99" s="101">
        <f>IF(TrRoad_act!D15=0,0,D36/TrRoad_act!D15*1000)</f>
        <v>76.022018870244452</v>
      </c>
      <c r="E99" s="101">
        <f>IF(TrRoad_act!E15=0,0,E36/TrRoad_act!E15*1000)</f>
        <v>76.368459872285172</v>
      </c>
      <c r="F99" s="101">
        <f>IF(TrRoad_act!F15=0,0,F36/TrRoad_act!F15*1000)</f>
        <v>83.08763579087919</v>
      </c>
      <c r="G99" s="101">
        <f>IF(TrRoad_act!G15=0,0,G36/TrRoad_act!G15*1000)</f>
        <v>76.425843587274557</v>
      </c>
      <c r="H99" s="101">
        <f>IF(TrRoad_act!H15=0,0,H36/TrRoad_act!H15*1000)</f>
        <v>76.320597293484226</v>
      </c>
      <c r="I99" s="101">
        <f>IF(TrRoad_act!I15=0,0,I36/TrRoad_act!I15*1000)</f>
        <v>79.221818399328512</v>
      </c>
      <c r="J99" s="101">
        <f>IF(TrRoad_act!J15=0,0,J36/TrRoad_act!J15*1000)</f>
        <v>76.300954985990387</v>
      </c>
      <c r="K99" s="101">
        <f>IF(TrRoad_act!K15=0,0,K36/TrRoad_act!K15*1000)</f>
        <v>80.359467154621058</v>
      </c>
      <c r="L99" s="101">
        <f>IF(TrRoad_act!L15=0,0,L36/TrRoad_act!L15*1000)</f>
        <v>80.322251745403719</v>
      </c>
      <c r="M99" s="101">
        <f>IF(TrRoad_act!M15=0,0,M36/TrRoad_act!M15*1000)</f>
        <v>77.326291830646397</v>
      </c>
      <c r="N99" s="101">
        <f>IF(TrRoad_act!N15=0,0,N36/TrRoad_act!N15*1000)</f>
        <v>68.293957979199305</v>
      </c>
      <c r="O99" s="101">
        <f>IF(TrRoad_act!O15=0,0,O36/TrRoad_act!O15*1000)</f>
        <v>62.180565206201109</v>
      </c>
      <c r="P99" s="101">
        <f>IF(TrRoad_act!P15=0,0,P36/TrRoad_act!P15*1000)</f>
        <v>61.14718933906947</v>
      </c>
      <c r="Q99" s="101">
        <f>IF(TrRoad_act!Q15=0,0,Q36/TrRoad_act!Q15*1000)</f>
        <v>64.217938795053954</v>
      </c>
      <c r="R99" s="101">
        <f>IF(TrRoad_act!R15=0,0,R36/TrRoad_act!R15*1000)</f>
        <v>64.899446157258694</v>
      </c>
      <c r="S99" s="101">
        <f>IF(TrRoad_act!S15=0,0,S36/TrRoad_act!S15*1000)</f>
        <v>65.494454495070002</v>
      </c>
      <c r="T99" s="101">
        <f>IF(TrRoad_act!T15=0,0,T36/TrRoad_act!T15*1000)</f>
        <v>63.669747043336471</v>
      </c>
      <c r="U99" s="101">
        <f>IF(TrRoad_act!U15=0,0,U36/TrRoad_act!U15*1000)</f>
        <v>64.725827835941487</v>
      </c>
      <c r="V99" s="101">
        <f>IF(TrRoad_act!V15=0,0,V36/TrRoad_act!V15*1000)</f>
        <v>98.033629737562805</v>
      </c>
      <c r="W99" s="101">
        <f>IF(TrRoad_act!W15=0,0,W36/TrRoad_act!W15*1000)</f>
        <v>100.74171357902293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0</v>
      </c>
      <c r="M100" s="101">
        <f>IF(TrRoad_act!M16=0,0,M38/TrRoad_act!M16*1000)</f>
        <v>0</v>
      </c>
      <c r="N100" s="101">
        <f>IF(TrRoad_act!N16=0,0,N38/TrRoad_act!N16*1000)</f>
        <v>0</v>
      </c>
      <c r="O100" s="101">
        <f>IF(TrRoad_act!O16=0,0,O38/TrRoad_act!O16*1000)</f>
        <v>0</v>
      </c>
      <c r="P100" s="101">
        <f>IF(TrRoad_act!P16=0,0,P38/TrRoad_act!P16*1000)</f>
        <v>0</v>
      </c>
      <c r="Q100" s="101">
        <f>IF(TrRoad_act!Q16=0,0,Q38/TrRoad_act!Q16*1000)</f>
        <v>0</v>
      </c>
      <c r="R100" s="101">
        <f>IF(TrRoad_act!R16=0,0,R38/TrRoad_act!R16*1000)</f>
        <v>0</v>
      </c>
      <c r="S100" s="101">
        <f>IF(TrRoad_act!S16=0,0,S38/TrRoad_act!S16*1000)</f>
        <v>0</v>
      </c>
      <c r="T100" s="101">
        <f>IF(TrRoad_act!T16=0,0,T38/TrRoad_act!T16*1000)</f>
        <v>0</v>
      </c>
      <c r="U100" s="101">
        <f>IF(TrRoad_act!U16=0,0,U38/TrRoad_act!U16*1000)</f>
        <v>0</v>
      </c>
      <c r="V100" s="101">
        <f>IF(TrRoad_act!V16=0,0,V38/TrRoad_act!V16*1000)</f>
        <v>0</v>
      </c>
      <c r="W100" s="101">
        <f>IF(TrRoad_act!W16=0,0,W38/TrRoad_act!W16*1000)</f>
        <v>0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0</v>
      </c>
      <c r="C101" s="101">
        <f>IF(TrRoad_act!C17=0,0,C39/TrRoad_act!C17*1000)</f>
        <v>0</v>
      </c>
      <c r="D101" s="101">
        <f>IF(TrRoad_act!D17=0,0,D39/TrRoad_act!D17*1000)</f>
        <v>0</v>
      </c>
      <c r="E101" s="101">
        <f>IF(TrRoad_act!E17=0,0,E39/TrRoad_act!E17*1000)</f>
        <v>0</v>
      </c>
      <c r="F101" s="101">
        <f>IF(TrRoad_act!F17=0,0,F39/TrRoad_act!F17*1000)</f>
        <v>0</v>
      </c>
      <c r="G101" s="101">
        <f>IF(TrRoad_act!G17=0,0,G39/TrRoad_act!G17*1000)</f>
        <v>0</v>
      </c>
      <c r="H101" s="101">
        <f>IF(TrRoad_act!H17=0,0,H39/TrRoad_act!H17*1000)</f>
        <v>0</v>
      </c>
      <c r="I101" s="101">
        <f>IF(TrRoad_act!I17=0,0,I39/TrRoad_act!I17*1000)</f>
        <v>0</v>
      </c>
      <c r="J101" s="101">
        <f>IF(TrRoad_act!J17=0,0,J39/TrRoad_act!J17*1000)</f>
        <v>0</v>
      </c>
      <c r="K101" s="101">
        <f>IF(TrRoad_act!K17=0,0,K39/TrRoad_act!K17*1000)</f>
        <v>0</v>
      </c>
      <c r="L101" s="101">
        <f>IF(TrRoad_act!L17=0,0,L39/TrRoad_act!L17*1000)</f>
        <v>0</v>
      </c>
      <c r="M101" s="101">
        <f>IF(TrRoad_act!M17=0,0,M39/TrRoad_act!M17*1000)</f>
        <v>0</v>
      </c>
      <c r="N101" s="101">
        <f>IF(TrRoad_act!N17=0,0,N39/TrRoad_act!N17*1000)</f>
        <v>0</v>
      </c>
      <c r="O101" s="101">
        <f>IF(TrRoad_act!O17=0,0,O39/TrRoad_act!O17*1000)</f>
        <v>0</v>
      </c>
      <c r="P101" s="101">
        <f>IF(TrRoad_act!P17=0,0,P39/TrRoad_act!P17*1000)</f>
        <v>0</v>
      </c>
      <c r="Q101" s="101">
        <f>IF(TrRoad_act!Q17=0,0,Q39/TrRoad_act!Q17*1000)</f>
        <v>0</v>
      </c>
      <c r="R101" s="101">
        <f>IF(TrRoad_act!R17=0,0,R39/TrRoad_act!R17*1000)</f>
        <v>0</v>
      </c>
      <c r="S101" s="101">
        <f>IF(TrRoad_act!S17=0,0,S39/TrRoad_act!S17*1000)</f>
        <v>0</v>
      </c>
      <c r="T101" s="101">
        <f>IF(TrRoad_act!T17=0,0,T39/TrRoad_act!T17*1000)</f>
        <v>0</v>
      </c>
      <c r="U101" s="101">
        <f>IF(TrRoad_act!U17=0,0,U39/TrRoad_act!U17*1000)</f>
        <v>0</v>
      </c>
      <c r="V101" s="101">
        <f>IF(TrRoad_act!V17=0,0,V39/TrRoad_act!V17*1000)</f>
        <v>0</v>
      </c>
      <c r="W101" s="101">
        <f>IF(TrRoad_act!W17=0,0,W39/TrRoad_act!W17*1000)</f>
        <v>0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0</v>
      </c>
      <c r="C102" s="101">
        <f>IF(TrRoad_act!C18=0,0,C41/TrRoad_act!C18*1000)</f>
        <v>0</v>
      </c>
      <c r="D102" s="101">
        <f>IF(TrRoad_act!D18=0,0,D41/TrRoad_act!D18*1000)</f>
        <v>0</v>
      </c>
      <c r="E102" s="101">
        <f>IF(TrRoad_act!E18=0,0,E41/TrRoad_act!E18*1000)</f>
        <v>0</v>
      </c>
      <c r="F102" s="101">
        <f>IF(TrRoad_act!F18=0,0,F41/TrRoad_act!F18*1000)</f>
        <v>0</v>
      </c>
      <c r="G102" s="101">
        <f>IF(TrRoad_act!G18=0,0,G41/TrRoad_act!G18*1000)</f>
        <v>0</v>
      </c>
      <c r="H102" s="101">
        <f>IF(TrRoad_act!H18=0,0,H41/TrRoad_act!H18*1000)</f>
        <v>0</v>
      </c>
      <c r="I102" s="101">
        <f>IF(TrRoad_act!I18=0,0,I41/TrRoad_act!I18*1000)</f>
        <v>0</v>
      </c>
      <c r="J102" s="101">
        <f>IF(TrRoad_act!J18=0,0,J41/TrRoad_act!J18*1000)</f>
        <v>38.65591844348625</v>
      </c>
      <c r="K102" s="101">
        <f>IF(TrRoad_act!K18=0,0,K41/TrRoad_act!K18*1000)</f>
        <v>38.133084354211917</v>
      </c>
      <c r="L102" s="101">
        <f>IF(TrRoad_act!L18=0,0,L41/TrRoad_act!L18*1000)</f>
        <v>37.400234001938699</v>
      </c>
      <c r="M102" s="101">
        <f>IF(TrRoad_act!M18=0,0,M41/TrRoad_act!M18*1000)</f>
        <v>37.023892775428067</v>
      </c>
      <c r="N102" s="101">
        <f>IF(TrRoad_act!N18=0,0,N41/TrRoad_act!N18*1000)</f>
        <v>36.692391226938639</v>
      </c>
      <c r="O102" s="101">
        <f>IF(TrRoad_act!O18=0,0,O41/TrRoad_act!O18*1000)</f>
        <v>36.456629479804199</v>
      </c>
      <c r="P102" s="101">
        <f>IF(TrRoad_act!P18=0,0,P41/TrRoad_act!P18*1000)</f>
        <v>36.507041615979453</v>
      </c>
      <c r="Q102" s="101">
        <f>IF(TrRoad_act!Q18=0,0,Q41/TrRoad_act!Q18*1000)</f>
        <v>36.412945516707808</v>
      </c>
      <c r="R102" s="101">
        <f>IF(TrRoad_act!R18=0,0,R41/TrRoad_act!R18*1000)</f>
        <v>36.431123955705004</v>
      </c>
      <c r="S102" s="101">
        <f>IF(TrRoad_act!S18=0,0,S41/TrRoad_act!S18*1000)</f>
        <v>36.444759656530898</v>
      </c>
      <c r="T102" s="101">
        <f>IF(TrRoad_act!T18=0,0,T41/TrRoad_act!T18*1000)</f>
        <v>36.455024082798069</v>
      </c>
      <c r="U102" s="101">
        <f>IF(TrRoad_act!U18=0,0,U41/TrRoad_act!U18*1000)</f>
        <v>36.458753309837753</v>
      </c>
      <c r="V102" s="101">
        <f>IF(TrRoad_act!V18=0,0,V41/TrRoad_act!V18*1000)</f>
        <v>61.472321957271944</v>
      </c>
      <c r="W102" s="101">
        <f>IF(TrRoad_act!W18=0,0,W41/TrRoad_act!W18*1000)</f>
        <v>60.368401458125959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156.05643427306904</v>
      </c>
      <c r="C103" s="29">
        <f>IF(TrRoad_act!C19=0,0,C42/TrRoad_act!C19*1000)</f>
        <v>155.36266351380081</v>
      </c>
      <c r="D103" s="29">
        <f>IF(TrRoad_act!D19=0,0,D42/TrRoad_act!D19*1000)</f>
        <v>149.30674844799645</v>
      </c>
      <c r="E103" s="29">
        <f>IF(TrRoad_act!E19=0,0,E42/TrRoad_act!E19*1000)</f>
        <v>144.22721990933189</v>
      </c>
      <c r="F103" s="29">
        <f>IF(TrRoad_act!F19=0,0,F42/TrRoad_act!F19*1000)</f>
        <v>170.839926812405</v>
      </c>
      <c r="G103" s="29">
        <f>IF(TrRoad_act!G19=0,0,G42/TrRoad_act!G19*1000)</f>
        <v>141.31876346146046</v>
      </c>
      <c r="H103" s="29">
        <f>IF(TrRoad_act!H19=0,0,H42/TrRoad_act!H19*1000)</f>
        <v>149.14551601915173</v>
      </c>
      <c r="I103" s="29">
        <f>IF(TrRoad_act!I19=0,0,I42/TrRoad_act!I19*1000)</f>
        <v>149.247284177019</v>
      </c>
      <c r="J103" s="29">
        <f>IF(TrRoad_act!J19=0,0,J42/TrRoad_act!J19*1000)</f>
        <v>140.99364541926855</v>
      </c>
      <c r="K103" s="29">
        <f>IF(TrRoad_act!K19=0,0,K42/TrRoad_act!K19*1000)</f>
        <v>172.89018304583036</v>
      </c>
      <c r="L103" s="29">
        <f>IF(TrRoad_act!L19=0,0,L42/TrRoad_act!L19*1000)</f>
        <v>160.39235540925259</v>
      </c>
      <c r="M103" s="29">
        <f>IF(TrRoad_act!M19=0,0,M42/TrRoad_act!M19*1000)</f>
        <v>169.681782976379</v>
      </c>
      <c r="N103" s="29">
        <f>IF(TrRoad_act!N19=0,0,N42/TrRoad_act!N19*1000)</f>
        <v>152.94602211373012</v>
      </c>
      <c r="O103" s="29">
        <f>IF(TrRoad_act!O19=0,0,O42/TrRoad_act!O19*1000)</f>
        <v>167.75655589358718</v>
      </c>
      <c r="P103" s="29">
        <f>IF(TrRoad_act!P19=0,0,P42/TrRoad_act!P19*1000)</f>
        <v>174.0903284621217</v>
      </c>
      <c r="Q103" s="29">
        <f>IF(TrRoad_act!Q19=0,0,Q42/TrRoad_act!Q19*1000)</f>
        <v>173.30282186611788</v>
      </c>
      <c r="R103" s="29">
        <f>IF(TrRoad_act!R19=0,0,R42/TrRoad_act!R19*1000)</f>
        <v>159.52561905892881</v>
      </c>
      <c r="S103" s="29">
        <f>IF(TrRoad_act!S19=0,0,S42/TrRoad_act!S19*1000)</f>
        <v>148.84874827113347</v>
      </c>
      <c r="T103" s="29">
        <f>IF(TrRoad_act!T19=0,0,T42/TrRoad_act!T19*1000)</f>
        <v>141.50252481318964</v>
      </c>
      <c r="U103" s="29">
        <f>IF(TrRoad_act!U19=0,0,U42/TrRoad_act!U19*1000)</f>
        <v>145.04925123785202</v>
      </c>
      <c r="V103" s="29">
        <f>IF(TrRoad_act!V19=0,0,V42/TrRoad_act!V19*1000)</f>
        <v>166.36101066607472</v>
      </c>
      <c r="W103" s="29">
        <f>IF(TrRoad_act!W19=0,0,W42/TrRoad_act!W19*1000)</f>
        <v>166.17572885557249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1083.3606126425789</v>
      </c>
      <c r="C104" s="152">
        <f>IF(TrRoad_act!C20=0,0,C43/TrRoad_act!C20*1000)</f>
        <v>1064.7193687235092</v>
      </c>
      <c r="D104" s="152">
        <f>IF(TrRoad_act!D20=0,0,D43/TrRoad_act!D20*1000)</f>
        <v>996.05200524335442</v>
      </c>
      <c r="E104" s="152">
        <f>IF(TrRoad_act!E20=0,0,E43/TrRoad_act!E20*1000)</f>
        <v>988.89032800514997</v>
      </c>
      <c r="F104" s="152">
        <f>IF(TrRoad_act!F20=0,0,F43/TrRoad_act!F20*1000)</f>
        <v>1050.5609664777303</v>
      </c>
      <c r="G104" s="152">
        <f>IF(TrRoad_act!G20=0,0,G43/TrRoad_act!G20*1000)</f>
        <v>967.56165881363029</v>
      </c>
      <c r="H104" s="152">
        <f>IF(TrRoad_act!H20=0,0,H43/TrRoad_act!H20*1000)</f>
        <v>945.56128293083225</v>
      </c>
      <c r="I104" s="152">
        <f>IF(TrRoad_act!I20=0,0,I43/TrRoad_act!I20*1000)</f>
        <v>970.05611032471199</v>
      </c>
      <c r="J104" s="152">
        <f>IF(TrRoad_act!J20=0,0,J43/TrRoad_act!J20*1000)</f>
        <v>931.40055726236722</v>
      </c>
      <c r="K104" s="152">
        <f>IF(TrRoad_act!K20=0,0,K43/TrRoad_act!K20*1000)</f>
        <v>957.18701283247901</v>
      </c>
      <c r="L104" s="152">
        <f>IF(TrRoad_act!L20=0,0,L43/TrRoad_act!L20*1000)</f>
        <v>957.04771242910101</v>
      </c>
      <c r="M104" s="152">
        <f>IF(TrRoad_act!M20=0,0,M43/TrRoad_act!M20*1000)</f>
        <v>913.200870304354</v>
      </c>
      <c r="N104" s="152">
        <f>IF(TrRoad_act!N20=0,0,N43/TrRoad_act!N20*1000)</f>
        <v>792.43808458152796</v>
      </c>
      <c r="O104" s="152">
        <f>IF(TrRoad_act!O20=0,0,O43/TrRoad_act!O20*1000)</f>
        <v>700.7396779986384</v>
      </c>
      <c r="P104" s="152">
        <f>IF(TrRoad_act!P20=0,0,P43/TrRoad_act!P20*1000)</f>
        <v>673.40315687412476</v>
      </c>
      <c r="Q104" s="152">
        <f>IF(TrRoad_act!Q20=0,0,Q43/TrRoad_act!Q20*1000)</f>
        <v>698.46753781978475</v>
      </c>
      <c r="R104" s="152">
        <f>IF(TrRoad_act!R20=0,0,R43/TrRoad_act!R20*1000)</f>
        <v>704.96145780530821</v>
      </c>
      <c r="S104" s="152">
        <f>IF(TrRoad_act!S20=0,0,S43/TrRoad_act!S20*1000)</f>
        <v>705.90671877133047</v>
      </c>
      <c r="T104" s="152">
        <f>IF(TrRoad_act!T20=0,0,T43/TrRoad_act!T20*1000)</f>
        <v>680.4101263773349</v>
      </c>
      <c r="U104" s="152">
        <f>IF(TrRoad_act!U20=0,0,U43/TrRoad_act!U20*1000)</f>
        <v>668.37889914138043</v>
      </c>
      <c r="V104" s="152">
        <f>IF(TrRoad_act!V20=0,0,V43/TrRoad_act!V20*1000)</f>
        <v>693.99142944519872</v>
      </c>
      <c r="W104" s="152">
        <f>IF(TrRoad_act!W20=0,0,W43/TrRoad_act!W20*1000)</f>
        <v>723.6207509189943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846.45799253909524</v>
      </c>
      <c r="C105" s="87">
        <f>IF(TrRoad_act!C21=0,0,C44/TrRoad_act!C21*1000)</f>
        <v>873.95532380673149</v>
      </c>
      <c r="D105" s="87">
        <f>IF(TrRoad_act!D21=0,0,D44/TrRoad_act!D21*1000)</f>
        <v>894.4965865047252</v>
      </c>
      <c r="E105" s="87">
        <f>IF(TrRoad_act!E21=0,0,E44/TrRoad_act!E21*1000)</f>
        <v>939.19955857324805</v>
      </c>
      <c r="F105" s="87">
        <f>IF(TrRoad_act!F21=0,0,F44/TrRoad_act!F21*1000)</f>
        <v>939.29010558374364</v>
      </c>
      <c r="G105" s="87">
        <f>IF(TrRoad_act!G21=0,0,G44/TrRoad_act!G21*1000)</f>
        <v>962.28437650214414</v>
      </c>
      <c r="H105" s="87">
        <f>IF(TrRoad_act!H21=0,0,H44/TrRoad_act!H21*1000)</f>
        <v>963.00013059236323</v>
      </c>
      <c r="I105" s="87">
        <f>IF(TrRoad_act!I21=0,0,I44/TrRoad_act!I21*1000)</f>
        <v>949.31868676273621</v>
      </c>
      <c r="J105" s="87">
        <f>IF(TrRoad_act!J21=0,0,J44/TrRoad_act!J21*1000)</f>
        <v>946.01428593937101</v>
      </c>
      <c r="K105" s="87">
        <f>IF(TrRoad_act!K21=0,0,K44/TrRoad_act!K21*1000)</f>
        <v>931.16440288571141</v>
      </c>
      <c r="L105" s="87">
        <f>IF(TrRoad_act!L21=0,0,L44/TrRoad_act!L21*1000)</f>
        <v>931.24511838138801</v>
      </c>
      <c r="M105" s="87">
        <f>IF(TrRoad_act!M21=0,0,M44/TrRoad_act!M21*1000)</f>
        <v>918.47612723027044</v>
      </c>
      <c r="N105" s="87">
        <f>IF(TrRoad_act!N21=0,0,N44/TrRoad_act!N21*1000)</f>
        <v>901.03387209823006</v>
      </c>
      <c r="O105" s="87">
        <f>IF(TrRoad_act!O21=0,0,O44/TrRoad_act!O21*1000)</f>
        <v>845.00144483821214</v>
      </c>
      <c r="P105" s="87">
        <f>IF(TrRoad_act!P21=0,0,P44/TrRoad_act!P21*1000)</f>
        <v>884.14055089940666</v>
      </c>
      <c r="Q105" s="87">
        <f>IF(TrRoad_act!Q21=0,0,Q44/TrRoad_act!Q21*1000)</f>
        <v>892.87648252564225</v>
      </c>
      <c r="R105" s="87">
        <f>IF(TrRoad_act!R21=0,0,R44/TrRoad_act!R21*1000)</f>
        <v>823.28880180526153</v>
      </c>
      <c r="S105" s="87">
        <f>IF(TrRoad_act!S21=0,0,S44/TrRoad_act!S21*1000)</f>
        <v>834.57960226565547</v>
      </c>
      <c r="T105" s="87">
        <f>IF(TrRoad_act!T21=0,0,T44/TrRoad_act!T21*1000)</f>
        <v>806.9941097422668</v>
      </c>
      <c r="U105" s="87">
        <f>IF(TrRoad_act!U21=0,0,U44/TrRoad_act!U21*1000)</f>
        <v>803.80885741168788</v>
      </c>
      <c r="V105" s="87">
        <f>IF(TrRoad_act!V21=0,0,V44/TrRoad_act!V21*1000)</f>
        <v>743.12440829819525</v>
      </c>
      <c r="W105" s="87">
        <f>IF(TrRoad_act!W21=0,0,W44/TrRoad_act!W21*1000)</f>
        <v>773.02808793870179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1096.5781404205047</v>
      </c>
      <c r="C106" s="87">
        <f>IF(TrRoad_act!C22=0,0,C46/TrRoad_act!C22*1000)</f>
        <v>1075.5382187680611</v>
      </c>
      <c r="D106" s="87">
        <f>IF(TrRoad_act!D22=0,0,D46/TrRoad_act!D22*1000)</f>
        <v>1001.3894099202103</v>
      </c>
      <c r="E106" s="87">
        <f>IF(TrRoad_act!E22=0,0,E46/TrRoad_act!E22*1000)</f>
        <v>991.70836966174545</v>
      </c>
      <c r="F106" s="87">
        <f>IF(TrRoad_act!F22=0,0,F46/TrRoad_act!F22*1000)</f>
        <v>1056.1983111196366</v>
      </c>
      <c r="G106" s="87">
        <f>IF(TrRoad_act!G22=0,0,G46/TrRoad_act!G22*1000)</f>
        <v>967.75560039678953</v>
      </c>
      <c r="H106" s="87">
        <f>IF(TrRoad_act!H22=0,0,H46/TrRoad_act!H22*1000)</f>
        <v>944.92043619476146</v>
      </c>
      <c r="I106" s="87">
        <f>IF(TrRoad_act!I22=0,0,I46/TrRoad_act!I22*1000)</f>
        <v>970.7671291232042</v>
      </c>
      <c r="J106" s="87">
        <f>IF(TrRoad_act!J22=0,0,J46/TrRoad_act!J22*1000)</f>
        <v>930.89672382132846</v>
      </c>
      <c r="K106" s="87">
        <f>IF(TrRoad_act!K22=0,0,K46/TrRoad_act!K22*1000)</f>
        <v>958.11940084337448</v>
      </c>
      <c r="L106" s="87">
        <f>IF(TrRoad_act!L22=0,0,L46/TrRoad_act!L22*1000)</f>
        <v>957.9408161666147</v>
      </c>
      <c r="M106" s="87">
        <f>IF(TrRoad_act!M22=0,0,M46/TrRoad_act!M22*1000)</f>
        <v>913.05488962610593</v>
      </c>
      <c r="N106" s="87">
        <f>IF(TrRoad_act!N22=0,0,N46/TrRoad_act!N22*1000)</f>
        <v>788.90423527743064</v>
      </c>
      <c r="O106" s="87">
        <f>IF(TrRoad_act!O22=0,0,O46/TrRoad_act!O22*1000)</f>
        <v>696.02099343015084</v>
      </c>
      <c r="P106" s="87">
        <f>IF(TrRoad_act!P22=0,0,P46/TrRoad_act!P22*1000)</f>
        <v>666.5878397533063</v>
      </c>
      <c r="Q106" s="87">
        <f>IF(TrRoad_act!Q22=0,0,Q46/TrRoad_act!Q22*1000)</f>
        <v>692.20171608607018</v>
      </c>
      <c r="R106" s="87">
        <f>IF(TrRoad_act!R22=0,0,R46/TrRoad_act!R22*1000)</f>
        <v>701.2417851886803</v>
      </c>
      <c r="S106" s="87">
        <f>IF(TrRoad_act!S22=0,0,S46/TrRoad_act!S22*1000)</f>
        <v>701.99006331602686</v>
      </c>
      <c r="T106" s="87">
        <f>IF(TrRoad_act!T22=0,0,T46/TrRoad_act!T22*1000)</f>
        <v>676.64361677036857</v>
      </c>
      <c r="U106" s="87">
        <f>IF(TrRoad_act!U22=0,0,U46/TrRoad_act!U22*1000)</f>
        <v>664.3094601992758</v>
      </c>
      <c r="V106" s="87">
        <f>IF(TrRoad_act!V22=0,0,V46/TrRoad_act!V22*1000)</f>
        <v>692.50229253931604</v>
      </c>
      <c r="W106" s="87">
        <f>IF(TrRoad_act!W22=0,0,W46/TrRoad_act!W22*1000)</f>
        <v>722.10004433126335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0</v>
      </c>
      <c r="I107" s="87">
        <f>IF(TrRoad_act!I23=0,0,I48/TrRoad_act!I23*1000)</f>
        <v>0</v>
      </c>
      <c r="J107" s="87">
        <f>IF(TrRoad_act!J23=0,0,J48/TrRoad_act!J23*1000)</f>
        <v>0</v>
      </c>
      <c r="K107" s="87">
        <f>IF(TrRoad_act!K23=0,0,K48/TrRoad_act!K23*1000)</f>
        <v>0</v>
      </c>
      <c r="L107" s="87">
        <f>IF(TrRoad_act!L23=0,0,L48/TrRoad_act!L23*1000)</f>
        <v>0</v>
      </c>
      <c r="M107" s="87">
        <f>IF(TrRoad_act!M23=0,0,M48/TrRoad_act!M23*1000)</f>
        <v>0</v>
      </c>
      <c r="N107" s="87">
        <f>IF(TrRoad_act!N23=0,0,N48/TrRoad_act!N23*1000)</f>
        <v>0</v>
      </c>
      <c r="O107" s="87">
        <f>IF(TrRoad_act!O23=0,0,O48/TrRoad_act!O23*1000)</f>
        <v>0</v>
      </c>
      <c r="P107" s="87">
        <f>IF(TrRoad_act!P23=0,0,P48/TrRoad_act!P23*1000)</f>
        <v>0</v>
      </c>
      <c r="Q107" s="87">
        <f>IF(TrRoad_act!Q23=0,0,Q48/TrRoad_act!Q23*1000)</f>
        <v>0</v>
      </c>
      <c r="R107" s="87">
        <f>IF(TrRoad_act!R23=0,0,R48/TrRoad_act!R23*1000)</f>
        <v>0</v>
      </c>
      <c r="S107" s="87">
        <f>IF(TrRoad_act!S23=0,0,S48/TrRoad_act!S23*1000)</f>
        <v>0</v>
      </c>
      <c r="T107" s="87">
        <f>IF(TrRoad_act!T23=0,0,T48/TrRoad_act!T23*1000)</f>
        <v>0</v>
      </c>
      <c r="U107" s="87">
        <f>IF(TrRoad_act!U23=0,0,U48/TrRoad_act!U23*1000)</f>
        <v>0</v>
      </c>
      <c r="V107" s="87">
        <f>IF(TrRoad_act!V23=0,0,V48/TrRoad_act!V23*1000)</f>
        <v>0</v>
      </c>
      <c r="W107" s="87">
        <f>IF(TrRoad_act!W23=0,0,W48/TrRoad_act!W23*1000)</f>
        <v>0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0</v>
      </c>
      <c r="L108" s="87">
        <f>IF(TrRoad_act!L24=0,0,L49/TrRoad_act!L24*1000)</f>
        <v>0</v>
      </c>
      <c r="M108" s="87">
        <f>IF(TrRoad_act!M24=0,0,M49/TrRoad_act!M24*1000)</f>
        <v>0</v>
      </c>
      <c r="N108" s="87">
        <f>IF(TrRoad_act!N24=0,0,N49/TrRoad_act!N24*1000)</f>
        <v>0</v>
      </c>
      <c r="O108" s="87">
        <f>IF(TrRoad_act!O24=0,0,O49/TrRoad_act!O24*1000)</f>
        <v>0</v>
      </c>
      <c r="P108" s="87">
        <f>IF(TrRoad_act!P24=0,0,P49/TrRoad_act!P24*1000)</f>
        <v>0</v>
      </c>
      <c r="Q108" s="87">
        <f>IF(TrRoad_act!Q24=0,0,Q49/TrRoad_act!Q24*1000)</f>
        <v>0</v>
      </c>
      <c r="R108" s="87">
        <f>IF(TrRoad_act!R24=0,0,R49/TrRoad_act!R24*1000)</f>
        <v>0</v>
      </c>
      <c r="S108" s="87">
        <f>IF(TrRoad_act!S24=0,0,S49/TrRoad_act!S24*1000)</f>
        <v>0</v>
      </c>
      <c r="T108" s="87">
        <f>IF(TrRoad_act!T24=0,0,T49/TrRoad_act!T24*1000)</f>
        <v>0</v>
      </c>
      <c r="U108" s="87">
        <f>IF(TrRoad_act!U24=0,0,U49/TrRoad_act!U24*1000)</f>
        <v>0</v>
      </c>
      <c r="V108" s="87">
        <f>IF(TrRoad_act!V24=0,0,V49/TrRoad_act!V24*1000)</f>
        <v>0</v>
      </c>
      <c r="W108" s="87">
        <f>IF(TrRoad_act!W24=0,0,W49/TrRoad_act!W24*1000)</f>
        <v>0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134.46533640006371</v>
      </c>
      <c r="J109" s="87">
        <f>IF(TrRoad_act!J25=0,0,J51/TrRoad_act!J25*1000)</f>
        <v>135.26509911632002</v>
      </c>
      <c r="K109" s="87">
        <f>IF(TrRoad_act!K25=0,0,K51/TrRoad_act!K25*1000)</f>
        <v>136.41974142262814</v>
      </c>
      <c r="L109" s="87">
        <f>IF(TrRoad_act!L25=0,0,L51/TrRoad_act!L25*1000)</f>
        <v>137.10320143441052</v>
      </c>
      <c r="M109" s="87">
        <f>IF(TrRoad_act!M25=0,0,M51/TrRoad_act!M25*1000)</f>
        <v>137.54397429587678</v>
      </c>
      <c r="N109" s="87">
        <f>IF(TrRoad_act!N25=0,0,N51/TrRoad_act!N25*1000)</f>
        <v>137.70000106616033</v>
      </c>
      <c r="O109" s="87">
        <f>IF(TrRoad_act!O25=0,0,O51/TrRoad_act!O25*1000)</f>
        <v>138.45398088784637</v>
      </c>
      <c r="P109" s="87">
        <f>IF(TrRoad_act!P25=0,0,P51/TrRoad_act!P25*1000)</f>
        <v>138.80489443305211</v>
      </c>
      <c r="Q109" s="87">
        <f>IF(TrRoad_act!Q25=0,0,Q51/TrRoad_act!Q25*1000)</f>
        <v>138.88406713135069</v>
      </c>
      <c r="R109" s="87">
        <f>IF(TrRoad_act!R25=0,0,R51/TrRoad_act!R25*1000)</f>
        <v>138.7991021952175</v>
      </c>
      <c r="S109" s="87">
        <f>IF(TrRoad_act!S25=0,0,S51/TrRoad_act!S25*1000)</f>
        <v>138.7155678205292</v>
      </c>
      <c r="T109" s="87">
        <f>IF(TrRoad_act!T25=0,0,T51/TrRoad_act!T25*1000)</f>
        <v>138.92296680883155</v>
      </c>
      <c r="U109" s="87">
        <f>IF(TrRoad_act!U25=0,0,U51/TrRoad_act!U25*1000)</f>
        <v>172.8884243216589</v>
      </c>
      <c r="V109" s="87">
        <f>IF(TrRoad_act!V25=0,0,V51/TrRoad_act!V25*1000)</f>
        <v>182.06108665472547</v>
      </c>
      <c r="W109" s="87">
        <f>IF(TrRoad_act!W25=0,0,W51/TrRoad_act!W25*1000)</f>
        <v>206.26264699394068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37.027565282903623</v>
      </c>
      <c r="C110" s="116">
        <f>IF(TrRoad_act!C26=0,0,C52/TrRoad_act!C26*1000)</f>
        <v>37.012577226157347</v>
      </c>
      <c r="D110" s="116">
        <f>IF(TrRoad_act!D26=0,0,D52/TrRoad_act!D26*1000)</f>
        <v>34.90900078519725</v>
      </c>
      <c r="E110" s="116">
        <f>IF(TrRoad_act!E26=0,0,E52/TrRoad_act!E26*1000)</f>
        <v>35.655159352516975</v>
      </c>
      <c r="F110" s="116">
        <f>IF(TrRoad_act!F26=0,0,F52/TrRoad_act!F26*1000)</f>
        <v>39.040840570602846</v>
      </c>
      <c r="G110" s="116">
        <f>IF(TrRoad_act!G26=0,0,G52/TrRoad_act!G26*1000)</f>
        <v>37.332809266718762</v>
      </c>
      <c r="H110" s="116">
        <f>IF(TrRoad_act!H26=0,0,H52/TrRoad_act!H26*1000)</f>
        <v>36.519096388859445</v>
      </c>
      <c r="I110" s="116">
        <f>IF(TrRoad_act!I26=0,0,I52/TrRoad_act!I26*1000)</f>
        <v>38.062967767241901</v>
      </c>
      <c r="J110" s="116">
        <f>IF(TrRoad_act!J26=0,0,J52/TrRoad_act!J26*1000)</f>
        <v>37.481827851277011</v>
      </c>
      <c r="K110" s="116">
        <f>IF(TrRoad_act!K26=0,0,K52/TrRoad_act!K26*1000)</f>
        <v>40.766223408257012</v>
      </c>
      <c r="L110" s="116">
        <f>IF(TrRoad_act!L26=0,0,L52/TrRoad_act!L26*1000)</f>
        <v>41.111851158478252</v>
      </c>
      <c r="M110" s="116">
        <f>IF(TrRoad_act!M26=0,0,M52/TrRoad_act!M26*1000)</f>
        <v>39.875489114015977</v>
      </c>
      <c r="N110" s="116">
        <f>IF(TrRoad_act!N26=0,0,N52/TrRoad_act!N26*1000)</f>
        <v>34.679986821518838</v>
      </c>
      <c r="O110" s="116">
        <f>IF(TrRoad_act!O26=0,0,O52/TrRoad_act!O26*1000)</f>
        <v>32.717034498425768</v>
      </c>
      <c r="P110" s="116">
        <f>IF(TrRoad_act!P26=0,0,P52/TrRoad_act!P26*1000)</f>
        <v>32.784643327401362</v>
      </c>
      <c r="Q110" s="116">
        <f>IF(TrRoad_act!Q26=0,0,Q52/TrRoad_act!Q26*1000)</f>
        <v>32.284651798127207</v>
      </c>
      <c r="R110" s="116">
        <f>IF(TrRoad_act!R26=0,0,R52/TrRoad_act!R26*1000)</f>
        <v>35.155640533324011</v>
      </c>
      <c r="S110" s="116">
        <f>IF(TrRoad_act!S26=0,0,S52/TrRoad_act!S26*1000)</f>
        <v>35.194411156650268</v>
      </c>
      <c r="T110" s="116">
        <f>IF(TrRoad_act!T26=0,0,T52/TrRoad_act!T26*1000)</f>
        <v>34.109347456216938</v>
      </c>
      <c r="U110" s="116">
        <f>IF(TrRoad_act!U26=0,0,U52/TrRoad_act!U26*1000)</f>
        <v>37.115541853675197</v>
      </c>
      <c r="V110" s="116">
        <f>IF(TrRoad_act!V26=0,0,V52/TrRoad_act!V26*1000)</f>
        <v>34.812061255335436</v>
      </c>
      <c r="W110" s="116">
        <f>IF(TrRoad_act!W26=0,0,W52/TrRoad_act!W26*1000)</f>
        <v>34.56338259123546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37.027565282903623</v>
      </c>
      <c r="C111" s="101">
        <f>IF(TrRoad_act!C27=0,0,C53/TrRoad_act!C27*1000)</f>
        <v>37.012577226157347</v>
      </c>
      <c r="D111" s="101">
        <f>IF(TrRoad_act!D27=0,0,D53/TrRoad_act!D27*1000)</f>
        <v>34.90900078519725</v>
      </c>
      <c r="E111" s="101">
        <f>IF(TrRoad_act!E27=0,0,E53/TrRoad_act!E27*1000)</f>
        <v>35.655159352516975</v>
      </c>
      <c r="F111" s="101">
        <f>IF(TrRoad_act!F27=0,0,F53/TrRoad_act!F27*1000)</f>
        <v>39.040840570602846</v>
      </c>
      <c r="G111" s="101">
        <f>IF(TrRoad_act!G27=0,0,G53/TrRoad_act!G27*1000)</f>
        <v>37.332809266718762</v>
      </c>
      <c r="H111" s="101">
        <f>IF(TrRoad_act!H27=0,0,H53/TrRoad_act!H27*1000)</f>
        <v>36.519096388859445</v>
      </c>
      <c r="I111" s="101">
        <f>IF(TrRoad_act!I27=0,0,I53/TrRoad_act!I27*1000)</f>
        <v>38.062967767241901</v>
      </c>
      <c r="J111" s="101">
        <f>IF(TrRoad_act!J27=0,0,J53/TrRoad_act!J27*1000)</f>
        <v>37.481827851277011</v>
      </c>
      <c r="K111" s="101">
        <f>IF(TrRoad_act!K27=0,0,K53/TrRoad_act!K27*1000)</f>
        <v>40.766223408257012</v>
      </c>
      <c r="L111" s="101">
        <f>IF(TrRoad_act!L27=0,0,L53/TrRoad_act!L27*1000)</f>
        <v>41.111851158478252</v>
      </c>
      <c r="M111" s="101">
        <f>IF(TrRoad_act!M27=0,0,M53/TrRoad_act!M27*1000)</f>
        <v>39.875489114015977</v>
      </c>
      <c r="N111" s="101">
        <f>IF(TrRoad_act!N27=0,0,N53/TrRoad_act!N27*1000)</f>
        <v>34.679986821518838</v>
      </c>
      <c r="O111" s="101">
        <f>IF(TrRoad_act!O27=0,0,O53/TrRoad_act!O27*1000)</f>
        <v>32.717034498425768</v>
      </c>
      <c r="P111" s="101">
        <f>IF(TrRoad_act!P27=0,0,P53/TrRoad_act!P27*1000)</f>
        <v>32.784643327401362</v>
      </c>
      <c r="Q111" s="101">
        <f>IF(TrRoad_act!Q27=0,0,Q53/TrRoad_act!Q27*1000)</f>
        <v>32.284651798127207</v>
      </c>
      <c r="R111" s="101">
        <f>IF(TrRoad_act!R27=0,0,R53/TrRoad_act!R27*1000)</f>
        <v>35.155640533324011</v>
      </c>
      <c r="S111" s="101">
        <f>IF(TrRoad_act!S27=0,0,S53/TrRoad_act!S27*1000)</f>
        <v>35.194411156650268</v>
      </c>
      <c r="T111" s="101">
        <f>IF(TrRoad_act!T27=0,0,T53/TrRoad_act!T27*1000)</f>
        <v>34.109347456216938</v>
      </c>
      <c r="U111" s="101">
        <f>IF(TrRoad_act!U27=0,0,U53/TrRoad_act!U27*1000)</f>
        <v>37.115541853675197</v>
      </c>
      <c r="V111" s="101">
        <f>IF(TrRoad_act!V27=0,0,V53/TrRoad_act!V27*1000)</f>
        <v>34.812061255335436</v>
      </c>
      <c r="W111" s="101">
        <f>IF(TrRoad_act!W27=0,0,W53/TrRoad_act!W27*1000)</f>
        <v>34.56338259123546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0</v>
      </c>
      <c r="C112" s="88">
        <f>IF(TrRoad_act!C28=0,0,C55/TrRoad_act!C28*1000)</f>
        <v>0</v>
      </c>
      <c r="D112" s="88">
        <f>IF(TrRoad_act!D28=0,0,D55/TrRoad_act!D28*1000)</f>
        <v>0</v>
      </c>
      <c r="E112" s="88">
        <f>IF(TrRoad_act!E28=0,0,E55/TrRoad_act!E28*1000)</f>
        <v>0</v>
      </c>
      <c r="F112" s="88">
        <f>IF(TrRoad_act!F28=0,0,F55/TrRoad_act!F28*1000)</f>
        <v>0</v>
      </c>
      <c r="G112" s="88">
        <f>IF(TrRoad_act!G28=0,0,G55/TrRoad_act!G28*1000)</f>
        <v>0</v>
      </c>
      <c r="H112" s="88">
        <f>IF(TrRoad_act!H28=0,0,H55/TrRoad_act!H28*1000)</f>
        <v>0</v>
      </c>
      <c r="I112" s="88">
        <f>IF(TrRoad_act!I28=0,0,I55/TrRoad_act!I28*1000)</f>
        <v>0</v>
      </c>
      <c r="J112" s="88">
        <f>IF(TrRoad_act!J28=0,0,J55/TrRoad_act!J28*1000)</f>
        <v>0</v>
      </c>
      <c r="K112" s="88">
        <f>IF(TrRoad_act!K28=0,0,K55/TrRoad_act!K28*1000)</f>
        <v>0</v>
      </c>
      <c r="L112" s="88">
        <f>IF(TrRoad_act!L28=0,0,L55/TrRoad_act!L28*1000)</f>
        <v>0</v>
      </c>
      <c r="M112" s="88">
        <f>IF(TrRoad_act!M28=0,0,M55/TrRoad_act!M28*1000)</f>
        <v>0</v>
      </c>
      <c r="N112" s="88">
        <f>IF(TrRoad_act!N28=0,0,N55/TrRoad_act!N28*1000)</f>
        <v>0</v>
      </c>
      <c r="O112" s="88">
        <f>IF(TrRoad_act!O28=0,0,O55/TrRoad_act!O28*1000)</f>
        <v>0</v>
      </c>
      <c r="P112" s="88">
        <f>IF(TrRoad_act!P28=0,0,P55/TrRoad_act!P28*1000)</f>
        <v>0</v>
      </c>
      <c r="Q112" s="88">
        <f>IF(TrRoad_act!Q28=0,0,Q55/TrRoad_act!Q28*1000)</f>
        <v>0</v>
      </c>
      <c r="R112" s="88">
        <f>IF(TrRoad_act!R28=0,0,R55/TrRoad_act!R28*1000)</f>
        <v>0</v>
      </c>
      <c r="S112" s="88">
        <f>IF(TrRoad_act!S28=0,0,S55/TrRoad_act!S28*1000)</f>
        <v>0</v>
      </c>
      <c r="T112" s="88">
        <f>IF(TrRoad_act!T28=0,0,T55/TrRoad_act!T28*1000)</f>
        <v>0</v>
      </c>
      <c r="U112" s="88">
        <f>IF(TrRoad_act!U28=0,0,U55/TrRoad_act!U28*1000)</f>
        <v>0</v>
      </c>
      <c r="V112" s="88">
        <f>IF(TrRoad_act!V28=0,0,V55/TrRoad_act!V28*1000)</f>
        <v>0</v>
      </c>
      <c r="W112" s="88">
        <f>IF(TrRoad_act!W28=0,0,W55/TrRoad_act!W28*1000)</f>
        <v>0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134.74996022391616</v>
      </c>
      <c r="C116" s="152">
        <f>IF(C19=0,0,1000000*C19/TrRoad_act!C59)</f>
        <v>135.75602325040063</v>
      </c>
      <c r="D116" s="152">
        <f>IF(D19=0,0,1000000*D19/TrRoad_act!D59)</f>
        <v>137.65759129011286</v>
      </c>
      <c r="E116" s="152">
        <f>IF(E19=0,0,1000000*E19/TrRoad_act!E59)</f>
        <v>134.96832724281606</v>
      </c>
      <c r="F116" s="152">
        <f>IF(F19=0,0,1000000*F19/TrRoad_act!F59)</f>
        <v>134.32191999732632</v>
      </c>
      <c r="G116" s="152">
        <f>IF(G19=0,0,1000000*G19/TrRoad_act!G59)</f>
        <v>134.96764059940122</v>
      </c>
      <c r="H116" s="152">
        <f>IF(H19=0,0,1000000*H19/TrRoad_act!H59)</f>
        <v>133.90036170836677</v>
      </c>
      <c r="I116" s="152">
        <f>IF(I19=0,0,1000000*I19/TrRoad_act!I59)</f>
        <v>131.32752409386106</v>
      </c>
      <c r="J116" s="152">
        <f>IF(J19=0,0,1000000*J19/TrRoad_act!J59)</f>
        <v>126.94840636669745</v>
      </c>
      <c r="K116" s="152">
        <f>IF(K19=0,0,1000000*K19/TrRoad_act!K59)</f>
        <v>126.31832143626673</v>
      </c>
      <c r="L116" s="152">
        <f>IF(L19=0,0,1000000*L19/TrRoad_act!L59)</f>
        <v>129.44900075150528</v>
      </c>
      <c r="M116" s="152">
        <f>IF(M19=0,0,1000000*M19/TrRoad_act!M59)</f>
        <v>128.69894400686672</v>
      </c>
      <c r="N116" s="152">
        <f>IF(N19=0,0,1000000*N19/TrRoad_act!N59)</f>
        <v>126.17923890361637</v>
      </c>
      <c r="O116" s="152">
        <f>IF(O19=0,0,1000000*O19/TrRoad_act!O59)</f>
        <v>126.51614876658134</v>
      </c>
      <c r="P116" s="152">
        <f>IF(P19=0,0,1000000*P19/TrRoad_act!P59)</f>
        <v>124.22072844575214</v>
      </c>
      <c r="Q116" s="152">
        <f>IF(Q19=0,0,1000000*Q19/TrRoad_act!Q59)</f>
        <v>126.02337896829353</v>
      </c>
      <c r="R116" s="152">
        <f>IF(R19=0,0,1000000*R19/TrRoad_act!R59)</f>
        <v>124.16729070202558</v>
      </c>
      <c r="S116" s="152">
        <f>IF(S19=0,0,1000000*S19/TrRoad_act!S59)</f>
        <v>115.28382766284869</v>
      </c>
      <c r="T116" s="152">
        <f>IF(T19=0,0,1000000*T19/TrRoad_act!T59)</f>
        <v>107.56710322230415</v>
      </c>
      <c r="U116" s="152">
        <f>IF(U19=0,0,1000000*U19/TrRoad_act!U59)</f>
        <v>111.82352526596868</v>
      </c>
      <c r="V116" s="152">
        <f>IF(V19=0,0,1000000*V19/TrRoad_act!V59)</f>
        <v>97.561525675773311</v>
      </c>
      <c r="W116" s="152">
        <f>IF(W19=0,0,1000000*W19/TrRoad_act!W59)</f>
        <v>93.360152077086738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957.38170569399415</v>
      </c>
      <c r="C117" s="116">
        <f>IF(C21=0,0,1000000*C21/TrRoad_act!C60)</f>
        <v>970.31981150162426</v>
      </c>
      <c r="D117" s="116">
        <f>IF(D21=0,0,1000000*D21/TrRoad_act!D60)</f>
        <v>966.46146854239669</v>
      </c>
      <c r="E117" s="116">
        <f>IF(E21=0,0,1000000*E21/TrRoad_act!E60)</f>
        <v>998.31098507819081</v>
      </c>
      <c r="F117" s="116">
        <f>IF(F21=0,0,1000000*F21/TrRoad_act!F60)</f>
        <v>1007.7887946488455</v>
      </c>
      <c r="G117" s="116">
        <f>IF(G21=0,0,1000000*G21/TrRoad_act!G60)</f>
        <v>1004.539662960065</v>
      </c>
      <c r="H117" s="116">
        <f>IF(H21=0,0,1000000*H21/TrRoad_act!H60)</f>
        <v>1009.8914498939174</v>
      </c>
      <c r="I117" s="116">
        <f>IF(I21=0,0,1000000*I21/TrRoad_act!I60)</f>
        <v>1001.6657292336682</v>
      </c>
      <c r="J117" s="116">
        <f>IF(J21=0,0,1000000*J21/TrRoad_act!J60)</f>
        <v>981.11858352514685</v>
      </c>
      <c r="K117" s="116">
        <f>IF(K21=0,0,1000000*K21/TrRoad_act!K60)</f>
        <v>980.59609172642422</v>
      </c>
      <c r="L117" s="116">
        <f>IF(L21=0,0,1000000*L21/TrRoad_act!L60)</f>
        <v>996.99268182648382</v>
      </c>
      <c r="M117" s="116">
        <f>IF(M21=0,0,1000000*M21/TrRoad_act!M60)</f>
        <v>966.90378225491895</v>
      </c>
      <c r="N117" s="116">
        <f>IF(N21=0,0,1000000*N21/TrRoad_act!N60)</f>
        <v>906.50792070478747</v>
      </c>
      <c r="O117" s="116">
        <f>IF(O21=0,0,1000000*O21/TrRoad_act!O60)</f>
        <v>847.275358465463</v>
      </c>
      <c r="P117" s="116">
        <f>IF(P21=0,0,1000000*P21/TrRoad_act!P60)</f>
        <v>825.40575012974045</v>
      </c>
      <c r="Q117" s="116">
        <f>IF(Q21=0,0,1000000*Q21/TrRoad_act!Q60)</f>
        <v>830.83753710779592</v>
      </c>
      <c r="R117" s="116">
        <f>IF(R21=0,0,1000000*R21/TrRoad_act!R60)</f>
        <v>833.39207416782097</v>
      </c>
      <c r="S117" s="116">
        <f>IF(S21=0,0,1000000*S21/TrRoad_act!S60)</f>
        <v>817.07916377901563</v>
      </c>
      <c r="T117" s="116">
        <f>IF(T21=0,0,1000000*T21/TrRoad_act!T60)</f>
        <v>781.09902228740259</v>
      </c>
      <c r="U117" s="116">
        <f>IF(U21=0,0,1000000*U21/TrRoad_act!U60)</f>
        <v>762.85936946671052</v>
      </c>
      <c r="V117" s="116">
        <f>IF(V21=0,0,1000000*V21/TrRoad_act!V60)</f>
        <v>667.79057083787325</v>
      </c>
      <c r="W117" s="116">
        <f>IF(W21=0,0,1000000*W21/TrRoad_act!W60)</f>
        <v>701.76596363835858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860.45174701881081</v>
      </c>
      <c r="C118" s="87">
        <f>IF(C22=0,0,1000000*C22/TrRoad_act!C61)</f>
        <v>879.07290763237836</v>
      </c>
      <c r="D118" s="87">
        <f>IF(D22=0,0,1000000*D22/TrRoad_act!D61)</f>
        <v>892.48667562329479</v>
      </c>
      <c r="E118" s="87">
        <f>IF(E22=0,0,1000000*E22/TrRoad_act!E61)</f>
        <v>934.44224440300866</v>
      </c>
      <c r="F118" s="87">
        <f>IF(F22=0,0,1000000*F22/TrRoad_act!F61)</f>
        <v>942.33436457962148</v>
      </c>
      <c r="G118" s="87">
        <f>IF(G22=0,0,1000000*G22/TrRoad_act!G61)</f>
        <v>957.33855565915292</v>
      </c>
      <c r="H118" s="87">
        <f>IF(H22=0,0,1000000*H22/TrRoad_act!H61)</f>
        <v>968.66614859306924</v>
      </c>
      <c r="I118" s="87">
        <f>IF(I22=0,0,1000000*I22/TrRoad_act!I61)</f>
        <v>962.05524989047774</v>
      </c>
      <c r="J118" s="87">
        <f>IF(J22=0,0,1000000*J22/TrRoad_act!J61)</f>
        <v>949.07954716221786</v>
      </c>
      <c r="K118" s="87">
        <f>IF(K22=0,0,1000000*K22/TrRoad_act!K61)</f>
        <v>945.42869666731349</v>
      </c>
      <c r="L118" s="87">
        <f>IF(L22=0,0,1000000*L22/TrRoad_act!L61)</f>
        <v>964.31285189670393</v>
      </c>
      <c r="M118" s="87">
        <f>IF(M22=0,0,1000000*M22/TrRoad_act!M61)</f>
        <v>940.80795807232698</v>
      </c>
      <c r="N118" s="87">
        <f>IF(N22=0,0,1000000*N22/TrRoad_act!N61)</f>
        <v>898.21046650020003</v>
      </c>
      <c r="O118" s="87">
        <f>IF(O22=0,0,1000000*O22/TrRoad_act!O61)</f>
        <v>846.84158793338986</v>
      </c>
      <c r="P118" s="87">
        <f>IF(P22=0,0,1000000*P22/TrRoad_act!P61)</f>
        <v>829.27371109091666</v>
      </c>
      <c r="Q118" s="87">
        <f>IF(Q22=0,0,1000000*Q22/TrRoad_act!Q61)</f>
        <v>832.88072470424379</v>
      </c>
      <c r="R118" s="87">
        <f>IF(R22=0,0,1000000*R22/TrRoad_act!R61)</f>
        <v>834.84374110018291</v>
      </c>
      <c r="S118" s="87">
        <f>IF(S22=0,0,1000000*S22/TrRoad_act!S61)</f>
        <v>818.76116274088736</v>
      </c>
      <c r="T118" s="87">
        <f>IF(T22=0,0,1000000*T22/TrRoad_act!T61)</f>
        <v>782.88612235025903</v>
      </c>
      <c r="U118" s="87">
        <f>IF(U22=0,0,1000000*U22/TrRoad_act!U61)</f>
        <v>759.4601272186311</v>
      </c>
      <c r="V118" s="87">
        <f>IF(V22=0,0,1000000*V22/TrRoad_act!V61)</f>
        <v>647.27276171915821</v>
      </c>
      <c r="W118" s="87">
        <f>IF(W22=0,0,1000000*W22/TrRoad_act!W61)</f>
        <v>682.47767517475302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1723.1283792279419</v>
      </c>
      <c r="C119" s="87">
        <f>IF(C24=0,0,1000000*C24/TrRoad_act!C62)</f>
        <v>1655.7156403403494</v>
      </c>
      <c r="D119" s="87">
        <f>IF(D24=0,0,1000000*D24/TrRoad_act!D62)</f>
        <v>1533.5272555690005</v>
      </c>
      <c r="E119" s="87">
        <f>IF(E24=0,0,1000000*E24/TrRoad_act!E62)</f>
        <v>1509.0082921929097</v>
      </c>
      <c r="F119" s="87">
        <f>IF(F24=0,0,1000000*F24/TrRoad_act!F62)</f>
        <v>1592.2968551670149</v>
      </c>
      <c r="G119" s="87">
        <f>IF(G24=0,0,1000000*G24/TrRoad_act!G62)</f>
        <v>1464.209168588972</v>
      </c>
      <c r="H119" s="87">
        <f>IF(H24=0,0,1000000*H24/TrRoad_act!H62)</f>
        <v>1443.1082270243719</v>
      </c>
      <c r="I119" s="87">
        <f>IF(I24=0,0,1000000*I24/TrRoad_act!I62)</f>
        <v>1419.2976426367147</v>
      </c>
      <c r="J119" s="87">
        <f>IF(J24=0,0,1000000*J24/TrRoad_act!J62)</f>
        <v>1302.1370230759808</v>
      </c>
      <c r="K119" s="87">
        <f>IF(K24=0,0,1000000*K24/TrRoad_act!K62)</f>
        <v>1314.3374666689235</v>
      </c>
      <c r="L119" s="87">
        <f>IF(L24=0,0,1000000*L24/TrRoad_act!L62)</f>
        <v>1291.5581805983295</v>
      </c>
      <c r="M119" s="87">
        <f>IF(M24=0,0,1000000*M24/TrRoad_act!M62)</f>
        <v>1195.9004253698004</v>
      </c>
      <c r="N119" s="87">
        <f>IF(N24=0,0,1000000*N24/TrRoad_act!N62)</f>
        <v>978.31776367006671</v>
      </c>
      <c r="O119" s="87">
        <f>IF(O24=0,0,1000000*O24/TrRoad_act!O62)</f>
        <v>851.00200236603519</v>
      </c>
      <c r="P119" s="87">
        <f>IF(P24=0,0,1000000*P24/TrRoad_act!P62)</f>
        <v>795.75578664503519</v>
      </c>
      <c r="Q119" s="87">
        <f>IF(Q24=0,0,1000000*Q24/TrRoad_act!Q62)</f>
        <v>816.93203055815468</v>
      </c>
      <c r="R119" s="87">
        <f>IF(R24=0,0,1000000*R24/TrRoad_act!R62)</f>
        <v>824.97573636504899</v>
      </c>
      <c r="S119" s="87">
        <f>IF(S24=0,0,1000000*S24/TrRoad_act!S62)</f>
        <v>809.34890860209941</v>
      </c>
      <c r="T119" s="87">
        <f>IF(T24=0,0,1000000*T24/TrRoad_act!T62)</f>
        <v>776.89858966714019</v>
      </c>
      <c r="U119" s="87">
        <f>IF(U24=0,0,1000000*U24/TrRoad_act!U62)</f>
        <v>779.7195182295128</v>
      </c>
      <c r="V119" s="87">
        <f>IF(V24=0,0,1000000*V24/TrRoad_act!V62)</f>
        <v>746.03198216056046</v>
      </c>
      <c r="W119" s="87">
        <f>IF(W24=0,0,1000000*W24/TrRoad_act!W62)</f>
        <v>773.80179920978344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0</v>
      </c>
      <c r="C120" s="87">
        <f>IF(C26=0,0,1000000*C26/TrRoad_act!C63)</f>
        <v>0</v>
      </c>
      <c r="D120" s="87">
        <f>IF(D26=0,0,1000000*D26/TrRoad_act!D63)</f>
        <v>0</v>
      </c>
      <c r="E120" s="87">
        <f>IF(E26=0,0,1000000*E26/TrRoad_act!E63)</f>
        <v>0</v>
      </c>
      <c r="F120" s="87">
        <f>IF(F26=0,0,1000000*F26/TrRoad_act!F63)</f>
        <v>0</v>
      </c>
      <c r="G120" s="87">
        <f>IF(G26=0,0,1000000*G26/TrRoad_act!G63)</f>
        <v>0</v>
      </c>
      <c r="H120" s="87">
        <f>IF(H26=0,0,1000000*H26/TrRoad_act!H63)</f>
        <v>0</v>
      </c>
      <c r="I120" s="87">
        <f>IF(I26=0,0,1000000*I26/TrRoad_act!I63)</f>
        <v>0</v>
      </c>
      <c r="J120" s="87">
        <f>IF(J26=0,0,1000000*J26/TrRoad_act!J63)</f>
        <v>0</v>
      </c>
      <c r="K120" s="87">
        <f>IF(K26=0,0,1000000*K26/TrRoad_act!K63)</f>
        <v>0</v>
      </c>
      <c r="L120" s="87">
        <f>IF(L26=0,0,1000000*L26/TrRoad_act!L63)</f>
        <v>0</v>
      </c>
      <c r="M120" s="87">
        <f>IF(M26=0,0,1000000*M26/TrRoad_act!M63)</f>
        <v>0</v>
      </c>
      <c r="N120" s="87">
        <f>IF(N26=0,0,1000000*N26/TrRoad_act!N63)</f>
        <v>0</v>
      </c>
      <c r="O120" s="87">
        <f>IF(O26=0,0,1000000*O26/TrRoad_act!O63)</f>
        <v>0</v>
      </c>
      <c r="P120" s="87">
        <f>IF(P26=0,0,1000000*P26/TrRoad_act!P63)</f>
        <v>0</v>
      </c>
      <c r="Q120" s="87">
        <f>IF(Q26=0,0,1000000*Q26/TrRoad_act!Q63)</f>
        <v>0</v>
      </c>
      <c r="R120" s="87">
        <f>IF(R26=0,0,1000000*R26/TrRoad_act!R63)</f>
        <v>0</v>
      </c>
      <c r="S120" s="87">
        <f>IF(S26=0,0,1000000*S26/TrRoad_act!S63)</f>
        <v>0</v>
      </c>
      <c r="T120" s="87">
        <f>IF(T26=0,0,1000000*T26/TrRoad_act!T63)</f>
        <v>524.41507896999588</v>
      </c>
      <c r="U120" s="87">
        <f>IF(U26=0,0,1000000*U26/TrRoad_act!U63)</f>
        <v>585.08686677440403</v>
      </c>
      <c r="V120" s="87">
        <f>IF(V26=0,0,1000000*V26/TrRoad_act!V63)</f>
        <v>503.60990887562025</v>
      </c>
      <c r="W120" s="87">
        <f>IF(W26=0,0,1000000*W26/TrRoad_act!W63)</f>
        <v>584.69475494411006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0</v>
      </c>
      <c r="I121" s="87">
        <f>IF(I27=0,0,1000000*I27/TrRoad_act!I64)</f>
        <v>0</v>
      </c>
      <c r="J121" s="87">
        <f>IF(J27=0,0,1000000*J27/TrRoad_act!J64)</f>
        <v>0</v>
      </c>
      <c r="K121" s="87">
        <f>IF(K27=0,0,1000000*K27/TrRoad_act!K64)</f>
        <v>0</v>
      </c>
      <c r="L121" s="87">
        <f>IF(L27=0,0,1000000*L27/TrRoad_act!L64)</f>
        <v>0</v>
      </c>
      <c r="M121" s="87">
        <f>IF(M27=0,0,1000000*M27/TrRoad_act!M64)</f>
        <v>0</v>
      </c>
      <c r="N121" s="87">
        <f>IF(N27=0,0,1000000*N27/TrRoad_act!N64)</f>
        <v>0</v>
      </c>
      <c r="O121" s="87">
        <f>IF(O27=0,0,1000000*O27/TrRoad_act!O64)</f>
        <v>0</v>
      </c>
      <c r="P121" s="87">
        <f>IF(P27=0,0,1000000*P27/TrRoad_act!P64)</f>
        <v>0</v>
      </c>
      <c r="Q121" s="87">
        <f>IF(Q27=0,0,1000000*Q27/TrRoad_act!Q64)</f>
        <v>0</v>
      </c>
      <c r="R121" s="87">
        <f>IF(R27=0,0,1000000*R27/TrRoad_act!R64)</f>
        <v>0</v>
      </c>
      <c r="S121" s="87">
        <f>IF(S27=0,0,1000000*S27/TrRoad_act!S64)</f>
        <v>0</v>
      </c>
      <c r="T121" s="87">
        <f>IF(T27=0,0,1000000*T27/TrRoad_act!T64)</f>
        <v>0</v>
      </c>
      <c r="U121" s="87">
        <f>IF(U27=0,0,1000000*U27/TrRoad_act!U64)</f>
        <v>0</v>
      </c>
      <c r="V121" s="87">
        <f>IF(V27=0,0,1000000*V27/TrRoad_act!V64)</f>
        <v>0</v>
      </c>
      <c r="W121" s="87">
        <f>IF(W27=0,0,1000000*W27/TrRoad_act!W64)</f>
        <v>0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0</v>
      </c>
      <c r="O122" s="87">
        <f>IF(O29=0,0,1000000*O29/TrRoad_act!O65)</f>
        <v>0</v>
      </c>
      <c r="P122" s="87">
        <f>IF(P29=0,0,1000000*P29/TrRoad_act!P65)</f>
        <v>320.26908014991426</v>
      </c>
      <c r="Q122" s="87">
        <f>IF(Q29=0,0,1000000*Q29/TrRoad_act!Q65)</f>
        <v>329.80406690571493</v>
      </c>
      <c r="R122" s="87">
        <f>IF(R29=0,0,1000000*R29/TrRoad_act!R65)</f>
        <v>414.41711606769223</v>
      </c>
      <c r="S122" s="87">
        <f>IF(S29=0,0,1000000*S29/TrRoad_act!S65)</f>
        <v>441.12782800525082</v>
      </c>
      <c r="T122" s="87">
        <f>IF(T29=0,0,1000000*T29/TrRoad_act!T65)</f>
        <v>433.8341106040242</v>
      </c>
      <c r="U122" s="87">
        <f>IF(U29=0,0,1000000*U29/TrRoad_act!U65)</f>
        <v>417.71532804535667</v>
      </c>
      <c r="V122" s="87">
        <f>IF(V29=0,0,1000000*V29/TrRoad_act!V65)</f>
        <v>395.58580301999768</v>
      </c>
      <c r="W122" s="87">
        <f>IF(W29=0,0,1000000*W29/TrRoad_act!W65)</f>
        <v>371.17783453133535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0</v>
      </c>
      <c r="K123" s="87">
        <f>IF(K32=0,0,1000000*K32/TrRoad_act!K66)</f>
        <v>0</v>
      </c>
      <c r="L123" s="87">
        <f>IF(L32=0,0,1000000*L32/TrRoad_act!L66)</f>
        <v>0</v>
      </c>
      <c r="M123" s="87">
        <f>IF(M32=0,0,1000000*M32/TrRoad_act!M66)</f>
        <v>0</v>
      </c>
      <c r="N123" s="87">
        <f>IF(N32=0,0,1000000*N32/TrRoad_act!N66)</f>
        <v>0</v>
      </c>
      <c r="O123" s="87">
        <f>IF(O32=0,0,1000000*O32/TrRoad_act!O66)</f>
        <v>153.05388881737363</v>
      </c>
      <c r="P123" s="87">
        <f>IF(P32=0,0,1000000*P32/TrRoad_act!P66)</f>
        <v>152.97691910896688</v>
      </c>
      <c r="Q123" s="87">
        <f>IF(Q32=0,0,1000000*Q32/TrRoad_act!Q66)</f>
        <v>156.66337900246998</v>
      </c>
      <c r="R123" s="87">
        <f>IF(R32=0,0,1000000*R32/TrRoad_act!R66)</f>
        <v>157.54600743465008</v>
      </c>
      <c r="S123" s="87">
        <f>IF(S32=0,0,1000000*S32/TrRoad_act!S66)</f>
        <v>151.77328564956537</v>
      </c>
      <c r="T123" s="87">
        <f>IF(T32=0,0,1000000*T32/TrRoad_act!T66)</f>
        <v>156.95193070429508</v>
      </c>
      <c r="U123" s="87">
        <f>IF(U32=0,0,1000000*U32/TrRoad_act!U66)</f>
        <v>163.73539297590381</v>
      </c>
      <c r="V123" s="87">
        <f>IF(V32=0,0,1000000*V32/TrRoad_act!V66)</f>
        <v>154.52939805721078</v>
      </c>
      <c r="W123" s="87">
        <f>IF(W32=0,0,1000000*W32/TrRoad_act!W66)</f>
        <v>166.04216443880171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30715.156802889294</v>
      </c>
      <c r="C124" s="116">
        <f>IF(C33=0,0,1000000*C33/TrRoad_act!C67)</f>
        <v>30756.440865356344</v>
      </c>
      <c r="D124" s="116">
        <f>IF(D33=0,0,1000000*D33/TrRoad_act!D67)</f>
        <v>30028.179616792702</v>
      </c>
      <c r="E124" s="116">
        <f>IF(E33=0,0,1000000*E33/TrRoad_act!E67)</f>
        <v>29479.463669939356</v>
      </c>
      <c r="F124" s="116">
        <f>IF(F33=0,0,1000000*F33/TrRoad_act!F67)</f>
        <v>31782.393494773223</v>
      </c>
      <c r="G124" s="116">
        <f>IF(G33=0,0,1000000*G33/TrRoad_act!G67)</f>
        <v>29577.171302963769</v>
      </c>
      <c r="H124" s="116">
        <f>IF(H33=0,0,1000000*H33/TrRoad_act!H67)</f>
        <v>29970.711010363459</v>
      </c>
      <c r="I124" s="116">
        <f>IF(I33=0,0,1000000*I33/TrRoad_act!I67)</f>
        <v>30912.665378414094</v>
      </c>
      <c r="J124" s="116">
        <f>IF(J33=0,0,1000000*J33/TrRoad_act!J67)</f>
        <v>29486.300309378857</v>
      </c>
      <c r="K124" s="116">
        <f>IF(K33=0,0,1000000*K33/TrRoad_act!K67)</f>
        <v>29536.01170753609</v>
      </c>
      <c r="L124" s="116">
        <f>IF(L33=0,0,1000000*L33/TrRoad_act!L67)</f>
        <v>30076.166855243828</v>
      </c>
      <c r="M124" s="116">
        <f>IF(M33=0,0,1000000*M33/TrRoad_act!M67)</f>
        <v>29244.257640986427</v>
      </c>
      <c r="N124" s="116">
        <f>IF(N33=0,0,1000000*N33/TrRoad_act!N67)</f>
        <v>25934.138911576774</v>
      </c>
      <c r="O124" s="116">
        <f>IF(O33=0,0,1000000*O33/TrRoad_act!O67)</f>
        <v>23706.052620794722</v>
      </c>
      <c r="P124" s="116">
        <f>IF(P33=0,0,1000000*P33/TrRoad_act!P67)</f>
        <v>23936.248263154404</v>
      </c>
      <c r="Q124" s="116">
        <f>IF(Q33=0,0,1000000*Q33/TrRoad_act!Q67)</f>
        <v>25726.834229962984</v>
      </c>
      <c r="R124" s="116">
        <f>IF(R33=0,0,1000000*R33/TrRoad_act!R67)</f>
        <v>26785.217083550997</v>
      </c>
      <c r="S124" s="116">
        <f>IF(S33=0,0,1000000*S33/TrRoad_act!S67)</f>
        <v>28439.35113013925</v>
      </c>
      <c r="T124" s="116">
        <f>IF(T33=0,0,1000000*T33/TrRoad_act!T67)</f>
        <v>29409.944106425017</v>
      </c>
      <c r="U124" s="116">
        <f>IF(U33=0,0,1000000*U33/TrRoad_act!U67)</f>
        <v>30401.035489407921</v>
      </c>
      <c r="V124" s="116">
        <f>IF(V33=0,0,1000000*V33/TrRoad_act!V67)</f>
        <v>31766.858889715098</v>
      </c>
      <c r="W124" s="116">
        <f>IF(W33=0,0,1000000*W33/TrRoad_act!W67)</f>
        <v>33728.246180649279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5574.3385743567651</v>
      </c>
      <c r="C125" s="101">
        <f>IF(C34=0,0,1000000*C34/TrRoad_act!C68)</f>
        <v>5771.1176514768949</v>
      </c>
      <c r="D125" s="101">
        <f>IF(D34=0,0,1000000*D34/TrRoad_act!D68)</f>
        <v>5912.9327533560463</v>
      </c>
      <c r="E125" s="101">
        <f>IF(E34=0,0,1000000*E34/TrRoad_act!E68)</f>
        <v>6192.368793075937</v>
      </c>
      <c r="F125" s="101">
        <f>IF(F34=0,0,1000000*F34/TrRoad_act!F68)</f>
        <v>6302.3106421410403</v>
      </c>
      <c r="G125" s="101">
        <f>IF(G34=0,0,1000000*G34/TrRoad_act!G68)</f>
        <v>6447.5523581033585</v>
      </c>
      <c r="H125" s="101">
        <f>IF(H34=0,0,1000000*H34/TrRoad_act!H68)</f>
        <v>6546.976849879582</v>
      </c>
      <c r="I125" s="101">
        <f>IF(I34=0,0,1000000*I34/TrRoad_act!I68)</f>
        <v>6562.3116132560863</v>
      </c>
      <c r="J125" s="101">
        <f>IF(J34=0,0,1000000*J34/TrRoad_act!J68)</f>
        <v>6525.1949459956577</v>
      </c>
      <c r="K125" s="101">
        <f>IF(K34=0,0,1000000*K34/TrRoad_act!K68)</f>
        <v>6542.9718534768899</v>
      </c>
      <c r="L125" s="101">
        <f>IF(L34=0,0,1000000*L34/TrRoad_act!L68)</f>
        <v>6546.4840311961307</v>
      </c>
      <c r="M125" s="101">
        <f>IF(M34=0,0,1000000*M34/TrRoad_act!M68)</f>
        <v>6435.2858664273817</v>
      </c>
      <c r="N125" s="101">
        <f>IF(N34=0,0,1000000*N34/TrRoad_act!N68)</f>
        <v>6314.336203249175</v>
      </c>
      <c r="O125" s="101">
        <f>IF(O34=0,0,1000000*O34/TrRoad_act!O68)</f>
        <v>6042.6272461240769</v>
      </c>
      <c r="P125" s="101">
        <f>IF(P34=0,0,1000000*P34/TrRoad_act!P68)</f>
        <v>5846.0032814687011</v>
      </c>
      <c r="Q125" s="101">
        <f>IF(Q34=0,0,1000000*Q34/TrRoad_act!Q68)</f>
        <v>5882.630308381481</v>
      </c>
      <c r="R125" s="101">
        <f>IF(R34=0,0,1000000*R34/TrRoad_act!R68)</f>
        <v>5539.1024332211082</v>
      </c>
      <c r="S125" s="101">
        <f>IF(S34=0,0,1000000*S34/TrRoad_act!S68)</f>
        <v>5793.4196018348002</v>
      </c>
      <c r="T125" s="101">
        <f>IF(T34=0,0,1000000*T34/TrRoad_act!T68)</f>
        <v>5950.5723486469587</v>
      </c>
      <c r="U125" s="101">
        <f>IF(U34=0,0,1000000*U34/TrRoad_act!U68)</f>
        <v>5801.8476283202626</v>
      </c>
      <c r="V125" s="101">
        <f>IF(V34=0,0,1000000*V34/TrRoad_act!V68)</f>
        <v>5383.4529522770599</v>
      </c>
      <c r="W125" s="101">
        <f>IF(W34=0,0,1000000*W34/TrRoad_act!W68)</f>
        <v>5617.1670330045363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32090.888272476379</v>
      </c>
      <c r="C126" s="101">
        <f>IF(C36=0,0,1000000*C36/TrRoad_act!C69)</f>
        <v>32079.296337058939</v>
      </c>
      <c r="D126" s="101">
        <f>IF(D36=0,0,1000000*D36/TrRoad_act!D69)</f>
        <v>31263.123861640739</v>
      </c>
      <c r="E126" s="101">
        <f>IF(E36=0,0,1000000*E36/TrRoad_act!E69)</f>
        <v>30573.838013577119</v>
      </c>
      <c r="F126" s="101">
        <f>IF(F36=0,0,1000000*F36/TrRoad_act!F69)</f>
        <v>32992.155123336313</v>
      </c>
      <c r="G126" s="101">
        <f>IF(G36=0,0,1000000*G36/TrRoad_act!G69)</f>
        <v>30661.0193758762</v>
      </c>
      <c r="H126" s="101">
        <f>IF(H36=0,0,1000000*H36/TrRoad_act!H69)</f>
        <v>31090.844036255174</v>
      </c>
      <c r="I126" s="101">
        <f>IF(I36=0,0,1000000*I36/TrRoad_act!I69)</f>
        <v>32042.719939670631</v>
      </c>
      <c r="J126" s="101">
        <f>IF(J36=0,0,1000000*J36/TrRoad_act!J69)</f>
        <v>30528.783048462668</v>
      </c>
      <c r="K126" s="101">
        <f>IF(K36=0,0,1000000*K36/TrRoad_act!K69)</f>
        <v>30543.288647440259</v>
      </c>
      <c r="L126" s="101">
        <f>IF(L36=0,0,1000000*L36/TrRoad_act!L69)</f>
        <v>31136.645716458563</v>
      </c>
      <c r="M126" s="101">
        <f>IF(M36=0,0,1000000*M36/TrRoad_act!M69)</f>
        <v>30268.248463913107</v>
      </c>
      <c r="N126" s="101">
        <f>IF(N36=0,0,1000000*N36/TrRoad_act!N69)</f>
        <v>26795.875445260815</v>
      </c>
      <c r="O126" s="101">
        <f>IF(O36=0,0,1000000*O36/TrRoad_act!O69)</f>
        <v>24484.948891781714</v>
      </c>
      <c r="P126" s="101">
        <f>IF(P36=0,0,1000000*P36/TrRoad_act!P69)</f>
        <v>24213.002089323367</v>
      </c>
      <c r="Q126" s="101">
        <f>IF(Q36=0,0,1000000*Q36/TrRoad_act!Q69)</f>
        <v>25985.455618725846</v>
      </c>
      <c r="R126" s="101">
        <f>IF(R36=0,0,1000000*R36/TrRoad_act!R69)</f>
        <v>27053.939187150227</v>
      </c>
      <c r="S126" s="101">
        <f>IF(S36=0,0,1000000*S36/TrRoad_act!S69)</f>
        <v>28730.188372111785</v>
      </c>
      <c r="T126" s="101">
        <f>IF(T36=0,0,1000000*T36/TrRoad_act!T69)</f>
        <v>29720.819674407408</v>
      </c>
      <c r="U126" s="101">
        <f>IF(U36=0,0,1000000*U36/TrRoad_act!U69)</f>
        <v>30730.090062239808</v>
      </c>
      <c r="V126" s="101">
        <f>IF(V36=0,0,1000000*V36/TrRoad_act!V69)</f>
        <v>32211.106105504914</v>
      </c>
      <c r="W126" s="101">
        <f>IF(W36=0,0,1000000*W36/TrRoad_act!W69)</f>
        <v>34171.53129034493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0</v>
      </c>
      <c r="M127" s="101">
        <f>IF(M38=0,0,1000000*M38/TrRoad_act!M70)</f>
        <v>0</v>
      </c>
      <c r="N127" s="101">
        <f>IF(N38=0,0,1000000*N38/TrRoad_act!N70)</f>
        <v>0</v>
      </c>
      <c r="O127" s="101">
        <f>IF(O38=0,0,1000000*O38/TrRoad_act!O70)</f>
        <v>0</v>
      </c>
      <c r="P127" s="101">
        <f>IF(P38=0,0,1000000*P38/TrRoad_act!P70)</f>
        <v>0</v>
      </c>
      <c r="Q127" s="101">
        <f>IF(Q38=0,0,1000000*Q38/TrRoad_act!Q70)</f>
        <v>0</v>
      </c>
      <c r="R127" s="101">
        <f>IF(R38=0,0,1000000*R38/TrRoad_act!R70)</f>
        <v>0</v>
      </c>
      <c r="S127" s="101">
        <f>IF(S38=0,0,1000000*S38/TrRoad_act!S70)</f>
        <v>0</v>
      </c>
      <c r="T127" s="101">
        <f>IF(T38=0,0,1000000*T38/TrRoad_act!T70)</f>
        <v>0</v>
      </c>
      <c r="U127" s="101">
        <f>IF(U38=0,0,1000000*U38/TrRoad_act!U70)</f>
        <v>0</v>
      </c>
      <c r="V127" s="101">
        <f>IF(V38=0,0,1000000*V38/TrRoad_act!V70)</f>
        <v>0</v>
      </c>
      <c r="W127" s="101">
        <f>IF(W38=0,0,1000000*W38/TrRoad_act!W70)</f>
        <v>0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0</v>
      </c>
      <c r="C128" s="101">
        <f>IF(C39=0,0,1000000*C39/TrRoad_act!C71)</f>
        <v>0</v>
      </c>
      <c r="D128" s="101">
        <f>IF(D39=0,0,1000000*D39/TrRoad_act!D71)</f>
        <v>0</v>
      </c>
      <c r="E128" s="101">
        <f>IF(E39=0,0,1000000*E39/TrRoad_act!E71)</f>
        <v>0</v>
      </c>
      <c r="F128" s="101">
        <f>IF(F39=0,0,1000000*F39/TrRoad_act!F71)</f>
        <v>0</v>
      </c>
      <c r="G128" s="101">
        <f>IF(G39=0,0,1000000*G39/TrRoad_act!G71)</f>
        <v>0</v>
      </c>
      <c r="H128" s="101">
        <f>IF(H39=0,0,1000000*H39/TrRoad_act!H71)</f>
        <v>0</v>
      </c>
      <c r="I128" s="101">
        <f>IF(I39=0,0,1000000*I39/TrRoad_act!I71)</f>
        <v>0</v>
      </c>
      <c r="J128" s="101">
        <f>IF(J39=0,0,1000000*J39/TrRoad_act!J71)</f>
        <v>0</v>
      </c>
      <c r="K128" s="101">
        <f>IF(K39=0,0,1000000*K39/TrRoad_act!K71)</f>
        <v>0</v>
      </c>
      <c r="L128" s="101">
        <f>IF(L39=0,0,1000000*L39/TrRoad_act!L71)</f>
        <v>0</v>
      </c>
      <c r="M128" s="101">
        <f>IF(M39=0,0,1000000*M39/TrRoad_act!M71)</f>
        <v>0</v>
      </c>
      <c r="N128" s="101">
        <f>IF(N39=0,0,1000000*N39/TrRoad_act!N71)</f>
        <v>0</v>
      </c>
      <c r="O128" s="101">
        <f>IF(O39=0,0,1000000*O39/TrRoad_act!O71)</f>
        <v>0</v>
      </c>
      <c r="P128" s="101">
        <f>IF(P39=0,0,1000000*P39/TrRoad_act!P71)</f>
        <v>0</v>
      </c>
      <c r="Q128" s="101">
        <f>IF(Q39=0,0,1000000*Q39/TrRoad_act!Q71)</f>
        <v>0</v>
      </c>
      <c r="R128" s="101">
        <f>IF(R39=0,0,1000000*R39/TrRoad_act!R71)</f>
        <v>0</v>
      </c>
      <c r="S128" s="101">
        <f>IF(S39=0,0,1000000*S39/TrRoad_act!S71)</f>
        <v>0</v>
      </c>
      <c r="T128" s="101">
        <f>IF(T39=0,0,1000000*T39/TrRoad_act!T71)</f>
        <v>0</v>
      </c>
      <c r="U128" s="101">
        <f>IF(U39=0,0,1000000*U39/TrRoad_act!U71)</f>
        <v>0</v>
      </c>
      <c r="V128" s="101">
        <f>IF(V39=0,0,1000000*V39/TrRoad_act!V71)</f>
        <v>0</v>
      </c>
      <c r="W128" s="101">
        <f>IF(W39=0,0,1000000*W39/TrRoad_act!W71)</f>
        <v>0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0</v>
      </c>
      <c r="C129" s="101">
        <f>IF(C41=0,0,1000000*C41/TrRoad_act!C72)</f>
        <v>0</v>
      </c>
      <c r="D129" s="101">
        <f>IF(D41=0,0,1000000*D41/TrRoad_act!D72)</f>
        <v>0</v>
      </c>
      <c r="E129" s="101">
        <f>IF(E41=0,0,1000000*E41/TrRoad_act!E72)</f>
        <v>0</v>
      </c>
      <c r="F129" s="101">
        <f>IF(F41=0,0,1000000*F41/TrRoad_act!F72)</f>
        <v>0</v>
      </c>
      <c r="G129" s="101">
        <f>IF(G41=0,0,1000000*G41/TrRoad_act!G72)</f>
        <v>0</v>
      </c>
      <c r="H129" s="101">
        <f>IF(H41=0,0,1000000*H41/TrRoad_act!H72)</f>
        <v>0</v>
      </c>
      <c r="I129" s="101">
        <f>IF(I41=0,0,1000000*I41/TrRoad_act!I72)</f>
        <v>0</v>
      </c>
      <c r="J129" s="101">
        <f>IF(J41=0,0,1000000*J41/TrRoad_act!J72)</f>
        <v>12529.955747980213</v>
      </c>
      <c r="K129" s="101">
        <f>IF(K41=0,0,1000000*K41/TrRoad_act!K72)</f>
        <v>12490.741248680388</v>
      </c>
      <c r="L129" s="101">
        <f>IF(L41=0,0,1000000*L41/TrRoad_act!L72)</f>
        <v>12490.687051015289</v>
      </c>
      <c r="M129" s="101">
        <f>IF(M41=0,0,1000000*M41/TrRoad_act!M72)</f>
        <v>12490.483919631752</v>
      </c>
      <c r="N129" s="101">
        <f>IF(N41=0,0,1000000*N41/TrRoad_act!N72)</f>
        <v>12486.635657183107</v>
      </c>
      <c r="O129" s="101">
        <f>IF(O41=0,0,1000000*O41/TrRoad_act!O72)</f>
        <v>12484.867432934925</v>
      </c>
      <c r="P129" s="101">
        <f>IF(P41=0,0,1000000*P41/TrRoad_act!P72)</f>
        <v>12494.579008882489</v>
      </c>
      <c r="Q129" s="101">
        <f>IF(Q41=0,0,1000000*Q41/TrRoad_act!Q72)</f>
        <v>12506.66447606821</v>
      </c>
      <c r="R129" s="101">
        <f>IF(R41=0,0,1000000*R41/TrRoad_act!R72)</f>
        <v>12487.791785585217</v>
      </c>
      <c r="S129" s="101">
        <f>IF(S41=0,0,1000000*S41/TrRoad_act!S72)</f>
        <v>12455.89906912737</v>
      </c>
      <c r="T129" s="101">
        <f>IF(T41=0,0,1000000*T41/TrRoad_act!T72)</f>
        <v>12417.259508112742</v>
      </c>
      <c r="U129" s="101">
        <f>IF(U41=0,0,1000000*U41/TrRoad_act!U72)</f>
        <v>12406.809827442108</v>
      </c>
      <c r="V129" s="101">
        <f>IF(V41=0,0,1000000*V41/TrRoad_act!V72)</f>
        <v>14493.103862405798</v>
      </c>
      <c r="W129" s="101">
        <f>IF(W41=0,0,1000000*W41/TrRoad_act!W72)</f>
        <v>14604.895672417666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1780.4880600120939</v>
      </c>
      <c r="C131" s="152">
        <f>IF(C43=0,0,1000000*C43/TrRoad_act!C74)</f>
        <v>1755.9642043450833</v>
      </c>
      <c r="D131" s="152">
        <f>IF(D43=0,0,1000000*D43/TrRoad_act!D74)</f>
        <v>1689.4100468408687</v>
      </c>
      <c r="E131" s="152">
        <f>IF(E43=0,0,1000000*E43/TrRoad_act!E74)</f>
        <v>1670.4738624229069</v>
      </c>
      <c r="F131" s="152">
        <f>IF(F43=0,0,1000000*F43/TrRoad_act!F74)</f>
        <v>1691.4368429984497</v>
      </c>
      <c r="G131" s="152">
        <f>IF(G43=0,0,1000000*G43/TrRoad_act!G74)</f>
        <v>1688.8634896674444</v>
      </c>
      <c r="H131" s="152">
        <f>IF(H43=0,0,1000000*H43/TrRoad_act!H74)</f>
        <v>1583.9931495540716</v>
      </c>
      <c r="I131" s="152">
        <f>IF(I43=0,0,1000000*I43/TrRoad_act!I74)</f>
        <v>1630.8550135627602</v>
      </c>
      <c r="J131" s="152">
        <f>IF(J43=0,0,1000000*J43/TrRoad_act!J74)</f>
        <v>1634.0173373478588</v>
      </c>
      <c r="K131" s="152">
        <f>IF(K43=0,0,1000000*K43/TrRoad_act!K74)</f>
        <v>1568.9645062262819</v>
      </c>
      <c r="L131" s="152">
        <f>IF(L43=0,0,1000000*L43/TrRoad_act!L74)</f>
        <v>1577.3263018872044</v>
      </c>
      <c r="M131" s="152">
        <f>IF(M43=0,0,1000000*M43/TrRoad_act!M74)</f>
        <v>1521.9768713048963</v>
      </c>
      <c r="N131" s="152">
        <f>IF(N43=0,0,1000000*N43/TrRoad_act!N74)</f>
        <v>1333.0022897708627</v>
      </c>
      <c r="O131" s="152">
        <f>IF(O43=0,0,1000000*O43/TrRoad_act!O74)</f>
        <v>1128.3019461732322</v>
      </c>
      <c r="P131" s="152">
        <f>IF(P43=0,0,1000000*P43/TrRoad_act!P74)</f>
        <v>1073.4684450286195</v>
      </c>
      <c r="Q131" s="152">
        <f>IF(Q43=0,0,1000000*Q43/TrRoad_act!Q74)</f>
        <v>1108.421125527806</v>
      </c>
      <c r="R131" s="152">
        <f>IF(R43=0,0,1000000*R43/TrRoad_act!R74)</f>
        <v>1161.3609652669854</v>
      </c>
      <c r="S131" s="152">
        <f>IF(S43=0,0,1000000*S43/TrRoad_act!S74)</f>
        <v>1206.9038617324024</v>
      </c>
      <c r="T131" s="152">
        <f>IF(T43=0,0,1000000*T43/TrRoad_act!T74)</f>
        <v>1190.3304740550286</v>
      </c>
      <c r="U131" s="152">
        <f>IF(U43=0,0,1000000*U43/TrRoad_act!U74)</f>
        <v>1128.2872666010378</v>
      </c>
      <c r="V131" s="152">
        <f>IF(V43=0,0,1000000*V43/TrRoad_act!V74)</f>
        <v>1129.4067248836525</v>
      </c>
      <c r="W131" s="152">
        <f>IF(W43=0,0,1000000*W43/TrRoad_act!W74)</f>
        <v>1152.4617684509726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848.65101114816412</v>
      </c>
      <c r="C132" s="87">
        <f>IF(C44=0,0,1000000*C44/TrRoad_act!C75)</f>
        <v>879.76993062395979</v>
      </c>
      <c r="D132" s="87">
        <f>IF(D44=0,0,1000000*D44/TrRoad_act!D75)</f>
        <v>923.70853432240631</v>
      </c>
      <c r="E132" s="87">
        <f>IF(E44=0,0,1000000*E44/TrRoad_act!E75)</f>
        <v>968.38570901346679</v>
      </c>
      <c r="F132" s="87">
        <f>IF(F44=0,0,1000000*F44/TrRoad_act!F75)</f>
        <v>919.67502650692722</v>
      </c>
      <c r="G132" s="87">
        <f>IF(G44=0,0,1000000*G44/TrRoad_act!G75)</f>
        <v>1012.6226329182565</v>
      </c>
      <c r="H132" s="87">
        <f>IF(H44=0,0,1000000*H44/TrRoad_act!H75)</f>
        <v>972.56289620247287</v>
      </c>
      <c r="I132" s="87">
        <f>IF(I44=0,0,1000000*I44/TrRoad_act!I75)</f>
        <v>960.40257591782313</v>
      </c>
      <c r="J132" s="87">
        <f>IF(J44=0,0,1000000*J44/TrRoad_act!J75)</f>
        <v>999.70941768441196</v>
      </c>
      <c r="K132" s="87">
        <f>IF(K44=0,0,1000000*K44/TrRoad_act!K75)</f>
        <v>919.31161211974268</v>
      </c>
      <c r="L132" s="87">
        <f>IF(L44=0,0,1000000*L44/TrRoad_act!L75)</f>
        <v>923.48558318166431</v>
      </c>
      <c r="M132" s="87">
        <f>IF(M44=0,0,1000000*M44/TrRoad_act!M75)</f>
        <v>920.68922935887269</v>
      </c>
      <c r="N132" s="87">
        <f>IF(N44=0,0,1000000*N44/TrRoad_act!N75)</f>
        <v>911.46443061381353</v>
      </c>
      <c r="O132" s="87">
        <f>IF(O44=0,0,1000000*O44/TrRoad_act!O75)</f>
        <v>818.24966674573011</v>
      </c>
      <c r="P132" s="87">
        <f>IF(P44=0,0,1000000*P44/TrRoad_act!P75)</f>
        <v>847.36968289247352</v>
      </c>
      <c r="Q132" s="87">
        <f>IF(Q44=0,0,1000000*Q44/TrRoad_act!Q75)</f>
        <v>851.84432346382266</v>
      </c>
      <c r="R132" s="87">
        <f>IF(R44=0,0,1000000*R44/TrRoad_act!R75)</f>
        <v>808.86859686732635</v>
      </c>
      <c r="S132" s="87">
        <f>IF(S44=0,0,1000000*S44/TrRoad_act!S75)</f>
        <v>844.00161143270714</v>
      </c>
      <c r="T132" s="87">
        <f>IF(T44=0,0,1000000*T44/TrRoad_act!T75)</f>
        <v>828.35938760954673</v>
      </c>
      <c r="U132" s="87">
        <f>IF(U44=0,0,1000000*U44/TrRoad_act!U75)</f>
        <v>802.46534090631337</v>
      </c>
      <c r="V132" s="87">
        <f>IF(V44=0,0,1000000*V44/TrRoad_act!V75)</f>
        <v>720.98467725648857</v>
      </c>
      <c r="W132" s="87">
        <f>IF(W44=0,0,1000000*W44/TrRoad_act!W75)</f>
        <v>728.81152524616698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1868.8641466080312</v>
      </c>
      <c r="C133" s="87">
        <f>IF(C46=0,0,1000000*C46/TrRoad_act!C76)</f>
        <v>1840.4336053454035</v>
      </c>
      <c r="D133" s="87">
        <f>IF(D46=0,0,1000000*D46/TrRoad_act!D76)</f>
        <v>1757.8171123661264</v>
      </c>
      <c r="E133" s="87">
        <f>IF(E46=0,0,1000000*E46/TrRoad_act!E76)</f>
        <v>1738.1565752062277</v>
      </c>
      <c r="F133" s="87">
        <f>IF(F46=0,0,1000000*F46/TrRoad_act!F76)</f>
        <v>1757.9015127496789</v>
      </c>
      <c r="G133" s="87">
        <f>IF(G46=0,0,1000000*G46/TrRoad_act!G76)</f>
        <v>1731.1085991711552</v>
      </c>
      <c r="H133" s="87">
        <f>IF(H46=0,0,1000000*H46/TrRoad_act!H76)</f>
        <v>1622.1873780296819</v>
      </c>
      <c r="I133" s="87">
        <f>IF(I46=0,0,1000000*I46/TrRoad_act!I76)</f>
        <v>1669.4398422415632</v>
      </c>
      <c r="J133" s="87">
        <f>IF(J46=0,0,1000000*J46/TrRoad_act!J76)</f>
        <v>1672.2146180248023</v>
      </c>
      <c r="K133" s="87">
        <f>IF(K46=0,0,1000000*K46/TrRoad_act!K76)</f>
        <v>1607.9422252789643</v>
      </c>
      <c r="L133" s="87">
        <f>IF(L46=0,0,1000000*L46/TrRoad_act!L76)</f>
        <v>1614.8017600781736</v>
      </c>
      <c r="M133" s="87">
        <f>IF(M46=0,0,1000000*M46/TrRoad_act!M76)</f>
        <v>1555.8097958955223</v>
      </c>
      <c r="N133" s="87">
        <f>IF(N46=0,0,1000000*N46/TrRoad_act!N76)</f>
        <v>1356.5547316146594</v>
      </c>
      <c r="O133" s="87">
        <f>IF(O46=0,0,1000000*O46/TrRoad_act!O76)</f>
        <v>1145.6847960548448</v>
      </c>
      <c r="P133" s="87">
        <f>IF(P46=0,0,1000000*P46/TrRoad_act!P76)</f>
        <v>1085.9839928659799</v>
      </c>
      <c r="Q133" s="87">
        <f>IF(Q46=0,0,1000000*Q46/TrRoad_act!Q76)</f>
        <v>1122.5764995437642</v>
      </c>
      <c r="R133" s="87">
        <f>IF(R46=0,0,1000000*R46/TrRoad_act!R76)</f>
        <v>1180.4975158395196</v>
      </c>
      <c r="S133" s="87">
        <f>IF(S46=0,0,1000000*S46/TrRoad_act!S76)</f>
        <v>1226.125988709183</v>
      </c>
      <c r="T133" s="87">
        <f>IF(T46=0,0,1000000*T46/TrRoad_act!T76)</f>
        <v>1209.1888809905099</v>
      </c>
      <c r="U133" s="87">
        <f>IF(U46=0,0,1000000*U46/TrRoad_act!U76)</f>
        <v>1145.3489223198887</v>
      </c>
      <c r="V133" s="87">
        <f>IF(V46=0,0,1000000*V46/TrRoad_act!V76)</f>
        <v>1151.0329547005376</v>
      </c>
      <c r="W133" s="87">
        <f>IF(W46=0,0,1000000*W46/TrRoad_act!W76)</f>
        <v>1175.6457057816567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0</v>
      </c>
      <c r="F134" s="87">
        <f>IF(F48=0,0,1000000*F48/TrRoad_act!F77)</f>
        <v>0</v>
      </c>
      <c r="G134" s="87">
        <f>IF(G48=0,0,1000000*G48/TrRoad_act!G77)</f>
        <v>0</v>
      </c>
      <c r="H134" s="87">
        <f>IF(H48=0,0,1000000*H48/TrRoad_act!H77)</f>
        <v>0</v>
      </c>
      <c r="I134" s="87">
        <f>IF(I48=0,0,1000000*I48/TrRoad_act!I77)</f>
        <v>0</v>
      </c>
      <c r="J134" s="87">
        <f>IF(J48=0,0,1000000*J48/TrRoad_act!J77)</f>
        <v>0</v>
      </c>
      <c r="K134" s="87">
        <f>IF(K48=0,0,1000000*K48/TrRoad_act!K77)</f>
        <v>0</v>
      </c>
      <c r="L134" s="87">
        <f>IF(L48=0,0,1000000*L48/TrRoad_act!L77)</f>
        <v>0</v>
      </c>
      <c r="M134" s="87">
        <f>IF(M48=0,0,1000000*M48/TrRoad_act!M77)</f>
        <v>0</v>
      </c>
      <c r="N134" s="87">
        <f>IF(N48=0,0,1000000*N48/TrRoad_act!N77)</f>
        <v>0</v>
      </c>
      <c r="O134" s="87">
        <f>IF(O48=0,0,1000000*O48/TrRoad_act!O77)</f>
        <v>0</v>
      </c>
      <c r="P134" s="87">
        <f>IF(P48=0,0,1000000*P48/TrRoad_act!P77)</f>
        <v>0</v>
      </c>
      <c r="Q134" s="87">
        <f>IF(Q48=0,0,1000000*Q48/TrRoad_act!Q77)</f>
        <v>0</v>
      </c>
      <c r="R134" s="87">
        <f>IF(R48=0,0,1000000*R48/TrRoad_act!R77)</f>
        <v>0</v>
      </c>
      <c r="S134" s="87">
        <f>IF(S48=0,0,1000000*S48/TrRoad_act!S77)</f>
        <v>0</v>
      </c>
      <c r="T134" s="87">
        <f>IF(T48=0,0,1000000*T48/TrRoad_act!T77)</f>
        <v>0</v>
      </c>
      <c r="U134" s="87">
        <f>IF(U48=0,0,1000000*U48/TrRoad_act!U77)</f>
        <v>0</v>
      </c>
      <c r="V134" s="87">
        <f>IF(V48=0,0,1000000*V48/TrRoad_act!V77)</f>
        <v>0</v>
      </c>
      <c r="W134" s="87">
        <f>IF(W48=0,0,1000000*W48/TrRoad_act!W77)</f>
        <v>0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0</v>
      </c>
      <c r="L135" s="87">
        <f>IF(L49=0,0,1000000*L49/TrRoad_act!L78)</f>
        <v>0</v>
      </c>
      <c r="M135" s="87">
        <f>IF(M49=0,0,1000000*M49/TrRoad_act!M78)</f>
        <v>0</v>
      </c>
      <c r="N135" s="87">
        <f>IF(N49=0,0,1000000*N49/TrRoad_act!N78)</f>
        <v>0</v>
      </c>
      <c r="O135" s="87">
        <f>IF(O49=0,0,1000000*O49/TrRoad_act!O78)</f>
        <v>0</v>
      </c>
      <c r="P135" s="87">
        <f>IF(P49=0,0,1000000*P49/TrRoad_act!P78)</f>
        <v>0</v>
      </c>
      <c r="Q135" s="87">
        <f>IF(Q49=0,0,1000000*Q49/TrRoad_act!Q78)</f>
        <v>0</v>
      </c>
      <c r="R135" s="87">
        <f>IF(R49=0,0,1000000*R49/TrRoad_act!R78)</f>
        <v>0</v>
      </c>
      <c r="S135" s="87">
        <f>IF(S49=0,0,1000000*S49/TrRoad_act!S78)</f>
        <v>0</v>
      </c>
      <c r="T135" s="87">
        <f>IF(T49=0,0,1000000*T49/TrRoad_act!T78)</f>
        <v>0</v>
      </c>
      <c r="U135" s="87">
        <f>IF(U49=0,0,1000000*U49/TrRoad_act!U78)</f>
        <v>0</v>
      </c>
      <c r="V135" s="87">
        <f>IF(V49=0,0,1000000*V49/TrRoad_act!V78)</f>
        <v>0</v>
      </c>
      <c r="W135" s="87">
        <f>IF(W49=0,0,1000000*W49/TrRoad_act!W78)</f>
        <v>0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119.13931697928057</v>
      </c>
      <c r="J136" s="87">
        <f>IF(J51=0,0,1000000*J51/TrRoad_act!J79)</f>
        <v>122.48717063830691</v>
      </c>
      <c r="K136" s="87">
        <f>IF(K51=0,0,1000000*K51/TrRoad_act!K79)</f>
        <v>127.80502731983385</v>
      </c>
      <c r="L136" s="87">
        <f>IF(L51=0,0,1000000*L51/TrRoad_act!L79)</f>
        <v>128.73239463278387</v>
      </c>
      <c r="M136" s="87">
        <f>IF(M51=0,0,1000000*M51/TrRoad_act!M79)</f>
        <v>129.84368414390059</v>
      </c>
      <c r="N136" s="87">
        <f>IF(N51=0,0,1000000*N51/TrRoad_act!N79)</f>
        <v>130.58181556183624</v>
      </c>
      <c r="O136" s="87">
        <f>IF(O51=0,0,1000000*O51/TrRoad_act!O79)</f>
        <v>134.19620083134507</v>
      </c>
      <c r="P136" s="87">
        <f>IF(P51=0,0,1000000*P51/TrRoad_act!P79)</f>
        <v>135.23028290451805</v>
      </c>
      <c r="Q136" s="87">
        <f>IF(Q51=0,0,1000000*Q51/TrRoad_act!Q79)</f>
        <v>135.61639202483431</v>
      </c>
      <c r="R136" s="87">
        <f>IF(R51=0,0,1000000*R51/TrRoad_act!R79)</f>
        <v>135.20206990111748</v>
      </c>
      <c r="S136" s="87">
        <f>IF(S51=0,0,1000000*S51/TrRoad_act!S79)</f>
        <v>134.79571157251098</v>
      </c>
      <c r="T136" s="87">
        <f>IF(T51=0,0,1000000*T51/TrRoad_act!T79)</f>
        <v>134.82968218270904</v>
      </c>
      <c r="U136" s="87">
        <f>IF(U51=0,0,1000000*U51/TrRoad_act!U79)</f>
        <v>167.40604369508404</v>
      </c>
      <c r="V136" s="87">
        <f>IF(V51=0,0,1000000*V51/TrRoad_act!V79)</f>
        <v>173.16763666207737</v>
      </c>
      <c r="W136" s="87">
        <f>IF(W51=0,0,1000000*W51/TrRoad_act!W79)</f>
        <v>198.77175635606781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3230.7623423392392</v>
      </c>
      <c r="C137" s="116">
        <f>IF(C52=0,0,1000000*C52/TrRoad_act!C80)</f>
        <v>2962.1083579467077</v>
      </c>
      <c r="D137" s="116">
        <f>IF(D52=0,0,1000000*D52/TrRoad_act!D80)</f>
        <v>2930.1595855207665</v>
      </c>
      <c r="E137" s="116">
        <f>IF(E52=0,0,1000000*E52/TrRoad_act!E80)</f>
        <v>3179.3522723866354</v>
      </c>
      <c r="F137" s="116">
        <f>IF(F52=0,0,1000000*F52/TrRoad_act!F80)</f>
        <v>2817.854749070234</v>
      </c>
      <c r="G137" s="116">
        <f>IF(G52=0,0,1000000*G52/TrRoad_act!G80)</f>
        <v>2638.2389514206434</v>
      </c>
      <c r="H137" s="116">
        <f>IF(H52=0,0,1000000*H52/TrRoad_act!H80)</f>
        <v>2170.5962087439821</v>
      </c>
      <c r="I137" s="116">
        <f>IF(I52=0,0,1000000*I52/TrRoad_act!I80)</f>
        <v>2609.8305441518651</v>
      </c>
      <c r="J137" s="116">
        <f>IF(J52=0,0,1000000*J52/TrRoad_act!J80)</f>
        <v>2666.3985561123618</v>
      </c>
      <c r="K137" s="116">
        <f>IF(K52=0,0,1000000*K52/TrRoad_act!K80)</f>
        <v>2000.9002702331727</v>
      </c>
      <c r="L137" s="116">
        <f>IF(L52=0,0,1000000*L52/TrRoad_act!L80)</f>
        <v>2306.5912281546216</v>
      </c>
      <c r="M137" s="116">
        <f>IF(M52=0,0,1000000*M52/TrRoad_act!M80)</f>
        <v>1993.7744557007991</v>
      </c>
      <c r="N137" s="116">
        <f>IF(N52=0,0,1000000*N52/TrRoad_act!N80)</f>
        <v>1782.5120263382148</v>
      </c>
      <c r="O137" s="116">
        <f>IF(O52=0,0,1000000*O52/TrRoad_act!O80)</f>
        <v>1677.518237785375</v>
      </c>
      <c r="P137" s="116">
        <f>IF(P52=0,0,1000000*P52/TrRoad_act!P80)</f>
        <v>1526.8923667622735</v>
      </c>
      <c r="Q137" s="116">
        <f>IF(Q52=0,0,1000000*Q52/TrRoad_act!Q80)</f>
        <v>1564.4167641147503</v>
      </c>
      <c r="R137" s="116">
        <f>IF(R52=0,0,1000000*R52/TrRoad_act!R80)</f>
        <v>2038.5264602232639</v>
      </c>
      <c r="S137" s="116">
        <f>IF(S52=0,0,1000000*S52/TrRoad_act!S80)</f>
        <v>2318.350533686531</v>
      </c>
      <c r="T137" s="116">
        <f>IF(T52=0,0,1000000*T52/TrRoad_act!T80)</f>
        <v>2339.2202925257789</v>
      </c>
      <c r="U137" s="116">
        <f>IF(U52=0,0,1000000*U52/TrRoad_act!U80)</f>
        <v>2325.6684723574185</v>
      </c>
      <c r="V137" s="116">
        <f>IF(V52=0,0,1000000*V52/TrRoad_act!V80)</f>
        <v>1704.2110558450802</v>
      </c>
      <c r="W137" s="116">
        <f>IF(W52=0,0,1000000*W52/TrRoad_act!W80)</f>
        <v>1722.8999476450776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3230.7623423392392</v>
      </c>
      <c r="C138" s="101">
        <f>IF(C53=0,0,1000000*C53/TrRoad_act!C81)</f>
        <v>2962.1083579467077</v>
      </c>
      <c r="D138" s="101">
        <f>IF(D53=0,0,1000000*D53/TrRoad_act!D81)</f>
        <v>2930.1595855207665</v>
      </c>
      <c r="E138" s="101">
        <f>IF(E53=0,0,1000000*E53/TrRoad_act!E81)</f>
        <v>3179.3522723866354</v>
      </c>
      <c r="F138" s="101">
        <f>IF(F53=0,0,1000000*F53/TrRoad_act!F81)</f>
        <v>2817.854749070234</v>
      </c>
      <c r="G138" s="101">
        <f>IF(G53=0,0,1000000*G53/TrRoad_act!G81)</f>
        <v>2638.2389514206434</v>
      </c>
      <c r="H138" s="101">
        <f>IF(H53=0,0,1000000*H53/TrRoad_act!H81)</f>
        <v>2170.5962087439821</v>
      </c>
      <c r="I138" s="101">
        <f>IF(I53=0,0,1000000*I53/TrRoad_act!I81)</f>
        <v>2609.8305441518651</v>
      </c>
      <c r="J138" s="101">
        <f>IF(J53=0,0,1000000*J53/TrRoad_act!J81)</f>
        <v>2666.3985561123618</v>
      </c>
      <c r="K138" s="101">
        <f>IF(K53=0,0,1000000*K53/TrRoad_act!K81)</f>
        <v>2000.9002702331727</v>
      </c>
      <c r="L138" s="101">
        <f>IF(L53=0,0,1000000*L53/TrRoad_act!L81)</f>
        <v>2306.5912281546216</v>
      </c>
      <c r="M138" s="101">
        <f>IF(M53=0,0,1000000*M53/TrRoad_act!M81)</f>
        <v>1993.7744557007991</v>
      </c>
      <c r="N138" s="101">
        <f>IF(N53=0,0,1000000*N53/TrRoad_act!N81)</f>
        <v>1782.5120263382148</v>
      </c>
      <c r="O138" s="101">
        <f>IF(O53=0,0,1000000*O53/TrRoad_act!O81)</f>
        <v>1677.518237785375</v>
      </c>
      <c r="P138" s="101">
        <f>IF(P53=0,0,1000000*P53/TrRoad_act!P81)</f>
        <v>1526.8923667622735</v>
      </c>
      <c r="Q138" s="101">
        <f>IF(Q53=0,0,1000000*Q53/TrRoad_act!Q81)</f>
        <v>1564.4167641147503</v>
      </c>
      <c r="R138" s="101">
        <f>IF(R53=0,0,1000000*R53/TrRoad_act!R81)</f>
        <v>2038.5264602232639</v>
      </c>
      <c r="S138" s="101">
        <f>IF(S53=0,0,1000000*S53/TrRoad_act!S81)</f>
        <v>2318.350533686531</v>
      </c>
      <c r="T138" s="101">
        <f>IF(T53=0,0,1000000*T53/TrRoad_act!T81)</f>
        <v>2339.2202925257789</v>
      </c>
      <c r="U138" s="101">
        <f>IF(U53=0,0,1000000*U53/TrRoad_act!U81)</f>
        <v>2325.6684723574185</v>
      </c>
      <c r="V138" s="101">
        <f>IF(V53=0,0,1000000*V53/TrRoad_act!V81)</f>
        <v>1704.2110558450802</v>
      </c>
      <c r="W138" s="101">
        <f>IF(W53=0,0,1000000*W53/TrRoad_act!W81)</f>
        <v>1722.8999476450776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0</v>
      </c>
      <c r="C139" s="88">
        <f>IF(C55=0,0,1000000*C55/TrRoad_act!C82)</f>
        <v>0</v>
      </c>
      <c r="D139" s="88">
        <f>IF(D55=0,0,1000000*D55/TrRoad_act!D82)</f>
        <v>0</v>
      </c>
      <c r="E139" s="88">
        <f>IF(E55=0,0,1000000*E55/TrRoad_act!E82)</f>
        <v>0</v>
      </c>
      <c r="F139" s="88">
        <f>IF(F55=0,0,1000000*F55/TrRoad_act!F82)</f>
        <v>0</v>
      </c>
      <c r="G139" s="88">
        <f>IF(G55=0,0,1000000*G55/TrRoad_act!G82)</f>
        <v>0</v>
      </c>
      <c r="H139" s="88">
        <f>IF(H55=0,0,1000000*H55/TrRoad_act!H82)</f>
        <v>0</v>
      </c>
      <c r="I139" s="88">
        <f>IF(I55=0,0,1000000*I55/TrRoad_act!I82)</f>
        <v>0</v>
      </c>
      <c r="J139" s="88">
        <f>IF(J55=0,0,1000000*J55/TrRoad_act!J82)</f>
        <v>0</v>
      </c>
      <c r="K139" s="88">
        <f>IF(K55=0,0,1000000*K55/TrRoad_act!K82)</f>
        <v>0</v>
      </c>
      <c r="L139" s="88">
        <f>IF(L55=0,0,1000000*L55/TrRoad_act!L82)</f>
        <v>0</v>
      </c>
      <c r="M139" s="88">
        <f>IF(M55=0,0,1000000*M55/TrRoad_act!M82)</f>
        <v>0</v>
      </c>
      <c r="N139" s="88">
        <f>IF(N55=0,0,1000000*N55/TrRoad_act!N82)</f>
        <v>0</v>
      </c>
      <c r="O139" s="88">
        <f>IF(O55=0,0,1000000*O55/TrRoad_act!O82)</f>
        <v>0</v>
      </c>
      <c r="P139" s="88">
        <f>IF(P55=0,0,1000000*P55/TrRoad_act!P82)</f>
        <v>0</v>
      </c>
      <c r="Q139" s="88">
        <f>IF(Q55=0,0,1000000*Q55/TrRoad_act!Q82)</f>
        <v>0</v>
      </c>
      <c r="R139" s="88">
        <f>IF(R55=0,0,1000000*R55/TrRoad_act!R82)</f>
        <v>0</v>
      </c>
      <c r="S139" s="88">
        <f>IF(S55=0,0,1000000*S55/TrRoad_act!S82)</f>
        <v>0</v>
      </c>
      <c r="T139" s="88">
        <f>IF(T55=0,0,1000000*T55/TrRoad_act!T82)</f>
        <v>0</v>
      </c>
      <c r="U139" s="88">
        <f>IF(U55=0,0,1000000*U55/TrRoad_act!U82)</f>
        <v>0</v>
      </c>
      <c r="V139" s="88">
        <f>IF(V55=0,0,1000000*V55/TrRoad_act!V82)</f>
        <v>0</v>
      </c>
      <c r="W139" s="88">
        <f>IF(W55=0,0,1000000*W55/TrRoad_act!W82)</f>
        <v>0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0.60966208675251565</v>
      </c>
      <c r="C142" s="46">
        <f t="shared" si="41"/>
        <v>0.62016729236967882</v>
      </c>
      <c r="D142" s="46">
        <f t="shared" si="41"/>
        <v>0.63150844724154254</v>
      </c>
      <c r="E142" s="46">
        <f t="shared" si="41"/>
        <v>0.64442758819780943</v>
      </c>
      <c r="F142" s="46">
        <f t="shared" si="41"/>
        <v>0.67298014529316696</v>
      </c>
      <c r="G142" s="46">
        <f t="shared" si="41"/>
        <v>0.67659211630179517</v>
      </c>
      <c r="H142" s="46">
        <f t="shared" si="41"/>
        <v>0.71058214119065011</v>
      </c>
      <c r="I142" s="46">
        <f t="shared" si="41"/>
        <v>0.7211100739431171</v>
      </c>
      <c r="J142" s="46">
        <f t="shared" si="41"/>
        <v>0.7235715073639809</v>
      </c>
      <c r="K142" s="46">
        <f t="shared" si="41"/>
        <v>0.74557144754156313</v>
      </c>
      <c r="L142" s="46">
        <f t="shared" ref="L142" si="42">IF(L18=0,0,L18/L$17)</f>
        <v>0.74318945304198991</v>
      </c>
      <c r="M142" s="46">
        <f t="shared" ref="M142:V142" si="43">IF(M18=0,0,M18/M$17)</f>
        <v>0.75285234778458765</v>
      </c>
      <c r="N142" s="46">
        <f t="shared" si="43"/>
        <v>0.7681768145500083</v>
      </c>
      <c r="O142" s="46">
        <f t="shared" si="43"/>
        <v>0.79040113128947809</v>
      </c>
      <c r="P142" s="46">
        <f t="shared" si="43"/>
        <v>0.80404506670369602</v>
      </c>
      <c r="Q142" s="46">
        <f t="shared" si="43"/>
        <v>0.80630637158607743</v>
      </c>
      <c r="R142" s="46">
        <f t="shared" si="43"/>
        <v>0.79641178839464288</v>
      </c>
      <c r="S142" s="46">
        <f t="shared" si="43"/>
        <v>0.78819198113734201</v>
      </c>
      <c r="T142" s="46">
        <f t="shared" si="43"/>
        <v>0.78485213649314967</v>
      </c>
      <c r="U142" s="46">
        <f t="shared" si="43"/>
        <v>0.78930985907187501</v>
      </c>
      <c r="V142" s="46">
        <f t="shared" si="43"/>
        <v>0.77319615142010212</v>
      </c>
      <c r="W142" s="46">
        <f t="shared" ref="W142" si="44">IF(W18=0,0,W18/W$17)</f>
        <v>0.78095508457589491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1.0108071975304974E-2</v>
      </c>
      <c r="C143" s="154">
        <f t="shared" si="45"/>
        <v>9.5581601495898314E-3</v>
      </c>
      <c r="D143" s="154">
        <f t="shared" si="45"/>
        <v>9.3738584643240919E-3</v>
      </c>
      <c r="E143" s="154">
        <f t="shared" si="45"/>
        <v>8.9349288007736071E-3</v>
      </c>
      <c r="F143" s="154">
        <f t="shared" si="45"/>
        <v>8.3999919501765805E-3</v>
      </c>
      <c r="G143" s="154">
        <f t="shared" si="45"/>
        <v>8.0628522302139041E-3</v>
      </c>
      <c r="H143" s="154">
        <f t="shared" si="45"/>
        <v>8.0239385962690164E-3</v>
      </c>
      <c r="I143" s="154">
        <f t="shared" si="45"/>
        <v>7.5226853683990754E-3</v>
      </c>
      <c r="J143" s="154">
        <f t="shared" si="45"/>
        <v>7.3389330281596983E-3</v>
      </c>
      <c r="K143" s="154">
        <f t="shared" si="45"/>
        <v>7.1945153942078463E-3</v>
      </c>
      <c r="L143" s="154">
        <f t="shared" ref="L143" si="46">IF(L19=0,0,L19/L$17)</f>
        <v>6.8874510716702229E-3</v>
      </c>
      <c r="M143" s="154">
        <f t="shared" ref="M143:V143" si="47">IF(M19=0,0,M19/M$17)</f>
        <v>6.8821858952707272E-3</v>
      </c>
      <c r="N143" s="154">
        <f t="shared" si="47"/>
        <v>7.5391631027021061E-3</v>
      </c>
      <c r="O143" s="154">
        <f t="shared" si="47"/>
        <v>8.1566621943384137E-3</v>
      </c>
      <c r="P143" s="154">
        <f t="shared" si="47"/>
        <v>8.4884635312683608E-3</v>
      </c>
      <c r="Q143" s="154">
        <f t="shared" si="47"/>
        <v>7.9593191834759595E-3</v>
      </c>
      <c r="R143" s="154">
        <f t="shared" si="47"/>
        <v>7.4031948662559915E-3</v>
      </c>
      <c r="S143" s="154">
        <f t="shared" si="47"/>
        <v>6.6934738210117266E-3</v>
      </c>
      <c r="T143" s="154">
        <f t="shared" si="47"/>
        <v>6.2691102846438897E-3</v>
      </c>
      <c r="U143" s="154">
        <f t="shared" si="47"/>
        <v>6.4335245163120594E-3</v>
      </c>
      <c r="V143" s="154">
        <f t="shared" si="47"/>
        <v>6.3927644342217501E-3</v>
      </c>
      <c r="W143" s="154">
        <f t="shared" ref="W143" si="48">IF(W19=0,0,W19/W$17)</f>
        <v>5.826306318205297E-3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0.44268799736997211</v>
      </c>
      <c r="C144" s="156">
        <f t="shared" si="49"/>
        <v>0.45572303110626655</v>
      </c>
      <c r="D144" s="156">
        <f t="shared" si="49"/>
        <v>0.46997909368851265</v>
      </c>
      <c r="E144" s="156">
        <f t="shared" si="49"/>
        <v>0.48154446139517554</v>
      </c>
      <c r="F144" s="156">
        <f t="shared" si="49"/>
        <v>0.51098608604869455</v>
      </c>
      <c r="G144" s="156">
        <f t="shared" si="49"/>
        <v>0.52776588865231122</v>
      </c>
      <c r="H144" s="156">
        <f t="shared" si="49"/>
        <v>0.55922288259671127</v>
      </c>
      <c r="I144" s="156">
        <f t="shared" si="49"/>
        <v>0.57213826273652124</v>
      </c>
      <c r="J144" s="156">
        <f t="shared" si="49"/>
        <v>0.58205326538147639</v>
      </c>
      <c r="K144" s="156">
        <f t="shared" si="49"/>
        <v>0.60246609382912752</v>
      </c>
      <c r="L144" s="156">
        <f t="shared" ref="L144" si="50">IF(L21=0,0,L21/L$17)</f>
        <v>0.60259263327585311</v>
      </c>
      <c r="M144" s="156">
        <f t="shared" ref="M144:V144" si="51">IF(M21=0,0,M21/M$17)</f>
        <v>0.60995000418506329</v>
      </c>
      <c r="N144" s="156">
        <f t="shared" si="51"/>
        <v>0.62650998789122114</v>
      </c>
      <c r="O144" s="156">
        <f t="shared" si="51"/>
        <v>0.64856217225906709</v>
      </c>
      <c r="P144" s="156">
        <f t="shared" si="51"/>
        <v>0.65873986363444914</v>
      </c>
      <c r="Q144" s="156">
        <f t="shared" si="51"/>
        <v>0.65150653329796282</v>
      </c>
      <c r="R144" s="156">
        <f t="shared" si="51"/>
        <v>0.64343756410504205</v>
      </c>
      <c r="S144" s="156">
        <f t="shared" si="51"/>
        <v>0.63372759618955576</v>
      </c>
      <c r="T144" s="156">
        <f t="shared" si="51"/>
        <v>0.63116293460655348</v>
      </c>
      <c r="U144" s="156">
        <f t="shared" si="51"/>
        <v>0.63357888032852983</v>
      </c>
      <c r="V144" s="156">
        <f t="shared" si="51"/>
        <v>0.62767651001743396</v>
      </c>
      <c r="W144" s="156">
        <f t="shared" ref="W144" si="52">IF(W21=0,0,W21/W$17)</f>
        <v>0.63115786089362125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0.35316383810965957</v>
      </c>
      <c r="C145" s="103">
        <f t="shared" si="53"/>
        <v>0.36436038186843073</v>
      </c>
      <c r="D145" s="103">
        <f t="shared" si="53"/>
        <v>0.38392258356106024</v>
      </c>
      <c r="E145" s="103">
        <f t="shared" si="53"/>
        <v>0.40063290367240423</v>
      </c>
      <c r="F145" s="103">
        <f t="shared" si="53"/>
        <v>0.42968163193620207</v>
      </c>
      <c r="G145" s="103">
        <f t="shared" si="53"/>
        <v>0.45612970781167295</v>
      </c>
      <c r="H145" s="103">
        <f t="shared" si="53"/>
        <v>0.48978606955740966</v>
      </c>
      <c r="I145" s="103">
        <f t="shared" si="53"/>
        <v>0.5019094593767337</v>
      </c>
      <c r="J145" s="103">
        <f t="shared" si="53"/>
        <v>0.51195101677043864</v>
      </c>
      <c r="K145" s="103">
        <f t="shared" si="53"/>
        <v>0.52548739590107463</v>
      </c>
      <c r="L145" s="103">
        <f t="shared" ref="L145" si="54">IF(L22=0,0,L22/L$17)</f>
        <v>0.52463616530569235</v>
      </c>
      <c r="M145" s="103">
        <f t="shared" ref="M145:V145" si="55">IF(M22=0,0,M22/M$17)</f>
        <v>0.53277451637885964</v>
      </c>
      <c r="N145" s="103">
        <f t="shared" si="55"/>
        <v>0.55647595749240497</v>
      </c>
      <c r="O145" s="103">
        <f t="shared" si="55"/>
        <v>0.5792698309219465</v>
      </c>
      <c r="P145" s="103">
        <f t="shared" si="55"/>
        <v>0.5859088764964292</v>
      </c>
      <c r="Q145" s="103">
        <f t="shared" si="55"/>
        <v>0.57190014234242537</v>
      </c>
      <c r="R145" s="103">
        <f t="shared" si="55"/>
        <v>0.55532693585585946</v>
      </c>
      <c r="S145" s="103">
        <f t="shared" si="55"/>
        <v>0.5340453909713363</v>
      </c>
      <c r="T145" s="103">
        <f t="shared" si="55"/>
        <v>0.51713648498166687</v>
      </c>
      <c r="U145" s="103">
        <f t="shared" si="55"/>
        <v>0.5034675055965625</v>
      </c>
      <c r="V145" s="103">
        <f t="shared" si="55"/>
        <v>0.47691147418345248</v>
      </c>
      <c r="W145" s="103">
        <f t="shared" ref="W145" si="56">IF(W22=0,0,W22/W$17)</f>
        <v>0.47782806264639577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8.9524159260312569E-2</v>
      </c>
      <c r="C146" s="103">
        <f t="shared" si="57"/>
        <v>9.1362649237835797E-2</v>
      </c>
      <c r="D146" s="103">
        <f t="shared" si="57"/>
        <v>8.6056510127452385E-2</v>
      </c>
      <c r="E146" s="103">
        <f t="shared" si="57"/>
        <v>8.0911557722771268E-2</v>
      </c>
      <c r="F146" s="103">
        <f t="shared" si="57"/>
        <v>8.1304454112492389E-2</v>
      </c>
      <c r="G146" s="103">
        <f t="shared" si="57"/>
        <v>7.1636180840638233E-2</v>
      </c>
      <c r="H146" s="103">
        <f t="shared" si="57"/>
        <v>6.9436813039301562E-2</v>
      </c>
      <c r="I146" s="103">
        <f t="shared" si="57"/>
        <v>7.0228803359787526E-2</v>
      </c>
      <c r="J146" s="103">
        <f t="shared" si="57"/>
        <v>7.010224861103774E-2</v>
      </c>
      <c r="K146" s="103">
        <f t="shared" si="57"/>
        <v>7.6978697928052814E-2</v>
      </c>
      <c r="L146" s="103">
        <f t="shared" ref="L146" si="58">IF(L24=0,0,L24/L$17)</f>
        <v>7.7956467970160731E-2</v>
      </c>
      <c r="M146" s="103">
        <f t="shared" ref="M146:V146" si="59">IF(M24=0,0,M24/M$17)</f>
        <v>7.7175487806203591E-2</v>
      </c>
      <c r="N146" s="103">
        <f t="shared" si="59"/>
        <v>7.0034030398816186E-2</v>
      </c>
      <c r="O146" s="103">
        <f t="shared" si="59"/>
        <v>6.929086005135425E-2</v>
      </c>
      <c r="P146" s="103">
        <f t="shared" si="59"/>
        <v>7.2825557366539839E-2</v>
      </c>
      <c r="Q146" s="103">
        <f t="shared" si="59"/>
        <v>7.9585220167096016E-2</v>
      </c>
      <c r="R146" s="103">
        <f t="shared" si="59"/>
        <v>8.8071397526029521E-2</v>
      </c>
      <c r="S146" s="103">
        <f t="shared" si="59"/>
        <v>9.9594470173180988E-2</v>
      </c>
      <c r="T146" s="103">
        <f t="shared" si="59"/>
        <v>0.11316289961513702</v>
      </c>
      <c r="U146" s="103">
        <f t="shared" si="59"/>
        <v>0.12913468144793944</v>
      </c>
      <c r="V146" s="103">
        <f t="shared" si="59"/>
        <v>0.1497645505765573</v>
      </c>
      <c r="W146" s="103">
        <f t="shared" ref="W146" si="60">IF(W24=0,0,W24/W$17)</f>
        <v>0.1521969922604548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0</v>
      </c>
      <c r="C147" s="103">
        <f t="shared" si="61"/>
        <v>0</v>
      </c>
      <c r="D147" s="103">
        <f t="shared" si="61"/>
        <v>0</v>
      </c>
      <c r="E147" s="103">
        <f t="shared" si="61"/>
        <v>0</v>
      </c>
      <c r="F147" s="103">
        <f t="shared" si="61"/>
        <v>0</v>
      </c>
      <c r="G147" s="103">
        <f t="shared" si="61"/>
        <v>0</v>
      </c>
      <c r="H147" s="103">
        <f t="shared" si="61"/>
        <v>0</v>
      </c>
      <c r="I147" s="103">
        <f t="shared" si="61"/>
        <v>0</v>
      </c>
      <c r="J147" s="103">
        <f t="shared" si="61"/>
        <v>0</v>
      </c>
      <c r="K147" s="103">
        <f t="shared" si="61"/>
        <v>0</v>
      </c>
      <c r="L147" s="103">
        <f t="shared" ref="L147" si="62">IF(L26=0,0,L26/L$17)</f>
        <v>0</v>
      </c>
      <c r="M147" s="103">
        <f t="shared" ref="M147:V147" si="63">IF(M26=0,0,M26/M$17)</f>
        <v>0</v>
      </c>
      <c r="N147" s="103">
        <f t="shared" si="63"/>
        <v>0</v>
      </c>
      <c r="O147" s="103">
        <f t="shared" si="63"/>
        <v>0</v>
      </c>
      <c r="P147" s="103">
        <f t="shared" si="63"/>
        <v>0</v>
      </c>
      <c r="Q147" s="103">
        <f t="shared" si="63"/>
        <v>0</v>
      </c>
      <c r="R147" s="103">
        <f t="shared" si="63"/>
        <v>0</v>
      </c>
      <c r="S147" s="103">
        <f t="shared" si="63"/>
        <v>0</v>
      </c>
      <c r="T147" s="103">
        <f t="shared" si="63"/>
        <v>7.3018876710019228E-4</v>
      </c>
      <c r="U147" s="103">
        <f t="shared" si="63"/>
        <v>7.808586707303088E-4</v>
      </c>
      <c r="V147" s="103">
        <f t="shared" si="63"/>
        <v>7.3193601641446612E-4</v>
      </c>
      <c r="W147" s="103">
        <f t="shared" ref="W147" si="64">IF(W26=0,0,W26/W$17)</f>
        <v>7.8492721717145686E-4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0</v>
      </c>
      <c r="C148" s="103">
        <f t="shared" si="65"/>
        <v>0</v>
      </c>
      <c r="D148" s="103">
        <f t="shared" si="65"/>
        <v>0</v>
      </c>
      <c r="E148" s="103">
        <f t="shared" si="65"/>
        <v>0</v>
      </c>
      <c r="F148" s="103">
        <f t="shared" si="65"/>
        <v>0</v>
      </c>
      <c r="G148" s="103">
        <f t="shared" si="65"/>
        <v>0</v>
      </c>
      <c r="H148" s="103">
        <f t="shared" si="65"/>
        <v>0</v>
      </c>
      <c r="I148" s="103">
        <f t="shared" si="65"/>
        <v>0</v>
      </c>
      <c r="J148" s="103">
        <f t="shared" si="65"/>
        <v>0</v>
      </c>
      <c r="K148" s="103">
        <f t="shared" si="65"/>
        <v>0</v>
      </c>
      <c r="L148" s="103">
        <f t="shared" ref="L148" si="66">IF(L27=0,0,L27/L$17)</f>
        <v>0</v>
      </c>
      <c r="M148" s="103">
        <f t="shared" ref="M148:V148" si="67">IF(M27=0,0,M27/M$17)</f>
        <v>0</v>
      </c>
      <c r="N148" s="103">
        <f t="shared" si="67"/>
        <v>0</v>
      </c>
      <c r="O148" s="103">
        <f t="shared" si="67"/>
        <v>0</v>
      </c>
      <c r="P148" s="103">
        <f t="shared" si="67"/>
        <v>0</v>
      </c>
      <c r="Q148" s="103">
        <f t="shared" si="67"/>
        <v>0</v>
      </c>
      <c r="R148" s="103">
        <f t="shared" si="67"/>
        <v>0</v>
      </c>
      <c r="S148" s="103">
        <f t="shared" si="67"/>
        <v>0</v>
      </c>
      <c r="T148" s="103">
        <f t="shared" si="67"/>
        <v>0</v>
      </c>
      <c r="U148" s="103">
        <f t="shared" si="67"/>
        <v>0</v>
      </c>
      <c r="V148" s="103">
        <f t="shared" si="67"/>
        <v>0</v>
      </c>
      <c r="W148" s="103">
        <f t="shared" ref="W148" si="68">IF(W27=0,0,W27/W$17)</f>
        <v>0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0</v>
      </c>
      <c r="K149" s="103">
        <f t="shared" si="69"/>
        <v>0</v>
      </c>
      <c r="L149" s="103">
        <f t="shared" ref="L149" si="70">IF(L29=0,0,L29/L$17)</f>
        <v>0</v>
      </c>
      <c r="M149" s="103">
        <f t="shared" ref="M149:V149" si="71">IF(M29=0,0,M29/M$17)</f>
        <v>0</v>
      </c>
      <c r="N149" s="103">
        <f t="shared" si="71"/>
        <v>0</v>
      </c>
      <c r="O149" s="103">
        <f t="shared" si="71"/>
        <v>0</v>
      </c>
      <c r="P149" s="103">
        <f t="shared" si="71"/>
        <v>1.6025268644656008E-6</v>
      </c>
      <c r="Q149" s="103">
        <f t="shared" si="71"/>
        <v>1.5377481547873597E-5</v>
      </c>
      <c r="R149" s="103">
        <f t="shared" si="71"/>
        <v>3.0852801618785378E-5</v>
      </c>
      <c r="S149" s="103">
        <f t="shared" si="71"/>
        <v>6.7605924281776184E-5</v>
      </c>
      <c r="T149" s="103">
        <f t="shared" si="71"/>
        <v>1.0046554726374735E-4</v>
      </c>
      <c r="U149" s="103">
        <f t="shared" si="71"/>
        <v>1.4648334041757888E-4</v>
      </c>
      <c r="V149" s="103">
        <f t="shared" si="71"/>
        <v>2.0556373096865287E-4</v>
      </c>
      <c r="W149" s="103">
        <f t="shared" ref="W149" si="72">IF(W29=0,0,W29/W$17)</f>
        <v>2.6350254039478701E-4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0</v>
      </c>
      <c r="F150" s="103">
        <f t="shared" si="73"/>
        <v>0</v>
      </c>
      <c r="G150" s="103">
        <f t="shared" si="73"/>
        <v>0</v>
      </c>
      <c r="H150" s="103">
        <f t="shared" si="73"/>
        <v>0</v>
      </c>
      <c r="I150" s="103">
        <f t="shared" si="73"/>
        <v>0</v>
      </c>
      <c r="J150" s="103">
        <f t="shared" si="73"/>
        <v>0</v>
      </c>
      <c r="K150" s="103">
        <f t="shared" si="73"/>
        <v>0</v>
      </c>
      <c r="L150" s="103">
        <f t="shared" ref="L150" si="74">IF(L32=0,0,L32/L$17)</f>
        <v>0</v>
      </c>
      <c r="M150" s="103">
        <f t="shared" ref="M150:V150" si="75">IF(M32=0,0,M32/M$17)</f>
        <v>0</v>
      </c>
      <c r="N150" s="103">
        <f t="shared" si="75"/>
        <v>0</v>
      </c>
      <c r="O150" s="103">
        <f t="shared" si="75"/>
        <v>1.4812857663710529E-6</v>
      </c>
      <c r="P150" s="103">
        <f t="shared" si="75"/>
        <v>3.8272446156923555E-6</v>
      </c>
      <c r="Q150" s="103">
        <f t="shared" si="75"/>
        <v>5.7933068936366566E-6</v>
      </c>
      <c r="R150" s="103">
        <f t="shared" si="75"/>
        <v>8.377921534252627E-6</v>
      </c>
      <c r="S150" s="103">
        <f t="shared" si="75"/>
        <v>2.0129120756782818E-5</v>
      </c>
      <c r="T150" s="103">
        <f t="shared" si="75"/>
        <v>3.2895695385756813E-5</v>
      </c>
      <c r="U150" s="103">
        <f t="shared" si="75"/>
        <v>4.9351272879936287E-5</v>
      </c>
      <c r="V150" s="103">
        <f t="shared" si="75"/>
        <v>6.2985510041254939E-5</v>
      </c>
      <c r="W150" s="103">
        <f t="shared" ref="W150" si="76">IF(W32=0,0,W32/W$17)</f>
        <v>8.4376229204408064E-5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0.15686601740723846</v>
      </c>
      <c r="C151" s="156">
        <f t="shared" si="77"/>
        <v>0.15488610111382234</v>
      </c>
      <c r="D151" s="156">
        <f t="shared" si="77"/>
        <v>0.15215549508870577</v>
      </c>
      <c r="E151" s="156">
        <f t="shared" si="77"/>
        <v>0.15394819800186024</v>
      </c>
      <c r="F151" s="156">
        <f t="shared" si="77"/>
        <v>0.15359406729429581</v>
      </c>
      <c r="G151" s="156">
        <f t="shared" si="77"/>
        <v>0.14076337541927009</v>
      </c>
      <c r="H151" s="156">
        <f t="shared" si="77"/>
        <v>0.14333531999766971</v>
      </c>
      <c r="I151" s="156">
        <f t="shared" si="77"/>
        <v>0.14144912583819672</v>
      </c>
      <c r="J151" s="156">
        <f t="shared" si="77"/>
        <v>0.13417930895434474</v>
      </c>
      <c r="K151" s="156">
        <f t="shared" si="77"/>
        <v>0.13591083831822784</v>
      </c>
      <c r="L151" s="156">
        <f t="shared" ref="L151" si="78">IF(L33=0,0,L33/L$17)</f>
        <v>0.13370936869446656</v>
      </c>
      <c r="M151" s="156">
        <f t="shared" ref="M151:V151" si="79">IF(M33=0,0,M33/M$17)</f>
        <v>0.13602015770425363</v>
      </c>
      <c r="N151" s="156">
        <f t="shared" si="79"/>
        <v>0.13412766355608513</v>
      </c>
      <c r="O151" s="156">
        <f t="shared" si="79"/>
        <v>0.13368229683607261</v>
      </c>
      <c r="P151" s="156">
        <f t="shared" si="79"/>
        <v>0.13681673953797843</v>
      </c>
      <c r="Q151" s="156">
        <f t="shared" si="79"/>
        <v>0.14684051910463861</v>
      </c>
      <c r="R151" s="156">
        <f t="shared" si="79"/>
        <v>0.14557102942334471</v>
      </c>
      <c r="S151" s="156">
        <f t="shared" si="79"/>
        <v>0.14777091112677454</v>
      </c>
      <c r="T151" s="156">
        <f t="shared" si="79"/>
        <v>0.14742009160195221</v>
      </c>
      <c r="U151" s="156">
        <f t="shared" si="79"/>
        <v>0.14929745422703311</v>
      </c>
      <c r="V151" s="156">
        <f t="shared" si="79"/>
        <v>0.13912687696844631</v>
      </c>
      <c r="W151" s="156">
        <f t="shared" ref="W151" si="80">IF(W33=0,0,W33/W$17)</f>
        <v>0.14397091736406845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1.4770191818665307E-3</v>
      </c>
      <c r="C152" s="103">
        <f t="shared" si="81"/>
        <v>1.4613623468825488E-3</v>
      </c>
      <c r="D152" s="103">
        <f t="shared" si="81"/>
        <v>1.459579278965514E-3</v>
      </c>
      <c r="E152" s="103">
        <f t="shared" si="81"/>
        <v>1.4515027918462402E-3</v>
      </c>
      <c r="F152" s="103">
        <f t="shared" si="81"/>
        <v>1.3805158863901467E-3</v>
      </c>
      <c r="G152" s="103">
        <f t="shared" si="81"/>
        <v>1.3735337793497658E-3</v>
      </c>
      <c r="H152" s="103">
        <f t="shared" si="81"/>
        <v>1.4289715734987882E-3</v>
      </c>
      <c r="I152" s="103">
        <f t="shared" si="81"/>
        <v>1.3317223652119755E-3</v>
      </c>
      <c r="J152" s="103">
        <f t="shared" si="81"/>
        <v>1.283044688344523E-3</v>
      </c>
      <c r="K152" s="103">
        <f t="shared" si="81"/>
        <v>1.2570327409591557E-3</v>
      </c>
      <c r="L152" s="103">
        <f t="shared" ref="L152" si="82">IF(L34=0,0,L34/L$17)</f>
        <v>1.2486432457981813E-3</v>
      </c>
      <c r="M152" s="103">
        <f t="shared" ref="M152:V152" si="83">IF(M34=0,0,M34/M$17)</f>
        <v>1.2795732968327548E-3</v>
      </c>
      <c r="N152" s="103">
        <f t="shared" si="83"/>
        <v>1.3675857072508132E-3</v>
      </c>
      <c r="O152" s="103">
        <f t="shared" si="83"/>
        <v>1.4328026298980256E-3</v>
      </c>
      <c r="P152" s="103">
        <f t="shared" si="83"/>
        <v>4.9727689656048346E-4</v>
      </c>
      <c r="Q152" s="103">
        <f t="shared" si="83"/>
        <v>4.2561338731398533E-4</v>
      </c>
      <c r="R152" s="103">
        <f t="shared" si="83"/>
        <v>3.7029932085047649E-4</v>
      </c>
      <c r="S152" s="103">
        <f t="shared" si="83"/>
        <v>3.7564241218821187E-4</v>
      </c>
      <c r="T152" s="103">
        <f t="shared" si="83"/>
        <v>3.8374946926765513E-4</v>
      </c>
      <c r="U152" s="103">
        <f t="shared" si="83"/>
        <v>3.6992310057275003E-4</v>
      </c>
      <c r="V152" s="103">
        <f t="shared" si="83"/>
        <v>3.8465325743097144E-4</v>
      </c>
      <c r="W152" s="103">
        <f t="shared" ref="W152" si="84">IF(W34=0,0,W34/W$17)</f>
        <v>3.6638924224952372E-4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0.15538899822537194</v>
      </c>
      <c r="C153" s="103">
        <f t="shared" si="85"/>
        <v>0.15342473876693977</v>
      </c>
      <c r="D153" s="103">
        <f t="shared" si="85"/>
        <v>0.15069591580974023</v>
      </c>
      <c r="E153" s="103">
        <f t="shared" si="85"/>
        <v>0.15249669521001402</v>
      </c>
      <c r="F153" s="103">
        <f t="shared" si="85"/>
        <v>0.15221355140790566</v>
      </c>
      <c r="G153" s="103">
        <f t="shared" si="85"/>
        <v>0.1393898416399203</v>
      </c>
      <c r="H153" s="103">
        <f t="shared" si="85"/>
        <v>0.14190634842417094</v>
      </c>
      <c r="I153" s="103">
        <f t="shared" si="85"/>
        <v>0.14011740347298476</v>
      </c>
      <c r="J153" s="103">
        <f t="shared" si="85"/>
        <v>0.13287950401592269</v>
      </c>
      <c r="K153" s="103">
        <f t="shared" si="85"/>
        <v>0.13463714088657711</v>
      </c>
      <c r="L153" s="103">
        <f t="shared" ref="L153" si="86">IF(L36=0,0,L36/L$17)</f>
        <v>0.13244440756881637</v>
      </c>
      <c r="M153" s="103">
        <f t="shared" ref="M153:V153" si="87">IF(M36=0,0,M36/M$17)</f>
        <v>0.13472380352193558</v>
      </c>
      <c r="N153" s="103">
        <f t="shared" si="87"/>
        <v>0.13274192745626312</v>
      </c>
      <c r="O153" s="103">
        <f t="shared" si="87"/>
        <v>0.1322293557040144</v>
      </c>
      <c r="P153" s="103">
        <f t="shared" si="87"/>
        <v>0.13629862297901851</v>
      </c>
      <c r="Q153" s="103">
        <f t="shared" si="87"/>
        <v>0.14639479753988768</v>
      </c>
      <c r="R153" s="103">
        <f t="shared" si="87"/>
        <v>0.14518175664444233</v>
      </c>
      <c r="S153" s="103">
        <f t="shared" si="87"/>
        <v>0.14737691339120426</v>
      </c>
      <c r="T153" s="103">
        <f t="shared" si="87"/>
        <v>0.14701814252069459</v>
      </c>
      <c r="U153" s="103">
        <f t="shared" si="87"/>
        <v>0.14890955266255462</v>
      </c>
      <c r="V153" s="103">
        <f t="shared" si="87"/>
        <v>0.13871868854746386</v>
      </c>
      <c r="W153" s="103">
        <f t="shared" ref="W153" si="88">IF(W36=0,0,W36/W$17)</f>
        <v>0.14358237395718559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0</v>
      </c>
      <c r="C154" s="103">
        <f t="shared" si="89"/>
        <v>0</v>
      </c>
      <c r="D154" s="103">
        <f t="shared" si="89"/>
        <v>0</v>
      </c>
      <c r="E154" s="103">
        <f t="shared" si="89"/>
        <v>0</v>
      </c>
      <c r="F154" s="103">
        <f t="shared" si="89"/>
        <v>0</v>
      </c>
      <c r="G154" s="103">
        <f t="shared" si="89"/>
        <v>0</v>
      </c>
      <c r="H154" s="103">
        <f t="shared" si="89"/>
        <v>0</v>
      </c>
      <c r="I154" s="103">
        <f t="shared" si="89"/>
        <v>0</v>
      </c>
      <c r="J154" s="103">
        <f t="shared" si="89"/>
        <v>0</v>
      </c>
      <c r="K154" s="103">
        <f t="shared" si="89"/>
        <v>0</v>
      </c>
      <c r="L154" s="103">
        <f t="shared" ref="L154" si="90">IF(L38=0,0,L38/L$17)</f>
        <v>0</v>
      </c>
      <c r="M154" s="103">
        <f t="shared" ref="M154:V154" si="91">IF(M38=0,0,M38/M$17)</f>
        <v>0</v>
      </c>
      <c r="N154" s="103">
        <f t="shared" si="91"/>
        <v>0</v>
      </c>
      <c r="O154" s="103">
        <f t="shared" si="91"/>
        <v>0</v>
      </c>
      <c r="P154" s="103">
        <f t="shared" si="91"/>
        <v>0</v>
      </c>
      <c r="Q154" s="103">
        <f t="shared" si="91"/>
        <v>0</v>
      </c>
      <c r="R154" s="103">
        <f t="shared" si="91"/>
        <v>0</v>
      </c>
      <c r="S154" s="103">
        <f t="shared" si="91"/>
        <v>0</v>
      </c>
      <c r="T154" s="103">
        <f t="shared" si="91"/>
        <v>0</v>
      </c>
      <c r="U154" s="103">
        <f t="shared" si="91"/>
        <v>0</v>
      </c>
      <c r="V154" s="103">
        <f t="shared" si="91"/>
        <v>0</v>
      </c>
      <c r="W154" s="103">
        <f t="shared" ref="W154" si="92">IF(W38=0,0,W38/W$17)</f>
        <v>0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0</v>
      </c>
      <c r="C155" s="103">
        <f t="shared" si="93"/>
        <v>0</v>
      </c>
      <c r="D155" s="103">
        <f t="shared" si="93"/>
        <v>0</v>
      </c>
      <c r="E155" s="103">
        <f t="shared" si="93"/>
        <v>0</v>
      </c>
      <c r="F155" s="103">
        <f t="shared" si="93"/>
        <v>0</v>
      </c>
      <c r="G155" s="103">
        <f t="shared" si="93"/>
        <v>0</v>
      </c>
      <c r="H155" s="103">
        <f t="shared" si="93"/>
        <v>0</v>
      </c>
      <c r="I155" s="103">
        <f t="shared" si="93"/>
        <v>0</v>
      </c>
      <c r="J155" s="103">
        <f t="shared" si="93"/>
        <v>0</v>
      </c>
      <c r="K155" s="103">
        <f t="shared" si="93"/>
        <v>0</v>
      </c>
      <c r="L155" s="103">
        <f t="shared" ref="L155" si="94">IF(L39=0,0,L39/L$17)</f>
        <v>0</v>
      </c>
      <c r="M155" s="103">
        <f t="shared" ref="M155:V155" si="95">IF(M39=0,0,M39/M$17)</f>
        <v>0</v>
      </c>
      <c r="N155" s="103">
        <f t="shared" si="95"/>
        <v>0</v>
      </c>
      <c r="O155" s="103">
        <f t="shared" si="95"/>
        <v>0</v>
      </c>
      <c r="P155" s="103">
        <f t="shared" si="95"/>
        <v>0</v>
      </c>
      <c r="Q155" s="103">
        <f t="shared" si="95"/>
        <v>0</v>
      </c>
      <c r="R155" s="103">
        <f t="shared" si="95"/>
        <v>0</v>
      </c>
      <c r="S155" s="103">
        <f t="shared" si="95"/>
        <v>0</v>
      </c>
      <c r="T155" s="103">
        <f t="shared" si="95"/>
        <v>0</v>
      </c>
      <c r="U155" s="103">
        <f t="shared" si="95"/>
        <v>0</v>
      </c>
      <c r="V155" s="103">
        <f t="shared" si="95"/>
        <v>0</v>
      </c>
      <c r="W155" s="103">
        <f t="shared" ref="W155" si="96">IF(W39=0,0,W39/W$17)</f>
        <v>0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0</v>
      </c>
      <c r="C156" s="103">
        <f t="shared" si="97"/>
        <v>0</v>
      </c>
      <c r="D156" s="103">
        <f t="shared" si="97"/>
        <v>0</v>
      </c>
      <c r="E156" s="103">
        <f t="shared" si="97"/>
        <v>0</v>
      </c>
      <c r="F156" s="103">
        <f t="shared" si="97"/>
        <v>0</v>
      </c>
      <c r="G156" s="103">
        <f t="shared" si="97"/>
        <v>0</v>
      </c>
      <c r="H156" s="103">
        <f t="shared" si="97"/>
        <v>0</v>
      </c>
      <c r="I156" s="103">
        <f t="shared" si="97"/>
        <v>0</v>
      </c>
      <c r="J156" s="103">
        <f t="shared" si="97"/>
        <v>1.6760250077538541E-5</v>
      </c>
      <c r="K156" s="103">
        <f t="shared" si="97"/>
        <v>1.6664690691586148E-5</v>
      </c>
      <c r="L156" s="103">
        <f t="shared" ref="L156" si="98">IF(L41=0,0,L41/L$17)</f>
        <v>1.6317879852011679E-5</v>
      </c>
      <c r="M156" s="103">
        <f t="shared" ref="M156:V156" si="99">IF(M41=0,0,M41/M$17)</f>
        <v>1.6780885485306256E-5</v>
      </c>
      <c r="N156" s="103">
        <f t="shared" si="99"/>
        <v>1.8150392571200574E-5</v>
      </c>
      <c r="O156" s="103">
        <f t="shared" si="99"/>
        <v>2.0138502160180265E-5</v>
      </c>
      <c r="P156" s="103">
        <f t="shared" si="99"/>
        <v>2.0839662399452446E-5</v>
      </c>
      <c r="Q156" s="103">
        <f t="shared" si="99"/>
        <v>2.0108177436941382E-5</v>
      </c>
      <c r="R156" s="103">
        <f t="shared" si="99"/>
        <v>1.8973458051903518E-5</v>
      </c>
      <c r="S156" s="103">
        <f t="shared" si="99"/>
        <v>1.8355323382042796E-5</v>
      </c>
      <c r="T156" s="103">
        <f t="shared" si="99"/>
        <v>1.8199611989961474E-5</v>
      </c>
      <c r="U156" s="103">
        <f t="shared" si="99"/>
        <v>1.7978463905740201E-5</v>
      </c>
      <c r="V156" s="103">
        <f t="shared" si="99"/>
        <v>2.3535163551497274E-5</v>
      </c>
      <c r="W156" s="103">
        <f t="shared" ref="W156" si="100">IF(W41=0,0,W41/W$17)</f>
        <v>2.2154164633331312E-5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0.3903379132474844</v>
      </c>
      <c r="C157" s="46">
        <f t="shared" si="101"/>
        <v>0.37983270763032123</v>
      </c>
      <c r="D157" s="46">
        <f t="shared" si="101"/>
        <v>0.36849155275845752</v>
      </c>
      <c r="E157" s="46">
        <f t="shared" si="101"/>
        <v>0.35557241180219062</v>
      </c>
      <c r="F157" s="46">
        <f t="shared" si="101"/>
        <v>0.32701985470683309</v>
      </c>
      <c r="G157" s="46">
        <f t="shared" si="101"/>
        <v>0.32340788369820483</v>
      </c>
      <c r="H157" s="46">
        <f t="shared" si="101"/>
        <v>0.28941785880934995</v>
      </c>
      <c r="I157" s="46">
        <f t="shared" si="101"/>
        <v>0.2788899260568829</v>
      </c>
      <c r="J157" s="46">
        <f t="shared" si="101"/>
        <v>0.27642849263601915</v>
      </c>
      <c r="K157" s="46">
        <f t="shared" si="101"/>
        <v>0.25442855245843676</v>
      </c>
      <c r="L157" s="46">
        <f t="shared" ref="L157" si="102">IF(L42=0,0,L42/L$17)</f>
        <v>0.25681054695801003</v>
      </c>
      <c r="M157" s="46">
        <f t="shared" ref="M157:V157" si="103">IF(M42=0,0,M42/M$17)</f>
        <v>0.24714765221541243</v>
      </c>
      <c r="N157" s="46">
        <f t="shared" si="103"/>
        <v>0.23182318544999159</v>
      </c>
      <c r="O157" s="46">
        <f t="shared" si="103"/>
        <v>0.20959886871052189</v>
      </c>
      <c r="P157" s="46">
        <f t="shared" si="103"/>
        <v>0.19595493329630392</v>
      </c>
      <c r="Q157" s="46">
        <f t="shared" si="103"/>
        <v>0.1936936284139226</v>
      </c>
      <c r="R157" s="46">
        <f t="shared" si="103"/>
        <v>0.20358821160535706</v>
      </c>
      <c r="S157" s="46">
        <f t="shared" si="103"/>
        <v>0.2118080188626579</v>
      </c>
      <c r="T157" s="46">
        <f t="shared" si="103"/>
        <v>0.21514786350685028</v>
      </c>
      <c r="U157" s="46">
        <f t="shared" si="103"/>
        <v>0.21069014092812488</v>
      </c>
      <c r="V157" s="46">
        <f t="shared" si="103"/>
        <v>0.22680384857989791</v>
      </c>
      <c r="W157" s="46">
        <f t="shared" ref="W157" si="104">IF(W42=0,0,W42/W$17)</f>
        <v>0.21904491542410501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0.30825807588207355</v>
      </c>
      <c r="C158" s="154">
        <f t="shared" si="105"/>
        <v>0.29976450589253728</v>
      </c>
      <c r="D158" s="154">
        <f t="shared" si="105"/>
        <v>0.29259006648498043</v>
      </c>
      <c r="E158" s="154">
        <f t="shared" si="105"/>
        <v>0.27768151998350438</v>
      </c>
      <c r="F158" s="154">
        <f t="shared" si="105"/>
        <v>0.26202569176971624</v>
      </c>
      <c r="G158" s="154">
        <f t="shared" si="105"/>
        <v>0.24752228251354425</v>
      </c>
      <c r="H158" s="154">
        <f t="shared" si="105"/>
        <v>0.22733224785562509</v>
      </c>
      <c r="I158" s="154">
        <f t="shared" si="105"/>
        <v>0.21624897568737445</v>
      </c>
      <c r="J158" s="154">
        <f t="shared" si="105"/>
        <v>0.21145193184533292</v>
      </c>
      <c r="K158" s="154">
        <f t="shared" si="105"/>
        <v>0.20308551950434817</v>
      </c>
      <c r="L158" s="154">
        <f t="shared" ref="L158" si="106">IF(L43=0,0,L43/L$17)</f>
        <v>0.19955709971967225</v>
      </c>
      <c r="M158" s="154">
        <f t="shared" ref="M158:V158" si="107">IF(M43=0,0,M43/M$17)</f>
        <v>0.19770026673403907</v>
      </c>
      <c r="N158" s="154">
        <f t="shared" si="107"/>
        <v>0.18746209849579479</v>
      </c>
      <c r="O158" s="154">
        <f t="shared" si="107"/>
        <v>0.17698475074742823</v>
      </c>
      <c r="P158" s="154">
        <f t="shared" si="107"/>
        <v>0.16719252421242539</v>
      </c>
      <c r="Q158" s="154">
        <f t="shared" si="107"/>
        <v>0.16524850154315018</v>
      </c>
      <c r="R158" s="154">
        <f t="shared" si="107"/>
        <v>0.16705297204008232</v>
      </c>
      <c r="S158" s="154">
        <f t="shared" si="107"/>
        <v>0.17021360282432607</v>
      </c>
      <c r="T158" s="154">
        <f t="shared" si="107"/>
        <v>0.17190386038546751</v>
      </c>
      <c r="U158" s="154">
        <f t="shared" si="107"/>
        <v>0.16599613459811402</v>
      </c>
      <c r="V158" s="154">
        <f t="shared" si="107"/>
        <v>0.18881511391494837</v>
      </c>
      <c r="W158" s="154">
        <f t="shared" ref="W158" si="108">IF(W43=0,0,W43/W$17)</f>
        <v>0.18218719398423272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1.2727654755207547E-2</v>
      </c>
      <c r="C159" s="103">
        <f t="shared" si="109"/>
        <v>1.3205708584696637E-2</v>
      </c>
      <c r="D159" s="103">
        <f t="shared" si="109"/>
        <v>1.3120120822611795E-2</v>
      </c>
      <c r="E159" s="103">
        <f t="shared" si="109"/>
        <v>1.4153764070000246E-2</v>
      </c>
      <c r="F159" s="103">
        <f t="shared" si="109"/>
        <v>1.1296709353684304E-2</v>
      </c>
      <c r="G159" s="103">
        <f t="shared" si="109"/>
        <v>8.726207473666335E-3</v>
      </c>
      <c r="H159" s="103">
        <f t="shared" si="109"/>
        <v>8.2065534508250545E-3</v>
      </c>
      <c r="I159" s="103">
        <f t="shared" si="109"/>
        <v>6.9242629628204653E-3</v>
      </c>
      <c r="J159" s="103">
        <f t="shared" si="109"/>
        <v>7.33869507923968E-3</v>
      </c>
      <c r="K159" s="103">
        <f t="shared" si="109"/>
        <v>6.7274181596127707E-3</v>
      </c>
      <c r="L159" s="103">
        <f t="shared" ref="L159" si="110">IF(L44=0,0,L44/L$17)</f>
        <v>6.3205652929916017E-3</v>
      </c>
      <c r="M159" s="103">
        <f t="shared" ref="M159:V159" si="111">IF(M44=0,0,M44/M$17)</f>
        <v>6.3541613335229251E-3</v>
      </c>
      <c r="N159" s="103">
        <f t="shared" si="111"/>
        <v>6.7609212364414441E-3</v>
      </c>
      <c r="O159" s="103">
        <f t="shared" si="111"/>
        <v>6.789378607988384E-3</v>
      </c>
      <c r="P159" s="103">
        <f t="shared" si="111"/>
        <v>6.89419827297056E-3</v>
      </c>
      <c r="Q159" s="103">
        <f t="shared" si="111"/>
        <v>6.6151329098013819E-3</v>
      </c>
      <c r="R159" s="103">
        <f t="shared" si="111"/>
        <v>5.9739892737821184E-3</v>
      </c>
      <c r="S159" s="103">
        <f t="shared" si="111"/>
        <v>5.9699607108898885E-3</v>
      </c>
      <c r="T159" s="103">
        <f t="shared" si="111"/>
        <v>5.9102484730459088E-3</v>
      </c>
      <c r="U159" s="103">
        <f t="shared" si="111"/>
        <v>5.8513944243935006E-3</v>
      </c>
      <c r="V159" s="103">
        <f t="shared" si="111"/>
        <v>6.0401452023764587E-3</v>
      </c>
      <c r="W159" s="103">
        <f t="shared" ref="W159" si="112">IF(W44=0,0,W44/W$17)</f>
        <v>5.9488791115375811E-3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0.29553042112686606</v>
      </c>
      <c r="C160" s="103">
        <f t="shared" si="113"/>
        <v>0.28655879730784062</v>
      </c>
      <c r="D160" s="103">
        <f t="shared" si="113"/>
        <v>0.2794699456623686</v>
      </c>
      <c r="E160" s="103">
        <f t="shared" si="113"/>
        <v>0.26352775591350414</v>
      </c>
      <c r="F160" s="103">
        <f t="shared" si="113"/>
        <v>0.25072898241603192</v>
      </c>
      <c r="G160" s="103">
        <f t="shared" si="113"/>
        <v>0.2387960750398779</v>
      </c>
      <c r="H160" s="103">
        <f t="shared" si="113"/>
        <v>0.21912569440480006</v>
      </c>
      <c r="I160" s="103">
        <f t="shared" si="113"/>
        <v>0.20932438152549807</v>
      </c>
      <c r="J160" s="103">
        <f t="shared" si="113"/>
        <v>0.2041127452442589</v>
      </c>
      <c r="K160" s="103">
        <f t="shared" si="113"/>
        <v>0.19635758980633905</v>
      </c>
      <c r="L160" s="103">
        <f t="shared" ref="L160" si="114">IF(L46=0,0,L46/L$17)</f>
        <v>0.1932356935442936</v>
      </c>
      <c r="M160" s="103">
        <f t="shared" ref="M160:V160" si="115">IF(M46=0,0,M46/M$17)</f>
        <v>0.19134505873554689</v>
      </c>
      <c r="N160" s="103">
        <f t="shared" si="115"/>
        <v>0.18070003838834908</v>
      </c>
      <c r="O160" s="103">
        <f t="shared" si="115"/>
        <v>0.17019407336210249</v>
      </c>
      <c r="P160" s="103">
        <f t="shared" si="115"/>
        <v>0.16029719818899602</v>
      </c>
      <c r="Q160" s="103">
        <f t="shared" si="115"/>
        <v>0.15863227841521776</v>
      </c>
      <c r="R160" s="103">
        <f t="shared" si="115"/>
        <v>0.16107795566285155</v>
      </c>
      <c r="S160" s="103">
        <f t="shared" si="115"/>
        <v>0.16424264892183166</v>
      </c>
      <c r="T160" s="103">
        <f t="shared" si="115"/>
        <v>0.16599282144882571</v>
      </c>
      <c r="U160" s="103">
        <f t="shared" si="115"/>
        <v>0.16014304208010158</v>
      </c>
      <c r="V160" s="103">
        <f t="shared" si="115"/>
        <v>0.18277271907512263</v>
      </c>
      <c r="W160" s="103">
        <f t="shared" ref="W160" si="116">IF(W46=0,0,W46/W$17)</f>
        <v>0.17623469667043182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0</v>
      </c>
      <c r="C161" s="103">
        <f t="shared" si="117"/>
        <v>0</v>
      </c>
      <c r="D161" s="103">
        <f t="shared" si="117"/>
        <v>0</v>
      </c>
      <c r="E161" s="103">
        <f t="shared" si="117"/>
        <v>0</v>
      </c>
      <c r="F161" s="103">
        <f t="shared" si="117"/>
        <v>0</v>
      </c>
      <c r="G161" s="103">
        <f t="shared" si="117"/>
        <v>0</v>
      </c>
      <c r="H161" s="103">
        <f t="shared" si="117"/>
        <v>0</v>
      </c>
      <c r="I161" s="103">
        <f t="shared" si="117"/>
        <v>0</v>
      </c>
      <c r="J161" s="103">
        <f t="shared" si="117"/>
        <v>0</v>
      </c>
      <c r="K161" s="103">
        <f t="shared" si="117"/>
        <v>0</v>
      </c>
      <c r="L161" s="103">
        <f t="shared" ref="L161" si="118">IF(L48=0,0,L48/L$17)</f>
        <v>0</v>
      </c>
      <c r="M161" s="103">
        <f t="shared" ref="M161:V161" si="119">IF(M48=0,0,M48/M$17)</f>
        <v>0</v>
      </c>
      <c r="N161" s="103">
        <f t="shared" si="119"/>
        <v>0</v>
      </c>
      <c r="O161" s="103">
        <f t="shared" si="119"/>
        <v>0</v>
      </c>
      <c r="P161" s="103">
        <f t="shared" si="119"/>
        <v>0</v>
      </c>
      <c r="Q161" s="103">
        <f t="shared" si="119"/>
        <v>0</v>
      </c>
      <c r="R161" s="103">
        <f t="shared" si="119"/>
        <v>0</v>
      </c>
      <c r="S161" s="103">
        <f t="shared" si="119"/>
        <v>0</v>
      </c>
      <c r="T161" s="103">
        <f t="shared" si="119"/>
        <v>0</v>
      </c>
      <c r="U161" s="103">
        <f t="shared" si="119"/>
        <v>0</v>
      </c>
      <c r="V161" s="103">
        <f t="shared" si="119"/>
        <v>0</v>
      </c>
      <c r="W161" s="103">
        <f t="shared" ref="W161" si="120">IF(W48=0,0,W48/W$17)</f>
        <v>0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0</v>
      </c>
      <c r="C162" s="103">
        <f t="shared" si="121"/>
        <v>0</v>
      </c>
      <c r="D162" s="103">
        <f t="shared" si="121"/>
        <v>0</v>
      </c>
      <c r="E162" s="103">
        <f t="shared" si="121"/>
        <v>0</v>
      </c>
      <c r="F162" s="103">
        <f t="shared" si="121"/>
        <v>0</v>
      </c>
      <c r="G162" s="103">
        <f t="shared" si="121"/>
        <v>0</v>
      </c>
      <c r="H162" s="103">
        <f t="shared" si="121"/>
        <v>0</v>
      </c>
      <c r="I162" s="103">
        <f t="shared" si="121"/>
        <v>0</v>
      </c>
      <c r="J162" s="103">
        <f t="shared" si="121"/>
        <v>0</v>
      </c>
      <c r="K162" s="103">
        <f t="shared" si="121"/>
        <v>0</v>
      </c>
      <c r="L162" s="103">
        <f t="shared" ref="L162" si="122">IF(L49=0,0,L49/L$17)</f>
        <v>0</v>
      </c>
      <c r="M162" s="103">
        <f t="shared" ref="M162:V162" si="123">IF(M49=0,0,M49/M$17)</f>
        <v>0</v>
      </c>
      <c r="N162" s="103">
        <f t="shared" si="123"/>
        <v>0</v>
      </c>
      <c r="O162" s="103">
        <f t="shared" si="123"/>
        <v>0</v>
      </c>
      <c r="P162" s="103">
        <f t="shared" si="123"/>
        <v>0</v>
      </c>
      <c r="Q162" s="103">
        <f t="shared" si="123"/>
        <v>0</v>
      </c>
      <c r="R162" s="103">
        <f t="shared" si="123"/>
        <v>0</v>
      </c>
      <c r="S162" s="103">
        <f t="shared" si="123"/>
        <v>0</v>
      </c>
      <c r="T162" s="103">
        <f t="shared" si="123"/>
        <v>0</v>
      </c>
      <c r="U162" s="103">
        <f t="shared" si="123"/>
        <v>0</v>
      </c>
      <c r="V162" s="103">
        <f t="shared" si="123"/>
        <v>0</v>
      </c>
      <c r="W162" s="103">
        <f t="shared" ref="W162" si="124">IF(W49=0,0,W49/W$17)</f>
        <v>0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0</v>
      </c>
      <c r="C163" s="103">
        <f t="shared" si="125"/>
        <v>0</v>
      </c>
      <c r="D163" s="103">
        <f t="shared" si="125"/>
        <v>0</v>
      </c>
      <c r="E163" s="103">
        <f t="shared" si="125"/>
        <v>0</v>
      </c>
      <c r="F163" s="103">
        <f t="shared" si="125"/>
        <v>0</v>
      </c>
      <c r="G163" s="103">
        <f t="shared" si="125"/>
        <v>0</v>
      </c>
      <c r="H163" s="103">
        <f t="shared" si="125"/>
        <v>0</v>
      </c>
      <c r="I163" s="103">
        <f t="shared" si="125"/>
        <v>3.3119905591388001E-7</v>
      </c>
      <c r="J163" s="103">
        <f t="shared" si="125"/>
        <v>4.9152183434943485E-7</v>
      </c>
      <c r="K163" s="103">
        <f t="shared" si="125"/>
        <v>5.1153839633170503E-7</v>
      </c>
      <c r="L163" s="103">
        <f t="shared" ref="L163" si="126">IF(L51=0,0,L51/L$17)</f>
        <v>8.4088238705362992E-7</v>
      </c>
      <c r="M163" s="103">
        <f t="shared" ref="M163:V163" si="127">IF(M51=0,0,M51/M$17)</f>
        <v>1.0466649692496352E-6</v>
      </c>
      <c r="N163" s="103">
        <f t="shared" si="127"/>
        <v>1.1388710042535744E-6</v>
      </c>
      <c r="O163" s="103">
        <f t="shared" si="127"/>
        <v>1.2987773373712427E-6</v>
      </c>
      <c r="P163" s="103">
        <f t="shared" si="127"/>
        <v>1.127750458782627E-6</v>
      </c>
      <c r="Q163" s="103">
        <f t="shared" si="127"/>
        <v>1.0902181310657789E-6</v>
      </c>
      <c r="R163" s="103">
        <f t="shared" si="127"/>
        <v>1.0271034486499344E-6</v>
      </c>
      <c r="S163" s="103">
        <f t="shared" si="127"/>
        <v>9.9319160451391851E-7</v>
      </c>
      <c r="T163" s="103">
        <f t="shared" si="127"/>
        <v>7.9046359588504023E-7</v>
      </c>
      <c r="U163" s="103">
        <f t="shared" si="127"/>
        <v>1.698093618927291E-6</v>
      </c>
      <c r="V163" s="103">
        <f t="shared" si="127"/>
        <v>2.2496374492919556E-6</v>
      </c>
      <c r="W163" s="103">
        <f t="shared" ref="W163" si="128">IF(W51=0,0,W51/W$17)</f>
        <v>3.6182022633015727E-6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8.2079837365410857E-2</v>
      </c>
      <c r="C164" s="156">
        <f t="shared" si="129"/>
        <v>8.0068201737783978E-2</v>
      </c>
      <c r="D164" s="156">
        <f t="shared" si="129"/>
        <v>7.590148627347712E-2</v>
      </c>
      <c r="E164" s="156">
        <f t="shared" si="129"/>
        <v>7.7890891818686275E-2</v>
      </c>
      <c r="F164" s="156">
        <f t="shared" si="129"/>
        <v>6.4994162937116906E-2</v>
      </c>
      <c r="G164" s="156">
        <f t="shared" si="129"/>
        <v>7.5885601184660562E-2</v>
      </c>
      <c r="H164" s="156">
        <f t="shared" si="129"/>
        <v>6.2085610953724876E-2</v>
      </c>
      <c r="I164" s="156">
        <f t="shared" si="129"/>
        <v>6.2640950369508452E-2</v>
      </c>
      <c r="J164" s="156">
        <f t="shared" si="129"/>
        <v>6.4976560790686227E-2</v>
      </c>
      <c r="K164" s="156">
        <f t="shared" si="129"/>
        <v>5.1343032954088569E-2</v>
      </c>
      <c r="L164" s="156">
        <f t="shared" ref="L164" si="130">IF(L52=0,0,L52/L$17)</f>
        <v>5.7253447238337744E-2</v>
      </c>
      <c r="M164" s="156">
        <f t="shared" ref="M164:V164" si="131">IF(M52=0,0,M52/M$17)</f>
        <v>4.9447385481373382E-2</v>
      </c>
      <c r="N164" s="156">
        <f t="shared" si="131"/>
        <v>4.4361086954196764E-2</v>
      </c>
      <c r="O164" s="156">
        <f t="shared" si="131"/>
        <v>3.2614117963093658E-2</v>
      </c>
      <c r="P164" s="156">
        <f t="shared" si="131"/>
        <v>2.8762409083878553E-2</v>
      </c>
      <c r="Q164" s="156">
        <f t="shared" si="131"/>
        <v>2.844512687077241E-2</v>
      </c>
      <c r="R164" s="156">
        <f t="shared" si="131"/>
        <v>3.6535239565274776E-2</v>
      </c>
      <c r="S164" s="156">
        <f t="shared" si="131"/>
        <v>4.1594416038331854E-2</v>
      </c>
      <c r="T164" s="156">
        <f t="shared" si="131"/>
        <v>4.3244003121382782E-2</v>
      </c>
      <c r="U164" s="156">
        <f t="shared" si="131"/>
        <v>4.4694006330010853E-2</v>
      </c>
      <c r="V164" s="156">
        <f t="shared" si="131"/>
        <v>3.7988734664949529E-2</v>
      </c>
      <c r="W164" s="156">
        <f t="shared" ref="W164" si="132">IF(W52=0,0,W52/W$17)</f>
        <v>3.6857721439872287E-2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8.2079837365410857E-2</v>
      </c>
      <c r="C165" s="104">
        <f t="shared" si="133"/>
        <v>8.0068201737783978E-2</v>
      </c>
      <c r="D165" s="104">
        <f t="shared" si="133"/>
        <v>7.590148627347712E-2</v>
      </c>
      <c r="E165" s="104">
        <f t="shared" si="133"/>
        <v>7.7890891818686275E-2</v>
      </c>
      <c r="F165" s="104">
        <f t="shared" si="133"/>
        <v>6.4994162937116906E-2</v>
      </c>
      <c r="G165" s="104">
        <f t="shared" si="133"/>
        <v>7.5885601184660562E-2</v>
      </c>
      <c r="H165" s="104">
        <f t="shared" si="133"/>
        <v>6.2085610953724876E-2</v>
      </c>
      <c r="I165" s="104">
        <f t="shared" si="133"/>
        <v>6.2640950369508452E-2</v>
      </c>
      <c r="J165" s="104">
        <f t="shared" si="133"/>
        <v>6.4976560790686227E-2</v>
      </c>
      <c r="K165" s="104">
        <f t="shared" si="133"/>
        <v>5.1343032954088569E-2</v>
      </c>
      <c r="L165" s="104">
        <f t="shared" ref="L165" si="134">IF(L53=0,0,L53/L$17)</f>
        <v>5.7253447238337744E-2</v>
      </c>
      <c r="M165" s="104">
        <f t="shared" ref="M165:V165" si="135">IF(M53=0,0,M53/M$17)</f>
        <v>4.9447385481373382E-2</v>
      </c>
      <c r="N165" s="104">
        <f t="shared" si="135"/>
        <v>4.4361086954196764E-2</v>
      </c>
      <c r="O165" s="104">
        <f t="shared" si="135"/>
        <v>3.2614117963093658E-2</v>
      </c>
      <c r="P165" s="104">
        <f t="shared" si="135"/>
        <v>2.8762409083878553E-2</v>
      </c>
      <c r="Q165" s="104">
        <f t="shared" si="135"/>
        <v>2.844512687077241E-2</v>
      </c>
      <c r="R165" s="104">
        <f t="shared" si="135"/>
        <v>3.6535239565274776E-2</v>
      </c>
      <c r="S165" s="104">
        <f t="shared" si="135"/>
        <v>4.1594416038331854E-2</v>
      </c>
      <c r="T165" s="104">
        <f t="shared" si="135"/>
        <v>4.3244003121382782E-2</v>
      </c>
      <c r="U165" s="104">
        <f t="shared" si="135"/>
        <v>4.4694006330010853E-2</v>
      </c>
      <c r="V165" s="104">
        <f t="shared" si="135"/>
        <v>3.7988734664949529E-2</v>
      </c>
      <c r="W165" s="104">
        <f t="shared" ref="W165" si="136">IF(W53=0,0,W53/W$17)</f>
        <v>3.6857721439872287E-2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0</v>
      </c>
      <c r="C166" s="105">
        <f t="shared" si="137"/>
        <v>0</v>
      </c>
      <c r="D166" s="105">
        <f t="shared" si="137"/>
        <v>0</v>
      </c>
      <c r="E166" s="105">
        <f t="shared" si="137"/>
        <v>0</v>
      </c>
      <c r="F166" s="105">
        <f t="shared" si="137"/>
        <v>0</v>
      </c>
      <c r="G166" s="105">
        <f t="shared" si="137"/>
        <v>0</v>
      </c>
      <c r="H166" s="105">
        <f t="shared" si="137"/>
        <v>0</v>
      </c>
      <c r="I166" s="105">
        <f t="shared" si="137"/>
        <v>0</v>
      </c>
      <c r="J166" s="105">
        <f t="shared" si="137"/>
        <v>0</v>
      </c>
      <c r="K166" s="105">
        <f t="shared" si="137"/>
        <v>0</v>
      </c>
      <c r="L166" s="105">
        <f t="shared" ref="L166" si="138">IF(L55=0,0,L55/L$17)</f>
        <v>0</v>
      </c>
      <c r="M166" s="105">
        <f t="shared" ref="M166:V166" si="139">IF(M55=0,0,M55/M$17)</f>
        <v>0</v>
      </c>
      <c r="N166" s="105">
        <f t="shared" si="139"/>
        <v>0</v>
      </c>
      <c r="O166" s="105">
        <f t="shared" si="139"/>
        <v>0</v>
      </c>
      <c r="P166" s="105">
        <f t="shared" si="139"/>
        <v>0</v>
      </c>
      <c r="Q166" s="105">
        <f t="shared" si="139"/>
        <v>0</v>
      </c>
      <c r="R166" s="105">
        <f t="shared" si="139"/>
        <v>0</v>
      </c>
      <c r="S166" s="105">
        <f t="shared" si="139"/>
        <v>0</v>
      </c>
      <c r="T166" s="105">
        <f t="shared" si="139"/>
        <v>0</v>
      </c>
      <c r="U166" s="105">
        <f t="shared" si="139"/>
        <v>0</v>
      </c>
      <c r="V166" s="105">
        <f t="shared" si="139"/>
        <v>0</v>
      </c>
      <c r="W166" s="105">
        <f t="shared" ref="W166" si="140">IF(W55=0,0,W55/W$17)</f>
        <v>0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1747.6229476799999</v>
      </c>
      <c r="C4" s="146">
        <f t="shared" si="0"/>
        <v>1803.4644524400001</v>
      </c>
      <c r="D4" s="146">
        <f t="shared" si="0"/>
        <v>1786.4862217200002</v>
      </c>
      <c r="E4" s="146">
        <f t="shared" si="0"/>
        <v>1892.0287799999999</v>
      </c>
      <c r="F4" s="146">
        <f t="shared" si="0"/>
        <v>1993.6873742399998</v>
      </c>
      <c r="G4" s="146">
        <f t="shared" si="0"/>
        <v>2032.66674612</v>
      </c>
      <c r="H4" s="146">
        <f t="shared" si="0"/>
        <v>2020.78167768</v>
      </c>
      <c r="I4" s="146">
        <f t="shared" si="0"/>
        <v>2154.4197501600001</v>
      </c>
      <c r="J4" s="146">
        <f t="shared" si="0"/>
        <v>2196.1451494799994</v>
      </c>
      <c r="K4" s="146">
        <f t="shared" si="0"/>
        <v>2197.2764149199998</v>
      </c>
      <c r="L4" s="146">
        <f t="shared" ref="L4" si="1">L5+L9+L10+L15</f>
        <v>2245.1988207599998</v>
      </c>
      <c r="M4" s="146">
        <f t="shared" ref="M4:V4" si="2">M5+M9+M10+M15</f>
        <v>2177.9591936400002</v>
      </c>
      <c r="N4" s="146">
        <f t="shared" si="2"/>
        <v>2005.8276510000001</v>
      </c>
      <c r="O4" s="146">
        <f t="shared" si="2"/>
        <v>1802.4807171599998</v>
      </c>
      <c r="P4" s="146">
        <f t="shared" si="2"/>
        <v>1757.3609318400001</v>
      </c>
      <c r="Q4" s="146">
        <f t="shared" si="2"/>
        <v>1826.0269473600001</v>
      </c>
      <c r="R4" s="146">
        <f t="shared" si="2"/>
        <v>1939.1558382000003</v>
      </c>
      <c r="S4" s="146">
        <f t="shared" si="2"/>
        <v>2003.9634943199999</v>
      </c>
      <c r="T4" s="146">
        <f t="shared" si="2"/>
        <v>2015.8968283200002</v>
      </c>
      <c r="U4" s="146">
        <f t="shared" si="2"/>
        <v>2035.5326027999999</v>
      </c>
      <c r="V4" s="146">
        <f t="shared" si="2"/>
        <v>1772.8194798000004</v>
      </c>
      <c r="W4" s="146">
        <f t="shared" ref="W4" si="3">W5+W9+W10+W15</f>
        <v>1904.2193070000001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1747.6229476799999</v>
      </c>
      <c r="C5" s="101">
        <f t="shared" si="4"/>
        <v>1803.4644524400001</v>
      </c>
      <c r="D5" s="101">
        <f t="shared" si="4"/>
        <v>1786.4862217200002</v>
      </c>
      <c r="E5" s="101">
        <f t="shared" si="4"/>
        <v>1892.0287799999999</v>
      </c>
      <c r="F5" s="101">
        <f t="shared" si="4"/>
        <v>1993.6873742399998</v>
      </c>
      <c r="G5" s="101">
        <f t="shared" si="4"/>
        <v>2032.66674612</v>
      </c>
      <c r="H5" s="101">
        <f t="shared" si="4"/>
        <v>2020.78167768</v>
      </c>
      <c r="I5" s="101">
        <f t="shared" si="4"/>
        <v>2154.4197501600001</v>
      </c>
      <c r="J5" s="101">
        <f t="shared" si="4"/>
        <v>2196.1451494799994</v>
      </c>
      <c r="K5" s="101">
        <f t="shared" si="4"/>
        <v>2197.2764149199998</v>
      </c>
      <c r="L5" s="101">
        <f t="shared" ref="L5" si="5">SUM(L6:L8)</f>
        <v>2245.1988207599998</v>
      </c>
      <c r="M5" s="101">
        <f t="shared" ref="M5:V5" si="6">SUM(M6:M8)</f>
        <v>2177.9591936400002</v>
      </c>
      <c r="N5" s="101">
        <f t="shared" si="6"/>
        <v>2005.8276510000001</v>
      </c>
      <c r="O5" s="101">
        <f t="shared" si="6"/>
        <v>1802.4807171599998</v>
      </c>
      <c r="P5" s="101">
        <f t="shared" si="6"/>
        <v>1757.3609318400001</v>
      </c>
      <c r="Q5" s="101">
        <f t="shared" si="6"/>
        <v>1826.0269473600001</v>
      </c>
      <c r="R5" s="101">
        <f t="shared" si="6"/>
        <v>1939.1558382000003</v>
      </c>
      <c r="S5" s="101">
        <f t="shared" si="6"/>
        <v>2003.9634943199999</v>
      </c>
      <c r="T5" s="101">
        <f t="shared" si="6"/>
        <v>2015.8968283200002</v>
      </c>
      <c r="U5" s="101">
        <f t="shared" si="6"/>
        <v>2035.5326027999999</v>
      </c>
      <c r="V5" s="101">
        <f t="shared" si="6"/>
        <v>1772.8194798000004</v>
      </c>
      <c r="W5" s="101">
        <f t="shared" ref="W5" si="7">SUM(W6:W8)</f>
        <v>1904.2193070000001</v>
      </c>
      <c r="DA5" s="175"/>
    </row>
    <row r="6" spans="1:105" ht="11.45" customHeight="1" x14ac:dyDescent="0.25">
      <c r="A6" s="128" t="s">
        <v>52</v>
      </c>
      <c r="B6" s="101">
        <v>0</v>
      </c>
      <c r="C6" s="101">
        <v>0</v>
      </c>
      <c r="D6" s="101">
        <v>0</v>
      </c>
      <c r="E6" s="101">
        <v>0</v>
      </c>
      <c r="F6" s="101">
        <v>0</v>
      </c>
      <c r="G6" s="101">
        <v>0</v>
      </c>
      <c r="H6" s="101">
        <v>0</v>
      </c>
      <c r="I6" s="101">
        <v>0</v>
      </c>
      <c r="J6" s="101">
        <v>0</v>
      </c>
      <c r="K6" s="101">
        <v>0</v>
      </c>
      <c r="L6" s="101">
        <v>0</v>
      </c>
      <c r="M6" s="101">
        <v>0</v>
      </c>
      <c r="N6" s="101">
        <v>0</v>
      </c>
      <c r="O6" s="101">
        <v>0</v>
      </c>
      <c r="P6" s="101">
        <v>0</v>
      </c>
      <c r="Q6" s="101">
        <v>0</v>
      </c>
      <c r="R6" s="101">
        <v>0</v>
      </c>
      <c r="S6" s="101">
        <v>0</v>
      </c>
      <c r="T6" s="101">
        <v>1.31616504</v>
      </c>
      <c r="U6" s="101">
        <v>1.4236117200000002</v>
      </c>
      <c r="V6" s="101">
        <v>1.19077272</v>
      </c>
      <c r="W6" s="101">
        <v>1.3670488800000002</v>
      </c>
      <c r="DA6" s="175" t="s">
        <v>740</v>
      </c>
    </row>
    <row r="7" spans="1:105" ht="11.45" customHeight="1" x14ac:dyDescent="0.25">
      <c r="A7" s="128" t="s">
        <v>53</v>
      </c>
      <c r="B7" s="101">
        <v>632.41782912000008</v>
      </c>
      <c r="C7" s="101">
        <v>672.32789315999992</v>
      </c>
      <c r="D7" s="101">
        <v>699.95780316000003</v>
      </c>
      <c r="E7" s="101">
        <v>773.63747999999987</v>
      </c>
      <c r="F7" s="101">
        <v>865.73726315999977</v>
      </c>
      <c r="G7" s="101">
        <v>930.20688683999992</v>
      </c>
      <c r="H7" s="101">
        <v>991.60665912000002</v>
      </c>
      <c r="I7" s="101">
        <v>1080.6365908800001</v>
      </c>
      <c r="J7" s="101">
        <v>1145.1062145599997</v>
      </c>
      <c r="K7" s="101">
        <v>1175.8062254399999</v>
      </c>
      <c r="L7" s="101">
        <v>1197.2961831600001</v>
      </c>
      <c r="M7" s="101">
        <v>1181.9461777199999</v>
      </c>
      <c r="N7" s="101">
        <v>1142.0363631600001</v>
      </c>
      <c r="O7" s="101">
        <v>1071.4265377199999</v>
      </c>
      <c r="P7" s="101">
        <v>1046.8664791199999</v>
      </c>
      <c r="Q7" s="101">
        <v>1059.1466331600002</v>
      </c>
      <c r="R7" s="101">
        <v>1086.7765431600003</v>
      </c>
      <c r="S7" s="101">
        <v>1077.2533925999999</v>
      </c>
      <c r="T7" s="101">
        <v>1048.7208639600001</v>
      </c>
      <c r="U7" s="101">
        <v>1033.5981348</v>
      </c>
      <c r="V7" s="101">
        <v>873.3538875600002</v>
      </c>
      <c r="W7" s="101">
        <v>937.48596480000003</v>
      </c>
      <c r="DA7" s="175" t="s">
        <v>741</v>
      </c>
    </row>
    <row r="8" spans="1:105" ht="11.45" customHeight="1" x14ac:dyDescent="0.25">
      <c r="A8" s="128" t="s">
        <v>54</v>
      </c>
      <c r="B8" s="101">
        <v>1115.2051185599998</v>
      </c>
      <c r="C8" s="101">
        <v>1131.13655928</v>
      </c>
      <c r="D8" s="101">
        <v>1086.5284185600003</v>
      </c>
      <c r="E8" s="101">
        <v>1118.3913</v>
      </c>
      <c r="F8" s="101">
        <v>1127.9501110799999</v>
      </c>
      <c r="G8" s="101">
        <v>1102.45985928</v>
      </c>
      <c r="H8" s="101">
        <v>1029.1750185600001</v>
      </c>
      <c r="I8" s="101">
        <v>1073.7831592800001</v>
      </c>
      <c r="J8" s="101">
        <v>1051.03893492</v>
      </c>
      <c r="K8" s="101">
        <v>1021.4701894799999</v>
      </c>
      <c r="L8" s="101">
        <v>1047.9026375999999</v>
      </c>
      <c r="M8" s="101">
        <v>996.01301592000016</v>
      </c>
      <c r="N8" s="101">
        <v>863.79128783999988</v>
      </c>
      <c r="O8" s="101">
        <v>731.05417943999987</v>
      </c>
      <c r="P8" s="101">
        <v>710.49445272000025</v>
      </c>
      <c r="Q8" s="101">
        <v>766.88031420000004</v>
      </c>
      <c r="R8" s="101">
        <v>852.37929503999987</v>
      </c>
      <c r="S8" s="101">
        <v>926.71010172000013</v>
      </c>
      <c r="T8" s="101">
        <v>965.85979931999998</v>
      </c>
      <c r="U8" s="101">
        <v>1000.51085628</v>
      </c>
      <c r="V8" s="101">
        <v>898.27481952000005</v>
      </c>
      <c r="W8" s="101">
        <v>965.36629332000007</v>
      </c>
      <c r="DA8" s="175" t="s">
        <v>742</v>
      </c>
    </row>
    <row r="9" spans="1:105" ht="11.45" customHeight="1" x14ac:dyDescent="0.25">
      <c r="A9" s="92" t="s">
        <v>55</v>
      </c>
      <c r="B9" s="101">
        <v>0</v>
      </c>
      <c r="C9" s="101">
        <v>0</v>
      </c>
      <c r="D9" s="101">
        <v>0</v>
      </c>
      <c r="E9" s="101">
        <v>0</v>
      </c>
      <c r="F9" s="101">
        <v>0</v>
      </c>
      <c r="G9" s="101">
        <v>0</v>
      </c>
      <c r="H9" s="101">
        <v>0</v>
      </c>
      <c r="I9" s="101">
        <v>0</v>
      </c>
      <c r="J9" s="101">
        <v>0</v>
      </c>
      <c r="K9" s="101">
        <v>0</v>
      </c>
      <c r="L9" s="101">
        <v>0</v>
      </c>
      <c r="M9" s="101">
        <v>0</v>
      </c>
      <c r="N9" s="101">
        <v>0</v>
      </c>
      <c r="O9" s="101">
        <v>0</v>
      </c>
      <c r="P9" s="101">
        <v>0</v>
      </c>
      <c r="Q9" s="101">
        <v>0</v>
      </c>
      <c r="R9" s="101">
        <v>0</v>
      </c>
      <c r="S9" s="101">
        <v>0</v>
      </c>
      <c r="T9" s="101">
        <v>0</v>
      </c>
      <c r="U9" s="101">
        <v>0</v>
      </c>
      <c r="V9" s="101">
        <v>0</v>
      </c>
      <c r="W9" s="101">
        <v>0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1747.6229476799999</v>
      </c>
      <c r="C17" s="79">
        <f t="shared" si="12"/>
        <v>1803.4644524399998</v>
      </c>
      <c r="D17" s="79">
        <f t="shared" si="12"/>
        <v>1786.4862217200005</v>
      </c>
      <c r="E17" s="79">
        <f t="shared" si="12"/>
        <v>1892.0287799999999</v>
      </c>
      <c r="F17" s="79">
        <f t="shared" si="12"/>
        <v>1993.6873742399998</v>
      </c>
      <c r="G17" s="79">
        <f t="shared" si="12"/>
        <v>2032.66674612</v>
      </c>
      <c r="H17" s="79">
        <f t="shared" si="12"/>
        <v>2020.78167768</v>
      </c>
      <c r="I17" s="79">
        <f t="shared" si="12"/>
        <v>2154.4197501600001</v>
      </c>
      <c r="J17" s="79">
        <f t="shared" si="12"/>
        <v>2196.1451494799994</v>
      </c>
      <c r="K17" s="79">
        <f t="shared" si="12"/>
        <v>2197.2764149200002</v>
      </c>
      <c r="L17" s="79">
        <f t="shared" ref="L17" si="13">SUM(L18,L33)</f>
        <v>2245.1988207599998</v>
      </c>
      <c r="M17" s="79">
        <f t="shared" ref="M17:V17" si="14">SUM(M18,M33)</f>
        <v>2177.9591936400002</v>
      </c>
      <c r="N17" s="79">
        <f t="shared" si="14"/>
        <v>2005.8276509999998</v>
      </c>
      <c r="O17" s="79">
        <f t="shared" si="14"/>
        <v>1802.4807171599996</v>
      </c>
      <c r="P17" s="79">
        <f t="shared" si="14"/>
        <v>1757.3609318400001</v>
      </c>
      <c r="Q17" s="79">
        <f t="shared" si="14"/>
        <v>1826.0269473600001</v>
      </c>
      <c r="R17" s="79">
        <f t="shared" si="14"/>
        <v>1939.1558382000003</v>
      </c>
      <c r="S17" s="79">
        <f t="shared" si="14"/>
        <v>2003.9634943200001</v>
      </c>
      <c r="T17" s="79">
        <f t="shared" si="14"/>
        <v>2015.8968283199999</v>
      </c>
      <c r="U17" s="79">
        <f t="shared" si="14"/>
        <v>2035.5326028000004</v>
      </c>
      <c r="V17" s="79">
        <f t="shared" si="14"/>
        <v>1772.8194798000004</v>
      </c>
      <c r="W17" s="79">
        <f t="shared" ref="W17" si="15">SUM(W18,W33)</f>
        <v>1904.2193070000001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1049.838122571128</v>
      </c>
      <c r="C18" s="32">
        <f t="shared" si="16"/>
        <v>1102.3441282211597</v>
      </c>
      <c r="D18" s="32">
        <f t="shared" si="16"/>
        <v>1111.8754742090168</v>
      </c>
      <c r="E18" s="32">
        <f t="shared" si="16"/>
        <v>1202.0059189136136</v>
      </c>
      <c r="F18" s="32">
        <f t="shared" si="16"/>
        <v>1323.6052435134397</v>
      </c>
      <c r="G18" s="32">
        <f t="shared" si="16"/>
        <v>1355.6345589860844</v>
      </c>
      <c r="H18" s="32">
        <f t="shared" si="16"/>
        <v>1417.1641242208602</v>
      </c>
      <c r="I18" s="32">
        <f t="shared" si="16"/>
        <v>1534.4821133135808</v>
      </c>
      <c r="J18" s="32">
        <f t="shared" si="16"/>
        <v>1581.1148143211774</v>
      </c>
      <c r="K18" s="32">
        <f t="shared" si="16"/>
        <v>1631.7866358202264</v>
      </c>
      <c r="L18" s="32">
        <f t="shared" ref="L18" si="17">SUM(L19,L20,L27)</f>
        <v>1661.6365218335357</v>
      </c>
      <c r="M18" s="32">
        <f t="shared" ref="M18:V18" si="18">SUM(M19,M20,M27)</f>
        <v>1634.4446542453625</v>
      </c>
      <c r="N18" s="32">
        <f t="shared" si="18"/>
        <v>1537.9401933047054</v>
      </c>
      <c r="O18" s="32">
        <f t="shared" si="18"/>
        <v>1423.5768177692134</v>
      </c>
      <c r="P18" s="32">
        <f t="shared" si="18"/>
        <v>1408.0216308498809</v>
      </c>
      <c r="Q18" s="32">
        <f t="shared" si="18"/>
        <v>1466.7622273999464</v>
      </c>
      <c r="R18" s="32">
        <f t="shared" si="18"/>
        <v>1536.8110565832399</v>
      </c>
      <c r="S18" s="32">
        <f t="shared" si="18"/>
        <v>1570.9464569449299</v>
      </c>
      <c r="T18" s="32">
        <f t="shared" si="18"/>
        <v>1573.6775862449977</v>
      </c>
      <c r="U18" s="32">
        <f t="shared" si="18"/>
        <v>1599.4022855606217</v>
      </c>
      <c r="V18" s="32">
        <f t="shared" si="18"/>
        <v>1372.6417031396281</v>
      </c>
      <c r="W18" s="32">
        <f t="shared" ref="W18" si="19">SUM(W19,W20,W27)</f>
        <v>1488.5889706766507</v>
      </c>
      <c r="DA18" s="173" t="s">
        <v>402</v>
      </c>
    </row>
    <row r="19" spans="1:105" ht="11.45" customHeight="1" x14ac:dyDescent="0.25">
      <c r="A19" s="136" t="s">
        <v>180</v>
      </c>
      <c r="B19" s="141">
        <v>16.934891343718053</v>
      </c>
      <c r="C19" s="141">
        <v>16.537456513329772</v>
      </c>
      <c r="D19" s="141">
        <v>16.086514262897715</v>
      </c>
      <c r="E19" s="141">
        <v>16.257839012442187</v>
      </c>
      <c r="F19" s="141">
        <v>16.133207491333813</v>
      </c>
      <c r="G19" s="141">
        <v>15.813287821964545</v>
      </c>
      <c r="H19" s="141">
        <v>15.679694517360774</v>
      </c>
      <c r="I19" s="141">
        <v>15.703062516849121</v>
      </c>
      <c r="J19" s="141">
        <v>15.919059920213689</v>
      </c>
      <c r="K19" s="141">
        <v>15.646166621457263</v>
      </c>
      <c r="L19" s="141">
        <v>15.296658569133429</v>
      </c>
      <c r="M19" s="141">
        <v>14.862991868234223</v>
      </c>
      <c r="N19" s="141">
        <v>15.048666098262357</v>
      </c>
      <c r="O19" s="141">
        <v>14.671843841014372</v>
      </c>
      <c r="P19" s="141">
        <v>14.76642914190535</v>
      </c>
      <c r="Q19" s="141">
        <v>14.363496114755483</v>
      </c>
      <c r="R19" s="141">
        <v>14.137538107780058</v>
      </c>
      <c r="S19" s="141">
        <v>13.178927215070214</v>
      </c>
      <c r="T19" s="141">
        <v>12.410377396382012</v>
      </c>
      <c r="U19" s="141">
        <v>12.881663591555677</v>
      </c>
      <c r="V19" s="141">
        <v>11.397474000910204</v>
      </c>
      <c r="W19" s="141">
        <v>11.14427561490605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752.06064574975426</v>
      </c>
      <c r="C20" s="130">
        <f t="shared" si="20"/>
        <v>799.43746245293289</v>
      </c>
      <c r="D20" s="130">
        <f t="shared" si="20"/>
        <v>816.76196491239148</v>
      </c>
      <c r="E20" s="130">
        <f t="shared" si="20"/>
        <v>886.40723669246938</v>
      </c>
      <c r="F20" s="130">
        <f t="shared" si="20"/>
        <v>992.22694417701791</v>
      </c>
      <c r="G20" s="130">
        <f t="shared" si="20"/>
        <v>1044.8134534309831</v>
      </c>
      <c r="H20" s="130">
        <f t="shared" si="20"/>
        <v>1102.1837939272691</v>
      </c>
      <c r="I20" s="130">
        <f t="shared" si="20"/>
        <v>1204.0520301408369</v>
      </c>
      <c r="J20" s="130">
        <f t="shared" si="20"/>
        <v>1266.564132994745</v>
      </c>
      <c r="K20" s="130">
        <f t="shared" si="20"/>
        <v>1313.9882995616399</v>
      </c>
      <c r="L20" s="130">
        <f t="shared" ref="L20" si="21">SUM(L21:L26)</f>
        <v>1342.4344515318987</v>
      </c>
      <c r="M20" s="130">
        <f t="shared" ref="M20:V20" si="22">SUM(M21:M26)</f>
        <v>1320.3987456425079</v>
      </c>
      <c r="N20" s="130">
        <f t="shared" si="22"/>
        <v>1252.1594403971424</v>
      </c>
      <c r="O20" s="130">
        <f t="shared" si="22"/>
        <v>1167.2477425644615</v>
      </c>
      <c r="P20" s="130">
        <f t="shared" si="22"/>
        <v>1149.1873360641114</v>
      </c>
      <c r="Q20" s="130">
        <f t="shared" si="22"/>
        <v>1179.8348257705472</v>
      </c>
      <c r="R20" s="130">
        <f t="shared" si="22"/>
        <v>1234.7545202262856</v>
      </c>
      <c r="S20" s="130">
        <f t="shared" si="22"/>
        <v>1255.408824272401</v>
      </c>
      <c r="T20" s="130">
        <f t="shared" si="22"/>
        <v>1258.007516469771</v>
      </c>
      <c r="U20" s="130">
        <f t="shared" si="22"/>
        <v>1277.2452511705251</v>
      </c>
      <c r="V20" s="130">
        <f t="shared" si="22"/>
        <v>1115.8676152621933</v>
      </c>
      <c r="W20" s="130">
        <f t="shared" ref="W20" si="23">SUM(W21:W26)</f>
        <v>1204.3578161438479</v>
      </c>
      <c r="DA20" s="176" t="s">
        <v>404</v>
      </c>
    </row>
    <row r="21" spans="1:105" ht="11.45" customHeight="1" x14ac:dyDescent="0.25">
      <c r="A21" s="111" t="s">
        <v>110</v>
      </c>
      <c r="B21" s="96">
        <v>591.68466939384541</v>
      </c>
      <c r="C21" s="96">
        <v>630.4135812777713</v>
      </c>
      <c r="D21" s="96">
        <v>658.85100994522622</v>
      </c>
      <c r="E21" s="96">
        <v>728.98457237054402</v>
      </c>
      <c r="F21" s="96">
        <v>825.25590076261324</v>
      </c>
      <c r="G21" s="96">
        <v>894.58545782913575</v>
      </c>
      <c r="H21" s="96">
        <v>957.09804572656083</v>
      </c>
      <c r="I21" s="96">
        <v>1047.6997551298737</v>
      </c>
      <c r="J21" s="96">
        <v>1110.4855271075508</v>
      </c>
      <c r="K21" s="96">
        <v>1142.7959915636768</v>
      </c>
      <c r="L21" s="96">
        <v>1165.1887193377181</v>
      </c>
      <c r="M21" s="96">
        <v>1150.5971249603851</v>
      </c>
      <c r="N21" s="96">
        <v>1110.7626618414238</v>
      </c>
      <c r="O21" s="96">
        <v>1041.9649972750829</v>
      </c>
      <c r="P21" s="96">
        <v>1019.2400399115728</v>
      </c>
      <c r="Q21" s="96">
        <v>1032.0588084490084</v>
      </c>
      <c r="R21" s="96">
        <v>1060.4821107335515</v>
      </c>
      <c r="S21" s="96">
        <v>1051.4936676171435</v>
      </c>
      <c r="T21" s="96">
        <v>1023.7272360292325</v>
      </c>
      <c r="U21" s="96">
        <v>1008.0787008630734</v>
      </c>
      <c r="V21" s="96">
        <v>850.27161311370628</v>
      </c>
      <c r="W21" s="96">
        <v>913.96629971702657</v>
      </c>
      <c r="DA21" s="171" t="s">
        <v>750</v>
      </c>
    </row>
    <row r="22" spans="1:105" ht="11.45" customHeight="1" x14ac:dyDescent="0.25">
      <c r="A22" s="111" t="s">
        <v>111</v>
      </c>
      <c r="B22" s="96">
        <v>160.3759763559089</v>
      </c>
      <c r="C22" s="96">
        <v>169.02388117516159</v>
      </c>
      <c r="D22" s="96">
        <v>157.9109549671652</v>
      </c>
      <c r="E22" s="96">
        <v>157.42266432192537</v>
      </c>
      <c r="F22" s="96">
        <v>166.97104341440462</v>
      </c>
      <c r="G22" s="96">
        <v>150.22799560184745</v>
      </c>
      <c r="H22" s="96">
        <v>145.08574820070831</v>
      </c>
      <c r="I22" s="96">
        <v>156.35227501096327</v>
      </c>
      <c r="J22" s="96">
        <v>156.07860588719433</v>
      </c>
      <c r="K22" s="96">
        <v>171.19230799796301</v>
      </c>
      <c r="L22" s="96">
        <v>177.24573219418059</v>
      </c>
      <c r="M22" s="96">
        <v>169.80162068212283</v>
      </c>
      <c r="N22" s="96">
        <v>141.39677855571856</v>
      </c>
      <c r="O22" s="96">
        <v>125.28274528937877</v>
      </c>
      <c r="P22" s="96">
        <v>129.94540745780338</v>
      </c>
      <c r="Q22" s="96">
        <v>147.7575156625546</v>
      </c>
      <c r="R22" s="96">
        <v>174.23090905383401</v>
      </c>
      <c r="S22" s="96">
        <v>203.82835586587854</v>
      </c>
      <c r="T22" s="96">
        <v>232.84051005495988</v>
      </c>
      <c r="U22" s="96">
        <v>267.56193579611238</v>
      </c>
      <c r="V22" s="96">
        <v>264.17501551764644</v>
      </c>
      <c r="W22" s="96">
        <v>288.72861651578825</v>
      </c>
      <c r="DA22" s="171" t="s">
        <v>751</v>
      </c>
    </row>
    <row r="23" spans="1:105" ht="11.45" customHeight="1" x14ac:dyDescent="0.25">
      <c r="A23" s="111" t="s">
        <v>112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6">
        <v>0</v>
      </c>
      <c r="J23" s="96">
        <v>0</v>
      </c>
      <c r="K23" s="96">
        <v>0</v>
      </c>
      <c r="L23" s="96">
        <v>0</v>
      </c>
      <c r="M23" s="96">
        <v>0</v>
      </c>
      <c r="N23" s="96">
        <v>0</v>
      </c>
      <c r="O23" s="96">
        <v>0</v>
      </c>
      <c r="P23" s="96">
        <v>0</v>
      </c>
      <c r="Q23" s="96">
        <v>0</v>
      </c>
      <c r="R23" s="96">
        <v>0</v>
      </c>
      <c r="S23" s="96">
        <v>0</v>
      </c>
      <c r="T23" s="96">
        <v>1.31616504</v>
      </c>
      <c r="U23" s="96">
        <v>1.4236117200000002</v>
      </c>
      <c r="V23" s="96">
        <v>1.19077272</v>
      </c>
      <c r="W23" s="96">
        <v>1.3670488800000002</v>
      </c>
      <c r="DA23" s="171" t="s">
        <v>752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0</v>
      </c>
      <c r="M24" s="96">
        <v>0</v>
      </c>
      <c r="N24" s="96">
        <v>0</v>
      </c>
      <c r="O24" s="96">
        <v>0</v>
      </c>
      <c r="P24" s="96">
        <v>0</v>
      </c>
      <c r="Q24" s="96">
        <v>0</v>
      </c>
      <c r="R24" s="96">
        <v>0</v>
      </c>
      <c r="S24" s="96">
        <v>0</v>
      </c>
      <c r="T24" s="96">
        <v>0</v>
      </c>
      <c r="U24" s="96">
        <v>0</v>
      </c>
      <c r="V24" s="96">
        <v>0</v>
      </c>
      <c r="W24" s="96">
        <v>0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0</v>
      </c>
      <c r="O25" s="96">
        <v>0</v>
      </c>
      <c r="P25" s="96">
        <v>1.8886947351762302E-3</v>
      </c>
      <c r="Q25" s="96">
        <v>1.850165898417977E-2</v>
      </c>
      <c r="R25" s="96">
        <v>4.1500438900118723E-2</v>
      </c>
      <c r="S25" s="96">
        <v>8.6800789378926504E-2</v>
      </c>
      <c r="T25" s="96">
        <v>0.1236053455785646</v>
      </c>
      <c r="U25" s="96">
        <v>0.1810027913389966</v>
      </c>
      <c r="V25" s="96">
        <v>0.23021391084053219</v>
      </c>
      <c r="W25" s="96">
        <v>0.29585103103302091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280.84258547765575</v>
      </c>
      <c r="C27" s="130">
        <f t="shared" si="24"/>
        <v>286.36920925489721</v>
      </c>
      <c r="D27" s="130">
        <f t="shared" si="24"/>
        <v>279.02699503372764</v>
      </c>
      <c r="E27" s="130">
        <f t="shared" si="24"/>
        <v>299.34084320870215</v>
      </c>
      <c r="F27" s="130">
        <f t="shared" si="24"/>
        <v>315.24509184508793</v>
      </c>
      <c r="G27" s="130">
        <f t="shared" si="24"/>
        <v>295.00781773313656</v>
      </c>
      <c r="H27" s="130">
        <f t="shared" si="24"/>
        <v>299.30063577623042</v>
      </c>
      <c r="I27" s="130">
        <f t="shared" si="24"/>
        <v>314.72702065589493</v>
      </c>
      <c r="J27" s="130">
        <f t="shared" si="24"/>
        <v>298.63162140621876</v>
      </c>
      <c r="K27" s="130">
        <f t="shared" si="24"/>
        <v>302.15216963712919</v>
      </c>
      <c r="L27" s="130">
        <f t="shared" ref="L27" si="25">SUM(L28:L32)</f>
        <v>303.90541173250364</v>
      </c>
      <c r="M27" s="130">
        <f t="shared" ref="M27:V27" si="26">SUM(M28:M32)</f>
        <v>299.18291673462022</v>
      </c>
      <c r="N27" s="130">
        <f t="shared" si="26"/>
        <v>270.73208680930071</v>
      </c>
      <c r="O27" s="130">
        <f t="shared" si="26"/>
        <v>241.65723136373762</v>
      </c>
      <c r="P27" s="130">
        <f t="shared" si="26"/>
        <v>244.06786564386422</v>
      </c>
      <c r="Q27" s="130">
        <f t="shared" si="26"/>
        <v>272.56390551464381</v>
      </c>
      <c r="R27" s="130">
        <f t="shared" si="26"/>
        <v>287.91899824917408</v>
      </c>
      <c r="S27" s="130">
        <f t="shared" si="26"/>
        <v>302.35870545745871</v>
      </c>
      <c r="T27" s="130">
        <f t="shared" si="26"/>
        <v>303.2596923788447</v>
      </c>
      <c r="U27" s="130">
        <f t="shared" si="26"/>
        <v>309.27537079854102</v>
      </c>
      <c r="V27" s="130">
        <f t="shared" si="26"/>
        <v>245.37661387652463</v>
      </c>
      <c r="W27" s="130">
        <f t="shared" ref="W27" si="27">SUM(W28:W32)</f>
        <v>273.0868789178968</v>
      </c>
      <c r="DA27" s="176" t="s">
        <v>405</v>
      </c>
    </row>
    <row r="28" spans="1:105" ht="11.45" customHeight="1" x14ac:dyDescent="0.25">
      <c r="A28" s="111" t="s">
        <v>110</v>
      </c>
      <c r="B28" s="97">
        <v>2.4745727393519426</v>
      </c>
      <c r="C28" s="97">
        <v>2.5284380972445604</v>
      </c>
      <c r="D28" s="97">
        <v>2.5047895675264722</v>
      </c>
      <c r="E28" s="97">
        <v>2.6411289045642263</v>
      </c>
      <c r="F28" s="97">
        <v>2.6514488790369213</v>
      </c>
      <c r="G28" s="97">
        <v>2.6938463419504295</v>
      </c>
      <c r="H28" s="97">
        <v>2.7923740289926506</v>
      </c>
      <c r="I28" s="97">
        <v>2.7798742778551429</v>
      </c>
      <c r="J28" s="97">
        <v>2.783083752869465</v>
      </c>
      <c r="K28" s="97">
        <v>2.7337134797860276</v>
      </c>
      <c r="L28" s="97">
        <v>2.7731695233658504</v>
      </c>
      <c r="M28" s="97">
        <v>2.7634079920311074</v>
      </c>
      <c r="N28" s="97">
        <v>2.729791143767307</v>
      </c>
      <c r="O28" s="97">
        <v>2.5772621128590973</v>
      </c>
      <c r="P28" s="97">
        <v>0.86505691282268726</v>
      </c>
      <c r="Q28" s="97">
        <v>0.76806773219547853</v>
      </c>
      <c r="R28" s="97">
        <v>0.70714345014346991</v>
      </c>
      <c r="S28" s="97">
        <v>0.73961057314982748</v>
      </c>
      <c r="T28" s="97">
        <v>0.75967330658363563</v>
      </c>
      <c r="U28" s="97">
        <v>0.74068652792746181</v>
      </c>
      <c r="V28" s="97">
        <v>0.68578711855329455</v>
      </c>
      <c r="W28" s="97">
        <v>0.70081153907181126</v>
      </c>
      <c r="DA28" s="175" t="s">
        <v>756</v>
      </c>
    </row>
    <row r="29" spans="1:105" ht="11.45" customHeight="1" x14ac:dyDescent="0.25">
      <c r="A29" s="111" t="s">
        <v>111</v>
      </c>
      <c r="B29" s="97">
        <v>278.36801273830378</v>
      </c>
      <c r="C29" s="97">
        <v>283.84077115765268</v>
      </c>
      <c r="D29" s="97">
        <v>276.52220546620117</v>
      </c>
      <c r="E29" s="97">
        <v>296.6997143041379</v>
      </c>
      <c r="F29" s="97">
        <v>312.59364296605099</v>
      </c>
      <c r="G29" s="97">
        <v>292.31397139118616</v>
      </c>
      <c r="H29" s="97">
        <v>296.50826174723778</v>
      </c>
      <c r="I29" s="97">
        <v>311.9471463780398</v>
      </c>
      <c r="J29" s="97">
        <v>295.8485376533493</v>
      </c>
      <c r="K29" s="97">
        <v>299.41845615734314</v>
      </c>
      <c r="L29" s="97">
        <v>301.13224220913781</v>
      </c>
      <c r="M29" s="97">
        <v>296.41950874258913</v>
      </c>
      <c r="N29" s="97">
        <v>268.00229566553338</v>
      </c>
      <c r="O29" s="97">
        <v>239.07996925087852</v>
      </c>
      <c r="P29" s="97">
        <v>243.20280873104153</v>
      </c>
      <c r="Q29" s="97">
        <v>271.7958377824483</v>
      </c>
      <c r="R29" s="97">
        <v>287.21185479903062</v>
      </c>
      <c r="S29" s="97">
        <v>301.61909488430888</v>
      </c>
      <c r="T29" s="97">
        <v>302.50001907226107</v>
      </c>
      <c r="U29" s="97">
        <v>308.53468427061358</v>
      </c>
      <c r="V29" s="97">
        <v>244.69082675797134</v>
      </c>
      <c r="W29" s="97">
        <v>272.38606737882498</v>
      </c>
      <c r="DA29" s="175" t="s">
        <v>757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0</v>
      </c>
      <c r="Q30" s="97">
        <v>0</v>
      </c>
      <c r="R30" s="97">
        <v>0</v>
      </c>
      <c r="S30" s="97">
        <v>0</v>
      </c>
      <c r="T30" s="97">
        <v>0</v>
      </c>
      <c r="U30" s="97">
        <v>0</v>
      </c>
      <c r="V30" s="97">
        <v>0</v>
      </c>
      <c r="W30" s="97">
        <v>0</v>
      </c>
      <c r="DA30" s="175" t="s">
        <v>758</v>
      </c>
    </row>
    <row r="31" spans="1:105" ht="11.45" customHeight="1" x14ac:dyDescent="0.25">
      <c r="A31" s="111" t="s">
        <v>113</v>
      </c>
      <c r="B31" s="97">
        <v>0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>
        <v>0</v>
      </c>
      <c r="K31" s="97">
        <v>0</v>
      </c>
      <c r="L31" s="97">
        <v>0</v>
      </c>
      <c r="M31" s="97">
        <v>0</v>
      </c>
      <c r="N31" s="97">
        <v>0</v>
      </c>
      <c r="O31" s="97">
        <v>0</v>
      </c>
      <c r="P31" s="97">
        <v>0</v>
      </c>
      <c r="Q31" s="97">
        <v>0</v>
      </c>
      <c r="R31" s="97">
        <v>0</v>
      </c>
      <c r="S31" s="97">
        <v>0</v>
      </c>
      <c r="T31" s="97">
        <v>0</v>
      </c>
      <c r="U31" s="97">
        <v>0</v>
      </c>
      <c r="V31" s="97">
        <v>0</v>
      </c>
      <c r="W31" s="97">
        <v>0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697.78482510887193</v>
      </c>
      <c r="C33" s="32">
        <f t="shared" si="28"/>
        <v>701.1203242188401</v>
      </c>
      <c r="D33" s="32">
        <f t="shared" si="28"/>
        <v>674.61074751098363</v>
      </c>
      <c r="E33" s="32">
        <f t="shared" si="28"/>
        <v>690.02286108638623</v>
      </c>
      <c r="F33" s="32">
        <f t="shared" si="28"/>
        <v>670.08213072656008</v>
      </c>
      <c r="G33" s="32">
        <f t="shared" si="28"/>
        <v>677.03218713391561</v>
      </c>
      <c r="H33" s="32">
        <f t="shared" si="28"/>
        <v>603.6175534591398</v>
      </c>
      <c r="I33" s="32">
        <f t="shared" si="28"/>
        <v>619.93763684641908</v>
      </c>
      <c r="J33" s="32">
        <f t="shared" si="28"/>
        <v>615.03033515882214</v>
      </c>
      <c r="K33" s="32">
        <f t="shared" si="28"/>
        <v>565.48977909977361</v>
      </c>
      <c r="L33" s="32">
        <f t="shared" ref="L33" si="29">L34+L40</f>
        <v>583.56229892646411</v>
      </c>
      <c r="M33" s="32">
        <f t="shared" ref="M33:V33" si="30">M34+M40</f>
        <v>543.51453939463772</v>
      </c>
      <c r="N33" s="32">
        <f t="shared" si="30"/>
        <v>467.88745769529442</v>
      </c>
      <c r="O33" s="32">
        <f t="shared" si="30"/>
        <v>378.90389939078619</v>
      </c>
      <c r="P33" s="32">
        <f t="shared" si="30"/>
        <v>349.33930099011928</v>
      </c>
      <c r="Q33" s="32">
        <f t="shared" si="30"/>
        <v>359.2647199600537</v>
      </c>
      <c r="R33" s="32">
        <f t="shared" si="30"/>
        <v>402.34478161676043</v>
      </c>
      <c r="S33" s="32">
        <f t="shared" si="30"/>
        <v>433.01703737507017</v>
      </c>
      <c r="T33" s="32">
        <f t="shared" si="30"/>
        <v>442.21924207500228</v>
      </c>
      <c r="U33" s="32">
        <f t="shared" si="30"/>
        <v>436.1303172393786</v>
      </c>
      <c r="V33" s="32">
        <f t="shared" si="30"/>
        <v>400.17777666037216</v>
      </c>
      <c r="W33" s="32">
        <f t="shared" ref="W33" si="31">W34+W40</f>
        <v>415.63033632334947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550.74480635443024</v>
      </c>
      <c r="C34" s="141">
        <f t="shared" si="32"/>
        <v>552.99153932332183</v>
      </c>
      <c r="D34" s="141">
        <f t="shared" si="32"/>
        <v>535.33393785276269</v>
      </c>
      <c r="E34" s="141">
        <f t="shared" si="32"/>
        <v>538.47724681801128</v>
      </c>
      <c r="F34" s="141">
        <f t="shared" si="32"/>
        <v>536.60674712160699</v>
      </c>
      <c r="G34" s="141">
        <f t="shared" si="32"/>
        <v>517.89274632015315</v>
      </c>
      <c r="H34" s="141">
        <f t="shared" si="32"/>
        <v>473.89188023993768</v>
      </c>
      <c r="I34" s="141">
        <f t="shared" si="32"/>
        <v>480.47840316211733</v>
      </c>
      <c r="J34" s="141">
        <f t="shared" si="32"/>
        <v>470.36377703135503</v>
      </c>
      <c r="K34" s="141">
        <f t="shared" si="32"/>
        <v>451.30842052131436</v>
      </c>
      <c r="L34" s="141">
        <f t="shared" ref="L34" si="33">SUM(L35:L39)</f>
        <v>453.38799215458249</v>
      </c>
      <c r="M34" s="141">
        <f t="shared" ref="M34:V34" si="34">SUM(M35:M39)</f>
        <v>434.72032983531756</v>
      </c>
      <c r="N34" s="141">
        <f t="shared" si="34"/>
        <v>378.32364489123279</v>
      </c>
      <c r="O34" s="141">
        <f t="shared" si="34"/>
        <v>319.93528173212633</v>
      </c>
      <c r="P34" s="141">
        <f t="shared" si="34"/>
        <v>298.01744224949726</v>
      </c>
      <c r="Q34" s="141">
        <f t="shared" si="34"/>
        <v>306.4536418439539</v>
      </c>
      <c r="R34" s="141">
        <f t="shared" si="34"/>
        <v>330.06742278325169</v>
      </c>
      <c r="S34" s="141">
        <f t="shared" si="34"/>
        <v>347.89060997852664</v>
      </c>
      <c r="T34" s="141">
        <f t="shared" si="34"/>
        <v>353.24170811426779</v>
      </c>
      <c r="U34" s="141">
        <f t="shared" si="34"/>
        <v>343.5261096163286</v>
      </c>
      <c r="V34" s="141">
        <f t="shared" si="34"/>
        <v>333.16809692659086</v>
      </c>
      <c r="W34" s="141">
        <f t="shared" ref="W34" si="35">SUM(W35:W39)</f>
        <v>345.70859371067564</v>
      </c>
      <c r="DA34" s="174" t="s">
        <v>411</v>
      </c>
    </row>
    <row r="35" spans="1:105" ht="11.45" customHeight="1" x14ac:dyDescent="0.25">
      <c r="A35" s="111" t="s">
        <v>110</v>
      </c>
      <c r="B35" s="96">
        <v>21.323695643084598</v>
      </c>
      <c r="C35" s="96">
        <v>22.848417271654316</v>
      </c>
      <c r="D35" s="96">
        <v>22.515489384349728</v>
      </c>
      <c r="E35" s="96">
        <v>25.753939712449533</v>
      </c>
      <c r="F35" s="96">
        <v>21.696706027015797</v>
      </c>
      <c r="G35" s="96">
        <v>17.114294846949342</v>
      </c>
      <c r="H35" s="96">
        <v>16.036544847085672</v>
      </c>
      <c r="I35" s="96">
        <v>14.453898955422124</v>
      </c>
      <c r="J35" s="96">
        <v>15.918543779365804</v>
      </c>
      <c r="K35" s="96">
        <v>14.63035377507984</v>
      </c>
      <c r="L35" s="96">
        <v>14.037635729782592</v>
      </c>
      <c r="M35" s="96">
        <v>13.722652899349571</v>
      </c>
      <c r="N35" s="96">
        <v>13.495244076546479</v>
      </c>
      <c r="O35" s="96">
        <v>12.212434491043512</v>
      </c>
      <c r="P35" s="96">
        <v>11.993064458963927</v>
      </c>
      <c r="Q35" s="96">
        <v>11.937759205056544</v>
      </c>
      <c r="R35" s="96">
        <v>11.408250429625204</v>
      </c>
      <c r="S35" s="96">
        <v>11.754386405257421</v>
      </c>
      <c r="T35" s="96">
        <v>11.699971882223272</v>
      </c>
      <c r="U35" s="96">
        <v>11.716081026104469</v>
      </c>
      <c r="V35" s="96">
        <v>10.7687994159899</v>
      </c>
      <c r="W35" s="96">
        <v>11.378726897962629</v>
      </c>
      <c r="DA35" s="171" t="s">
        <v>761</v>
      </c>
    </row>
    <row r="36" spans="1:105" ht="11.45" customHeight="1" x14ac:dyDescent="0.25">
      <c r="A36" s="111" t="s">
        <v>111</v>
      </c>
      <c r="B36" s="96">
        <v>529.42111071134559</v>
      </c>
      <c r="C36" s="96">
        <v>530.14312205166755</v>
      </c>
      <c r="D36" s="96">
        <v>512.81844846841295</v>
      </c>
      <c r="E36" s="96">
        <v>512.72330710556173</v>
      </c>
      <c r="F36" s="96">
        <v>514.91004109459118</v>
      </c>
      <c r="G36" s="96">
        <v>500.77845147320386</v>
      </c>
      <c r="H36" s="96">
        <v>457.855335392852</v>
      </c>
      <c r="I36" s="96">
        <v>466.02450420669521</v>
      </c>
      <c r="J36" s="96">
        <v>454.44523325198924</v>
      </c>
      <c r="K36" s="96">
        <v>436.67806674623455</v>
      </c>
      <c r="L36" s="96">
        <v>439.35035642479988</v>
      </c>
      <c r="M36" s="96">
        <v>420.997676935968</v>
      </c>
      <c r="N36" s="96">
        <v>364.82840081468629</v>
      </c>
      <c r="O36" s="96">
        <v>307.72284724108283</v>
      </c>
      <c r="P36" s="96">
        <v>286.02437779053332</v>
      </c>
      <c r="Q36" s="96">
        <v>294.51588263889738</v>
      </c>
      <c r="R36" s="96">
        <v>318.6591723536265</v>
      </c>
      <c r="S36" s="96">
        <v>336.13622357326921</v>
      </c>
      <c r="T36" s="96">
        <v>341.54173623204451</v>
      </c>
      <c r="U36" s="96">
        <v>331.81002859022414</v>
      </c>
      <c r="V36" s="96">
        <v>322.39929751060095</v>
      </c>
      <c r="W36" s="96">
        <v>334.32986681271302</v>
      </c>
      <c r="DA36" s="171" t="s">
        <v>762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0</v>
      </c>
      <c r="F37" s="96">
        <v>0</v>
      </c>
      <c r="G37" s="96">
        <v>0</v>
      </c>
      <c r="H37" s="96">
        <v>0</v>
      </c>
      <c r="I37" s="96">
        <v>0</v>
      </c>
      <c r="J37" s="96">
        <v>0</v>
      </c>
      <c r="K37" s="96">
        <v>0</v>
      </c>
      <c r="L37" s="96">
        <v>0</v>
      </c>
      <c r="M37" s="96">
        <v>0</v>
      </c>
      <c r="N37" s="96">
        <v>0</v>
      </c>
      <c r="O37" s="96">
        <v>0</v>
      </c>
      <c r="P37" s="96">
        <v>0</v>
      </c>
      <c r="Q37" s="96">
        <v>0</v>
      </c>
      <c r="R37" s="96">
        <v>0</v>
      </c>
      <c r="S37" s="96">
        <v>0</v>
      </c>
      <c r="T37" s="96">
        <v>0</v>
      </c>
      <c r="U37" s="96">
        <v>0</v>
      </c>
      <c r="V37" s="96">
        <v>0</v>
      </c>
      <c r="W37" s="96">
        <v>0</v>
      </c>
      <c r="DA37" s="171" t="s">
        <v>763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0</v>
      </c>
      <c r="O38" s="96">
        <v>0</v>
      </c>
      <c r="P38" s="96">
        <v>0</v>
      </c>
      <c r="Q38" s="96">
        <v>0</v>
      </c>
      <c r="R38" s="96">
        <v>0</v>
      </c>
      <c r="S38" s="96">
        <v>0</v>
      </c>
      <c r="T38" s="96">
        <v>0</v>
      </c>
      <c r="U38" s="96">
        <v>0</v>
      </c>
      <c r="V38" s="96">
        <v>0</v>
      </c>
      <c r="W38" s="96">
        <v>0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147.04001875444163</v>
      </c>
      <c r="C40" s="130">
        <f t="shared" si="36"/>
        <v>148.12878489551829</v>
      </c>
      <c r="D40" s="130">
        <f t="shared" si="36"/>
        <v>139.276809658221</v>
      </c>
      <c r="E40" s="130">
        <f t="shared" si="36"/>
        <v>151.54561426837498</v>
      </c>
      <c r="F40" s="130">
        <f t="shared" si="36"/>
        <v>133.47538360495315</v>
      </c>
      <c r="G40" s="130">
        <f t="shared" si="36"/>
        <v>159.13944081376252</v>
      </c>
      <c r="H40" s="130">
        <f t="shared" si="36"/>
        <v>129.72567321920209</v>
      </c>
      <c r="I40" s="130">
        <f t="shared" si="36"/>
        <v>139.45923368430175</v>
      </c>
      <c r="J40" s="130">
        <f t="shared" si="36"/>
        <v>144.66655812746708</v>
      </c>
      <c r="K40" s="130">
        <f t="shared" si="36"/>
        <v>114.18135857845921</v>
      </c>
      <c r="L40" s="130">
        <f t="shared" ref="L40" si="37">SUM(L41:L42)</f>
        <v>130.17430677188156</v>
      </c>
      <c r="M40" s="130">
        <f t="shared" ref="M40:V40" si="38">SUM(M41:M42)</f>
        <v>108.79420955932015</v>
      </c>
      <c r="N40" s="130">
        <f t="shared" si="38"/>
        <v>89.563812804061627</v>
      </c>
      <c r="O40" s="130">
        <f t="shared" si="38"/>
        <v>58.968617658659852</v>
      </c>
      <c r="P40" s="130">
        <f t="shared" si="38"/>
        <v>51.321858740622027</v>
      </c>
      <c r="Q40" s="130">
        <f t="shared" si="38"/>
        <v>52.811078116099779</v>
      </c>
      <c r="R40" s="130">
        <f t="shared" si="38"/>
        <v>72.277358833508714</v>
      </c>
      <c r="S40" s="130">
        <f t="shared" si="38"/>
        <v>85.126427396543534</v>
      </c>
      <c r="T40" s="130">
        <f t="shared" si="38"/>
        <v>88.977533960734505</v>
      </c>
      <c r="U40" s="130">
        <f t="shared" si="38"/>
        <v>92.604207623049987</v>
      </c>
      <c r="V40" s="130">
        <f t="shared" si="38"/>
        <v>67.009679733781283</v>
      </c>
      <c r="W40" s="130">
        <f t="shared" ref="W40" si="39">SUM(W41:W42)</f>
        <v>69.921742612673825</v>
      </c>
      <c r="DA40" s="176" t="s">
        <v>412</v>
      </c>
    </row>
    <row r="41" spans="1:105" ht="11.45" customHeight="1" x14ac:dyDescent="0.25">
      <c r="A41" s="128" t="s">
        <v>27</v>
      </c>
      <c r="B41" s="97">
        <v>147.04001875444163</v>
      </c>
      <c r="C41" s="97">
        <v>148.12878489551829</v>
      </c>
      <c r="D41" s="97">
        <v>139.276809658221</v>
      </c>
      <c r="E41" s="97">
        <v>151.54561426837498</v>
      </c>
      <c r="F41" s="97">
        <v>133.47538360495315</v>
      </c>
      <c r="G41" s="97">
        <v>159.13944081376252</v>
      </c>
      <c r="H41" s="97">
        <v>129.72567321920209</v>
      </c>
      <c r="I41" s="97">
        <v>139.45923368430175</v>
      </c>
      <c r="J41" s="97">
        <v>144.66655812746708</v>
      </c>
      <c r="K41" s="97">
        <v>114.18135857845921</v>
      </c>
      <c r="L41" s="97">
        <v>130.17430677188156</v>
      </c>
      <c r="M41" s="97">
        <v>108.79420955932015</v>
      </c>
      <c r="N41" s="97">
        <v>89.563812804061627</v>
      </c>
      <c r="O41" s="97">
        <v>58.968617658659852</v>
      </c>
      <c r="P41" s="97">
        <v>51.321858740622027</v>
      </c>
      <c r="Q41" s="97">
        <v>52.811078116099779</v>
      </c>
      <c r="R41" s="97">
        <v>72.277358833508714</v>
      </c>
      <c r="S41" s="97">
        <v>85.126427396543534</v>
      </c>
      <c r="T41" s="97">
        <v>88.977533960734505</v>
      </c>
      <c r="U41" s="97">
        <v>92.604207623049987</v>
      </c>
      <c r="V41" s="97">
        <v>67.009679733781283</v>
      </c>
      <c r="W41" s="97">
        <v>69.921742612673825</v>
      </c>
      <c r="DA41" s="175" t="s">
        <v>766</v>
      </c>
    </row>
    <row r="42" spans="1:105" ht="11.45" customHeight="1" x14ac:dyDescent="0.25">
      <c r="A42" s="138" t="s">
        <v>116</v>
      </c>
      <c r="B42" s="98">
        <v>0</v>
      </c>
      <c r="C42" s="98">
        <v>0</v>
      </c>
      <c r="D42" s="98">
        <v>0</v>
      </c>
      <c r="E42" s="98">
        <v>0</v>
      </c>
      <c r="F42" s="98">
        <v>0</v>
      </c>
      <c r="G42" s="98">
        <v>0</v>
      </c>
      <c r="H42" s="98">
        <v>0</v>
      </c>
      <c r="I42" s="98">
        <v>0</v>
      </c>
      <c r="J42" s="98">
        <v>0</v>
      </c>
      <c r="K42" s="98">
        <v>0</v>
      </c>
      <c r="L42" s="98">
        <v>0</v>
      </c>
      <c r="M42" s="98">
        <v>0</v>
      </c>
      <c r="N42" s="98">
        <v>0</v>
      </c>
      <c r="O42" s="98">
        <v>0</v>
      </c>
      <c r="P42" s="98">
        <v>0</v>
      </c>
      <c r="Q42" s="98">
        <v>0</v>
      </c>
      <c r="R42" s="98">
        <v>0</v>
      </c>
      <c r="S42" s="98">
        <v>0</v>
      </c>
      <c r="T42" s="98">
        <v>0</v>
      </c>
      <c r="U42" s="98">
        <v>0</v>
      </c>
      <c r="V42" s="98">
        <v>0</v>
      </c>
      <c r="W42" s="98">
        <v>0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3.0265586898247938</v>
      </c>
      <c r="C47" s="145">
        <f>IF(C4=0,0,C4/TrRoad_ene!C4)</f>
        <v>3.024326148273726</v>
      </c>
      <c r="D47" s="145">
        <f>IF(D4=0,0,D4/TrRoad_ene!D4)</f>
        <v>3.0204494000708562</v>
      </c>
      <c r="E47" s="145">
        <f>IF(E4=0,0,E4/TrRoad_ene!E4)</f>
        <v>3.0169732928497979</v>
      </c>
      <c r="F47" s="145">
        <f>IF(F4=0,0,F4/TrRoad_ene!F4)</f>
        <v>3.0118314168229139</v>
      </c>
      <c r="G47" s="145">
        <f>IF(G4=0,0,G4/TrRoad_ene!G4)</f>
        <v>3.0071019836610478</v>
      </c>
      <c r="H47" s="145">
        <f>IF(H4=0,0,H4/TrRoad_ene!H4)</f>
        <v>3.0004392980011363</v>
      </c>
      <c r="I47" s="145">
        <f>IF(I4=0,0,I4/TrRoad_ene!I4)</f>
        <v>2.9945689021337127</v>
      </c>
      <c r="J47" s="145">
        <f>IF(J4=0,0,J4/TrRoad_ene!J4)</f>
        <v>2.9375955232556481</v>
      </c>
      <c r="K47" s="145">
        <f>IF(K4=0,0,K4/TrRoad_ene!K4)</f>
        <v>2.9315259270483716</v>
      </c>
      <c r="L47" s="145">
        <f>IF(L4=0,0,L4/TrRoad_ene!L4)</f>
        <v>2.9331360598024112</v>
      </c>
      <c r="M47" s="145">
        <f>IF(M4=0,0,M4/TrRoad_ene!M4)</f>
        <v>2.9260742862571436</v>
      </c>
      <c r="N47" s="145">
        <f>IF(N4=0,0,N4/TrRoad_ene!N4)</f>
        <v>2.9156419947975118</v>
      </c>
      <c r="O47" s="145">
        <f>IF(O4=0,0,O4/TrRoad_ene!O4)</f>
        <v>2.9074607328591191</v>
      </c>
      <c r="P47" s="145">
        <f>IF(P4=0,0,P4/TrRoad_ene!P4)</f>
        <v>2.9310958382429169</v>
      </c>
      <c r="Q47" s="145">
        <f>IF(Q4=0,0,Q4/TrRoad_ene!Q4)</f>
        <v>2.9358806204813583</v>
      </c>
      <c r="R47" s="145">
        <f>IF(R4=0,0,R4/TrRoad_ene!R4)</f>
        <v>2.9462768585444752</v>
      </c>
      <c r="S47" s="145">
        <f>IF(S4=0,0,S4/TrRoad_ene!S4)</f>
        <v>2.9530905621435037</v>
      </c>
      <c r="T47" s="145">
        <f>IF(T4=0,0,T4/TrRoad_ene!T4)</f>
        <v>2.9546406808400634</v>
      </c>
      <c r="U47" s="145">
        <f>IF(U4=0,0,U4/TrRoad_ene!U4)</f>
        <v>2.9496502273656677</v>
      </c>
      <c r="V47" s="145">
        <f>IF(V4=0,0,V4/TrRoad_ene!V4)</f>
        <v>2.8788585799486133</v>
      </c>
      <c r="W47" s="145">
        <f>IF(W4=0,0,W4/TrRoad_ene!W4)</f>
        <v>2.8885100565913602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2.9014524000000002</v>
      </c>
      <c r="D48" s="97">
        <f>IF(D7=0,0,(D7+D12)/(TrRoad_ene!D7+TrRoad_ene!D12))</f>
        <v>2.9014524000000002</v>
      </c>
      <c r="E48" s="97">
        <f>IF(E7=0,0,(E7+E12)/(TrRoad_ene!E7+TrRoad_ene!E12))</f>
        <v>2.9014524000000002</v>
      </c>
      <c r="F48" s="97">
        <f>IF(F7=0,0,(F7+F12)/(TrRoad_ene!F7+TrRoad_ene!F12))</f>
        <v>2.9014524000000002</v>
      </c>
      <c r="G48" s="97">
        <f>IF(G7=0,0,(G7+G12)/(TrRoad_ene!G7+TrRoad_ene!G12))</f>
        <v>2.9014524000000002</v>
      </c>
      <c r="H48" s="97">
        <f>IF(H7=0,0,(H7+H12)/(TrRoad_ene!H7+TrRoad_ene!H12))</f>
        <v>2.9014524000000002</v>
      </c>
      <c r="I48" s="97">
        <f>IF(I7=0,0,(I7+I12)/(TrRoad_ene!I7+TrRoad_ene!I12))</f>
        <v>2.9014524000000002</v>
      </c>
      <c r="J48" s="97">
        <f>IF(J7=0,0,(J7+J12)/(TrRoad_ene!J7+TrRoad_ene!J12))</f>
        <v>2.9014524000000002</v>
      </c>
      <c r="K48" s="97">
        <f>IF(K7=0,0,(K7+K12)/(TrRoad_ene!K7+TrRoad_ene!K12))</f>
        <v>2.9014523999999997</v>
      </c>
      <c r="L48" s="97">
        <f>IF(L7=0,0,(L7+L12)/(TrRoad_ene!L7+TrRoad_ene!L12))</f>
        <v>2.9014524000000002</v>
      </c>
      <c r="M48" s="97">
        <f>IF(M7=0,0,(M7+M12)/(TrRoad_ene!M7+TrRoad_ene!M12))</f>
        <v>2.9014524000000002</v>
      </c>
      <c r="N48" s="97">
        <f>IF(N7=0,0,(N7+N12)/(TrRoad_ene!N7+TrRoad_ene!N12))</f>
        <v>2.9014524000000002</v>
      </c>
      <c r="O48" s="97">
        <f>IF(O7=0,0,(O7+O12)/(TrRoad_ene!O7+TrRoad_ene!O12))</f>
        <v>2.9014523999999997</v>
      </c>
      <c r="P48" s="97">
        <f>IF(P7=0,0,(P7+P12)/(TrRoad_ene!P7+TrRoad_ene!P12))</f>
        <v>2.9014524000000002</v>
      </c>
      <c r="Q48" s="97">
        <f>IF(Q7=0,0,(Q7+Q12)/(TrRoad_ene!Q7+TrRoad_ene!Q12))</f>
        <v>2.9014524000000006</v>
      </c>
      <c r="R48" s="97">
        <f>IF(R7=0,0,(R7+R12)/(TrRoad_ene!R7+TrRoad_ene!R12))</f>
        <v>2.9014524000000006</v>
      </c>
      <c r="S48" s="97">
        <f>IF(S7=0,0,(S7+S12)/(TrRoad_ene!S7+TrRoad_ene!S12))</f>
        <v>2.9014524000000002</v>
      </c>
      <c r="T48" s="97">
        <f>IF(T7=0,0,(T7+T12)/(TrRoad_ene!T7+TrRoad_ene!T12))</f>
        <v>2.9014524000000002</v>
      </c>
      <c r="U48" s="97">
        <f>IF(U7=0,0,(U7+U12)/(TrRoad_ene!U7+TrRoad_ene!U12))</f>
        <v>2.9014524000000002</v>
      </c>
      <c r="V48" s="97">
        <f>IF(V7=0,0,(V7+V12)/(TrRoad_ene!V7+TrRoad_ene!V12))</f>
        <v>2.8951810323927396</v>
      </c>
      <c r="W48" s="97">
        <f>IF(W7=0,0,(W7+W12)/(TrRoad_ene!W7+TrRoad_ene!W12))</f>
        <v>2.9014524000000002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3.1024188000000001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3.1024187999999997</v>
      </c>
      <c r="G49" s="97">
        <f>IF(G8=0,0,(G8+G13+G14)/(TrRoad_ene!G8+TrRoad_ene!G13+TrRoad_ene!G14))</f>
        <v>3.1024187999999997</v>
      </c>
      <c r="H49" s="97">
        <f>IF(H8=0,0,(H8+H13+H14)/(TrRoad_ene!H8+TrRoad_ene!H13+TrRoad_ene!H14))</f>
        <v>3.1024188000000001</v>
      </c>
      <c r="I49" s="97">
        <f>IF(I8=0,0,(I8+I13+I14)/(TrRoad_ene!I8+TrRoad_ene!I13+TrRoad_ene!I14))</f>
        <v>3.0945173706984619</v>
      </c>
      <c r="J49" s="97">
        <f>IF(J8=0,0,(J8+J13+J14)/(TrRoad_ene!J8+TrRoad_ene!J13+TrRoad_ene!J14))</f>
        <v>2.9781213204656103</v>
      </c>
      <c r="K49" s="97">
        <f>IF(K8=0,0,(K8+K13+K14)/(TrRoad_ene!K8+TrRoad_ene!K13+TrRoad_ene!K14))</f>
        <v>2.9670354251678428</v>
      </c>
      <c r="L49" s="97">
        <f>IF(L8=0,0,(L8+L13+L14)/(TrRoad_ene!L8+TrRoad_ene!L13+TrRoad_ene!L14))</f>
        <v>2.9703049331651954</v>
      </c>
      <c r="M49" s="97">
        <f>IF(M8=0,0,(M8+M13+M14)/(TrRoad_ene!M8+TrRoad_ene!M13+TrRoad_ene!M14))</f>
        <v>2.9559566246386213</v>
      </c>
      <c r="N49" s="97">
        <f>IF(N8=0,0,(N8+N13+N14)/(TrRoad_ene!N8+TrRoad_ene!N13+TrRoad_ene!N14))</f>
        <v>2.9347490968901728</v>
      </c>
      <c r="O49" s="97">
        <f>IF(O8=0,0,(O8+O13+O14)/(TrRoad_ene!O8+TrRoad_ene!O13+TrRoad_ene!O14))</f>
        <v>2.9164768946408084</v>
      </c>
      <c r="P49" s="97">
        <f>IF(P8=0,0,(P8+P13+P14)/(TrRoad_ene!P8+TrRoad_ene!P13+TrRoad_ene!P14))</f>
        <v>2.976090747030447</v>
      </c>
      <c r="Q49" s="97">
        <f>IF(Q8=0,0,(Q8+Q13+Q14)/(TrRoad_ene!Q8+TrRoad_ene!Q13+TrRoad_ene!Q14))</f>
        <v>2.985027718633225</v>
      </c>
      <c r="R49" s="97">
        <f>IF(R8=0,0,(R8+R13+R14)/(TrRoad_ene!R8+TrRoad_ene!R13+TrRoad_ene!R14))</f>
        <v>3.005738244626786</v>
      </c>
      <c r="S49" s="97">
        <f>IF(S8=0,0,(S8+S13+S14)/(TrRoad_ene!S8+TrRoad_ene!S13+TrRoad_ene!S14))</f>
        <v>3.0158958216223311</v>
      </c>
      <c r="T49" s="97">
        <f>IF(T8=0,0,(T8+T13+T14)/(TrRoad_ene!T8+TrRoad_ene!T13+TrRoad_ene!T14))</f>
        <v>3.0157188214378223</v>
      </c>
      <c r="U49" s="97">
        <f>IF(U8=0,0,(U8+U13+U14)/(TrRoad_ene!U8+TrRoad_ene!U13+TrRoad_ene!U14))</f>
        <v>3.002436914197733</v>
      </c>
      <c r="V49" s="97">
        <f>IF(V8=0,0,(V8+V13+V14)/(TrRoad_ene!V8+TrRoad_ene!V13+TrRoad_ene!V14))</f>
        <v>2.8644320882563052</v>
      </c>
      <c r="W49" s="97">
        <f>IF(W8=0,0,(W8+W13+W14)/(TrRoad_ene!W8+TrRoad_ene!W13+TrRoad_ene!W14))</f>
        <v>2.8776679487334089</v>
      </c>
      <c r="DA49" s="175"/>
    </row>
    <row r="50" spans="1:105" ht="11.45" customHeight="1" x14ac:dyDescent="0.25">
      <c r="A50" s="92" t="s">
        <v>127</v>
      </c>
      <c r="B50" s="97">
        <f>IF(B6=0,0,B6/TrRoad_ene!B6)</f>
        <v>0</v>
      </c>
      <c r="C50" s="97">
        <f>IF(C6=0,0,C6/TrRoad_ene!C6)</f>
        <v>0</v>
      </c>
      <c r="D50" s="97">
        <f>IF(D6=0,0,D6/TrRoad_ene!D6)</f>
        <v>0</v>
      </c>
      <c r="E50" s="97">
        <f>IF(E6=0,0,E6/TrRoad_ene!E6)</f>
        <v>0</v>
      </c>
      <c r="F50" s="97">
        <f>IF(F6=0,0,F6/TrRoad_ene!F6)</f>
        <v>0</v>
      </c>
      <c r="G50" s="97">
        <f>IF(G6=0,0,G6/TrRoad_ene!G6)</f>
        <v>0</v>
      </c>
      <c r="H50" s="97">
        <f>IF(H6=0,0,H6/TrRoad_ene!H6)</f>
        <v>0</v>
      </c>
      <c r="I50" s="97">
        <f>IF(I6=0,0,I6/TrRoad_ene!I6)</f>
        <v>0</v>
      </c>
      <c r="J50" s="97">
        <f>IF(J6=0,0,J6/TrRoad_ene!J6)</f>
        <v>0</v>
      </c>
      <c r="K50" s="97">
        <f>IF(K6=0,0,K6/TrRoad_ene!K6)</f>
        <v>0</v>
      </c>
      <c r="L50" s="97">
        <f>IF(L6=0,0,L6/TrRoad_ene!L6)</f>
        <v>0</v>
      </c>
      <c r="M50" s="97">
        <f>IF(M6=0,0,M6/TrRoad_ene!M6)</f>
        <v>0</v>
      </c>
      <c r="N50" s="97">
        <f>IF(N6=0,0,N6/TrRoad_ene!N6)</f>
        <v>0</v>
      </c>
      <c r="O50" s="97">
        <f>IF(O6=0,0,O6/TrRoad_ene!O6)</f>
        <v>0</v>
      </c>
      <c r="P50" s="97">
        <f>IF(P6=0,0,P6/TrRoad_ene!P6)</f>
        <v>0</v>
      </c>
      <c r="Q50" s="97">
        <f>IF(Q6=0,0,Q6/TrRoad_ene!Q6)</f>
        <v>0</v>
      </c>
      <c r="R50" s="97">
        <f>IF(R6=0,0,R6/TrRoad_ene!R6)</f>
        <v>0</v>
      </c>
      <c r="S50" s="97">
        <f>IF(S6=0,0,S6/TrRoad_ene!S6)</f>
        <v>0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0</v>
      </c>
      <c r="C51" s="97">
        <f>IF(C9=0,0,(C9+C11)/(TrRoad_ene!C9+TrRoad_ene!C11))</f>
        <v>0</v>
      </c>
      <c r="D51" s="97">
        <f>IF(D9=0,0,(D9+D11)/(TrRoad_ene!D9+TrRoad_ene!D11))</f>
        <v>0</v>
      </c>
      <c r="E51" s="97">
        <f>IF(E9=0,0,(E9+E11)/(TrRoad_ene!E9+TrRoad_ene!E11))</f>
        <v>0</v>
      </c>
      <c r="F51" s="97">
        <f>IF(F9=0,0,(F9+F11)/(TrRoad_ene!F9+TrRoad_ene!F11))</f>
        <v>0</v>
      </c>
      <c r="G51" s="97">
        <f>IF(G9=0,0,(G9+G11)/(TrRoad_ene!G9+TrRoad_ene!G11))</f>
        <v>0</v>
      </c>
      <c r="H51" s="97">
        <f>IF(H9=0,0,(H9+H11)/(TrRoad_ene!H9+TrRoad_ene!H11))</f>
        <v>0</v>
      </c>
      <c r="I51" s="97">
        <f>IF(I9=0,0,(I9+I11)/(TrRoad_ene!I9+TrRoad_ene!I11))</f>
        <v>0</v>
      </c>
      <c r="J51" s="97">
        <f>IF(J9=0,0,(J9+J11)/(TrRoad_ene!J9+TrRoad_ene!J11))</f>
        <v>0</v>
      </c>
      <c r="K51" s="97">
        <f>IF(K9=0,0,(K9+K11)/(TrRoad_ene!K9+TrRoad_ene!K11))</f>
        <v>0</v>
      </c>
      <c r="L51" s="97">
        <f>IF(L9=0,0,(L9+L11)/(TrRoad_ene!L9+TrRoad_ene!L11))</f>
        <v>0</v>
      </c>
      <c r="M51" s="97">
        <f>IF(M9=0,0,(M9+M11)/(TrRoad_ene!M9+TrRoad_ene!M11))</f>
        <v>0</v>
      </c>
      <c r="N51" s="97">
        <f>IF(N9=0,0,(N9+N11)/(TrRoad_ene!N9+TrRoad_ene!N11))</f>
        <v>0</v>
      </c>
      <c r="O51" s="97">
        <f>IF(O9=0,0,(O9+O11)/(TrRoad_ene!O9+TrRoad_ene!O11))</f>
        <v>0</v>
      </c>
      <c r="P51" s="97">
        <f>IF(P9=0,0,(P9+P11)/(TrRoad_ene!P9+TrRoad_ene!P11))</f>
        <v>0</v>
      </c>
      <c r="Q51" s="97">
        <f>IF(Q9=0,0,(Q9+Q11)/(TrRoad_ene!Q9+TrRoad_ene!Q11))</f>
        <v>0</v>
      </c>
      <c r="R51" s="97">
        <f>IF(R9=0,0,(R9+R11)/(TrRoad_ene!R9+TrRoad_ene!R11))</f>
        <v>0</v>
      </c>
      <c r="S51" s="97">
        <f>IF(S9=0,0,(S9+S11)/(TrRoad_ene!S9+TrRoad_ene!S11))</f>
        <v>0</v>
      </c>
      <c r="T51" s="97">
        <f>IF(T9=0,0,(T9+T11)/(TrRoad_ene!T9+TrRoad_ene!T11))</f>
        <v>0</v>
      </c>
      <c r="U51" s="97">
        <f>IF(U9=0,0,(U9+U11)/(TrRoad_ene!U9+TrRoad_ene!U11))</f>
        <v>0</v>
      </c>
      <c r="V51" s="97">
        <f>IF(V9=0,0,(V9+V11)/(TrRoad_ene!V9+TrRoad_ene!V11))</f>
        <v>0</v>
      </c>
      <c r="W51" s="97">
        <f>IF(W9=0,0,(W9+W11)/(TrRoad_ene!W9+TrRoad_ene!W11))</f>
        <v>0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358.09024713136733</v>
      </c>
      <c r="C54" s="62">
        <f>IF(TrRoad_act!C30=0,0,C17/TrRoad_act!C30*1000
)</f>
        <v>356.18732561481693</v>
      </c>
      <c r="D54" s="62">
        <f>IF(TrRoad_act!D30=0,0,D17/TrRoad_act!D30*1000
)</f>
        <v>343.94430998196401</v>
      </c>
      <c r="E54" s="62">
        <f>IF(TrRoad_act!E30=0,0,E17/TrRoad_act!E30*1000
)</f>
        <v>351.620255431928</v>
      </c>
      <c r="F54" s="62">
        <f>IF(TrRoad_act!F30=0,0,F17/TrRoad_act!F30*1000
)</f>
        <v>357.94310612108347</v>
      </c>
      <c r="G54" s="62">
        <f>IF(TrRoad_act!G30=0,0,G17/TrRoad_act!G30*1000
)</f>
        <v>344.99994051005655</v>
      </c>
      <c r="H54" s="62">
        <f>IF(TrRoad_act!H30=0,0,H17/TrRoad_act!H30*1000
)</f>
        <v>340.83984849966669</v>
      </c>
      <c r="I54" s="62">
        <f>IF(TrRoad_act!I30=0,0,I17/TrRoad_act!I30*1000
)</f>
        <v>341.5039309746449</v>
      </c>
      <c r="J54" s="62">
        <f>IF(TrRoad_act!J30=0,0,J17/TrRoad_act!J30*1000
)</f>
        <v>324.64971256810293</v>
      </c>
      <c r="K54" s="62">
        <f>IF(TrRoad_act!K30=0,0,K17/TrRoad_act!K30*1000
)</f>
        <v>324.41539200208149</v>
      </c>
      <c r="L54" s="62">
        <f>IF(TrRoad_act!L30=0,0,L17/TrRoad_act!L30*1000
)</f>
        <v>325.24099661708772</v>
      </c>
      <c r="M54" s="62">
        <f>IF(TrRoad_act!M30=0,0,M17/TrRoad_act!M30*1000
)</f>
        <v>313.14090032855904</v>
      </c>
      <c r="N54" s="62">
        <f>IF(TrRoad_act!N30=0,0,N17/TrRoad_act!N30*1000
)</f>
        <v>291.5111625734848</v>
      </c>
      <c r="O54" s="62">
        <f>IF(TrRoad_act!O30=0,0,O17/TrRoad_act!O30*1000
)</f>
        <v>267.49310345806441</v>
      </c>
      <c r="P54" s="62">
        <f>IF(TrRoad_act!P30=0,0,P17/TrRoad_act!P30*1000
)</f>
        <v>262.85792554851554</v>
      </c>
      <c r="Q54" s="62">
        <f>IF(TrRoad_act!Q30=0,0,Q17/TrRoad_act!Q30*1000
)</f>
        <v>269.58144306512821</v>
      </c>
      <c r="R54" s="62">
        <f>IF(TrRoad_act!R30=0,0,R17/TrRoad_act!R30*1000
)</f>
        <v>255.08038966696191</v>
      </c>
      <c r="S54" s="62">
        <f>IF(TrRoad_act!S30=0,0,S17/TrRoad_act!S30*1000
)</f>
        <v>257.76281692985202</v>
      </c>
      <c r="T54" s="62">
        <f>IF(TrRoad_act!T30=0,0,T17/TrRoad_act!T30*1000
)</f>
        <v>248.89026602761572</v>
      </c>
      <c r="U54" s="62">
        <f>IF(TrRoad_act!U30=0,0,U17/TrRoad_act!U30*1000
)</f>
        <v>244.56810324927943</v>
      </c>
      <c r="V54" s="62">
        <f>IF(TrRoad_act!V30=0,0,V17/TrRoad_act!V30*1000
)</f>
        <v>229.93678250929864</v>
      </c>
      <c r="W54" s="62">
        <f>IF(TrRoad_act!W30=0,0,W17/TrRoad_act!W30*1000
)</f>
        <v>242.12802646632625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318.46442042682565</v>
      </c>
      <c r="C55" s="29">
        <f>IF(TrRoad_act!C31=0,0,C18/TrRoad_act!C31*1000
)</f>
        <v>320.01065295481129</v>
      </c>
      <c r="D55" s="29">
        <f>IF(TrRoad_act!D31=0,0,D18/TrRoad_act!D31*1000
)</f>
        <v>316.16754631930945</v>
      </c>
      <c r="E55" s="29">
        <f>IF(TrRoad_act!E31=0,0,E18/TrRoad_act!E31*1000
)</f>
        <v>327.53192348125873</v>
      </c>
      <c r="F55" s="29">
        <f>IF(TrRoad_act!F31=0,0,F18/TrRoad_act!F31*1000
)</f>
        <v>330.46281620807207</v>
      </c>
      <c r="G55" s="29">
        <f>IF(TrRoad_act!G31=0,0,G18/TrRoad_act!G31*1000
)</f>
        <v>322.76366277216351</v>
      </c>
      <c r="H55" s="29">
        <f>IF(TrRoad_act!H31=0,0,H18/TrRoad_act!H31*1000
)</f>
        <v>323.58456475639872</v>
      </c>
      <c r="I55" s="29">
        <f>IF(TrRoad_act!I31=0,0,I18/TrRoad_act!I31*1000
)</f>
        <v>321.88478229171875</v>
      </c>
      <c r="J55" s="29">
        <f>IF(TrRoad_act!J31=0,0,J18/TrRoad_act!J31*1000
)</f>
        <v>309.41335545255345</v>
      </c>
      <c r="K55" s="29">
        <f>IF(TrRoad_act!K31=0,0,K18/TrRoad_act!K31*1000
)</f>
        <v>309.26478610625162</v>
      </c>
      <c r="L55" s="29">
        <f>IF(TrRoad_act!L31=0,0,L18/TrRoad_act!L31*1000
)</f>
        <v>308.48400406854603</v>
      </c>
      <c r="M55" s="29">
        <f>IF(TrRoad_act!M31=0,0,M18/TrRoad_act!M31*1000
)</f>
        <v>300.46912594475276</v>
      </c>
      <c r="N55" s="29">
        <f>IF(TrRoad_act!N31=0,0,N18/TrRoad_act!N31*1000
)</f>
        <v>287.08179804683385</v>
      </c>
      <c r="O55" s="29">
        <f>IF(TrRoad_act!O31=0,0,O18/TrRoad_act!O31*1000
)</f>
        <v>267.9290406664685</v>
      </c>
      <c r="P55" s="29">
        <f>IF(TrRoad_act!P31=0,0,P18/TrRoad_act!P31*1000
)</f>
        <v>263.65465099401513</v>
      </c>
      <c r="Q55" s="29">
        <f>IF(TrRoad_act!Q31=0,0,Q18/TrRoad_act!Q31*1000
)</f>
        <v>269.35192091583696</v>
      </c>
      <c r="R55" s="29">
        <f>IF(TrRoad_act!R31=0,0,R18/TrRoad_act!R31*1000
)</f>
        <v>249.35189274289297</v>
      </c>
      <c r="S55" s="29">
        <f>IF(TrRoad_act!S31=0,0,S18/TrRoad_act!S31*1000
)</f>
        <v>251.69421782477136</v>
      </c>
      <c r="T55" s="29">
        <f>IF(TrRoad_act!T31=0,0,T18/TrRoad_act!T31*1000
)</f>
        <v>243.08157995443759</v>
      </c>
      <c r="U55" s="29">
        <f>IF(TrRoad_act!U31=0,0,U18/TrRoad_act!U31*1000
)</f>
        <v>238.14171868830812</v>
      </c>
      <c r="V55" s="29">
        <f>IF(TrRoad_act!V31=0,0,V18/TrRoad_act!V31*1000
)</f>
        <v>222.0844868701823</v>
      </c>
      <c r="W55" s="29">
        <f>IF(TrRoad_act!W31=0,0,W18/TrRoad_act!W31*1000
)</f>
        <v>234.20338202554223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131.34585227101374</v>
      </c>
      <c r="C56" s="152">
        <f>IF(TrRoad_act!C32=0,0,C19/TrRoad_act!C32*1000
)</f>
        <v>130.27909834563926</v>
      </c>
      <c r="D56" s="152">
        <f>IF(TrRoad_act!D32=0,0,D19/TrRoad_act!D32*1000
)</f>
        <v>129.38737142463859</v>
      </c>
      <c r="E56" s="152">
        <f>IF(TrRoad_act!E32=0,0,E19/TrRoad_act!E32*1000
)</f>
        <v>128.79771993164587</v>
      </c>
      <c r="F56" s="152">
        <f>IF(TrRoad_act!F32=0,0,F19/TrRoad_act!F32*1000
)</f>
        <v>127.99548136295907</v>
      </c>
      <c r="G56" s="152">
        <f>IF(TrRoad_act!G32=0,0,G19/TrRoad_act!G32*1000
)</f>
        <v>127.0242819666292</v>
      </c>
      <c r="H56" s="152">
        <f>IF(TrRoad_act!H32=0,0,H19/TrRoad_act!H32*1000
)</f>
        <v>125.9854833470791</v>
      </c>
      <c r="I56" s="152">
        <f>IF(TrRoad_act!I32=0,0,I19/TrRoad_act!I32*1000
)</f>
        <v>124.86217363265922</v>
      </c>
      <c r="J56" s="152">
        <f>IF(TrRoad_act!J32=0,0,J19/TrRoad_act!J32*1000
)</f>
        <v>123.60418296316338</v>
      </c>
      <c r="K56" s="152">
        <f>IF(TrRoad_act!K32=0,0,K19/TrRoad_act!K32*1000
)</f>
        <v>122.23567673013487</v>
      </c>
      <c r="L56" s="152">
        <f>IF(TrRoad_act!L32=0,0,L19/TrRoad_act!L32*1000
)</f>
        <v>120.44613046561756</v>
      </c>
      <c r="M56" s="152">
        <f>IF(TrRoad_act!M32=0,0,M19/TrRoad_act!M32*1000
)</f>
        <v>118.95151555209463</v>
      </c>
      <c r="N56" s="152">
        <f>IF(TrRoad_act!N32=0,0,N19/TrRoad_act!N32*1000
)</f>
        <v>118.51472761083916</v>
      </c>
      <c r="O56" s="152">
        <f>IF(TrRoad_act!O32=0,0,O19/TrRoad_act!O32*1000
)</f>
        <v>117.17762666649089</v>
      </c>
      <c r="P56" s="152">
        <f>IF(TrRoad_act!P32=0,0,P19/TrRoad_act!P32*1000
)</f>
        <v>116.4834289532766</v>
      </c>
      <c r="Q56" s="152">
        <f>IF(TrRoad_act!Q32=0,0,Q19/TrRoad_act!Q32*1000
)</f>
        <v>115.71376071188146</v>
      </c>
      <c r="R56" s="152">
        <f>IF(TrRoad_act!R32=0,0,R19/TrRoad_act!R32*1000
)</f>
        <v>114.04822606384953</v>
      </c>
      <c r="S56" s="152">
        <f>IF(TrRoad_act!S32=0,0,S19/TrRoad_act!S32*1000
)</f>
        <v>113.02235889850242</v>
      </c>
      <c r="T56" s="152">
        <f>IF(TrRoad_act!T32=0,0,T19/TrRoad_act!T32*1000
)</f>
        <v>111.86842922459698</v>
      </c>
      <c r="U56" s="152">
        <f>IF(TrRoad_act!U32=0,0,U19/TrRoad_act!U32*1000
)</f>
        <v>110.04021234737108</v>
      </c>
      <c r="V56" s="152">
        <f>IF(TrRoad_act!V32=0,0,V19/TrRoad_act!V32*1000
)</f>
        <v>108.81731638016588</v>
      </c>
      <c r="W56" s="152">
        <f>IF(TrRoad_act!W32=0,0,W19/TrRoad_act!W32*1000
)</f>
        <v>102.48346675874886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248.04181120153973</v>
      </c>
      <c r="C57" s="116">
        <f>IF(TrRoad_act!C33=0,0,C20/TrRoad_act!C33*1000
)</f>
        <v>251.60145495408025</v>
      </c>
      <c r="D57" s="116">
        <f>IF(TrRoad_act!D33=0,0,D20/TrRoad_act!D33*1000
)</f>
        <v>251.51715267287528</v>
      </c>
      <c r="E57" s="116">
        <f>IF(TrRoad_act!E33=0,0,E20/TrRoad_act!E33*1000
)</f>
        <v>261.54102029715125</v>
      </c>
      <c r="F57" s="116">
        <f>IF(TrRoad_act!F33=0,0,F20/TrRoad_act!F33*1000
)</f>
        <v>266.01756396890448</v>
      </c>
      <c r="G57" s="116">
        <f>IF(TrRoad_act!G33=0,0,G20/TrRoad_act!G33*1000
)</f>
        <v>266.2398536694584</v>
      </c>
      <c r="H57" s="116">
        <f>IF(TrRoad_act!H33=0,0,H20/TrRoad_act!H33*1000
)</f>
        <v>268.68435951448618</v>
      </c>
      <c r="I57" s="116">
        <f>IF(TrRoad_act!I33=0,0,I20/TrRoad_act!I33*1000
)</f>
        <v>268.3392508730995</v>
      </c>
      <c r="J57" s="116">
        <f>IF(TrRoad_act!J33=0,0,J20/TrRoad_act!J33*1000
)</f>
        <v>262.51275534825254</v>
      </c>
      <c r="K57" s="116">
        <f>IF(TrRoad_act!K33=0,0,K20/TrRoad_act!K33*1000
)</f>
        <v>262.83227315512846</v>
      </c>
      <c r="L57" s="116">
        <f>IF(TrRoad_act!L33=0,0,L20/TrRoad_act!L33*1000
)</f>
        <v>262.58095799611152</v>
      </c>
      <c r="M57" s="116">
        <f>IF(TrRoad_act!M33=0,0,M20/TrRoad_act!M33*1000
)</f>
        <v>255.63398127482085</v>
      </c>
      <c r="N57" s="116">
        <f>IF(TrRoad_act!N33=0,0,N20/TrRoad_act!N33*1000
)</f>
        <v>246.6108497896407</v>
      </c>
      <c r="O57" s="116">
        <f>IF(TrRoad_act!O33=0,0,O20/TrRoad_act!O33*1000
)</f>
        <v>231.66875682460571</v>
      </c>
      <c r="P57" s="116">
        <f>IF(TrRoad_act!P33=0,0,P20/TrRoad_act!P33*1000
)</f>
        <v>226.90267329495387</v>
      </c>
      <c r="Q57" s="116">
        <f>IF(TrRoad_act!Q33=0,0,Q20/TrRoad_act!Q33*1000
)</f>
        <v>228.4717874382568</v>
      </c>
      <c r="R57" s="116">
        <f>IF(TrRoad_act!R33=0,0,R20/TrRoad_act!R33*1000
)</f>
        <v>210.14106438999929</v>
      </c>
      <c r="S57" s="116">
        <f>IF(TrRoad_act!S33=0,0,S20/TrRoad_act!S33*1000
)</f>
        <v>210.80403633384813</v>
      </c>
      <c r="T57" s="116">
        <f>IF(TrRoad_act!T33=0,0,T20/TrRoad_act!T33*1000
)</f>
        <v>203.3000462871268</v>
      </c>
      <c r="U57" s="116">
        <f>IF(TrRoad_act!U33=0,0,U20/TrRoad_act!U33*1000
)</f>
        <v>198.86226321946293</v>
      </c>
      <c r="V57" s="116">
        <f>IF(TrRoad_act!V33=0,0,V20/TrRoad_act!V33*1000
)</f>
        <v>187.94829194883135</v>
      </c>
      <c r="W57" s="116">
        <f>IF(TrRoad_act!W33=0,0,W20/TrRoad_act!W33*1000
)</f>
        <v>197.42647554007107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235.34425870245161</v>
      </c>
      <c r="C58" s="87">
        <f>IF(TrRoad_act!C34=0,0,C21/TrRoad_act!C34*1000
)</f>
        <v>240.6963768105708</v>
      </c>
      <c r="D58" s="87">
        <f>IF(TrRoad_act!D34=0,0,D21/TrRoad_act!D34*1000
)</f>
        <v>244.37624480937956</v>
      </c>
      <c r="E58" s="87">
        <f>IF(TrRoad_act!E34=0,0,E21/TrRoad_act!E34*1000
)</f>
        <v>256.33045193974266</v>
      </c>
      <c r="F58" s="87">
        <f>IF(TrRoad_act!F34=0,0,F21/TrRoad_act!F34*1000
)</f>
        <v>258.47283690766415</v>
      </c>
      <c r="G58" s="87">
        <f>IF(TrRoad_act!G34=0,0,G21/TrRoad_act!G34*1000
)</f>
        <v>262.71980908648271</v>
      </c>
      <c r="H58" s="87">
        <f>IF(TrRoad_act!H34=0,0,H21/TrRoad_act!H34*1000
)</f>
        <v>265.86214356747456</v>
      </c>
      <c r="I58" s="87">
        <f>IF(TrRoad_act!I34=0,0,I21/TrRoad_act!I34*1000
)</f>
        <v>264.45427944049771</v>
      </c>
      <c r="J58" s="87">
        <f>IF(TrRoad_act!J34=0,0,J21/TrRoad_act!J34*1000
)</f>
        <v>260.67135200480158</v>
      </c>
      <c r="K58" s="87">
        <f>IF(TrRoad_act!K34=0,0,K21/TrRoad_act!K34*1000
)</f>
        <v>259.39312189328058</v>
      </c>
      <c r="L58" s="87">
        <f>IF(TrRoad_act!L34=0,0,L21/TrRoad_act!L34*1000
)</f>
        <v>258.67780384636114</v>
      </c>
      <c r="M58" s="87">
        <f>IF(TrRoad_act!M34=0,0,M21/TrRoad_act!M34*1000
)</f>
        <v>252.44599542322942</v>
      </c>
      <c r="N58" s="87">
        <f>IF(TrRoad_act!N34=0,0,N21/TrRoad_act!N34*1000
)</f>
        <v>246.43740013544542</v>
      </c>
      <c r="O58" s="87">
        <f>IF(TrRoad_act!O34=0,0,O21/TrRoad_act!O34*1000
)</f>
        <v>232.3157902872712</v>
      </c>
      <c r="P58" s="87">
        <f>IF(TrRoad_act!P34=0,0,P21/TrRoad_act!P34*1000
)</f>
        <v>227.29024412950704</v>
      </c>
      <c r="Q58" s="87">
        <f>IF(TrRoad_act!Q34=0,0,Q21/TrRoad_act!Q34*1000
)</f>
        <v>228.20028462627945</v>
      </c>
      <c r="R58" s="87">
        <f>IF(TrRoad_act!R34=0,0,R21/TrRoad_act!R34*1000
)</f>
        <v>207.34064738680345</v>
      </c>
      <c r="S58" s="87">
        <f>IF(TrRoad_act!S34=0,0,S21/TrRoad_act!S34*1000
)</f>
        <v>208.10435749496935</v>
      </c>
      <c r="T58" s="87">
        <f>IF(TrRoad_act!T34=0,0,T21/TrRoad_act!T34*1000
)</f>
        <v>201.02356058464562</v>
      </c>
      <c r="U58" s="87">
        <f>IF(TrRoad_act!U34=0,0,U21/TrRoad_act!U34*1000
)</f>
        <v>195.93860008384866</v>
      </c>
      <c r="V58" s="87">
        <f>IF(TrRoad_act!V34=0,0,V21/TrRoad_act!V34*1000
)</f>
        <v>182.70870401570284</v>
      </c>
      <c r="W58" s="87">
        <f>IF(TrRoad_act!W34=0,0,W21/TrRoad_act!W34*1000
)</f>
        <v>192.39053371764697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309.68544058372845</v>
      </c>
      <c r="C59" s="87">
        <f>IF(TrRoad_act!C35=0,0,C22/TrRoad_act!C35*1000
)</f>
        <v>302.7624143223959</v>
      </c>
      <c r="D59" s="87">
        <f>IF(TrRoad_act!D35=0,0,D22/TrRoad_act!D35*1000
)</f>
        <v>286.43939727298846</v>
      </c>
      <c r="E59" s="87">
        <f>IF(TrRoad_act!E35=0,0,E22/TrRoad_act!E35*1000
)</f>
        <v>288.71859714038652</v>
      </c>
      <c r="F59" s="87">
        <f>IF(TrRoad_act!F35=0,0,F22/TrRoad_act!F35*1000
)</f>
        <v>310.86624416131349</v>
      </c>
      <c r="G59" s="87">
        <f>IF(TrRoad_act!G35=0,0,G22/TrRoad_act!G35*1000
)</f>
        <v>289.32382369066676</v>
      </c>
      <c r="H59" s="87">
        <f>IF(TrRoad_act!H35=0,0,H22/TrRoad_act!H35*1000
)</f>
        <v>288.91629603689688</v>
      </c>
      <c r="I59" s="87">
        <f>IF(TrRoad_act!I35=0,0,I22/TrRoad_act!I35*1000
)</f>
        <v>297.63868592582452</v>
      </c>
      <c r="J59" s="87">
        <f>IF(TrRoad_act!J35=0,0,J22/TrRoad_act!J35*1000
)</f>
        <v>276.4049535347952</v>
      </c>
      <c r="K59" s="87">
        <f>IF(TrRoad_act!K35=0,0,K22/TrRoad_act!K35*1000
)</f>
        <v>288.35356203265928</v>
      </c>
      <c r="L59" s="87">
        <f>IF(TrRoad_act!L35=0,0,L22/TrRoad_act!L35*1000
)</f>
        <v>291.49495011335745</v>
      </c>
      <c r="M59" s="87">
        <f>IF(TrRoad_act!M35=0,0,M22/TrRoad_act!M35*1000
)</f>
        <v>279.55602076373401</v>
      </c>
      <c r="N59" s="87">
        <f>IF(TrRoad_act!N35=0,0,N22/TrRoad_act!N35*1000
)</f>
        <v>247.98194825618788</v>
      </c>
      <c r="O59" s="87">
        <f>IF(TrRoad_act!O35=0,0,O22/TrRoad_act!O35*1000
)</f>
        <v>226.4504785693897</v>
      </c>
      <c r="P59" s="87">
        <f>IF(TrRoad_act!P35=0,0,P22/TrRoad_act!P35*1000
)</f>
        <v>223.9789103555272</v>
      </c>
      <c r="Q59" s="87">
        <f>IF(TrRoad_act!Q35=0,0,Q22/TrRoad_act!Q35*1000
)</f>
        <v>230.55042035482876</v>
      </c>
      <c r="R59" s="87">
        <f>IF(TrRoad_act!R35=0,0,R22/TrRoad_act!R35*1000
)</f>
        <v>229.17242284294545</v>
      </c>
      <c r="S59" s="87">
        <f>IF(TrRoad_act!S35=0,0,S22/TrRoad_act!S35*1000
)</f>
        <v>226.34278634188973</v>
      </c>
      <c r="T59" s="87">
        <f>IF(TrRoad_act!T35=0,0,T22/TrRoad_act!T35*1000
)</f>
        <v>215.17606992347223</v>
      </c>
      <c r="U59" s="87">
        <f>IF(TrRoad_act!U35=0,0,U22/TrRoad_act!U35*1000
)</f>
        <v>211.79591202890455</v>
      </c>
      <c r="V59" s="87">
        <f>IF(TrRoad_act!V35=0,0,V22/TrRoad_act!V35*1000
)</f>
        <v>208.11893389213668</v>
      </c>
      <c r="W59" s="87">
        <f>IF(TrRoad_act!W35=0,0,W22/TrRoad_act!W35*1000
)</f>
        <v>216.60272702111959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0</v>
      </c>
      <c r="C60" s="87">
        <f>IF(TrRoad_act!C36=0,0,C23/TrRoad_act!C36*1000
)</f>
        <v>0</v>
      </c>
      <c r="D60" s="87">
        <f>IF(TrRoad_act!D36=0,0,D23/TrRoad_act!D36*1000
)</f>
        <v>0</v>
      </c>
      <c r="E60" s="87">
        <f>IF(TrRoad_act!E36=0,0,E23/TrRoad_act!E36*1000
)</f>
        <v>0</v>
      </c>
      <c r="F60" s="87">
        <f>IF(TrRoad_act!F36=0,0,F23/TrRoad_act!F36*1000
)</f>
        <v>0</v>
      </c>
      <c r="G60" s="87">
        <f>IF(TrRoad_act!G36=0,0,G23/TrRoad_act!G36*1000
)</f>
        <v>0</v>
      </c>
      <c r="H60" s="87">
        <f>IF(TrRoad_act!H36=0,0,H23/TrRoad_act!H36*1000
)</f>
        <v>0</v>
      </c>
      <c r="I60" s="87">
        <f>IF(TrRoad_act!I36=0,0,I23/TrRoad_act!I36*1000
)</f>
        <v>0</v>
      </c>
      <c r="J60" s="87">
        <f>IF(TrRoad_act!J36=0,0,J23/TrRoad_act!J36*1000
)</f>
        <v>0</v>
      </c>
      <c r="K60" s="87">
        <f>IF(TrRoad_act!K36=0,0,K23/TrRoad_act!K36*1000
)</f>
        <v>0</v>
      </c>
      <c r="L60" s="87">
        <f>IF(TrRoad_act!L36=0,0,L23/TrRoad_act!L36*1000
)</f>
        <v>0</v>
      </c>
      <c r="M60" s="87">
        <f>IF(TrRoad_act!M36=0,0,M23/TrRoad_act!M36*1000
)</f>
        <v>0</v>
      </c>
      <c r="N60" s="87">
        <f>IF(TrRoad_act!N36=0,0,N23/TrRoad_act!N36*1000
)</f>
        <v>0</v>
      </c>
      <c r="O60" s="87">
        <f>IF(TrRoad_act!O36=0,0,O23/TrRoad_act!O36*1000
)</f>
        <v>0</v>
      </c>
      <c r="P60" s="87">
        <f>IF(TrRoad_act!P36=0,0,P23/TrRoad_act!P36*1000
)</f>
        <v>0</v>
      </c>
      <c r="Q60" s="87">
        <f>IF(TrRoad_act!Q36=0,0,Q23/TrRoad_act!Q36*1000
)</f>
        <v>0</v>
      </c>
      <c r="R60" s="87">
        <f>IF(TrRoad_act!R36=0,0,R23/TrRoad_act!R36*1000
)</f>
        <v>0</v>
      </c>
      <c r="S60" s="87">
        <f>IF(TrRoad_act!S36=0,0,S23/TrRoad_act!S36*1000
)</f>
        <v>0</v>
      </c>
      <c r="T60" s="87">
        <f>IF(TrRoad_act!T36=0,0,T23/TrRoad_act!T36*1000
)</f>
        <v>130.90656969241005</v>
      </c>
      <c r="U60" s="87">
        <f>IF(TrRoad_act!U36=0,0,U23/TrRoad_act!U36*1000
)</f>
        <v>145.26805977228568</v>
      </c>
      <c r="V60" s="87">
        <f>IF(TrRoad_act!V36=0,0,V23/TrRoad_act!V36*1000
)</f>
        <v>141.01803426781908</v>
      </c>
      <c r="W60" s="87">
        <f>IF(TrRoad_act!W36=0,0,W23/TrRoad_act!W36*1000
)</f>
        <v>158.76334920393111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0</v>
      </c>
      <c r="I61" s="87">
        <f>IF(TrRoad_act!I37=0,0,I24/TrRoad_act!I37*1000
)</f>
        <v>0</v>
      </c>
      <c r="J61" s="87">
        <f>IF(TrRoad_act!J37=0,0,J24/TrRoad_act!J37*1000
)</f>
        <v>0</v>
      </c>
      <c r="K61" s="87">
        <f>IF(TrRoad_act!K37=0,0,K24/TrRoad_act!K37*1000
)</f>
        <v>0</v>
      </c>
      <c r="L61" s="87">
        <f>IF(TrRoad_act!L37=0,0,L24/TrRoad_act!L37*1000
)</f>
        <v>0</v>
      </c>
      <c r="M61" s="87">
        <f>IF(TrRoad_act!M37=0,0,M24/TrRoad_act!M37*1000
)</f>
        <v>0</v>
      </c>
      <c r="N61" s="87">
        <f>IF(TrRoad_act!N37=0,0,N24/TrRoad_act!N37*1000
)</f>
        <v>0</v>
      </c>
      <c r="O61" s="87">
        <f>IF(TrRoad_act!O37=0,0,O24/TrRoad_act!O37*1000
)</f>
        <v>0</v>
      </c>
      <c r="P61" s="87">
        <f>IF(TrRoad_act!P37=0,0,P24/TrRoad_act!P37*1000
)</f>
        <v>0</v>
      </c>
      <c r="Q61" s="87">
        <f>IF(TrRoad_act!Q37=0,0,Q24/TrRoad_act!Q37*1000
)</f>
        <v>0</v>
      </c>
      <c r="R61" s="87">
        <f>IF(TrRoad_act!R37=0,0,R24/TrRoad_act!R37*1000
)</f>
        <v>0</v>
      </c>
      <c r="S61" s="87">
        <f>IF(TrRoad_act!S37=0,0,S24/TrRoad_act!S37*1000
)</f>
        <v>0</v>
      </c>
      <c r="T61" s="87">
        <f>IF(TrRoad_act!T37=0,0,T24/TrRoad_act!T37*1000
)</f>
        <v>0</v>
      </c>
      <c r="U61" s="87">
        <f>IF(TrRoad_act!U37=0,0,U24/TrRoad_act!U37*1000
)</f>
        <v>0</v>
      </c>
      <c r="V61" s="87">
        <f>IF(TrRoad_act!V37=0,0,V24/TrRoad_act!V37*1000
)</f>
        <v>0</v>
      </c>
      <c r="W61" s="87">
        <f>IF(TrRoad_act!W37=0,0,W24/TrRoad_act!W37*1000
)</f>
        <v>0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0</v>
      </c>
      <c r="O62" s="87">
        <f>IF(TrRoad_act!O38=0,0,O25/TrRoad_act!O38*1000
)</f>
        <v>0</v>
      </c>
      <c r="P62" s="87">
        <f>IF(TrRoad_act!P38=0,0,P25/TrRoad_act!P38*1000
)</f>
        <v>63.3754485714392</v>
      </c>
      <c r="Q62" s="87">
        <f>IF(TrRoad_act!Q38=0,0,Q25/TrRoad_act!Q38*1000
)</f>
        <v>64.201278787894012</v>
      </c>
      <c r="R62" s="87">
        <f>IF(TrRoad_act!R38=0,0,R25/TrRoad_act!R38*1000
)</f>
        <v>80.935095708350474</v>
      </c>
      <c r="S62" s="87">
        <f>IF(TrRoad_act!S38=0,0,S25/TrRoad_act!S38*1000
)</f>
        <v>77.913355674881501</v>
      </c>
      <c r="T62" s="87">
        <f>IF(TrRoad_act!T38=0,0,T25/TrRoad_act!T38*1000
)</f>
        <v>73.777879161058593</v>
      </c>
      <c r="U62" s="87">
        <f>IF(TrRoad_act!U38=0,0,U25/TrRoad_act!U38*1000
)</f>
        <v>70.873285132862989</v>
      </c>
      <c r="V62" s="87">
        <f>IF(TrRoad_act!V38=0,0,V25/TrRoad_act!V38*1000
)</f>
        <v>74.575569671749903</v>
      </c>
      <c r="W62" s="87">
        <f>IF(TrRoad_act!W38=0,0,W25/TrRoad_act!W38*1000
)</f>
        <v>65.451577471718522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2070.5258001230677</v>
      </c>
      <c r="C64" s="116">
        <f>IF(TrRoad_act!C40=0,0,C27/TrRoad_act!C40*1000
)</f>
        <v>2040.0151157752648</v>
      </c>
      <c r="D64" s="116">
        <f>IF(TrRoad_act!D40=0,0,D27/TrRoad_act!D40*1000
)</f>
        <v>1923.5369225380948</v>
      </c>
      <c r="E64" s="116">
        <f>IF(TrRoad_act!E40=0,0,E27/TrRoad_act!E40*1000
)</f>
        <v>1937.5980886445568</v>
      </c>
      <c r="F64" s="116">
        <f>IF(TrRoad_act!F40=0,0,F27/TrRoad_act!F40*1000
)</f>
        <v>2111.0306327594189</v>
      </c>
      <c r="G64" s="116">
        <f>IF(TrRoad_act!G40=0,0,G27/TrRoad_act!G40*1000
)</f>
        <v>1950.3051943039632</v>
      </c>
      <c r="H64" s="116">
        <f>IF(TrRoad_act!H40=0,0,H27/TrRoad_act!H40*1000
)</f>
        <v>1956.5765947551502</v>
      </c>
      <c r="I64" s="116">
        <f>IF(TrRoad_act!I40=0,0,I27/TrRoad_act!I40*1000
)</f>
        <v>2038.8687629153383</v>
      </c>
      <c r="J64" s="116">
        <f>IF(TrRoad_act!J40=0,0,J27/TrRoad_act!J40*1000
)</f>
        <v>1908.4549024208359</v>
      </c>
      <c r="K64" s="116">
        <f>IF(TrRoad_act!K40=0,0,K27/TrRoad_act!K40*1000
)</f>
        <v>2027.8669103163031</v>
      </c>
      <c r="L64" s="116">
        <f>IF(TrRoad_act!L40=0,0,L27/TrRoad_act!L40*1000
)</f>
        <v>2067.3837532823377</v>
      </c>
      <c r="M64" s="116">
        <f>IF(TrRoad_act!M40=0,0,M27/TrRoad_act!M40*1000
)</f>
        <v>2001.2235233084962</v>
      </c>
      <c r="N64" s="116">
        <f>IF(TrRoad_act!N40=0,0,N27/TrRoad_act!N40*1000
)</f>
        <v>1772.9486373442303</v>
      </c>
      <c r="O64" s="116">
        <f>IF(TrRoad_act!O40=0,0,O27/TrRoad_act!O40*1000
)</f>
        <v>1615.1796301936065</v>
      </c>
      <c r="P64" s="116">
        <f>IF(TrRoad_act!P40=0,0,P27/TrRoad_act!P40*1000
)</f>
        <v>1638.4572297858165</v>
      </c>
      <c r="Q64" s="116">
        <f>IF(TrRoad_act!Q40=0,0,Q27/TrRoad_act!Q40*1000
)</f>
        <v>1732.0437419261309</v>
      </c>
      <c r="R64" s="116">
        <f>IF(TrRoad_act!R40=0,0,R27/TrRoad_act!R40*1000
)</f>
        <v>1761.7863790753727</v>
      </c>
      <c r="S64" s="116">
        <f>IF(TrRoad_act!S40=0,0,S27/TrRoad_act!S40*1000
)</f>
        <v>1783.3256877779868</v>
      </c>
      <c r="T64" s="116">
        <f>IF(TrRoad_act!T40=0,0,T27/TrRoad_act!T40*1000
)</f>
        <v>1732.9762924238978</v>
      </c>
      <c r="U64" s="116">
        <f>IF(TrRoad_act!U40=0,0,U27/TrRoad_act!U40*1000
)</f>
        <v>1753.7398151284328</v>
      </c>
      <c r="V64" s="116">
        <f>IF(TrRoad_act!V40=0,0,V27/TrRoad_act!V40*1000
)</f>
        <v>1766.8245723842936</v>
      </c>
      <c r="W64" s="116">
        <f>IF(TrRoad_act!W40=0,0,W27/TrRoad_act!W40*1000
)</f>
        <v>1858.4976702775136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542.70381639272784</v>
      </c>
      <c r="C65" s="101">
        <f>IF(TrRoad_act!C41=0,0,C28/TrRoad_act!C41*1000
)</f>
        <v>561.40717312813865</v>
      </c>
      <c r="D65" s="101">
        <f>IF(TrRoad_act!D41=0,0,D28/TrRoad_act!D41*1000
)</f>
        <v>574.20226557032049</v>
      </c>
      <c r="E65" s="101">
        <f>IF(TrRoad_act!E41=0,0,E28/TrRoad_act!E41*1000
)</f>
        <v>602.11184920392611</v>
      </c>
      <c r="F65" s="101">
        <f>IF(TrRoad_act!F41=0,0,F28/TrRoad_act!F41*1000
)</f>
        <v>613.12318252403907</v>
      </c>
      <c r="G65" s="101">
        <f>IF(TrRoad_act!G41=0,0,G28/TrRoad_act!G41*1000
)</f>
        <v>627.02635110928566</v>
      </c>
      <c r="H65" s="101">
        <f>IF(TrRoad_act!H41=0,0,H28/TrRoad_act!H41*1000
)</f>
        <v>636.37734687404281</v>
      </c>
      <c r="I65" s="101">
        <f>IF(TrRoad_act!I41=0,0,I28/TrRoad_act!I41*1000
)</f>
        <v>638.27452631536346</v>
      </c>
      <c r="J65" s="101">
        <f>IF(TrRoad_act!J41=0,0,J28/TrRoad_act!J41*1000
)</f>
        <v>635.27596053299021</v>
      </c>
      <c r="K65" s="101">
        <f>IF(TrRoad_act!K41=0,0,K28/TrRoad_act!K41*1000
)</f>
        <v>639.00654700613507</v>
      </c>
      <c r="L65" s="101">
        <f>IF(TrRoad_act!L41=0,0,L28/TrRoad_act!L41*1000
)</f>
        <v>639.3523311398302</v>
      </c>
      <c r="M65" s="101">
        <f>IF(TrRoad_act!M41=0,0,M28/TrRoad_act!M41*1000
)</f>
        <v>628.50255387920561</v>
      </c>
      <c r="N65" s="101">
        <f>IF(TrRoad_act!N41=0,0,N28/TrRoad_act!N41*1000
)</f>
        <v>616.88005626082042</v>
      </c>
      <c r="O65" s="101">
        <f>IF(TrRoad_act!O41=0,0,O28/TrRoad_act!O41*1000
)</f>
        <v>590.41901633443752</v>
      </c>
      <c r="P65" s="101">
        <f>IF(TrRoad_act!P41=0,0,P28/TrRoad_act!P41*1000
)</f>
        <v>570.76310875000968</v>
      </c>
      <c r="Q65" s="101">
        <f>IF(TrRoad_act!Q41=0,0,Q28/TrRoad_act!Q41*1000
)</f>
        <v>573.78412033935444</v>
      </c>
      <c r="R65" s="101">
        <f>IF(TrRoad_act!R41=0,0,R28/TrRoad_act!R41*1000
)</f>
        <v>534.0936810406389</v>
      </c>
      <c r="S65" s="101">
        <f>IF(TrRoad_act!S41=0,0,S28/TrRoad_act!S41*1000
)</f>
        <v>540.21297884216153</v>
      </c>
      <c r="T65" s="101">
        <f>IF(TrRoad_act!T41=0,0,T28/TrRoad_act!T41*1000
)</f>
        <v>530.42857510847773</v>
      </c>
      <c r="U65" s="101">
        <f>IF(TrRoad_act!U41=0,0,U28/TrRoad_act!U41*1000
)</f>
        <v>518.47776992317279</v>
      </c>
      <c r="V65" s="101">
        <f>IF(TrRoad_act!V41=0,0,V28/TrRoad_act!V41*1000
)</f>
        <v>495.26341379221299</v>
      </c>
      <c r="W65" s="101">
        <f>IF(TrRoad_act!W41=0,0,W28/TrRoad_act!W41*1000
)</f>
        <v>520.77195527837921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2123.6727529575833</v>
      </c>
      <c r="C66" s="101">
        <f>IF(TrRoad_act!C42=0,0,C29/TrRoad_act!C42*1000
)</f>
        <v>2089.0264544159886</v>
      </c>
      <c r="D66" s="101">
        <f>IF(TrRoad_act!D42=0,0,D29/TrRoad_act!D42*1000
)</f>
        <v>1965.372019114041</v>
      </c>
      <c r="E66" s="101">
        <f>IF(TrRoad_act!E42=0,0,E29/TrRoad_act!E42*1000
)</f>
        <v>1976.6245247318643</v>
      </c>
      <c r="F66" s="101">
        <f>IF(TrRoad_act!F42=0,0,F29/TrRoad_act!F42*1000
)</f>
        <v>2155.7019831495277</v>
      </c>
      <c r="G66" s="101">
        <f>IF(TrRoad_act!G42=0,0,G29/TrRoad_act!G42*1000
)</f>
        <v>1988.9882742748521</v>
      </c>
      <c r="H66" s="101">
        <f>IF(TrRoad_act!H42=0,0,H29/TrRoad_act!H42*1000
)</f>
        <v>1995.564264522453</v>
      </c>
      <c r="I66" s="101">
        <f>IF(TrRoad_act!I42=0,0,I29/TrRoad_act!I42*1000
)</f>
        <v>2079.5332051908567</v>
      </c>
      <c r="J66" s="101">
        <f>IF(TrRoad_act!J42=0,0,J29/TrRoad_act!J42*1000
)</f>
        <v>1945.6109294999296</v>
      </c>
      <c r="K66" s="101">
        <f>IF(TrRoad_act!K42=0,0,K29/TrRoad_act!K42*1000
)</f>
        <v>2069.4621139027813</v>
      </c>
      <c r="L66" s="101">
        <f>IF(TrRoad_act!L42=0,0,L29/TrRoad_act!L42*1000
)</f>
        <v>2111.3596921562194</v>
      </c>
      <c r="M66" s="101">
        <f>IF(TrRoad_act!M42=0,0,M29/TrRoad_act!M42*1000
)</f>
        <v>2043.3501584620619</v>
      </c>
      <c r="N66" s="101">
        <f>IF(TrRoad_act!N42=0,0,N29/TrRoad_act!N42*1000
)</f>
        <v>1807.9103015604269</v>
      </c>
      <c r="O66" s="101">
        <f>IF(TrRoad_act!O42=0,0,O29/TrRoad_act!O42*1000
)</f>
        <v>1646.4036692538643</v>
      </c>
      <c r="P66" s="101">
        <f>IF(TrRoad_act!P42=0,0,P29/TrRoad_act!P42*1000
)</f>
        <v>1649.8545627900401</v>
      </c>
      <c r="Q66" s="101">
        <f>IF(TrRoad_act!Q42=0,0,Q29/TrRoad_act!Q42*1000
)</f>
        <v>1742.4027709894885</v>
      </c>
      <c r="R66" s="101">
        <f>IF(TrRoad_act!R42=0,0,R29/TrRoad_act!R42*1000
)</f>
        <v>1772.2264418070399</v>
      </c>
      <c r="S66" s="101">
        <f>IF(TrRoad_act!S42=0,0,S29/TrRoad_act!S42*1000
)</f>
        <v>1793.8470407985963</v>
      </c>
      <c r="T66" s="101">
        <f>IF(TrRoad_act!T42=0,0,T29/TrRoad_act!T42*1000
)</f>
        <v>1743.2762587821921</v>
      </c>
      <c r="U66" s="101">
        <f>IF(TrRoad_act!U42=0,0,U29/TrRoad_act!U42*1000
)</f>
        <v>1764.206122141356</v>
      </c>
      <c r="V66" s="101">
        <f>IF(TrRoad_act!V42=0,0,V29/TrRoad_act!V42*1000
)</f>
        <v>1780.111758153653</v>
      </c>
      <c r="W66" s="101">
        <f>IF(TrRoad_act!W42=0,0,W29/TrRoad_act!W42*1000
)</f>
        <v>1871.3439222607262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0</v>
      </c>
      <c r="M67" s="101">
        <f>IF(TrRoad_act!M43=0,0,M30/TrRoad_act!M43*1000
)</f>
        <v>0</v>
      </c>
      <c r="N67" s="101">
        <f>IF(TrRoad_act!N43=0,0,N30/TrRoad_act!N43*1000
)</f>
        <v>0</v>
      </c>
      <c r="O67" s="101">
        <f>IF(TrRoad_act!O43=0,0,O30/TrRoad_act!O43*1000
)</f>
        <v>0</v>
      </c>
      <c r="P67" s="101">
        <f>IF(TrRoad_act!P43=0,0,P30/TrRoad_act!P43*1000
)</f>
        <v>0</v>
      </c>
      <c r="Q67" s="101">
        <f>IF(TrRoad_act!Q43=0,0,Q30/TrRoad_act!Q43*1000
)</f>
        <v>0</v>
      </c>
      <c r="R67" s="101">
        <f>IF(TrRoad_act!R43=0,0,R30/TrRoad_act!R43*1000
)</f>
        <v>0</v>
      </c>
      <c r="S67" s="101">
        <f>IF(TrRoad_act!S43=0,0,S30/TrRoad_act!S43*1000
)</f>
        <v>0</v>
      </c>
      <c r="T67" s="101">
        <f>IF(TrRoad_act!T43=0,0,T30/TrRoad_act!T43*1000
)</f>
        <v>0</v>
      </c>
      <c r="U67" s="101">
        <f>IF(TrRoad_act!U43=0,0,U30/TrRoad_act!U43*1000
)</f>
        <v>0</v>
      </c>
      <c r="V67" s="101">
        <f>IF(TrRoad_act!V43=0,0,V30/TrRoad_act!V43*1000
)</f>
        <v>0</v>
      </c>
      <c r="W67" s="101">
        <f>IF(TrRoad_act!W43=0,0,W30/TrRoad_act!W43*1000
)</f>
        <v>0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0</v>
      </c>
      <c r="C68" s="101">
        <f>IF(TrRoad_act!C44=0,0,C31/TrRoad_act!C44*1000
)</f>
        <v>0</v>
      </c>
      <c r="D68" s="101">
        <f>IF(TrRoad_act!D44=0,0,D31/TrRoad_act!D44*1000
)</f>
        <v>0</v>
      </c>
      <c r="E68" s="101">
        <f>IF(TrRoad_act!E44=0,0,E31/TrRoad_act!E44*1000
)</f>
        <v>0</v>
      </c>
      <c r="F68" s="101">
        <f>IF(TrRoad_act!F44=0,0,F31/TrRoad_act!F44*1000
)</f>
        <v>0</v>
      </c>
      <c r="G68" s="101">
        <f>IF(TrRoad_act!G44=0,0,G31/TrRoad_act!G44*1000
)</f>
        <v>0</v>
      </c>
      <c r="H68" s="101">
        <f>IF(TrRoad_act!H44=0,0,H31/TrRoad_act!H44*1000
)</f>
        <v>0</v>
      </c>
      <c r="I68" s="101">
        <f>IF(TrRoad_act!I44=0,0,I31/TrRoad_act!I44*1000
)</f>
        <v>0</v>
      </c>
      <c r="J68" s="101">
        <f>IF(TrRoad_act!J44=0,0,J31/TrRoad_act!J44*1000
)</f>
        <v>0</v>
      </c>
      <c r="K68" s="101">
        <f>IF(TrRoad_act!K44=0,0,K31/TrRoad_act!K44*1000
)</f>
        <v>0</v>
      </c>
      <c r="L68" s="101">
        <f>IF(TrRoad_act!L44=0,0,L31/TrRoad_act!L44*1000
)</f>
        <v>0</v>
      </c>
      <c r="M68" s="101">
        <f>IF(TrRoad_act!M44=0,0,M31/TrRoad_act!M44*1000
)</f>
        <v>0</v>
      </c>
      <c r="N68" s="101">
        <f>IF(TrRoad_act!N44=0,0,N31/TrRoad_act!N44*1000
)</f>
        <v>0</v>
      </c>
      <c r="O68" s="101">
        <f>IF(TrRoad_act!O44=0,0,O31/TrRoad_act!O44*1000
)</f>
        <v>0</v>
      </c>
      <c r="P68" s="101">
        <f>IF(TrRoad_act!P44=0,0,P31/TrRoad_act!P44*1000
)</f>
        <v>0</v>
      </c>
      <c r="Q68" s="101">
        <f>IF(TrRoad_act!Q44=0,0,Q31/TrRoad_act!Q44*1000
)</f>
        <v>0</v>
      </c>
      <c r="R68" s="101">
        <f>IF(TrRoad_act!R44=0,0,R31/TrRoad_act!R44*1000
)</f>
        <v>0</v>
      </c>
      <c r="S68" s="101">
        <f>IF(TrRoad_act!S44=0,0,S31/TrRoad_act!S44*1000
)</f>
        <v>0</v>
      </c>
      <c r="T68" s="101">
        <f>IF(TrRoad_act!T44=0,0,T31/TrRoad_act!T44*1000
)</f>
        <v>0</v>
      </c>
      <c r="U68" s="101">
        <f>IF(TrRoad_act!U44=0,0,U31/TrRoad_act!U44*1000
)</f>
        <v>0</v>
      </c>
      <c r="V68" s="101">
        <f>IF(TrRoad_act!V44=0,0,V31/TrRoad_act!V44*1000
)</f>
        <v>0</v>
      </c>
      <c r="W68" s="101">
        <f>IF(TrRoad_act!W44=0,0,W31/TrRoad_act!W44*1000
)</f>
        <v>0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440.56668342768029</v>
      </c>
      <c r="C70" s="29">
        <f>IF(TrRoad_act!C46=0,0,C33/TrRoad_act!C46*1000
)</f>
        <v>433.18168437570802</v>
      </c>
      <c r="D70" s="29">
        <f>IF(TrRoad_act!D46=0,0,D33/TrRoad_act!D46*1000
)</f>
        <v>402.17976382746531</v>
      </c>
      <c r="E70" s="29">
        <f>IF(TrRoad_act!E46=0,0,E33/TrRoad_act!E46*1000
)</f>
        <v>403.28691032720991</v>
      </c>
      <c r="F70" s="29">
        <f>IF(TrRoad_act!F46=0,0,F33/TrRoad_act!F46*1000
)</f>
        <v>428.29429525795217</v>
      </c>
      <c r="G70" s="29">
        <f>IF(TrRoad_act!G46=0,0,G33/TrRoad_act!G46*1000
)</f>
        <v>400.2071231170637</v>
      </c>
      <c r="H70" s="29">
        <f>IF(TrRoad_act!H46=0,0,H33/TrRoad_act!H46*1000
)</f>
        <v>389.61880515854136</v>
      </c>
      <c r="I70" s="29">
        <f>IF(TrRoad_act!I46=0,0,I33/TrRoad_act!I46*1000
)</f>
        <v>402.17943621281859</v>
      </c>
      <c r="J70" s="29">
        <f>IF(TrRoad_act!J46=0,0,J33/TrRoad_act!J46*1000
)</f>
        <v>371.70486738382812</v>
      </c>
      <c r="K70" s="29">
        <f>IF(TrRoad_act!K46=0,0,K33/TrRoad_act!K46*1000
)</f>
        <v>377.82635229192147</v>
      </c>
      <c r="L70" s="29">
        <f>IF(TrRoad_act!L46=0,0,L33/TrRoad_act!L46*1000
)</f>
        <v>384.75132617705481</v>
      </c>
      <c r="M70" s="29">
        <f>IF(TrRoad_act!M46=0,0,M33/TrRoad_act!M46*1000
)</f>
        <v>358.6223121239359</v>
      </c>
      <c r="N70" s="29">
        <f>IF(TrRoad_act!N46=0,0,N33/TrRoad_act!N46*1000
)</f>
        <v>307.08487819514312</v>
      </c>
      <c r="O70" s="29">
        <f>IF(TrRoad_act!O46=0,0,O33/TrRoad_act!O46*1000
)</f>
        <v>265.86784737061481</v>
      </c>
      <c r="P70" s="29">
        <f>IF(TrRoad_act!P46=0,0,P33/TrRoad_act!P46*1000
)</f>
        <v>259.69492984918372</v>
      </c>
      <c r="Q70" s="29">
        <f>IF(TrRoad_act!Q46=0,0,Q33/TrRoad_act!Q46*1000
)</f>
        <v>270.52258081343939</v>
      </c>
      <c r="R70" s="29">
        <f>IF(TrRoad_act!R46=0,0,R33/TrRoad_act!R46*1000
)</f>
        <v>279.61694577903251</v>
      </c>
      <c r="S70" s="29">
        <f>IF(TrRoad_act!S46=0,0,S33/TrRoad_act!S46*1000
)</f>
        <v>282.47129089724598</v>
      </c>
      <c r="T70" s="29">
        <f>IF(TrRoad_act!T46=0,0,T33/TrRoad_act!T46*1000
)</f>
        <v>272.02198947229169</v>
      </c>
      <c r="U70" s="29">
        <f>IF(TrRoad_act!U46=0,0,U33/TrRoad_act!U46*1000
)</f>
        <v>271.42957667661062</v>
      </c>
      <c r="V70" s="29">
        <f>IF(TrRoad_act!V46=0,0,V33/TrRoad_act!V46*1000
)</f>
        <v>261.67186831558229</v>
      </c>
      <c r="W70" s="29">
        <f>IF(TrRoad_act!W46=0,0,W33/TrRoad_act!W46*1000
)</f>
        <v>275.51695754074331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383.59027482278128</v>
      </c>
      <c r="C71" s="152">
        <f>IF(TrRoad_act!C47=0,0,C34/TrRoad_act!C47*1000
)</f>
        <v>376.46196386443296</v>
      </c>
      <c r="D71" s="152">
        <f>IF(TrRoad_act!D47=0,0,D34/TrRoad_act!D47*1000
)</f>
        <v>350.26092957858424</v>
      </c>
      <c r="E71" s="152">
        <f>IF(TrRoad_act!E47=0,0,E34/TrRoad_act!E47*1000
)</f>
        <v>347.40525474143845</v>
      </c>
      <c r="F71" s="152">
        <f>IF(TrRoad_act!F47=0,0,F34/TrRoad_act!F47*1000
)</f>
        <v>374.58499886671603</v>
      </c>
      <c r="G71" s="152">
        <f>IF(TrRoad_act!G47=0,0,G34/TrRoad_act!G47*1000
)</f>
        <v>340.11375792119759</v>
      </c>
      <c r="H71" s="152">
        <f>IF(TrRoad_act!H47=0,0,H34/TrRoad_act!H47*1000
)</f>
        <v>335.79546236451273</v>
      </c>
      <c r="I71" s="152">
        <f>IF(TrRoad_act!I47=0,0,I34/TrRoad_act!I47*1000
)</f>
        <v>343.82624716765332</v>
      </c>
      <c r="J71" s="152">
        <f>IF(TrRoad_act!J47=0,0,J34/TrRoad_act!J47*1000
)</f>
        <v>314.49415879300193</v>
      </c>
      <c r="K71" s="152">
        <f>IF(TrRoad_act!K47=0,0,K34/TrRoad_act!K47*1000
)</f>
        <v>327.58289488169839</v>
      </c>
      <c r="L71" s="152">
        <f>IF(TrRoad_act!L47=0,0,L34/TrRoad_act!L47*1000
)</f>
        <v>327.65737370562755</v>
      </c>
      <c r="M71" s="152">
        <f>IF(TrRoad_act!M47=0,0,M34/TrRoad_act!M47*1000
)</f>
        <v>310.38980402695728</v>
      </c>
      <c r="N71" s="152">
        <f>IF(TrRoad_act!N47=0,0,N34/TrRoad_act!N47*1000
)</f>
        <v>266.8682293412366</v>
      </c>
      <c r="O71" s="152">
        <f>IF(TrRoad_act!O47=0,0,O34/TrRoad_act!O47*1000
)</f>
        <v>237.13686212651649</v>
      </c>
      <c r="P71" s="152">
        <f>IF(TrRoad_act!P47=0,0,P34/TrRoad_act!P47*1000
)</f>
        <v>232.97336015744827</v>
      </c>
      <c r="Q71" s="152">
        <f>IF(TrRoad_act!Q47=0,0,Q34/TrRoad_act!Q47*1000
)</f>
        <v>242.63184143611147</v>
      </c>
      <c r="R71" s="152">
        <f>IF(TrRoad_act!R47=0,0,R34/TrRoad_act!R47*1000
)</f>
        <v>244.32893922184005</v>
      </c>
      <c r="S71" s="152">
        <f>IF(TrRoad_act!S47=0,0,S34/TrRoad_act!S47*1000
)</f>
        <v>243.28704405175171</v>
      </c>
      <c r="T71" s="152">
        <f>IF(TrRoad_act!T47=0,0,T34/TrRoad_act!T47*1000
)</f>
        <v>233.2129326094333</v>
      </c>
      <c r="U71" s="152">
        <f>IF(TrRoad_act!U47=0,0,U34/TrRoad_act!U47*1000
)</f>
        <v>230.12354049671788</v>
      </c>
      <c r="V71" s="152">
        <f>IF(TrRoad_act!V47=0,0,V34/TrRoad_act!V47*1000
)</f>
        <v>230.35709473429915</v>
      </c>
      <c r="W71" s="152">
        <f>IF(TrRoad_act!W47=0,0,W34/TrRoad_act!W47*1000
)</f>
        <v>242.50939738394581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226.2584613311451</v>
      </c>
      <c r="C72" s="87">
        <f>IF(TrRoad_act!C48=0,0,C35/TrRoad_act!C48*1000
)</f>
        <v>233.37246408776136</v>
      </c>
      <c r="D72" s="87">
        <f>IF(TrRoad_act!D48=0,0,D35/TrRoad_act!D48*1000
)</f>
        <v>237.33947122798384</v>
      </c>
      <c r="E72" s="87">
        <f>IF(TrRoad_act!E48=0,0,E35/TrRoad_act!E48*1000
)</f>
        <v>249.29617025118409</v>
      </c>
      <c r="F72" s="87">
        <f>IF(TrRoad_act!F48=0,0,F35/TrRoad_act!F48*1000
)</f>
        <v>252.56399356965491</v>
      </c>
      <c r="G72" s="87">
        <f>IF(TrRoad_act!G48=0,0,G35/TrRoad_act!G48*1000
)</f>
        <v>254.12520144360596</v>
      </c>
      <c r="H72" s="87">
        <f>IF(TrRoad_act!H48=0,0,H35/TrRoad_act!H48*1000
)</f>
        <v>256.94126519883565</v>
      </c>
      <c r="I72" s="87">
        <f>IF(TrRoad_act!I48=0,0,I35/TrRoad_act!I48*1000
)</f>
        <v>253.18155224887806</v>
      </c>
      <c r="J72" s="87">
        <f>IF(TrRoad_act!J48=0,0,J35/TrRoad_act!J48*1000
)</f>
        <v>249.56519803034766</v>
      </c>
      <c r="K72" s="87">
        <f>IF(TrRoad_act!K48=0,0,K35/TrRoad_act!K48*1000
)</f>
        <v>249.86050878626645</v>
      </c>
      <c r="L72" s="87">
        <f>IF(TrRoad_act!L48=0,0,L35/TrRoad_act!L48*1000
)</f>
        <v>249.60474181026959</v>
      </c>
      <c r="M72" s="87">
        <f>IF(TrRoad_act!M48=0,0,M35/TrRoad_act!M48*1000
)</f>
        <v>245.52002818140272</v>
      </c>
      <c r="N72" s="87">
        <f>IF(TrRoad_act!N48=0,0,N35/TrRoad_act!N48*1000
)</f>
        <v>240.3099845797866</v>
      </c>
      <c r="O72" s="87">
        <f>IF(TrRoad_act!O48=0,0,O35/TrRoad_act!O48*1000
)</f>
        <v>227.84038465189181</v>
      </c>
      <c r="P72" s="87">
        <f>IF(TrRoad_act!P48=0,0,P35/TrRoad_act!P48*1000
)</f>
        <v>239.00872595264198</v>
      </c>
      <c r="Q72" s="87">
        <f>IF(TrRoad_act!Q48=0,0,Q35/TrRoad_act!Q48*1000
)</f>
        <v>241.64595063726225</v>
      </c>
      <c r="R72" s="87">
        <f>IF(TrRoad_act!R48=0,0,R35/TrRoad_act!R48*1000
)</f>
        <v>221.1826803379806</v>
      </c>
      <c r="S72" s="87">
        <f>IF(TrRoad_act!S48=0,0,S35/TrRoad_act!S48*1000
)</f>
        <v>222.60209051799842</v>
      </c>
      <c r="T72" s="87">
        <f>IF(TrRoad_act!T48=0,0,T35/TrRoad_act!T48*1000
)</f>
        <v>214.44385530500486</v>
      </c>
      <c r="U72" s="87">
        <f>IF(TrRoad_act!U48=0,0,U35/TrRoad_act!U48*1000
)</f>
        <v>215.08729777970336</v>
      </c>
      <c r="V72" s="87">
        <f>IF(TrRoad_act!V48=0,0,V35/TrRoad_act!V48*1000
)</f>
        <v>199.84165778032212</v>
      </c>
      <c r="W72" s="87">
        <f>IF(TrRoad_act!W48=0,0,W35/TrRoad_act!W48*1000
)</f>
        <v>209.83147567672739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394.64320873028231</v>
      </c>
      <c r="C73" s="87">
        <f>IF(TrRoad_act!C49=0,0,C36/TrRoad_act!C49*1000
)</f>
        <v>386.68013097229061</v>
      </c>
      <c r="D73" s="87">
        <f>IF(TrRoad_act!D49=0,0,D36/TrRoad_act!D49*1000
)</f>
        <v>357.73374345681628</v>
      </c>
      <c r="E73" s="87">
        <f>IF(TrRoad_act!E49=0,0,E36/TrRoad_act!E49*1000
)</f>
        <v>354.41111655390222</v>
      </c>
      <c r="F73" s="87">
        <f>IF(TrRoad_act!F49=0,0,F36/TrRoad_act!F49*1000
)</f>
        <v>382.36909863589966</v>
      </c>
      <c r="G73" s="87">
        <f>IF(TrRoad_act!G49=0,0,G36/TrRoad_act!G49*1000
)</f>
        <v>344.09283107758353</v>
      </c>
      <c r="H73" s="87">
        <f>IF(TrRoad_act!H49=0,0,H36/TrRoad_act!H49*1000
)</f>
        <v>339.44419351129096</v>
      </c>
      <c r="I73" s="87">
        <f>IF(TrRoad_act!I49=0,0,I36/TrRoad_act!I49*1000
)</f>
        <v>347.69081840138278</v>
      </c>
      <c r="J73" s="87">
        <f>IF(TrRoad_act!J49=0,0,J36/TrRoad_act!J49*1000
)</f>
        <v>317.39159517724136</v>
      </c>
      <c r="K73" s="87">
        <f>IF(TrRoad_act!K49=0,0,K36/TrRoad_act!K49*1000
)</f>
        <v>331.03874531680356</v>
      </c>
      <c r="L73" s="87">
        <f>IF(TrRoad_act!L49=0,0,L36/TrRoad_act!L49*1000
)</f>
        <v>330.97389706326157</v>
      </c>
      <c r="M73" s="87">
        <f>IF(TrRoad_act!M49=0,0,M36/TrRoad_act!M49*1000
)</f>
        <v>313.0972136205346</v>
      </c>
      <c r="N73" s="87">
        <f>IF(TrRoad_act!N49=0,0,N36/TrRoad_act!N49*1000
)</f>
        <v>267.97308122048952</v>
      </c>
      <c r="O73" s="87">
        <f>IF(TrRoad_act!O49=0,0,O36/TrRoad_act!O49*1000
)</f>
        <v>237.53047617409658</v>
      </c>
      <c r="P73" s="87">
        <f>IF(TrRoad_act!P49=0,0,P36/TrRoad_act!P49*1000
)</f>
        <v>232.73473747495746</v>
      </c>
      <c r="Q73" s="87">
        <f>IF(TrRoad_act!Q49=0,0,Q36/TrRoad_act!Q49*1000
)</f>
        <v>242.6802223427091</v>
      </c>
      <c r="R73" s="87">
        <f>IF(TrRoad_act!R49=0,0,R36/TrRoad_act!R49*1000
)</f>
        <v>245.25551618157061</v>
      </c>
      <c r="S73" s="87">
        <f>IF(TrRoad_act!S49=0,0,S36/TrRoad_act!S49*1000
)</f>
        <v>244.08743855308839</v>
      </c>
      <c r="T73" s="87">
        <f>IF(TrRoad_act!T49=0,0,T36/TrRoad_act!T49*1000
)</f>
        <v>233.91951757072482</v>
      </c>
      <c r="U73" s="87">
        <f>IF(TrRoad_act!U49=0,0,U36/TrRoad_act!U49*1000
)</f>
        <v>230.70215291767141</v>
      </c>
      <c r="V73" s="87">
        <f>IF(TrRoad_act!V49=0,0,V36/TrRoad_act!V49*1000
)</f>
        <v>231.54866049072348</v>
      </c>
      <c r="W73" s="87">
        <f>IF(TrRoad_act!W49=0,0,W36/TrRoad_act!W49*1000
)</f>
        <v>243.81894158571419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0</v>
      </c>
      <c r="F74" s="87">
        <f>IF(TrRoad_act!F50=0,0,F37/TrRoad_act!F50*1000
)</f>
        <v>0</v>
      </c>
      <c r="G74" s="87">
        <f>IF(TrRoad_act!G50=0,0,G37/TrRoad_act!G50*1000
)</f>
        <v>0</v>
      </c>
      <c r="H74" s="87">
        <f>IF(TrRoad_act!H50=0,0,H37/TrRoad_act!H50*1000
)</f>
        <v>0</v>
      </c>
      <c r="I74" s="87">
        <f>IF(TrRoad_act!I50=0,0,I37/TrRoad_act!I50*1000
)</f>
        <v>0</v>
      </c>
      <c r="J74" s="87">
        <f>IF(TrRoad_act!J50=0,0,J37/TrRoad_act!J50*1000
)</f>
        <v>0</v>
      </c>
      <c r="K74" s="87">
        <f>IF(TrRoad_act!K50=0,0,K37/TrRoad_act!K50*1000
)</f>
        <v>0</v>
      </c>
      <c r="L74" s="87">
        <f>IF(TrRoad_act!L50=0,0,L37/TrRoad_act!L50*1000
)</f>
        <v>0</v>
      </c>
      <c r="M74" s="87">
        <f>IF(TrRoad_act!M50=0,0,M37/TrRoad_act!M50*1000
)</f>
        <v>0</v>
      </c>
      <c r="N74" s="87">
        <f>IF(TrRoad_act!N50=0,0,N37/TrRoad_act!N50*1000
)</f>
        <v>0</v>
      </c>
      <c r="O74" s="87">
        <f>IF(TrRoad_act!O50=0,0,O37/TrRoad_act!O50*1000
)</f>
        <v>0</v>
      </c>
      <c r="P74" s="87">
        <f>IF(TrRoad_act!P50=0,0,P37/TrRoad_act!P50*1000
)</f>
        <v>0</v>
      </c>
      <c r="Q74" s="87">
        <f>IF(TrRoad_act!Q50=0,0,Q37/TrRoad_act!Q50*1000
)</f>
        <v>0</v>
      </c>
      <c r="R74" s="87">
        <f>IF(TrRoad_act!R50=0,0,R37/TrRoad_act!R50*1000
)</f>
        <v>0</v>
      </c>
      <c r="S74" s="87">
        <f>IF(TrRoad_act!S50=0,0,S37/TrRoad_act!S50*1000
)</f>
        <v>0</v>
      </c>
      <c r="T74" s="87">
        <f>IF(TrRoad_act!T50=0,0,T37/TrRoad_act!T50*1000
)</f>
        <v>0</v>
      </c>
      <c r="U74" s="87">
        <f>IF(TrRoad_act!U50=0,0,U37/TrRoad_act!U50*1000
)</f>
        <v>0</v>
      </c>
      <c r="V74" s="87">
        <f>IF(TrRoad_act!V50=0,0,V37/TrRoad_act!V50*1000
)</f>
        <v>0</v>
      </c>
      <c r="W74" s="87">
        <f>IF(TrRoad_act!W50=0,0,W37/TrRoad_act!W50*1000
)</f>
        <v>0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0</v>
      </c>
      <c r="L75" s="87">
        <f>IF(TrRoad_act!L51=0,0,L38/TrRoad_act!L51*1000
)</f>
        <v>0</v>
      </c>
      <c r="M75" s="87">
        <f>IF(TrRoad_act!M51=0,0,M38/TrRoad_act!M51*1000
)</f>
        <v>0</v>
      </c>
      <c r="N75" s="87">
        <f>IF(TrRoad_act!N51=0,0,N38/TrRoad_act!N51*1000
)</f>
        <v>0</v>
      </c>
      <c r="O75" s="87">
        <f>IF(TrRoad_act!O51=0,0,O38/TrRoad_act!O51*1000
)</f>
        <v>0</v>
      </c>
      <c r="P75" s="87">
        <f>IF(TrRoad_act!P51=0,0,P38/TrRoad_act!P51*1000
)</f>
        <v>0</v>
      </c>
      <c r="Q75" s="87">
        <f>IF(TrRoad_act!Q51=0,0,Q38/TrRoad_act!Q51*1000
)</f>
        <v>0</v>
      </c>
      <c r="R75" s="87">
        <f>IF(TrRoad_act!R51=0,0,R38/TrRoad_act!R51*1000
)</f>
        <v>0</v>
      </c>
      <c r="S75" s="87">
        <f>IF(TrRoad_act!S51=0,0,S38/TrRoad_act!S51*1000
)</f>
        <v>0</v>
      </c>
      <c r="T75" s="87">
        <f>IF(TrRoad_act!T51=0,0,T38/TrRoad_act!T51*1000
)</f>
        <v>0</v>
      </c>
      <c r="U75" s="87">
        <f>IF(TrRoad_act!U51=0,0,U38/TrRoad_act!U51*1000
)</f>
        <v>0</v>
      </c>
      <c r="V75" s="87">
        <f>IF(TrRoad_act!V51=0,0,V38/TrRoad_act!V51*1000
)</f>
        <v>0</v>
      </c>
      <c r="W75" s="87">
        <f>IF(TrRoad_act!W51=0,0,W38/TrRoad_act!W51*1000
)</f>
        <v>0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993.03363154191754</v>
      </c>
      <c r="C77" s="116">
        <f>IF(TrRoad_act!C53=0,0,C40/TrRoad_act!C53*1000
)</f>
        <v>990.04010901531365</v>
      </c>
      <c r="D77" s="116">
        <f>IF(TrRoad_act!D53=0,0,D40/TrRoad_act!D53*1000
)</f>
        <v>934.74368898134901</v>
      </c>
      <c r="E77" s="116">
        <f>IF(TrRoad_act!E53=0,0,E40/TrRoad_act!E53*1000
)</f>
        <v>941.27710725698739</v>
      </c>
      <c r="F77" s="116">
        <f>IF(TrRoad_act!F53=0,0,F40/TrRoad_act!F53*1000
)</f>
        <v>1011.1771485223724</v>
      </c>
      <c r="G77" s="116">
        <f>IF(TrRoad_act!G53=0,0,G40/TrRoad_act!G53*1000
)</f>
        <v>941.65349593942312</v>
      </c>
      <c r="H77" s="116">
        <f>IF(TrRoad_act!H53=0,0,H40/TrRoad_act!H53*1000
)</f>
        <v>940.04111028407306</v>
      </c>
      <c r="I77" s="116">
        <f>IF(TrRoad_act!I53=0,0,I40/TrRoad_act!I53*1000
)</f>
        <v>968.46690058542879</v>
      </c>
      <c r="J77" s="116">
        <f>IF(TrRoad_act!J53=0,0,J40/TrRoad_act!J53*1000
)</f>
        <v>909.85256683941566</v>
      </c>
      <c r="K77" s="116">
        <f>IF(TrRoad_act!K53=0,0,K40/TrRoad_act!K53*1000
)</f>
        <v>959.50721494503546</v>
      </c>
      <c r="L77" s="116">
        <f>IF(TrRoad_act!L53=0,0,L40/TrRoad_act!L53*1000
)</f>
        <v>978.75418625474856</v>
      </c>
      <c r="M77" s="116">
        <f>IF(TrRoad_act!M53=0,0,M40/TrRoad_act!M53*1000
)</f>
        <v>946.03660486365345</v>
      </c>
      <c r="N77" s="116">
        <f>IF(TrRoad_act!N53=0,0,N40/TrRoad_act!N53*1000
)</f>
        <v>844.94163022699649</v>
      </c>
      <c r="O77" s="116">
        <f>IF(TrRoad_act!O53=0,0,O40/TrRoad_act!O53*1000
)</f>
        <v>775.90286392973485</v>
      </c>
      <c r="P77" s="116">
        <f>IF(TrRoad_act!P53=0,0,P40/TrRoad_act!P53*1000
)</f>
        <v>777.60392031245499</v>
      </c>
      <c r="Q77" s="116">
        <f>IF(TrRoad_act!Q53=0,0,Q40/TrRoad_act!Q53*1000
)</f>
        <v>812.4781248630735</v>
      </c>
      <c r="R77" s="116">
        <f>IF(TrRoad_act!R53=0,0,R40/TrRoad_act!R53*1000
)</f>
        <v>821.33362310805353</v>
      </c>
      <c r="S77" s="116">
        <f>IF(TrRoad_act!S53=0,0,S40/TrRoad_act!S53*1000
)</f>
        <v>826.47016889848089</v>
      </c>
      <c r="T77" s="116">
        <f>IF(TrRoad_act!T53=0,0,T40/TrRoad_act!T53*1000
)</f>
        <v>801.59940505166219</v>
      </c>
      <c r="U77" s="116">
        <f>IF(TrRoad_act!U53=0,0,U40/TrRoad_act!U53*1000
)</f>
        <v>812.31761072850861</v>
      </c>
      <c r="V77" s="116">
        <f>IF(TrRoad_act!V53=0,0,V40/TrRoad_act!V53*1000
)</f>
        <v>807.34553896122031</v>
      </c>
      <c r="W77" s="116">
        <f>IF(TrRoad_act!W53=0,0,W40/TrRoad_act!W53*1000
)</f>
        <v>842.43063388763642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993.03363154191754</v>
      </c>
      <c r="C78" s="101">
        <f>IF(TrRoad_act!C54=0,0,C41/TrRoad_act!C54*1000
)</f>
        <v>990.04010901531365</v>
      </c>
      <c r="D78" s="101">
        <f>IF(TrRoad_act!D54=0,0,D41/TrRoad_act!D54*1000
)</f>
        <v>934.74368898134901</v>
      </c>
      <c r="E78" s="101">
        <f>IF(TrRoad_act!E54=0,0,E41/TrRoad_act!E54*1000
)</f>
        <v>941.27710725698739</v>
      </c>
      <c r="F78" s="101">
        <f>IF(TrRoad_act!F54=0,0,F41/TrRoad_act!F54*1000
)</f>
        <v>1011.1771485223724</v>
      </c>
      <c r="G78" s="101">
        <f>IF(TrRoad_act!G54=0,0,G41/TrRoad_act!G54*1000
)</f>
        <v>941.65349593942312</v>
      </c>
      <c r="H78" s="101">
        <f>IF(TrRoad_act!H54=0,0,H41/TrRoad_act!H54*1000
)</f>
        <v>940.04111028407306</v>
      </c>
      <c r="I78" s="101">
        <f>IF(TrRoad_act!I54=0,0,I41/TrRoad_act!I54*1000
)</f>
        <v>968.46690058542879</v>
      </c>
      <c r="J78" s="101">
        <f>IF(TrRoad_act!J54=0,0,J41/TrRoad_act!J54*1000
)</f>
        <v>909.85256683941566</v>
      </c>
      <c r="K78" s="101">
        <f>IF(TrRoad_act!K54=0,0,K41/TrRoad_act!K54*1000
)</f>
        <v>959.50721494503546</v>
      </c>
      <c r="L78" s="101">
        <f>IF(TrRoad_act!L54=0,0,L41/TrRoad_act!L54*1000
)</f>
        <v>978.75418625474856</v>
      </c>
      <c r="M78" s="101">
        <f>IF(TrRoad_act!M54=0,0,M41/TrRoad_act!M54*1000
)</f>
        <v>946.03660486365345</v>
      </c>
      <c r="N78" s="101">
        <f>IF(TrRoad_act!N54=0,0,N41/TrRoad_act!N54*1000
)</f>
        <v>844.94163022699649</v>
      </c>
      <c r="O78" s="101">
        <f>IF(TrRoad_act!O54=0,0,O41/TrRoad_act!O54*1000
)</f>
        <v>775.90286392973485</v>
      </c>
      <c r="P78" s="101">
        <f>IF(TrRoad_act!P54=0,0,P41/TrRoad_act!P54*1000
)</f>
        <v>777.60392031245499</v>
      </c>
      <c r="Q78" s="101">
        <f>IF(TrRoad_act!Q54=0,0,Q41/TrRoad_act!Q54*1000
)</f>
        <v>812.4781248630735</v>
      </c>
      <c r="R78" s="101">
        <f>IF(TrRoad_act!R54=0,0,R41/TrRoad_act!R54*1000
)</f>
        <v>821.33362310805353</v>
      </c>
      <c r="S78" s="101">
        <f>IF(TrRoad_act!S54=0,0,S41/TrRoad_act!S54*1000
)</f>
        <v>826.47016889848089</v>
      </c>
      <c r="T78" s="101">
        <f>IF(TrRoad_act!T54=0,0,T41/TrRoad_act!T54*1000
)</f>
        <v>801.59940505166219</v>
      </c>
      <c r="U78" s="101">
        <f>IF(TrRoad_act!U54=0,0,U41/TrRoad_act!U54*1000
)</f>
        <v>812.31761072850861</v>
      </c>
      <c r="V78" s="101">
        <f>IF(TrRoad_act!V54=0,0,V41/TrRoad_act!V54*1000
)</f>
        <v>807.34553896122031</v>
      </c>
      <c r="W78" s="101">
        <f>IF(TrRoad_act!W54=0,0,W41/TrRoad_act!W54*1000
)</f>
        <v>842.43063388763642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0</v>
      </c>
      <c r="C79" s="88">
        <f>IF(TrRoad_act!C55=0,0,C42/TrRoad_act!C55*1000
)</f>
        <v>0</v>
      </c>
      <c r="D79" s="88">
        <f>IF(TrRoad_act!D55=0,0,D42/TrRoad_act!D55*1000
)</f>
        <v>0</v>
      </c>
      <c r="E79" s="88">
        <f>IF(TrRoad_act!E55=0,0,E42/TrRoad_act!E55*1000
)</f>
        <v>0</v>
      </c>
      <c r="F79" s="88">
        <f>IF(TrRoad_act!F55=0,0,F42/TrRoad_act!F55*1000
)</f>
        <v>0</v>
      </c>
      <c r="G79" s="88">
        <f>IF(TrRoad_act!G55=0,0,G42/TrRoad_act!G55*1000
)</f>
        <v>0</v>
      </c>
      <c r="H79" s="88">
        <f>IF(TrRoad_act!H55=0,0,H42/TrRoad_act!H55*1000
)</f>
        <v>0</v>
      </c>
      <c r="I79" s="88">
        <f>IF(TrRoad_act!I55=0,0,I42/TrRoad_act!I55*1000
)</f>
        <v>0</v>
      </c>
      <c r="J79" s="88">
        <f>IF(TrRoad_act!J55=0,0,J42/TrRoad_act!J55*1000
)</f>
        <v>0</v>
      </c>
      <c r="K79" s="88">
        <f>IF(TrRoad_act!K55=0,0,K42/TrRoad_act!K55*1000
)</f>
        <v>0</v>
      </c>
      <c r="L79" s="88">
        <f>IF(TrRoad_act!L55=0,0,L42/TrRoad_act!L55*1000
)</f>
        <v>0</v>
      </c>
      <c r="M79" s="88">
        <f>IF(TrRoad_act!M55=0,0,M42/TrRoad_act!M55*1000
)</f>
        <v>0</v>
      </c>
      <c r="N79" s="88">
        <f>IF(TrRoad_act!N55=0,0,N42/TrRoad_act!N55*1000
)</f>
        <v>0</v>
      </c>
      <c r="O79" s="88">
        <f>IF(TrRoad_act!O55=0,0,O42/TrRoad_act!O55*1000
)</f>
        <v>0</v>
      </c>
      <c r="P79" s="88">
        <f>IF(TrRoad_act!P55=0,0,P42/TrRoad_act!P55*1000
)</f>
        <v>0</v>
      </c>
      <c r="Q79" s="88">
        <f>IF(TrRoad_act!Q55=0,0,Q42/TrRoad_act!Q55*1000
)</f>
        <v>0</v>
      </c>
      <c r="R79" s="88">
        <f>IF(TrRoad_act!R55=0,0,R42/TrRoad_act!R55*1000
)</f>
        <v>0</v>
      </c>
      <c r="S79" s="88">
        <f>IF(TrRoad_act!S55=0,0,S42/TrRoad_act!S55*1000
)</f>
        <v>0</v>
      </c>
      <c r="T79" s="88">
        <f>IF(TrRoad_act!T55=0,0,T42/TrRoad_act!T55*1000
)</f>
        <v>0</v>
      </c>
      <c r="U79" s="88">
        <f>IF(TrRoad_act!U55=0,0,U42/TrRoad_act!U55*1000
)</f>
        <v>0</v>
      </c>
      <c r="V79" s="88">
        <f>IF(TrRoad_act!V55=0,0,V42/TrRoad_act!V55*1000
)</f>
        <v>0</v>
      </c>
      <c r="W79" s="88">
        <f>IF(TrRoad_act!W55=0,0,W42/TrRoad_act!W55*1000
)</f>
        <v>0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203.1571229864355</v>
      </c>
      <c r="C82" s="29">
        <f>IF(TrRoad_act!C4=0,0,C18/TrRoad_act!C4*1000)</f>
        <v>207.78050763691894</v>
      </c>
      <c r="D82" s="29">
        <f>IF(TrRoad_act!D4=0,0,D18/TrRoad_act!D4*1000)</f>
        <v>204.39564551739471</v>
      </c>
      <c r="E82" s="29">
        <f>IF(TrRoad_act!E4=0,0,E18/TrRoad_act!E4*1000)</f>
        <v>215.71100969241127</v>
      </c>
      <c r="F82" s="29">
        <f>IF(TrRoad_act!F4=0,0,F18/TrRoad_act!F4*1000)</f>
        <v>221.2709920788418</v>
      </c>
      <c r="G82" s="29">
        <f>IF(TrRoad_act!G4=0,0,G18/TrRoad_act!G4*1000)</f>
        <v>218.65240628987726</v>
      </c>
      <c r="H82" s="29">
        <f>IF(TrRoad_act!H4=0,0,H18/TrRoad_act!H4*1000)</f>
        <v>220.74367364223923</v>
      </c>
      <c r="I82" s="29">
        <f>IF(TrRoad_act!I4=0,0,I18/TrRoad_act!I4*1000)</f>
        <v>227.61224677112403</v>
      </c>
      <c r="J82" s="29">
        <f>IF(TrRoad_act!J4=0,0,J18/TrRoad_act!J4*1000)</f>
        <v>218.83529289907997</v>
      </c>
      <c r="K82" s="29">
        <f>IF(TrRoad_act!K4=0,0,K18/TrRoad_act!K4*1000)</f>
        <v>219.69460223465234</v>
      </c>
      <c r="L82" s="29">
        <f>IF(TrRoad_act!L4=0,0,L18/TrRoad_act!L4*1000)</f>
        <v>226.59891888432034</v>
      </c>
      <c r="M82" s="29">
        <f>IF(TrRoad_act!M4=0,0,M18/TrRoad_act!M4*1000)</f>
        <v>220.94676546718122</v>
      </c>
      <c r="N82" s="29">
        <f>IF(TrRoad_act!N4=0,0,N18/TrRoad_act!N4*1000)</f>
        <v>206.18405704765703</v>
      </c>
      <c r="O82" s="29">
        <f>IF(TrRoad_act!O4=0,0,O18/TrRoad_act!O4*1000)</f>
        <v>192.1831247336487</v>
      </c>
      <c r="P82" s="29">
        <f>IF(TrRoad_act!P4=0,0,P18/TrRoad_act!P4*1000)</f>
        <v>186.63967277630175</v>
      </c>
      <c r="Q82" s="29">
        <f>IF(TrRoad_act!Q4=0,0,Q18/TrRoad_act!Q4*1000)</f>
        <v>188.91722395646897</v>
      </c>
      <c r="R82" s="29">
        <f>IF(TrRoad_act!R4=0,0,R18/TrRoad_act!R4*1000)</f>
        <v>189.89137311073932</v>
      </c>
      <c r="S82" s="29">
        <f>IF(TrRoad_act!S4=0,0,S18/TrRoad_act!S4*1000)</f>
        <v>191.01730416699056</v>
      </c>
      <c r="T82" s="29">
        <f>IF(TrRoad_act!T4=0,0,T18/TrRoad_act!T4*1000)</f>
        <v>184.94200148563959</v>
      </c>
      <c r="U82" s="29">
        <f>IF(TrRoad_act!U4=0,0,U18/TrRoad_act!U4*1000)</f>
        <v>182.51608004584011</v>
      </c>
      <c r="V82" s="29">
        <f>IF(TrRoad_act!V4=0,0,V18/TrRoad_act!V4*1000)</f>
        <v>194.89842886352926</v>
      </c>
      <c r="W82" s="29">
        <f>IF(TrRoad_act!W4=0,0,W18/TrRoad_act!W4*1000)</f>
        <v>196.40615234246127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114.72212842509161</v>
      </c>
      <c r="C83" s="152">
        <f>IF(TrRoad_act!C5=0,0,C19/TrRoad_act!C5*1000)</f>
        <v>113.79257025835686</v>
      </c>
      <c r="D83" s="152">
        <f>IF(TrRoad_act!D5=0,0,D19/TrRoad_act!D5*1000)</f>
        <v>115.05178273744758</v>
      </c>
      <c r="E83" s="152">
        <f>IF(TrRoad_act!E5=0,0,E19/TrRoad_act!E5*1000)</f>
        <v>114.25246124869395</v>
      </c>
      <c r="F83" s="152">
        <f>IF(TrRoad_act!F5=0,0,F19/TrRoad_act!F5*1000)</f>
        <v>113.75109663595396</v>
      </c>
      <c r="G83" s="152">
        <f>IF(TrRoad_act!G5=0,0,G19/TrRoad_act!G5*1000)</f>
        <v>112.99029597585469</v>
      </c>
      <c r="H83" s="152">
        <f>IF(TrRoad_act!H5=0,0,H19/TrRoad_act!H5*1000)</f>
        <v>112.03501504306216</v>
      </c>
      <c r="I83" s="152">
        <f>IF(TrRoad_act!I5=0,0,I19/TrRoad_act!I5*1000)</f>
        <v>110.85815538407228</v>
      </c>
      <c r="J83" s="152">
        <f>IF(TrRoad_act!J5=0,0,J19/TrRoad_act!J5*1000)</f>
        <v>109.68353187847859</v>
      </c>
      <c r="K83" s="152">
        <f>IF(TrRoad_act!K5=0,0,K19/TrRoad_act!K5*1000)</f>
        <v>108.41712229371836</v>
      </c>
      <c r="L83" s="152">
        <f>IF(TrRoad_act!L5=0,0,L19/TrRoad_act!L5*1000)</f>
        <v>107.01373014334375</v>
      </c>
      <c r="M83" s="152">
        <f>IF(TrRoad_act!M5=0,0,M19/TrRoad_act!M5*1000)</f>
        <v>105.778459924665</v>
      </c>
      <c r="N83" s="152">
        <f>IF(TrRoad_act!N5=0,0,N19/TrRoad_act!N5*1000)</f>
        <v>106.04452857560055</v>
      </c>
      <c r="O83" s="152">
        <f>IF(TrRoad_act!O5=0,0,O19/TrRoad_act!O5*1000)</f>
        <v>104.90208388602869</v>
      </c>
      <c r="P83" s="152">
        <f>IF(TrRoad_act!P5=0,0,P19/TrRoad_act!P5*1000)</f>
        <v>104.05467881799498</v>
      </c>
      <c r="Q83" s="152">
        <f>IF(TrRoad_act!Q5=0,0,Q19/TrRoad_act!Q5*1000)</f>
        <v>103.18879021322597</v>
      </c>
      <c r="R83" s="152">
        <f>IF(TrRoad_act!R5=0,0,R19/TrRoad_act!R5*1000)</f>
        <v>101.6253663364425</v>
      </c>
      <c r="S83" s="152">
        <f>IF(TrRoad_act!S5=0,0,S19/TrRoad_act!S5*1000)</f>
        <v>100.84764327134758</v>
      </c>
      <c r="T83" s="152">
        <f>IF(TrRoad_act!T5=0,0,T19/TrRoad_act!T5*1000)</f>
        <v>99.932725855889004</v>
      </c>
      <c r="U83" s="152">
        <f>IF(TrRoad_act!U5=0,0,U19/TrRoad_act!U5*1000)</f>
        <v>98.219617325215197</v>
      </c>
      <c r="V83" s="152">
        <f>IF(TrRoad_act!V5=0,0,V19/TrRoad_act!V5*1000)</f>
        <v>97.24554729763608</v>
      </c>
      <c r="W83" s="152">
        <f>IF(TrRoad_act!W5=0,0,W19/TrRoad_act!W5*1000)</f>
        <v>91.583356694757811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192.83606301275748</v>
      </c>
      <c r="C84" s="116">
        <f>IF(TrRoad_act!C6=0,0,C20/TrRoad_act!C6*1000)</f>
        <v>199.85936561323322</v>
      </c>
      <c r="D84" s="116">
        <f>IF(TrRoad_act!D6=0,0,D20/TrRoad_act!D6*1000)</f>
        <v>199.21023534448574</v>
      </c>
      <c r="E84" s="116">
        <f>IF(TrRoad_act!E6=0,0,E20/TrRoad_act!E6*1000)</f>
        <v>213.59210522710106</v>
      </c>
      <c r="F84" s="116">
        <f>IF(TrRoad_act!F6=0,0,F20/TrRoad_act!F6*1000)</f>
        <v>215.70150960369955</v>
      </c>
      <c r="G84" s="116">
        <f>IF(TrRoad_act!G6=0,0,G20/TrRoad_act!G6*1000)</f>
        <v>217.66946946478816</v>
      </c>
      <c r="H84" s="116">
        <f>IF(TrRoad_act!H6=0,0,H20/TrRoad_act!H6*1000)</f>
        <v>220.43675878545383</v>
      </c>
      <c r="I84" s="116">
        <f>IF(TrRoad_act!I6=0,0,I20/TrRoad_act!I6*1000)</f>
        <v>227.17962832845978</v>
      </c>
      <c r="J84" s="116">
        <f>IF(TrRoad_act!J6=0,0,J20/TrRoad_act!J6*1000)</f>
        <v>220.27202312952087</v>
      </c>
      <c r="K84" s="116">
        <f>IF(TrRoad_act!K6=0,0,K20/TrRoad_act!K6*1000)</f>
        <v>218.99804992693998</v>
      </c>
      <c r="L84" s="116">
        <f>IF(TrRoad_act!L6=0,0,L20/TrRoad_act!L6*1000)</f>
        <v>227.53126297150826</v>
      </c>
      <c r="M84" s="116">
        <f>IF(TrRoad_act!M6=0,0,M20/TrRoad_act!M6*1000)</f>
        <v>222.59266451814824</v>
      </c>
      <c r="N84" s="116">
        <f>IF(TrRoad_act!N6=0,0,N20/TrRoad_act!N6*1000)</f>
        <v>210.39121811519016</v>
      </c>
      <c r="O84" s="116">
        <f>IF(TrRoad_act!O6=0,0,O20/TrRoad_act!O6*1000)</f>
        <v>197.13215122833572</v>
      </c>
      <c r="P84" s="116">
        <f>IF(TrRoad_act!P6=0,0,P20/TrRoad_act!P6*1000)</f>
        <v>189.76759270254175</v>
      </c>
      <c r="Q84" s="116">
        <f>IF(TrRoad_act!Q6=0,0,Q20/TrRoad_act!Q6*1000)</f>
        <v>190.35324293575803</v>
      </c>
      <c r="R84" s="116">
        <f>IF(TrRoad_act!R6=0,0,R20/TrRoad_act!R6*1000)</f>
        <v>190.75764872509063</v>
      </c>
      <c r="S84" s="116">
        <f>IF(TrRoad_act!S6=0,0,S20/TrRoad_act!S6*1000)</f>
        <v>191.4493453525582</v>
      </c>
      <c r="T84" s="116">
        <f>IF(TrRoad_act!T6=0,0,T20/TrRoad_act!T6*1000)</f>
        <v>185.00179692914426</v>
      </c>
      <c r="U84" s="116">
        <f>IF(TrRoad_act!U6=0,0,U20/TrRoad_act!U6*1000)</f>
        <v>181.55909639287589</v>
      </c>
      <c r="V84" s="116">
        <f>IF(TrRoad_act!V6=0,0,V20/TrRoad_act!V6*1000)</f>
        <v>184.5416940794421</v>
      </c>
      <c r="W84" s="116">
        <f>IF(TrRoad_act!W6=0,0,W20/TrRoad_act!W6*1000)</f>
        <v>185.02339759159977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184.59781083819479</v>
      </c>
      <c r="C85" s="87">
        <f>IF(TrRoad_act!C7=0,0,C21/TrRoad_act!C7*1000)</f>
        <v>192.95263293816751</v>
      </c>
      <c r="D85" s="87">
        <f>IF(TrRoad_act!D7=0,0,D21/TrRoad_act!D7*1000)</f>
        <v>195.27170819420454</v>
      </c>
      <c r="E85" s="87">
        <f>IF(TrRoad_act!E7=0,0,E21/TrRoad_act!E7*1000)</f>
        <v>211.09691533951346</v>
      </c>
      <c r="F85" s="87">
        <f>IF(TrRoad_act!F7=0,0,F21/TrRoad_act!F7*1000)</f>
        <v>211.161157495938</v>
      </c>
      <c r="G85" s="87">
        <f>IF(TrRoad_act!G7=0,0,G21/TrRoad_act!G7*1000)</f>
        <v>216.27688998676845</v>
      </c>
      <c r="H85" s="87">
        <f>IF(TrRoad_act!H7=0,0,H21/TrRoad_act!H7*1000)</f>
        <v>219.5168447358358</v>
      </c>
      <c r="I85" s="87">
        <f>IF(TrRoad_act!I7=0,0,I21/TrRoad_act!I7*1000)</f>
        <v>225.26044852824774</v>
      </c>
      <c r="J85" s="87">
        <f>IF(TrRoad_act!J7=0,0,J21/TrRoad_act!J7*1000)</f>
        <v>220.06480418530091</v>
      </c>
      <c r="K85" s="87">
        <f>IF(TrRoad_act!K7=0,0,K21/TrRoad_act!K7*1000)</f>
        <v>217.47387964601512</v>
      </c>
      <c r="L85" s="87">
        <f>IF(TrRoad_act!L7=0,0,L21/TrRoad_act!L7*1000)</f>
        <v>225.54241794040382</v>
      </c>
      <c r="M85" s="87">
        <f>IF(TrRoad_act!M7=0,0,M21/TrRoad_act!M7*1000)</f>
        <v>221.16769571783993</v>
      </c>
      <c r="N85" s="87">
        <f>IF(TrRoad_act!N7=0,0,N21/TrRoad_act!N7*1000)</f>
        <v>211.47717142928573</v>
      </c>
      <c r="O85" s="87">
        <f>IF(TrRoad_act!O7=0,0,O21/TrRoad_act!O7*1000)</f>
        <v>198.81711752943994</v>
      </c>
      <c r="P85" s="87">
        <f>IF(TrRoad_act!P7=0,0,P21/TrRoad_act!P7*1000)</f>
        <v>191.22955816593685</v>
      </c>
      <c r="Q85" s="87">
        <f>IF(TrRoad_act!Q7=0,0,Q21/TrRoad_act!Q7*1000)</f>
        <v>191.35943577129856</v>
      </c>
      <c r="R85" s="87">
        <f>IF(TrRoad_act!R7=0,0,R21/TrRoad_act!R7*1000)</f>
        <v>189.487729681774</v>
      </c>
      <c r="S85" s="87">
        <f>IF(TrRoad_act!S7=0,0,S21/TrRoad_act!S7*1000)</f>
        <v>190.4899693223179</v>
      </c>
      <c r="T85" s="87">
        <f>IF(TrRoad_act!T7=0,0,T21/TrRoad_act!T7*1000)</f>
        <v>184.60223707957749</v>
      </c>
      <c r="U85" s="87">
        <f>IF(TrRoad_act!U7=0,0,U21/TrRoad_act!U7*1000)</f>
        <v>180.72874550465338</v>
      </c>
      <c r="V85" s="87">
        <f>IF(TrRoad_act!V7=0,0,V21/TrRoad_act!V7*1000)</f>
        <v>181.40532454723649</v>
      </c>
      <c r="W85" s="87">
        <f>IF(TrRoad_act!W7=0,0,W21/TrRoad_act!W7*1000)</f>
        <v>182.36364127031749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230.84440150614947</v>
      </c>
      <c r="C86" s="87">
        <f>IF(TrRoad_act!C8=0,0,C22/TrRoad_act!C8*1000)</f>
        <v>230.6528025720404</v>
      </c>
      <c r="D86" s="87">
        <f>IF(TrRoad_act!D8=0,0,D22/TrRoad_act!D8*1000)</f>
        <v>217.51474855932014</v>
      </c>
      <c r="E86" s="87">
        <f>IF(TrRoad_act!E8=0,0,E22/TrRoad_act!E8*1000)</f>
        <v>225.96025843043682</v>
      </c>
      <c r="F86" s="87">
        <f>IF(TrRoad_act!F8=0,0,F22/TrRoad_act!F8*1000)</f>
        <v>241.3505598175332</v>
      </c>
      <c r="G86" s="87">
        <f>IF(TrRoad_act!G8=0,0,G22/TrRoad_act!G8*1000)</f>
        <v>226.3482348536549</v>
      </c>
      <c r="H86" s="87">
        <f>IF(TrRoad_act!H8=0,0,H22/TrRoad_act!H8*1000)</f>
        <v>226.70390870694126</v>
      </c>
      <c r="I86" s="87">
        <f>IF(TrRoad_act!I8=0,0,I22/TrRoad_act!I8*1000)</f>
        <v>240.9346950278732</v>
      </c>
      <c r="J86" s="87">
        <f>IF(TrRoad_act!J8=0,0,J22/TrRoad_act!J8*1000)</f>
        <v>221.75770943275955</v>
      </c>
      <c r="K86" s="87">
        <f>IF(TrRoad_act!K8=0,0,K22/TrRoad_act!K8*1000)</f>
        <v>229.7468611359308</v>
      </c>
      <c r="L86" s="87">
        <f>IF(TrRoad_act!L8=0,0,L22/TrRoad_act!L8*1000)</f>
        <v>241.5325809677995</v>
      </c>
      <c r="M86" s="87">
        <f>IF(TrRoad_act!M8=0,0,M22/TrRoad_act!M8*1000)</f>
        <v>232.75428084402409</v>
      </c>
      <c r="N86" s="87">
        <f>IF(TrRoad_act!N8=0,0,N22/TrRoad_act!N8*1000)</f>
        <v>202.23325041005532</v>
      </c>
      <c r="O86" s="87">
        <f>IF(TrRoad_act!O8=0,0,O22/TrRoad_act!O8*1000)</f>
        <v>184.17212812416324</v>
      </c>
      <c r="P86" s="87">
        <f>IF(TrRoad_act!P8=0,0,P22/TrRoad_act!P8*1000)</f>
        <v>179.08407741969279</v>
      </c>
      <c r="Q86" s="87">
        <f>IF(TrRoad_act!Q8=0,0,Q22/TrRoad_act!Q8*1000)</f>
        <v>183.72795382848855</v>
      </c>
      <c r="R86" s="87">
        <f>IF(TrRoad_act!R8=0,0,R22/TrRoad_act!R8*1000)</f>
        <v>199.03736717676489</v>
      </c>
      <c r="S86" s="87">
        <f>IF(TrRoad_act!S8=0,0,S22/TrRoad_act!S8*1000)</f>
        <v>196.89433263096069</v>
      </c>
      <c r="T86" s="87">
        <f>IF(TrRoad_act!T8=0,0,T22/TrRoad_act!T8*1000)</f>
        <v>187.78443406198721</v>
      </c>
      <c r="U86" s="87">
        <f>IF(TrRoad_act!U8=0,0,U22/TrRoad_act!U8*1000)</f>
        <v>185.65233954131506</v>
      </c>
      <c r="V86" s="87">
        <f>IF(TrRoad_act!V8=0,0,V22/TrRoad_act!V8*1000)</f>
        <v>196.37129562269385</v>
      </c>
      <c r="W86" s="87">
        <f>IF(TrRoad_act!W8=0,0,W22/TrRoad_act!W8*1000)</f>
        <v>195.11654438326286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0</v>
      </c>
      <c r="C87" s="87">
        <f>IF(TrRoad_act!C9=0,0,C23/TrRoad_act!C9*1000)</f>
        <v>0</v>
      </c>
      <c r="D87" s="87">
        <f>IF(TrRoad_act!D9=0,0,D23/TrRoad_act!D9*1000)</f>
        <v>0</v>
      </c>
      <c r="E87" s="87">
        <f>IF(TrRoad_act!E9=0,0,E23/TrRoad_act!E9*1000)</f>
        <v>0</v>
      </c>
      <c r="F87" s="87">
        <f>IF(TrRoad_act!F9=0,0,F23/TrRoad_act!F9*1000)</f>
        <v>0</v>
      </c>
      <c r="G87" s="87">
        <f>IF(TrRoad_act!G9=0,0,G23/TrRoad_act!G9*1000)</f>
        <v>0</v>
      </c>
      <c r="H87" s="87">
        <f>IF(TrRoad_act!H9=0,0,H23/TrRoad_act!H9*1000)</f>
        <v>0</v>
      </c>
      <c r="I87" s="87">
        <f>IF(TrRoad_act!I9=0,0,I23/TrRoad_act!I9*1000)</f>
        <v>0</v>
      </c>
      <c r="J87" s="87">
        <f>IF(TrRoad_act!J9=0,0,J23/TrRoad_act!J9*1000)</f>
        <v>0</v>
      </c>
      <c r="K87" s="87">
        <f>IF(TrRoad_act!K9=0,0,K23/TrRoad_act!K9*1000)</f>
        <v>0</v>
      </c>
      <c r="L87" s="87">
        <f>IF(TrRoad_act!L9=0,0,L23/TrRoad_act!L9*1000)</f>
        <v>0</v>
      </c>
      <c r="M87" s="87">
        <f>IF(TrRoad_act!M9=0,0,M23/TrRoad_act!M9*1000)</f>
        <v>0</v>
      </c>
      <c r="N87" s="87">
        <f>IF(TrRoad_act!N9=0,0,N23/TrRoad_act!N9*1000)</f>
        <v>0</v>
      </c>
      <c r="O87" s="87">
        <f>IF(TrRoad_act!O9=0,0,O23/TrRoad_act!O9*1000)</f>
        <v>0</v>
      </c>
      <c r="P87" s="87">
        <f>IF(TrRoad_act!P9=0,0,P23/TrRoad_act!P9*1000)</f>
        <v>0</v>
      </c>
      <c r="Q87" s="87">
        <f>IF(TrRoad_act!Q9=0,0,Q23/TrRoad_act!Q9*1000)</f>
        <v>0</v>
      </c>
      <c r="R87" s="87">
        <f>IF(TrRoad_act!R9=0,0,R23/TrRoad_act!R9*1000)</f>
        <v>0</v>
      </c>
      <c r="S87" s="87">
        <f>IF(TrRoad_act!S9=0,0,S23/TrRoad_act!S9*1000)</f>
        <v>0</v>
      </c>
      <c r="T87" s="87">
        <f>IF(TrRoad_act!T9=0,0,T23/TrRoad_act!T9*1000)</f>
        <v>119.52642615536524</v>
      </c>
      <c r="U87" s="87">
        <f>IF(TrRoad_act!U9=0,0,U23/TrRoad_act!U9*1000)</f>
        <v>133.06106423738959</v>
      </c>
      <c r="V87" s="87">
        <f>IF(TrRoad_act!V9=0,0,V23/TrRoad_act!V9*1000)</f>
        <v>138.55595643163676</v>
      </c>
      <c r="W87" s="87">
        <f>IF(TrRoad_act!W9=0,0,W23/TrRoad_act!W9*1000)</f>
        <v>149.13956441794235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0</v>
      </c>
      <c r="I88" s="87">
        <f>IF(TrRoad_act!I10=0,0,I24/TrRoad_act!I10*1000)</f>
        <v>0</v>
      </c>
      <c r="J88" s="87">
        <f>IF(TrRoad_act!J10=0,0,J24/TrRoad_act!J10*1000)</f>
        <v>0</v>
      </c>
      <c r="K88" s="87">
        <f>IF(TrRoad_act!K10=0,0,K24/TrRoad_act!K10*1000)</f>
        <v>0</v>
      </c>
      <c r="L88" s="87">
        <f>IF(TrRoad_act!L10=0,0,L24/TrRoad_act!L10*1000)</f>
        <v>0</v>
      </c>
      <c r="M88" s="87">
        <f>IF(TrRoad_act!M10=0,0,M24/TrRoad_act!M10*1000)</f>
        <v>0</v>
      </c>
      <c r="N88" s="87">
        <f>IF(TrRoad_act!N10=0,0,N24/TrRoad_act!N10*1000)</f>
        <v>0</v>
      </c>
      <c r="O88" s="87">
        <f>IF(TrRoad_act!O10=0,0,O24/TrRoad_act!O10*1000)</f>
        <v>0</v>
      </c>
      <c r="P88" s="87">
        <f>IF(TrRoad_act!P10=0,0,P24/TrRoad_act!P10*1000)</f>
        <v>0</v>
      </c>
      <c r="Q88" s="87">
        <f>IF(TrRoad_act!Q10=0,0,Q24/TrRoad_act!Q10*1000)</f>
        <v>0</v>
      </c>
      <c r="R88" s="87">
        <f>IF(TrRoad_act!R10=0,0,R24/TrRoad_act!R10*1000)</f>
        <v>0</v>
      </c>
      <c r="S88" s="87">
        <f>IF(TrRoad_act!S10=0,0,S24/TrRoad_act!S10*1000)</f>
        <v>0</v>
      </c>
      <c r="T88" s="87">
        <f>IF(TrRoad_act!T10=0,0,T24/TrRoad_act!T10*1000)</f>
        <v>0</v>
      </c>
      <c r="U88" s="87">
        <f>IF(TrRoad_act!U10=0,0,U24/TrRoad_act!U10*1000)</f>
        <v>0</v>
      </c>
      <c r="V88" s="87">
        <f>IF(TrRoad_act!V10=0,0,V24/TrRoad_act!V10*1000)</f>
        <v>0</v>
      </c>
      <c r="W88" s="87">
        <f>IF(TrRoad_act!W10=0,0,W24/TrRoad_act!W10*1000)</f>
        <v>0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0</v>
      </c>
      <c r="O89" s="87">
        <f>IF(TrRoad_act!O11=0,0,O25/TrRoad_act!O11*1000)</f>
        <v>0</v>
      </c>
      <c r="P89" s="87">
        <f>IF(TrRoad_act!P11=0,0,P25/TrRoad_act!P11*1000)</f>
        <v>56.19703522321484</v>
      </c>
      <c r="Q89" s="87">
        <f>IF(TrRoad_act!Q11=0,0,Q25/TrRoad_act!Q11*1000)</f>
        <v>56.779313747998401</v>
      </c>
      <c r="R89" s="87">
        <f>IF(TrRoad_act!R11=0,0,R25/TrRoad_act!R11*1000)</f>
        <v>75.900705253058419</v>
      </c>
      <c r="S89" s="87">
        <f>IF(TrRoad_act!S11=0,0,S25/TrRoad_act!S11*1000)</f>
        <v>73.090064952859677</v>
      </c>
      <c r="T89" s="87">
        <f>IF(TrRoad_act!T11=0,0,T25/TrRoad_act!T11*1000)</f>
        <v>69.303415656206226</v>
      </c>
      <c r="U89" s="87">
        <f>IF(TrRoad_act!U11=0,0,U25/TrRoad_act!U11*1000)</f>
        <v>66.722478621689007</v>
      </c>
      <c r="V89" s="87">
        <f>IF(TrRoad_act!V11=0,0,V25/TrRoad_act!V11*1000)</f>
        <v>73.687649733791389</v>
      </c>
      <c r="W89" s="87">
        <f>IF(TrRoad_act!W11=0,0,W25/TrRoad_act!W11*1000)</f>
        <v>62.707629085637485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250.75230846219264</v>
      </c>
      <c r="C91" s="116">
        <f>IF(TrRoad_act!C13=0,0,C27/TrRoad_act!C13*1000)</f>
        <v>246.87000797835967</v>
      </c>
      <c r="D91" s="116">
        <f>IF(TrRoad_act!D13=0,0,D27/TrRoad_act!D13*1000)</f>
        <v>232.52249586143969</v>
      </c>
      <c r="E91" s="116">
        <f>IF(TrRoad_act!E13=0,0,E27/TrRoad_act!E13*1000)</f>
        <v>233.86003375679857</v>
      </c>
      <c r="F91" s="116">
        <f>IF(TrRoad_act!F13=0,0,F27/TrRoad_act!F13*1000)</f>
        <v>254.22991277829669</v>
      </c>
      <c r="G91" s="116">
        <f>IF(TrRoad_act!G13=0,0,G27/TrRoad_act!G13*1000)</f>
        <v>234.13318867709251</v>
      </c>
      <c r="H91" s="116">
        <f>IF(TrRoad_act!H13=0,0,H27/TrRoad_act!H13*1000)</f>
        <v>233.82862170018007</v>
      </c>
      <c r="I91" s="116">
        <f>IF(TrRoad_act!I13=0,0,I27/TrRoad_act!I13*1000)</f>
        <v>242.09770819684226</v>
      </c>
      <c r="J91" s="116">
        <f>IF(TrRoad_act!J13=0,0,J27/TrRoad_act!J13*1000)</f>
        <v>224.53505368888631</v>
      </c>
      <c r="K91" s="116">
        <f>IF(TrRoad_act!K13=0,0,K27/TrRoad_act!K13*1000)</f>
        <v>235.46622283358269</v>
      </c>
      <c r="L91" s="116">
        <f>IF(TrRoad_act!L13=0,0,L27/TrRoad_act!L13*1000)</f>
        <v>235.58559049031288</v>
      </c>
      <c r="M91" s="116">
        <f>IF(TrRoad_act!M13=0,0,M27/TrRoad_act!M13*1000)</f>
        <v>225.79117291530855</v>
      </c>
      <c r="N91" s="116">
        <f>IF(TrRoad_act!N13=0,0,N27/TrRoad_act!N13*1000)</f>
        <v>198.25441934004249</v>
      </c>
      <c r="O91" s="116">
        <f>IF(TrRoad_act!O13=0,0,O27/TrRoad_act!O13*1000)</f>
        <v>179.48506036357352</v>
      </c>
      <c r="P91" s="116">
        <f>IF(TrRoad_act!P13=0,0,P27/TrRoad_act!P13*1000)</f>
        <v>181.27550063652268</v>
      </c>
      <c r="Q91" s="116">
        <f>IF(TrRoad_act!Q13=0,0,Q27/TrRoad_act!Q13*1000)</f>
        <v>191.04269199886139</v>
      </c>
      <c r="R91" s="116">
        <f>IF(TrRoad_act!R13=0,0,R27/TrRoad_act!R13*1000)</f>
        <v>194.3959769071385</v>
      </c>
      <c r="S91" s="116">
        <f>IF(TrRoad_act!S13=0,0,S27/TrRoad_act!S13*1000)</f>
        <v>196.8443056278401</v>
      </c>
      <c r="T91" s="116">
        <f>IF(TrRoad_act!T13=0,0,T27/TrRoad_act!T13*1000)</f>
        <v>191.34660238658589</v>
      </c>
      <c r="U91" s="116">
        <f>IF(TrRoad_act!U13=0,0,U27/TrRoad_act!U13*1000)</f>
        <v>193.6540321795498</v>
      </c>
      <c r="V91" s="116">
        <f>IF(TrRoad_act!V13=0,0,V27/TrRoad_act!V13*1000)</f>
        <v>279.16789178462778</v>
      </c>
      <c r="W91" s="116">
        <f>IF(TrRoad_act!W13=0,0,W27/TrRoad_act!W13*1000)</f>
        <v>287.99565237725795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85.903658928201196</v>
      </c>
      <c r="C92" s="101">
        <f>IF(TrRoad_act!C14=0,0,C28/TrRoad_act!C14*1000)</f>
        <v>88.860792396537036</v>
      </c>
      <c r="D92" s="101">
        <f>IF(TrRoad_act!D14=0,0,D28/TrRoad_act!D14*1000)</f>
        <v>90.881072760057847</v>
      </c>
      <c r="E92" s="101">
        <f>IF(TrRoad_act!E14=0,0,E28/TrRoad_act!E14*1000)</f>
        <v>95.290991203796835</v>
      </c>
      <c r="F92" s="101">
        <f>IF(TrRoad_act!F14=0,0,F28/TrRoad_act!F14*1000)</f>
        <v>97.022828623046905</v>
      </c>
      <c r="G92" s="101">
        <f>IF(TrRoad_act!G14=0,0,G28/TrRoad_act!G14*1000)</f>
        <v>99.207055385070646</v>
      </c>
      <c r="H92" s="101">
        <f>IF(TrRoad_act!H14=0,0,H28/TrRoad_act!H14*1000)</f>
        <v>100.66347849638589</v>
      </c>
      <c r="I92" s="101">
        <f>IF(TrRoad_act!I14=0,0,I28/TrRoad_act!I14*1000)</f>
        <v>100.93035152739918</v>
      </c>
      <c r="J92" s="101">
        <f>IF(TrRoad_act!J14=0,0,J28/TrRoad_act!J14*1000)</f>
        <v>100.40861146590598</v>
      </c>
      <c r="K92" s="101">
        <f>IF(TrRoad_act!K14=0,0,K28/TrRoad_act!K14*1000)</f>
        <v>100.92919466296705</v>
      </c>
      <c r="L92" s="101">
        <f>IF(TrRoad_act!L14=0,0,L28/TrRoad_act!L14*1000)</f>
        <v>100.88368465099624</v>
      </c>
      <c r="M92" s="101">
        <f>IF(TrRoad_act!M14=0,0,M28/TrRoad_act!M14*1000)</f>
        <v>99.118968114999603</v>
      </c>
      <c r="N92" s="101">
        <f>IF(TrRoad_act!N14=0,0,N28/TrRoad_act!N14*1000)</f>
        <v>97.239054662437127</v>
      </c>
      <c r="O92" s="101">
        <f>IF(TrRoad_act!O14=0,0,O28/TrRoad_act!O14*1000)</f>
        <v>93.036307836209474</v>
      </c>
      <c r="P92" s="101">
        <f>IF(TrRoad_act!P14=0,0,P28/TrRoad_act!P14*1000)</f>
        <v>89.917452675374079</v>
      </c>
      <c r="Q92" s="101">
        <f>IF(TrRoad_act!Q14=0,0,Q28/TrRoad_act!Q14*1000)</f>
        <v>90.378170825703691</v>
      </c>
      <c r="R92" s="101">
        <f>IF(TrRoad_act!R14=0,0,R28/TrRoad_act!R14*1000)</f>
        <v>84.12815863701563</v>
      </c>
      <c r="S92" s="101">
        <f>IF(TrRoad_act!S14=0,0,S28/TrRoad_act!S14*1000)</f>
        <v>85.09374555739997</v>
      </c>
      <c r="T92" s="101">
        <f>IF(TrRoad_act!T14=0,0,T28/TrRoad_act!T14*1000)</f>
        <v>83.553952488640562</v>
      </c>
      <c r="U92" s="101">
        <f>IF(TrRoad_act!U14=0,0,U28/TrRoad_act!U14*1000)</f>
        <v>81.671785725041502</v>
      </c>
      <c r="V92" s="101">
        <f>IF(TrRoad_act!V14=0,0,V28/TrRoad_act!V14*1000)</f>
        <v>93.324319949662197</v>
      </c>
      <c r="W92" s="101">
        <f>IF(TrRoad_act!W14=0,0,W28/TrRoad_act!W14*1000)</f>
        <v>83.347509578437325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255.1041405926367</v>
      </c>
      <c r="C93" s="101">
        <f>IF(TrRoad_act!C15=0,0,C29/TrRoad_act!C15*1000)</f>
        <v>250.84331676230852</v>
      </c>
      <c r="D93" s="101">
        <f>IF(TrRoad_act!D15=0,0,D29/TrRoad_act!D15*1000)</f>
        <v>235.85214055700118</v>
      </c>
      <c r="E93" s="101">
        <f>IF(TrRoad_act!E15=0,0,E29/TrRoad_act!E15*1000)</f>
        <v>236.92694563482311</v>
      </c>
      <c r="F93" s="101">
        <f>IF(TrRoad_act!F15=0,0,F29/TrRoad_act!F15*1000)</f>
        <v>257.77264332517643</v>
      </c>
      <c r="G93" s="101">
        <f>IF(TrRoad_act!G15=0,0,G29/TrRoad_act!G15*1000)</f>
        <v>237.10497395102004</v>
      </c>
      <c r="H93" s="101">
        <f>IF(TrRoad_act!H15=0,0,H29/TrRoad_act!H15*1000)</f>
        <v>236.7784558705346</v>
      </c>
      <c r="I93" s="101">
        <f>IF(TrRoad_act!I15=0,0,I29/TrRoad_act!I15*1000)</f>
        <v>245.15329317504109</v>
      </c>
      <c r="J93" s="101">
        <f>IF(TrRoad_act!J15=0,0,J29/TrRoad_act!J15*1000)</f>
        <v>227.2335008156648</v>
      </c>
      <c r="K93" s="101">
        <f>IF(TrRoad_act!K15=0,0,K29/TrRoad_act!K15*1000)</f>
        <v>238.42938579537241</v>
      </c>
      <c r="L93" s="101">
        <f>IF(TrRoad_act!L15=0,0,L29/TrRoad_act!L15*1000)</f>
        <v>238.5815806023094</v>
      </c>
      <c r="M93" s="101">
        <f>IF(TrRoad_act!M15=0,0,M29/TrRoad_act!M15*1000)</f>
        <v>228.57316459553854</v>
      </c>
      <c r="N93" s="101">
        <f>IF(TrRoad_act!N15=0,0,N29/TrRoad_act!N15*1000)</f>
        <v>200.42563150251056</v>
      </c>
      <c r="O93" s="101">
        <f>IF(TrRoad_act!O15=0,0,O29/TrRoad_act!O15*1000)</f>
        <v>181.34818171959174</v>
      </c>
      <c r="P93" s="101">
        <f>IF(TrRoad_act!P15=0,0,P29/TrRoad_act!P15*1000)</f>
        <v>181.97958439892344</v>
      </c>
      <c r="Q93" s="101">
        <f>IF(TrRoad_act!Q15=0,0,Q29/TrRoad_act!Q15*1000)</f>
        <v>191.69232733672797</v>
      </c>
      <c r="R93" s="101">
        <f>IF(TrRoad_act!R15=0,0,R29/TrRoad_act!R15*1000)</f>
        <v>195.07074736996938</v>
      </c>
      <c r="S93" s="101">
        <f>IF(TrRoad_act!S15=0,0,S29/TrRoad_act!S15*1000)</f>
        <v>197.52445165111556</v>
      </c>
      <c r="T93" s="101">
        <f>IF(TrRoad_act!T15=0,0,T29/TrRoad_act!T15*1000)</f>
        <v>192.01005451477496</v>
      </c>
      <c r="U93" s="101">
        <f>IF(TrRoad_act!U15=0,0,U29/TrRoad_act!U15*1000)</f>
        <v>194.3352147966379</v>
      </c>
      <c r="V93" s="101">
        <f>IF(TrRoad_act!V15=0,0,V29/TrRoad_act!V15*1000)</f>
        <v>280.81067474851238</v>
      </c>
      <c r="W93" s="101">
        <f>IF(TrRoad_act!W15=0,0,W29/TrRoad_act!W15*1000)</f>
        <v>289.90120026683559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0</v>
      </c>
      <c r="M94" s="101">
        <f>IF(TrRoad_act!M16=0,0,M30/TrRoad_act!M16*1000)</f>
        <v>0</v>
      </c>
      <c r="N94" s="101">
        <f>IF(TrRoad_act!N16=0,0,N30/TrRoad_act!N16*1000)</f>
        <v>0</v>
      </c>
      <c r="O94" s="101">
        <f>IF(TrRoad_act!O16=0,0,O30/TrRoad_act!O16*1000)</f>
        <v>0</v>
      </c>
      <c r="P94" s="101">
        <f>IF(TrRoad_act!P16=0,0,P30/TrRoad_act!P16*1000)</f>
        <v>0</v>
      </c>
      <c r="Q94" s="101">
        <f>IF(TrRoad_act!Q16=0,0,Q30/TrRoad_act!Q16*1000)</f>
        <v>0</v>
      </c>
      <c r="R94" s="101">
        <f>IF(TrRoad_act!R16=0,0,R30/TrRoad_act!R16*1000)</f>
        <v>0</v>
      </c>
      <c r="S94" s="101">
        <f>IF(TrRoad_act!S16=0,0,S30/TrRoad_act!S16*1000)</f>
        <v>0</v>
      </c>
      <c r="T94" s="101">
        <f>IF(TrRoad_act!T16=0,0,T30/TrRoad_act!T16*1000)</f>
        <v>0</v>
      </c>
      <c r="U94" s="101">
        <f>IF(TrRoad_act!U16=0,0,U30/TrRoad_act!U16*1000)</f>
        <v>0</v>
      </c>
      <c r="V94" s="101">
        <f>IF(TrRoad_act!V16=0,0,V30/TrRoad_act!V16*1000)</f>
        <v>0</v>
      </c>
      <c r="W94" s="101">
        <f>IF(TrRoad_act!W16=0,0,W30/TrRoad_act!W16*1000)</f>
        <v>0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0</v>
      </c>
      <c r="C95" s="101">
        <f>IF(TrRoad_act!C17=0,0,C31/TrRoad_act!C17*1000)</f>
        <v>0</v>
      </c>
      <c r="D95" s="101">
        <f>IF(TrRoad_act!D17=0,0,D31/TrRoad_act!D17*1000)</f>
        <v>0</v>
      </c>
      <c r="E95" s="101">
        <f>IF(TrRoad_act!E17=0,0,E31/TrRoad_act!E17*1000)</f>
        <v>0</v>
      </c>
      <c r="F95" s="101">
        <f>IF(TrRoad_act!F17=0,0,F31/TrRoad_act!F17*1000)</f>
        <v>0</v>
      </c>
      <c r="G95" s="101">
        <f>IF(TrRoad_act!G17=0,0,G31/TrRoad_act!G17*1000)</f>
        <v>0</v>
      </c>
      <c r="H95" s="101">
        <f>IF(TrRoad_act!H17=0,0,H31/TrRoad_act!H17*1000)</f>
        <v>0</v>
      </c>
      <c r="I95" s="101">
        <f>IF(TrRoad_act!I17=0,0,I31/TrRoad_act!I17*1000)</f>
        <v>0</v>
      </c>
      <c r="J95" s="101">
        <f>IF(TrRoad_act!J17=0,0,J31/TrRoad_act!J17*1000)</f>
        <v>0</v>
      </c>
      <c r="K95" s="101">
        <f>IF(TrRoad_act!K17=0,0,K31/TrRoad_act!K17*1000)</f>
        <v>0</v>
      </c>
      <c r="L95" s="101">
        <f>IF(TrRoad_act!L17=0,0,L31/TrRoad_act!L17*1000)</f>
        <v>0</v>
      </c>
      <c r="M95" s="101">
        <f>IF(TrRoad_act!M17=0,0,M31/TrRoad_act!M17*1000)</f>
        <v>0</v>
      </c>
      <c r="N95" s="101">
        <f>IF(TrRoad_act!N17=0,0,N31/TrRoad_act!N17*1000)</f>
        <v>0</v>
      </c>
      <c r="O95" s="101">
        <f>IF(TrRoad_act!O17=0,0,O31/TrRoad_act!O17*1000)</f>
        <v>0</v>
      </c>
      <c r="P95" s="101">
        <f>IF(TrRoad_act!P17=0,0,P31/TrRoad_act!P17*1000)</f>
        <v>0</v>
      </c>
      <c r="Q95" s="101">
        <f>IF(TrRoad_act!Q17=0,0,Q31/TrRoad_act!Q17*1000)</f>
        <v>0</v>
      </c>
      <c r="R95" s="101">
        <f>IF(TrRoad_act!R17=0,0,R31/TrRoad_act!R17*1000)</f>
        <v>0</v>
      </c>
      <c r="S95" s="101">
        <f>IF(TrRoad_act!S17=0,0,S31/TrRoad_act!S17*1000)</f>
        <v>0</v>
      </c>
      <c r="T95" s="101">
        <f>IF(TrRoad_act!T17=0,0,T31/TrRoad_act!T17*1000)</f>
        <v>0</v>
      </c>
      <c r="U95" s="101">
        <f>IF(TrRoad_act!U17=0,0,U31/TrRoad_act!U17*1000)</f>
        <v>0</v>
      </c>
      <c r="V95" s="101">
        <f>IF(TrRoad_act!V17=0,0,V31/TrRoad_act!V17*1000)</f>
        <v>0</v>
      </c>
      <c r="W95" s="101">
        <f>IF(TrRoad_act!W17=0,0,W31/TrRoad_act!W17*1000)</f>
        <v>0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483.12979908073936</v>
      </c>
      <c r="C97" s="29">
        <f>IF(TrRoad_act!C19=0,0,C33/TrRoad_act!C19*1000)</f>
        <v>480.91452402548083</v>
      </c>
      <c r="D97" s="29">
        <f>IF(TrRoad_act!D19=0,0,D33/TrRoad_act!D19*1000)</f>
        <v>462.14371425224095</v>
      </c>
      <c r="E97" s="29">
        <f>IF(TrRoad_act!E19=0,0,E33/TrRoad_act!E19*1000)</f>
        <v>446.29948090562277</v>
      </c>
      <c r="F97" s="29">
        <f>IF(TrRoad_act!F19=0,0,F33/TrRoad_act!F19*1000)</f>
        <v>528.83098441777349</v>
      </c>
      <c r="G97" s="29">
        <f>IF(TrRoad_act!G19=0,0,G33/TrRoad_act!G19*1000)</f>
        <v>437.66368963531687</v>
      </c>
      <c r="H97" s="29">
        <f>IF(TrRoad_act!H19=0,0,H33/TrRoad_act!H19*1000)</f>
        <v>461.86195028749057</v>
      </c>
      <c r="I97" s="29">
        <f>IF(TrRoad_act!I19=0,0,I33/TrRoad_act!I19*1000)</f>
        <v>461.13236212452847</v>
      </c>
      <c r="J97" s="29">
        <f>IF(TrRoad_act!J19=0,0,J33/TrRoad_act!J19*1000)</f>
        <v>419.60845267255348</v>
      </c>
      <c r="K97" s="29">
        <f>IF(TrRoad_act!K19=0,0,K33/TrRoad_act!K19*1000)</f>
        <v>512.67045762619193</v>
      </c>
      <c r="L97" s="29">
        <f>IF(TrRoad_act!L19=0,0,L33/TrRoad_act!L19*1000)</f>
        <v>476.14084632796613</v>
      </c>
      <c r="M97" s="29">
        <f>IF(TrRoad_act!M19=0,0,M33/TrRoad_act!M19*1000)</f>
        <v>501.33209080681416</v>
      </c>
      <c r="N97" s="29">
        <f>IF(TrRoad_act!N19=0,0,N33/TrRoad_act!N19*1000)</f>
        <v>448.707474013965</v>
      </c>
      <c r="O97" s="29">
        <f>IF(TrRoad_act!O19=0,0,O33/TrRoad_act!O19*1000)</f>
        <v>489.17344422055095</v>
      </c>
      <c r="P97" s="29">
        <f>IF(TrRoad_act!P19=0,0,P33/TrRoad_act!P19*1000)</f>
        <v>517.64847809908588</v>
      </c>
      <c r="Q97" s="29">
        <f>IF(TrRoad_act!Q19=0,0,Q33/TrRoad_act!Q19*1000)</f>
        <v>516.81615511250595</v>
      </c>
      <c r="R97" s="29">
        <f>IF(TrRoad_act!R19=0,0,R33/TrRoad_act!R19*1000)</f>
        <v>479.00166906766594</v>
      </c>
      <c r="S97" s="29">
        <f>IF(TrRoad_act!S19=0,0,S33/TrRoad_act!S19*1000)</f>
        <v>448.43007605164388</v>
      </c>
      <c r="T97" s="29">
        <f>IF(TrRoad_act!T19=0,0,T33/TrRoad_act!T19*1000)</f>
        <v>426.286087179677</v>
      </c>
      <c r="U97" s="29">
        <f>IF(TrRoad_act!U19=0,0,U33/TrRoad_act!U19*1000)</f>
        <v>435.09091209241183</v>
      </c>
      <c r="V97" s="29">
        <f>IF(TrRoad_act!V19=0,0,V33/TrRoad_act!V19*1000)</f>
        <v>476.66132241989345</v>
      </c>
      <c r="W97" s="29">
        <f>IF(TrRoad_act!W19=0,0,W33/TrRoad_act!W19*1000)</f>
        <v>478.2980101340878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3352.0489377951767</v>
      </c>
      <c r="C98" s="152">
        <f>IF(TrRoad_act!C20=0,0,C34/TrRoad_act!C20*1000)</f>
        <v>3293.7791111887705</v>
      </c>
      <c r="D98" s="152">
        <f>IF(TrRoad_act!D20=0,0,D34/TrRoad_act!D20*1000)</f>
        <v>3081.1944486584066</v>
      </c>
      <c r="E98" s="152">
        <f>IF(TrRoad_act!E20=0,0,E34/TrRoad_act!E20*1000)</f>
        <v>3057.8222453785143</v>
      </c>
      <c r="F98" s="152">
        <f>IF(TrRoad_act!F20=0,0,F34/TrRoad_act!F20*1000)</f>
        <v>3250.1777584226061</v>
      </c>
      <c r="G98" s="152">
        <f>IF(TrRoad_act!G20=0,0,G34/TrRoad_act!G20*1000)</f>
        <v>2994.9263876903719</v>
      </c>
      <c r="H98" s="152">
        <f>IF(TrRoad_act!H20=0,0,H34/TrRoad_act!H20*1000)</f>
        <v>2926.6672780274912</v>
      </c>
      <c r="I98" s="152">
        <f>IF(TrRoad_act!I20=0,0,I34/TrRoad_act!I20*1000)</f>
        <v>2995.8540827202323</v>
      </c>
      <c r="J98" s="152">
        <f>IF(TrRoad_act!J20=0,0,J34/TrRoad_act!J20*1000)</f>
        <v>2771.3390574797136</v>
      </c>
      <c r="K98" s="152">
        <f>IF(TrRoad_act!K20=0,0,K34/TrRoad_act!K20*1000)</f>
        <v>2837.9211279065566</v>
      </c>
      <c r="L98" s="152">
        <f>IF(TrRoad_act!L20=0,0,L34/TrRoad_act!L20*1000)</f>
        <v>2840.6244678340991</v>
      </c>
      <c r="M98" s="152">
        <f>IF(TrRoad_act!M20=0,0,M34/TrRoad_act!M20*1000)</f>
        <v>2697.7681382732817</v>
      </c>
      <c r="N98" s="152">
        <f>IF(TrRoad_act!N20=0,0,N34/TrRoad_act!N20*1000)</f>
        <v>2324.6412147492229</v>
      </c>
      <c r="O98" s="152">
        <f>IF(TrRoad_act!O20=0,0,O34/TrRoad_act!O20*1000)</f>
        <v>2043.2722041807256</v>
      </c>
      <c r="P98" s="152">
        <f>IF(TrRoad_act!P20=0,0,P34/TrRoad_act!P20*1000)</f>
        <v>2002.0228405291159</v>
      </c>
      <c r="Q98" s="152">
        <f>IF(TrRoad_act!Q20=0,0,Q34/TrRoad_act!Q20*1000)</f>
        <v>2082.5943853709355</v>
      </c>
      <c r="R98" s="152">
        <f>IF(TrRoad_act!R20=0,0,R34/TrRoad_act!R20*1000)</f>
        <v>2116.2875239005639</v>
      </c>
      <c r="S98" s="152">
        <f>IF(TrRoad_act!S20=0,0,S34/TrRoad_act!S20*1000)</f>
        <v>2126.0952525600492</v>
      </c>
      <c r="T98" s="152">
        <f>IF(TrRoad_act!T20=0,0,T34/TrRoad_act!T20*1000)</f>
        <v>2049.2431241564886</v>
      </c>
      <c r="U98" s="152">
        <f>IF(TrRoad_act!U20=0,0,U34/TrRoad_act!U20*1000)</f>
        <v>2004.365707208894</v>
      </c>
      <c r="V98" s="152">
        <f>IF(TrRoad_act!V20=0,0,V34/TrRoad_act!V20*1000)</f>
        <v>1988.5502797882714</v>
      </c>
      <c r="W98" s="152">
        <f>IF(TrRoad_act!W20=0,0,W34/TrRoad_act!W20*1000)</f>
        <v>2082.8608678429118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2455.95757395174</v>
      </c>
      <c r="C99" s="87">
        <f>IF(TrRoad_act!C21=0,0,C35/TrRoad_act!C21*1000)</f>
        <v>2535.7397717518179</v>
      </c>
      <c r="D99" s="87">
        <f>IF(TrRoad_act!D21=0,0,D35/TrRoad_act!D21*1000)</f>
        <v>2595.3392677059428</v>
      </c>
      <c r="E99" s="87">
        <f>IF(TrRoad_act!E21=0,0,E35/TrRoad_act!E21*1000)</f>
        <v>2725.0428133012915</v>
      </c>
      <c r="F99" s="87">
        <f>IF(TrRoad_act!F21=0,0,F35/TrRoad_act!F21*1000)</f>
        <v>2725.3055311422063</v>
      </c>
      <c r="G99" s="87">
        <f>IF(TrRoad_act!G21=0,0,G35/TrRoad_act!G21*1000)</f>
        <v>2792.0223136846498</v>
      </c>
      <c r="H99" s="87">
        <f>IF(TrRoad_act!H21=0,0,H35/TrRoad_act!H21*1000)</f>
        <v>2794.099040107526</v>
      </c>
      <c r="I99" s="87">
        <f>IF(TrRoad_act!I21=0,0,I35/TrRoad_act!I21*1000)</f>
        <v>2754.4029820725891</v>
      </c>
      <c r="J99" s="87">
        <f>IF(TrRoad_act!J21=0,0,J35/TrRoad_act!J21*1000)</f>
        <v>2744.8154203730742</v>
      </c>
      <c r="K99" s="87">
        <f>IF(TrRoad_act!K21=0,0,K35/TrRoad_act!K21*1000)</f>
        <v>2701.7291915473143</v>
      </c>
      <c r="L99" s="87">
        <f>IF(TrRoad_act!L21=0,0,L35/TrRoad_act!L21*1000)</f>
        <v>2701.9633837159622</v>
      </c>
      <c r="M99" s="87">
        <f>IF(TrRoad_act!M21=0,0,M35/TrRoad_act!M21*1000)</f>
        <v>2664.9147636949733</v>
      </c>
      <c r="N99" s="87">
        <f>IF(TrRoad_act!N21=0,0,N35/TrRoad_act!N21*1000)</f>
        <v>2614.3068906807025</v>
      </c>
      <c r="O99" s="87">
        <f>IF(TrRoad_act!O21=0,0,O35/TrRoad_act!O21*1000)</f>
        <v>2451.7314701292985</v>
      </c>
      <c r="P99" s="87">
        <f>IF(TrRoad_act!P21=0,0,P35/TrRoad_act!P21*1000)</f>
        <v>2565.2917233444059</v>
      </c>
      <c r="Q99" s="87">
        <f>IF(TrRoad_act!Q21=0,0,Q35/TrRoad_act!Q21*1000)</f>
        <v>2590.6386131275835</v>
      </c>
      <c r="R99" s="87">
        <f>IF(TrRoad_act!R21=0,0,R35/TrRoad_act!R21*1000)</f>
        <v>2388.7332698910009</v>
      </c>
      <c r="S99" s="87">
        <f>IF(TrRoad_act!S21=0,0,S35/TrRoad_act!S21*1000)</f>
        <v>2421.4929899847316</v>
      </c>
      <c r="T99" s="87">
        <f>IF(TrRoad_act!T21=0,0,T35/TrRoad_act!T21*1000)</f>
        <v>2341.4549964975631</v>
      </c>
      <c r="U99" s="87">
        <f>IF(TrRoad_act!U21=0,0,U35/TrRoad_act!U21*1000)</f>
        <v>2332.2131384783997</v>
      </c>
      <c r="V99" s="87">
        <f>IF(TrRoad_act!V21=0,0,V35/TrRoad_act!V21*1000)</f>
        <v>2151.4796916130126</v>
      </c>
      <c r="W99" s="87">
        <f>IF(TrRoad_act!W21=0,0,W35/TrRoad_act!W21*1000)</f>
        <v>2242.9042010171574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3402.0446385096143</v>
      </c>
      <c r="C100" s="87">
        <f>IF(TrRoad_act!C22=0,0,C36/TrRoad_act!C22*1000)</f>
        <v>3336.7699900245457</v>
      </c>
      <c r="D100" s="87">
        <f>IF(TrRoad_act!D22=0,0,D36/TrRoad_act!D22*1000)</f>
        <v>3106.7293314573676</v>
      </c>
      <c r="E100" s="87">
        <f>IF(TrRoad_act!E22=0,0,E36/TrRoad_act!E22*1000)</f>
        <v>3076.6946901559486</v>
      </c>
      <c r="F100" s="87">
        <f>IF(TrRoad_act!F22=0,0,F36/TrRoad_act!F22*1000)</f>
        <v>3276.7694969458098</v>
      </c>
      <c r="G100" s="87">
        <f>IF(TrRoad_act!G22=0,0,G36/TrRoad_act!G22*1000)</f>
        <v>3002.3831684762868</v>
      </c>
      <c r="H100" s="87">
        <f>IF(TrRoad_act!H22=0,0,H36/TrRoad_act!H22*1000)</f>
        <v>2931.5389257548286</v>
      </c>
      <c r="I100" s="87">
        <f>IF(TrRoad_act!I22=0,0,I36/TrRoad_act!I22*1000)</f>
        <v>3004.0557439748318</v>
      </c>
      <c r="J100" s="87">
        <f>IF(TrRoad_act!J22=0,0,J36/TrRoad_act!J22*1000)</f>
        <v>2772.3233803638855</v>
      </c>
      <c r="K100" s="87">
        <f>IF(TrRoad_act!K22=0,0,K36/TrRoad_act!K22*1000)</f>
        <v>2842.7742038428801</v>
      </c>
      <c r="L100" s="87">
        <f>IF(TrRoad_act!L22=0,0,L36/TrRoad_act!L22*1000)</f>
        <v>2845.3763319399886</v>
      </c>
      <c r="M100" s="87">
        <f>IF(TrRoad_act!M22=0,0,M36/TrRoad_act!M22*1000)</f>
        <v>2698.950649648973</v>
      </c>
      <c r="N100" s="87">
        <f>IF(TrRoad_act!N22=0,0,N36/TrRoad_act!N22*1000)</f>
        <v>2315.2359920132717</v>
      </c>
      <c r="O100" s="87">
        <f>IF(TrRoad_act!O22=0,0,O36/TrRoad_act!O22*1000)</f>
        <v>2029.9291455239775</v>
      </c>
      <c r="P100" s="87">
        <f>IF(TrRoad_act!P22=0,0,P36/TrRoad_act!P22*1000)</f>
        <v>1983.8259019728289</v>
      </c>
      <c r="Q100" s="87">
        <f>IF(TrRoad_act!Q22=0,0,Q36/TrRoad_act!Q22*1000)</f>
        <v>2066.241309402405</v>
      </c>
      <c r="R100" s="87">
        <f>IF(TrRoad_act!R22=0,0,R36/TrRoad_act!R22*1000)</f>
        <v>2107.7492524719783</v>
      </c>
      <c r="S100" s="87">
        <f>IF(TrRoad_act!S22=0,0,S36/TrRoad_act!S22*1000)</f>
        <v>2117.1288987752009</v>
      </c>
      <c r="T100" s="87">
        <f>IF(TrRoad_act!T22=0,0,T36/TrRoad_act!T22*1000)</f>
        <v>2040.5668905001608</v>
      </c>
      <c r="U100" s="87">
        <f>IF(TrRoad_act!U22=0,0,U36/TrRoad_act!U22*1000)</f>
        <v>1994.5472457530757</v>
      </c>
      <c r="V100" s="87">
        <f>IF(TrRoad_act!V22=0,0,V36/TrRoad_act!V22*1000)</f>
        <v>1983.6257879406719</v>
      </c>
      <c r="W100" s="87">
        <f>IF(TrRoad_act!W22=0,0,W36/TrRoad_act!W22*1000)</f>
        <v>2077.9641533510503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0</v>
      </c>
      <c r="I101" s="87">
        <f>IF(TrRoad_act!I23=0,0,I37/TrRoad_act!I23*1000)</f>
        <v>0</v>
      </c>
      <c r="J101" s="87">
        <f>IF(TrRoad_act!J23=0,0,J37/TrRoad_act!J23*1000)</f>
        <v>0</v>
      </c>
      <c r="K101" s="87">
        <f>IF(TrRoad_act!K23=0,0,K37/TrRoad_act!K23*1000)</f>
        <v>0</v>
      </c>
      <c r="L101" s="87">
        <f>IF(TrRoad_act!L23=0,0,L37/TrRoad_act!L23*1000)</f>
        <v>0</v>
      </c>
      <c r="M101" s="87">
        <f>IF(TrRoad_act!M23=0,0,M37/TrRoad_act!M23*1000)</f>
        <v>0</v>
      </c>
      <c r="N101" s="87">
        <f>IF(TrRoad_act!N23=0,0,N37/TrRoad_act!N23*1000)</f>
        <v>0</v>
      </c>
      <c r="O101" s="87">
        <f>IF(TrRoad_act!O23=0,0,O37/TrRoad_act!O23*1000)</f>
        <v>0</v>
      </c>
      <c r="P101" s="87">
        <f>IF(TrRoad_act!P23=0,0,P37/TrRoad_act!P23*1000)</f>
        <v>0</v>
      </c>
      <c r="Q101" s="87">
        <f>IF(TrRoad_act!Q23=0,0,Q37/TrRoad_act!Q23*1000)</f>
        <v>0</v>
      </c>
      <c r="R101" s="87">
        <f>IF(TrRoad_act!R23=0,0,R37/TrRoad_act!R23*1000)</f>
        <v>0</v>
      </c>
      <c r="S101" s="87">
        <f>IF(TrRoad_act!S23=0,0,S37/TrRoad_act!S23*1000)</f>
        <v>0</v>
      </c>
      <c r="T101" s="87">
        <f>IF(TrRoad_act!T23=0,0,T37/TrRoad_act!T23*1000)</f>
        <v>0</v>
      </c>
      <c r="U101" s="87">
        <f>IF(TrRoad_act!U23=0,0,U37/TrRoad_act!U23*1000)</f>
        <v>0</v>
      </c>
      <c r="V101" s="87">
        <f>IF(TrRoad_act!V23=0,0,V37/TrRoad_act!V23*1000)</f>
        <v>0</v>
      </c>
      <c r="W101" s="87">
        <f>IF(TrRoad_act!W23=0,0,W37/TrRoad_act!W23*1000)</f>
        <v>0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0</v>
      </c>
      <c r="L102" s="87">
        <f>IF(TrRoad_act!L24=0,0,L38/TrRoad_act!L24*1000)</f>
        <v>0</v>
      </c>
      <c r="M102" s="87">
        <f>IF(TrRoad_act!M24=0,0,M38/TrRoad_act!M24*1000)</f>
        <v>0</v>
      </c>
      <c r="N102" s="87">
        <f>IF(TrRoad_act!N24=0,0,N38/TrRoad_act!N24*1000)</f>
        <v>0</v>
      </c>
      <c r="O102" s="87">
        <f>IF(TrRoad_act!O24=0,0,O38/TrRoad_act!O24*1000)</f>
        <v>0</v>
      </c>
      <c r="P102" s="87">
        <f>IF(TrRoad_act!P24=0,0,P38/TrRoad_act!P24*1000)</f>
        <v>0</v>
      </c>
      <c r="Q102" s="87">
        <f>IF(TrRoad_act!Q24=0,0,Q38/TrRoad_act!Q24*1000)</f>
        <v>0</v>
      </c>
      <c r="R102" s="87">
        <f>IF(TrRoad_act!R24=0,0,R38/TrRoad_act!R24*1000)</f>
        <v>0</v>
      </c>
      <c r="S102" s="87">
        <f>IF(TrRoad_act!S24=0,0,S38/TrRoad_act!S24*1000)</f>
        <v>0</v>
      </c>
      <c r="T102" s="87">
        <f>IF(TrRoad_act!T24=0,0,T38/TrRoad_act!T24*1000)</f>
        <v>0</v>
      </c>
      <c r="U102" s="87">
        <f>IF(TrRoad_act!U24=0,0,U38/TrRoad_act!U24*1000)</f>
        <v>0</v>
      </c>
      <c r="V102" s="87">
        <f>IF(TrRoad_act!V24=0,0,V38/TrRoad_act!V24*1000)</f>
        <v>0</v>
      </c>
      <c r="W102" s="87">
        <f>IF(TrRoad_act!W24=0,0,W38/TrRoad_act!W24*1000)</f>
        <v>0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114.87501465190752</v>
      </c>
      <c r="C104" s="116">
        <f>IF(TrRoad_act!C26=0,0,C40/TrRoad_act!C26*1000)</f>
        <v>114.8285154228824</v>
      </c>
      <c r="D104" s="116">
        <f>IF(TrRoad_act!D26=0,0,D40/TrRoad_act!D26*1000)</f>
        <v>108.30234032521074</v>
      </c>
      <c r="E104" s="116">
        <f>IF(TrRoad_act!E26=0,0,E40/TrRoad_act!E26*1000)</f>
        <v>110.61723669224449</v>
      </c>
      <c r="F104" s="116">
        <f>IF(TrRoad_act!F26=0,0,F40/TrRoad_act!F26*1000)</f>
        <v>121.12103775404097</v>
      </c>
      <c r="G104" s="116">
        <f>IF(TrRoad_act!G26=0,0,G40/TrRoad_act!G26*1000)</f>
        <v>115.82200932588248</v>
      </c>
      <c r="H104" s="116">
        <f>IF(TrRoad_act!H26=0,0,H40/TrRoad_act!H26*1000)</f>
        <v>113.29753119580967</v>
      </c>
      <c r="I104" s="116">
        <f>IF(TrRoad_act!I26=0,0,I40/TrRoad_act!I26*1000)</f>
        <v>117.78651493606566</v>
      </c>
      <c r="J104" s="116">
        <f>IF(TrRoad_act!J26=0,0,J40/TrRoad_act!J26*1000)</f>
        <v>111.62543065390979</v>
      </c>
      <c r="K104" s="116">
        <f>IF(TrRoad_act!K26=0,0,K40/TrRoad_act!K26*1000)</f>
        <v>120.95482900260509</v>
      </c>
      <c r="L104" s="116">
        <f>IF(TrRoad_act!L26=0,0,L40/TrRoad_act!L26*1000)</f>
        <v>122.1147343075812</v>
      </c>
      <c r="M104" s="116">
        <f>IF(TrRoad_act!M26=0,0,M40/TrRoad_act!M26*1000)</f>
        <v>117.87021620728078</v>
      </c>
      <c r="N104" s="116">
        <f>IF(TrRoad_act!N26=0,0,N40/TrRoad_act!N26*1000)</f>
        <v>101.77706000461549</v>
      </c>
      <c r="O104" s="116">
        <f>IF(TrRoad_act!O26=0,0,O40/TrRoad_act!O26*1000)</f>
        <v>95.418475175825009</v>
      </c>
      <c r="P104" s="116">
        <f>IF(TrRoad_act!P26=0,0,P40/TrRoad_act!P26*1000)</f>
        <v>97.570073651372667</v>
      </c>
      <c r="Q104" s="116">
        <f>IF(TrRoad_act!Q26=0,0,Q40/TrRoad_act!Q26*1000)</f>
        <v>96.370580503831704</v>
      </c>
      <c r="R104" s="116">
        <f>IF(TrRoad_act!R26=0,0,R40/TrRoad_act!R26*1000)</f>
        <v>105.66865326536362</v>
      </c>
      <c r="S104" s="116">
        <f>IF(TrRoad_act!S26=0,0,S40/TrRoad_act!S26*1000)</f>
        <v>106.14267755179992</v>
      </c>
      <c r="T104" s="116">
        <f>IF(TrRoad_act!T26=0,0,T40/TrRoad_act!T26*1000)</f>
        <v>102.86420111067574</v>
      </c>
      <c r="U104" s="116">
        <f>IF(TrRoad_act!U26=0,0,U40/TrRoad_act!U26*1000)</f>
        <v>111.43707295192537</v>
      </c>
      <c r="V104" s="116">
        <f>IF(TrRoad_act!V26=0,0,V40/TrRoad_act!V26*1000)</f>
        <v>99.716785318126909</v>
      </c>
      <c r="W104" s="116">
        <f>IF(TrRoad_act!W26=0,0,W40/TrRoad_act!W26*1000)</f>
        <v>99.461938282608571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114.87501465190752</v>
      </c>
      <c r="C105" s="101">
        <f>IF(TrRoad_act!C27=0,0,C41/TrRoad_act!C27*1000)</f>
        <v>114.8285154228824</v>
      </c>
      <c r="D105" s="101">
        <f>IF(TrRoad_act!D27=0,0,D41/TrRoad_act!D27*1000)</f>
        <v>108.30234032521074</v>
      </c>
      <c r="E105" s="101">
        <f>IF(TrRoad_act!E27=0,0,E41/TrRoad_act!E27*1000)</f>
        <v>110.61723669224449</v>
      </c>
      <c r="F105" s="101">
        <f>IF(TrRoad_act!F27=0,0,F41/TrRoad_act!F27*1000)</f>
        <v>121.12103775404097</v>
      </c>
      <c r="G105" s="101">
        <f>IF(TrRoad_act!G27=0,0,G41/TrRoad_act!G27*1000)</f>
        <v>115.82200932588248</v>
      </c>
      <c r="H105" s="101">
        <f>IF(TrRoad_act!H27=0,0,H41/TrRoad_act!H27*1000)</f>
        <v>113.29753119580967</v>
      </c>
      <c r="I105" s="101">
        <f>IF(TrRoad_act!I27=0,0,I41/TrRoad_act!I27*1000)</f>
        <v>117.78651493606566</v>
      </c>
      <c r="J105" s="101">
        <f>IF(TrRoad_act!J27=0,0,J41/TrRoad_act!J27*1000)</f>
        <v>111.62543065390979</v>
      </c>
      <c r="K105" s="101">
        <f>IF(TrRoad_act!K27=0,0,K41/TrRoad_act!K27*1000)</f>
        <v>120.95482900260509</v>
      </c>
      <c r="L105" s="101">
        <f>IF(TrRoad_act!L27=0,0,L41/TrRoad_act!L27*1000)</f>
        <v>122.1147343075812</v>
      </c>
      <c r="M105" s="101">
        <f>IF(TrRoad_act!M27=0,0,M41/TrRoad_act!M27*1000)</f>
        <v>117.87021620728078</v>
      </c>
      <c r="N105" s="101">
        <f>IF(TrRoad_act!N27=0,0,N41/TrRoad_act!N27*1000)</f>
        <v>101.77706000461549</v>
      </c>
      <c r="O105" s="101">
        <f>IF(TrRoad_act!O27=0,0,O41/TrRoad_act!O27*1000)</f>
        <v>95.418475175825009</v>
      </c>
      <c r="P105" s="101">
        <f>IF(TrRoad_act!P27=0,0,P41/TrRoad_act!P27*1000)</f>
        <v>97.570073651372667</v>
      </c>
      <c r="Q105" s="101">
        <f>IF(TrRoad_act!Q27=0,0,Q41/TrRoad_act!Q27*1000)</f>
        <v>96.370580503831704</v>
      </c>
      <c r="R105" s="101">
        <f>IF(TrRoad_act!R27=0,0,R41/TrRoad_act!R27*1000)</f>
        <v>105.66865326536362</v>
      </c>
      <c r="S105" s="101">
        <f>IF(TrRoad_act!S27=0,0,S41/TrRoad_act!S27*1000)</f>
        <v>106.14267755179992</v>
      </c>
      <c r="T105" s="101">
        <f>IF(TrRoad_act!T27=0,0,T41/TrRoad_act!T27*1000)</f>
        <v>102.86420111067574</v>
      </c>
      <c r="U105" s="101">
        <f>IF(TrRoad_act!U27=0,0,U41/TrRoad_act!U27*1000)</f>
        <v>111.43707295192537</v>
      </c>
      <c r="V105" s="101">
        <f>IF(TrRoad_act!V27=0,0,V41/TrRoad_act!V27*1000)</f>
        <v>99.716785318126909</v>
      </c>
      <c r="W105" s="101">
        <f>IF(TrRoad_act!W27=0,0,W41/TrRoad_act!W27*1000)</f>
        <v>99.461938282608571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0</v>
      </c>
      <c r="C106" s="88">
        <f>IF(TrRoad_act!C28=0,0,C42/TrRoad_act!C28*1000)</f>
        <v>0</v>
      </c>
      <c r="D106" s="88">
        <f>IF(TrRoad_act!D28=0,0,D42/TrRoad_act!D28*1000)</f>
        <v>0</v>
      </c>
      <c r="E106" s="88">
        <f>IF(TrRoad_act!E28=0,0,E42/TrRoad_act!E28*1000)</f>
        <v>0</v>
      </c>
      <c r="F106" s="88">
        <f>IF(TrRoad_act!F28=0,0,F42/TrRoad_act!F28*1000)</f>
        <v>0</v>
      </c>
      <c r="G106" s="88">
        <f>IF(TrRoad_act!G28=0,0,G42/TrRoad_act!G28*1000)</f>
        <v>0</v>
      </c>
      <c r="H106" s="88">
        <f>IF(TrRoad_act!H28=0,0,H42/TrRoad_act!H28*1000)</f>
        <v>0</v>
      </c>
      <c r="I106" s="88">
        <f>IF(TrRoad_act!I28=0,0,I42/TrRoad_act!I28*1000)</f>
        <v>0</v>
      </c>
      <c r="J106" s="88">
        <f>IF(TrRoad_act!J28=0,0,J42/TrRoad_act!J28*1000)</f>
        <v>0</v>
      </c>
      <c r="K106" s="88">
        <f>IF(TrRoad_act!K28=0,0,K42/TrRoad_act!K28*1000)</f>
        <v>0</v>
      </c>
      <c r="L106" s="88">
        <f>IF(TrRoad_act!L28=0,0,L42/TrRoad_act!L28*1000)</f>
        <v>0</v>
      </c>
      <c r="M106" s="88">
        <f>IF(TrRoad_act!M28=0,0,M42/TrRoad_act!M28*1000)</f>
        <v>0</v>
      </c>
      <c r="N106" s="88">
        <f>IF(TrRoad_act!N28=0,0,N42/TrRoad_act!N28*1000)</f>
        <v>0</v>
      </c>
      <c r="O106" s="88">
        <f>IF(TrRoad_act!O28=0,0,O42/TrRoad_act!O28*1000)</f>
        <v>0</v>
      </c>
      <c r="P106" s="88">
        <f>IF(TrRoad_act!P28=0,0,P42/TrRoad_act!P28*1000)</f>
        <v>0</v>
      </c>
      <c r="Q106" s="88">
        <f>IF(TrRoad_act!Q28=0,0,Q42/TrRoad_act!Q28*1000)</f>
        <v>0</v>
      </c>
      <c r="R106" s="88">
        <f>IF(TrRoad_act!R28=0,0,R42/TrRoad_act!R28*1000)</f>
        <v>0</v>
      </c>
      <c r="S106" s="88">
        <f>IF(TrRoad_act!S28=0,0,S42/TrRoad_act!S28*1000)</f>
        <v>0</v>
      </c>
      <c r="T106" s="88">
        <f>IF(TrRoad_act!T28=0,0,T42/TrRoad_act!T28*1000)</f>
        <v>0</v>
      </c>
      <c r="U106" s="88">
        <f>IF(TrRoad_act!U28=0,0,U42/TrRoad_act!U28*1000)</f>
        <v>0</v>
      </c>
      <c r="V106" s="88">
        <f>IF(TrRoad_act!V28=0,0,V42/TrRoad_act!V28*1000)</f>
        <v>0</v>
      </c>
      <c r="W106" s="88">
        <f>IF(TrRoad_act!W28=0,0,W42/TrRoad_act!W28*1000)</f>
        <v>0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390.9705954915861</v>
      </c>
      <c r="C110" s="152">
        <f>IF(C19=0,0,1000000*C19/TrRoad_act!C59)</f>
        <v>393.88963947433064</v>
      </c>
      <c r="D110" s="152">
        <f>IF(D19=0,0,1000000*D19/TrRoad_act!D59)</f>
        <v>399.40694862691714</v>
      </c>
      <c r="E110" s="152">
        <f>IF(E19=0,0,1000000*E19/TrRoad_act!E59)</f>
        <v>391.60417700265407</v>
      </c>
      <c r="F110" s="152">
        <f>IF(F19=0,0,1000000*F19/TrRoad_act!F59)</f>
        <v>389.72865714885046</v>
      </c>
      <c r="G110" s="152">
        <f>IF(G19=0,0,1000000*G19/TrRoad_act!G59)</f>
        <v>391.6021847394702</v>
      </c>
      <c r="H110" s="152">
        <f>IF(H19=0,0,1000000*H19/TrRoad_act!H59)</f>
        <v>388.50552583960888</v>
      </c>
      <c r="I110" s="152">
        <f>IF(I19=0,0,1000000*I19/TrRoad_act!I59)</f>
        <v>381.04055996819102</v>
      </c>
      <c r="J110" s="152">
        <f>IF(J19=0,0,1000000*J19/TrRoad_act!J59)</f>
        <v>368.33475832882965</v>
      </c>
      <c r="K110" s="152">
        <f>IF(K19=0,0,1000000*K19/TrRoad_act!K59)</f>
        <v>366.50659689522752</v>
      </c>
      <c r="L110" s="152">
        <f>IF(L19=0,0,1000000*L19/TrRoad_act!L59)</f>
        <v>375.59011390805676</v>
      </c>
      <c r="M110" s="152">
        <f>IF(M19=0,0,1000000*M19/TrRoad_act!M59)</f>
        <v>373.41385996618902</v>
      </c>
      <c r="N110" s="152">
        <f>IF(N19=0,0,1000000*N19/TrRoad_act!N59)</f>
        <v>366.10305554707105</v>
      </c>
      <c r="O110" s="152">
        <f>IF(O19=0,0,1000000*O19/TrRoad_act!O59)</f>
        <v>367.0805834775544</v>
      </c>
      <c r="P110" s="152">
        <f>IF(P19=0,0,1000000*P19/TrRoad_act!P59)</f>
        <v>360.4205306786759</v>
      </c>
      <c r="Q110" s="152">
        <f>IF(Q19=0,0,1000000*Q19/TrRoad_act!Q59)</f>
        <v>365.6508353636649</v>
      </c>
      <c r="R110" s="152">
        <f>IF(R19=0,0,1000000*R19/TrRoad_act!R59)</f>
        <v>360.26548360888989</v>
      </c>
      <c r="S110" s="152">
        <f>IF(S19=0,0,1000000*S19/TrRoad_act!S59)</f>
        <v>334.49053845355871</v>
      </c>
      <c r="T110" s="152">
        <f>IF(T19=0,0,1000000*T19/TrRoad_act!T59)</f>
        <v>312.10082980540216</v>
      </c>
      <c r="U110" s="152">
        <f>IF(U19=0,0,1000000*U19/TrRoad_act!U59)</f>
        <v>324.45063575940554</v>
      </c>
      <c r="V110" s="152">
        <f>IF(V19=0,0,1000000*V19/TrRoad_act!V59)</f>
        <v>282.45827862779618</v>
      </c>
      <c r="W110" s="152">
        <f>IF(W19=0,0,1000000*W19/TrRoad_act!W59)</f>
        <v>270.88003730842831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2816.7065383885929</v>
      </c>
      <c r="C111" s="116">
        <f>IF(C20=0,0,1000000*C20/TrRoad_act!C60)</f>
        <v>2854.4303812736607</v>
      </c>
      <c r="D111" s="116">
        <f>IF(D20=0,0,1000000*D20/TrRoad_act!D60)</f>
        <v>2839.7061591686011</v>
      </c>
      <c r="E111" s="116">
        <f>IF(E20=0,0,1000000*E20/TrRoad_act!E60)</f>
        <v>2930.2621700175187</v>
      </c>
      <c r="F111" s="116">
        <f>IF(F20=0,0,1000000*F20/TrRoad_act!F60)</f>
        <v>2956.2766113594507</v>
      </c>
      <c r="G111" s="116">
        <f>IF(G20=0,0,1000000*G20/TrRoad_act!G60)</f>
        <v>2942.025977324005</v>
      </c>
      <c r="H111" s="116">
        <f>IF(H20=0,0,1000000*H20/TrRoad_act!H60)</f>
        <v>2955.3521133874142</v>
      </c>
      <c r="I111" s="116">
        <f>IF(I20=0,0,1000000*I20/TrRoad_act!I60)</f>
        <v>2930.0232399712777</v>
      </c>
      <c r="J111" s="116">
        <f>IF(J20=0,0,1000000*J20/TrRoad_act!J60)</f>
        <v>2855.7284906660739</v>
      </c>
      <c r="K111" s="116">
        <f>IF(K20=0,0,1000000*K20/TrRoad_act!K60)</f>
        <v>2853.3700023488177</v>
      </c>
      <c r="L111" s="116">
        <f>IF(L20=0,0,1000000*L20/TrRoad_act!L60)</f>
        <v>2901.6073669451312</v>
      </c>
      <c r="M111" s="116">
        <f>IF(M20=0,0,1000000*M20/TrRoad_act!M60)</f>
        <v>2812.0933453219577</v>
      </c>
      <c r="N111" s="116">
        <f>IF(N20=0,0,1000000*N20/TrRoad_act!N60)</f>
        <v>2633.563650506544</v>
      </c>
      <c r="O111" s="116">
        <f>IF(O20=0,0,1000000*O20/TrRoad_act!O60)</f>
        <v>2459.6835385046561</v>
      </c>
      <c r="P111" s="116">
        <f>IF(P20=0,0,1000000*P20/TrRoad_act!P60)</f>
        <v>2401.6705212470588</v>
      </c>
      <c r="Q111" s="116">
        <f>IF(Q20=0,0,1000000*Q20/TrRoad_act!Q60)</f>
        <v>2419.0773531805012</v>
      </c>
      <c r="R111" s="116">
        <f>IF(R20=0,0,1000000*R20/TrRoad_act!R60)</f>
        <v>2429.8777346012253</v>
      </c>
      <c r="S111" s="116">
        <f>IF(S20=0,0,1000000*S20/TrRoad_act!S60)</f>
        <v>2385.2486201838437</v>
      </c>
      <c r="T111" s="116">
        <f>IF(T20=0,0,1000000*T20/TrRoad_act!T60)</f>
        <v>2281.8348826073179</v>
      </c>
      <c r="U111" s="116">
        <f>IF(U20=0,0,1000000*U20/TrRoad_act!U60)</f>
        <v>2228.4892647755628</v>
      </c>
      <c r="V111" s="116">
        <f>IF(V20=0,0,1000000*V20/TrRoad_act!V60)</f>
        <v>1927.84847535429</v>
      </c>
      <c r="W111" s="116">
        <f>IF(W20=0,0,1000000*W20/TrRoad_act!W60)</f>
        <v>2031.2658179889831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2496.5597864719216</v>
      </c>
      <c r="C112" s="87">
        <f>IF(C21=0,0,1000000*C21/TrRoad_act!C61)</f>
        <v>2550.5881976249429</v>
      </c>
      <c r="D112" s="87">
        <f>IF(D21=0,0,1000000*D21/TrRoad_act!D61)</f>
        <v>2589.5076069552301</v>
      </c>
      <c r="E112" s="87">
        <f>IF(E21=0,0,1000000*E21/TrRoad_act!E61)</f>
        <v>2711.2396926844963</v>
      </c>
      <c r="F112" s="87">
        <f>IF(F21=0,0,1000000*F21/TrRoad_act!F61)</f>
        <v>2734.1383037120181</v>
      </c>
      <c r="G112" s="87">
        <f>IF(G21=0,0,1000000*G21/TrRoad_act!G61)</f>
        <v>2777.6722499297834</v>
      </c>
      <c r="H112" s="87">
        <f>IF(H21=0,0,1000000*H21/TrRoad_act!H61)</f>
        <v>2810.5387216341178</v>
      </c>
      <c r="I112" s="87">
        <f>IF(I21=0,0,1000000*I21/TrRoad_act!I61)</f>
        <v>2791.3575137273269</v>
      </c>
      <c r="J112" s="87">
        <f>IF(J21=0,0,1000000*J21/TrRoad_act!J61)</f>
        <v>2753.7091299047306</v>
      </c>
      <c r="K112" s="87">
        <f>IF(K21=0,0,1000000*K21/TrRoad_act!K61)</f>
        <v>2743.1163609742484</v>
      </c>
      <c r="L112" s="87">
        <f>IF(L21=0,0,1000000*L21/TrRoad_act!L61)</f>
        <v>2797.9078384865361</v>
      </c>
      <c r="M112" s="87">
        <f>IF(M21=0,0,1000000*M21/TrRoad_act!M61)</f>
        <v>2729.7095078880525</v>
      </c>
      <c r="N112" s="87">
        <f>IF(N21=0,0,1000000*N21/TrRoad_act!N61)</f>
        <v>2606.1149137321245</v>
      </c>
      <c r="O112" s="87">
        <f>IF(O21=0,0,1000000*O21/TrRoad_act!O61)</f>
        <v>2457.0705577291446</v>
      </c>
      <c r="P112" s="87">
        <f>IF(P21=0,0,1000000*P21/TrRoad_act!P61)</f>
        <v>2406.0981993016471</v>
      </c>
      <c r="Q112" s="87">
        <f>IF(Q21=0,0,1000000*Q21/TrRoad_act!Q61)</f>
        <v>2416.5637776068684</v>
      </c>
      <c r="R112" s="87">
        <f>IF(R21=0,0,1000000*R21/TrRoad_act!R61)</f>
        <v>2422.2593762401048</v>
      </c>
      <c r="S112" s="87">
        <f>IF(S21=0,0,1000000*S21/TrRoad_act!S61)</f>
        <v>2375.5965406613382</v>
      </c>
      <c r="T112" s="87">
        <f>IF(T21=0,0,1000000*T21/TrRoad_act!T61)</f>
        <v>2271.5068186198528</v>
      </c>
      <c r="U112" s="87">
        <f>IF(U21=0,0,1000000*U21/TrRoad_act!U61)</f>
        <v>2203.5374088228027</v>
      </c>
      <c r="V112" s="87">
        <f>IF(V21=0,0,1000000*V21/TrRoad_act!V61)</f>
        <v>1873.9718225137719</v>
      </c>
      <c r="W112" s="87">
        <f>IF(W21=0,0,1000000*W21/TrRoad_act!W61)</f>
        <v>1980.1764885822076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5345.8658785302969</v>
      </c>
      <c r="C113" s="87">
        <f>IF(C22=0,0,1000000*C22/TrRoad_act!C62)</f>
        <v>5136.7233300459384</v>
      </c>
      <c r="D113" s="87">
        <f>IF(D22=0,0,1000000*D22/TrRoad_act!D62)</f>
        <v>4757.6437879896721</v>
      </c>
      <c r="E113" s="87">
        <f>IF(E22=0,0,1000000*E22/TrRoad_act!E62)</f>
        <v>4681.5756950551768</v>
      </c>
      <c r="F113" s="87">
        <f>IF(F22=0,0,1000000*F22/TrRoad_act!F62)</f>
        <v>4939.9716986510248</v>
      </c>
      <c r="G113" s="87">
        <f>IF(G22=0,0,1000000*G22/TrRoad_act!G62)</f>
        <v>4542.5900517627961</v>
      </c>
      <c r="H113" s="87">
        <f>IF(H22=0,0,1000000*H22/TrRoad_act!H62)</f>
        <v>4477.1260939550793</v>
      </c>
      <c r="I113" s="87">
        <f>IF(I22=0,0,1000000*I22/TrRoad_act!I62)</f>
        <v>4392.0412093306904</v>
      </c>
      <c r="J113" s="87">
        <f>IF(J22=0,0,1000000*J22/TrRoad_act!J62)</f>
        <v>3877.922030590199</v>
      </c>
      <c r="K113" s="87">
        <f>IF(K22=0,0,1000000*K22/TrRoad_act!K62)</f>
        <v>3899.6858242320554</v>
      </c>
      <c r="L113" s="87">
        <f>IF(L22=0,0,1000000*L22/TrRoad_act!L62)</f>
        <v>3836.3216353010816</v>
      </c>
      <c r="M113" s="87">
        <f>IF(M22=0,0,1000000*M22/TrRoad_act!M62)</f>
        <v>3535.0297847800066</v>
      </c>
      <c r="N113" s="87">
        <f>IF(N22=0,0,1000000*N22/TrRoad_act!N62)</f>
        <v>2871.1171734023419</v>
      </c>
      <c r="O113" s="87">
        <f>IF(O22=0,0,1000000*O22/TrRoad_act!O62)</f>
        <v>2481.9276771936043</v>
      </c>
      <c r="P113" s="87">
        <f>IF(P22=0,0,1000000*P22/TrRoad_act!P62)</f>
        <v>2368.2414335302237</v>
      </c>
      <c r="Q113" s="87">
        <f>IF(Q22=0,0,1000000*Q22/TrRoad_act!Q62)</f>
        <v>2438.5647554554166</v>
      </c>
      <c r="R113" s="87">
        <f>IF(R22=0,0,1000000*R22/TrRoad_act!R62)</f>
        <v>2479.6611216815727</v>
      </c>
      <c r="S113" s="87">
        <f>IF(S22=0,0,1000000*S22/TrRoad_act!S62)</f>
        <v>2440.9119916876657</v>
      </c>
      <c r="T113" s="87">
        <f>IF(T22=0,0,1000000*T22/TrRoad_act!T62)</f>
        <v>2342.9076992076943</v>
      </c>
      <c r="U113" s="87">
        <f>IF(U22=0,0,1000000*U22/TrRoad_act!U62)</f>
        <v>2341.0586642527619</v>
      </c>
      <c r="V113" s="87">
        <f>IF(V22=0,0,1000000*V22/TrRoad_act!V62)</f>
        <v>2136.9579485661648</v>
      </c>
      <c r="W113" s="87">
        <f>IF(W22=0,0,1000000*W22/TrRoad_act!W62)</f>
        <v>2226.7446362582386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0</v>
      </c>
      <c r="C114" s="87">
        <f>IF(C23=0,0,1000000*C23/TrRoad_act!C63)</f>
        <v>0</v>
      </c>
      <c r="D114" s="87">
        <f>IF(D23=0,0,1000000*D23/TrRoad_act!D63)</f>
        <v>0</v>
      </c>
      <c r="E114" s="87">
        <f>IF(E23=0,0,1000000*E23/TrRoad_act!E63)</f>
        <v>0</v>
      </c>
      <c r="F114" s="87">
        <f>IF(F23=0,0,1000000*F23/TrRoad_act!F63)</f>
        <v>0</v>
      </c>
      <c r="G114" s="87">
        <f>IF(G23=0,0,1000000*G23/TrRoad_act!G63)</f>
        <v>0</v>
      </c>
      <c r="H114" s="87">
        <f>IF(H23=0,0,1000000*H23/TrRoad_act!H63)</f>
        <v>0</v>
      </c>
      <c r="I114" s="87">
        <f>IF(I23=0,0,1000000*I23/TrRoad_act!I63)</f>
        <v>0</v>
      </c>
      <c r="J114" s="87">
        <f>IF(J23=0,0,1000000*J23/TrRoad_act!J63)</f>
        <v>0</v>
      </c>
      <c r="K114" s="87">
        <f>IF(K23=0,0,1000000*K23/TrRoad_act!K63)</f>
        <v>0</v>
      </c>
      <c r="L114" s="87">
        <f>IF(L23=0,0,1000000*L23/TrRoad_act!L63)</f>
        <v>0</v>
      </c>
      <c r="M114" s="87">
        <f>IF(M23=0,0,1000000*M23/TrRoad_act!M63)</f>
        <v>0</v>
      </c>
      <c r="N114" s="87">
        <f>IF(N23=0,0,1000000*N23/TrRoad_act!N63)</f>
        <v>0</v>
      </c>
      <c r="O114" s="87">
        <f>IF(O23=0,0,1000000*O23/TrRoad_act!O63)</f>
        <v>0</v>
      </c>
      <c r="P114" s="87">
        <f>IF(P23=0,0,1000000*P23/TrRoad_act!P63)</f>
        <v>0</v>
      </c>
      <c r="Q114" s="87">
        <f>IF(Q23=0,0,1000000*Q23/TrRoad_act!Q63)</f>
        <v>0</v>
      </c>
      <c r="R114" s="87">
        <f>IF(R23=0,0,1000000*R23/TrRoad_act!R63)</f>
        <v>0</v>
      </c>
      <c r="S114" s="87">
        <f>IF(S23=0,0,1000000*S23/TrRoad_act!S63)</f>
        <v>0</v>
      </c>
      <c r="T114" s="87">
        <f>IF(T23=0,0,1000000*T23/TrRoad_act!T63)</f>
        <v>1385.4368842105264</v>
      </c>
      <c r="U114" s="87">
        <f>IF(U23=0,0,1000000*U23/TrRoad_act!U63)</f>
        <v>1545.7239087947885</v>
      </c>
      <c r="V114" s="87">
        <f>IF(V23=0,0,1000000*V23/TrRoad_act!V63)</f>
        <v>1330.4723128491619</v>
      </c>
      <c r="W114" s="87">
        <f>IF(W23=0,0,1000000*W23/TrRoad_act!W63)</f>
        <v>1544.6880000000003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0</v>
      </c>
      <c r="I115" s="87">
        <f>IF(I24=0,0,1000000*I24/TrRoad_act!I64)</f>
        <v>0</v>
      </c>
      <c r="J115" s="87">
        <f>IF(J24=0,0,1000000*J24/TrRoad_act!J64)</f>
        <v>0</v>
      </c>
      <c r="K115" s="87">
        <f>IF(K24=0,0,1000000*K24/TrRoad_act!K64)</f>
        <v>0</v>
      </c>
      <c r="L115" s="87">
        <f>IF(L24=0,0,1000000*L24/TrRoad_act!L64)</f>
        <v>0</v>
      </c>
      <c r="M115" s="87">
        <f>IF(M24=0,0,1000000*M24/TrRoad_act!M64)</f>
        <v>0</v>
      </c>
      <c r="N115" s="87">
        <f>IF(N24=0,0,1000000*N24/TrRoad_act!N64)</f>
        <v>0</v>
      </c>
      <c r="O115" s="87">
        <f>IF(O24=0,0,1000000*O24/TrRoad_act!O64)</f>
        <v>0</v>
      </c>
      <c r="P115" s="87">
        <f>IF(P24=0,0,1000000*P24/TrRoad_act!P64)</f>
        <v>0</v>
      </c>
      <c r="Q115" s="87">
        <f>IF(Q24=0,0,1000000*Q24/TrRoad_act!Q64)</f>
        <v>0</v>
      </c>
      <c r="R115" s="87">
        <f>IF(R24=0,0,1000000*R24/TrRoad_act!R64)</f>
        <v>0</v>
      </c>
      <c r="S115" s="87">
        <f>IF(S24=0,0,1000000*S24/TrRoad_act!S64)</f>
        <v>0</v>
      </c>
      <c r="T115" s="87">
        <f>IF(T24=0,0,1000000*T24/TrRoad_act!T64)</f>
        <v>0</v>
      </c>
      <c r="U115" s="87">
        <f>IF(U24=0,0,1000000*U24/TrRoad_act!U64)</f>
        <v>0</v>
      </c>
      <c r="V115" s="87">
        <f>IF(V24=0,0,1000000*V24/TrRoad_act!V64)</f>
        <v>0</v>
      </c>
      <c r="W115" s="87">
        <f>IF(W24=0,0,1000000*W24/TrRoad_act!W64)</f>
        <v>0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0</v>
      </c>
      <c r="O116" s="87">
        <f>IF(O25=0,0,1000000*O25/TrRoad_act!O65)</f>
        <v>0</v>
      </c>
      <c r="P116" s="87">
        <f>IF(P25=0,0,1000000*P25/TrRoad_act!P65)</f>
        <v>629.56491172541007</v>
      </c>
      <c r="Q116" s="87">
        <f>IF(Q25=0,0,1000000*Q25/TrRoad_act!Q65)</f>
        <v>637.98824083378508</v>
      </c>
      <c r="R116" s="87">
        <f>IF(R25=0,0,1000000*R25/TrRoad_act!R65)</f>
        <v>846.94773265548417</v>
      </c>
      <c r="S116" s="87">
        <f>IF(S25=0,0,1000000*S25/TrRoad_act!S65)</f>
        <v>834.62297479737026</v>
      </c>
      <c r="T116" s="87">
        <f>IF(T25=0,0,1000000*T25/TrRoad_act!T65)</f>
        <v>782.31231378838356</v>
      </c>
      <c r="U116" s="87">
        <f>IF(U25=0,0,1000000*U25/TrRoad_act!U65)</f>
        <v>747.94541875618438</v>
      </c>
      <c r="V116" s="87">
        <f>IF(V25=0,0,1000000*V25/TrRoad_act!V65)</f>
        <v>719.41847137666309</v>
      </c>
      <c r="W116" s="87">
        <f>IF(W25=0,0,1000000*W25/TrRoad_act!W65)</f>
        <v>632.16032272013024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95233.158859835792</v>
      </c>
      <c r="C118" s="116">
        <f>IF(C27=0,0,1000000*C27/TrRoad_act!C67)</f>
        <v>95361.042042922825</v>
      </c>
      <c r="D118" s="116">
        <f>IF(D27=0,0,1000000*D27/TrRoad_act!D67)</f>
        <v>93102.1004450209</v>
      </c>
      <c r="E118" s="116">
        <f>IF(E27=0,0,1000000*E27/TrRoad_act!E67)</f>
        <v>91401.784185863246</v>
      </c>
      <c r="F118" s="116">
        <f>IF(F27=0,0,1000000*F27/TrRoad_act!F67)</f>
        <v>98544.886478614557</v>
      </c>
      <c r="G118" s="116">
        <f>IF(G27=0,0,1000000*G27/TrRoad_act!G67)</f>
        <v>91702.772065009805</v>
      </c>
      <c r="H118" s="116">
        <f>IF(H27=0,0,1000000*H27/TrRoad_act!H67)</f>
        <v>92921.650349652409</v>
      </c>
      <c r="I118" s="116">
        <f>IF(I27=0,0,1000000*I27/TrRoad_act!I67)</f>
        <v>95603.590721717788</v>
      </c>
      <c r="J118" s="116">
        <f>IF(J27=0,0,1000000*J27/TrRoad_act!J67)</f>
        <v>87781.193828988471</v>
      </c>
      <c r="K118" s="116">
        <f>IF(K27=0,0,1000000*K27/TrRoad_act!K67)</f>
        <v>87605.731991049339</v>
      </c>
      <c r="L118" s="116">
        <f>IF(L27=0,0,1000000*L27/TrRoad_act!L67)</f>
        <v>89305.145968999015</v>
      </c>
      <c r="M118" s="116">
        <f>IF(M27=0,0,1000000*M27/TrRoad_act!M67)</f>
        <v>86419.09784362225</v>
      </c>
      <c r="N118" s="116">
        <f>IF(N27=0,0,1000000*N27/TrRoad_act!N67)</f>
        <v>76091.086792945673</v>
      </c>
      <c r="O118" s="116">
        <f>IF(O27=0,0,1000000*O27/TrRoad_act!O67)</f>
        <v>69123.922014799085</v>
      </c>
      <c r="P118" s="116">
        <f>IF(P27=0,0,1000000*P27/TrRoad_act!P67)</f>
        <v>71219.102901623643</v>
      </c>
      <c r="Q118" s="116">
        <f>IF(Q27=0,0,1000000*Q27/TrRoad_act!Q67)</f>
        <v>76778.564933702481</v>
      </c>
      <c r="R118" s="116">
        <f>IF(R27=0,0,1000000*R27/TrRoad_act!R67)</f>
        <v>80491.752376062082</v>
      </c>
      <c r="S118" s="116">
        <f>IF(S27=0,0,1000000*S27/TrRoad_act!S67)</f>
        <v>85751.192699222564</v>
      </c>
      <c r="T118" s="116">
        <f>IF(T27=0,0,1000000*T27/TrRoad_act!T67)</f>
        <v>88672.4246721768</v>
      </c>
      <c r="U118" s="116">
        <f>IF(U27=0,0,1000000*U27/TrRoad_act!U67)</f>
        <v>91258.592740791093</v>
      </c>
      <c r="V118" s="116">
        <f>IF(V27=0,0,1000000*V27/TrRoad_act!V67)</f>
        <v>90981.317714692108</v>
      </c>
      <c r="W118" s="116">
        <f>IF(W27=0,0,1000000*W27/TrRoad_act!W67)</f>
        <v>97045.799189018056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16173.678034980017</v>
      </c>
      <c r="C119" s="101">
        <f>IF(C28=0,0,1000000*C28/TrRoad_act!C68)</f>
        <v>16744.623160560001</v>
      </c>
      <c r="D119" s="101">
        <f>IF(D28=0,0,1000000*D28/TrRoad_act!D68)</f>
        <v>17156.092928263508</v>
      </c>
      <c r="E119" s="101">
        <f>IF(E28=0,0,1000000*E28/TrRoad_act!E68)</f>
        <v>17966.863296355281</v>
      </c>
      <c r="F119" s="101">
        <f>IF(F28=0,0,1000000*F28/TrRoad_act!F68)</f>
        <v>18285.854338185662</v>
      </c>
      <c r="G119" s="101">
        <f>IF(G28=0,0,1000000*G28/TrRoad_act!G68)</f>
        <v>18707.26626354465</v>
      </c>
      <c r="H119" s="101">
        <f>IF(H28=0,0,1000000*H28/TrRoad_act!H68)</f>
        <v>18995.741693827556</v>
      </c>
      <c r="I119" s="101">
        <f>IF(I28=0,0,1000000*I28/TrRoad_act!I68)</f>
        <v>19040.234779829745</v>
      </c>
      <c r="J119" s="101">
        <f>IF(J28=0,0,1000000*J28/TrRoad_act!J68)</f>
        <v>18932.542536526973</v>
      </c>
      <c r="K119" s="101">
        <f>IF(K28=0,0,1000000*K28/TrRoad_act!K68)</f>
        <v>18984.121387402971</v>
      </c>
      <c r="L119" s="101">
        <f>IF(L28=0,0,1000000*L28/TrRoad_act!L68)</f>
        <v>18994.311803875687</v>
      </c>
      <c r="M119" s="101">
        <f>IF(M28=0,0,1000000*M28/TrRoad_act!M68)</f>
        <v>18671.675621831808</v>
      </c>
      <c r="N119" s="101">
        <f>IF(N28=0,0,1000000*N28/TrRoad_act!N68)</f>
        <v>18320.745931324207</v>
      </c>
      <c r="O119" s="101">
        <f>IF(O28=0,0,1000000*O28/TrRoad_act!O68)</f>
        <v>17532.395325572092</v>
      </c>
      <c r="P119" s="101">
        <f>IF(P28=0,0,1000000*P28/TrRoad_act!P68)</f>
        <v>16961.900251425242</v>
      </c>
      <c r="Q119" s="101">
        <f>IF(Q28=0,0,1000000*Q28/TrRoad_act!Q68)</f>
        <v>17068.171826566188</v>
      </c>
      <c r="R119" s="101">
        <f>IF(R28=0,0,1000000*R28/TrRoad_act!R68)</f>
        <v>16071.442048715226</v>
      </c>
      <c r="S119" s="101">
        <f>IF(S28=0,0,1000000*S28/TrRoad_act!S68)</f>
        <v>16809.331207950625</v>
      </c>
      <c r="T119" s="101">
        <f>IF(T28=0,0,1000000*T28/TrRoad_act!T68)</f>
        <v>17265.302422355355</v>
      </c>
      <c r="U119" s="101">
        <f>IF(U28=0,0,1000000*U28/TrRoad_act!U68)</f>
        <v>16833.784725624133</v>
      </c>
      <c r="V119" s="101">
        <f>IF(V28=0,0,1000000*V28/TrRoad_act!V68)</f>
        <v>15586.070876211241</v>
      </c>
      <c r="W119" s="101">
        <f>IF(W28=0,0,1000000*W28/TrRoad_act!W68)</f>
        <v>16297.942769111889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99559.375085230247</v>
      </c>
      <c r="C120" s="101">
        <f>IF(C29=0,0,1000000*C29/TrRoad_act!C69)</f>
        <v>99523.412046862795</v>
      </c>
      <c r="D120" s="101">
        <f>IF(D29=0,0,1000000*D29/TrRoad_act!D69)</f>
        <v>96991.303215082837</v>
      </c>
      <c r="E120" s="101">
        <f>IF(E29=0,0,1000000*E29/TrRoad_act!E69)</f>
        <v>94852.849841476302</v>
      </c>
      <c r="F120" s="101">
        <f>IF(F29=0,0,1000000*F29/TrRoad_act!F69)</f>
        <v>102355.48230715487</v>
      </c>
      <c r="G120" s="101">
        <f>IF(G29=0,0,1000000*G29/TrRoad_act!G69)</f>
        <v>95123.322938882586</v>
      </c>
      <c r="H120" s="101">
        <f>IF(H29=0,0,1000000*H29/TrRoad_act!H69)</f>
        <v>96456.819045945929</v>
      </c>
      <c r="I120" s="101">
        <f>IF(I29=0,0,1000000*I29/TrRoad_act!I69)</f>
        <v>99156.753457736733</v>
      </c>
      <c r="J120" s="101">
        <f>IF(J29=0,0,1000000*J29/TrRoad_act!J69)</f>
        <v>90918.419684495777</v>
      </c>
      <c r="K120" s="101">
        <f>IF(K29=0,0,1000000*K29/TrRoad_act!K69)</f>
        <v>90623.019418082069</v>
      </c>
      <c r="L120" s="101">
        <f>IF(L29=0,0,1000000*L29/TrRoad_act!L69)</f>
        <v>92485.332373813813</v>
      </c>
      <c r="M120" s="101">
        <f>IF(M29=0,0,1000000*M29/TrRoad_act!M69)</f>
        <v>89471.62956311171</v>
      </c>
      <c r="N120" s="101">
        <f>IF(N29=0,0,1000000*N29/TrRoad_act!N69)</f>
        <v>78639.171263360739</v>
      </c>
      <c r="O120" s="101">
        <f>IF(O29=0,0,1000000*O29/TrRoad_act!O69)</f>
        <v>71409.787709342447</v>
      </c>
      <c r="P120" s="101">
        <f>IF(P29=0,0,1000000*P29/TrRoad_act!P69)</f>
        <v>72060.091475864159</v>
      </c>
      <c r="Q120" s="101">
        <f>IF(Q29=0,0,1000000*Q29/TrRoad_act!Q69)</f>
        <v>77567.305303210131</v>
      </c>
      <c r="R120" s="101">
        <f>IF(R29=0,0,1000000*R29/TrRoad_act!R69)</f>
        <v>81317.059682624749</v>
      </c>
      <c r="S120" s="101">
        <f>IF(S29=0,0,1000000*S29/TrRoad_act!S69)</f>
        <v>86647.255065874429</v>
      </c>
      <c r="T120" s="101">
        <f>IF(T29=0,0,1000000*T29/TrRoad_act!T69)</f>
        <v>89629.635280669958</v>
      </c>
      <c r="U120" s="101">
        <f>IF(U29=0,0,1000000*U29/TrRoad_act!U69)</f>
        <v>92265.156779489713</v>
      </c>
      <c r="V120" s="101">
        <f>IF(V29=0,0,1000000*V29/TrRoad_act!V69)</f>
        <v>92266.525926836854</v>
      </c>
      <c r="W120" s="101">
        <f>IF(W29=0,0,1000000*W29/TrRoad_act!W69)</f>
        <v>98334.320353366405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0</v>
      </c>
      <c r="M121" s="101">
        <f>IF(M30=0,0,1000000*M30/TrRoad_act!M70)</f>
        <v>0</v>
      </c>
      <c r="N121" s="101">
        <f>IF(N30=0,0,1000000*N30/TrRoad_act!N70)</f>
        <v>0</v>
      </c>
      <c r="O121" s="101">
        <f>IF(O30=0,0,1000000*O30/TrRoad_act!O70)</f>
        <v>0</v>
      </c>
      <c r="P121" s="101">
        <f>IF(P30=0,0,1000000*P30/TrRoad_act!P70)</f>
        <v>0</v>
      </c>
      <c r="Q121" s="101">
        <f>IF(Q30=0,0,1000000*Q30/TrRoad_act!Q70)</f>
        <v>0</v>
      </c>
      <c r="R121" s="101">
        <f>IF(R30=0,0,1000000*R30/TrRoad_act!R70)</f>
        <v>0</v>
      </c>
      <c r="S121" s="101">
        <f>IF(S30=0,0,1000000*S30/TrRoad_act!S70)</f>
        <v>0</v>
      </c>
      <c r="T121" s="101">
        <f>IF(T30=0,0,1000000*T30/TrRoad_act!T70)</f>
        <v>0</v>
      </c>
      <c r="U121" s="101">
        <f>IF(U30=0,0,1000000*U30/TrRoad_act!U70)</f>
        <v>0</v>
      </c>
      <c r="V121" s="101">
        <f>IF(V30=0,0,1000000*V30/TrRoad_act!V70)</f>
        <v>0</v>
      </c>
      <c r="W121" s="101">
        <f>IF(W30=0,0,1000000*W30/TrRoad_act!W70)</f>
        <v>0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0</v>
      </c>
      <c r="C122" s="101">
        <f>IF(C31=0,0,1000000*C31/TrRoad_act!C71)</f>
        <v>0</v>
      </c>
      <c r="D122" s="101">
        <f>IF(D31=0,0,1000000*D31/TrRoad_act!D71)</f>
        <v>0</v>
      </c>
      <c r="E122" s="101">
        <f>IF(E31=0,0,1000000*E31/TrRoad_act!E71)</f>
        <v>0</v>
      </c>
      <c r="F122" s="101">
        <f>IF(F31=0,0,1000000*F31/TrRoad_act!F71)</f>
        <v>0</v>
      </c>
      <c r="G122" s="101">
        <f>IF(G31=0,0,1000000*G31/TrRoad_act!G71)</f>
        <v>0</v>
      </c>
      <c r="H122" s="101">
        <f>IF(H31=0,0,1000000*H31/TrRoad_act!H71)</f>
        <v>0</v>
      </c>
      <c r="I122" s="101">
        <f>IF(I31=0,0,1000000*I31/TrRoad_act!I71)</f>
        <v>0</v>
      </c>
      <c r="J122" s="101">
        <f>IF(J31=0,0,1000000*J31/TrRoad_act!J71)</f>
        <v>0</v>
      </c>
      <c r="K122" s="101">
        <f>IF(K31=0,0,1000000*K31/TrRoad_act!K71)</f>
        <v>0</v>
      </c>
      <c r="L122" s="101">
        <f>IF(L31=0,0,1000000*L31/TrRoad_act!L71)</f>
        <v>0</v>
      </c>
      <c r="M122" s="101">
        <f>IF(M31=0,0,1000000*M31/TrRoad_act!M71)</f>
        <v>0</v>
      </c>
      <c r="N122" s="101">
        <f>IF(N31=0,0,1000000*N31/TrRoad_act!N71)</f>
        <v>0</v>
      </c>
      <c r="O122" s="101">
        <f>IF(O31=0,0,1000000*O31/TrRoad_act!O71)</f>
        <v>0</v>
      </c>
      <c r="P122" s="101">
        <f>IF(P31=0,0,1000000*P31/TrRoad_act!P71)</f>
        <v>0</v>
      </c>
      <c r="Q122" s="101">
        <f>IF(Q31=0,0,1000000*Q31/TrRoad_act!Q71)</f>
        <v>0</v>
      </c>
      <c r="R122" s="101">
        <f>IF(R31=0,0,1000000*R31/TrRoad_act!R71)</f>
        <v>0</v>
      </c>
      <c r="S122" s="101">
        <f>IF(S31=0,0,1000000*S31/TrRoad_act!S71)</f>
        <v>0</v>
      </c>
      <c r="T122" s="101">
        <f>IF(T31=0,0,1000000*T31/TrRoad_act!T71)</f>
        <v>0</v>
      </c>
      <c r="U122" s="101">
        <f>IF(U31=0,0,1000000*U31/TrRoad_act!U71)</f>
        <v>0</v>
      </c>
      <c r="V122" s="101">
        <f>IF(V31=0,0,1000000*V31/TrRoad_act!V71)</f>
        <v>0</v>
      </c>
      <c r="W122" s="101">
        <f>IF(W31=0,0,1000000*W31/TrRoad_act!W71)</f>
        <v>0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5509.0456867934718</v>
      </c>
      <c r="C125" s="152">
        <f>IF(C34=0,0,1000000*C34/TrRoad_act!C74)</f>
        <v>5432.1902899176002</v>
      </c>
      <c r="D125" s="152">
        <f>IF(D34=0,0,1000000*D34/TrRoad_act!D74)</f>
        <v>5226.0332095431559</v>
      </c>
      <c r="E125" s="152">
        <f>IF(E34=0,0,1000000*E34/TrRoad_act!E74)</f>
        <v>5165.3980145041223</v>
      </c>
      <c r="F125" s="152">
        <f>IF(F34=0,0,1000000*F34/TrRoad_act!F74)</f>
        <v>5232.8904102745819</v>
      </c>
      <c r="G125" s="152">
        <f>IF(G34=0,0,1000000*G34/TrRoad_act!G74)</f>
        <v>5227.5963855510117</v>
      </c>
      <c r="H125" s="152">
        <f>IF(H34=0,0,1000000*H34/TrRoad_act!H74)</f>
        <v>4902.7186318908498</v>
      </c>
      <c r="I125" s="152">
        <f>IF(I34=0,0,1000000*I34/TrRoad_act!I74)</f>
        <v>5036.6196333439975</v>
      </c>
      <c r="J125" s="152">
        <f>IF(J34=0,0,1000000*J34/TrRoad_act!J74)</f>
        <v>4861.9426220887599</v>
      </c>
      <c r="K125" s="152">
        <f>IF(K34=0,0,1000000*K34/TrRoad_act!K74)</f>
        <v>4651.7529609799567</v>
      </c>
      <c r="L125" s="152">
        <f>IF(L34=0,0,1000000*L34/TrRoad_act!L74)</f>
        <v>4681.6805773735068</v>
      </c>
      <c r="M125" s="152">
        <f>IF(M34=0,0,1000000*M34/TrRoad_act!M74)</f>
        <v>4496.2076188415858</v>
      </c>
      <c r="N125" s="152">
        <f>IF(N34=0,0,1000000*N34/TrRoad_act!N74)</f>
        <v>3910.4027462193822</v>
      </c>
      <c r="O125" s="152">
        <f>IF(O34=0,0,1000000*O34/TrRoad_act!O74)</f>
        <v>3289.9920996670921</v>
      </c>
      <c r="P125" s="152">
        <f>IF(P34=0,0,1000000*P34/TrRoad_act!P74)</f>
        <v>3191.4141233173477</v>
      </c>
      <c r="Q125" s="152">
        <f>IF(Q34=0,0,1000000*Q34/TrRoad_act!Q74)</f>
        <v>3304.9375778525323</v>
      </c>
      <c r="R125" s="152">
        <f>IF(R34=0,0,1000000*R34/TrRoad_act!R74)</f>
        <v>3486.3944607570447</v>
      </c>
      <c r="S125" s="152">
        <f>IF(S34=0,0,1000000*S34/TrRoad_act!S74)</f>
        <v>3635.0306669299061</v>
      </c>
      <c r="T125" s="152">
        <f>IF(T34=0,0,1000000*T34/TrRoad_act!T74)</f>
        <v>3585.00916560206</v>
      </c>
      <c r="U125" s="152">
        <f>IF(U34=0,0,1000000*U34/TrRoad_act!U74)</f>
        <v>3383.560294857858</v>
      </c>
      <c r="V125" s="152">
        <f>IF(V34=0,0,1000000*V34/TrRoad_act!V74)</f>
        <v>3236.1812602751879</v>
      </c>
      <c r="W125" s="152">
        <f>IF(W34=0,0,1000000*W34/TrRoad_act!W74)</f>
        <v>3317.231458803597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2462.3205130582674</v>
      </c>
      <c r="C126" s="87">
        <f>IF(C35=0,0,1000000*C35/TrRoad_act!C75)</f>
        <v>2552.6105766567216</v>
      </c>
      <c r="D126" s="87">
        <f>IF(D35=0,0,1000000*D35/TrRoad_act!D75)</f>
        <v>2680.0963438102281</v>
      </c>
      <c r="E126" s="87">
        <f>IF(E35=0,0,1000000*E35/TrRoad_act!E75)</f>
        <v>2809.7250395428246</v>
      </c>
      <c r="F126" s="87">
        <f>IF(F35=0,0,1000000*F35/TrRoad_act!F75)</f>
        <v>2668.3933128785879</v>
      </c>
      <c r="G126" s="87">
        <f>IF(G35=0,0,1000000*G35/TrRoad_act!G75)</f>
        <v>2938.0763685749944</v>
      </c>
      <c r="H126" s="87">
        <f>IF(H35=0,0,1000000*H35/TrRoad_act!H75)</f>
        <v>2821.8449493376161</v>
      </c>
      <c r="I126" s="87">
        <f>IF(I35=0,0,1000000*I35/TrRoad_act!I75)</f>
        <v>2786.5623588629505</v>
      </c>
      <c r="J126" s="87">
        <f>IF(J35=0,0,1000000*J35/TrRoad_act!J75)</f>
        <v>2900.6092892430402</v>
      </c>
      <c r="K126" s="87">
        <f>IF(K35=0,0,1000000*K35/TrRoad_act!K75)</f>
        <v>2667.3388833326962</v>
      </c>
      <c r="L126" s="87">
        <f>IF(L35=0,0,1000000*L35/TrRoad_act!L75)</f>
        <v>2679.4494616878396</v>
      </c>
      <c r="M126" s="87">
        <f>IF(M35=0,0,1000000*M35/TrRoad_act!M75)</f>
        <v>2671.335974177452</v>
      </c>
      <c r="N126" s="87">
        <f>IF(N35=0,0,1000000*N35/TrRoad_act!N75)</f>
        <v>2644.5706597190829</v>
      </c>
      <c r="O126" s="87">
        <f>IF(O35=0,0,1000000*O35/TrRoad_act!O75)</f>
        <v>2374.1124593785985</v>
      </c>
      <c r="P126" s="87">
        <f>IF(P35=0,0,1000000*P35/TrRoad_act!P75)</f>
        <v>2458.602800115606</v>
      </c>
      <c r="Q126" s="87">
        <f>IF(Q35=0,0,1000000*Q35/TrRoad_act!Q75)</f>
        <v>2471.5857567404855</v>
      </c>
      <c r="R126" s="87">
        <f>IF(R35=0,0,1000000*R35/TrRoad_act!R75)</f>
        <v>2346.8937316653373</v>
      </c>
      <c r="S126" s="87">
        <f>IF(S35=0,0,1000000*S35/TrRoad_act!S75)</f>
        <v>2448.8305010952959</v>
      </c>
      <c r="T126" s="87">
        <f>IF(T35=0,0,1000000*T35/TrRoad_act!T75)</f>
        <v>2403.4453332422499</v>
      </c>
      <c r="U126" s="87">
        <f>IF(U35=0,0,1000000*U35/TrRoad_act!U75)</f>
        <v>2328.3149892894412</v>
      </c>
      <c r="V126" s="87">
        <f>IF(V35=0,0,1000000*V35/TrRoad_act!V75)</f>
        <v>2087.3811622387866</v>
      </c>
      <c r="W126" s="87">
        <f>IF(W35=0,0,1000000*W35/TrRoad_act!W75)</f>
        <v>2114.6119490731517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5797.9992630827128</v>
      </c>
      <c r="C127" s="87">
        <f>IF(C36=0,0,1000000*C36/TrRoad_act!C76)</f>
        <v>5709.7958173753614</v>
      </c>
      <c r="D127" s="87">
        <f>IF(D36=0,0,1000000*D36/TrRoad_act!D76)</f>
        <v>5453.4848563663845</v>
      </c>
      <c r="E127" s="87">
        <f>IF(E36=0,0,1000000*E36/TrRoad_act!E76)</f>
        <v>5392.4896362634145</v>
      </c>
      <c r="F127" s="87">
        <f>IF(F36=0,0,1000000*F36/TrRoad_act!F76)</f>
        <v>5453.746701703044</v>
      </c>
      <c r="G127" s="87">
        <f>IF(G36=0,0,1000000*G36/TrRoad_act!G76)</f>
        <v>5370.6238629102554</v>
      </c>
      <c r="H127" s="87">
        <f>IF(H36=0,0,1000000*H36/TrRoad_act!H76)</f>
        <v>5032.704618721993</v>
      </c>
      <c r="I127" s="87">
        <f>IF(I36=0,0,1000000*I36/TrRoad_act!I76)</f>
        <v>5166.1105911526165</v>
      </c>
      <c r="J127" s="87">
        <f>IF(J36=0,0,1000000*J36/TrRoad_act!J76)</f>
        <v>4980.0580063339203</v>
      </c>
      <c r="K127" s="87">
        <f>IF(K36=0,0,1000000*K36/TrRoad_act!K76)</f>
        <v>4770.8215440258991</v>
      </c>
      <c r="L127" s="87">
        <f>IF(L36=0,0,1000000*L36/TrRoad_act!L76)</f>
        <v>4796.4536340440382</v>
      </c>
      <c r="M127" s="87">
        <f>IF(M36=0,0,1000000*M36/TrRoad_act!M76)</f>
        <v>4598.9062728550298</v>
      </c>
      <c r="N127" s="87">
        <f>IF(N36=0,0,1000000*N36/TrRoad_act!N76)</f>
        <v>3981.1477734882124</v>
      </c>
      <c r="O127" s="87">
        <f>IF(O36=0,0,1000000*O36/TrRoad_act!O76)</f>
        <v>3341.3632362352228</v>
      </c>
      <c r="P127" s="87">
        <f>IF(P36=0,0,1000000*P36/TrRoad_act!P76)</f>
        <v>3231.9869125916211</v>
      </c>
      <c r="Q127" s="87">
        <f>IF(Q36=0,0,1000000*Q36/TrRoad_act!Q76)</f>
        <v>3350.9219674243932</v>
      </c>
      <c r="R127" s="87">
        <f>IF(R36=0,0,1000000*R36/TrRoad_act!R76)</f>
        <v>3548.2665310457592</v>
      </c>
      <c r="S127" s="87">
        <f>IF(S36=0,0,1000000*S36/TrRoad_act!S76)</f>
        <v>3697.8682461305743</v>
      </c>
      <c r="T127" s="87">
        <f>IF(T36=0,0,1000000*T36/TrRoad_act!T76)</f>
        <v>3646.5736670764195</v>
      </c>
      <c r="U127" s="87">
        <f>IF(U36=0,0,1000000*U36/TrRoad_act!U76)</f>
        <v>3438.8378840098267</v>
      </c>
      <c r="V127" s="87">
        <f>IF(V36=0,0,1000000*V36/TrRoad_act!V76)</f>
        <v>3297.0557300846858</v>
      </c>
      <c r="W127" s="87">
        <f>IF(W36=0,0,1000000*W36/TrRoad_act!W76)</f>
        <v>3383.1179665939408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0</v>
      </c>
      <c r="F128" s="87">
        <f>IF(F37=0,0,1000000*F37/TrRoad_act!F77)</f>
        <v>0</v>
      </c>
      <c r="G128" s="87">
        <f>IF(G37=0,0,1000000*G37/TrRoad_act!G77)</f>
        <v>0</v>
      </c>
      <c r="H128" s="87">
        <f>IF(H37=0,0,1000000*H37/TrRoad_act!H77)</f>
        <v>0</v>
      </c>
      <c r="I128" s="87">
        <f>IF(I37=0,0,1000000*I37/TrRoad_act!I77)</f>
        <v>0</v>
      </c>
      <c r="J128" s="87">
        <f>IF(J37=0,0,1000000*J37/TrRoad_act!J77)</f>
        <v>0</v>
      </c>
      <c r="K128" s="87">
        <f>IF(K37=0,0,1000000*K37/TrRoad_act!K77)</f>
        <v>0</v>
      </c>
      <c r="L128" s="87">
        <f>IF(L37=0,0,1000000*L37/TrRoad_act!L77)</f>
        <v>0</v>
      </c>
      <c r="M128" s="87">
        <f>IF(M37=0,0,1000000*M37/TrRoad_act!M77)</f>
        <v>0</v>
      </c>
      <c r="N128" s="87">
        <f>IF(N37=0,0,1000000*N37/TrRoad_act!N77)</f>
        <v>0</v>
      </c>
      <c r="O128" s="87">
        <f>IF(O37=0,0,1000000*O37/TrRoad_act!O77)</f>
        <v>0</v>
      </c>
      <c r="P128" s="87">
        <f>IF(P37=0,0,1000000*P37/TrRoad_act!P77)</f>
        <v>0</v>
      </c>
      <c r="Q128" s="87">
        <f>IF(Q37=0,0,1000000*Q37/TrRoad_act!Q77)</f>
        <v>0</v>
      </c>
      <c r="R128" s="87">
        <f>IF(R37=0,0,1000000*R37/TrRoad_act!R77)</f>
        <v>0</v>
      </c>
      <c r="S128" s="87">
        <f>IF(S37=0,0,1000000*S37/TrRoad_act!S77)</f>
        <v>0</v>
      </c>
      <c r="T128" s="87">
        <f>IF(T37=0,0,1000000*T37/TrRoad_act!T77)</f>
        <v>0</v>
      </c>
      <c r="U128" s="87">
        <f>IF(U37=0,0,1000000*U37/TrRoad_act!U77)</f>
        <v>0</v>
      </c>
      <c r="V128" s="87">
        <f>IF(V37=0,0,1000000*V37/TrRoad_act!V77)</f>
        <v>0</v>
      </c>
      <c r="W128" s="87">
        <f>IF(W37=0,0,1000000*W37/TrRoad_act!W77)</f>
        <v>0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0</v>
      </c>
      <c r="L129" s="87">
        <f>IF(L38=0,0,1000000*L38/TrRoad_act!L78)</f>
        <v>0</v>
      </c>
      <c r="M129" s="87">
        <f>IF(M38=0,0,1000000*M38/TrRoad_act!M78)</f>
        <v>0</v>
      </c>
      <c r="N129" s="87">
        <f>IF(N38=0,0,1000000*N38/TrRoad_act!N78)</f>
        <v>0</v>
      </c>
      <c r="O129" s="87">
        <f>IF(O38=0,0,1000000*O38/TrRoad_act!O78)</f>
        <v>0</v>
      </c>
      <c r="P129" s="87">
        <f>IF(P38=0,0,1000000*P38/TrRoad_act!P78)</f>
        <v>0</v>
      </c>
      <c r="Q129" s="87">
        <f>IF(Q38=0,0,1000000*Q38/TrRoad_act!Q78)</f>
        <v>0</v>
      </c>
      <c r="R129" s="87">
        <f>IF(R38=0,0,1000000*R38/TrRoad_act!R78)</f>
        <v>0</v>
      </c>
      <c r="S129" s="87">
        <f>IF(S38=0,0,1000000*S38/TrRoad_act!S78)</f>
        <v>0</v>
      </c>
      <c r="T129" s="87">
        <f>IF(T38=0,0,1000000*T38/TrRoad_act!T78)</f>
        <v>0</v>
      </c>
      <c r="U129" s="87">
        <f>IF(U38=0,0,1000000*U38/TrRoad_act!U78)</f>
        <v>0</v>
      </c>
      <c r="V129" s="87">
        <f>IF(V38=0,0,1000000*V38/TrRoad_act!V78)</f>
        <v>0</v>
      </c>
      <c r="W129" s="87">
        <f>IF(W38=0,0,1000000*W38/TrRoad_act!W78)</f>
        <v>0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10023.177829205291</v>
      </c>
      <c r="C131" s="116">
        <f>IF(C40=0,0,1000000*C40/TrRoad_act!C80)</f>
        <v>9189.7006573309955</v>
      </c>
      <c r="D131" s="116">
        <f>IF(D40=0,0,1000000*D40/TrRoad_act!D80)</f>
        <v>9090.5821851198361</v>
      </c>
      <c r="E131" s="116">
        <f>IF(E40=0,0,1000000*E40/TrRoad_act!E80)</f>
        <v>9863.6822616750178</v>
      </c>
      <c r="F131" s="116">
        <f>IF(F40=0,0,1000000*F40/TrRoad_act!F80)</f>
        <v>8742.165549184776</v>
      </c>
      <c r="G131" s="116">
        <f>IF(G40=0,0,1000000*G40/TrRoad_act!G80)</f>
        <v>8184.9221217796903</v>
      </c>
      <c r="H131" s="116">
        <f>IF(H40=0,0,1000000*H40/TrRoad_act!H80)</f>
        <v>6734.0984852160555</v>
      </c>
      <c r="I131" s="116">
        <f>IF(I40=0,0,1000000*I40/TrRoad_act!I80)</f>
        <v>8076.1659534573637</v>
      </c>
      <c r="J131" s="116">
        <f>IF(J40=0,0,1000000*J40/TrRoad_act!J80)</f>
        <v>7940.8583888169442</v>
      </c>
      <c r="K131" s="116">
        <f>IF(K40=0,0,1000000*K40/TrRoad_act!K80)</f>
        <v>5936.7419840097336</v>
      </c>
      <c r="L131" s="116">
        <f>IF(L40=0,0,1000000*L40/TrRoad_act!L80)</f>
        <v>6851.2793037832407</v>
      </c>
      <c r="M131" s="116">
        <f>IF(M40=0,0,1000000*M40/TrRoad_act!M80)</f>
        <v>5893.5108103640387</v>
      </c>
      <c r="N131" s="116">
        <f>IF(N40=0,0,1000000*N40/TrRoad_act!N80)</f>
        <v>5231.225559491947</v>
      </c>
      <c r="O131" s="116">
        <f>IF(O40=0,0,1000000*O40/TrRoad_act!O80)</f>
        <v>4892.443180839613</v>
      </c>
      <c r="P131" s="116">
        <f>IF(P40=0,0,1000000*P40/TrRoad_act!P80)</f>
        <v>4544.170244432622</v>
      </c>
      <c r="Q131" s="116">
        <f>IF(Q40=0,0,1000000*Q40/TrRoad_act!Q80)</f>
        <v>4669.8274043770252</v>
      </c>
      <c r="R131" s="116">
        <f>IF(R40=0,0,1000000*R40/TrRoad_act!R80)</f>
        <v>6127.2769441767305</v>
      </c>
      <c r="S131" s="116">
        <f>IF(S40=0,0,1000000*S40/TrRoad_act!S80)</f>
        <v>6991.9036876011114</v>
      </c>
      <c r="T131" s="116">
        <f>IF(T40=0,0,1000000*T40/TrRoad_act!T80)</f>
        <v>7054.4306636592801</v>
      </c>
      <c r="U131" s="116">
        <f>IF(U40=0,0,1000000*U40/TrRoad_act!U80)</f>
        <v>6982.6728715917652</v>
      </c>
      <c r="V131" s="116">
        <f>IF(V40=0,0,1000000*V40/TrRoad_act!V80)</f>
        <v>4881.5968335238058</v>
      </c>
      <c r="W131" s="116">
        <f>IF(W40=0,0,1000000*W40/TrRoad_act!W80)</f>
        <v>4957.9339582127077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10023.177829205291</v>
      </c>
      <c r="C132" s="101">
        <f>IF(C41=0,0,1000000*C41/TrRoad_act!C81)</f>
        <v>9189.7006573309955</v>
      </c>
      <c r="D132" s="101">
        <f>IF(D41=0,0,1000000*D41/TrRoad_act!D81)</f>
        <v>9090.5821851198361</v>
      </c>
      <c r="E132" s="101">
        <f>IF(E41=0,0,1000000*E41/TrRoad_act!E81)</f>
        <v>9863.6822616750178</v>
      </c>
      <c r="F132" s="101">
        <f>IF(F41=0,0,1000000*F41/TrRoad_act!F81)</f>
        <v>8742.165549184776</v>
      </c>
      <c r="G132" s="101">
        <f>IF(G41=0,0,1000000*G41/TrRoad_act!G81)</f>
        <v>8184.9221217796903</v>
      </c>
      <c r="H132" s="101">
        <f>IF(H41=0,0,1000000*H41/TrRoad_act!H81)</f>
        <v>6734.0984852160555</v>
      </c>
      <c r="I132" s="101">
        <f>IF(I41=0,0,1000000*I41/TrRoad_act!I81)</f>
        <v>8076.1659534573637</v>
      </c>
      <c r="J132" s="101">
        <f>IF(J41=0,0,1000000*J41/TrRoad_act!J81)</f>
        <v>7940.8583888169442</v>
      </c>
      <c r="K132" s="101">
        <f>IF(K41=0,0,1000000*K41/TrRoad_act!K81)</f>
        <v>5936.7419840097336</v>
      </c>
      <c r="L132" s="101">
        <f>IF(L41=0,0,1000000*L41/TrRoad_act!L81)</f>
        <v>6851.2793037832407</v>
      </c>
      <c r="M132" s="101">
        <f>IF(M41=0,0,1000000*M41/TrRoad_act!M81)</f>
        <v>5893.5108103640387</v>
      </c>
      <c r="N132" s="101">
        <f>IF(N41=0,0,1000000*N41/TrRoad_act!N81)</f>
        <v>5231.225559491947</v>
      </c>
      <c r="O132" s="101">
        <f>IF(O41=0,0,1000000*O41/TrRoad_act!O81)</f>
        <v>4892.443180839613</v>
      </c>
      <c r="P132" s="101">
        <f>IF(P41=0,0,1000000*P41/TrRoad_act!P81)</f>
        <v>4544.170244432622</v>
      </c>
      <c r="Q132" s="101">
        <f>IF(Q41=0,0,1000000*Q41/TrRoad_act!Q81)</f>
        <v>4669.8274043770252</v>
      </c>
      <c r="R132" s="101">
        <f>IF(R41=0,0,1000000*R41/TrRoad_act!R81)</f>
        <v>6127.2769441767305</v>
      </c>
      <c r="S132" s="101">
        <f>IF(S41=0,0,1000000*S41/TrRoad_act!S81)</f>
        <v>6991.9036876011114</v>
      </c>
      <c r="T132" s="101">
        <f>IF(T41=0,0,1000000*T41/TrRoad_act!T81)</f>
        <v>7054.4306636592801</v>
      </c>
      <c r="U132" s="101">
        <f>IF(U41=0,0,1000000*U41/TrRoad_act!U81)</f>
        <v>6982.6728715917652</v>
      </c>
      <c r="V132" s="101">
        <f>IF(V41=0,0,1000000*V41/TrRoad_act!V81)</f>
        <v>4881.5968335238058</v>
      </c>
      <c r="W132" s="101">
        <f>IF(W41=0,0,1000000*W41/TrRoad_act!W81)</f>
        <v>4957.9339582127077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0</v>
      </c>
      <c r="C133" s="88">
        <f>IF(C42=0,0,1000000*C42/TrRoad_act!C82)</f>
        <v>0</v>
      </c>
      <c r="D133" s="88">
        <f>IF(D42=0,0,1000000*D42/TrRoad_act!D82)</f>
        <v>0</v>
      </c>
      <c r="E133" s="88">
        <f>IF(E42=0,0,1000000*E42/TrRoad_act!E82)</f>
        <v>0</v>
      </c>
      <c r="F133" s="88">
        <f>IF(F42=0,0,1000000*F42/TrRoad_act!F82)</f>
        <v>0</v>
      </c>
      <c r="G133" s="88">
        <f>IF(G42=0,0,1000000*G42/TrRoad_act!G82)</f>
        <v>0</v>
      </c>
      <c r="H133" s="88">
        <f>IF(H42=0,0,1000000*H42/TrRoad_act!H82)</f>
        <v>0</v>
      </c>
      <c r="I133" s="88">
        <f>IF(I42=0,0,1000000*I42/TrRoad_act!I82)</f>
        <v>0</v>
      </c>
      <c r="J133" s="88">
        <f>IF(J42=0,0,1000000*J42/TrRoad_act!J82)</f>
        <v>0</v>
      </c>
      <c r="K133" s="88">
        <f>IF(K42=0,0,1000000*K42/TrRoad_act!K82)</f>
        <v>0</v>
      </c>
      <c r="L133" s="88">
        <f>IF(L42=0,0,1000000*L42/TrRoad_act!L82)</f>
        <v>0</v>
      </c>
      <c r="M133" s="88">
        <f>IF(M42=0,0,1000000*M42/TrRoad_act!M82)</f>
        <v>0</v>
      </c>
      <c r="N133" s="88">
        <f>IF(N42=0,0,1000000*N42/TrRoad_act!N82)</f>
        <v>0</v>
      </c>
      <c r="O133" s="88">
        <f>IF(O42=0,0,1000000*O42/TrRoad_act!O82)</f>
        <v>0</v>
      </c>
      <c r="P133" s="88">
        <f>IF(P42=0,0,1000000*P42/TrRoad_act!P82)</f>
        <v>0</v>
      </c>
      <c r="Q133" s="88">
        <f>IF(Q42=0,0,1000000*Q42/TrRoad_act!Q82)</f>
        <v>0</v>
      </c>
      <c r="R133" s="88">
        <f>IF(R42=0,0,1000000*R42/TrRoad_act!R82)</f>
        <v>0</v>
      </c>
      <c r="S133" s="88">
        <f>IF(S42=0,0,1000000*S42/TrRoad_act!S82)</f>
        <v>0</v>
      </c>
      <c r="T133" s="88">
        <f>IF(T42=0,0,1000000*T42/TrRoad_act!T82)</f>
        <v>0</v>
      </c>
      <c r="U133" s="88">
        <f>IF(U42=0,0,1000000*U42/TrRoad_act!U82)</f>
        <v>0</v>
      </c>
      <c r="V133" s="88">
        <f>IF(V42=0,0,1000000*V42/TrRoad_act!V82)</f>
        <v>0</v>
      </c>
      <c r="W133" s="88">
        <f>IF(W42=0,0,1000000*W42/TrRoad_act!W82)</f>
        <v>0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0.60072347068044996</v>
      </c>
      <c r="C136" s="46">
        <f t="shared" si="40"/>
        <v>0.61123695935882827</v>
      </c>
      <c r="D136" s="46">
        <f t="shared" si="40"/>
        <v>0.62238122001216489</v>
      </c>
      <c r="E136" s="46">
        <f t="shared" si="40"/>
        <v>0.63530001848788675</v>
      </c>
      <c r="F136" s="46">
        <f t="shared" si="40"/>
        <v>0.66389809185504944</v>
      </c>
      <c r="G136" s="46">
        <f t="shared" si="40"/>
        <v>0.66692415841098895</v>
      </c>
      <c r="H136" s="46">
        <f t="shared" si="40"/>
        <v>0.70129501859293608</v>
      </c>
      <c r="I136" s="46">
        <f t="shared" si="40"/>
        <v>0.71224844332197612</v>
      </c>
      <c r="J136" s="46">
        <f t="shared" si="40"/>
        <v>0.71995005188775973</v>
      </c>
      <c r="K136" s="46">
        <f t="shared" si="40"/>
        <v>0.74264058210429451</v>
      </c>
      <c r="L136" s="46">
        <f t="shared" si="41"/>
        <v>0.74008435532273786</v>
      </c>
      <c r="M136" s="46">
        <f t="shared" si="40"/>
        <v>0.75044778571527426</v>
      </c>
      <c r="N136" s="46">
        <f t="shared" si="40"/>
        <v>0.76673596185493287</v>
      </c>
      <c r="O136" s="46">
        <f t="shared" si="40"/>
        <v>0.78978754347630986</v>
      </c>
      <c r="P136" s="46">
        <f t="shared" si="40"/>
        <v>0.80121368657925474</v>
      </c>
      <c r="Q136" s="46">
        <f t="shared" si="40"/>
        <v>0.80325333069182525</v>
      </c>
      <c r="R136" s="46">
        <f t="shared" si="40"/>
        <v>0.79251549891408801</v>
      </c>
      <c r="S136" s="46">
        <f t="shared" si="40"/>
        <v>0.78391969783760718</v>
      </c>
      <c r="T136" s="46">
        <f t="shared" si="40"/>
        <v>0.78063399085580332</v>
      </c>
      <c r="U136" s="46">
        <f t="shared" si="40"/>
        <v>0.78574142382222001</v>
      </c>
      <c r="V136" s="46">
        <f t="shared" si="40"/>
        <v>0.77427043124237438</v>
      </c>
      <c r="W136" s="46">
        <f t="shared" si="42"/>
        <v>0.78173189674347243</v>
      </c>
      <c r="DA136" s="211"/>
    </row>
    <row r="137" spans="1:105" ht="11.45" customHeight="1" x14ac:dyDescent="0.25">
      <c r="A137" s="153" t="s">
        <v>180</v>
      </c>
      <c r="B137" s="154">
        <f t="shared" si="40"/>
        <v>9.6902431764239634E-3</v>
      </c>
      <c r="C137" s="154">
        <f t="shared" si="40"/>
        <v>9.1698267137760303E-3</v>
      </c>
      <c r="D137" s="154">
        <f t="shared" si="40"/>
        <v>9.0045554605004876E-3</v>
      </c>
      <c r="E137" s="154">
        <f t="shared" si="40"/>
        <v>8.5928074584796683E-3</v>
      </c>
      <c r="F137" s="154">
        <f t="shared" si="40"/>
        <v>8.0921450874332015E-3</v>
      </c>
      <c r="G137" s="154">
        <f t="shared" si="40"/>
        <v>7.7795771747382128E-3</v>
      </c>
      <c r="H137" s="154">
        <f t="shared" si="40"/>
        <v>7.7592224288979949E-3</v>
      </c>
      <c r="I137" s="154">
        <f t="shared" si="40"/>
        <v>7.28876650693669E-3</v>
      </c>
      <c r="J137" s="154">
        <f t="shared" si="40"/>
        <v>7.2486374245267823E-3</v>
      </c>
      <c r="K137" s="154">
        <f t="shared" si="40"/>
        <v>7.1207093086769965E-3</v>
      </c>
      <c r="L137" s="154">
        <f t="shared" si="41"/>
        <v>6.813053003455396E-3</v>
      </c>
      <c r="M137" s="154">
        <f t="shared" si="40"/>
        <v>6.8242747208655738E-3</v>
      </c>
      <c r="N137" s="154">
        <f t="shared" si="40"/>
        <v>7.5024721544544896E-3</v>
      </c>
      <c r="O137" s="154">
        <f t="shared" si="40"/>
        <v>8.139806268846762E-3</v>
      </c>
      <c r="P137" s="154">
        <f t="shared" si="40"/>
        <v>8.4026160331472349E-3</v>
      </c>
      <c r="Q137" s="154">
        <f t="shared" si="40"/>
        <v>7.8659825560196007E-3</v>
      </c>
      <c r="R137" s="154">
        <f t="shared" si="40"/>
        <v>7.2905631560293109E-3</v>
      </c>
      <c r="S137" s="154">
        <f t="shared" si="40"/>
        <v>6.5764307845049769E-3</v>
      </c>
      <c r="T137" s="154">
        <f t="shared" si="40"/>
        <v>6.1562562240472015E-3</v>
      </c>
      <c r="U137" s="154">
        <f t="shared" si="40"/>
        <v>6.3283995421326861E-3</v>
      </c>
      <c r="V137" s="154">
        <f t="shared" si="40"/>
        <v>6.4290099081018692E-3</v>
      </c>
      <c r="W137" s="154">
        <f t="shared" si="42"/>
        <v>5.8524118382473943E-3</v>
      </c>
      <c r="DA137" s="212"/>
    </row>
    <row r="138" spans="1:105" ht="11.45" customHeight="1" x14ac:dyDescent="0.25">
      <c r="A138" s="155" t="s">
        <v>20</v>
      </c>
      <c r="B138" s="156">
        <f t="shared" si="40"/>
        <v>0.43033346909762654</v>
      </c>
      <c r="C138" s="156">
        <f t="shared" si="40"/>
        <v>0.44327874684268537</v>
      </c>
      <c r="D138" s="156">
        <f t="shared" si="40"/>
        <v>0.45718906475865573</v>
      </c>
      <c r="E138" s="156">
        <f t="shared" si="40"/>
        <v>0.46849564132553495</v>
      </c>
      <c r="F138" s="156">
        <f t="shared" si="40"/>
        <v>0.49768431951637254</v>
      </c>
      <c r="G138" s="156">
        <f t="shared" si="40"/>
        <v>0.51401119018911812</v>
      </c>
      <c r="H138" s="156">
        <f t="shared" si="40"/>
        <v>0.54542447910189584</v>
      </c>
      <c r="I138" s="156">
        <f t="shared" si="40"/>
        <v>0.55887532132557582</v>
      </c>
      <c r="J138" s="156">
        <f t="shared" si="40"/>
        <v>0.57672150371966102</v>
      </c>
      <c r="K138" s="156">
        <f t="shared" si="40"/>
        <v>0.598007738416234</v>
      </c>
      <c r="L138" s="156">
        <f t="shared" si="41"/>
        <v>0.59791339596262782</v>
      </c>
      <c r="M138" s="156">
        <f t="shared" si="40"/>
        <v>0.606255043482123</v>
      </c>
      <c r="N138" s="156">
        <f t="shared" si="40"/>
        <v>0.62426073335507248</v>
      </c>
      <c r="O138" s="156">
        <f t="shared" si="40"/>
        <v>0.64757849082767704</v>
      </c>
      <c r="P138" s="156">
        <f t="shared" si="40"/>
        <v>0.65392789565481235</v>
      </c>
      <c r="Q138" s="156">
        <f t="shared" si="40"/>
        <v>0.64612125657636499</v>
      </c>
      <c r="R138" s="156">
        <f t="shared" si="40"/>
        <v>0.63674847369277587</v>
      </c>
      <c r="S138" s="156">
        <f t="shared" si="40"/>
        <v>0.6264629210216206</v>
      </c>
      <c r="T138" s="156">
        <f t="shared" si="40"/>
        <v>0.62404360123834524</v>
      </c>
      <c r="U138" s="156">
        <f t="shared" si="40"/>
        <v>0.62747472057858256</v>
      </c>
      <c r="V138" s="156">
        <f t="shared" si="40"/>
        <v>0.62943104358717861</v>
      </c>
      <c r="W138" s="156">
        <f t="shared" si="42"/>
        <v>0.63246802073509689</v>
      </c>
      <c r="DA138" s="213"/>
    </row>
    <row r="139" spans="1:105" ht="11.45" customHeight="1" x14ac:dyDescent="0.25">
      <c r="A139" s="157" t="s">
        <v>110</v>
      </c>
      <c r="B139" s="103">
        <f t="shared" si="40"/>
        <v>0.33856540404171115</v>
      </c>
      <c r="C139" s="103">
        <f t="shared" si="40"/>
        <v>0.34955697653194789</v>
      </c>
      <c r="D139" s="103">
        <f t="shared" si="40"/>
        <v>0.36879714040609557</v>
      </c>
      <c r="E139" s="103">
        <f t="shared" si="40"/>
        <v>0.38529253892773452</v>
      </c>
      <c r="F139" s="103">
        <f t="shared" si="40"/>
        <v>0.41393445703953635</v>
      </c>
      <c r="G139" s="103">
        <f t="shared" si="40"/>
        <v>0.44010434053527986</v>
      </c>
      <c r="H139" s="103">
        <f t="shared" si="40"/>
        <v>0.47362763444360645</v>
      </c>
      <c r="I139" s="103">
        <f t="shared" si="40"/>
        <v>0.48630252069127439</v>
      </c>
      <c r="J139" s="103">
        <f t="shared" si="40"/>
        <v>0.50565215480884318</v>
      </c>
      <c r="K139" s="103">
        <f t="shared" si="40"/>
        <v>0.5200965995010165</v>
      </c>
      <c r="L139" s="103">
        <f t="shared" si="41"/>
        <v>0.51896905902671986</v>
      </c>
      <c r="M139" s="103">
        <f t="shared" si="40"/>
        <v>0.5282914061568823</v>
      </c>
      <c r="N139" s="103">
        <f t="shared" si="40"/>
        <v>0.55376774833453712</v>
      </c>
      <c r="O139" s="103">
        <f t="shared" si="40"/>
        <v>0.57807275681529047</v>
      </c>
      <c r="P139" s="103">
        <f t="shared" si="40"/>
        <v>0.57998332695629207</v>
      </c>
      <c r="Q139" s="103">
        <f t="shared" si="40"/>
        <v>0.56519363525336774</v>
      </c>
      <c r="R139" s="103">
        <f t="shared" si="40"/>
        <v>0.54687822909474471</v>
      </c>
      <c r="S139" s="103">
        <f t="shared" si="40"/>
        <v>0.52470699720702463</v>
      </c>
      <c r="T139" s="103">
        <f t="shared" si="40"/>
        <v>0.50782719713011415</v>
      </c>
      <c r="U139" s="103">
        <f t="shared" si="40"/>
        <v>0.49524075393162414</v>
      </c>
      <c r="V139" s="103">
        <f t="shared" si="40"/>
        <v>0.4796154503049736</v>
      </c>
      <c r="W139" s="103">
        <f t="shared" si="42"/>
        <v>0.47996903316610817</v>
      </c>
      <c r="DA139" s="191"/>
    </row>
    <row r="140" spans="1:105" ht="11.45" customHeight="1" x14ac:dyDescent="0.25">
      <c r="A140" s="157" t="s">
        <v>111</v>
      </c>
      <c r="B140" s="103">
        <f t="shared" si="40"/>
        <v>9.1768065055915421E-2</v>
      </c>
      <c r="C140" s="103">
        <f t="shared" si="40"/>
        <v>9.3721770310737473E-2</v>
      </c>
      <c r="D140" s="103">
        <f t="shared" si="40"/>
        <v>8.8391924352560103E-2</v>
      </c>
      <c r="E140" s="103">
        <f t="shared" si="40"/>
        <v>8.3203102397800405E-2</v>
      </c>
      <c r="F140" s="103">
        <f t="shared" si="40"/>
        <v>8.374986247683619E-2</v>
      </c>
      <c r="G140" s="103">
        <f t="shared" si="40"/>
        <v>7.3906849653838258E-2</v>
      </c>
      <c r="H140" s="103">
        <f t="shared" si="40"/>
        <v>7.1796844658289352E-2</v>
      </c>
      <c r="I140" s="103">
        <f t="shared" si="40"/>
        <v>7.2572800634301465E-2</v>
      </c>
      <c r="J140" s="103">
        <f t="shared" si="40"/>
        <v>7.1069348910817856E-2</v>
      </c>
      <c r="K140" s="103">
        <f t="shared" si="40"/>
        <v>7.7911138915217407E-2</v>
      </c>
      <c r="L140" s="103">
        <f t="shared" si="41"/>
        <v>7.8944336935907938E-2</v>
      </c>
      <c r="M140" s="103">
        <f t="shared" si="40"/>
        <v>7.7963637325240781E-2</v>
      </c>
      <c r="N140" s="103">
        <f t="shared" si="40"/>
        <v>7.0492985020535331E-2</v>
      </c>
      <c r="O140" s="103">
        <f t="shared" si="40"/>
        <v>6.9505734012386591E-2</v>
      </c>
      <c r="P140" s="103">
        <f t="shared" si="40"/>
        <v>7.39434939649804E-2</v>
      </c>
      <c r="Q140" s="103">
        <f t="shared" si="40"/>
        <v>8.091748912915922E-2</v>
      </c>
      <c r="R140" s="103">
        <f t="shared" si="40"/>
        <v>8.9848843306766873E-2</v>
      </c>
      <c r="S140" s="103">
        <f t="shared" si="40"/>
        <v>0.10171260925840522</v>
      </c>
      <c r="T140" s="103">
        <f t="shared" si="40"/>
        <v>0.11550219573935416</v>
      </c>
      <c r="U140" s="103">
        <f t="shared" si="40"/>
        <v>0.13144566460299603</v>
      </c>
      <c r="V140" s="103">
        <f t="shared" si="40"/>
        <v>0.14901405277171773</v>
      </c>
      <c r="W140" s="103">
        <f t="shared" si="42"/>
        <v>0.15162571635231731</v>
      </c>
      <c r="DA140" s="191"/>
    </row>
    <row r="141" spans="1:105" ht="11.45" customHeight="1" x14ac:dyDescent="0.25">
      <c r="A141" s="157" t="s">
        <v>112</v>
      </c>
      <c r="B141" s="103">
        <f t="shared" si="40"/>
        <v>0</v>
      </c>
      <c r="C141" s="103">
        <f t="shared" si="40"/>
        <v>0</v>
      </c>
      <c r="D141" s="103">
        <f t="shared" si="40"/>
        <v>0</v>
      </c>
      <c r="E141" s="103">
        <f t="shared" si="40"/>
        <v>0</v>
      </c>
      <c r="F141" s="103">
        <f t="shared" si="40"/>
        <v>0</v>
      </c>
      <c r="G141" s="103">
        <f t="shared" si="40"/>
        <v>0</v>
      </c>
      <c r="H141" s="103">
        <f t="shared" si="40"/>
        <v>0</v>
      </c>
      <c r="I141" s="103">
        <f t="shared" si="40"/>
        <v>0</v>
      </c>
      <c r="J141" s="103">
        <f t="shared" si="40"/>
        <v>0</v>
      </c>
      <c r="K141" s="103">
        <f t="shared" si="40"/>
        <v>0</v>
      </c>
      <c r="L141" s="103">
        <f t="shared" si="41"/>
        <v>0</v>
      </c>
      <c r="M141" s="103">
        <f t="shared" si="40"/>
        <v>0</v>
      </c>
      <c r="N141" s="103">
        <f t="shared" si="40"/>
        <v>0</v>
      </c>
      <c r="O141" s="103">
        <f t="shared" si="40"/>
        <v>0</v>
      </c>
      <c r="P141" s="103">
        <f t="shared" si="40"/>
        <v>0</v>
      </c>
      <c r="Q141" s="103">
        <f t="shared" si="40"/>
        <v>0</v>
      </c>
      <c r="R141" s="103">
        <f t="shared" si="40"/>
        <v>0</v>
      </c>
      <c r="S141" s="103">
        <f t="shared" si="40"/>
        <v>0</v>
      </c>
      <c r="T141" s="103">
        <f t="shared" si="40"/>
        <v>6.5289305559196721E-4</v>
      </c>
      <c r="U141" s="103">
        <f t="shared" si="40"/>
        <v>6.9938045602499054E-4</v>
      </c>
      <c r="V141" s="103">
        <f t="shared" si="40"/>
        <v>6.7168300753009348E-4</v>
      </c>
      <c r="W141" s="103">
        <f t="shared" si="42"/>
        <v>7.1790516721191935E-4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0</v>
      </c>
      <c r="I142" s="103">
        <f t="shared" si="40"/>
        <v>0</v>
      </c>
      <c r="J142" s="103">
        <f t="shared" si="40"/>
        <v>0</v>
      </c>
      <c r="K142" s="103">
        <f t="shared" si="40"/>
        <v>0</v>
      </c>
      <c r="L142" s="103">
        <f t="shared" si="41"/>
        <v>0</v>
      </c>
      <c r="M142" s="103">
        <f t="shared" si="40"/>
        <v>0</v>
      </c>
      <c r="N142" s="103">
        <f t="shared" si="40"/>
        <v>0</v>
      </c>
      <c r="O142" s="103">
        <f t="shared" si="40"/>
        <v>0</v>
      </c>
      <c r="P142" s="103">
        <f t="shared" si="40"/>
        <v>0</v>
      </c>
      <c r="Q142" s="103">
        <f t="shared" si="40"/>
        <v>0</v>
      </c>
      <c r="R142" s="103">
        <f t="shared" si="40"/>
        <v>0</v>
      </c>
      <c r="S142" s="103">
        <f t="shared" si="40"/>
        <v>0</v>
      </c>
      <c r="T142" s="103">
        <f t="shared" si="40"/>
        <v>0</v>
      </c>
      <c r="U142" s="103">
        <f t="shared" si="40"/>
        <v>0</v>
      </c>
      <c r="V142" s="103">
        <f t="shared" si="40"/>
        <v>0</v>
      </c>
      <c r="W142" s="103">
        <f t="shared" si="42"/>
        <v>0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0</v>
      </c>
      <c r="O143" s="103">
        <f t="shared" si="40"/>
        <v>0</v>
      </c>
      <c r="P143" s="103">
        <f t="shared" si="40"/>
        <v>1.0747335399101653E-6</v>
      </c>
      <c r="Q143" s="103">
        <f t="shared" si="40"/>
        <v>1.0132193838063978E-5</v>
      </c>
      <c r="R143" s="103">
        <f t="shared" si="40"/>
        <v>2.1401291264265301E-5</v>
      </c>
      <c r="S143" s="103">
        <f t="shared" si="40"/>
        <v>4.3314556190745579E-5</v>
      </c>
      <c r="T143" s="103">
        <f t="shared" si="40"/>
        <v>6.131531328494343E-5</v>
      </c>
      <c r="U143" s="103">
        <f t="shared" si="40"/>
        <v>8.89215879372387E-5</v>
      </c>
      <c r="V143" s="103">
        <f t="shared" si="40"/>
        <v>1.2985750295709951E-4</v>
      </c>
      <c r="W143" s="103">
        <f t="shared" si="42"/>
        <v>1.5536604945946014E-4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0.1606997584063995</v>
      </c>
      <c r="C145" s="156">
        <f t="shared" si="40"/>
        <v>0.15878838580236698</v>
      </c>
      <c r="D145" s="156">
        <f t="shared" si="40"/>
        <v>0.1561875997930087</v>
      </c>
      <c r="E145" s="156">
        <f t="shared" si="40"/>
        <v>0.15821156970387215</v>
      </c>
      <c r="F145" s="156">
        <f t="shared" si="40"/>
        <v>0.15812162725124362</v>
      </c>
      <c r="G145" s="156">
        <f t="shared" si="40"/>
        <v>0.1451333910471326</v>
      </c>
      <c r="H145" s="156">
        <f t="shared" si="40"/>
        <v>0.14811131706214234</v>
      </c>
      <c r="I145" s="156">
        <f t="shared" si="40"/>
        <v>0.14608435548946366</v>
      </c>
      <c r="J145" s="156">
        <f t="shared" si="40"/>
        <v>0.13597991074357194</v>
      </c>
      <c r="K145" s="156">
        <f t="shared" si="40"/>
        <v>0.13751213437938356</v>
      </c>
      <c r="L145" s="156">
        <f t="shared" si="41"/>
        <v>0.13535790635665471</v>
      </c>
      <c r="M145" s="156">
        <f t="shared" si="40"/>
        <v>0.13736846751228565</v>
      </c>
      <c r="N145" s="156">
        <f t="shared" si="40"/>
        <v>0.13497275634540584</v>
      </c>
      <c r="O145" s="156">
        <f t="shared" si="40"/>
        <v>0.13406924637978615</v>
      </c>
      <c r="P145" s="156">
        <f t="shared" si="40"/>
        <v>0.13888317489129517</v>
      </c>
      <c r="Q145" s="156">
        <f t="shared" si="40"/>
        <v>0.14926609155944071</v>
      </c>
      <c r="R145" s="156">
        <f t="shared" si="40"/>
        <v>0.14847646206528284</v>
      </c>
      <c r="S145" s="156">
        <f t="shared" si="40"/>
        <v>0.15088034603148165</v>
      </c>
      <c r="T145" s="156">
        <f t="shared" si="40"/>
        <v>0.15043413339341083</v>
      </c>
      <c r="U145" s="156">
        <f t="shared" si="40"/>
        <v>0.1519383037015048</v>
      </c>
      <c r="V145" s="156">
        <f t="shared" si="40"/>
        <v>0.13841037774709394</v>
      </c>
      <c r="W145" s="156">
        <f t="shared" si="42"/>
        <v>0.14341146417012818</v>
      </c>
      <c r="DA145" s="213"/>
    </row>
    <row r="146" spans="1:105" ht="11.45" customHeight="1" x14ac:dyDescent="0.25">
      <c r="A146" s="157" t="s">
        <v>110</v>
      </c>
      <c r="B146" s="103">
        <f t="shared" si="40"/>
        <v>1.41596489256277E-3</v>
      </c>
      <c r="C146" s="103">
        <f t="shared" si="40"/>
        <v>1.4019894286375905E-3</v>
      </c>
      <c r="D146" s="103">
        <f t="shared" si="40"/>
        <v>1.4020760625373873E-3</v>
      </c>
      <c r="E146" s="103">
        <f t="shared" si="40"/>
        <v>1.3959242758264103E-3</v>
      </c>
      <c r="F146" s="103">
        <f t="shared" si="40"/>
        <v>1.3299220897397027E-3</v>
      </c>
      <c r="G146" s="103">
        <f t="shared" si="40"/>
        <v>1.3252769284943064E-3</v>
      </c>
      <c r="H146" s="103">
        <f t="shared" si="40"/>
        <v>1.3818286556311679E-3</v>
      </c>
      <c r="I146" s="103">
        <f t="shared" si="40"/>
        <v>1.2903122883313211E-3</v>
      </c>
      <c r="J146" s="103">
        <f t="shared" si="40"/>
        <v>1.2672585660052753E-3</v>
      </c>
      <c r="K146" s="103">
        <f t="shared" si="40"/>
        <v>1.2441372697688372E-3</v>
      </c>
      <c r="L146" s="103">
        <f t="shared" si="41"/>
        <v>1.2351554337745165E-3</v>
      </c>
      <c r="M146" s="103">
        <f t="shared" si="40"/>
        <v>1.2688061374614887E-3</v>
      </c>
      <c r="N146" s="103">
        <f t="shared" si="40"/>
        <v>1.3609300591735174E-3</v>
      </c>
      <c r="O146" s="103">
        <f t="shared" si="40"/>
        <v>1.429841711105708E-3</v>
      </c>
      <c r="P146" s="103">
        <f t="shared" si="40"/>
        <v>4.9224772051632642E-4</v>
      </c>
      <c r="Q146" s="103">
        <f t="shared" si="40"/>
        <v>4.2062234257053075E-4</v>
      </c>
      <c r="R146" s="103">
        <f t="shared" si="40"/>
        <v>3.6466561181584453E-4</v>
      </c>
      <c r="S146" s="103">
        <f t="shared" si="40"/>
        <v>3.6907387547037012E-4</v>
      </c>
      <c r="T146" s="103">
        <f t="shared" si="40"/>
        <v>3.7684136207343964E-4</v>
      </c>
      <c r="U146" s="103">
        <f t="shared" si="40"/>
        <v>3.6387848905421703E-4</v>
      </c>
      <c r="V146" s="103">
        <f t="shared" si="40"/>
        <v>3.8683415111766554E-4</v>
      </c>
      <c r="W146" s="103">
        <f t="shared" si="42"/>
        <v>3.6803089670165351E-4</v>
      </c>
      <c r="DA146" s="191"/>
    </row>
    <row r="147" spans="1:105" ht="11.45" customHeight="1" x14ac:dyDescent="0.25">
      <c r="A147" s="157" t="s">
        <v>111</v>
      </c>
      <c r="B147" s="103">
        <f t="shared" si="40"/>
        <v>0.15928379351383673</v>
      </c>
      <c r="C147" s="103">
        <f t="shared" si="40"/>
        <v>0.15738639637372942</v>
      </c>
      <c r="D147" s="103">
        <f t="shared" si="40"/>
        <v>0.1547855237304713</v>
      </c>
      <c r="E147" s="103">
        <f t="shared" si="40"/>
        <v>0.15681564542804571</v>
      </c>
      <c r="F147" s="103">
        <f t="shared" si="40"/>
        <v>0.15679170516150392</v>
      </c>
      <c r="G147" s="103">
        <f t="shared" si="40"/>
        <v>0.14380811411863831</v>
      </c>
      <c r="H147" s="103">
        <f t="shared" si="40"/>
        <v>0.14672948840651118</v>
      </c>
      <c r="I147" s="103">
        <f t="shared" si="40"/>
        <v>0.14479404320113234</v>
      </c>
      <c r="J147" s="103">
        <f t="shared" si="40"/>
        <v>0.13471265217756664</v>
      </c>
      <c r="K147" s="103">
        <f t="shared" si="40"/>
        <v>0.13626799710961471</v>
      </c>
      <c r="L147" s="103">
        <f t="shared" si="41"/>
        <v>0.1341227509228802</v>
      </c>
      <c r="M147" s="103">
        <f t="shared" si="40"/>
        <v>0.13609966137482418</v>
      </c>
      <c r="N147" s="103">
        <f t="shared" si="40"/>
        <v>0.1336118262862323</v>
      </c>
      <c r="O147" s="103">
        <f t="shared" si="40"/>
        <v>0.13263940466868043</v>
      </c>
      <c r="P147" s="103">
        <f t="shared" si="40"/>
        <v>0.13839092717077886</v>
      </c>
      <c r="Q147" s="103">
        <f t="shared" si="40"/>
        <v>0.14884546921687017</v>
      </c>
      <c r="R147" s="103">
        <f t="shared" ref="R147:V147" si="43">IF(R29=0,0,R29/R$17)</f>
        <v>0.148111796453467</v>
      </c>
      <c r="S147" s="103">
        <f t="shared" si="43"/>
        <v>0.15051127215601126</v>
      </c>
      <c r="T147" s="103">
        <f t="shared" si="43"/>
        <v>0.15005729203133741</v>
      </c>
      <c r="U147" s="103">
        <f t="shared" si="43"/>
        <v>0.1515744252124506</v>
      </c>
      <c r="V147" s="103">
        <f t="shared" si="43"/>
        <v>0.13802354359597627</v>
      </c>
      <c r="W147" s="103">
        <f t="shared" ref="W147" si="44">IF(W29=0,0,W29/W$17)</f>
        <v>0.1430434332734265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0</v>
      </c>
      <c r="M148" s="103">
        <f t="shared" ref="M148:V148" si="47">IF(M30=0,0,M30/M$17)</f>
        <v>0</v>
      </c>
      <c r="N148" s="103">
        <f t="shared" si="47"/>
        <v>0</v>
      </c>
      <c r="O148" s="103">
        <f t="shared" si="47"/>
        <v>0</v>
      </c>
      <c r="P148" s="103">
        <f t="shared" si="47"/>
        <v>0</v>
      </c>
      <c r="Q148" s="103">
        <f t="shared" si="47"/>
        <v>0</v>
      </c>
      <c r="R148" s="103">
        <f t="shared" si="47"/>
        <v>0</v>
      </c>
      <c r="S148" s="103">
        <f t="shared" si="47"/>
        <v>0</v>
      </c>
      <c r="T148" s="103">
        <f t="shared" si="47"/>
        <v>0</v>
      </c>
      <c r="U148" s="103">
        <f t="shared" si="47"/>
        <v>0</v>
      </c>
      <c r="V148" s="103">
        <f t="shared" si="47"/>
        <v>0</v>
      </c>
      <c r="W148" s="103">
        <f t="shared" ref="W148" si="48">IF(W30=0,0,W30/W$17)</f>
        <v>0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0</v>
      </c>
      <c r="C149" s="103">
        <f t="shared" si="49"/>
        <v>0</v>
      </c>
      <c r="D149" s="103">
        <f t="shared" si="49"/>
        <v>0</v>
      </c>
      <c r="E149" s="103">
        <f t="shared" si="49"/>
        <v>0</v>
      </c>
      <c r="F149" s="103">
        <f t="shared" si="49"/>
        <v>0</v>
      </c>
      <c r="G149" s="103">
        <f t="shared" si="49"/>
        <v>0</v>
      </c>
      <c r="H149" s="103">
        <f t="shared" si="49"/>
        <v>0</v>
      </c>
      <c r="I149" s="103">
        <f t="shared" si="49"/>
        <v>0</v>
      </c>
      <c r="J149" s="103">
        <f t="shared" si="49"/>
        <v>0</v>
      </c>
      <c r="K149" s="103">
        <f t="shared" si="49"/>
        <v>0</v>
      </c>
      <c r="L149" s="103">
        <f t="shared" si="46"/>
        <v>0</v>
      </c>
      <c r="M149" s="103">
        <f t="shared" ref="M149:V149" si="50">IF(M31=0,0,M31/M$17)</f>
        <v>0</v>
      </c>
      <c r="N149" s="103">
        <f t="shared" si="50"/>
        <v>0</v>
      </c>
      <c r="O149" s="103">
        <f t="shared" si="50"/>
        <v>0</v>
      </c>
      <c r="P149" s="103">
        <f t="shared" si="50"/>
        <v>0</v>
      </c>
      <c r="Q149" s="103">
        <f t="shared" si="50"/>
        <v>0</v>
      </c>
      <c r="R149" s="103">
        <f t="shared" si="50"/>
        <v>0</v>
      </c>
      <c r="S149" s="103">
        <f t="shared" si="50"/>
        <v>0</v>
      </c>
      <c r="T149" s="103">
        <f t="shared" si="50"/>
        <v>0</v>
      </c>
      <c r="U149" s="103">
        <f t="shared" si="50"/>
        <v>0</v>
      </c>
      <c r="V149" s="103">
        <f t="shared" si="50"/>
        <v>0</v>
      </c>
      <c r="W149" s="103">
        <f t="shared" ref="W149" si="51">IF(W31=0,0,W31/W$17)</f>
        <v>0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0.39927652931955004</v>
      </c>
      <c r="C151" s="46">
        <f t="shared" si="55"/>
        <v>0.38876304064117168</v>
      </c>
      <c r="D151" s="46">
        <f t="shared" si="55"/>
        <v>0.37761877998783511</v>
      </c>
      <c r="E151" s="46">
        <f t="shared" si="55"/>
        <v>0.3646999815121133</v>
      </c>
      <c r="F151" s="46">
        <f t="shared" si="55"/>
        <v>0.33610190814495056</v>
      </c>
      <c r="G151" s="46">
        <f t="shared" si="55"/>
        <v>0.33307584158901105</v>
      </c>
      <c r="H151" s="46">
        <f t="shared" si="55"/>
        <v>0.29870498140706392</v>
      </c>
      <c r="I151" s="46">
        <f t="shared" si="55"/>
        <v>0.28775155667802377</v>
      </c>
      <c r="J151" s="46">
        <f t="shared" si="55"/>
        <v>0.28004994811224032</v>
      </c>
      <c r="K151" s="46">
        <f t="shared" si="55"/>
        <v>0.25735941789570538</v>
      </c>
      <c r="L151" s="46">
        <f t="shared" ref="L151" si="56">IF(L33=0,0,L33/L$17)</f>
        <v>0.25991564467726214</v>
      </c>
      <c r="M151" s="46">
        <f t="shared" ref="M151:V151" si="57">IF(M33=0,0,M33/M$17)</f>
        <v>0.24955221428472571</v>
      </c>
      <c r="N151" s="46">
        <f t="shared" si="57"/>
        <v>0.23326403814506716</v>
      </c>
      <c r="O151" s="46">
        <f t="shared" si="57"/>
        <v>0.21021245652369011</v>
      </c>
      <c r="P151" s="46">
        <f t="shared" si="57"/>
        <v>0.19878631342074529</v>
      </c>
      <c r="Q151" s="46">
        <f t="shared" si="57"/>
        <v>0.19674666930817472</v>
      </c>
      <c r="R151" s="46">
        <f t="shared" si="57"/>
        <v>0.20748450108591193</v>
      </c>
      <c r="S151" s="46">
        <f t="shared" si="57"/>
        <v>0.21608030216239282</v>
      </c>
      <c r="T151" s="46">
        <f t="shared" si="57"/>
        <v>0.21936600914419674</v>
      </c>
      <c r="U151" s="46">
        <f t="shared" si="57"/>
        <v>0.21425857617777996</v>
      </c>
      <c r="V151" s="46">
        <f t="shared" si="57"/>
        <v>0.22572956875762556</v>
      </c>
      <c r="W151" s="46">
        <f t="shared" ref="W151" si="58">IF(W33=0,0,W33/W$17)</f>
        <v>0.21826810325652762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0.31513937665189945</v>
      </c>
      <c r="C152" s="154">
        <f t="shared" si="59"/>
        <v>0.30662735745922309</v>
      </c>
      <c r="D152" s="154">
        <f t="shared" si="59"/>
        <v>0.29965746801973747</v>
      </c>
      <c r="E152" s="154">
        <f t="shared" si="59"/>
        <v>0.28460309510620196</v>
      </c>
      <c r="F152" s="154">
        <f t="shared" si="59"/>
        <v>0.26915290433945954</v>
      </c>
      <c r="G152" s="154">
        <f t="shared" si="59"/>
        <v>0.2547848767185858</v>
      </c>
      <c r="H152" s="154">
        <f t="shared" si="59"/>
        <v>0.23450919289014882</v>
      </c>
      <c r="I152" s="154">
        <f t="shared" si="59"/>
        <v>0.22301986561645387</v>
      </c>
      <c r="J152" s="154">
        <f t="shared" si="59"/>
        <v>0.21417699879387625</v>
      </c>
      <c r="K152" s="154">
        <f t="shared" si="59"/>
        <v>0.20539446810461753</v>
      </c>
      <c r="L152" s="154">
        <f t="shared" ref="L152" si="60">IF(L34=0,0,L34/L$17)</f>
        <v>0.20193667837448384</v>
      </c>
      <c r="M152" s="154">
        <f t="shared" ref="M152:V152" si="61">IF(M34=0,0,M34/M$17)</f>
        <v>0.19959985067891656</v>
      </c>
      <c r="N152" s="154">
        <f t="shared" si="61"/>
        <v>0.18861223929315193</v>
      </c>
      <c r="O152" s="154">
        <f t="shared" si="61"/>
        <v>0.17749720076685116</v>
      </c>
      <c r="P152" s="154">
        <f t="shared" si="61"/>
        <v>0.16958237596500206</v>
      </c>
      <c r="Q152" s="154">
        <f t="shared" si="61"/>
        <v>0.16782536659002367</v>
      </c>
      <c r="R152" s="154">
        <f t="shared" si="61"/>
        <v>0.17021191194702179</v>
      </c>
      <c r="S152" s="154">
        <f t="shared" si="61"/>
        <v>0.17360127116316332</v>
      </c>
      <c r="T152" s="154">
        <f t="shared" si="61"/>
        <v>0.17522806879390299</v>
      </c>
      <c r="U152" s="154">
        <f t="shared" si="61"/>
        <v>0.16876472975367099</v>
      </c>
      <c r="V152" s="154">
        <f t="shared" si="61"/>
        <v>0.18793120265362664</v>
      </c>
      <c r="W152" s="154">
        <f t="shared" ref="W152" si="62">IF(W34=0,0,W34/W$17)</f>
        <v>0.18154872836329017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1.2201542484545752E-2</v>
      </c>
      <c r="C153" s="103">
        <f t="shared" si="63"/>
        <v>1.2669180831782693E-2</v>
      </c>
      <c r="D153" s="103">
        <f t="shared" si="63"/>
        <v>1.2603225880282566E-2</v>
      </c>
      <c r="E153" s="103">
        <f t="shared" si="63"/>
        <v>1.3611811820563076E-2</v>
      </c>
      <c r="F153" s="103">
        <f t="shared" si="63"/>
        <v>1.0882702226715285E-2</v>
      </c>
      <c r="G153" s="103">
        <f t="shared" si="63"/>
        <v>8.4196265224575021E-3</v>
      </c>
      <c r="H153" s="103">
        <f t="shared" si="63"/>
        <v>7.9358126729933334E-3</v>
      </c>
      <c r="I153" s="103">
        <f t="shared" si="63"/>
        <v>6.7089521224212188E-3</v>
      </c>
      <c r="J153" s="103">
        <f t="shared" si="63"/>
        <v>7.2484024032450573E-3</v>
      </c>
      <c r="K153" s="103">
        <f t="shared" si="63"/>
        <v>6.6584038656841045E-3</v>
      </c>
      <c r="L153" s="103">
        <f t="shared" ref="L153" si="64">IF(L35=0,0,L35/L$17)</f>
        <v>6.2522907102858941E-3</v>
      </c>
      <c r="M153" s="103">
        <f t="shared" ref="M153:V153" si="65">IF(M35=0,0,M35/M$17)</f>
        <v>6.300693300141701E-3</v>
      </c>
      <c r="N153" s="103">
        <f t="shared" si="65"/>
        <v>6.7280177685348297E-3</v>
      </c>
      <c r="O153" s="103">
        <f t="shared" si="65"/>
        <v>6.775348204715057E-3</v>
      </c>
      <c r="P153" s="103">
        <f t="shared" si="65"/>
        <v>6.8244742680189738E-3</v>
      </c>
      <c r="Q153" s="103">
        <f t="shared" si="65"/>
        <v>6.5375591648938695E-3</v>
      </c>
      <c r="R153" s="103">
        <f t="shared" si="65"/>
        <v>5.8831014015948225E-3</v>
      </c>
      <c r="S153" s="103">
        <f t="shared" si="65"/>
        <v>5.8655691276681696E-3</v>
      </c>
      <c r="T153" s="103">
        <f t="shared" si="65"/>
        <v>5.8038545018068944E-3</v>
      </c>
      <c r="U153" s="103">
        <f t="shared" si="65"/>
        <v>5.7557815630112129E-3</v>
      </c>
      <c r="V153" s="103">
        <f t="shared" si="65"/>
        <v>6.0743914079761669E-3</v>
      </c>
      <c r="W153" s="103">
        <f t="shared" ref="W153" si="66">IF(W35=0,0,W35/W$17)</f>
        <v>5.9755338348549941E-3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0.30293783416735365</v>
      </c>
      <c r="C154" s="103">
        <f t="shared" si="67"/>
        <v>0.29395817662744039</v>
      </c>
      <c r="D154" s="103">
        <f t="shared" si="67"/>
        <v>0.28705424213945491</v>
      </c>
      <c r="E154" s="103">
        <f t="shared" si="67"/>
        <v>0.27099128328563893</v>
      </c>
      <c r="F154" s="103">
        <f t="shared" si="67"/>
        <v>0.25827020211274426</v>
      </c>
      <c r="G154" s="103">
        <f t="shared" si="67"/>
        <v>0.24636525019612834</v>
      </c>
      <c r="H154" s="103">
        <f t="shared" si="67"/>
        <v>0.22657338021715548</v>
      </c>
      <c r="I154" s="103">
        <f t="shared" si="67"/>
        <v>0.21631091349403264</v>
      </c>
      <c r="J154" s="103">
        <f t="shared" si="67"/>
        <v>0.20692859639063121</v>
      </c>
      <c r="K154" s="103">
        <f t="shared" si="67"/>
        <v>0.19873606423893345</v>
      </c>
      <c r="L154" s="103">
        <f t="shared" ref="L154" si="68">IF(L36=0,0,L36/L$17)</f>
        <v>0.19568438766419796</v>
      </c>
      <c r="M154" s="103">
        <f t="shared" ref="M154:V154" si="69">IF(M36=0,0,M36/M$17)</f>
        <v>0.19329915737877487</v>
      </c>
      <c r="N154" s="103">
        <f t="shared" si="69"/>
        <v>0.18188422152461708</v>
      </c>
      <c r="O154" s="103">
        <f t="shared" si="69"/>
        <v>0.17072185256213612</v>
      </c>
      <c r="P154" s="103">
        <f t="shared" si="69"/>
        <v>0.16275790169698306</v>
      </c>
      <c r="Q154" s="103">
        <f t="shared" si="69"/>
        <v>0.16128780742512983</v>
      </c>
      <c r="R154" s="103">
        <f t="shared" si="69"/>
        <v>0.16432881054542697</v>
      </c>
      <c r="S154" s="103">
        <f t="shared" si="69"/>
        <v>0.16773570203549515</v>
      </c>
      <c r="T154" s="103">
        <f t="shared" si="69"/>
        <v>0.16942421429209609</v>
      </c>
      <c r="U154" s="103">
        <f t="shared" si="69"/>
        <v>0.16300894819065978</v>
      </c>
      <c r="V154" s="103">
        <f t="shared" si="69"/>
        <v>0.18185681124565048</v>
      </c>
      <c r="W154" s="103">
        <f t="shared" ref="W154" si="70">IF(W36=0,0,W36/W$17)</f>
        <v>0.17557319452843517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0</v>
      </c>
      <c r="F155" s="103">
        <f t="shared" si="71"/>
        <v>0</v>
      </c>
      <c r="G155" s="103">
        <f t="shared" si="71"/>
        <v>0</v>
      </c>
      <c r="H155" s="103">
        <f t="shared" si="71"/>
        <v>0</v>
      </c>
      <c r="I155" s="103">
        <f t="shared" si="71"/>
        <v>0</v>
      </c>
      <c r="J155" s="103">
        <f t="shared" si="71"/>
        <v>0</v>
      </c>
      <c r="K155" s="103">
        <f t="shared" si="71"/>
        <v>0</v>
      </c>
      <c r="L155" s="103">
        <f t="shared" ref="L155" si="72">IF(L37=0,0,L37/L$17)</f>
        <v>0</v>
      </c>
      <c r="M155" s="103">
        <f t="shared" ref="M155:V155" si="73">IF(M37=0,0,M37/M$17)</f>
        <v>0</v>
      </c>
      <c r="N155" s="103">
        <f t="shared" si="73"/>
        <v>0</v>
      </c>
      <c r="O155" s="103">
        <f t="shared" si="73"/>
        <v>0</v>
      </c>
      <c r="P155" s="103">
        <f t="shared" si="73"/>
        <v>0</v>
      </c>
      <c r="Q155" s="103">
        <f t="shared" si="73"/>
        <v>0</v>
      </c>
      <c r="R155" s="103">
        <f t="shared" si="73"/>
        <v>0</v>
      </c>
      <c r="S155" s="103">
        <f t="shared" si="73"/>
        <v>0</v>
      </c>
      <c r="T155" s="103">
        <f t="shared" si="73"/>
        <v>0</v>
      </c>
      <c r="U155" s="103">
        <f t="shared" si="73"/>
        <v>0</v>
      </c>
      <c r="V155" s="103">
        <f t="shared" si="73"/>
        <v>0</v>
      </c>
      <c r="W155" s="103">
        <f t="shared" ref="W155" si="74">IF(W37=0,0,W37/W$17)</f>
        <v>0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0</v>
      </c>
      <c r="L156" s="103">
        <f t="shared" ref="L156" si="76">IF(L38=0,0,L38/L$17)</f>
        <v>0</v>
      </c>
      <c r="M156" s="103">
        <f t="shared" ref="M156:V156" si="77">IF(M38=0,0,M38/M$17)</f>
        <v>0</v>
      </c>
      <c r="N156" s="103">
        <f t="shared" si="77"/>
        <v>0</v>
      </c>
      <c r="O156" s="103">
        <f t="shared" si="77"/>
        <v>0</v>
      </c>
      <c r="P156" s="103">
        <f t="shared" si="77"/>
        <v>0</v>
      </c>
      <c r="Q156" s="103">
        <f t="shared" si="77"/>
        <v>0</v>
      </c>
      <c r="R156" s="103">
        <f t="shared" si="77"/>
        <v>0</v>
      </c>
      <c r="S156" s="103">
        <f t="shared" si="77"/>
        <v>0</v>
      </c>
      <c r="T156" s="103">
        <f t="shared" si="77"/>
        <v>0</v>
      </c>
      <c r="U156" s="103">
        <f t="shared" si="77"/>
        <v>0</v>
      </c>
      <c r="V156" s="103">
        <f t="shared" si="77"/>
        <v>0</v>
      </c>
      <c r="W156" s="103">
        <f t="shared" ref="W156" si="78">IF(W38=0,0,W38/W$17)</f>
        <v>0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8.4137152667650553E-2</v>
      </c>
      <c r="C158" s="156">
        <f t="shared" si="83"/>
        <v>8.2135683181948638E-2</v>
      </c>
      <c r="D158" s="156">
        <f t="shared" si="83"/>
        <v>7.7961311968097635E-2</v>
      </c>
      <c r="E158" s="156">
        <f t="shared" si="83"/>
        <v>8.0096886405911324E-2</v>
      </c>
      <c r="F158" s="156">
        <f t="shared" si="83"/>
        <v>6.6949003805491028E-2</v>
      </c>
      <c r="G158" s="156">
        <f t="shared" si="83"/>
        <v>7.829096487042525E-2</v>
      </c>
      <c r="H158" s="156">
        <f t="shared" si="83"/>
        <v>6.4195788516915056E-2</v>
      </c>
      <c r="I158" s="156">
        <f t="shared" si="83"/>
        <v>6.473169106156991E-2</v>
      </c>
      <c r="J158" s="156">
        <f t="shared" si="83"/>
        <v>6.5872949318364071E-2</v>
      </c>
      <c r="K158" s="156">
        <f t="shared" si="83"/>
        <v>5.1964949791087796E-2</v>
      </c>
      <c r="L158" s="156">
        <f t="shared" ref="L158" si="84">IF(L40=0,0,L40/L$17)</f>
        <v>5.7978966302778281E-2</v>
      </c>
      <c r="M158" s="156">
        <f t="shared" ref="M158:V158" si="85">IF(M40=0,0,M40/M$17)</f>
        <v>4.9952363605809132E-2</v>
      </c>
      <c r="N158" s="156">
        <f t="shared" si="85"/>
        <v>4.4651798851915232E-2</v>
      </c>
      <c r="O158" s="156">
        <f t="shared" si="85"/>
        <v>3.2715255756838937E-2</v>
      </c>
      <c r="P158" s="156">
        <f t="shared" si="85"/>
        <v>2.9203937455743241E-2</v>
      </c>
      <c r="Q158" s="156">
        <f t="shared" si="85"/>
        <v>2.8921302718151017E-2</v>
      </c>
      <c r="R158" s="156">
        <f t="shared" si="85"/>
        <v>3.727258913889013E-2</v>
      </c>
      <c r="S158" s="156">
        <f t="shared" si="85"/>
        <v>4.2479030999229492E-2</v>
      </c>
      <c r="T158" s="156">
        <f t="shared" si="85"/>
        <v>4.4137940350293746E-2</v>
      </c>
      <c r="U158" s="156">
        <f t="shared" si="85"/>
        <v>4.5493846424108954E-2</v>
      </c>
      <c r="V158" s="156">
        <f t="shared" si="85"/>
        <v>3.7798366103998893E-2</v>
      </c>
      <c r="W158" s="156">
        <f t="shared" ref="W158" si="86">IF(W40=0,0,W40/W$17)</f>
        <v>3.6719374893237455E-2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8.4137152667650553E-2</v>
      </c>
      <c r="C159" s="103">
        <f t="shared" si="87"/>
        <v>8.2135683181948638E-2</v>
      </c>
      <c r="D159" s="103">
        <f t="shared" si="87"/>
        <v>7.7961311968097635E-2</v>
      </c>
      <c r="E159" s="103">
        <f t="shared" si="87"/>
        <v>8.0096886405911324E-2</v>
      </c>
      <c r="F159" s="103">
        <f t="shared" si="87"/>
        <v>6.6949003805491028E-2</v>
      </c>
      <c r="G159" s="103">
        <f t="shared" si="87"/>
        <v>7.829096487042525E-2</v>
      </c>
      <c r="H159" s="103">
        <f t="shared" si="87"/>
        <v>6.4195788516915056E-2</v>
      </c>
      <c r="I159" s="103">
        <f t="shared" si="87"/>
        <v>6.473169106156991E-2</v>
      </c>
      <c r="J159" s="103">
        <f t="shared" si="87"/>
        <v>6.5872949318364071E-2</v>
      </c>
      <c r="K159" s="103">
        <f t="shared" si="87"/>
        <v>5.1964949791087796E-2</v>
      </c>
      <c r="L159" s="103">
        <f t="shared" ref="L159" si="88">IF(L41=0,0,L41/L$17)</f>
        <v>5.7978966302778281E-2</v>
      </c>
      <c r="M159" s="103">
        <f t="shared" ref="M159:V159" si="89">IF(M41=0,0,M41/M$17)</f>
        <v>4.9952363605809132E-2</v>
      </c>
      <c r="N159" s="103">
        <f t="shared" si="89"/>
        <v>4.4651798851915232E-2</v>
      </c>
      <c r="O159" s="103">
        <f t="shared" si="89"/>
        <v>3.2715255756838937E-2</v>
      </c>
      <c r="P159" s="103">
        <f t="shared" si="89"/>
        <v>2.9203937455743241E-2</v>
      </c>
      <c r="Q159" s="103">
        <f t="shared" si="89"/>
        <v>2.8921302718151017E-2</v>
      </c>
      <c r="R159" s="103">
        <f t="shared" si="89"/>
        <v>3.727258913889013E-2</v>
      </c>
      <c r="S159" s="103">
        <f t="shared" si="89"/>
        <v>4.2479030999229492E-2</v>
      </c>
      <c r="T159" s="103">
        <f t="shared" si="89"/>
        <v>4.4137940350293746E-2</v>
      </c>
      <c r="U159" s="103">
        <f t="shared" si="89"/>
        <v>4.5493846424108954E-2</v>
      </c>
      <c r="V159" s="103">
        <f t="shared" si="89"/>
        <v>3.7798366103998893E-2</v>
      </c>
      <c r="W159" s="103">
        <f t="shared" ref="W159" si="90">IF(W41=0,0,W41/W$17)</f>
        <v>3.6719374893237455E-2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0</v>
      </c>
      <c r="C160" s="105">
        <f t="shared" si="91"/>
        <v>0</v>
      </c>
      <c r="D160" s="105">
        <f t="shared" si="91"/>
        <v>0</v>
      </c>
      <c r="E160" s="105">
        <f t="shared" si="91"/>
        <v>0</v>
      </c>
      <c r="F160" s="105">
        <f t="shared" si="91"/>
        <v>0</v>
      </c>
      <c r="G160" s="105">
        <f t="shared" si="91"/>
        <v>0</v>
      </c>
      <c r="H160" s="105">
        <f t="shared" si="91"/>
        <v>0</v>
      </c>
      <c r="I160" s="105">
        <f t="shared" si="91"/>
        <v>0</v>
      </c>
      <c r="J160" s="105">
        <f t="shared" si="91"/>
        <v>0</v>
      </c>
      <c r="K160" s="105">
        <f t="shared" si="91"/>
        <v>0</v>
      </c>
      <c r="L160" s="105">
        <f t="shared" ref="L160" si="92">IF(L42=0,0,L42/L$17)</f>
        <v>0</v>
      </c>
      <c r="M160" s="105">
        <f t="shared" ref="M160:V160" si="93">IF(M42=0,0,M42/M$17)</f>
        <v>0</v>
      </c>
      <c r="N160" s="105">
        <f t="shared" si="93"/>
        <v>0</v>
      </c>
      <c r="O160" s="105">
        <f t="shared" si="93"/>
        <v>0</v>
      </c>
      <c r="P160" s="105">
        <f t="shared" si="93"/>
        <v>0</v>
      </c>
      <c r="Q160" s="105">
        <f t="shared" si="93"/>
        <v>0</v>
      </c>
      <c r="R160" s="105">
        <f t="shared" si="93"/>
        <v>0</v>
      </c>
      <c r="S160" s="105">
        <f t="shared" si="93"/>
        <v>0</v>
      </c>
      <c r="T160" s="105">
        <f t="shared" si="93"/>
        <v>0</v>
      </c>
      <c r="U160" s="105">
        <f t="shared" si="93"/>
        <v>0</v>
      </c>
      <c r="V160" s="105">
        <f t="shared" si="93"/>
        <v>0</v>
      </c>
      <c r="W160" s="105">
        <f t="shared" ref="W160" si="94">IF(W42=0,0,W42/W$17)</f>
        <v>0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427905</v>
      </c>
      <c r="C3" s="54">
        <f>TrRoad_act!C57</f>
        <v>442975</v>
      </c>
      <c r="D3" s="54">
        <f>TrRoad_act!D57</f>
        <v>448652</v>
      </c>
      <c r="E3" s="54">
        <f>TrRoad_act!E57</f>
        <v>466903</v>
      </c>
      <c r="F3" s="54">
        <f>TrRoad_act!F57</f>
        <v>498042</v>
      </c>
      <c r="G3" s="54">
        <f>TrRoad_act!G57</f>
        <v>517244</v>
      </c>
      <c r="H3" s="54">
        <f>TrRoad_act!H57</f>
        <v>532448</v>
      </c>
      <c r="I3" s="54">
        <f>TrRoad_act!I57</f>
        <v>568104</v>
      </c>
      <c r="J3" s="54">
        <f>TrRoad_act!J57</f>
        <v>605100</v>
      </c>
      <c r="K3" s="54">
        <f>TrRoad_act!K57</f>
        <v>622895</v>
      </c>
      <c r="L3" s="54">
        <f>TrRoad_act!L57</f>
        <v>622625</v>
      </c>
      <c r="M3" s="54">
        <f>TrRoad_act!M57</f>
        <v>627954</v>
      </c>
      <c r="N3" s="54">
        <f>TrRoad_act!N57</f>
        <v>633994</v>
      </c>
      <c r="O3" s="54">
        <f>TrRoad_act!O57</f>
        <v>627315</v>
      </c>
      <c r="P3" s="54">
        <f>TrRoad_act!P57</f>
        <v>627567</v>
      </c>
      <c r="Q3" s="54">
        <f>TrRoad_act!Q57</f>
        <v>634588</v>
      </c>
      <c r="R3" s="54">
        <f>TrRoad_act!R57</f>
        <v>657443</v>
      </c>
      <c r="S3" s="54">
        <f>TrRoad_act!S57</f>
        <v>677128</v>
      </c>
      <c r="T3" s="54">
        <f>TrRoad_act!T57</f>
        <v>705644</v>
      </c>
      <c r="U3" s="54">
        <f>TrRoad_act!U57</f>
        <v>731026</v>
      </c>
      <c r="V3" s="54">
        <f>TrRoad_act!V57</f>
        <v>738541</v>
      </c>
      <c r="W3" s="54">
        <f>TrRoad_act!W57</f>
        <v>755184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313264</v>
      </c>
      <c r="C4" s="28">
        <f>TrRoad_act!C58</f>
        <v>325057</v>
      </c>
      <c r="D4" s="28">
        <f>TrRoad_act!D58</f>
        <v>330895</v>
      </c>
      <c r="E4" s="28">
        <f>TrRoad_act!E58</f>
        <v>347292</v>
      </c>
      <c r="F4" s="28">
        <f>TrRoad_act!F58</f>
        <v>380229</v>
      </c>
      <c r="G4" s="28">
        <f>TrRoad_act!G58</f>
        <v>398732</v>
      </c>
      <c r="H4" s="28">
        <f>TrRoad_act!H58</f>
        <v>416525</v>
      </c>
      <c r="I4" s="28">
        <f>TrRoad_act!I58</f>
        <v>455439</v>
      </c>
      <c r="J4" s="28">
        <f>TrRoad_act!J58</f>
        <v>490138</v>
      </c>
      <c r="K4" s="28">
        <f>TrRoad_act!K58</f>
        <v>506643</v>
      </c>
      <c r="L4" s="28">
        <f>TrRoad_act!L58</f>
        <v>506782</v>
      </c>
      <c r="M4" s="28">
        <f>TrRoad_act!M58</f>
        <v>512808</v>
      </c>
      <c r="N4" s="28">
        <f>TrRoad_act!N58</f>
        <v>520125</v>
      </c>
      <c r="O4" s="28">
        <f>TrRoad_act!O58</f>
        <v>518017</v>
      </c>
      <c r="P4" s="28">
        <f>TrRoad_act!P58</f>
        <v>522892</v>
      </c>
      <c r="Q4" s="28">
        <f>TrRoad_act!Q58</f>
        <v>530553</v>
      </c>
      <c r="R4" s="28">
        <f>TrRoad_act!R58</f>
        <v>550974</v>
      </c>
      <c r="S4" s="28">
        <f>TrRoad_act!S58</f>
        <v>569248</v>
      </c>
      <c r="T4" s="28">
        <f>TrRoad_act!T58</f>
        <v>594498</v>
      </c>
      <c r="U4" s="28">
        <f>TrRoad_act!U58</f>
        <v>616236</v>
      </c>
      <c r="V4" s="28">
        <f>TrRoad_act!V58</f>
        <v>621863</v>
      </c>
      <c r="W4" s="28">
        <f>TrRoad_act!W58</f>
        <v>636865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43315</v>
      </c>
      <c r="C5" s="137">
        <f>TrRoad_act!C59</f>
        <v>41985</v>
      </c>
      <c r="D5" s="137">
        <f>TrRoad_act!D59</f>
        <v>40276</v>
      </c>
      <c r="E5" s="137">
        <f>TrRoad_act!E59</f>
        <v>41516</v>
      </c>
      <c r="F5" s="137">
        <f>TrRoad_act!F59</f>
        <v>41396</v>
      </c>
      <c r="G5" s="137">
        <f>TrRoad_act!G59</f>
        <v>40381</v>
      </c>
      <c r="H5" s="137">
        <f>TrRoad_act!H59</f>
        <v>40359</v>
      </c>
      <c r="I5" s="137">
        <f>TrRoad_act!I59</f>
        <v>41211</v>
      </c>
      <c r="J5" s="137">
        <f>TrRoad_act!J59</f>
        <v>43219</v>
      </c>
      <c r="K5" s="137">
        <f>TrRoad_act!K59</f>
        <v>42690</v>
      </c>
      <c r="L5" s="137">
        <f>TrRoad_act!L59</f>
        <v>40727</v>
      </c>
      <c r="M5" s="137">
        <f>TrRoad_act!M59</f>
        <v>39803</v>
      </c>
      <c r="N5" s="137">
        <f>TrRoad_act!N59</f>
        <v>41105</v>
      </c>
      <c r="O5" s="137">
        <f>TrRoad_act!O59</f>
        <v>39969</v>
      </c>
      <c r="P5" s="137">
        <f>TrRoad_act!P59</f>
        <v>40970</v>
      </c>
      <c r="Q5" s="137">
        <f>TrRoad_act!Q59</f>
        <v>39282</v>
      </c>
      <c r="R5" s="137">
        <f>TrRoad_act!R59</f>
        <v>39242</v>
      </c>
      <c r="S5" s="137">
        <f>TrRoad_act!S59</f>
        <v>39400</v>
      </c>
      <c r="T5" s="137">
        <f>TrRoad_act!T59</f>
        <v>39764</v>
      </c>
      <c r="U5" s="137">
        <f>TrRoad_act!U59</f>
        <v>39703</v>
      </c>
      <c r="V5" s="137">
        <f>TrRoad_act!V59</f>
        <v>40351</v>
      </c>
      <c r="W5" s="137">
        <f>TrRoad_act!W59</f>
        <v>41141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267000</v>
      </c>
      <c r="C6" s="110">
        <f>TrRoad_act!C60</f>
        <v>280069</v>
      </c>
      <c r="D6" s="110">
        <f>TrRoad_act!D60</f>
        <v>287622</v>
      </c>
      <c r="E6" s="110">
        <f>TrRoad_act!E60</f>
        <v>302501</v>
      </c>
      <c r="F6" s="110">
        <f>TrRoad_act!F60</f>
        <v>335634</v>
      </c>
      <c r="G6" s="110">
        <f>TrRoad_act!G60</f>
        <v>355134</v>
      </c>
      <c r="H6" s="110">
        <f>TrRoad_act!H60</f>
        <v>372945</v>
      </c>
      <c r="I6" s="110">
        <f>TrRoad_act!I60</f>
        <v>410936</v>
      </c>
      <c r="J6" s="110">
        <f>TrRoad_act!J60</f>
        <v>443517</v>
      </c>
      <c r="K6" s="110">
        <f>TrRoad_act!K60</f>
        <v>460504</v>
      </c>
      <c r="L6" s="110">
        <f>TrRoad_act!L60</f>
        <v>462652</v>
      </c>
      <c r="M6" s="110">
        <f>TrRoad_act!M60</f>
        <v>469543</v>
      </c>
      <c r="N6" s="110">
        <f>TrRoad_act!N60</f>
        <v>475462</v>
      </c>
      <c r="O6" s="110">
        <f>TrRoad_act!O60</f>
        <v>474552</v>
      </c>
      <c r="P6" s="110">
        <f>TrRoad_act!P60</f>
        <v>478495</v>
      </c>
      <c r="Q6" s="110">
        <f>TrRoad_act!Q60</f>
        <v>487721</v>
      </c>
      <c r="R6" s="110">
        <f>TrRoad_act!R60</f>
        <v>508155</v>
      </c>
      <c r="S6" s="110">
        <f>TrRoad_act!S60</f>
        <v>526322</v>
      </c>
      <c r="T6" s="110">
        <f>TrRoad_act!T60</f>
        <v>551314</v>
      </c>
      <c r="U6" s="110">
        <f>TrRoad_act!U60</f>
        <v>573144</v>
      </c>
      <c r="V6" s="110">
        <f>TrRoad_act!V60</f>
        <v>578815</v>
      </c>
      <c r="W6" s="110">
        <f>TrRoad_act!W60</f>
        <v>592910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237000</v>
      </c>
      <c r="C7" s="84">
        <f>TrRoad_act!C61</f>
        <v>247164</v>
      </c>
      <c r="D7" s="84">
        <f>TrRoad_act!D61</f>
        <v>254431</v>
      </c>
      <c r="E7" s="84">
        <f>TrRoad_act!E61</f>
        <v>268875</v>
      </c>
      <c r="F7" s="84">
        <f>TrRoad_act!F61</f>
        <v>301834</v>
      </c>
      <c r="G7" s="84">
        <f>TrRoad_act!G61</f>
        <v>322063</v>
      </c>
      <c r="H7" s="84">
        <f>TrRoad_act!H61</f>
        <v>340539</v>
      </c>
      <c r="I7" s="84">
        <f>TrRoad_act!I61</f>
        <v>375337</v>
      </c>
      <c r="J7" s="84">
        <f>TrRoad_act!J61</f>
        <v>403269</v>
      </c>
      <c r="K7" s="84">
        <f>TrRoad_act!K61</f>
        <v>416605</v>
      </c>
      <c r="L7" s="84">
        <f>TrRoad_act!L61</f>
        <v>416450</v>
      </c>
      <c r="M7" s="84">
        <f>TrRoad_act!M61</f>
        <v>421509</v>
      </c>
      <c r="N7" s="84">
        <f>TrRoad_act!N61</f>
        <v>426214</v>
      </c>
      <c r="O7" s="84">
        <f>TrRoad_act!O61</f>
        <v>424068</v>
      </c>
      <c r="P7" s="84">
        <f>TrRoad_act!P61</f>
        <v>423607</v>
      </c>
      <c r="Q7" s="84">
        <f>TrRoad_act!Q61</f>
        <v>427077</v>
      </c>
      <c r="R7" s="84">
        <f>TrRoad_act!R61</f>
        <v>437807</v>
      </c>
      <c r="S7" s="84">
        <f>TrRoad_act!S61</f>
        <v>442623</v>
      </c>
      <c r="T7" s="84">
        <f>TrRoad_act!T61</f>
        <v>450682</v>
      </c>
      <c r="U7" s="84">
        <f>TrRoad_act!U61</f>
        <v>457482</v>
      </c>
      <c r="V7" s="84">
        <f>TrRoad_act!V61</f>
        <v>453727</v>
      </c>
      <c r="W7" s="84">
        <f>TrRoad_act!W61</f>
        <v>461558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30000</v>
      </c>
      <c r="C8" s="84">
        <f>TrRoad_act!C62</f>
        <v>32905</v>
      </c>
      <c r="D8" s="84">
        <f>TrRoad_act!D62</f>
        <v>33191</v>
      </c>
      <c r="E8" s="84">
        <f>TrRoad_act!E62</f>
        <v>33626</v>
      </c>
      <c r="F8" s="84">
        <f>TrRoad_act!F62</f>
        <v>33800</v>
      </c>
      <c r="G8" s="84">
        <f>TrRoad_act!G62</f>
        <v>33071</v>
      </c>
      <c r="H8" s="84">
        <f>TrRoad_act!H62</f>
        <v>32406</v>
      </c>
      <c r="I8" s="84">
        <f>TrRoad_act!I62</f>
        <v>35599</v>
      </c>
      <c r="J8" s="84">
        <f>TrRoad_act!J62</f>
        <v>40248</v>
      </c>
      <c r="K8" s="84">
        <f>TrRoad_act!K62</f>
        <v>43899</v>
      </c>
      <c r="L8" s="84">
        <f>TrRoad_act!L62</f>
        <v>46202</v>
      </c>
      <c r="M8" s="84">
        <f>TrRoad_act!M62</f>
        <v>48034</v>
      </c>
      <c r="N8" s="84">
        <f>TrRoad_act!N62</f>
        <v>49248</v>
      </c>
      <c r="O8" s="84">
        <f>TrRoad_act!O62</f>
        <v>50478</v>
      </c>
      <c r="P8" s="84">
        <f>TrRoad_act!P62</f>
        <v>54870</v>
      </c>
      <c r="Q8" s="84">
        <f>TrRoad_act!Q62</f>
        <v>60592</v>
      </c>
      <c r="R8" s="84">
        <f>TrRoad_act!R62</f>
        <v>70264</v>
      </c>
      <c r="S8" s="84">
        <f>TrRoad_act!S62</f>
        <v>83505</v>
      </c>
      <c r="T8" s="84">
        <f>TrRoad_act!T62</f>
        <v>99381</v>
      </c>
      <c r="U8" s="84">
        <f>TrRoad_act!U62</f>
        <v>114291</v>
      </c>
      <c r="V8" s="84">
        <f>TrRoad_act!V62</f>
        <v>123622</v>
      </c>
      <c r="W8" s="84">
        <f>TrRoad_act!W62</f>
        <v>129664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0</v>
      </c>
      <c r="C9" s="84">
        <f>TrRoad_act!C63</f>
        <v>0</v>
      </c>
      <c r="D9" s="84">
        <f>TrRoad_act!D63</f>
        <v>0</v>
      </c>
      <c r="E9" s="84">
        <f>TrRoad_act!E63</f>
        <v>0</v>
      </c>
      <c r="F9" s="84">
        <f>TrRoad_act!F63</f>
        <v>0</v>
      </c>
      <c r="G9" s="84">
        <f>TrRoad_act!G63</f>
        <v>0</v>
      </c>
      <c r="H9" s="84">
        <f>TrRoad_act!H63</f>
        <v>0</v>
      </c>
      <c r="I9" s="84">
        <f>TrRoad_act!I63</f>
        <v>0</v>
      </c>
      <c r="J9" s="84">
        <f>TrRoad_act!J63</f>
        <v>0</v>
      </c>
      <c r="K9" s="84">
        <f>TrRoad_act!K63</f>
        <v>0</v>
      </c>
      <c r="L9" s="84">
        <f>TrRoad_act!L63</f>
        <v>0</v>
      </c>
      <c r="M9" s="84">
        <f>TrRoad_act!M63</f>
        <v>0</v>
      </c>
      <c r="N9" s="84">
        <f>TrRoad_act!N63</f>
        <v>0</v>
      </c>
      <c r="O9" s="84">
        <f>TrRoad_act!O63</f>
        <v>0</v>
      </c>
      <c r="P9" s="84">
        <f>TrRoad_act!P63</f>
        <v>0</v>
      </c>
      <c r="Q9" s="84">
        <f>TrRoad_act!Q63</f>
        <v>0</v>
      </c>
      <c r="R9" s="84">
        <f>TrRoad_act!R63</f>
        <v>0</v>
      </c>
      <c r="S9" s="84">
        <f>TrRoad_act!S63</f>
        <v>0</v>
      </c>
      <c r="T9" s="84">
        <f>TrRoad_act!T63</f>
        <v>950</v>
      </c>
      <c r="U9" s="84">
        <f>TrRoad_act!U63</f>
        <v>921</v>
      </c>
      <c r="V9" s="84">
        <f>TrRoad_act!V63</f>
        <v>895</v>
      </c>
      <c r="W9" s="84">
        <f>TrRoad_act!W63</f>
        <v>885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0</v>
      </c>
      <c r="I10" s="84">
        <f>TrRoad_act!I64</f>
        <v>0</v>
      </c>
      <c r="J10" s="84">
        <f>TrRoad_act!J64</f>
        <v>0</v>
      </c>
      <c r="K10" s="84">
        <f>TrRoad_act!K64</f>
        <v>0</v>
      </c>
      <c r="L10" s="84">
        <f>TrRoad_act!L64</f>
        <v>0</v>
      </c>
      <c r="M10" s="84">
        <f>TrRoad_act!M64</f>
        <v>0</v>
      </c>
      <c r="N10" s="84">
        <f>TrRoad_act!N64</f>
        <v>0</v>
      </c>
      <c r="O10" s="84">
        <f>TrRoad_act!O64</f>
        <v>0</v>
      </c>
      <c r="P10" s="84">
        <f>TrRoad_act!P64</f>
        <v>0</v>
      </c>
      <c r="Q10" s="84">
        <f>TrRoad_act!Q64</f>
        <v>0</v>
      </c>
      <c r="R10" s="84">
        <f>TrRoad_act!R64</f>
        <v>0</v>
      </c>
      <c r="S10" s="84">
        <f>TrRoad_act!S64</f>
        <v>0</v>
      </c>
      <c r="T10" s="84">
        <f>TrRoad_act!T64</f>
        <v>0</v>
      </c>
      <c r="U10" s="84">
        <f>TrRoad_act!U64</f>
        <v>0</v>
      </c>
      <c r="V10" s="84">
        <f>TrRoad_act!V64</f>
        <v>0</v>
      </c>
      <c r="W10" s="84">
        <f>TrRoad_act!W64</f>
        <v>0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0</v>
      </c>
      <c r="O11" s="84">
        <f>TrRoad_act!O65</f>
        <v>0</v>
      </c>
      <c r="P11" s="84">
        <f>TrRoad_act!P65</f>
        <v>3</v>
      </c>
      <c r="Q11" s="84">
        <f>TrRoad_act!Q65</f>
        <v>29</v>
      </c>
      <c r="R11" s="84">
        <f>TrRoad_act!R65</f>
        <v>49</v>
      </c>
      <c r="S11" s="84">
        <f>TrRoad_act!S65</f>
        <v>104</v>
      </c>
      <c r="T11" s="84">
        <f>TrRoad_act!T65</f>
        <v>158</v>
      </c>
      <c r="U11" s="84">
        <f>TrRoad_act!U65</f>
        <v>242</v>
      </c>
      <c r="V11" s="84">
        <f>TrRoad_act!V65</f>
        <v>320</v>
      </c>
      <c r="W11" s="84">
        <f>TrRoad_act!W65</f>
        <v>468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0</v>
      </c>
      <c r="K12" s="84">
        <f>TrRoad_act!K66</f>
        <v>0</v>
      </c>
      <c r="L12" s="84">
        <f>TrRoad_act!L66</f>
        <v>0</v>
      </c>
      <c r="M12" s="84">
        <f>TrRoad_act!M66</f>
        <v>0</v>
      </c>
      <c r="N12" s="84">
        <f>TrRoad_act!N66</f>
        <v>0</v>
      </c>
      <c r="O12" s="84">
        <f>TrRoad_act!O66</f>
        <v>6</v>
      </c>
      <c r="P12" s="84">
        <f>TrRoad_act!P66</f>
        <v>15</v>
      </c>
      <c r="Q12" s="84">
        <f>TrRoad_act!Q66</f>
        <v>23</v>
      </c>
      <c r="R12" s="84">
        <f>TrRoad_act!R66</f>
        <v>35</v>
      </c>
      <c r="S12" s="84">
        <f>TrRoad_act!S66</f>
        <v>90</v>
      </c>
      <c r="T12" s="84">
        <f>TrRoad_act!T66</f>
        <v>143</v>
      </c>
      <c r="U12" s="84">
        <f>TrRoad_act!U66</f>
        <v>208</v>
      </c>
      <c r="V12" s="84">
        <f>TrRoad_act!V66</f>
        <v>251</v>
      </c>
      <c r="W12" s="84">
        <f>TrRoad_act!W66</f>
        <v>335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2949</v>
      </c>
      <c r="C13" s="110">
        <f>TrRoad_act!C67</f>
        <v>3003</v>
      </c>
      <c r="D13" s="110">
        <f>TrRoad_act!D67</f>
        <v>2997</v>
      </c>
      <c r="E13" s="110">
        <f>TrRoad_act!E67</f>
        <v>3275</v>
      </c>
      <c r="F13" s="110">
        <f>TrRoad_act!F67</f>
        <v>3199</v>
      </c>
      <c r="G13" s="110">
        <f>TrRoad_act!G67</f>
        <v>3217</v>
      </c>
      <c r="H13" s="110">
        <f>TrRoad_act!H67</f>
        <v>3221</v>
      </c>
      <c r="I13" s="110">
        <f>TrRoad_act!I67</f>
        <v>3292</v>
      </c>
      <c r="J13" s="110">
        <f>TrRoad_act!J67</f>
        <v>3402</v>
      </c>
      <c r="K13" s="110">
        <f>TrRoad_act!K67</f>
        <v>3449</v>
      </c>
      <c r="L13" s="110">
        <f>TrRoad_act!L67</f>
        <v>3403</v>
      </c>
      <c r="M13" s="110">
        <f>TrRoad_act!M67</f>
        <v>3462</v>
      </c>
      <c r="N13" s="110">
        <f>TrRoad_act!N67</f>
        <v>3558</v>
      </c>
      <c r="O13" s="110">
        <f>TrRoad_act!O67</f>
        <v>3496</v>
      </c>
      <c r="P13" s="110">
        <f>TrRoad_act!P67</f>
        <v>3427</v>
      </c>
      <c r="Q13" s="110">
        <f>TrRoad_act!Q67</f>
        <v>3550</v>
      </c>
      <c r="R13" s="110">
        <f>TrRoad_act!R67</f>
        <v>3577</v>
      </c>
      <c r="S13" s="110">
        <f>TrRoad_act!S67</f>
        <v>3526</v>
      </c>
      <c r="T13" s="110">
        <f>TrRoad_act!T67</f>
        <v>3420</v>
      </c>
      <c r="U13" s="110">
        <f>TrRoad_act!U67</f>
        <v>3389</v>
      </c>
      <c r="V13" s="110">
        <f>TrRoad_act!V67</f>
        <v>2697</v>
      </c>
      <c r="W13" s="110">
        <f>TrRoad_act!W67</f>
        <v>2814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153</v>
      </c>
      <c r="C14" s="102">
        <f>TrRoad_act!C68</f>
        <v>151</v>
      </c>
      <c r="D14" s="102">
        <f>TrRoad_act!D68</f>
        <v>146</v>
      </c>
      <c r="E14" s="102">
        <f>TrRoad_act!E68</f>
        <v>147</v>
      </c>
      <c r="F14" s="102">
        <f>TrRoad_act!F68</f>
        <v>145</v>
      </c>
      <c r="G14" s="102">
        <f>TrRoad_act!G68</f>
        <v>144</v>
      </c>
      <c r="H14" s="102">
        <f>TrRoad_act!H68</f>
        <v>147</v>
      </c>
      <c r="I14" s="102">
        <f>TrRoad_act!I68</f>
        <v>146</v>
      </c>
      <c r="J14" s="102">
        <f>TrRoad_act!J68</f>
        <v>147</v>
      </c>
      <c r="K14" s="102">
        <f>TrRoad_act!K68</f>
        <v>144</v>
      </c>
      <c r="L14" s="102">
        <f>TrRoad_act!L68</f>
        <v>146</v>
      </c>
      <c r="M14" s="102">
        <f>TrRoad_act!M68</f>
        <v>148</v>
      </c>
      <c r="N14" s="102">
        <f>TrRoad_act!N68</f>
        <v>149</v>
      </c>
      <c r="O14" s="102">
        <f>TrRoad_act!O68</f>
        <v>147</v>
      </c>
      <c r="P14" s="102">
        <f>TrRoad_act!P68</f>
        <v>51</v>
      </c>
      <c r="Q14" s="102">
        <f>TrRoad_act!Q68</f>
        <v>45</v>
      </c>
      <c r="R14" s="102">
        <f>TrRoad_act!R68</f>
        <v>44</v>
      </c>
      <c r="S14" s="102">
        <f>TrRoad_act!S68</f>
        <v>44</v>
      </c>
      <c r="T14" s="102">
        <f>TrRoad_act!T68</f>
        <v>44</v>
      </c>
      <c r="U14" s="102">
        <f>TrRoad_act!U68</f>
        <v>44</v>
      </c>
      <c r="V14" s="102">
        <f>TrRoad_act!V68</f>
        <v>44</v>
      </c>
      <c r="W14" s="102">
        <f>TrRoad_act!W68</f>
        <v>43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2796</v>
      </c>
      <c r="C15" s="102">
        <f>TrRoad_act!C69</f>
        <v>2852</v>
      </c>
      <c r="D15" s="102">
        <f>TrRoad_act!D69</f>
        <v>2851</v>
      </c>
      <c r="E15" s="102">
        <f>TrRoad_act!E69</f>
        <v>3128</v>
      </c>
      <c r="F15" s="102">
        <f>TrRoad_act!F69</f>
        <v>3054</v>
      </c>
      <c r="G15" s="102">
        <f>TrRoad_act!G69</f>
        <v>3073</v>
      </c>
      <c r="H15" s="102">
        <f>TrRoad_act!H69</f>
        <v>3074</v>
      </c>
      <c r="I15" s="102">
        <f>TrRoad_act!I69</f>
        <v>3146</v>
      </c>
      <c r="J15" s="102">
        <f>TrRoad_act!J69</f>
        <v>3254</v>
      </c>
      <c r="K15" s="102">
        <f>TrRoad_act!K69</f>
        <v>3304</v>
      </c>
      <c r="L15" s="102">
        <f>TrRoad_act!L69</f>
        <v>3256</v>
      </c>
      <c r="M15" s="102">
        <f>TrRoad_act!M69</f>
        <v>3313</v>
      </c>
      <c r="N15" s="102">
        <f>TrRoad_act!N69</f>
        <v>3408</v>
      </c>
      <c r="O15" s="102">
        <f>TrRoad_act!O69</f>
        <v>3348</v>
      </c>
      <c r="P15" s="102">
        <f>TrRoad_act!P69</f>
        <v>3375</v>
      </c>
      <c r="Q15" s="102">
        <f>TrRoad_act!Q69</f>
        <v>3504</v>
      </c>
      <c r="R15" s="102">
        <f>TrRoad_act!R69</f>
        <v>3532</v>
      </c>
      <c r="S15" s="102">
        <f>TrRoad_act!S69</f>
        <v>3481</v>
      </c>
      <c r="T15" s="102">
        <f>TrRoad_act!T69</f>
        <v>3375</v>
      </c>
      <c r="U15" s="102">
        <f>TrRoad_act!U69</f>
        <v>3344</v>
      </c>
      <c r="V15" s="102">
        <f>TrRoad_act!V69</f>
        <v>2652</v>
      </c>
      <c r="W15" s="102">
        <f>TrRoad_act!W69</f>
        <v>2770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0</v>
      </c>
      <c r="K16" s="102">
        <f>TrRoad_act!K70</f>
        <v>0</v>
      </c>
      <c r="L16" s="102">
        <f>TrRoad_act!L70</f>
        <v>0</v>
      </c>
      <c r="M16" s="102">
        <f>TrRoad_act!M70</f>
        <v>0</v>
      </c>
      <c r="N16" s="102">
        <f>TrRoad_act!N70</f>
        <v>0</v>
      </c>
      <c r="O16" s="102">
        <f>TrRoad_act!O70</f>
        <v>0</v>
      </c>
      <c r="P16" s="102">
        <f>TrRoad_act!P70</f>
        <v>0</v>
      </c>
      <c r="Q16" s="102">
        <f>TrRoad_act!Q70</f>
        <v>0</v>
      </c>
      <c r="R16" s="102">
        <f>TrRoad_act!R70</f>
        <v>0</v>
      </c>
      <c r="S16" s="102">
        <f>TrRoad_act!S70</f>
        <v>0</v>
      </c>
      <c r="T16" s="102">
        <f>TrRoad_act!T70</f>
        <v>0</v>
      </c>
      <c r="U16" s="102">
        <f>TrRoad_act!U70</f>
        <v>0</v>
      </c>
      <c r="V16" s="102">
        <f>TrRoad_act!V70</f>
        <v>0</v>
      </c>
      <c r="W16" s="102">
        <f>TrRoad_act!W70</f>
        <v>0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0</v>
      </c>
      <c r="C17" s="102">
        <f>TrRoad_act!C71</f>
        <v>0</v>
      </c>
      <c r="D17" s="102">
        <f>TrRoad_act!D71</f>
        <v>0</v>
      </c>
      <c r="E17" s="102">
        <f>TrRoad_act!E71</f>
        <v>0</v>
      </c>
      <c r="F17" s="102">
        <f>TrRoad_act!F71</f>
        <v>0</v>
      </c>
      <c r="G17" s="102">
        <f>TrRoad_act!G71</f>
        <v>0</v>
      </c>
      <c r="H17" s="102">
        <f>TrRoad_act!H71</f>
        <v>0</v>
      </c>
      <c r="I17" s="102">
        <f>TrRoad_act!I71</f>
        <v>0</v>
      </c>
      <c r="J17" s="102">
        <f>TrRoad_act!J71</f>
        <v>0</v>
      </c>
      <c r="K17" s="102">
        <f>TrRoad_act!K71</f>
        <v>0</v>
      </c>
      <c r="L17" s="102">
        <f>TrRoad_act!L71</f>
        <v>0</v>
      </c>
      <c r="M17" s="102">
        <f>TrRoad_act!M71</f>
        <v>0</v>
      </c>
      <c r="N17" s="102">
        <f>TrRoad_act!N71</f>
        <v>0</v>
      </c>
      <c r="O17" s="102">
        <f>TrRoad_act!O71</f>
        <v>0</v>
      </c>
      <c r="P17" s="102">
        <f>TrRoad_act!P71</f>
        <v>0</v>
      </c>
      <c r="Q17" s="102">
        <f>TrRoad_act!Q71</f>
        <v>0</v>
      </c>
      <c r="R17" s="102">
        <f>TrRoad_act!R71</f>
        <v>0</v>
      </c>
      <c r="S17" s="102">
        <f>TrRoad_act!S71</f>
        <v>0</v>
      </c>
      <c r="T17" s="102">
        <f>TrRoad_act!T71</f>
        <v>0</v>
      </c>
      <c r="U17" s="102">
        <f>TrRoad_act!U71</f>
        <v>0</v>
      </c>
      <c r="V17" s="102">
        <f>TrRoad_act!V71</f>
        <v>0</v>
      </c>
      <c r="W17" s="102">
        <f>TrRoad_act!W71</f>
        <v>0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0</v>
      </c>
      <c r="C18" s="102">
        <f>TrRoad_act!C72</f>
        <v>0</v>
      </c>
      <c r="D18" s="102">
        <f>TrRoad_act!D72</f>
        <v>0</v>
      </c>
      <c r="E18" s="102">
        <f>TrRoad_act!E72</f>
        <v>0</v>
      </c>
      <c r="F18" s="102">
        <f>TrRoad_act!F72</f>
        <v>0</v>
      </c>
      <c r="G18" s="102">
        <f>TrRoad_act!G72</f>
        <v>0</v>
      </c>
      <c r="H18" s="102">
        <f>TrRoad_act!H72</f>
        <v>0</v>
      </c>
      <c r="I18" s="102">
        <f>TrRoad_act!I72</f>
        <v>0</v>
      </c>
      <c r="J18" s="102">
        <f>TrRoad_act!J72</f>
        <v>1</v>
      </c>
      <c r="K18" s="102">
        <f>TrRoad_act!K72</f>
        <v>1</v>
      </c>
      <c r="L18" s="102">
        <f>TrRoad_act!L72</f>
        <v>1</v>
      </c>
      <c r="M18" s="102">
        <f>TrRoad_act!M72</f>
        <v>1</v>
      </c>
      <c r="N18" s="102">
        <f>TrRoad_act!N72</f>
        <v>1</v>
      </c>
      <c r="O18" s="102">
        <f>TrRoad_act!O72</f>
        <v>1</v>
      </c>
      <c r="P18" s="102">
        <f>TrRoad_act!P72</f>
        <v>1</v>
      </c>
      <c r="Q18" s="102">
        <f>TrRoad_act!Q72</f>
        <v>1</v>
      </c>
      <c r="R18" s="102">
        <f>TrRoad_act!R72</f>
        <v>1</v>
      </c>
      <c r="S18" s="102">
        <f>TrRoad_act!S72</f>
        <v>1</v>
      </c>
      <c r="T18" s="102">
        <f>TrRoad_act!T72</f>
        <v>1</v>
      </c>
      <c r="U18" s="102">
        <f>TrRoad_act!U72</f>
        <v>1</v>
      </c>
      <c r="V18" s="102">
        <f>TrRoad_act!V72</f>
        <v>1</v>
      </c>
      <c r="W18" s="102">
        <f>TrRoad_act!W72</f>
        <v>1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114641</v>
      </c>
      <c r="C19" s="28">
        <f>TrRoad_act!C73</f>
        <v>117918</v>
      </c>
      <c r="D19" s="28">
        <f>TrRoad_act!D73</f>
        <v>117757</v>
      </c>
      <c r="E19" s="28">
        <f>TrRoad_act!E73</f>
        <v>119611</v>
      </c>
      <c r="F19" s="28">
        <f>TrRoad_act!F73</f>
        <v>117813</v>
      </c>
      <c r="G19" s="28">
        <f>TrRoad_act!G73</f>
        <v>118512</v>
      </c>
      <c r="H19" s="28">
        <f>TrRoad_act!H73</f>
        <v>115923</v>
      </c>
      <c r="I19" s="28">
        <f>TrRoad_act!I73</f>
        <v>112665</v>
      </c>
      <c r="J19" s="28">
        <f>TrRoad_act!J73</f>
        <v>114962</v>
      </c>
      <c r="K19" s="28">
        <f>TrRoad_act!K73</f>
        <v>116252</v>
      </c>
      <c r="L19" s="28">
        <f>TrRoad_act!L73</f>
        <v>115843</v>
      </c>
      <c r="M19" s="28">
        <f>TrRoad_act!M73</f>
        <v>115146</v>
      </c>
      <c r="N19" s="28">
        <f>TrRoad_act!N73</f>
        <v>113869</v>
      </c>
      <c r="O19" s="28">
        <f>TrRoad_act!O73</f>
        <v>109298</v>
      </c>
      <c r="P19" s="28">
        <f>TrRoad_act!P73</f>
        <v>104675</v>
      </c>
      <c r="Q19" s="28">
        <f>TrRoad_act!Q73</f>
        <v>104035</v>
      </c>
      <c r="R19" s="28">
        <f>TrRoad_act!R73</f>
        <v>106469</v>
      </c>
      <c r="S19" s="28">
        <f>TrRoad_act!S73</f>
        <v>107880</v>
      </c>
      <c r="T19" s="28">
        <f>TrRoad_act!T73</f>
        <v>111146</v>
      </c>
      <c r="U19" s="28">
        <f>TrRoad_act!U73</f>
        <v>114790</v>
      </c>
      <c r="V19" s="28">
        <f>TrRoad_act!V73</f>
        <v>116678</v>
      </c>
      <c r="W19" s="28">
        <f>TrRoad_act!W73</f>
        <v>118319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99971</v>
      </c>
      <c r="C20" s="137">
        <f>TrRoad_act!C74</f>
        <v>101799</v>
      </c>
      <c r="D20" s="137">
        <f>TrRoad_act!D74</f>
        <v>102436</v>
      </c>
      <c r="E20" s="137">
        <f>TrRoad_act!E74</f>
        <v>104247</v>
      </c>
      <c r="F20" s="137">
        <f>TrRoad_act!F74</f>
        <v>102545</v>
      </c>
      <c r="G20" s="137">
        <f>TrRoad_act!G74</f>
        <v>99069</v>
      </c>
      <c r="H20" s="137">
        <f>TrRoad_act!H74</f>
        <v>96659</v>
      </c>
      <c r="I20" s="137">
        <f>TrRoad_act!I74</f>
        <v>95397</v>
      </c>
      <c r="J20" s="137">
        <f>TrRoad_act!J74</f>
        <v>96744</v>
      </c>
      <c r="K20" s="137">
        <f>TrRoad_act!K74</f>
        <v>97019</v>
      </c>
      <c r="L20" s="137">
        <f>TrRoad_act!L74</f>
        <v>96843</v>
      </c>
      <c r="M20" s="137">
        <f>TrRoad_act!M74</f>
        <v>96686</v>
      </c>
      <c r="N20" s="137">
        <f>TrRoad_act!N74</f>
        <v>96748</v>
      </c>
      <c r="O20" s="137">
        <f>TrRoad_act!O74</f>
        <v>97245</v>
      </c>
      <c r="P20" s="137">
        <f>TrRoad_act!P74</f>
        <v>93381</v>
      </c>
      <c r="Q20" s="137">
        <f>TrRoad_act!Q74</f>
        <v>92726</v>
      </c>
      <c r="R20" s="137">
        <f>TrRoad_act!R74</f>
        <v>94673</v>
      </c>
      <c r="S20" s="137">
        <f>TrRoad_act!S74</f>
        <v>95705</v>
      </c>
      <c r="T20" s="137">
        <f>TrRoad_act!T74</f>
        <v>98533</v>
      </c>
      <c r="U20" s="137">
        <f>TrRoad_act!U74</f>
        <v>101528</v>
      </c>
      <c r="V20" s="137">
        <f>TrRoad_act!V74</f>
        <v>102951</v>
      </c>
      <c r="W20" s="137">
        <f>TrRoad_act!W74</f>
        <v>104216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8660</v>
      </c>
      <c r="C21" s="84">
        <f>TrRoad_act!C75</f>
        <v>8951</v>
      </c>
      <c r="D21" s="84">
        <f>TrRoad_act!D75</f>
        <v>8401</v>
      </c>
      <c r="E21" s="84">
        <f>TrRoad_act!E75</f>
        <v>9166</v>
      </c>
      <c r="F21" s="84">
        <f>TrRoad_act!F75</f>
        <v>8131</v>
      </c>
      <c r="G21" s="84">
        <f>TrRoad_act!G75</f>
        <v>5825</v>
      </c>
      <c r="H21" s="84">
        <f>TrRoad_act!H75</f>
        <v>5683</v>
      </c>
      <c r="I21" s="84">
        <f>TrRoad_act!I75</f>
        <v>5187</v>
      </c>
      <c r="J21" s="84">
        <f>TrRoad_act!J75</f>
        <v>5488</v>
      </c>
      <c r="K21" s="84">
        <f>TrRoad_act!K75</f>
        <v>5485</v>
      </c>
      <c r="L21" s="84">
        <f>TrRoad_act!L75</f>
        <v>5239</v>
      </c>
      <c r="M21" s="84">
        <f>TrRoad_act!M75</f>
        <v>5137</v>
      </c>
      <c r="N21" s="84">
        <f>TrRoad_act!N75</f>
        <v>5103</v>
      </c>
      <c r="O21" s="84">
        <f>TrRoad_act!O75</f>
        <v>5144</v>
      </c>
      <c r="P21" s="84">
        <f>TrRoad_act!P75</f>
        <v>4878</v>
      </c>
      <c r="Q21" s="84">
        <f>TrRoad_act!Q75</f>
        <v>4830</v>
      </c>
      <c r="R21" s="84">
        <f>TrRoad_act!R75</f>
        <v>4861</v>
      </c>
      <c r="S21" s="84">
        <f>TrRoad_act!S75</f>
        <v>4800</v>
      </c>
      <c r="T21" s="84">
        <f>TrRoad_act!T75</f>
        <v>4868</v>
      </c>
      <c r="U21" s="84">
        <f>TrRoad_act!U75</f>
        <v>5032</v>
      </c>
      <c r="V21" s="84">
        <f>TrRoad_act!V75</f>
        <v>5159</v>
      </c>
      <c r="W21" s="84">
        <f>TrRoad_act!W75</f>
        <v>5381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91311</v>
      </c>
      <c r="C22" s="84">
        <f>TrRoad_act!C76</f>
        <v>92848</v>
      </c>
      <c r="D22" s="84">
        <f>TrRoad_act!D76</f>
        <v>94035</v>
      </c>
      <c r="E22" s="84">
        <f>TrRoad_act!E76</f>
        <v>95081</v>
      </c>
      <c r="F22" s="84">
        <f>TrRoad_act!F76</f>
        <v>94414</v>
      </c>
      <c r="G22" s="84">
        <f>TrRoad_act!G76</f>
        <v>93244</v>
      </c>
      <c r="H22" s="84">
        <f>TrRoad_act!H76</f>
        <v>90976</v>
      </c>
      <c r="I22" s="84">
        <f>TrRoad_act!I76</f>
        <v>90208</v>
      </c>
      <c r="J22" s="84">
        <f>TrRoad_act!J76</f>
        <v>91253</v>
      </c>
      <c r="K22" s="84">
        <f>TrRoad_act!K76</f>
        <v>91531</v>
      </c>
      <c r="L22" s="84">
        <f>TrRoad_act!L76</f>
        <v>91599</v>
      </c>
      <c r="M22" s="84">
        <f>TrRoad_act!M76</f>
        <v>91543</v>
      </c>
      <c r="N22" s="84">
        <f>TrRoad_act!N76</f>
        <v>91639</v>
      </c>
      <c r="O22" s="84">
        <f>TrRoad_act!O76</f>
        <v>92095</v>
      </c>
      <c r="P22" s="84">
        <f>TrRoad_act!P76</f>
        <v>88498</v>
      </c>
      <c r="Q22" s="84">
        <f>TrRoad_act!Q76</f>
        <v>87891</v>
      </c>
      <c r="R22" s="84">
        <f>TrRoad_act!R76</f>
        <v>89807</v>
      </c>
      <c r="S22" s="84">
        <f>TrRoad_act!S76</f>
        <v>90900</v>
      </c>
      <c r="T22" s="84">
        <f>TrRoad_act!T76</f>
        <v>93661</v>
      </c>
      <c r="U22" s="84">
        <f>TrRoad_act!U76</f>
        <v>96489</v>
      </c>
      <c r="V22" s="84">
        <f>TrRoad_act!V76</f>
        <v>97784</v>
      </c>
      <c r="W22" s="84">
        <f>TrRoad_act!W76</f>
        <v>98823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0</v>
      </c>
      <c r="F23" s="84">
        <f>TrRoad_act!F77</f>
        <v>0</v>
      </c>
      <c r="G23" s="84">
        <f>TrRoad_act!G77</f>
        <v>0</v>
      </c>
      <c r="H23" s="84">
        <f>TrRoad_act!H77</f>
        <v>0</v>
      </c>
      <c r="I23" s="84">
        <f>TrRoad_act!I77</f>
        <v>0</v>
      </c>
      <c r="J23" s="84">
        <f>TrRoad_act!J77</f>
        <v>0</v>
      </c>
      <c r="K23" s="84">
        <f>TrRoad_act!K77</f>
        <v>0</v>
      </c>
      <c r="L23" s="84">
        <f>TrRoad_act!L77</f>
        <v>0</v>
      </c>
      <c r="M23" s="84">
        <f>TrRoad_act!M77</f>
        <v>0</v>
      </c>
      <c r="N23" s="84">
        <f>TrRoad_act!N77</f>
        <v>0</v>
      </c>
      <c r="O23" s="84">
        <f>TrRoad_act!O77</f>
        <v>0</v>
      </c>
      <c r="P23" s="84">
        <f>TrRoad_act!P77</f>
        <v>0</v>
      </c>
      <c r="Q23" s="84">
        <f>TrRoad_act!Q77</f>
        <v>0</v>
      </c>
      <c r="R23" s="84">
        <f>TrRoad_act!R77</f>
        <v>0</v>
      </c>
      <c r="S23" s="84">
        <f>TrRoad_act!S77</f>
        <v>0</v>
      </c>
      <c r="T23" s="84">
        <f>TrRoad_act!T77</f>
        <v>0</v>
      </c>
      <c r="U23" s="84">
        <f>TrRoad_act!U77</f>
        <v>0</v>
      </c>
      <c r="V23" s="84">
        <f>TrRoad_act!V77</f>
        <v>0</v>
      </c>
      <c r="W23" s="84">
        <f>TrRoad_act!W77</f>
        <v>0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0</v>
      </c>
      <c r="L24" s="84">
        <f>TrRoad_act!L78</f>
        <v>0</v>
      </c>
      <c r="M24" s="84">
        <f>TrRoad_act!M78</f>
        <v>0</v>
      </c>
      <c r="N24" s="84">
        <f>TrRoad_act!N78</f>
        <v>0</v>
      </c>
      <c r="O24" s="84">
        <f>TrRoad_act!O78</f>
        <v>0</v>
      </c>
      <c r="P24" s="84">
        <f>TrRoad_act!P78</f>
        <v>0</v>
      </c>
      <c r="Q24" s="84">
        <f>TrRoad_act!Q78</f>
        <v>0</v>
      </c>
      <c r="R24" s="84">
        <f>TrRoad_act!R78</f>
        <v>0</v>
      </c>
      <c r="S24" s="84">
        <f>TrRoad_act!S78</f>
        <v>0</v>
      </c>
      <c r="T24" s="84">
        <f>TrRoad_act!T78</f>
        <v>0</v>
      </c>
      <c r="U24" s="84">
        <f>TrRoad_act!U78</f>
        <v>0</v>
      </c>
      <c r="V24" s="84">
        <f>TrRoad_act!V78</f>
        <v>0</v>
      </c>
      <c r="W24" s="84">
        <f>TrRoad_act!W78</f>
        <v>0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2</v>
      </c>
      <c r="J25" s="84">
        <f>TrRoad_act!J79</f>
        <v>3</v>
      </c>
      <c r="K25" s="84">
        <f>TrRoad_act!K79</f>
        <v>3</v>
      </c>
      <c r="L25" s="84">
        <f>TrRoad_act!L79</f>
        <v>5</v>
      </c>
      <c r="M25" s="84">
        <f>TrRoad_act!M79</f>
        <v>6</v>
      </c>
      <c r="N25" s="84">
        <f>TrRoad_act!N79</f>
        <v>6</v>
      </c>
      <c r="O25" s="84">
        <f>TrRoad_act!O79</f>
        <v>6</v>
      </c>
      <c r="P25" s="84">
        <f>TrRoad_act!P79</f>
        <v>5</v>
      </c>
      <c r="Q25" s="84">
        <f>TrRoad_act!Q79</f>
        <v>5</v>
      </c>
      <c r="R25" s="84">
        <f>TrRoad_act!R79</f>
        <v>5</v>
      </c>
      <c r="S25" s="84">
        <f>TrRoad_act!S79</f>
        <v>5</v>
      </c>
      <c r="T25" s="84">
        <f>TrRoad_act!T79</f>
        <v>4</v>
      </c>
      <c r="U25" s="84">
        <f>TrRoad_act!U79</f>
        <v>7</v>
      </c>
      <c r="V25" s="84">
        <f>TrRoad_act!V79</f>
        <v>8</v>
      </c>
      <c r="W25" s="84">
        <f>TrRoad_act!W79</f>
        <v>12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14670</v>
      </c>
      <c r="C26" s="110">
        <f>TrRoad_act!C80</f>
        <v>16119</v>
      </c>
      <c r="D26" s="110">
        <f>TrRoad_act!D80</f>
        <v>15321</v>
      </c>
      <c r="E26" s="110">
        <f>TrRoad_act!E80</f>
        <v>15364</v>
      </c>
      <c r="F26" s="110">
        <f>TrRoad_act!F80</f>
        <v>15268</v>
      </c>
      <c r="G26" s="110">
        <f>TrRoad_act!G80</f>
        <v>19443</v>
      </c>
      <c r="H26" s="110">
        <f>TrRoad_act!H80</f>
        <v>19264</v>
      </c>
      <c r="I26" s="110">
        <f>TrRoad_act!I80</f>
        <v>17268</v>
      </c>
      <c r="J26" s="110">
        <f>TrRoad_act!J80</f>
        <v>18218</v>
      </c>
      <c r="K26" s="110">
        <f>TrRoad_act!K80</f>
        <v>19233</v>
      </c>
      <c r="L26" s="110">
        <f>TrRoad_act!L80</f>
        <v>19000</v>
      </c>
      <c r="M26" s="110">
        <f>TrRoad_act!M80</f>
        <v>18460</v>
      </c>
      <c r="N26" s="110">
        <f>TrRoad_act!N80</f>
        <v>17121</v>
      </c>
      <c r="O26" s="110">
        <f>TrRoad_act!O80</f>
        <v>12053</v>
      </c>
      <c r="P26" s="110">
        <f>TrRoad_act!P80</f>
        <v>11294</v>
      </c>
      <c r="Q26" s="110">
        <f>TrRoad_act!Q80</f>
        <v>11309</v>
      </c>
      <c r="R26" s="110">
        <f>TrRoad_act!R80</f>
        <v>11796</v>
      </c>
      <c r="S26" s="110">
        <f>TrRoad_act!S80</f>
        <v>12175</v>
      </c>
      <c r="T26" s="110">
        <f>TrRoad_act!T80</f>
        <v>12613</v>
      </c>
      <c r="U26" s="110">
        <f>TrRoad_act!U80</f>
        <v>13262</v>
      </c>
      <c r="V26" s="110">
        <f>TrRoad_act!V80</f>
        <v>13727</v>
      </c>
      <c r="W26" s="110">
        <f>TrRoad_act!W80</f>
        <v>14103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14670</v>
      </c>
      <c r="C27" s="102">
        <f>TrRoad_act!C81</f>
        <v>16119</v>
      </c>
      <c r="D27" s="102">
        <f>TrRoad_act!D81</f>
        <v>15321</v>
      </c>
      <c r="E27" s="102">
        <f>TrRoad_act!E81</f>
        <v>15364</v>
      </c>
      <c r="F27" s="102">
        <f>TrRoad_act!F81</f>
        <v>15268</v>
      </c>
      <c r="G27" s="102">
        <f>TrRoad_act!G81</f>
        <v>19443</v>
      </c>
      <c r="H27" s="102">
        <f>TrRoad_act!H81</f>
        <v>19264</v>
      </c>
      <c r="I27" s="102">
        <f>TrRoad_act!I81</f>
        <v>17268</v>
      </c>
      <c r="J27" s="102">
        <f>TrRoad_act!J81</f>
        <v>18218</v>
      </c>
      <c r="K27" s="102">
        <f>TrRoad_act!K81</f>
        <v>19233</v>
      </c>
      <c r="L27" s="102">
        <f>TrRoad_act!L81</f>
        <v>19000</v>
      </c>
      <c r="M27" s="102">
        <f>TrRoad_act!M81</f>
        <v>18460</v>
      </c>
      <c r="N27" s="102">
        <f>TrRoad_act!N81</f>
        <v>17121</v>
      </c>
      <c r="O27" s="102">
        <f>TrRoad_act!O81</f>
        <v>12053</v>
      </c>
      <c r="P27" s="102">
        <f>TrRoad_act!P81</f>
        <v>11294</v>
      </c>
      <c r="Q27" s="102">
        <f>TrRoad_act!Q81</f>
        <v>11309</v>
      </c>
      <c r="R27" s="102">
        <f>TrRoad_act!R81</f>
        <v>11796</v>
      </c>
      <c r="S27" s="102">
        <f>TrRoad_act!S81</f>
        <v>12175</v>
      </c>
      <c r="T27" s="102">
        <f>TrRoad_act!T81</f>
        <v>12613</v>
      </c>
      <c r="U27" s="102">
        <f>TrRoad_act!U81</f>
        <v>13262</v>
      </c>
      <c r="V27" s="102">
        <f>TrRoad_act!V81</f>
        <v>13727</v>
      </c>
      <c r="W27" s="102">
        <f>TrRoad_act!W81</f>
        <v>14103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0</v>
      </c>
      <c r="C28" s="86">
        <f>TrRoad_act!C82</f>
        <v>0</v>
      </c>
      <c r="D28" s="86">
        <f>TrRoad_act!D82</f>
        <v>0</v>
      </c>
      <c r="E28" s="86">
        <f>TrRoad_act!E82</f>
        <v>0</v>
      </c>
      <c r="F28" s="86">
        <f>TrRoad_act!F82</f>
        <v>0</v>
      </c>
      <c r="G28" s="86">
        <f>TrRoad_act!G82</f>
        <v>0</v>
      </c>
      <c r="H28" s="86">
        <f>TrRoad_act!H82</f>
        <v>0</v>
      </c>
      <c r="I28" s="86">
        <f>TrRoad_act!I82</f>
        <v>0</v>
      </c>
      <c r="J28" s="86">
        <f>TrRoad_act!J82</f>
        <v>0</v>
      </c>
      <c r="K28" s="86">
        <f>TrRoad_act!K82</f>
        <v>0</v>
      </c>
      <c r="L28" s="86">
        <f>TrRoad_act!L82</f>
        <v>0</v>
      </c>
      <c r="M28" s="86">
        <f>TrRoad_act!M82</f>
        <v>0</v>
      </c>
      <c r="N28" s="86">
        <f>TrRoad_act!N82</f>
        <v>0</v>
      </c>
      <c r="O28" s="86">
        <f>TrRoad_act!O82</f>
        <v>0</v>
      </c>
      <c r="P28" s="86">
        <f>TrRoad_act!P82</f>
        <v>0</v>
      </c>
      <c r="Q28" s="86">
        <f>TrRoad_act!Q82</f>
        <v>0</v>
      </c>
      <c r="R28" s="86">
        <f>TrRoad_act!R82</f>
        <v>0</v>
      </c>
      <c r="S28" s="86">
        <f>TrRoad_act!S82</f>
        <v>0</v>
      </c>
      <c r="T28" s="86">
        <f>TrRoad_act!T82</f>
        <v>0</v>
      </c>
      <c r="U28" s="86">
        <f>TrRoad_act!U82</f>
        <v>0</v>
      </c>
      <c r="V28" s="86">
        <f>TrRoad_act!V82</f>
        <v>0</v>
      </c>
      <c r="W28" s="86">
        <f>TrRoad_act!W82</f>
        <v>0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28616</v>
      </c>
      <c r="C30" s="54">
        <f>TrRoad_act!C111</f>
        <v>35441</v>
      </c>
      <c r="D30" s="54">
        <f>TrRoad_act!D111</f>
        <v>37794</v>
      </c>
      <c r="E30" s="54">
        <f>TrRoad_act!E111</f>
        <v>40169</v>
      </c>
      <c r="F30" s="54">
        <f>TrRoad_act!F111</f>
        <v>53146</v>
      </c>
      <c r="G30" s="54">
        <f>TrRoad_act!G111</f>
        <v>51165</v>
      </c>
      <c r="H30" s="54">
        <f>TrRoad_act!H111</f>
        <v>46675</v>
      </c>
      <c r="I30" s="54">
        <f>TrRoad_act!I111</f>
        <v>63099</v>
      </c>
      <c r="J30" s="54">
        <f>TrRoad_act!J111</f>
        <v>66834</v>
      </c>
      <c r="K30" s="54">
        <f>TrRoad_act!K111</f>
        <v>64344</v>
      </c>
      <c r="L30" s="54">
        <f>TrRoad_act!L111</f>
        <v>45151</v>
      </c>
      <c r="M30" s="54">
        <f>TrRoad_act!M111</f>
        <v>39224</v>
      </c>
      <c r="N30" s="54">
        <f>TrRoad_act!N111</f>
        <v>30709</v>
      </c>
      <c r="O30" s="54">
        <f>TrRoad_act!O111</f>
        <v>24324</v>
      </c>
      <c r="P30" s="54">
        <f>TrRoad_act!P111</f>
        <v>24951</v>
      </c>
      <c r="Q30" s="54">
        <f>TrRoad_act!Q111</f>
        <v>29316</v>
      </c>
      <c r="R30" s="54">
        <f>TrRoad_act!R111</f>
        <v>36534</v>
      </c>
      <c r="S30" s="54">
        <f>TrRoad_act!S111</f>
        <v>44149</v>
      </c>
      <c r="T30" s="54">
        <f>TrRoad_act!T111</f>
        <v>51366</v>
      </c>
      <c r="U30" s="54">
        <f>TrRoad_act!U111</f>
        <v>47779</v>
      </c>
      <c r="V30" s="54">
        <f>TrRoad_act!V111</f>
        <v>39118</v>
      </c>
      <c r="W30" s="54">
        <f>TrRoad_act!W111</f>
        <v>36029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21856</v>
      </c>
      <c r="C31" s="28">
        <f>TrRoad_act!C112</f>
        <v>27554</v>
      </c>
      <c r="D31" s="28">
        <f>TrRoad_act!D112</f>
        <v>30464</v>
      </c>
      <c r="E31" s="28">
        <f>TrRoad_act!E112</f>
        <v>32135</v>
      </c>
      <c r="F31" s="28">
        <f>TrRoad_act!F112</f>
        <v>46238</v>
      </c>
      <c r="G31" s="28">
        <f>TrRoad_act!G112</f>
        <v>41273</v>
      </c>
      <c r="H31" s="28">
        <f>TrRoad_act!H112</f>
        <v>40283</v>
      </c>
      <c r="I31" s="28">
        <f>TrRoad_act!I112</f>
        <v>54844</v>
      </c>
      <c r="J31" s="28">
        <f>TrRoad_act!J112</f>
        <v>56257</v>
      </c>
      <c r="K31" s="28">
        <f>TrRoad_act!K112</f>
        <v>54844</v>
      </c>
      <c r="L31" s="28">
        <f>TrRoad_act!L112</f>
        <v>36144</v>
      </c>
      <c r="M31" s="28">
        <f>TrRoad_act!M112</f>
        <v>30673</v>
      </c>
      <c r="N31" s="28">
        <f>TrRoad_act!N112</f>
        <v>22807</v>
      </c>
      <c r="O31" s="28">
        <f>TrRoad_act!O112</f>
        <v>16523</v>
      </c>
      <c r="P31" s="28">
        <f>TrRoad_act!P112</f>
        <v>19929</v>
      </c>
      <c r="Q31" s="28">
        <f>TrRoad_act!Q112</f>
        <v>23348</v>
      </c>
      <c r="R31" s="28">
        <f>TrRoad_act!R112</f>
        <v>30078</v>
      </c>
      <c r="S31" s="28">
        <f>TrRoad_act!S112</f>
        <v>38248</v>
      </c>
      <c r="T31" s="28">
        <f>TrRoad_act!T112</f>
        <v>44124</v>
      </c>
      <c r="U31" s="28">
        <f>TrRoad_act!U112</f>
        <v>40225</v>
      </c>
      <c r="V31" s="28">
        <f>TrRoad_act!V112</f>
        <v>33516</v>
      </c>
      <c r="W31" s="28">
        <f>TrRoad_act!W112</f>
        <v>30471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2551</v>
      </c>
      <c r="C32" s="137">
        <f>TrRoad_act!C113</f>
        <v>2834</v>
      </c>
      <c r="D32" s="137">
        <f>TrRoad_act!D113</f>
        <v>2145</v>
      </c>
      <c r="E32" s="137">
        <f>TrRoad_act!E113</f>
        <v>1844</v>
      </c>
      <c r="F32" s="137">
        <f>TrRoad_act!F113</f>
        <v>2273</v>
      </c>
      <c r="G32" s="137">
        <f>TrRoad_act!G113</f>
        <v>2455</v>
      </c>
      <c r="H32" s="137">
        <f>TrRoad_act!H113</f>
        <v>2925</v>
      </c>
      <c r="I32" s="137">
        <f>TrRoad_act!I113</f>
        <v>3710</v>
      </c>
      <c r="J32" s="137">
        <f>TrRoad_act!J113</f>
        <v>4459</v>
      </c>
      <c r="K32" s="137">
        <f>TrRoad_act!K113</f>
        <v>3140</v>
      </c>
      <c r="L32" s="137">
        <f>TrRoad_act!L113</f>
        <v>3060</v>
      </c>
      <c r="M32" s="137">
        <f>TrRoad_act!M113</f>
        <v>2527</v>
      </c>
      <c r="N32" s="137">
        <f>TrRoad_act!N113</f>
        <v>2074</v>
      </c>
      <c r="O32" s="137">
        <f>TrRoad_act!O113</f>
        <v>1675</v>
      </c>
      <c r="P32" s="137">
        <f>TrRoad_act!P113</f>
        <v>1901</v>
      </c>
      <c r="Q32" s="137">
        <f>TrRoad_act!Q113</f>
        <v>1673</v>
      </c>
      <c r="R32" s="137">
        <f>TrRoad_act!R113</f>
        <v>1996</v>
      </c>
      <c r="S32" s="137">
        <f>TrRoad_act!S113</f>
        <v>2023.0000000000002</v>
      </c>
      <c r="T32" s="137">
        <f>TrRoad_act!T113</f>
        <v>2320</v>
      </c>
      <c r="U32" s="137">
        <f>TrRoad_act!U113</f>
        <v>2316</v>
      </c>
      <c r="V32" s="137">
        <f>TrRoad_act!V113</f>
        <v>2354</v>
      </c>
      <c r="W32" s="137">
        <f>TrRoad_act!W113</f>
        <v>2400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19056</v>
      </c>
      <c r="C33" s="110">
        <f>TrRoad_act!C114</f>
        <v>24533</v>
      </c>
      <c r="D33" s="110">
        <f>TrRoad_act!D114</f>
        <v>28101</v>
      </c>
      <c r="E33" s="110">
        <f>TrRoad_act!E114</f>
        <v>29961</v>
      </c>
      <c r="F33" s="110">
        <f>TrRoad_act!F114</f>
        <v>43842</v>
      </c>
      <c r="G33" s="110">
        <f>TrRoad_act!G114</f>
        <v>38676</v>
      </c>
      <c r="H33" s="110">
        <f>TrRoad_act!H114</f>
        <v>37192</v>
      </c>
      <c r="I33" s="110">
        <f>TrRoad_act!I114</f>
        <v>50908</v>
      </c>
      <c r="J33" s="110">
        <f>TrRoad_act!J114</f>
        <v>51528</v>
      </c>
      <c r="K33" s="110">
        <f>TrRoad_act!K114</f>
        <v>51515</v>
      </c>
      <c r="L33" s="110">
        <f>TrRoad_act!L114</f>
        <v>32680</v>
      </c>
      <c r="M33" s="110">
        <f>TrRoad_act!M114</f>
        <v>27929</v>
      </c>
      <c r="N33" s="110">
        <f>TrRoad_act!N114</f>
        <v>20556</v>
      </c>
      <c r="O33" s="110">
        <f>TrRoad_act!O114</f>
        <v>14777</v>
      </c>
      <c r="P33" s="110">
        <f>TrRoad_act!P114</f>
        <v>17945</v>
      </c>
      <c r="Q33" s="110">
        <f>TrRoad_act!Q114</f>
        <v>21488</v>
      </c>
      <c r="R33" s="110">
        <f>TrRoad_act!R114</f>
        <v>27968</v>
      </c>
      <c r="S33" s="110">
        <f>TrRoad_act!S114</f>
        <v>36120</v>
      </c>
      <c r="T33" s="110">
        <f>TrRoad_act!T114</f>
        <v>41703</v>
      </c>
      <c r="U33" s="110">
        <f>TrRoad_act!U114</f>
        <v>37834</v>
      </c>
      <c r="V33" s="110">
        <f>TrRoad_act!V114</f>
        <v>30872</v>
      </c>
      <c r="W33" s="110">
        <f>TrRoad_act!W114</f>
        <v>27907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16430</v>
      </c>
      <c r="C34" s="84">
        <f>TrRoad_act!C115</f>
        <v>21469</v>
      </c>
      <c r="D34" s="84">
        <f>TrRoad_act!D115</f>
        <v>25866</v>
      </c>
      <c r="E34" s="84">
        <f>TrRoad_act!E115</f>
        <v>28618</v>
      </c>
      <c r="F34" s="84">
        <f>TrRoad_act!F115</f>
        <v>42778</v>
      </c>
      <c r="G34" s="84">
        <f>TrRoad_act!G115</f>
        <v>37383</v>
      </c>
      <c r="H34" s="84">
        <f>TrRoad_act!H115</f>
        <v>35768</v>
      </c>
      <c r="I34" s="84">
        <f>TrRoad_act!I115</f>
        <v>46812</v>
      </c>
      <c r="J34" s="84">
        <f>TrRoad_act!J115</f>
        <v>45176</v>
      </c>
      <c r="K34" s="84">
        <f>TrRoad_act!K115</f>
        <v>45176</v>
      </c>
      <c r="L34" s="84">
        <f>TrRoad_act!L115</f>
        <v>26802</v>
      </c>
      <c r="M34" s="84">
        <f>TrRoad_act!M115</f>
        <v>22967</v>
      </c>
      <c r="N34" s="84">
        <f>TrRoad_act!N115</f>
        <v>16875</v>
      </c>
      <c r="O34" s="84">
        <f>TrRoad_act!O115</f>
        <v>11773</v>
      </c>
      <c r="P34" s="84">
        <f>TrRoad_act!P115</f>
        <v>12151</v>
      </c>
      <c r="Q34" s="84">
        <f>TrRoad_act!Q115</f>
        <v>14786</v>
      </c>
      <c r="R34" s="84">
        <f>TrRoad_act!R115</f>
        <v>17581</v>
      </c>
      <c r="S34" s="84">
        <f>TrRoad_act!S115</f>
        <v>20532</v>
      </c>
      <c r="T34" s="84">
        <f>TrRoad_act!T115</f>
        <v>22546</v>
      </c>
      <c r="U34" s="84">
        <f>TrRoad_act!U115</f>
        <v>20808</v>
      </c>
      <c r="V34" s="84">
        <f>TrRoad_act!V115</f>
        <v>18114</v>
      </c>
      <c r="W34" s="84">
        <f>TrRoad_act!W115</f>
        <v>21027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2626</v>
      </c>
      <c r="C35" s="84">
        <f>TrRoad_act!C116</f>
        <v>3064</v>
      </c>
      <c r="D35" s="84">
        <f>TrRoad_act!D116</f>
        <v>2235</v>
      </c>
      <c r="E35" s="84">
        <f>TrRoad_act!E116</f>
        <v>1343</v>
      </c>
      <c r="F35" s="84">
        <f>TrRoad_act!F116</f>
        <v>1064</v>
      </c>
      <c r="G35" s="84">
        <f>TrRoad_act!G116</f>
        <v>1293</v>
      </c>
      <c r="H35" s="84">
        <f>TrRoad_act!H116</f>
        <v>1424</v>
      </c>
      <c r="I35" s="84">
        <f>TrRoad_act!I116</f>
        <v>4096</v>
      </c>
      <c r="J35" s="84">
        <f>TrRoad_act!J116</f>
        <v>6352</v>
      </c>
      <c r="K35" s="84">
        <f>TrRoad_act!K116</f>
        <v>6339</v>
      </c>
      <c r="L35" s="84">
        <f>TrRoad_act!L116</f>
        <v>5878</v>
      </c>
      <c r="M35" s="84">
        <f>TrRoad_act!M116</f>
        <v>4962</v>
      </c>
      <c r="N35" s="84">
        <f>TrRoad_act!N116</f>
        <v>3681</v>
      </c>
      <c r="O35" s="84">
        <f>TrRoad_act!O116</f>
        <v>2998</v>
      </c>
      <c r="P35" s="84">
        <f>TrRoad_act!P116</f>
        <v>5782</v>
      </c>
      <c r="Q35" s="84">
        <f>TrRoad_act!Q116</f>
        <v>6667</v>
      </c>
      <c r="R35" s="84">
        <f>TrRoad_act!R116</f>
        <v>10344</v>
      </c>
      <c r="S35" s="84">
        <f>TrRoad_act!S116</f>
        <v>15478</v>
      </c>
      <c r="T35" s="84">
        <f>TrRoad_act!T116</f>
        <v>18100</v>
      </c>
      <c r="U35" s="84">
        <f>TrRoad_act!U116</f>
        <v>16873</v>
      </c>
      <c r="V35" s="84">
        <f>TrRoad_act!V116</f>
        <v>12635</v>
      </c>
      <c r="W35" s="84">
        <f>TrRoad_act!W116</f>
        <v>6646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0</v>
      </c>
      <c r="D36" s="84">
        <f>TrRoad_act!D117</f>
        <v>0</v>
      </c>
      <c r="E36" s="84">
        <f>TrRoad_act!E117</f>
        <v>0</v>
      </c>
      <c r="F36" s="84">
        <f>TrRoad_act!F117</f>
        <v>0</v>
      </c>
      <c r="G36" s="84">
        <f>TrRoad_act!G117</f>
        <v>0</v>
      </c>
      <c r="H36" s="84">
        <f>TrRoad_act!H117</f>
        <v>0</v>
      </c>
      <c r="I36" s="84">
        <f>TrRoad_act!I117</f>
        <v>0</v>
      </c>
      <c r="J36" s="84">
        <f>TrRoad_act!J117</f>
        <v>0</v>
      </c>
      <c r="K36" s="84">
        <f>TrRoad_act!K117</f>
        <v>0</v>
      </c>
      <c r="L36" s="84">
        <f>TrRoad_act!L117</f>
        <v>0</v>
      </c>
      <c r="M36" s="84">
        <f>TrRoad_act!M117</f>
        <v>0</v>
      </c>
      <c r="N36" s="84">
        <f>TrRoad_act!N117</f>
        <v>0</v>
      </c>
      <c r="O36" s="84">
        <f>TrRoad_act!O117</f>
        <v>0</v>
      </c>
      <c r="P36" s="84">
        <f>TrRoad_act!P117</f>
        <v>0</v>
      </c>
      <c r="Q36" s="84">
        <f>TrRoad_act!Q117</f>
        <v>0</v>
      </c>
      <c r="R36" s="84">
        <f>TrRoad_act!R117</f>
        <v>0</v>
      </c>
      <c r="S36" s="84">
        <f>TrRoad_act!S117</f>
        <v>0</v>
      </c>
      <c r="T36" s="84">
        <f>TrRoad_act!T117</f>
        <v>950</v>
      </c>
      <c r="U36" s="84">
        <f>TrRoad_act!U117</f>
        <v>0</v>
      </c>
      <c r="V36" s="84">
        <f>TrRoad_act!V117</f>
        <v>0</v>
      </c>
      <c r="W36" s="84">
        <f>TrRoad_act!W117</f>
        <v>0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0</v>
      </c>
      <c r="I37" s="84">
        <f>TrRoad_act!I118</f>
        <v>0</v>
      </c>
      <c r="J37" s="84">
        <f>TrRoad_act!J118</f>
        <v>0</v>
      </c>
      <c r="K37" s="84">
        <f>TrRoad_act!K118</f>
        <v>0</v>
      </c>
      <c r="L37" s="84">
        <f>TrRoad_act!L118</f>
        <v>0</v>
      </c>
      <c r="M37" s="84">
        <f>TrRoad_act!M118</f>
        <v>0</v>
      </c>
      <c r="N37" s="84">
        <f>TrRoad_act!N118</f>
        <v>0</v>
      </c>
      <c r="O37" s="84">
        <f>TrRoad_act!O118</f>
        <v>0</v>
      </c>
      <c r="P37" s="84">
        <f>TrRoad_act!P118</f>
        <v>0</v>
      </c>
      <c r="Q37" s="84">
        <f>TrRoad_act!Q118</f>
        <v>0</v>
      </c>
      <c r="R37" s="84">
        <f>TrRoad_act!R118</f>
        <v>0</v>
      </c>
      <c r="S37" s="84">
        <f>TrRoad_act!S118</f>
        <v>0</v>
      </c>
      <c r="T37" s="84">
        <f>TrRoad_act!T118</f>
        <v>0</v>
      </c>
      <c r="U37" s="84">
        <f>TrRoad_act!U118</f>
        <v>0</v>
      </c>
      <c r="V37" s="84">
        <f>TrRoad_act!V118</f>
        <v>0</v>
      </c>
      <c r="W37" s="84">
        <f>TrRoad_act!W118</f>
        <v>0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0</v>
      </c>
      <c r="O38" s="84">
        <f>TrRoad_act!O119</f>
        <v>0</v>
      </c>
      <c r="P38" s="84">
        <f>TrRoad_act!P119</f>
        <v>3</v>
      </c>
      <c r="Q38" s="84">
        <f>TrRoad_act!Q119</f>
        <v>26</v>
      </c>
      <c r="R38" s="84">
        <f>TrRoad_act!R119</f>
        <v>22</v>
      </c>
      <c r="S38" s="84">
        <f>TrRoad_act!S119</f>
        <v>55</v>
      </c>
      <c r="T38" s="84">
        <f>TrRoad_act!T119</f>
        <v>54</v>
      </c>
      <c r="U38" s="84">
        <f>TrRoad_act!U119</f>
        <v>88</v>
      </c>
      <c r="V38" s="84">
        <f>TrRoad_act!V119</f>
        <v>79</v>
      </c>
      <c r="W38" s="84">
        <f>TrRoad_act!W119</f>
        <v>149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0</v>
      </c>
      <c r="K39" s="84">
        <f>TrRoad_act!K120</f>
        <v>0</v>
      </c>
      <c r="L39" s="84">
        <f>TrRoad_act!L120</f>
        <v>0</v>
      </c>
      <c r="M39" s="84">
        <f>TrRoad_act!M120</f>
        <v>0</v>
      </c>
      <c r="N39" s="84">
        <f>TrRoad_act!N120</f>
        <v>0</v>
      </c>
      <c r="O39" s="84">
        <f>TrRoad_act!O120</f>
        <v>6</v>
      </c>
      <c r="P39" s="84">
        <f>TrRoad_act!P120</f>
        <v>9</v>
      </c>
      <c r="Q39" s="84">
        <f>TrRoad_act!Q120</f>
        <v>9</v>
      </c>
      <c r="R39" s="84">
        <f>TrRoad_act!R120</f>
        <v>21</v>
      </c>
      <c r="S39" s="84">
        <f>TrRoad_act!S120</f>
        <v>55</v>
      </c>
      <c r="T39" s="84">
        <f>TrRoad_act!T120</f>
        <v>53</v>
      </c>
      <c r="U39" s="84">
        <f>TrRoad_act!U120</f>
        <v>65</v>
      </c>
      <c r="V39" s="84">
        <f>TrRoad_act!V120</f>
        <v>44</v>
      </c>
      <c r="W39" s="84">
        <f>TrRoad_act!W120</f>
        <v>85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249</v>
      </c>
      <c r="C40" s="110">
        <f>TrRoad_act!C121</f>
        <v>187</v>
      </c>
      <c r="D40" s="110">
        <f>TrRoad_act!D121</f>
        <v>218</v>
      </c>
      <c r="E40" s="110">
        <f>TrRoad_act!E121</f>
        <v>330</v>
      </c>
      <c r="F40" s="110">
        <f>TrRoad_act!F121</f>
        <v>123</v>
      </c>
      <c r="G40" s="110">
        <f>TrRoad_act!G121</f>
        <v>142</v>
      </c>
      <c r="H40" s="110">
        <f>TrRoad_act!H121</f>
        <v>166</v>
      </c>
      <c r="I40" s="110">
        <f>TrRoad_act!I121</f>
        <v>226</v>
      </c>
      <c r="J40" s="110">
        <f>TrRoad_act!J121</f>
        <v>270</v>
      </c>
      <c r="K40" s="110">
        <f>TrRoad_act!K121</f>
        <v>189</v>
      </c>
      <c r="L40" s="110">
        <f>TrRoad_act!L121</f>
        <v>404</v>
      </c>
      <c r="M40" s="110">
        <f>TrRoad_act!M121</f>
        <v>217</v>
      </c>
      <c r="N40" s="110">
        <f>TrRoad_act!N121</f>
        <v>177</v>
      </c>
      <c r="O40" s="110">
        <f>TrRoad_act!O121</f>
        <v>71</v>
      </c>
      <c r="P40" s="110">
        <f>TrRoad_act!P121</f>
        <v>83</v>
      </c>
      <c r="Q40" s="110">
        <f>TrRoad_act!Q121</f>
        <v>187</v>
      </c>
      <c r="R40" s="110">
        <f>TrRoad_act!R121</f>
        <v>114</v>
      </c>
      <c r="S40" s="110">
        <f>TrRoad_act!S121</f>
        <v>105</v>
      </c>
      <c r="T40" s="110">
        <f>TrRoad_act!T121</f>
        <v>101</v>
      </c>
      <c r="U40" s="110">
        <f>TrRoad_act!U121</f>
        <v>75</v>
      </c>
      <c r="V40" s="110">
        <f>TrRoad_act!V121</f>
        <v>290</v>
      </c>
      <c r="W40" s="110">
        <f>TrRoad_act!W121</f>
        <v>164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1</v>
      </c>
      <c r="C41" s="102">
        <f>TrRoad_act!C122</f>
        <v>0</v>
      </c>
      <c r="D41" s="102">
        <f>TrRoad_act!D122</f>
        <v>0</v>
      </c>
      <c r="E41" s="102">
        <f>TrRoad_act!E122</f>
        <v>1</v>
      </c>
      <c r="F41" s="102">
        <f>TrRoad_act!F122</f>
        <v>0</v>
      </c>
      <c r="G41" s="102">
        <f>TrRoad_act!G122</f>
        <v>0</v>
      </c>
      <c r="H41" s="102">
        <f>TrRoad_act!H122</f>
        <v>3</v>
      </c>
      <c r="I41" s="102">
        <f>TrRoad_act!I122</f>
        <v>0</v>
      </c>
      <c r="J41" s="102">
        <f>TrRoad_act!J122</f>
        <v>1</v>
      </c>
      <c r="K41" s="102">
        <f>TrRoad_act!K122</f>
        <v>0</v>
      </c>
      <c r="L41" s="102">
        <f>TrRoad_act!L122</f>
        <v>3</v>
      </c>
      <c r="M41" s="102">
        <f>TrRoad_act!M122</f>
        <v>2</v>
      </c>
      <c r="N41" s="102">
        <f>TrRoad_act!N122</f>
        <v>1</v>
      </c>
      <c r="O41" s="102">
        <f>TrRoad_act!O122</f>
        <v>0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0</v>
      </c>
      <c r="T41" s="102">
        <f>TrRoad_act!T122</f>
        <v>0</v>
      </c>
      <c r="U41" s="102">
        <f>TrRoad_act!U122</f>
        <v>1</v>
      </c>
      <c r="V41" s="102">
        <f>TrRoad_act!V122</f>
        <v>0</v>
      </c>
      <c r="W41" s="102">
        <f>TrRoad_act!W122</f>
        <v>0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248</v>
      </c>
      <c r="C42" s="102">
        <f>TrRoad_act!C123</f>
        <v>187</v>
      </c>
      <c r="D42" s="102">
        <f>TrRoad_act!D123</f>
        <v>218</v>
      </c>
      <c r="E42" s="102">
        <f>TrRoad_act!E123</f>
        <v>329</v>
      </c>
      <c r="F42" s="102">
        <f>TrRoad_act!F123</f>
        <v>123</v>
      </c>
      <c r="G42" s="102">
        <f>TrRoad_act!G123</f>
        <v>142</v>
      </c>
      <c r="H42" s="102">
        <f>TrRoad_act!H123</f>
        <v>163</v>
      </c>
      <c r="I42" s="102">
        <f>TrRoad_act!I123</f>
        <v>226</v>
      </c>
      <c r="J42" s="102">
        <f>TrRoad_act!J123</f>
        <v>268</v>
      </c>
      <c r="K42" s="102">
        <f>TrRoad_act!K123</f>
        <v>189</v>
      </c>
      <c r="L42" s="102">
        <f>TrRoad_act!L123</f>
        <v>401</v>
      </c>
      <c r="M42" s="102">
        <f>TrRoad_act!M123</f>
        <v>215</v>
      </c>
      <c r="N42" s="102">
        <f>TrRoad_act!N123</f>
        <v>176</v>
      </c>
      <c r="O42" s="102">
        <f>TrRoad_act!O123</f>
        <v>71</v>
      </c>
      <c r="P42" s="102">
        <f>TrRoad_act!P123</f>
        <v>83</v>
      </c>
      <c r="Q42" s="102">
        <f>TrRoad_act!Q123</f>
        <v>187</v>
      </c>
      <c r="R42" s="102">
        <f>TrRoad_act!R123</f>
        <v>114</v>
      </c>
      <c r="S42" s="102">
        <f>TrRoad_act!S123</f>
        <v>105</v>
      </c>
      <c r="T42" s="102">
        <f>TrRoad_act!T123</f>
        <v>101</v>
      </c>
      <c r="U42" s="102">
        <f>TrRoad_act!U123</f>
        <v>74</v>
      </c>
      <c r="V42" s="102">
        <f>TrRoad_act!V123</f>
        <v>289</v>
      </c>
      <c r="W42" s="102">
        <f>TrRoad_act!W123</f>
        <v>164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0</v>
      </c>
      <c r="D44" s="102">
        <f>TrRoad_act!D125</f>
        <v>0</v>
      </c>
      <c r="E44" s="102">
        <f>TrRoad_act!E125</f>
        <v>0</v>
      </c>
      <c r="F44" s="102">
        <f>TrRoad_act!F125</f>
        <v>0</v>
      </c>
      <c r="G44" s="102">
        <f>TrRoad_act!G125</f>
        <v>0</v>
      </c>
      <c r="H44" s="102">
        <f>TrRoad_act!H125</f>
        <v>0</v>
      </c>
      <c r="I44" s="102">
        <f>TrRoad_act!I125</f>
        <v>0</v>
      </c>
      <c r="J44" s="102">
        <f>TrRoad_act!J125</f>
        <v>0</v>
      </c>
      <c r="K44" s="102">
        <f>TrRoad_act!K125</f>
        <v>0</v>
      </c>
      <c r="L44" s="102">
        <f>TrRoad_act!L125</f>
        <v>0</v>
      </c>
      <c r="M44" s="102">
        <f>TrRoad_act!M125</f>
        <v>0</v>
      </c>
      <c r="N44" s="102">
        <f>TrRoad_act!N125</f>
        <v>0</v>
      </c>
      <c r="O44" s="102">
        <f>TrRoad_act!O125</f>
        <v>0</v>
      </c>
      <c r="P44" s="102">
        <f>TrRoad_act!P125</f>
        <v>0</v>
      </c>
      <c r="Q44" s="102">
        <f>TrRoad_act!Q125</f>
        <v>0</v>
      </c>
      <c r="R44" s="102">
        <f>TrRoad_act!R125</f>
        <v>0</v>
      </c>
      <c r="S44" s="102">
        <f>TrRoad_act!S125</f>
        <v>0</v>
      </c>
      <c r="T44" s="102">
        <f>TrRoad_act!T125</f>
        <v>0</v>
      </c>
      <c r="U44" s="102">
        <f>TrRoad_act!U125</f>
        <v>0</v>
      </c>
      <c r="V44" s="102">
        <f>TrRoad_act!V125</f>
        <v>0</v>
      </c>
      <c r="W44" s="102">
        <f>TrRoad_act!W125</f>
        <v>0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0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1</v>
      </c>
      <c r="K45" s="102">
        <f>TrRoad_act!K126</f>
        <v>0</v>
      </c>
      <c r="L45" s="102">
        <f>TrRoad_act!L126</f>
        <v>0</v>
      </c>
      <c r="M45" s="102">
        <f>TrRoad_act!M126</f>
        <v>0</v>
      </c>
      <c r="N45" s="102">
        <f>TrRoad_act!N126</f>
        <v>0</v>
      </c>
      <c r="O45" s="102">
        <f>TrRoad_act!O126</f>
        <v>0</v>
      </c>
      <c r="P45" s="102">
        <f>TrRoad_act!P126</f>
        <v>0</v>
      </c>
      <c r="Q45" s="102">
        <f>TrRoad_act!Q126</f>
        <v>0</v>
      </c>
      <c r="R45" s="102">
        <f>TrRoad_act!R126</f>
        <v>0</v>
      </c>
      <c r="S45" s="102">
        <f>TrRoad_act!S126</f>
        <v>0</v>
      </c>
      <c r="T45" s="102">
        <f>TrRoad_act!T126</f>
        <v>0</v>
      </c>
      <c r="U45" s="102">
        <f>TrRoad_act!U126</f>
        <v>0</v>
      </c>
      <c r="V45" s="102">
        <f>TrRoad_act!V126</f>
        <v>1</v>
      </c>
      <c r="W45" s="102">
        <f>TrRoad_act!W126</f>
        <v>0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6760</v>
      </c>
      <c r="C46" s="28">
        <f>TrRoad_act!C127</f>
        <v>7887</v>
      </c>
      <c r="D46" s="28">
        <f>TrRoad_act!D127</f>
        <v>7330</v>
      </c>
      <c r="E46" s="28">
        <f>TrRoad_act!E127</f>
        <v>8034</v>
      </c>
      <c r="F46" s="28">
        <f>TrRoad_act!F127</f>
        <v>6908</v>
      </c>
      <c r="G46" s="28">
        <f>TrRoad_act!G127</f>
        <v>9892</v>
      </c>
      <c r="H46" s="28">
        <f>TrRoad_act!H127</f>
        <v>6392</v>
      </c>
      <c r="I46" s="28">
        <f>TrRoad_act!I127</f>
        <v>8255</v>
      </c>
      <c r="J46" s="28">
        <f>TrRoad_act!J127</f>
        <v>10577</v>
      </c>
      <c r="K46" s="28">
        <f>TrRoad_act!K127</f>
        <v>9500</v>
      </c>
      <c r="L46" s="28">
        <f>TrRoad_act!L127</f>
        <v>9007</v>
      </c>
      <c r="M46" s="28">
        <f>TrRoad_act!M127</f>
        <v>8551</v>
      </c>
      <c r="N46" s="28">
        <f>TrRoad_act!N127</f>
        <v>7902</v>
      </c>
      <c r="O46" s="28">
        <f>TrRoad_act!O127</f>
        <v>7801</v>
      </c>
      <c r="P46" s="28">
        <f>TrRoad_act!P127</f>
        <v>5022</v>
      </c>
      <c r="Q46" s="28">
        <f>TrRoad_act!Q127</f>
        <v>5968</v>
      </c>
      <c r="R46" s="28">
        <f>TrRoad_act!R127</f>
        <v>6456</v>
      </c>
      <c r="S46" s="28">
        <f>TrRoad_act!S127</f>
        <v>5901</v>
      </c>
      <c r="T46" s="28">
        <f>TrRoad_act!T127</f>
        <v>7242</v>
      </c>
      <c r="U46" s="28">
        <f>TrRoad_act!U127</f>
        <v>7554</v>
      </c>
      <c r="V46" s="28">
        <f>TrRoad_act!V127</f>
        <v>5602</v>
      </c>
      <c r="W46" s="28">
        <f>TrRoad_act!W127</f>
        <v>5558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192</v>
      </c>
      <c r="C47" s="137">
        <f>TrRoad_act!C128</f>
        <v>6068</v>
      </c>
      <c r="D47" s="137">
        <f>TrRoad_act!D128</f>
        <v>5684</v>
      </c>
      <c r="E47" s="137">
        <f>TrRoad_act!E128</f>
        <v>6936</v>
      </c>
      <c r="F47" s="137">
        <f>TrRoad_act!F128</f>
        <v>5865</v>
      </c>
      <c r="G47" s="137">
        <f>TrRoad_act!G128</f>
        <v>5702</v>
      </c>
      <c r="H47" s="137">
        <f>TrRoad_act!H128</f>
        <v>5181</v>
      </c>
      <c r="I47" s="137">
        <f>TrRoad_act!I128</f>
        <v>6681</v>
      </c>
      <c r="J47" s="137">
        <f>TrRoad_act!J128</f>
        <v>8656</v>
      </c>
      <c r="K47" s="137">
        <f>TrRoad_act!K128</f>
        <v>8064</v>
      </c>
      <c r="L47" s="137">
        <f>TrRoad_act!L128</f>
        <v>7785</v>
      </c>
      <c r="M47" s="137">
        <f>TrRoad_act!M128</f>
        <v>7577</v>
      </c>
      <c r="N47" s="137">
        <f>TrRoad_act!N128</f>
        <v>7543</v>
      </c>
      <c r="O47" s="137">
        <f>TrRoad_act!O128</f>
        <v>7630</v>
      </c>
      <c r="P47" s="137">
        <f>TrRoad_act!P128</f>
        <v>4901</v>
      </c>
      <c r="Q47" s="137">
        <f>TrRoad_act!Q128</f>
        <v>5855</v>
      </c>
      <c r="R47" s="137">
        <f>TrRoad_act!R128</f>
        <v>5939</v>
      </c>
      <c r="S47" s="137">
        <f>TrRoad_act!S128</f>
        <v>5492</v>
      </c>
      <c r="T47" s="137">
        <f>TrRoad_act!T128</f>
        <v>6776</v>
      </c>
      <c r="U47" s="137">
        <f>TrRoad_act!U128</f>
        <v>6862</v>
      </c>
      <c r="V47" s="137">
        <f>TrRoad_act!V128</f>
        <v>5114</v>
      </c>
      <c r="W47" s="137">
        <f>TrRoad_act!W128</f>
        <v>5177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71</v>
      </c>
      <c r="C48" s="84">
        <f>TrRoad_act!C129</f>
        <v>667</v>
      </c>
      <c r="D48" s="84">
        <f>TrRoad_act!D129</f>
        <v>631</v>
      </c>
      <c r="E48" s="84">
        <f>TrRoad_act!E129</f>
        <v>765</v>
      </c>
      <c r="F48" s="84">
        <f>TrRoad_act!F129</f>
        <v>403</v>
      </c>
      <c r="G48" s="84">
        <f>TrRoad_act!G129</f>
        <v>401</v>
      </c>
      <c r="H48" s="84">
        <f>TrRoad_act!H129</f>
        <v>472</v>
      </c>
      <c r="I48" s="84">
        <f>TrRoad_act!I129</f>
        <v>646</v>
      </c>
      <c r="J48" s="84">
        <f>TrRoad_act!J129</f>
        <v>746</v>
      </c>
      <c r="K48" s="84">
        <f>TrRoad_act!K129</f>
        <v>306</v>
      </c>
      <c r="L48" s="84">
        <f>TrRoad_act!L129</f>
        <v>202</v>
      </c>
      <c r="M48" s="84">
        <f>TrRoad_act!M129</f>
        <v>169</v>
      </c>
      <c r="N48" s="84">
        <f>TrRoad_act!N129</f>
        <v>134</v>
      </c>
      <c r="O48" s="84">
        <f>TrRoad_act!O129</f>
        <v>54</v>
      </c>
      <c r="P48" s="84">
        <f>TrRoad_act!P129</f>
        <v>670</v>
      </c>
      <c r="Q48" s="84">
        <f>TrRoad_act!Q129</f>
        <v>45</v>
      </c>
      <c r="R48" s="84">
        <f>TrRoad_act!R129</f>
        <v>58</v>
      </c>
      <c r="S48" s="84">
        <f>TrRoad_act!S129</f>
        <v>303</v>
      </c>
      <c r="T48" s="84">
        <f>TrRoad_act!T129</f>
        <v>507</v>
      </c>
      <c r="U48" s="84">
        <f>TrRoad_act!U129</f>
        <v>601</v>
      </c>
      <c r="V48" s="84">
        <f>TrRoad_act!V129</f>
        <v>510</v>
      </c>
      <c r="W48" s="84">
        <f>TrRoad_act!W129</f>
        <v>574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121</v>
      </c>
      <c r="C49" s="84">
        <f>TrRoad_act!C130</f>
        <v>5401</v>
      </c>
      <c r="D49" s="84">
        <f>TrRoad_act!D130</f>
        <v>5053</v>
      </c>
      <c r="E49" s="84">
        <f>TrRoad_act!E130</f>
        <v>6171</v>
      </c>
      <c r="F49" s="84">
        <f>TrRoad_act!F130</f>
        <v>5462</v>
      </c>
      <c r="G49" s="84">
        <f>TrRoad_act!G130</f>
        <v>5301</v>
      </c>
      <c r="H49" s="84">
        <f>TrRoad_act!H130</f>
        <v>4709</v>
      </c>
      <c r="I49" s="84">
        <f>TrRoad_act!I130</f>
        <v>6033</v>
      </c>
      <c r="J49" s="84">
        <f>TrRoad_act!J130</f>
        <v>7909</v>
      </c>
      <c r="K49" s="84">
        <f>TrRoad_act!K130</f>
        <v>7758</v>
      </c>
      <c r="L49" s="84">
        <f>TrRoad_act!L130</f>
        <v>7581</v>
      </c>
      <c r="M49" s="84">
        <f>TrRoad_act!M130</f>
        <v>7407</v>
      </c>
      <c r="N49" s="84">
        <f>TrRoad_act!N130</f>
        <v>7409</v>
      </c>
      <c r="O49" s="84">
        <f>TrRoad_act!O130</f>
        <v>7576</v>
      </c>
      <c r="P49" s="84">
        <f>TrRoad_act!P130</f>
        <v>4231</v>
      </c>
      <c r="Q49" s="84">
        <f>TrRoad_act!Q130</f>
        <v>5810</v>
      </c>
      <c r="R49" s="84">
        <f>TrRoad_act!R130</f>
        <v>5881</v>
      </c>
      <c r="S49" s="84">
        <f>TrRoad_act!S130</f>
        <v>5189</v>
      </c>
      <c r="T49" s="84">
        <f>TrRoad_act!T130</f>
        <v>6269</v>
      </c>
      <c r="U49" s="84">
        <f>TrRoad_act!U130</f>
        <v>6258</v>
      </c>
      <c r="V49" s="84">
        <f>TrRoad_act!V130</f>
        <v>4603</v>
      </c>
      <c r="W49" s="84">
        <f>TrRoad_act!W130</f>
        <v>4599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0</v>
      </c>
      <c r="J50" s="84">
        <f>TrRoad_act!J131</f>
        <v>0</v>
      </c>
      <c r="K50" s="84">
        <f>TrRoad_act!K131</f>
        <v>0</v>
      </c>
      <c r="L50" s="84">
        <f>TrRoad_act!L131</f>
        <v>0</v>
      </c>
      <c r="M50" s="84">
        <f>TrRoad_act!M131</f>
        <v>0</v>
      </c>
      <c r="N50" s="84">
        <f>TrRoad_act!N131</f>
        <v>0</v>
      </c>
      <c r="O50" s="84">
        <f>TrRoad_act!O131</f>
        <v>0</v>
      </c>
      <c r="P50" s="84">
        <f>TrRoad_act!P131</f>
        <v>0</v>
      </c>
      <c r="Q50" s="84">
        <f>TrRoad_act!Q131</f>
        <v>0</v>
      </c>
      <c r="R50" s="84">
        <f>TrRoad_act!R131</f>
        <v>0</v>
      </c>
      <c r="S50" s="84">
        <f>TrRoad_act!S131</f>
        <v>0</v>
      </c>
      <c r="T50" s="84">
        <f>TrRoad_act!T131</f>
        <v>0</v>
      </c>
      <c r="U50" s="84">
        <f>TrRoad_act!U131</f>
        <v>0</v>
      </c>
      <c r="V50" s="84">
        <f>TrRoad_act!V131</f>
        <v>0</v>
      </c>
      <c r="W50" s="84">
        <f>TrRoad_act!W131</f>
        <v>0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0</v>
      </c>
      <c r="O51" s="84">
        <f>TrRoad_act!O132</f>
        <v>0</v>
      </c>
      <c r="P51" s="84">
        <f>TrRoad_act!P132</f>
        <v>0</v>
      </c>
      <c r="Q51" s="84">
        <f>TrRoad_act!Q132</f>
        <v>0</v>
      </c>
      <c r="R51" s="84">
        <f>TrRoad_act!R132</f>
        <v>0</v>
      </c>
      <c r="S51" s="84">
        <f>TrRoad_act!S132</f>
        <v>0</v>
      </c>
      <c r="T51" s="84">
        <f>TrRoad_act!T132</f>
        <v>0</v>
      </c>
      <c r="U51" s="84">
        <f>TrRoad_act!U132</f>
        <v>0</v>
      </c>
      <c r="V51" s="84">
        <f>TrRoad_act!V132</f>
        <v>0</v>
      </c>
      <c r="W51" s="84">
        <f>TrRoad_act!W132</f>
        <v>0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2</v>
      </c>
      <c r="J52" s="84">
        <f>TrRoad_act!J133</f>
        <v>1</v>
      </c>
      <c r="K52" s="84">
        <f>TrRoad_act!K133</f>
        <v>0</v>
      </c>
      <c r="L52" s="84">
        <f>TrRoad_act!L133</f>
        <v>2</v>
      </c>
      <c r="M52" s="84">
        <f>TrRoad_act!M133</f>
        <v>1</v>
      </c>
      <c r="N52" s="84">
        <f>TrRoad_act!N133</f>
        <v>0</v>
      </c>
      <c r="O52" s="84">
        <f>TrRoad_act!O133</f>
        <v>0</v>
      </c>
      <c r="P52" s="84">
        <f>TrRoad_act!P133</f>
        <v>0</v>
      </c>
      <c r="Q52" s="84">
        <f>TrRoad_act!Q133</f>
        <v>0</v>
      </c>
      <c r="R52" s="84">
        <f>TrRoad_act!R133</f>
        <v>0</v>
      </c>
      <c r="S52" s="84">
        <f>TrRoad_act!S133</f>
        <v>0</v>
      </c>
      <c r="T52" s="84">
        <f>TrRoad_act!T133</f>
        <v>0</v>
      </c>
      <c r="U52" s="84">
        <f>TrRoad_act!U133</f>
        <v>3</v>
      </c>
      <c r="V52" s="84">
        <f>TrRoad_act!V133</f>
        <v>1</v>
      </c>
      <c r="W52" s="84">
        <f>TrRoad_act!W133</f>
        <v>4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6568</v>
      </c>
      <c r="C53" s="110">
        <f>TrRoad_act!C134</f>
        <v>1819</v>
      </c>
      <c r="D53" s="110">
        <f>TrRoad_act!D134</f>
        <v>1646</v>
      </c>
      <c r="E53" s="110">
        <f>TrRoad_act!E134</f>
        <v>1098</v>
      </c>
      <c r="F53" s="110">
        <f>TrRoad_act!F134</f>
        <v>1043</v>
      </c>
      <c r="G53" s="110">
        <f>TrRoad_act!G134</f>
        <v>4190</v>
      </c>
      <c r="H53" s="110">
        <f>TrRoad_act!H134</f>
        <v>1211</v>
      </c>
      <c r="I53" s="110">
        <f>TrRoad_act!I134</f>
        <v>1574</v>
      </c>
      <c r="J53" s="110">
        <f>TrRoad_act!J134</f>
        <v>1921</v>
      </c>
      <c r="K53" s="110">
        <f>TrRoad_act!K134</f>
        <v>1436</v>
      </c>
      <c r="L53" s="110">
        <f>TrRoad_act!L134</f>
        <v>1222</v>
      </c>
      <c r="M53" s="110">
        <f>TrRoad_act!M134</f>
        <v>974</v>
      </c>
      <c r="N53" s="110">
        <f>TrRoad_act!N134</f>
        <v>359</v>
      </c>
      <c r="O53" s="110">
        <f>TrRoad_act!O134</f>
        <v>171</v>
      </c>
      <c r="P53" s="110">
        <f>TrRoad_act!P134</f>
        <v>121</v>
      </c>
      <c r="Q53" s="110">
        <f>TrRoad_act!Q134</f>
        <v>113</v>
      </c>
      <c r="R53" s="110">
        <f>TrRoad_act!R134</f>
        <v>517</v>
      </c>
      <c r="S53" s="110">
        <f>TrRoad_act!S134</f>
        <v>409</v>
      </c>
      <c r="T53" s="110">
        <f>TrRoad_act!T134</f>
        <v>466</v>
      </c>
      <c r="U53" s="110">
        <f>TrRoad_act!U134</f>
        <v>692</v>
      </c>
      <c r="V53" s="110">
        <f>TrRoad_act!V134</f>
        <v>488</v>
      </c>
      <c r="W53" s="110">
        <f>TrRoad_act!W134</f>
        <v>381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6568</v>
      </c>
      <c r="C54" s="102">
        <f>TrRoad_act!C135</f>
        <v>1819</v>
      </c>
      <c r="D54" s="102">
        <f>TrRoad_act!D135</f>
        <v>1646</v>
      </c>
      <c r="E54" s="102">
        <f>TrRoad_act!E135</f>
        <v>1098</v>
      </c>
      <c r="F54" s="102">
        <f>TrRoad_act!F135</f>
        <v>1043</v>
      </c>
      <c r="G54" s="102">
        <f>TrRoad_act!G135</f>
        <v>4190</v>
      </c>
      <c r="H54" s="102">
        <f>TrRoad_act!H135</f>
        <v>1211</v>
      </c>
      <c r="I54" s="102">
        <f>TrRoad_act!I135</f>
        <v>1574</v>
      </c>
      <c r="J54" s="102">
        <f>TrRoad_act!J135</f>
        <v>1921</v>
      </c>
      <c r="K54" s="102">
        <f>TrRoad_act!K135</f>
        <v>1436</v>
      </c>
      <c r="L54" s="102">
        <f>TrRoad_act!L135</f>
        <v>1222</v>
      </c>
      <c r="M54" s="102">
        <f>TrRoad_act!M135</f>
        <v>974</v>
      </c>
      <c r="N54" s="102">
        <f>TrRoad_act!N135</f>
        <v>359</v>
      </c>
      <c r="O54" s="102">
        <f>TrRoad_act!O135</f>
        <v>171</v>
      </c>
      <c r="P54" s="102">
        <f>TrRoad_act!P135</f>
        <v>121</v>
      </c>
      <c r="Q54" s="102">
        <f>TrRoad_act!Q135</f>
        <v>113</v>
      </c>
      <c r="R54" s="102">
        <f>TrRoad_act!R135</f>
        <v>517</v>
      </c>
      <c r="S54" s="102">
        <f>TrRoad_act!S135</f>
        <v>409</v>
      </c>
      <c r="T54" s="102">
        <f>TrRoad_act!T135</f>
        <v>466</v>
      </c>
      <c r="U54" s="102">
        <f>TrRoad_act!U135</f>
        <v>692</v>
      </c>
      <c r="V54" s="102">
        <f>TrRoad_act!V135</f>
        <v>488</v>
      </c>
      <c r="W54" s="102">
        <f>TrRoad_act!W135</f>
        <v>381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0</v>
      </c>
      <c r="C55" s="86">
        <f>TrRoad_act!C136</f>
        <v>0</v>
      </c>
      <c r="D55" s="86">
        <f>TrRoad_act!D136</f>
        <v>0</v>
      </c>
      <c r="E55" s="86">
        <f>TrRoad_act!E136</f>
        <v>0</v>
      </c>
      <c r="F55" s="86">
        <f>TrRoad_act!F136</f>
        <v>0</v>
      </c>
      <c r="G55" s="86">
        <f>TrRoad_act!G136</f>
        <v>0</v>
      </c>
      <c r="H55" s="86">
        <f>TrRoad_act!H136</f>
        <v>0</v>
      </c>
      <c r="I55" s="86">
        <f>TrRoad_act!I136</f>
        <v>0</v>
      </c>
      <c r="J55" s="86">
        <f>TrRoad_act!J136</f>
        <v>0</v>
      </c>
      <c r="K55" s="86">
        <f>TrRoad_act!K136</f>
        <v>0</v>
      </c>
      <c r="L55" s="86">
        <f>TrRoad_act!L136</f>
        <v>0</v>
      </c>
      <c r="M55" s="86">
        <f>TrRoad_act!M136</f>
        <v>0</v>
      </c>
      <c r="N55" s="86">
        <f>TrRoad_act!N136</f>
        <v>0</v>
      </c>
      <c r="O55" s="86">
        <f>TrRoad_act!O136</f>
        <v>0</v>
      </c>
      <c r="P55" s="86">
        <f>TrRoad_act!P136</f>
        <v>0</v>
      </c>
      <c r="Q55" s="86">
        <f>TrRoad_act!Q136</f>
        <v>0</v>
      </c>
      <c r="R55" s="86">
        <f>TrRoad_act!R136</f>
        <v>0</v>
      </c>
      <c r="S55" s="86">
        <f>TrRoad_act!S136</f>
        <v>0</v>
      </c>
      <c r="T55" s="86">
        <f>TrRoad_act!T136</f>
        <v>0</v>
      </c>
      <c r="U55" s="86">
        <f>TrRoad_act!U136</f>
        <v>0</v>
      </c>
      <c r="V55" s="86">
        <f>TrRoad_act!V136</f>
        <v>0</v>
      </c>
      <c r="W55" s="86">
        <f>TrRoad_act!W136</f>
        <v>0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28201</v>
      </c>
      <c r="C59" s="54">
        <f t="shared" si="0"/>
        <v>15145</v>
      </c>
      <c r="D59" s="54">
        <f t="shared" si="0"/>
        <v>18110</v>
      </c>
      <c r="E59" s="54">
        <f t="shared" si="0"/>
        <v>21178</v>
      </c>
      <c r="F59" s="54">
        <f t="shared" si="0"/>
        <v>31367</v>
      </c>
      <c r="G59" s="54">
        <f t="shared" si="0"/>
        <v>32822</v>
      </c>
      <c r="H59" s="54">
        <f t="shared" si="0"/>
        <v>32330</v>
      </c>
      <c r="I59" s="54">
        <f t="shared" si="0"/>
        <v>46403</v>
      </c>
      <c r="J59" s="54">
        <f t="shared" si="0"/>
        <v>51658</v>
      </c>
      <c r="K59" s="54">
        <f t="shared" si="0"/>
        <v>52065</v>
      </c>
      <c r="L59" s="54">
        <f t="shared" ref="L59" si="1">L60+L75</f>
        <v>37917</v>
      </c>
      <c r="M59" s="54">
        <f t="shared" ref="M59:V59" si="2">M60+M75</f>
        <v>34079</v>
      </c>
      <c r="N59" s="54">
        <f t="shared" si="2"/>
        <v>27404</v>
      </c>
      <c r="O59" s="54">
        <f t="shared" si="2"/>
        <v>22246</v>
      </c>
      <c r="P59" s="54">
        <f t="shared" si="2"/>
        <v>23491</v>
      </c>
      <c r="Q59" s="54">
        <f t="shared" si="2"/>
        <v>28119</v>
      </c>
      <c r="R59" s="54">
        <f t="shared" si="2"/>
        <v>35612</v>
      </c>
      <c r="S59" s="54">
        <f t="shared" si="2"/>
        <v>43531</v>
      </c>
      <c r="T59" s="54">
        <f t="shared" si="2"/>
        <v>50944</v>
      </c>
      <c r="U59" s="54">
        <f t="shared" si="2"/>
        <v>47645</v>
      </c>
      <c r="V59" s="54">
        <f t="shared" si="2"/>
        <v>38888</v>
      </c>
      <c r="W59" s="54">
        <f t="shared" ref="W59" si="3">W60+W75</f>
        <v>36029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26807</v>
      </c>
      <c r="C60" s="28">
        <f t="shared" si="4"/>
        <v>13213</v>
      </c>
      <c r="D60" s="28">
        <f t="shared" si="4"/>
        <v>16062</v>
      </c>
      <c r="E60" s="28">
        <f t="shared" si="4"/>
        <v>18374</v>
      </c>
      <c r="F60" s="28">
        <f t="shared" si="4"/>
        <v>28547</v>
      </c>
      <c r="G60" s="28">
        <f t="shared" si="4"/>
        <v>27200</v>
      </c>
      <c r="H60" s="28">
        <f t="shared" si="4"/>
        <v>28166</v>
      </c>
      <c r="I60" s="28">
        <f t="shared" si="4"/>
        <v>40604</v>
      </c>
      <c r="J60" s="28">
        <f t="shared" si="4"/>
        <v>43772</v>
      </c>
      <c r="K60" s="28">
        <f t="shared" si="4"/>
        <v>44662</v>
      </c>
      <c r="L60" s="28">
        <f t="shared" ref="L60" si="5">L61+L62+L69</f>
        <v>30585</v>
      </c>
      <c r="M60" s="28">
        <f t="shared" ref="M60:V60" si="6">M61+M62+M69</f>
        <v>26857</v>
      </c>
      <c r="N60" s="28">
        <f t="shared" si="6"/>
        <v>20557</v>
      </c>
      <c r="O60" s="28">
        <f t="shared" si="6"/>
        <v>15271</v>
      </c>
      <c r="P60" s="28">
        <f t="shared" si="6"/>
        <v>18861</v>
      </c>
      <c r="Q60" s="28">
        <f t="shared" si="6"/>
        <v>22486</v>
      </c>
      <c r="R60" s="28">
        <f t="shared" si="6"/>
        <v>29382</v>
      </c>
      <c r="S60" s="28">
        <f t="shared" si="6"/>
        <v>37754</v>
      </c>
      <c r="T60" s="28">
        <f t="shared" si="6"/>
        <v>43781</v>
      </c>
      <c r="U60" s="28">
        <f t="shared" si="6"/>
        <v>40122</v>
      </c>
      <c r="V60" s="28">
        <f t="shared" si="6"/>
        <v>33331</v>
      </c>
      <c r="W60" s="28">
        <f t="shared" ref="W60" si="7">W61+W62+W69</f>
        <v>30471</v>
      </c>
      <c r="DA60" s="173" t="s">
        <v>837</v>
      </c>
    </row>
    <row r="61" spans="1:105" ht="11.45" customHeight="1" x14ac:dyDescent="0.25">
      <c r="A61" s="136" t="s">
        <v>180</v>
      </c>
      <c r="B61" s="137">
        <v>1381</v>
      </c>
      <c r="C61" s="137">
        <v>1072</v>
      </c>
      <c r="D61" s="137">
        <v>913</v>
      </c>
      <c r="E61" s="137">
        <v>875</v>
      </c>
      <c r="F61" s="137">
        <v>1191</v>
      </c>
      <c r="G61" s="137">
        <v>1407</v>
      </c>
      <c r="H61" s="137">
        <v>1818</v>
      </c>
      <c r="I61" s="137">
        <v>2481</v>
      </c>
      <c r="J61" s="137">
        <v>3184</v>
      </c>
      <c r="K61" s="137">
        <v>2377</v>
      </c>
      <c r="L61" s="137">
        <v>2439</v>
      </c>
      <c r="M61" s="137">
        <v>2108</v>
      </c>
      <c r="N61" s="137">
        <v>1800</v>
      </c>
      <c r="O61" s="137">
        <v>1504</v>
      </c>
      <c r="P61" s="137">
        <v>1756</v>
      </c>
      <c r="Q61" s="137">
        <v>1582</v>
      </c>
      <c r="R61" s="137">
        <v>1924</v>
      </c>
      <c r="S61" s="137">
        <v>1979</v>
      </c>
      <c r="T61" s="137">
        <v>2293</v>
      </c>
      <c r="U61" s="137">
        <v>2305</v>
      </c>
      <c r="V61" s="137">
        <v>2352</v>
      </c>
      <c r="W61" s="137">
        <v>2400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25369</v>
      </c>
      <c r="C62" s="110">
        <f t="shared" si="8"/>
        <v>12101</v>
      </c>
      <c r="D62" s="110">
        <f t="shared" si="8"/>
        <v>15087</v>
      </c>
      <c r="E62" s="110">
        <f t="shared" si="8"/>
        <v>17380</v>
      </c>
      <c r="F62" s="110">
        <f t="shared" si="8"/>
        <v>27302</v>
      </c>
      <c r="G62" s="110">
        <f t="shared" si="8"/>
        <v>25721</v>
      </c>
      <c r="H62" s="110">
        <f t="shared" si="8"/>
        <v>26249</v>
      </c>
      <c r="I62" s="110">
        <f t="shared" si="8"/>
        <v>37974</v>
      </c>
      <c r="J62" s="110">
        <f t="shared" si="8"/>
        <v>40397</v>
      </c>
      <c r="K62" s="110">
        <f t="shared" si="8"/>
        <v>42141</v>
      </c>
      <c r="L62" s="110">
        <f t="shared" ref="L62" si="9">SUM(L63:L68)</f>
        <v>27820</v>
      </c>
      <c r="M62" s="110">
        <f t="shared" ref="M62:V62" si="10">SUM(M63:M68)</f>
        <v>24565</v>
      </c>
      <c r="N62" s="110">
        <f t="shared" si="10"/>
        <v>18601</v>
      </c>
      <c r="O62" s="110">
        <f t="shared" si="10"/>
        <v>13703</v>
      </c>
      <c r="P62" s="110">
        <f t="shared" si="10"/>
        <v>17027</v>
      </c>
      <c r="Q62" s="110">
        <f t="shared" si="10"/>
        <v>20725</v>
      </c>
      <c r="R62" s="110">
        <f t="shared" si="10"/>
        <v>27347</v>
      </c>
      <c r="S62" s="110">
        <f t="shared" si="10"/>
        <v>35672</v>
      </c>
      <c r="T62" s="110">
        <f t="shared" si="10"/>
        <v>41388</v>
      </c>
      <c r="U62" s="110">
        <f t="shared" si="10"/>
        <v>37742</v>
      </c>
      <c r="V62" s="110">
        <f t="shared" si="10"/>
        <v>30692</v>
      </c>
      <c r="W62" s="110">
        <f t="shared" ref="W62" si="11">SUM(W63:W68)</f>
        <v>27907</v>
      </c>
      <c r="DA62" s="176" t="s">
        <v>839</v>
      </c>
    </row>
    <row r="63" spans="1:105" ht="11.45" customHeight="1" x14ac:dyDescent="0.25">
      <c r="A63" s="111" t="s">
        <v>110</v>
      </c>
      <c r="B63" s="84">
        <v>23447</v>
      </c>
      <c r="C63" s="84">
        <v>10548</v>
      </c>
      <c r="D63" s="84">
        <v>13846</v>
      </c>
      <c r="E63" s="84">
        <v>16570</v>
      </c>
      <c r="F63" s="84">
        <v>26610</v>
      </c>
      <c r="G63" s="84">
        <v>24822</v>
      </c>
      <c r="H63" s="84">
        <v>25198</v>
      </c>
      <c r="I63" s="84">
        <v>34787</v>
      </c>
      <c r="J63" s="84">
        <v>35221</v>
      </c>
      <c r="K63" s="84">
        <v>36762</v>
      </c>
      <c r="L63" s="84">
        <v>22654</v>
      </c>
      <c r="M63" s="84">
        <v>20072</v>
      </c>
      <c r="N63" s="84">
        <v>15183</v>
      </c>
      <c r="O63" s="84">
        <v>10860</v>
      </c>
      <c r="P63" s="84">
        <v>11449</v>
      </c>
      <c r="Q63" s="84">
        <v>14179</v>
      </c>
      <c r="R63" s="84">
        <v>17099</v>
      </c>
      <c r="S63" s="84">
        <v>20189</v>
      </c>
      <c r="T63" s="84">
        <v>22346</v>
      </c>
      <c r="U63" s="84">
        <v>20730</v>
      </c>
      <c r="V63" s="84">
        <v>17959</v>
      </c>
      <c r="W63" s="84">
        <v>21027</v>
      </c>
      <c r="DA63" s="171" t="s">
        <v>840</v>
      </c>
    </row>
    <row r="64" spans="1:105" ht="11.45" customHeight="1" x14ac:dyDescent="0.25">
      <c r="A64" s="111" t="s">
        <v>111</v>
      </c>
      <c r="B64" s="84">
        <v>1922</v>
      </c>
      <c r="C64" s="84">
        <v>1553</v>
      </c>
      <c r="D64" s="84">
        <v>1241</v>
      </c>
      <c r="E64" s="84">
        <v>810</v>
      </c>
      <c r="F64" s="84">
        <v>692</v>
      </c>
      <c r="G64" s="84">
        <v>899</v>
      </c>
      <c r="H64" s="84">
        <v>1051</v>
      </c>
      <c r="I64" s="84">
        <v>3187</v>
      </c>
      <c r="J64" s="84">
        <v>5176</v>
      </c>
      <c r="K64" s="84">
        <v>5379</v>
      </c>
      <c r="L64" s="84">
        <v>5166</v>
      </c>
      <c r="M64" s="84">
        <v>4493</v>
      </c>
      <c r="N64" s="84">
        <v>3418</v>
      </c>
      <c r="O64" s="84">
        <v>2843</v>
      </c>
      <c r="P64" s="84">
        <v>5575</v>
      </c>
      <c r="Q64" s="84">
        <v>6514</v>
      </c>
      <c r="R64" s="84">
        <v>10206</v>
      </c>
      <c r="S64" s="84">
        <v>15374</v>
      </c>
      <c r="T64" s="84">
        <v>18050</v>
      </c>
      <c r="U64" s="84">
        <v>16859</v>
      </c>
      <c r="V64" s="84">
        <v>12610</v>
      </c>
      <c r="W64" s="84">
        <v>6646</v>
      </c>
      <c r="DA64" s="171" t="s">
        <v>841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0</v>
      </c>
      <c r="O65" s="84">
        <v>0</v>
      </c>
      <c r="P65" s="84">
        <v>0</v>
      </c>
      <c r="Q65" s="84">
        <v>0</v>
      </c>
      <c r="R65" s="84">
        <v>0</v>
      </c>
      <c r="S65" s="84">
        <v>0</v>
      </c>
      <c r="T65" s="84">
        <v>885</v>
      </c>
      <c r="U65" s="84">
        <v>0</v>
      </c>
      <c r="V65" s="84">
        <v>0</v>
      </c>
      <c r="W65" s="84">
        <v>0</v>
      </c>
      <c r="DA65" s="171" t="s">
        <v>842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0</v>
      </c>
      <c r="P66" s="84">
        <v>0</v>
      </c>
      <c r="Q66" s="84">
        <v>0</v>
      </c>
      <c r="R66" s="84">
        <v>0</v>
      </c>
      <c r="S66" s="84">
        <v>0</v>
      </c>
      <c r="T66" s="84">
        <v>0</v>
      </c>
      <c r="U66" s="84">
        <v>0</v>
      </c>
      <c r="V66" s="84">
        <v>0</v>
      </c>
      <c r="W66" s="84">
        <v>0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23</v>
      </c>
      <c r="R67" s="84">
        <v>21</v>
      </c>
      <c r="S67" s="84">
        <v>54</v>
      </c>
      <c r="T67" s="84">
        <v>54</v>
      </c>
      <c r="U67" s="84">
        <v>88</v>
      </c>
      <c r="V67" s="84">
        <v>79</v>
      </c>
      <c r="W67" s="84">
        <v>149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3</v>
      </c>
      <c r="Q68" s="84">
        <v>9</v>
      </c>
      <c r="R68" s="84">
        <v>21</v>
      </c>
      <c r="S68" s="84">
        <v>55</v>
      </c>
      <c r="T68" s="84">
        <v>53</v>
      </c>
      <c r="U68" s="84">
        <v>65</v>
      </c>
      <c r="V68" s="84">
        <v>44</v>
      </c>
      <c r="W68" s="84">
        <v>85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57</v>
      </c>
      <c r="C69" s="110">
        <f t="shared" si="12"/>
        <v>40</v>
      </c>
      <c r="D69" s="110">
        <f t="shared" si="12"/>
        <v>62</v>
      </c>
      <c r="E69" s="110">
        <f t="shared" si="12"/>
        <v>119</v>
      </c>
      <c r="F69" s="110">
        <f t="shared" si="12"/>
        <v>54</v>
      </c>
      <c r="G69" s="110">
        <f t="shared" si="12"/>
        <v>72</v>
      </c>
      <c r="H69" s="110">
        <f t="shared" si="12"/>
        <v>99</v>
      </c>
      <c r="I69" s="110">
        <f t="shared" si="12"/>
        <v>149</v>
      </c>
      <c r="J69" s="110">
        <f t="shared" si="12"/>
        <v>191</v>
      </c>
      <c r="K69" s="110">
        <f t="shared" si="12"/>
        <v>144</v>
      </c>
      <c r="L69" s="110">
        <f t="shared" ref="L69" si="13">SUM(L70:L74)</f>
        <v>326</v>
      </c>
      <c r="M69" s="110">
        <f t="shared" ref="M69:V69" si="14">SUM(M70:M74)</f>
        <v>184</v>
      </c>
      <c r="N69" s="110">
        <f t="shared" si="14"/>
        <v>156</v>
      </c>
      <c r="O69" s="110">
        <f t="shared" si="14"/>
        <v>64</v>
      </c>
      <c r="P69" s="110">
        <f t="shared" si="14"/>
        <v>78</v>
      </c>
      <c r="Q69" s="110">
        <f t="shared" si="14"/>
        <v>179</v>
      </c>
      <c r="R69" s="110">
        <f t="shared" si="14"/>
        <v>111</v>
      </c>
      <c r="S69" s="110">
        <f t="shared" si="14"/>
        <v>103</v>
      </c>
      <c r="T69" s="110">
        <f t="shared" si="14"/>
        <v>100</v>
      </c>
      <c r="U69" s="110">
        <f t="shared" si="14"/>
        <v>75</v>
      </c>
      <c r="V69" s="110">
        <f t="shared" si="14"/>
        <v>287</v>
      </c>
      <c r="W69" s="110">
        <f t="shared" ref="W69" si="15">SUM(W70:W74)</f>
        <v>164</v>
      </c>
      <c r="DA69" s="176" t="s">
        <v>846</v>
      </c>
    </row>
    <row r="70" spans="1:105" ht="11.45" customHeight="1" x14ac:dyDescent="0.25">
      <c r="A70" s="111" t="s">
        <v>110</v>
      </c>
      <c r="B70" s="102">
        <v>31</v>
      </c>
      <c r="C70" s="102">
        <v>0</v>
      </c>
      <c r="D70" s="102">
        <v>0</v>
      </c>
      <c r="E70" s="102">
        <v>1</v>
      </c>
      <c r="F70" s="102">
        <v>0</v>
      </c>
      <c r="G70" s="102">
        <v>0</v>
      </c>
      <c r="H70" s="102">
        <v>3</v>
      </c>
      <c r="I70" s="102">
        <v>0</v>
      </c>
      <c r="J70" s="102">
        <v>1</v>
      </c>
      <c r="K70" s="102">
        <v>0</v>
      </c>
      <c r="L70" s="102">
        <v>3</v>
      </c>
      <c r="M70" s="102">
        <v>2</v>
      </c>
      <c r="N70" s="102">
        <v>1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1</v>
      </c>
      <c r="V70" s="102">
        <v>0</v>
      </c>
      <c r="W70" s="102">
        <v>0</v>
      </c>
      <c r="DA70" s="175" t="s">
        <v>847</v>
      </c>
    </row>
    <row r="71" spans="1:105" ht="11.45" customHeight="1" x14ac:dyDescent="0.25">
      <c r="A71" s="111" t="s">
        <v>111</v>
      </c>
      <c r="B71" s="102">
        <v>26</v>
      </c>
      <c r="C71" s="102">
        <v>40</v>
      </c>
      <c r="D71" s="102">
        <v>62</v>
      </c>
      <c r="E71" s="102">
        <v>118</v>
      </c>
      <c r="F71" s="102">
        <v>54</v>
      </c>
      <c r="G71" s="102">
        <v>72</v>
      </c>
      <c r="H71" s="102">
        <v>96</v>
      </c>
      <c r="I71" s="102">
        <v>149</v>
      </c>
      <c r="J71" s="102">
        <v>190</v>
      </c>
      <c r="K71" s="102">
        <v>144</v>
      </c>
      <c r="L71" s="102">
        <v>323</v>
      </c>
      <c r="M71" s="102">
        <v>182</v>
      </c>
      <c r="N71" s="102">
        <v>155</v>
      </c>
      <c r="O71" s="102">
        <v>64</v>
      </c>
      <c r="P71" s="102">
        <v>78</v>
      </c>
      <c r="Q71" s="102">
        <v>179</v>
      </c>
      <c r="R71" s="102">
        <v>111</v>
      </c>
      <c r="S71" s="102">
        <v>103</v>
      </c>
      <c r="T71" s="102">
        <v>100</v>
      </c>
      <c r="U71" s="102">
        <v>74</v>
      </c>
      <c r="V71" s="102">
        <v>286</v>
      </c>
      <c r="W71" s="102">
        <v>164</v>
      </c>
      <c r="DA71" s="175" t="s">
        <v>848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DA72" s="175" t="s">
        <v>849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75" t="s">
        <v>850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0</v>
      </c>
      <c r="P74" s="102">
        <v>0</v>
      </c>
      <c r="Q74" s="102">
        <v>0</v>
      </c>
      <c r="R74" s="102">
        <v>0</v>
      </c>
      <c r="S74" s="102">
        <v>0</v>
      </c>
      <c r="T74" s="102">
        <v>0</v>
      </c>
      <c r="U74" s="102">
        <v>0</v>
      </c>
      <c r="V74" s="102">
        <v>1</v>
      </c>
      <c r="W74" s="102">
        <v>0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1394</v>
      </c>
      <c r="C75" s="28">
        <f t="shared" si="16"/>
        <v>1932</v>
      </c>
      <c r="D75" s="28">
        <f t="shared" si="16"/>
        <v>2048</v>
      </c>
      <c r="E75" s="28">
        <f t="shared" si="16"/>
        <v>2804</v>
      </c>
      <c r="F75" s="28">
        <f t="shared" si="16"/>
        <v>2820</v>
      </c>
      <c r="G75" s="28">
        <f t="shared" si="16"/>
        <v>5622</v>
      </c>
      <c r="H75" s="28">
        <f t="shared" si="16"/>
        <v>4164</v>
      </c>
      <c r="I75" s="28">
        <f t="shared" si="16"/>
        <v>5799</v>
      </c>
      <c r="J75" s="28">
        <f t="shared" si="16"/>
        <v>7886</v>
      </c>
      <c r="K75" s="28">
        <f t="shared" si="16"/>
        <v>7403</v>
      </c>
      <c r="L75" s="28">
        <f t="shared" ref="L75" si="17">L76+L82</f>
        <v>7332</v>
      </c>
      <c r="M75" s="28">
        <f t="shared" ref="M75:V75" si="18">M76+M82</f>
        <v>7222</v>
      </c>
      <c r="N75" s="28">
        <f t="shared" si="18"/>
        <v>6847</v>
      </c>
      <c r="O75" s="28">
        <f t="shared" si="18"/>
        <v>6975</v>
      </c>
      <c r="P75" s="28">
        <f t="shared" si="18"/>
        <v>4630</v>
      </c>
      <c r="Q75" s="28">
        <f t="shared" si="18"/>
        <v>5633</v>
      </c>
      <c r="R75" s="28">
        <f t="shared" si="18"/>
        <v>6230</v>
      </c>
      <c r="S75" s="28">
        <f t="shared" si="18"/>
        <v>5777</v>
      </c>
      <c r="T75" s="28">
        <f t="shared" si="18"/>
        <v>7163</v>
      </c>
      <c r="U75" s="28">
        <f t="shared" si="18"/>
        <v>7523</v>
      </c>
      <c r="V75" s="28">
        <f t="shared" si="18"/>
        <v>5557</v>
      </c>
      <c r="W75" s="28">
        <f t="shared" ref="W75" si="19">W76+W82</f>
        <v>5558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1394</v>
      </c>
      <c r="C76" s="137">
        <f t="shared" si="20"/>
        <v>1932</v>
      </c>
      <c r="D76" s="137">
        <f t="shared" si="20"/>
        <v>2048</v>
      </c>
      <c r="E76" s="137">
        <f t="shared" si="20"/>
        <v>2804</v>
      </c>
      <c r="F76" s="137">
        <f t="shared" si="20"/>
        <v>2820</v>
      </c>
      <c r="G76" s="137">
        <f t="shared" si="20"/>
        <v>3152</v>
      </c>
      <c r="H76" s="137">
        <f t="shared" si="20"/>
        <v>3121</v>
      </c>
      <c r="I76" s="137">
        <f t="shared" si="20"/>
        <v>4351</v>
      </c>
      <c r="J76" s="137">
        <f t="shared" si="20"/>
        <v>6049</v>
      </c>
      <c r="K76" s="137">
        <f t="shared" si="20"/>
        <v>5999</v>
      </c>
      <c r="L76" s="137">
        <f t="shared" ref="L76" si="21">SUM(L77:L81)</f>
        <v>6120</v>
      </c>
      <c r="M76" s="137">
        <f t="shared" ref="M76:V76" si="22">SUM(M77:M81)</f>
        <v>6250</v>
      </c>
      <c r="N76" s="137">
        <f t="shared" si="22"/>
        <v>6488</v>
      </c>
      <c r="O76" s="137">
        <f t="shared" si="22"/>
        <v>6804</v>
      </c>
      <c r="P76" s="137">
        <f t="shared" si="22"/>
        <v>4509</v>
      </c>
      <c r="Q76" s="137">
        <f t="shared" si="22"/>
        <v>5520</v>
      </c>
      <c r="R76" s="137">
        <f t="shared" si="22"/>
        <v>5713</v>
      </c>
      <c r="S76" s="137">
        <f t="shared" si="22"/>
        <v>5368</v>
      </c>
      <c r="T76" s="137">
        <f t="shared" si="22"/>
        <v>6697</v>
      </c>
      <c r="U76" s="137">
        <f t="shared" si="22"/>
        <v>6831</v>
      </c>
      <c r="V76" s="137">
        <f t="shared" si="22"/>
        <v>5069</v>
      </c>
      <c r="W76" s="137">
        <f t="shared" ref="W76" si="23">SUM(W77:W81)</f>
        <v>5177</v>
      </c>
      <c r="DA76" s="174" t="s">
        <v>853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66</v>
      </c>
      <c r="G77" s="84">
        <v>213</v>
      </c>
      <c r="H77" s="84">
        <v>277</v>
      </c>
      <c r="I77" s="84">
        <v>414</v>
      </c>
      <c r="J77" s="84">
        <v>516</v>
      </c>
      <c r="K77" s="84">
        <v>227</v>
      </c>
      <c r="L77" s="84">
        <v>159</v>
      </c>
      <c r="M77" s="84">
        <v>140</v>
      </c>
      <c r="N77" s="84">
        <v>116</v>
      </c>
      <c r="O77" s="84">
        <v>49</v>
      </c>
      <c r="P77" s="84">
        <v>620</v>
      </c>
      <c r="Q77" s="84">
        <v>43</v>
      </c>
      <c r="R77" s="84">
        <v>56</v>
      </c>
      <c r="S77" s="84">
        <v>298</v>
      </c>
      <c r="T77" s="84">
        <v>503</v>
      </c>
      <c r="U77" s="84">
        <v>600</v>
      </c>
      <c r="V77" s="84">
        <v>510</v>
      </c>
      <c r="W77" s="84">
        <v>574</v>
      </c>
      <c r="DA77" s="171" t="s">
        <v>854</v>
      </c>
    </row>
    <row r="78" spans="1:105" ht="11.45" customHeight="1" x14ac:dyDescent="0.25">
      <c r="A78" s="111" t="s">
        <v>111</v>
      </c>
      <c r="B78" s="84">
        <v>1394</v>
      </c>
      <c r="C78" s="84">
        <v>1932</v>
      </c>
      <c r="D78" s="84">
        <v>2048</v>
      </c>
      <c r="E78" s="84">
        <v>2804</v>
      </c>
      <c r="F78" s="84">
        <v>2754</v>
      </c>
      <c r="G78" s="84">
        <v>2939</v>
      </c>
      <c r="H78" s="84">
        <v>2844</v>
      </c>
      <c r="I78" s="84">
        <v>3937</v>
      </c>
      <c r="J78" s="84">
        <v>5532</v>
      </c>
      <c r="K78" s="84">
        <v>5772</v>
      </c>
      <c r="L78" s="84">
        <v>5959</v>
      </c>
      <c r="M78" s="84">
        <v>6109</v>
      </c>
      <c r="N78" s="84">
        <v>6372</v>
      </c>
      <c r="O78" s="84">
        <v>6755</v>
      </c>
      <c r="P78" s="84">
        <v>3889</v>
      </c>
      <c r="Q78" s="84">
        <v>5477</v>
      </c>
      <c r="R78" s="84">
        <v>5657</v>
      </c>
      <c r="S78" s="84">
        <v>5070</v>
      </c>
      <c r="T78" s="84">
        <v>6194</v>
      </c>
      <c r="U78" s="84">
        <v>6228</v>
      </c>
      <c r="V78" s="84">
        <v>4558</v>
      </c>
      <c r="W78" s="84">
        <v>4599</v>
      </c>
      <c r="DA78" s="171" t="s">
        <v>855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DA80" s="171" t="s">
        <v>857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1</v>
      </c>
      <c r="K81" s="84">
        <v>0</v>
      </c>
      <c r="L81" s="84">
        <v>2</v>
      </c>
      <c r="M81" s="84">
        <v>1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3</v>
      </c>
      <c r="V81" s="84">
        <v>1</v>
      </c>
      <c r="W81" s="84">
        <v>4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0</v>
      </c>
      <c r="G82" s="110">
        <f t="shared" si="24"/>
        <v>2470</v>
      </c>
      <c r="H82" s="110">
        <f t="shared" si="24"/>
        <v>1043</v>
      </c>
      <c r="I82" s="110">
        <f t="shared" si="24"/>
        <v>1448</v>
      </c>
      <c r="J82" s="110">
        <f t="shared" si="24"/>
        <v>1837</v>
      </c>
      <c r="K82" s="110">
        <f t="shared" si="24"/>
        <v>1404</v>
      </c>
      <c r="L82" s="110">
        <f t="shared" ref="L82" si="25">SUM(L83:L84)</f>
        <v>1212</v>
      </c>
      <c r="M82" s="110">
        <f t="shared" ref="M82:V82" si="26">SUM(M83:M84)</f>
        <v>972</v>
      </c>
      <c r="N82" s="110">
        <f t="shared" si="26"/>
        <v>359</v>
      </c>
      <c r="O82" s="110">
        <f t="shared" si="26"/>
        <v>171</v>
      </c>
      <c r="P82" s="110">
        <f t="shared" si="26"/>
        <v>121</v>
      </c>
      <c r="Q82" s="110">
        <f t="shared" si="26"/>
        <v>113</v>
      </c>
      <c r="R82" s="110">
        <f t="shared" si="26"/>
        <v>517</v>
      </c>
      <c r="S82" s="110">
        <f t="shared" si="26"/>
        <v>409</v>
      </c>
      <c r="T82" s="110">
        <f t="shared" si="26"/>
        <v>466</v>
      </c>
      <c r="U82" s="110">
        <f t="shared" si="26"/>
        <v>692</v>
      </c>
      <c r="V82" s="110">
        <f t="shared" si="26"/>
        <v>488</v>
      </c>
      <c r="W82" s="110">
        <f t="shared" ref="W82" si="27">SUM(W83:W84)</f>
        <v>381</v>
      </c>
      <c r="DA82" s="176" t="s">
        <v>859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2470</v>
      </c>
      <c r="H83" s="102">
        <v>1043</v>
      </c>
      <c r="I83" s="102">
        <v>1448</v>
      </c>
      <c r="J83" s="102">
        <v>1837</v>
      </c>
      <c r="K83" s="102">
        <v>1404</v>
      </c>
      <c r="L83" s="102">
        <v>1212</v>
      </c>
      <c r="M83" s="102">
        <v>972</v>
      </c>
      <c r="N83" s="102">
        <v>359</v>
      </c>
      <c r="O83" s="102">
        <v>171</v>
      </c>
      <c r="P83" s="102">
        <v>121</v>
      </c>
      <c r="Q83" s="102">
        <v>113</v>
      </c>
      <c r="R83" s="102">
        <v>517</v>
      </c>
      <c r="S83" s="102">
        <v>409</v>
      </c>
      <c r="T83" s="102">
        <v>466</v>
      </c>
      <c r="U83" s="102">
        <v>692</v>
      </c>
      <c r="V83" s="102">
        <v>488</v>
      </c>
      <c r="W83" s="102">
        <v>381</v>
      </c>
      <c r="DA83" s="175" t="s">
        <v>860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0</v>
      </c>
      <c r="M84" s="86">
        <v>0</v>
      </c>
      <c r="N84" s="86">
        <v>0</v>
      </c>
      <c r="O84" s="86">
        <v>0</v>
      </c>
      <c r="P84" s="86">
        <v>0</v>
      </c>
      <c r="Q84" s="86">
        <v>0</v>
      </c>
      <c r="R84" s="86">
        <v>0</v>
      </c>
      <c r="S84" s="86">
        <v>0</v>
      </c>
      <c r="T84" s="86">
        <v>0</v>
      </c>
      <c r="U84" s="86">
        <v>0</v>
      </c>
      <c r="V84" s="86">
        <v>0</v>
      </c>
      <c r="W84" s="86">
        <v>0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4.0149890227944267</v>
      </c>
      <c r="C90" s="141">
        <v>3.9815066171652642</v>
      </c>
      <c r="D90" s="141">
        <v>3.9526073923521499</v>
      </c>
      <c r="E90" s="141">
        <v>3.9323794974267714</v>
      </c>
      <c r="F90" s="141">
        <v>3.9036210962253959</v>
      </c>
      <c r="G90" s="141">
        <v>3.8672612480601192</v>
      </c>
      <c r="H90" s="141">
        <v>3.8254587641042059</v>
      </c>
      <c r="I90" s="141">
        <v>3.7758980731667502</v>
      </c>
      <c r="J90" s="141">
        <v>3.7175461722252026</v>
      </c>
      <c r="K90" s="141">
        <v>3.6566938673696234</v>
      </c>
      <c r="L90" s="141">
        <v>3.5763873055371262</v>
      </c>
      <c r="M90" s="141">
        <v>3.5073735368448253</v>
      </c>
      <c r="N90" s="141">
        <v>3.4807326480587979</v>
      </c>
      <c r="O90" s="141">
        <v>3.4189396310153533</v>
      </c>
      <c r="P90" s="141">
        <v>3.3835259797461448</v>
      </c>
      <c r="Q90" s="141">
        <v>3.3409447998543342</v>
      </c>
      <c r="R90" s="141">
        <v>3.2660655059027359</v>
      </c>
      <c r="S90" s="141">
        <v>3.2163049004041078</v>
      </c>
      <c r="T90" s="141">
        <v>3.1587477883519957</v>
      </c>
      <c r="U90" s="141">
        <v>3.0700006053435964</v>
      </c>
      <c r="V90" s="141">
        <v>3.0155195759150155</v>
      </c>
      <c r="W90" s="141">
        <v>2.8284408802796226</v>
      </c>
      <c r="DA90" s="174" t="s">
        <v>862</v>
      </c>
    </row>
    <row r="91" spans="1:105" ht="11.45" customHeight="1" x14ac:dyDescent="0.25">
      <c r="A91" s="109" t="s">
        <v>20</v>
      </c>
      <c r="B91" s="130">
        <v>7.599558137782866</v>
      </c>
      <c r="C91" s="130">
        <v>7.4754854357788378</v>
      </c>
      <c r="D91" s="130">
        <v>7.3954319802940045</v>
      </c>
      <c r="E91" s="130">
        <v>7.3172175554240981</v>
      </c>
      <c r="F91" s="130">
        <v>7.2237528508420095</v>
      </c>
      <c r="G91" s="130">
        <v>7.1404361856399516</v>
      </c>
      <c r="H91" s="130">
        <v>7.0636726066135358</v>
      </c>
      <c r="I91" s="130">
        <v>6.9987417455018601</v>
      </c>
      <c r="J91" s="130">
        <v>6.9227342046312748</v>
      </c>
      <c r="K91" s="130">
        <v>6.8267165356101325</v>
      </c>
      <c r="L91" s="130">
        <v>6.7536329551786913</v>
      </c>
      <c r="M91" s="130">
        <v>6.690561574107722</v>
      </c>
      <c r="N91" s="130">
        <v>6.6607112621731748</v>
      </c>
      <c r="O91" s="130">
        <v>6.6150885385074991</v>
      </c>
      <c r="P91" s="130">
        <v>6.5852475013665481</v>
      </c>
      <c r="Q91" s="130">
        <v>6.5338831259014523</v>
      </c>
      <c r="R91" s="130">
        <v>6.4811091153547187</v>
      </c>
      <c r="S91" s="130">
        <v>6.4106344112806459</v>
      </c>
      <c r="T91" s="130">
        <v>6.3256316989731332</v>
      </c>
      <c r="U91" s="130">
        <v>6.2462915045879388</v>
      </c>
      <c r="V91" s="130">
        <v>6.1553246666460755</v>
      </c>
      <c r="W91" s="130">
        <v>6.0922049521582471</v>
      </c>
      <c r="DA91" s="176" t="s">
        <v>863</v>
      </c>
    </row>
    <row r="92" spans="1:105" ht="11.45" customHeight="1" x14ac:dyDescent="0.25">
      <c r="A92" s="111" t="s">
        <v>110</v>
      </c>
      <c r="B92" s="96">
        <v>7.5114648906167831</v>
      </c>
      <c r="C92" s="96">
        <v>7.3515302360935939</v>
      </c>
      <c r="D92" s="96">
        <v>7.2551130034635642</v>
      </c>
      <c r="E92" s="96">
        <v>7.164184095138058</v>
      </c>
      <c r="F92" s="96">
        <v>7.0644197479658333</v>
      </c>
      <c r="G92" s="96">
        <v>6.9847105839290711</v>
      </c>
      <c r="H92" s="96">
        <v>6.9153719764516035</v>
      </c>
      <c r="I92" s="96">
        <v>6.8496537178785113</v>
      </c>
      <c r="J92" s="96">
        <v>6.7749755663938949</v>
      </c>
      <c r="K92" s="96">
        <v>6.6845432794605006</v>
      </c>
      <c r="L92" s="96">
        <v>6.6211492907726459</v>
      </c>
      <c r="M92" s="96">
        <v>6.5649789815242006</v>
      </c>
      <c r="N92" s="96">
        <v>6.5344594360892545</v>
      </c>
      <c r="O92" s="96">
        <v>6.4927096305870124</v>
      </c>
      <c r="P92" s="96">
        <v>6.4595989207738063</v>
      </c>
      <c r="Q92" s="96">
        <v>6.405752947989054</v>
      </c>
      <c r="R92" s="96">
        <v>6.3478005664666224</v>
      </c>
      <c r="S92" s="96">
        <v>6.2700459287220411</v>
      </c>
      <c r="T92" s="96">
        <v>6.1832240676158001</v>
      </c>
      <c r="U92" s="96">
        <v>6.1019725284806867</v>
      </c>
      <c r="V92" s="96">
        <v>6.0097954960279596</v>
      </c>
      <c r="W92" s="96">
        <v>5.9222854490371253</v>
      </c>
      <c r="DA92" s="171" t="s">
        <v>864</v>
      </c>
    </row>
    <row r="93" spans="1:105" ht="11.45" customHeight="1" x14ac:dyDescent="0.25">
      <c r="A93" s="111" t="s">
        <v>111</v>
      </c>
      <c r="B93" s="96">
        <v>8.2954947903949243</v>
      </c>
      <c r="C93" s="96">
        <v>8.0855568409668965</v>
      </c>
      <c r="D93" s="96">
        <v>8.0117698036133156</v>
      </c>
      <c r="E93" s="96">
        <v>7.9713497044502972</v>
      </c>
      <c r="F93" s="96">
        <v>7.9385666500823451</v>
      </c>
      <c r="G93" s="96">
        <v>7.8915258203528191</v>
      </c>
      <c r="H93" s="96">
        <v>7.8415727775300095</v>
      </c>
      <c r="I93" s="96">
        <v>7.7596736079092663</v>
      </c>
      <c r="J93" s="96">
        <v>7.644466393203416</v>
      </c>
      <c r="K93" s="96">
        <v>7.5382220847851009</v>
      </c>
      <c r="L93" s="96">
        <v>7.4437042200505301</v>
      </c>
      <c r="M93" s="96">
        <v>7.3590329608208274</v>
      </c>
      <c r="N93" s="96">
        <v>7.2859834811353705</v>
      </c>
      <c r="O93" s="96">
        <v>7.2221484181140756</v>
      </c>
      <c r="P93" s="96">
        <v>7.0894098534315235</v>
      </c>
      <c r="Q93" s="96">
        <v>6.9483770349382059</v>
      </c>
      <c r="R93" s="96">
        <v>6.7657781467758626</v>
      </c>
      <c r="S93" s="96">
        <v>6.572913311502</v>
      </c>
      <c r="T93" s="96">
        <v>6.384760667738588</v>
      </c>
      <c r="U93" s="96">
        <v>6.2136182545646301</v>
      </c>
      <c r="V93" s="96">
        <v>6.092770610658766</v>
      </c>
      <c r="W93" s="96">
        <v>6.0444408716453193</v>
      </c>
      <c r="DA93" s="171" t="s">
        <v>865</v>
      </c>
    </row>
    <row r="94" spans="1:105" ht="11.45" customHeight="1" x14ac:dyDescent="0.25">
      <c r="A94" s="111" t="s">
        <v>112</v>
      </c>
      <c r="B94" s="96">
        <v>0</v>
      </c>
      <c r="C94" s="96">
        <v>0</v>
      </c>
      <c r="D94" s="96">
        <v>0</v>
      </c>
      <c r="E94" s="96">
        <v>0</v>
      </c>
      <c r="F94" s="96">
        <v>0</v>
      </c>
      <c r="G94" s="96">
        <v>0</v>
      </c>
      <c r="H94" s="96">
        <v>0</v>
      </c>
      <c r="I94" s="96">
        <v>0</v>
      </c>
      <c r="J94" s="96">
        <v>0</v>
      </c>
      <c r="K94" s="96">
        <v>0</v>
      </c>
      <c r="L94" s="96">
        <v>0</v>
      </c>
      <c r="M94" s="96">
        <v>0</v>
      </c>
      <c r="N94" s="96">
        <v>0</v>
      </c>
      <c r="O94" s="96">
        <v>0</v>
      </c>
      <c r="P94" s="96">
        <v>0</v>
      </c>
      <c r="Q94" s="96">
        <v>0</v>
      </c>
      <c r="R94" s="96">
        <v>0</v>
      </c>
      <c r="S94" s="96">
        <v>0</v>
      </c>
      <c r="T94" s="96">
        <v>5.1336237659928816</v>
      </c>
      <c r="U94" s="96">
        <v>5.1336237659928825</v>
      </c>
      <c r="V94" s="96">
        <v>5.1336237659928816</v>
      </c>
      <c r="W94" s="96">
        <v>5.1336237659928816</v>
      </c>
      <c r="DA94" s="171" t="s">
        <v>866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0</v>
      </c>
      <c r="I95" s="96">
        <v>0</v>
      </c>
      <c r="J95" s="96">
        <v>0</v>
      </c>
      <c r="K95" s="96">
        <v>0</v>
      </c>
      <c r="L95" s="96">
        <v>0</v>
      </c>
      <c r="M95" s="96">
        <v>0</v>
      </c>
      <c r="N95" s="96">
        <v>0</v>
      </c>
      <c r="O95" s="96">
        <v>0</v>
      </c>
      <c r="P95" s="96">
        <v>0</v>
      </c>
      <c r="Q95" s="96">
        <v>0</v>
      </c>
      <c r="R95" s="96">
        <v>0</v>
      </c>
      <c r="S95" s="96">
        <v>0</v>
      </c>
      <c r="T95" s="96">
        <v>0</v>
      </c>
      <c r="U95" s="96">
        <v>0</v>
      </c>
      <c r="V95" s="96">
        <v>0</v>
      </c>
      <c r="W95" s="96">
        <v>0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0</v>
      </c>
      <c r="O96" s="96">
        <v>0</v>
      </c>
      <c r="P96" s="96">
        <v>2.7021993848275483</v>
      </c>
      <c r="Q96" s="96">
        <v>2.7524018824341501</v>
      </c>
      <c r="R96" s="96">
        <v>3.4537753012592858</v>
      </c>
      <c r="S96" s="96">
        <v>3.5634675450164282</v>
      </c>
      <c r="T96" s="96">
        <v>3.5935216377803538</v>
      </c>
      <c r="U96" s="96">
        <v>3.5018374015477289</v>
      </c>
      <c r="V96" s="96">
        <v>3.746758707412523</v>
      </c>
      <c r="W96" s="96">
        <v>3.3840994624693108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0</v>
      </c>
      <c r="L97" s="96">
        <v>0</v>
      </c>
      <c r="M97" s="96">
        <v>0</v>
      </c>
      <c r="N97" s="96">
        <v>0</v>
      </c>
      <c r="O97" s="96">
        <v>1.3210559340178167</v>
      </c>
      <c r="P97" s="96">
        <v>1.3150361572930367</v>
      </c>
      <c r="Q97" s="96">
        <v>1.3407281087281728</v>
      </c>
      <c r="R97" s="96">
        <v>1.3460034831612757</v>
      </c>
      <c r="S97" s="96">
        <v>1.2936279821885435</v>
      </c>
      <c r="T97" s="96">
        <v>1.3359410854108424</v>
      </c>
      <c r="U97" s="96">
        <v>1.3917542552963345</v>
      </c>
      <c r="V97" s="96">
        <v>1.4061863449967598</v>
      </c>
      <c r="W97" s="96">
        <v>1.4145817389418296</v>
      </c>
      <c r="DA97" s="171" t="s">
        <v>869</v>
      </c>
    </row>
    <row r="98" spans="1:105" ht="11.45" customHeight="1" x14ac:dyDescent="0.25">
      <c r="A98" s="109" t="s">
        <v>21</v>
      </c>
      <c r="B98" s="130">
        <v>49.834681679397946</v>
      </c>
      <c r="C98" s="130">
        <v>49.20826072954447</v>
      </c>
      <c r="D98" s="130">
        <v>48.915656676867002</v>
      </c>
      <c r="E98" s="130">
        <v>48.65750291919607</v>
      </c>
      <c r="F98" s="130">
        <v>48.421725374465765</v>
      </c>
      <c r="G98" s="130">
        <v>48.256934249773529</v>
      </c>
      <c r="H98" s="130">
        <v>47.994702425054264</v>
      </c>
      <c r="I98" s="130">
        <v>47.756838601963665</v>
      </c>
      <c r="J98" s="130">
        <v>47.469982002087946</v>
      </c>
      <c r="K98" s="130">
        <v>47.27548564350635</v>
      </c>
      <c r="L98" s="130">
        <v>46.513376705414601</v>
      </c>
      <c r="M98" s="130">
        <v>46.197334144812686</v>
      </c>
      <c r="N98" s="130">
        <v>46.089647065483504</v>
      </c>
      <c r="O98" s="130">
        <v>45.984770974688743</v>
      </c>
      <c r="P98" s="130">
        <v>46.715001065786041</v>
      </c>
      <c r="Q98" s="130">
        <v>46.550258845112516</v>
      </c>
      <c r="R98" s="130">
        <v>46.371357013171156</v>
      </c>
      <c r="S98" s="130">
        <v>46.159778615044658</v>
      </c>
      <c r="T98" s="130">
        <v>45.911327536150459</v>
      </c>
      <c r="U98" s="130">
        <v>45.752015735673666</v>
      </c>
      <c r="V98" s="130">
        <v>44.180184190877462</v>
      </c>
      <c r="W98" s="130">
        <v>44.00609754395564</v>
      </c>
      <c r="DA98" s="176" t="s">
        <v>870</v>
      </c>
    </row>
    <row r="99" spans="1:105" ht="11.45" customHeight="1" x14ac:dyDescent="0.25">
      <c r="A99" s="111" t="s">
        <v>110</v>
      </c>
      <c r="B99" s="97">
        <v>16.360889774480956</v>
      </c>
      <c r="C99" s="97">
        <v>16.346982816228671</v>
      </c>
      <c r="D99" s="97">
        <v>16.346597990940818</v>
      </c>
      <c r="E99" s="97">
        <v>16.329062753074673</v>
      </c>
      <c r="F99" s="97">
        <v>16.328549760486052</v>
      </c>
      <c r="G99" s="97">
        <v>16.328368820801686</v>
      </c>
      <c r="H99" s="97">
        <v>16.26203081228623</v>
      </c>
      <c r="I99" s="97">
        <v>16.261494202079927</v>
      </c>
      <c r="J99" s="97">
        <v>16.232912996669047</v>
      </c>
      <c r="K99" s="97">
        <v>16.23057852591322</v>
      </c>
      <c r="L99" s="97">
        <v>16.114721470950602</v>
      </c>
      <c r="M99" s="97">
        <v>16.02922969508786</v>
      </c>
      <c r="N99" s="97">
        <v>15.98001921545537</v>
      </c>
      <c r="O99" s="97">
        <v>15.976125728894313</v>
      </c>
      <c r="P99" s="97">
        <v>15.492171224716747</v>
      </c>
      <c r="Q99" s="97">
        <v>15.397957308033755</v>
      </c>
      <c r="R99" s="97">
        <v>15.381136701111028</v>
      </c>
      <c r="S99" s="97">
        <v>15.381136701111023</v>
      </c>
      <c r="T99" s="97">
        <v>15.381136701111027</v>
      </c>
      <c r="U99" s="97">
        <v>15.119277601814304</v>
      </c>
      <c r="V99" s="97">
        <v>15.119277601814309</v>
      </c>
      <c r="W99" s="97">
        <v>15.094344539327475</v>
      </c>
      <c r="DA99" s="175" t="s">
        <v>871</v>
      </c>
    </row>
    <row r="100" spans="1:105" ht="11.45" customHeight="1" x14ac:dyDescent="0.25">
      <c r="A100" s="111" t="s">
        <v>111</v>
      </c>
      <c r="B100" s="97">
        <v>51.666402051877306</v>
      </c>
      <c r="C100" s="97">
        <v>50.68258917963027</v>
      </c>
      <c r="D100" s="97">
        <v>50.22637207069149</v>
      </c>
      <c r="E100" s="97">
        <v>49.720620618609843</v>
      </c>
      <c r="F100" s="97">
        <v>49.47108400205105</v>
      </c>
      <c r="G100" s="97">
        <v>49.24564561775049</v>
      </c>
      <c r="H100" s="97">
        <v>48.98078368888973</v>
      </c>
      <c r="I100" s="97">
        <v>48.666403657679886</v>
      </c>
      <c r="J100" s="97">
        <v>48.318784281407972</v>
      </c>
      <c r="K100" s="97">
        <v>48.061414090726792</v>
      </c>
      <c r="L100" s="97">
        <v>47.413783347889719</v>
      </c>
      <c r="M100" s="97">
        <v>47.132441720401623</v>
      </c>
      <c r="N100" s="97">
        <v>46.971833713108481</v>
      </c>
      <c r="O100" s="97">
        <v>46.862238654257915</v>
      </c>
      <c r="P100" s="97">
        <v>46.734758079325061</v>
      </c>
      <c r="Q100" s="97">
        <v>46.450647491190885</v>
      </c>
      <c r="R100" s="97">
        <v>46.240412876286975</v>
      </c>
      <c r="S100" s="97">
        <v>46.006567409056558</v>
      </c>
      <c r="T100" s="97">
        <v>45.742392335561576</v>
      </c>
      <c r="U100" s="97">
        <v>45.561406877697159</v>
      </c>
      <c r="V100" s="97">
        <v>44.289896616785661</v>
      </c>
      <c r="W100" s="97">
        <v>44.032439365353525</v>
      </c>
      <c r="DA100" s="175" t="s">
        <v>872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0</v>
      </c>
      <c r="P101" s="97">
        <v>0</v>
      </c>
      <c r="Q101" s="97">
        <v>0</v>
      </c>
      <c r="R101" s="97">
        <v>0</v>
      </c>
      <c r="S101" s="97">
        <v>0</v>
      </c>
      <c r="T101" s="97">
        <v>0</v>
      </c>
      <c r="U101" s="97">
        <v>0</v>
      </c>
      <c r="V101" s="97">
        <v>0</v>
      </c>
      <c r="W101" s="97">
        <v>0</v>
      </c>
      <c r="DA101" s="175" t="s">
        <v>873</v>
      </c>
    </row>
    <row r="102" spans="1:105" ht="11.45" customHeight="1" x14ac:dyDescent="0.25">
      <c r="A102" s="111" t="s">
        <v>113</v>
      </c>
      <c r="B102" s="97">
        <v>0</v>
      </c>
      <c r="C102" s="97">
        <v>0</v>
      </c>
      <c r="D102" s="97">
        <v>0</v>
      </c>
      <c r="E102" s="97">
        <v>0</v>
      </c>
      <c r="F102" s="97">
        <v>0</v>
      </c>
      <c r="G102" s="97">
        <v>0</v>
      </c>
      <c r="H102" s="97">
        <v>0</v>
      </c>
      <c r="I102" s="97">
        <v>0</v>
      </c>
      <c r="J102" s="97">
        <v>0</v>
      </c>
      <c r="K102" s="97">
        <v>0</v>
      </c>
      <c r="L102" s="97">
        <v>0</v>
      </c>
      <c r="M102" s="97">
        <v>0</v>
      </c>
      <c r="N102" s="97">
        <v>0</v>
      </c>
      <c r="O102" s="97">
        <v>0</v>
      </c>
      <c r="P102" s="97">
        <v>0</v>
      </c>
      <c r="Q102" s="97">
        <v>0</v>
      </c>
      <c r="R102" s="97">
        <v>0</v>
      </c>
      <c r="S102" s="97">
        <v>0</v>
      </c>
      <c r="T102" s="97">
        <v>0</v>
      </c>
      <c r="U102" s="97">
        <v>0</v>
      </c>
      <c r="V102" s="97">
        <v>0</v>
      </c>
      <c r="W102" s="97">
        <v>0</v>
      </c>
      <c r="DA102" s="175" t="s">
        <v>874</v>
      </c>
    </row>
    <row r="103" spans="1:105" ht="11.45" customHeight="1" x14ac:dyDescent="0.25">
      <c r="A103" s="111" t="s">
        <v>115</v>
      </c>
      <c r="B103" s="97">
        <v>0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28.304879101988803</v>
      </c>
      <c r="K103" s="97">
        <v>28.304879101988799</v>
      </c>
      <c r="L103" s="97">
        <v>28.304879101988799</v>
      </c>
      <c r="M103" s="97">
        <v>28.304879101988799</v>
      </c>
      <c r="N103" s="97">
        <v>28.304879101988806</v>
      </c>
      <c r="O103" s="97">
        <v>28.304879101988803</v>
      </c>
      <c r="P103" s="97">
        <v>28.304879101988803</v>
      </c>
      <c r="Q103" s="97">
        <v>28.304879101988803</v>
      </c>
      <c r="R103" s="97">
        <v>28.304879101988803</v>
      </c>
      <c r="S103" s="97">
        <v>28.304879101988803</v>
      </c>
      <c r="T103" s="97">
        <v>28.304879101988803</v>
      </c>
      <c r="U103" s="97">
        <v>28.304879101988803</v>
      </c>
      <c r="V103" s="97">
        <v>28.793269939755227</v>
      </c>
      <c r="W103" s="97">
        <v>28.793269939755223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9.208455570548999</v>
      </c>
      <c r="C105" s="141">
        <v>9.0535294595990603</v>
      </c>
      <c r="D105" s="141">
        <v>8.9330631788547592</v>
      </c>
      <c r="E105" s="141">
        <v>8.7580027363900292</v>
      </c>
      <c r="F105" s="141">
        <v>8.6270078833152315</v>
      </c>
      <c r="G105" s="141">
        <v>8.5135004316029317</v>
      </c>
      <c r="H105" s="141">
        <v>8.3592934965600847</v>
      </c>
      <c r="I105" s="141">
        <v>8.1831039569275816</v>
      </c>
      <c r="J105" s="141">
        <v>7.9990037086029391</v>
      </c>
      <c r="K105" s="141">
        <v>7.7845407380821596</v>
      </c>
      <c r="L105" s="141">
        <v>7.5848050347758083</v>
      </c>
      <c r="M105" s="141">
        <v>7.3929368682254033</v>
      </c>
      <c r="N105" s="141">
        <v>7.1791783152192581</v>
      </c>
      <c r="O105" s="141">
        <v>6.9758490140423772</v>
      </c>
      <c r="P105" s="141">
        <v>6.7822545421339324</v>
      </c>
      <c r="Q105" s="141">
        <v>6.6114006546309652</v>
      </c>
      <c r="R105" s="141">
        <v>6.5461306606383296</v>
      </c>
      <c r="S105" s="141">
        <v>6.4338472608798885</v>
      </c>
      <c r="T105" s="141">
        <v>6.3401502991634127</v>
      </c>
      <c r="U105" s="141">
        <v>6.1830084845120048</v>
      </c>
      <c r="V105" s="141">
        <v>6.1166016016710403</v>
      </c>
      <c r="W105" s="141">
        <v>6.0588822403395808</v>
      </c>
      <c r="DA105" s="174" t="s">
        <v>876</v>
      </c>
    </row>
    <row r="106" spans="1:105" ht="11.45" customHeight="1" x14ac:dyDescent="0.25">
      <c r="A106" s="111" t="s">
        <v>110</v>
      </c>
      <c r="B106" s="96">
        <v>6.7571089402121087</v>
      </c>
      <c r="C106" s="96">
        <v>6.6759885222548716</v>
      </c>
      <c r="D106" s="96">
        <v>6.601288260113785</v>
      </c>
      <c r="E106" s="96">
        <v>6.5322493605371879</v>
      </c>
      <c r="F106" s="96">
        <v>6.4686844335397176</v>
      </c>
      <c r="G106" s="96">
        <v>6.321711860663255</v>
      </c>
      <c r="H106" s="96">
        <v>6.2431128001978378</v>
      </c>
      <c r="I106" s="96">
        <v>6.0979900829604636</v>
      </c>
      <c r="J106" s="96">
        <v>6.002999201413509</v>
      </c>
      <c r="K106" s="96">
        <v>5.9488943216377823</v>
      </c>
      <c r="L106" s="96">
        <v>5.897699561445207</v>
      </c>
      <c r="M106" s="96">
        <v>5.8917400538470757</v>
      </c>
      <c r="N106" s="96">
        <v>5.870156701529651</v>
      </c>
      <c r="O106" s="96">
        <v>5.8612462767548887</v>
      </c>
      <c r="P106" s="96">
        <v>6.0733618254703901</v>
      </c>
      <c r="Q106" s="96">
        <v>6.0670875793569232</v>
      </c>
      <c r="R106" s="96">
        <v>6.0463073008655686</v>
      </c>
      <c r="S106" s="96">
        <v>5.9574555403848013</v>
      </c>
      <c r="T106" s="96">
        <v>5.7917843863390557</v>
      </c>
      <c r="U106" s="96">
        <v>5.7796290665769368</v>
      </c>
      <c r="V106" s="96">
        <v>5.6119087647728945</v>
      </c>
      <c r="W106" s="96">
        <v>5.4531771756179817</v>
      </c>
      <c r="DA106" s="171" t="s">
        <v>877</v>
      </c>
    </row>
    <row r="107" spans="1:105" ht="11.45" customHeight="1" x14ac:dyDescent="0.25">
      <c r="A107" s="111" t="s">
        <v>111</v>
      </c>
      <c r="B107" s="96">
        <v>9.4409430235252838</v>
      </c>
      <c r="C107" s="96">
        <v>9.2255996801713671</v>
      </c>
      <c r="D107" s="96">
        <v>9.0372129986575658</v>
      </c>
      <c r="E107" s="96">
        <v>8.8174391409382107</v>
      </c>
      <c r="F107" s="96">
        <v>8.6241572177901187</v>
      </c>
      <c r="G107" s="96">
        <v>8.4383653084362802</v>
      </c>
      <c r="H107" s="96">
        <v>8.2661956239059968</v>
      </c>
      <c r="I107" s="96">
        <v>8.0699807533162407</v>
      </c>
      <c r="J107" s="96">
        <v>7.8654088473349661</v>
      </c>
      <c r="K107" s="96">
        <v>7.6490267532206406</v>
      </c>
      <c r="L107" s="96">
        <v>7.4523707124610192</v>
      </c>
      <c r="M107" s="96">
        <v>7.2780219633480616</v>
      </c>
      <c r="N107" s="96">
        <v>7.0863692291091533</v>
      </c>
      <c r="O107" s="96">
        <v>6.9182497498833095</v>
      </c>
      <c r="P107" s="96">
        <v>6.7502035795963451</v>
      </c>
      <c r="Q107" s="96">
        <v>6.6016644846225194</v>
      </c>
      <c r="R107" s="96">
        <v>6.5178175630745132</v>
      </c>
      <c r="S107" s="96">
        <v>6.3733496489455481</v>
      </c>
      <c r="T107" s="96">
        <v>6.2616334871662422</v>
      </c>
      <c r="U107" s="96">
        <v>6.0565372372886426</v>
      </c>
      <c r="V107" s="96">
        <v>5.985600879177289</v>
      </c>
      <c r="W107" s="96">
        <v>5.9287296254677893</v>
      </c>
      <c r="DA107" s="171" t="s">
        <v>878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96">
        <v>0</v>
      </c>
      <c r="N108" s="96">
        <v>0</v>
      </c>
      <c r="O108" s="96">
        <v>0</v>
      </c>
      <c r="P108" s="96">
        <v>0</v>
      </c>
      <c r="Q108" s="96">
        <v>0</v>
      </c>
      <c r="R108" s="96">
        <v>0</v>
      </c>
      <c r="S108" s="96">
        <v>0</v>
      </c>
      <c r="T108" s="96">
        <v>0</v>
      </c>
      <c r="U108" s="96">
        <v>0</v>
      </c>
      <c r="V108" s="96">
        <v>0</v>
      </c>
      <c r="W108" s="96">
        <v>0</v>
      </c>
      <c r="DA108" s="171" t="s">
        <v>879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0</v>
      </c>
      <c r="O109" s="96">
        <v>0</v>
      </c>
      <c r="P109" s="96">
        <v>0</v>
      </c>
      <c r="Q109" s="96">
        <v>0</v>
      </c>
      <c r="R109" s="96">
        <v>0</v>
      </c>
      <c r="S109" s="96">
        <v>0</v>
      </c>
      <c r="T109" s="96">
        <v>0</v>
      </c>
      <c r="U109" s="96">
        <v>0</v>
      </c>
      <c r="V109" s="96">
        <v>0</v>
      </c>
      <c r="W109" s="96">
        <v>0</v>
      </c>
      <c r="DA109" s="171" t="s">
        <v>880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1.4104152265329351</v>
      </c>
      <c r="J110" s="96">
        <v>1.4055978615444469</v>
      </c>
      <c r="K110" s="96">
        <v>1.4055978615444471</v>
      </c>
      <c r="L110" s="96">
        <v>1.3920534867043803</v>
      </c>
      <c r="M110" s="96">
        <v>1.3862589890709862</v>
      </c>
      <c r="N110" s="96">
        <v>1.3862589890709864</v>
      </c>
      <c r="O110" s="96">
        <v>1.3862589890709862</v>
      </c>
      <c r="P110" s="96">
        <v>1.3818097472312507</v>
      </c>
      <c r="Q110" s="96">
        <v>1.3818097472312509</v>
      </c>
      <c r="R110" s="96">
        <v>1.3818097472312514</v>
      </c>
      <c r="S110" s="96">
        <v>1.3818097472312512</v>
      </c>
      <c r="T110" s="96">
        <v>1.3753514976941545</v>
      </c>
      <c r="U110" s="96">
        <v>1.596120175038614</v>
      </c>
      <c r="V110" s="96">
        <v>1.6714053897541941</v>
      </c>
      <c r="W110" s="96">
        <v>1.8493954383629692</v>
      </c>
      <c r="DA110" s="171" t="s">
        <v>881</v>
      </c>
    </row>
    <row r="111" spans="1:105" ht="11.45" customHeight="1" x14ac:dyDescent="0.25">
      <c r="A111" s="109" t="s">
        <v>158</v>
      </c>
      <c r="B111" s="130">
        <v>24.853754385747372</v>
      </c>
      <c r="C111" s="130">
        <v>24.695716374978709</v>
      </c>
      <c r="D111" s="130">
        <v>24.400490750226133</v>
      </c>
      <c r="E111" s="130">
        <v>24.232091416028634</v>
      </c>
      <c r="F111" s="130">
        <v>24.04524321825998</v>
      </c>
      <c r="G111" s="130">
        <v>23.791397747843693</v>
      </c>
      <c r="H111" s="130">
        <v>23.581649133909568</v>
      </c>
      <c r="I111" s="130">
        <v>23.225135172875358</v>
      </c>
      <c r="J111" s="130">
        <v>23.066973515558189</v>
      </c>
      <c r="K111" s="130">
        <v>22.943778579932495</v>
      </c>
      <c r="L111" s="130">
        <v>22.778004776967766</v>
      </c>
      <c r="M111" s="130">
        <v>22.60367399129019</v>
      </c>
      <c r="N111" s="130">
        <v>22.458216658135512</v>
      </c>
      <c r="O111" s="130">
        <v>22.027041485025919</v>
      </c>
      <c r="P111" s="130">
        <v>21.938275723694208</v>
      </c>
      <c r="Q111" s="130">
        <v>21.899719298900429</v>
      </c>
      <c r="R111" s="130">
        <v>21.745227854249777</v>
      </c>
      <c r="S111" s="130">
        <v>21.622130449715993</v>
      </c>
      <c r="T111" s="130">
        <v>21.481098416474651</v>
      </c>
      <c r="U111" s="130">
        <v>21.27080620138603</v>
      </c>
      <c r="V111" s="130">
        <v>21.124259306967495</v>
      </c>
      <c r="W111" s="130">
        <v>21.013454401807987</v>
      </c>
      <c r="DA111" s="176" t="s">
        <v>882</v>
      </c>
    </row>
    <row r="112" spans="1:105" ht="11.45" customHeight="1" x14ac:dyDescent="0.25">
      <c r="A112" s="128" t="s">
        <v>27</v>
      </c>
      <c r="B112" s="97">
        <v>24.853754385747372</v>
      </c>
      <c r="C112" s="97">
        <v>24.695716374978709</v>
      </c>
      <c r="D112" s="97">
        <v>24.400490750226133</v>
      </c>
      <c r="E112" s="97">
        <v>24.232091416028634</v>
      </c>
      <c r="F112" s="97">
        <v>24.04524321825998</v>
      </c>
      <c r="G112" s="97">
        <v>23.791397747843693</v>
      </c>
      <c r="H112" s="97">
        <v>23.581649133909568</v>
      </c>
      <c r="I112" s="97">
        <v>23.225135172875358</v>
      </c>
      <c r="J112" s="97">
        <v>23.066973515558189</v>
      </c>
      <c r="K112" s="97">
        <v>22.943778579932495</v>
      </c>
      <c r="L112" s="97">
        <v>22.778004776967766</v>
      </c>
      <c r="M112" s="97">
        <v>22.60367399129019</v>
      </c>
      <c r="N112" s="97">
        <v>22.458216658135512</v>
      </c>
      <c r="O112" s="97">
        <v>22.027041485025919</v>
      </c>
      <c r="P112" s="97">
        <v>21.938275723694208</v>
      </c>
      <c r="Q112" s="97">
        <v>21.899719298900429</v>
      </c>
      <c r="R112" s="97">
        <v>21.745227854249777</v>
      </c>
      <c r="S112" s="97">
        <v>21.622130449715993</v>
      </c>
      <c r="T112" s="97">
        <v>21.481098416474651</v>
      </c>
      <c r="U112" s="97">
        <v>21.27080620138603</v>
      </c>
      <c r="V112" s="97">
        <v>21.124259306967495</v>
      </c>
      <c r="W112" s="97">
        <v>21.013454401807987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1.1275000000068982</v>
      </c>
      <c r="C117" s="150">
        <f>IF(TrRoad_act!C59=0,0,TrRoad_ene!C62/TrRoad_tech!C90)</f>
        <v>1.1277474459752159</v>
      </c>
      <c r="D117" s="150">
        <f>IF(TrRoad_act!D59=0,0,TrRoad_ene!D62/TrRoad_tech!D90)</f>
        <v>1.1282173168623681</v>
      </c>
      <c r="E117" s="150">
        <f>IF(TrRoad_act!E59=0,0,TrRoad_ene!E62/TrRoad_tech!E90)</f>
        <v>1.1288527665618793</v>
      </c>
      <c r="F117" s="150">
        <f>IF(TrRoad_act!F59=0,0,TrRoad_ene!F62/TrRoad_tech!F90)</f>
        <v>1.1300860956625207</v>
      </c>
      <c r="G117" s="150">
        <f>IF(TrRoad_act!G59=0,0,TrRoad_ene!G62/TrRoad_tech!G90)</f>
        <v>1.1320556777889919</v>
      </c>
      <c r="H117" s="150">
        <f>IF(TrRoad_act!H59=0,0,TrRoad_ene!H62/TrRoad_tech!H90)</f>
        <v>1.1350670886942624</v>
      </c>
      <c r="I117" s="150">
        <f>IF(TrRoad_act!I59=0,0,TrRoad_ene!I62/TrRoad_tech!I90)</f>
        <v>1.1397121508362802</v>
      </c>
      <c r="J117" s="150">
        <f>IF(TrRoad_act!J59=0,0,TrRoad_ene!J62/TrRoad_tech!J90)</f>
        <v>1.1459385957466444</v>
      </c>
      <c r="K117" s="150">
        <f>IF(TrRoad_act!K59=0,0,TrRoad_ene!K62/TrRoad_tech!K90)</f>
        <v>1.1521099509779915</v>
      </c>
      <c r="L117" s="150">
        <f>IF(TrRoad_act!L59=0,0,TrRoad_ene!L62/TrRoad_tech!L90)</f>
        <v>1.1607344047481234</v>
      </c>
      <c r="M117" s="150">
        <f>IF(TrRoad_act!M59=0,0,TrRoad_ene!M62/TrRoad_tech!M90)</f>
        <v>1.1688869465525638</v>
      </c>
      <c r="N117" s="150">
        <f>IF(TrRoad_act!N59=0,0,TrRoad_ene!N62/TrRoad_tech!N90)</f>
        <v>1.1735084085094791</v>
      </c>
      <c r="O117" s="150">
        <f>IF(TrRoad_act!O59=0,0,TrRoad_ene!O62/TrRoad_tech!O90)</f>
        <v>1.1812391024928737</v>
      </c>
      <c r="P117" s="150">
        <f>IF(TrRoad_act!P59=0,0,TrRoad_ene!P62/TrRoad_tech!P90)</f>
        <v>1.1865312504781589</v>
      </c>
      <c r="Q117" s="150">
        <f>IF(TrRoad_act!Q59=0,0,TrRoad_ene!Q62/TrRoad_tech!Q90)</f>
        <v>1.1937139198510909</v>
      </c>
      <c r="R117" s="150">
        <f>IF(TrRoad_act!R59=0,0,TrRoad_ene!R62/TrRoad_tech!R90)</f>
        <v>1.20350581638369</v>
      </c>
      <c r="S117" s="150">
        <f>IF(TrRoad_act!S59=0,0,TrRoad_ene!S62/TrRoad_tech!S90)</f>
        <v>1.211132629399382</v>
      </c>
      <c r="T117" s="150">
        <f>IF(TrRoad_act!T59=0,0,TrRoad_ene!T62/TrRoad_tech!T90)</f>
        <v>1.2206106055942425</v>
      </c>
      <c r="U117" s="150">
        <f>IF(TrRoad_act!U59=0,0,TrRoad_ene!U62/TrRoad_tech!U90)</f>
        <v>1.2353713026386166</v>
      </c>
      <c r="V117" s="150">
        <f>IF(TrRoad_act!V59=0,0,TrRoad_ene!V62/TrRoad_tech!V90)</f>
        <v>1.2464077314868527</v>
      </c>
      <c r="W117" s="150">
        <f>IF(TrRoad_act!W59=0,0,TrRoad_ene!W62/TrRoad_tech!W90)</f>
        <v>1.2487952908971227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1.1093793423556808</v>
      </c>
      <c r="C118" s="151">
        <f>IF(TrRoad_act!C60=0,0,TrRoad_ene!C63/TrRoad_tech!C91)</f>
        <v>1.1441137158177233</v>
      </c>
      <c r="D118" s="151">
        <f>IF(TrRoad_act!D60=0,0,TrRoad_ene!D63/TrRoad_tech!D91)</f>
        <v>1.1574845465675581</v>
      </c>
      <c r="E118" s="151">
        <f>IF(TrRoad_act!E60=0,0,TrRoad_ene!E63/TrRoad_tech!E91)</f>
        <v>1.2177362027151093</v>
      </c>
      <c r="F118" s="151">
        <f>IF(TrRoad_act!F60=0,0,TrRoad_ene!F63/TrRoad_tech!F91)</f>
        <v>1.2553704193548334</v>
      </c>
      <c r="G118" s="151">
        <f>IF(TrRoad_act!G60=0,0,TrRoad_ene!G63/TrRoad_tech!G91)</f>
        <v>1.2731187361399023</v>
      </c>
      <c r="H118" s="151">
        <f>IF(TrRoad_act!H60=0,0,TrRoad_ene!H63/TrRoad_tech!H91)</f>
        <v>1.2998022596309551</v>
      </c>
      <c r="I118" s="151">
        <f>IF(TrRoad_act!I60=0,0,TrRoad_ene!I63/TrRoad_tech!I91)</f>
        <v>1.3107382851552956</v>
      </c>
      <c r="J118" s="151">
        <f>IF(TrRoad_act!J60=0,0,TrRoad_ene!J63/TrRoad_tech!J91)</f>
        <v>1.3027987717662766</v>
      </c>
      <c r="K118" s="151">
        <f>IF(TrRoad_act!K60=0,0,TrRoad_ene!K63/TrRoad_tech!K91)</f>
        <v>1.3231189448854805</v>
      </c>
      <c r="L118" s="151">
        <f>IF(TrRoad_act!L60=0,0,TrRoad_ene!L63/TrRoad_tech!L91)</f>
        <v>1.3359158412743251</v>
      </c>
      <c r="M118" s="151">
        <f>IF(TrRoad_act!M60=0,0,TrRoad_ene!M63/TrRoad_tech!M91)</f>
        <v>1.3137403480447043</v>
      </c>
      <c r="N118" s="151">
        <f>IF(TrRoad_act!N60=0,0,TrRoad_ene!N63/TrRoad_tech!N91)</f>
        <v>1.2744398885308381</v>
      </c>
      <c r="O118" s="151">
        <f>IF(TrRoad_act!O60=0,0,TrRoad_ene!O63/TrRoad_tech!O91)</f>
        <v>1.2063606098324471</v>
      </c>
      <c r="P118" s="151">
        <f>IF(TrRoad_act!P60=0,0,TrRoad_ene!P63/TrRoad_tech!P91)</f>
        <v>1.1841905008059224</v>
      </c>
      <c r="Q118" s="151">
        <f>IF(TrRoad_act!Q60=0,0,TrRoad_ene!Q63/TrRoad_tech!Q91)</f>
        <v>1.200957314280126</v>
      </c>
      <c r="R118" s="151">
        <f>IF(TrRoad_act!R60=0,0,TrRoad_ene!R63/TrRoad_tech!R91)</f>
        <v>1.1120556955732688</v>
      </c>
      <c r="S118" s="151">
        <f>IF(TrRoad_act!S60=0,0,TrRoad_ene!S63/TrRoad_tech!S91)</f>
        <v>1.1264408567459712</v>
      </c>
      <c r="T118" s="151">
        <f>IF(TrRoad_act!T60=0,0,TrRoad_ene!T63/TrRoad_tech!T91)</f>
        <v>1.1001589967669936</v>
      </c>
      <c r="U118" s="151">
        <f>IF(TrRoad_act!U60=0,0,TrRoad_ene!U63/TrRoad_tech!U91)</f>
        <v>1.0898433230903943</v>
      </c>
      <c r="V118" s="151">
        <f>IF(TrRoad_act!V60=0,0,TrRoad_ene!V63/TrRoad_tech!V91)</f>
        <v>1.0576812475175272</v>
      </c>
      <c r="W118" s="151">
        <f>IF(TrRoad_act!W60=0,0,TrRoad_ene!W63/TrRoad_tech!W91)</f>
        <v>1.1195833407795328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1.079850207981097</v>
      </c>
      <c r="C119" s="91">
        <f>IF(TrRoad_act!C61=0,0,TrRoad_ene!C64/TrRoad_tech!C92)</f>
        <v>1.1284344987268189</v>
      </c>
      <c r="D119" s="91">
        <f>IF(TrRoad_act!D61=0,0,TrRoad_ene!D64/TrRoad_tech!D92)</f>
        <v>1.1609121475540733</v>
      </c>
      <c r="E119" s="91">
        <f>IF(TrRoad_act!E61=0,0,TrRoad_ene!E64/TrRoad_tech!E92)</f>
        <v>1.2331559874002926</v>
      </c>
      <c r="F119" s="91">
        <f>IF(TrRoad_act!F61=0,0,TrRoad_ene!F64/TrRoad_tech!F92)</f>
        <v>1.2610228713766163</v>
      </c>
      <c r="G119" s="91">
        <f>IF(TrRoad_act!G61=0,0,TrRoad_ene!G64/TrRoad_tech!G92)</f>
        <v>1.2963699461496812</v>
      </c>
      <c r="H119" s="91">
        <f>IF(TrRoad_act!H61=0,0,TrRoad_ene!H64/TrRoad_tech!H92)</f>
        <v>1.3250293744841728</v>
      </c>
      <c r="I119" s="91">
        <f>IF(TrRoad_act!I61=0,0,TrRoad_ene!I64/TrRoad_tech!I92)</f>
        <v>1.330658255490639</v>
      </c>
      <c r="J119" s="91">
        <f>IF(TrRoad_act!J61=0,0,TrRoad_ene!J64/TrRoad_tech!J92)</f>
        <v>1.326081209208452</v>
      </c>
      <c r="K119" s="91">
        <f>IF(TrRoad_act!K61=0,0,TrRoad_ene!K64/TrRoad_tech!K92)</f>
        <v>1.3374306338013622</v>
      </c>
      <c r="L119" s="91">
        <f>IF(TrRoad_act!L61=0,0,TrRoad_ene!L64/TrRoad_tech!L92)</f>
        <v>1.3465123305853497</v>
      </c>
      <c r="M119" s="91">
        <f>IF(TrRoad_act!M61=0,0,TrRoad_ene!M64/TrRoad_tech!M92)</f>
        <v>1.3253167771705197</v>
      </c>
      <c r="N119" s="91">
        <f>IF(TrRoad_act!N61=0,0,TrRoad_ene!N64/TrRoad_tech!N92)</f>
        <v>1.2998148728439727</v>
      </c>
      <c r="O119" s="91">
        <f>IF(TrRoad_act!O61=0,0,TrRoad_ene!O64/TrRoad_tech!O92)</f>
        <v>1.2332107409394297</v>
      </c>
      <c r="P119" s="91">
        <f>IF(TrRoad_act!P61=0,0,TrRoad_ene!P64/TrRoad_tech!P92)</f>
        <v>1.2127179105921102</v>
      </c>
      <c r="Q119" s="91">
        <f>IF(TrRoad_act!Q61=0,0,TrRoad_ene!Q64/TrRoad_tech!Q92)</f>
        <v>1.2278082480938897</v>
      </c>
      <c r="R119" s="91">
        <f>IF(TrRoad_act!R61=0,0,TrRoad_ene!R64/TrRoad_tech!R92)</f>
        <v>1.125759774270195</v>
      </c>
      <c r="S119" s="91">
        <f>IF(TrRoad_act!S61=0,0,TrRoad_ene!S64/TrRoad_tech!S92)</f>
        <v>1.1439182843414739</v>
      </c>
      <c r="T119" s="91">
        <f>IF(TrRoad_act!T61=0,0,TrRoad_ene!T64/TrRoad_tech!T92)</f>
        <v>1.1205120368631591</v>
      </c>
      <c r="U119" s="91">
        <f>IF(TrRoad_act!U61=0,0,TrRoad_ene!U64/TrRoad_tech!U92)</f>
        <v>1.1067111938322229</v>
      </c>
      <c r="V119" s="91">
        <f>IF(TrRoad_act!V61=0,0,TrRoad_ene!V64/TrRoad_tech!V92)</f>
        <v>1.0500834610759331</v>
      </c>
      <c r="W119" s="91">
        <f>IF(TrRoad_act!W61=0,0,TrRoad_ene!W64/TrRoad_tech!W92)</f>
        <v>1.1196413085536956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1.2033115067970486</v>
      </c>
      <c r="C120" s="91">
        <f>IF(TrRoad_act!C62=0,0,TrRoad_ene!C65/TrRoad_tech!C93)</f>
        <v>1.2069564550803276</v>
      </c>
      <c r="D120" s="91">
        <f>IF(TrRoad_act!D62=0,0,TrRoad_ene!D65/TrRoad_tech!D93)</f>
        <v>1.1524016334845646</v>
      </c>
      <c r="E120" s="91">
        <f>IF(TrRoad_act!E62=0,0,TrRoad_ene!E65/TrRoad_tech!E93)</f>
        <v>1.1674612466319387</v>
      </c>
      <c r="F120" s="91">
        <f>IF(TrRoad_act!F62=0,0,TrRoad_ene!F65/TrRoad_tech!F93)</f>
        <v>1.2622083454498578</v>
      </c>
      <c r="G120" s="91">
        <f>IF(TrRoad_act!G62=0,0,TrRoad_ene!G65/TrRoad_tech!G93)</f>
        <v>1.1817423260414499</v>
      </c>
      <c r="H120" s="91">
        <f>IF(TrRoad_act!H62=0,0,TrRoad_ene!H65/TrRoad_tech!H93)</f>
        <v>1.18759521069737</v>
      </c>
      <c r="I120" s="91">
        <f>IF(TrRoad_act!I62=0,0,TrRoad_ene!I65/TrRoad_tech!I93)</f>
        <v>1.2395184612352563</v>
      </c>
      <c r="J120" s="91">
        <f>IF(TrRoad_act!J62=0,0,TrRoad_ene!J65/TrRoad_tech!J93)</f>
        <v>1.2141050356668142</v>
      </c>
      <c r="K120" s="91">
        <f>IF(TrRoad_act!K62=0,0,TrRoad_ene!K65/TrRoad_tech!K93)</f>
        <v>1.2892396715934795</v>
      </c>
      <c r="L120" s="91">
        <f>IF(TrRoad_act!L62=0,0,TrRoad_ene!L65/TrRoad_tech!L93)</f>
        <v>1.3183808649470661</v>
      </c>
      <c r="M120" s="91">
        <f>IF(TrRoad_act!M62=0,0,TrRoad_ene!M65/TrRoad_tech!M93)</f>
        <v>1.2851388273524693</v>
      </c>
      <c r="N120" s="91">
        <f>IF(TrRoad_act!N62=0,0,TrRoad_ene!N65/TrRoad_tech!N93)</f>
        <v>1.1597407245399523</v>
      </c>
      <c r="O120" s="91">
        <f>IF(TrRoad_act!O62=0,0,TrRoad_ene!O65/TrRoad_tech!O93)</f>
        <v>1.0750985932171773</v>
      </c>
      <c r="P120" s="91">
        <f>IF(TrRoad_act!P62=0,0,TrRoad_ene!P65/TrRoad_tech!P93)</f>
        <v>1.0615754668393669</v>
      </c>
      <c r="Q120" s="91">
        <f>IF(TrRoad_act!Q62=0,0,TrRoad_ene!Q65/TrRoad_tech!Q93)</f>
        <v>1.1115632345613011</v>
      </c>
      <c r="R120" s="91">
        <f>IF(TrRoad_act!R62=0,0,TrRoad_ene!R65/TrRoad_tech!R93)</f>
        <v>1.1269209325240597</v>
      </c>
      <c r="S120" s="91">
        <f>IF(TrRoad_act!S62=0,0,TrRoad_ene!S65/TrRoad_tech!S93)</f>
        <v>1.1418062548880126</v>
      </c>
      <c r="T120" s="91">
        <f>IF(TrRoad_act!T62=0,0,TrRoad_ene!T65/TrRoad_tech!T93)</f>
        <v>1.1175282287049195</v>
      </c>
      <c r="U120" s="91">
        <f>IF(TrRoad_act!U62=0,0,TrRoad_ene!U65/TrRoad_tech!U93)</f>
        <v>1.1352698764498987</v>
      </c>
      <c r="V120" s="91">
        <f>IF(TrRoad_act!V62=0,0,TrRoad_ene!V65/TrRoad_tech!V93)</f>
        <v>1.1924995802435678</v>
      </c>
      <c r="W120" s="91">
        <f>IF(TrRoad_act!W62=0,0,TrRoad_ene!W65/TrRoad_tech!W93)</f>
        <v>1.2452802687865518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0</v>
      </c>
      <c r="C121" s="91">
        <f>IF(TrRoad_act!C63=0,0,TrRoad_ene!C66/TrRoad_tech!C94)</f>
        <v>0</v>
      </c>
      <c r="D121" s="91">
        <f>IF(TrRoad_act!D63=0,0,TrRoad_ene!D66/TrRoad_tech!D94)</f>
        <v>0</v>
      </c>
      <c r="E121" s="91">
        <f>IF(TrRoad_act!E63=0,0,TrRoad_ene!E66/TrRoad_tech!E94)</f>
        <v>0</v>
      </c>
      <c r="F121" s="91">
        <f>IF(TrRoad_act!F63=0,0,TrRoad_ene!F66/TrRoad_tech!F94)</f>
        <v>0</v>
      </c>
      <c r="G121" s="91">
        <f>IF(TrRoad_act!G63=0,0,TrRoad_ene!G66/TrRoad_tech!G94)</f>
        <v>0</v>
      </c>
      <c r="H121" s="91">
        <f>IF(TrRoad_act!H63=0,0,TrRoad_ene!H66/TrRoad_tech!H94)</f>
        <v>0</v>
      </c>
      <c r="I121" s="91">
        <f>IF(TrRoad_act!I63=0,0,TrRoad_ene!I66/TrRoad_tech!I94)</f>
        <v>0</v>
      </c>
      <c r="J121" s="91">
        <f>IF(TrRoad_act!J63=0,0,TrRoad_ene!J66/TrRoad_tech!J94)</f>
        <v>0</v>
      </c>
      <c r="K121" s="91">
        <f>IF(TrRoad_act!K63=0,0,TrRoad_ene!K66/TrRoad_tech!K94)</f>
        <v>0</v>
      </c>
      <c r="L121" s="91">
        <f>IF(TrRoad_act!L63=0,0,TrRoad_ene!L66/TrRoad_tech!L94)</f>
        <v>0</v>
      </c>
      <c r="M121" s="91">
        <f>IF(TrRoad_act!M63=0,0,TrRoad_ene!M66/TrRoad_tech!M94)</f>
        <v>0</v>
      </c>
      <c r="N121" s="91">
        <f>IF(TrRoad_act!N63=0,0,TrRoad_ene!N66/TrRoad_tech!N94)</f>
        <v>0</v>
      </c>
      <c r="O121" s="91">
        <f>IF(TrRoad_act!O63=0,0,TrRoad_ene!O66/TrRoad_tech!O94)</f>
        <v>0</v>
      </c>
      <c r="P121" s="91">
        <f>IF(TrRoad_act!P63=0,0,TrRoad_ene!P66/TrRoad_tech!P94)</f>
        <v>0</v>
      </c>
      <c r="Q121" s="91">
        <f>IF(TrRoad_act!Q63=0,0,TrRoad_ene!Q66/TrRoad_tech!Q94)</f>
        <v>0</v>
      </c>
      <c r="R121" s="91">
        <f>IF(TrRoad_act!R63=0,0,TrRoad_ene!R66/TrRoad_tech!R94)</f>
        <v>0</v>
      </c>
      <c r="S121" s="91">
        <f>IF(TrRoad_act!S63=0,0,TrRoad_ene!S66/TrRoad_tech!S94)</f>
        <v>0</v>
      </c>
      <c r="T121" s="91">
        <f>IF(TrRoad_act!T63=0,0,TrRoad_ene!T66/TrRoad_tech!T94)</f>
        <v>0.9652189306820429</v>
      </c>
      <c r="U121" s="91">
        <f>IF(TrRoad_act!U63=0,0,TrRoad_ene!U66/TrRoad_tech!U94)</f>
        <v>1.0711111111162999</v>
      </c>
      <c r="V121" s="91">
        <f>IF(TrRoad_act!V63=0,0,TrRoad_ene!V66/TrRoad_tech!V94)</f>
        <v>1.0397742188393764</v>
      </c>
      <c r="W121" s="91">
        <f>IF(TrRoad_act!W63=0,0,TrRoad_ene!W66/TrRoad_tech!W94)</f>
        <v>1.1706164977830222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0</v>
      </c>
      <c r="I122" s="91">
        <f>IF(TrRoad_act!I64=0,0,TrRoad_ene!I67/TrRoad_tech!I95)</f>
        <v>0</v>
      </c>
      <c r="J122" s="91">
        <f>IF(TrRoad_act!J64=0,0,TrRoad_ene!J67/TrRoad_tech!J95)</f>
        <v>0</v>
      </c>
      <c r="K122" s="91">
        <f>IF(TrRoad_act!K64=0,0,TrRoad_ene!K67/TrRoad_tech!K95)</f>
        <v>0</v>
      </c>
      <c r="L122" s="91">
        <f>IF(TrRoad_act!L64=0,0,TrRoad_ene!L67/TrRoad_tech!L95)</f>
        <v>0</v>
      </c>
      <c r="M122" s="91">
        <f>IF(TrRoad_act!M64=0,0,TrRoad_ene!M67/TrRoad_tech!M95)</f>
        <v>0</v>
      </c>
      <c r="N122" s="91">
        <f>IF(TrRoad_act!N64=0,0,TrRoad_ene!N67/TrRoad_tech!N95)</f>
        <v>0</v>
      </c>
      <c r="O122" s="91">
        <f>IF(TrRoad_act!O64=0,0,TrRoad_ene!O67/TrRoad_tech!O95)</f>
        <v>0</v>
      </c>
      <c r="P122" s="91">
        <f>IF(TrRoad_act!P64=0,0,TrRoad_ene!P67/TrRoad_tech!P95)</f>
        <v>0</v>
      </c>
      <c r="Q122" s="91">
        <f>IF(TrRoad_act!Q64=0,0,TrRoad_ene!Q67/TrRoad_tech!Q95)</f>
        <v>0</v>
      </c>
      <c r="R122" s="91">
        <f>IF(TrRoad_act!R64=0,0,TrRoad_ene!R67/TrRoad_tech!R95)</f>
        <v>0</v>
      </c>
      <c r="S122" s="91">
        <f>IF(TrRoad_act!S64=0,0,TrRoad_ene!S67/TrRoad_tech!S95)</f>
        <v>0</v>
      </c>
      <c r="T122" s="91">
        <f>IF(TrRoad_act!T64=0,0,TrRoad_ene!T67/TrRoad_tech!T95)</f>
        <v>0</v>
      </c>
      <c r="U122" s="91">
        <f>IF(TrRoad_act!U64=0,0,TrRoad_ene!U67/TrRoad_tech!U95)</f>
        <v>0</v>
      </c>
      <c r="V122" s="91">
        <f>IF(TrRoad_act!V64=0,0,TrRoad_ene!V67/TrRoad_tech!V95)</f>
        <v>0</v>
      </c>
      <c r="W122" s="91">
        <f>IF(TrRoad_act!W64=0,0,TrRoad_ene!W67/TrRoad_tech!W95)</f>
        <v>0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0</v>
      </c>
      <c r="O123" s="91">
        <f>IF(TrRoad_act!O65=0,0,TrRoad_ene!O68/TrRoad_tech!O96)</f>
        <v>0</v>
      </c>
      <c r="P123" s="91">
        <f>IF(TrRoad_act!P65=0,0,TrRoad_ene!P68/TrRoad_tech!P96)</f>
        <v>1.1931035913420456</v>
      </c>
      <c r="Q123" s="91">
        <f>IF(TrRoad_act!Q65=0,0,TrRoad_ene!Q68/TrRoad_tech!Q96)</f>
        <v>1.2057996823611388</v>
      </c>
      <c r="R123" s="91">
        <f>IF(TrRoad_act!R65=0,0,TrRoad_ene!R68/TrRoad_tech!R96)</f>
        <v>1.1466315294729676</v>
      </c>
      <c r="S123" s="91">
        <f>IF(TrRoad_act!S65=0,0,TrRoad_ene!S68/TrRoad_tech!S96)</f>
        <v>1.1556151371332644</v>
      </c>
      <c r="T123" s="91">
        <f>IF(TrRoad_act!T65=0,0,TrRoad_ene!T68/TrRoad_tech!T96)</f>
        <v>1.1385429858558385</v>
      </c>
      <c r="U123" s="91">
        <f>IF(TrRoad_act!U65=0,0,TrRoad_ene!U68/TrRoad_tech!U96)</f>
        <v>1.1303087572262462</v>
      </c>
      <c r="V123" s="91">
        <f>IF(TrRoad_act!V65=0,0,TrRoad_ene!V68/TrRoad_tech!V96)</f>
        <v>1.094460184623504</v>
      </c>
      <c r="W123" s="91">
        <f>IF(TrRoad_act!W65=0,0,TrRoad_ene!W68/TrRoad_tech!W96)</f>
        <v>1.1356167741285175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0</v>
      </c>
      <c r="K124" s="91">
        <f>IF(TrRoad_act!K66=0,0,TrRoad_ene!K69/TrRoad_tech!K97)</f>
        <v>0</v>
      </c>
      <c r="L124" s="91">
        <f>IF(TrRoad_act!L66=0,0,TrRoad_ene!L69/TrRoad_tech!L97)</f>
        <v>0</v>
      </c>
      <c r="M124" s="91">
        <f>IF(TrRoad_act!M66=0,0,TrRoad_ene!M69/TrRoad_tech!M97)</f>
        <v>0</v>
      </c>
      <c r="N124" s="91">
        <f>IF(TrRoad_act!N66=0,0,TrRoad_ene!N69/TrRoad_tech!N97)</f>
        <v>0</v>
      </c>
      <c r="O124" s="91">
        <f>IF(TrRoad_act!O66=0,0,TrRoad_ene!O69/TrRoad_tech!O97)</f>
        <v>1.0711111111163001</v>
      </c>
      <c r="P124" s="91">
        <f>IF(TrRoad_act!P66=0,0,TrRoad_ene!P69/TrRoad_tech!P97)</f>
        <v>1.07470816856629</v>
      </c>
      <c r="Q124" s="91">
        <f>IF(TrRoad_act!Q66=0,0,TrRoad_ene!Q69/TrRoad_tech!Q97)</f>
        <v>1.0784337785158564</v>
      </c>
      <c r="R124" s="91">
        <f>IF(TrRoad_act!R66=0,0,TrRoad_ene!R69/TrRoad_tech!R97)</f>
        <v>1.0855769944263329</v>
      </c>
      <c r="S124" s="91">
        <f>IF(TrRoad_act!S66=0,0,TrRoad_ene!S69/TrRoad_tech!S97)</f>
        <v>1.0894005304422429</v>
      </c>
      <c r="T124" s="91">
        <f>IF(TrRoad_act!T66=0,0,TrRoad_ene!T69/TrRoad_tech!T97)</f>
        <v>1.0914459280927151</v>
      </c>
      <c r="U124" s="91">
        <f>IF(TrRoad_act!U66=0,0,TrRoad_ene!U69/TrRoad_tech!U97)</f>
        <v>1.093216581579856</v>
      </c>
      <c r="V124" s="91">
        <f>IF(TrRoad_act!V66=0,0,TrRoad_ene!V69/TrRoad_tech!V97)</f>
        <v>1.0941878649553023</v>
      </c>
      <c r="W124" s="91">
        <f>IF(TrRoad_act!W66=0,0,TrRoad_ene!W69/TrRoad_tech!W97)</f>
        <v>1.0955710598442576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1.3400268633182015</v>
      </c>
      <c r="C125" s="151">
        <f>IF(TrRoad_act!C67=0,0,TrRoad_ene!C70/TrRoad_tech!C98)</f>
        <v>1.3370894424267374</v>
      </c>
      <c r="D125" s="151">
        <f>IF(TrRoad_act!D67=0,0,TrRoad_ene!D70/TrRoad_tech!D98)</f>
        <v>1.2683005033636467</v>
      </c>
      <c r="E125" s="151">
        <f>IF(TrRoad_act!E67=0,0,TrRoad_ene!E70/TrRoad_tech!E98)</f>
        <v>1.2843363803954422</v>
      </c>
      <c r="F125" s="151">
        <f>IF(TrRoad_act!F67=0,0,TrRoad_ene!F70/TrRoad_tech!F98)</f>
        <v>1.4060694807507974</v>
      </c>
      <c r="G125" s="151">
        <f>IF(TrRoad_act!G67=0,0,TrRoad_ene!G70/TrRoad_tech!G98)</f>
        <v>1.3035179686497633</v>
      </c>
      <c r="H125" s="151">
        <f>IF(TrRoad_act!H67=0,0,TrRoad_ene!H70/TrRoad_tech!H98)</f>
        <v>1.3148726206103678</v>
      </c>
      <c r="I125" s="151">
        <f>IF(TrRoad_act!I67=0,0,TrRoad_ene!I70/TrRoad_tech!I98)</f>
        <v>1.3804349657867423</v>
      </c>
      <c r="J125" s="151">
        <f>IF(TrRoad_act!J67=0,0,TrRoad_ene!J70/TrRoad_tech!J98)</f>
        <v>1.3504597235144482</v>
      </c>
      <c r="K125" s="151">
        <f>IF(TrRoad_act!K67=0,0,TrRoad_ene!K70/TrRoad_tech!K98)</f>
        <v>1.4461814232681451</v>
      </c>
      <c r="L125" s="151">
        <f>IF(TrRoad_act!L67=0,0,TrRoad_ene!L70/TrRoad_tech!L98)</f>
        <v>1.4968877385956751</v>
      </c>
      <c r="M125" s="151">
        <f>IF(TrRoad_act!M67=0,0,TrRoad_ene!M70/TrRoad_tech!M98)</f>
        <v>1.4659175939930802</v>
      </c>
      <c r="N125" s="151">
        <f>IF(TrRoad_act!N67=0,0,TrRoad_ene!N70/TrRoad_tech!N98)</f>
        <v>1.3110849053601923</v>
      </c>
      <c r="O125" s="151">
        <f>IF(TrRoad_act!O67=0,0,TrRoad_ene!O70/TrRoad_tech!O98)</f>
        <v>1.2045856177043477</v>
      </c>
      <c r="P125" s="151">
        <f>IF(TrRoad_act!P67=0,0,TrRoad_ene!P70/TrRoad_tech!P98)</f>
        <v>1.1787951158550791</v>
      </c>
      <c r="Q125" s="151">
        <f>IF(TrRoad_act!Q67=0,0,TrRoad_ene!Q70/TrRoad_tech!Q98)</f>
        <v>1.2467607259510394</v>
      </c>
      <c r="R125" s="151">
        <f>IF(TrRoad_act!R67=0,0,TrRoad_ene!R70/TrRoad_tech!R98)</f>
        <v>1.2642915367285525</v>
      </c>
      <c r="S125" s="151">
        <f>IF(TrRoad_act!S67=0,0,TrRoad_ene!S70/TrRoad_tech!S98)</f>
        <v>1.2812871250560416</v>
      </c>
      <c r="T125" s="151">
        <f>IF(TrRoad_act!T67=0,0,TrRoad_ene!T70/TrRoad_tech!T98)</f>
        <v>1.2519252129166507</v>
      </c>
      <c r="U125" s="151">
        <f>IF(TrRoad_act!U67=0,0,TrRoad_ene!U70/TrRoad_tech!U98)</f>
        <v>1.276937196460382</v>
      </c>
      <c r="V125" s="151">
        <f>IF(TrRoad_act!V67=0,0,TrRoad_ene!V70/TrRoad_tech!V98)</f>
        <v>1.3963296492005519</v>
      </c>
      <c r="W125" s="151">
        <f>IF(TrRoad_act!W67=0,0,TrRoad_ene!W70/TrRoad_tech!W98)</f>
        <v>1.4677976301414637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1.1432481486591413</v>
      </c>
      <c r="C126" s="93">
        <f>IF(TrRoad_act!C68=0,0,TrRoad_ene!C71/TrRoad_tech!C99)</f>
        <v>1.1836543571735636</v>
      </c>
      <c r="D126" s="93">
        <f>IF(TrRoad_act!D68=0,0,TrRoad_ene!D71/TrRoad_tech!D99)</f>
        <v>1.2106596536283736</v>
      </c>
      <c r="E126" s="93">
        <f>IF(TrRoad_act!E68=0,0,TrRoad_ene!E71/TrRoad_tech!E99)</f>
        <v>1.2708680624390754</v>
      </c>
      <c r="F126" s="93">
        <f>IF(TrRoad_act!F68=0,0,TrRoad_ene!F71/TrRoad_tech!F99)</f>
        <v>1.2941501683716374</v>
      </c>
      <c r="G126" s="93">
        <f>IF(TrRoad_act!G68=0,0,TrRoad_ene!G71/TrRoad_tech!G99)</f>
        <v>1.3235109568496388</v>
      </c>
      <c r="H126" s="93">
        <f>IF(TrRoad_act!H68=0,0,TrRoad_ene!H71/TrRoad_tech!H99)</f>
        <v>1.3487283362531546</v>
      </c>
      <c r="I126" s="93">
        <f>IF(TrRoad_act!I68=0,0,TrRoad_ene!I71/TrRoad_tech!I99)</f>
        <v>1.3527938282414265</v>
      </c>
      <c r="J126" s="93">
        <f>IF(TrRoad_act!J68=0,0,TrRoad_ene!J71/TrRoad_tech!J99)</f>
        <v>1.3488091717135156</v>
      </c>
      <c r="K126" s="93">
        <f>IF(TrRoad_act!K68=0,0,TrRoad_ene!K71/TrRoad_tech!K99)</f>
        <v>1.356925042232614</v>
      </c>
      <c r="L126" s="93">
        <f>IF(TrRoad_act!L68=0,0,TrRoad_ene!L71/TrRoad_tech!L99)</f>
        <v>1.367420225884787</v>
      </c>
      <c r="M126" s="93">
        <f>IF(TrRoad_act!M68=0,0,TrRoad_ene!M71/TrRoad_tech!M99)</f>
        <v>1.3513845341616306</v>
      </c>
      <c r="N126" s="93">
        <f>IF(TrRoad_act!N68=0,0,TrRoad_ene!N71/TrRoad_tech!N99)</f>
        <v>1.3304788722062129</v>
      </c>
      <c r="O126" s="93">
        <f>IF(TrRoad_act!O68=0,0,TrRoad_ene!O71/TrRoad_tech!O99)</f>
        <v>1.2737183837617789</v>
      </c>
      <c r="P126" s="93">
        <f>IF(TrRoad_act!P68=0,0,TrRoad_ene!P71/TrRoad_tech!P99)</f>
        <v>1.2697790468554331</v>
      </c>
      <c r="Q126" s="93">
        <f>IF(TrRoad_act!Q68=0,0,TrRoad_ene!Q71/TrRoad_tech!Q99)</f>
        <v>1.2843102940704707</v>
      </c>
      <c r="R126" s="93">
        <f>IF(TrRoad_act!R68=0,0,TrRoad_ene!R71/TrRoad_tech!R99)</f>
        <v>1.1967778913642553</v>
      </c>
      <c r="S126" s="93">
        <f>IF(TrRoad_act!S68=0,0,TrRoad_ene!S71/TrRoad_tech!S99)</f>
        <v>1.2104897935632613</v>
      </c>
      <c r="T126" s="93">
        <f>IF(TrRoad_act!T68=0,0,TrRoad_ene!T71/TrRoad_tech!T99)</f>
        <v>1.1885652539472165</v>
      </c>
      <c r="U126" s="93">
        <f>IF(TrRoad_act!U68=0,0,TrRoad_ene!U71/TrRoad_tech!U99)</f>
        <v>1.1819079373592458</v>
      </c>
      <c r="V126" s="93">
        <f>IF(TrRoad_act!V68=0,0,TrRoad_ene!V71/TrRoad_tech!V99)</f>
        <v>1.1314346659273746</v>
      </c>
      <c r="W126" s="93">
        <f>IF(TrRoad_act!W68=0,0,TrRoad_ene!W71/TrRoad_tech!W99)</f>
        <v>1.1890986320893604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1.3248873466287112</v>
      </c>
      <c r="C127" s="93">
        <f>IF(TrRoad_act!C69=0,0,TrRoad_ene!C72/TrRoad_tech!C100)</f>
        <v>1.3285708610155333</v>
      </c>
      <c r="D127" s="93">
        <f>IF(TrRoad_act!D69=0,0,TrRoad_ene!D72/TrRoad_tech!D100)</f>
        <v>1.2612829812202462</v>
      </c>
      <c r="E127" s="93">
        <f>IF(TrRoad_act!E69=0,0,TrRoad_ene!E72/TrRoad_tech!E100)</f>
        <v>1.2814073629869271</v>
      </c>
      <c r="F127" s="93">
        <f>IF(TrRoad_act!F69=0,0,TrRoad_ene!F72/TrRoad_tech!F100)</f>
        <v>1.4045489231760055</v>
      </c>
      <c r="G127" s="93">
        <f>IF(TrRoad_act!G69=0,0,TrRoad_ene!G72/TrRoad_tech!G100)</f>
        <v>1.301859042174496</v>
      </c>
      <c r="H127" s="93">
        <f>IF(TrRoad_act!H69=0,0,TrRoad_ene!H72/TrRoad_tech!H100)</f>
        <v>1.3132262802349839</v>
      </c>
      <c r="I127" s="93">
        <f>IF(TrRoad_act!I69=0,0,TrRoad_ene!I72/TrRoad_tech!I100)</f>
        <v>1.3808410217797384</v>
      </c>
      <c r="J127" s="93">
        <f>IF(TrRoad_act!J69=0,0,TrRoad_ene!J72/TrRoad_tech!J100)</f>
        <v>1.35206513116506</v>
      </c>
      <c r="K127" s="93">
        <f>IF(TrRoad_act!K69=0,0,TrRoad_ene!K72/TrRoad_tech!K100)</f>
        <v>1.4512365365687905</v>
      </c>
      <c r="L127" s="93">
        <f>IF(TrRoad_act!L69=0,0,TrRoad_ene!L72/TrRoad_tech!L100)</f>
        <v>1.4991896619966183</v>
      </c>
      <c r="M127" s="93">
        <f>IF(TrRoad_act!M69=0,0,TrRoad_ene!M72/TrRoad_tech!M100)</f>
        <v>1.4666443031518284</v>
      </c>
      <c r="N127" s="93">
        <f>IF(TrRoad_act!N69=0,0,TrRoad_ene!N72/TrRoad_tech!N100)</f>
        <v>1.3115002780622609</v>
      </c>
      <c r="O127" s="93">
        <f>IF(TrRoad_act!O69=0,0,TrRoad_ene!O72/TrRoad_tech!O100)</f>
        <v>1.2046329932833724</v>
      </c>
      <c r="P127" s="93">
        <f>IF(TrRoad_act!P69=0,0,TrRoad_ene!P72/TrRoad_tech!P100)</f>
        <v>1.1862042990141395</v>
      </c>
      <c r="Q127" s="93">
        <f>IF(TrRoad_act!Q69=0,0,TrRoad_ene!Q72/TrRoad_tech!Q100)</f>
        <v>1.256632861847794</v>
      </c>
      <c r="R127" s="93">
        <f>IF(TrRoad_act!R69=0,0,TrRoad_ene!R72/TrRoad_tech!R100)</f>
        <v>1.2751061826131083</v>
      </c>
      <c r="S127" s="93">
        <f>IF(TrRoad_act!S69=0,0,TrRoad_ene!S72/TrRoad_tech!S100)</f>
        <v>1.2928532799178396</v>
      </c>
      <c r="T127" s="93">
        <f>IF(TrRoad_act!T69=0,0,TrRoad_ene!T72/TrRoad_tech!T100)</f>
        <v>1.2637363993174064</v>
      </c>
      <c r="U127" s="93">
        <f>IF(TrRoad_act!U69=0,0,TrRoad_ene!U72/TrRoad_tech!U100)</f>
        <v>1.2896691396720472</v>
      </c>
      <c r="V127" s="93">
        <f>IF(TrRoad_act!V69=0,0,TrRoad_ene!V72/TrRoad_tech!V100)</f>
        <v>1.4031499079772567</v>
      </c>
      <c r="W127" s="93">
        <f>IF(TrRoad_act!W69=0,0,TrRoad_ene!W72/TrRoad_tech!W100)</f>
        <v>1.4768629163903941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0</v>
      </c>
      <c r="M128" s="93">
        <f>IF(TrRoad_act!M70=0,0,TrRoad_ene!M73/TrRoad_tech!M101)</f>
        <v>0</v>
      </c>
      <c r="N128" s="93">
        <f>IF(TrRoad_act!N70=0,0,TrRoad_ene!N73/TrRoad_tech!N101)</f>
        <v>0</v>
      </c>
      <c r="O128" s="93">
        <f>IF(TrRoad_act!O70=0,0,TrRoad_ene!O73/TrRoad_tech!O101)</f>
        <v>0</v>
      </c>
      <c r="P128" s="93">
        <f>IF(TrRoad_act!P70=0,0,TrRoad_ene!P73/TrRoad_tech!P101)</f>
        <v>0</v>
      </c>
      <c r="Q128" s="93">
        <f>IF(TrRoad_act!Q70=0,0,TrRoad_ene!Q73/TrRoad_tech!Q101)</f>
        <v>0</v>
      </c>
      <c r="R128" s="93">
        <f>IF(TrRoad_act!R70=0,0,TrRoad_ene!R73/TrRoad_tech!R101)</f>
        <v>0</v>
      </c>
      <c r="S128" s="93">
        <f>IF(TrRoad_act!S70=0,0,TrRoad_ene!S73/TrRoad_tech!S101)</f>
        <v>0</v>
      </c>
      <c r="T128" s="93">
        <f>IF(TrRoad_act!T70=0,0,TrRoad_ene!T73/TrRoad_tech!T101)</f>
        <v>0</v>
      </c>
      <c r="U128" s="93">
        <f>IF(TrRoad_act!U70=0,0,TrRoad_ene!U73/TrRoad_tech!U101)</f>
        <v>0</v>
      </c>
      <c r="V128" s="93">
        <f>IF(TrRoad_act!V70=0,0,TrRoad_ene!V73/TrRoad_tech!V101)</f>
        <v>0</v>
      </c>
      <c r="W128" s="93">
        <f>IF(TrRoad_act!W70=0,0,TrRoad_ene!W73/TrRoad_tech!W101)</f>
        <v>0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</v>
      </c>
      <c r="C129" s="93">
        <f>IF(TrRoad_act!C71=0,0,TrRoad_ene!C74/TrRoad_tech!C102)</f>
        <v>0</v>
      </c>
      <c r="D129" s="93">
        <f>IF(TrRoad_act!D71=0,0,TrRoad_ene!D74/TrRoad_tech!D102)</f>
        <v>0</v>
      </c>
      <c r="E129" s="93">
        <f>IF(TrRoad_act!E71=0,0,TrRoad_ene!E74/TrRoad_tech!E102)</f>
        <v>0</v>
      </c>
      <c r="F129" s="93">
        <f>IF(TrRoad_act!F71=0,0,TrRoad_ene!F74/TrRoad_tech!F102)</f>
        <v>0</v>
      </c>
      <c r="G129" s="93">
        <f>IF(TrRoad_act!G71=0,0,TrRoad_ene!G74/TrRoad_tech!G102)</f>
        <v>0</v>
      </c>
      <c r="H129" s="93">
        <f>IF(TrRoad_act!H71=0,0,TrRoad_ene!H74/TrRoad_tech!H102)</f>
        <v>0</v>
      </c>
      <c r="I129" s="93">
        <f>IF(TrRoad_act!I71=0,0,TrRoad_ene!I74/TrRoad_tech!I102)</f>
        <v>0</v>
      </c>
      <c r="J129" s="93">
        <f>IF(TrRoad_act!J71=0,0,TrRoad_ene!J74/TrRoad_tech!J102)</f>
        <v>0</v>
      </c>
      <c r="K129" s="93">
        <f>IF(TrRoad_act!K71=0,0,TrRoad_ene!K74/TrRoad_tech!K102)</f>
        <v>0</v>
      </c>
      <c r="L129" s="93">
        <f>IF(TrRoad_act!L71=0,0,TrRoad_ene!L74/TrRoad_tech!L102)</f>
        <v>0</v>
      </c>
      <c r="M129" s="93">
        <f>IF(TrRoad_act!M71=0,0,TrRoad_ene!M74/TrRoad_tech!M102)</f>
        <v>0</v>
      </c>
      <c r="N129" s="93">
        <f>IF(TrRoad_act!N71=0,0,TrRoad_ene!N74/TrRoad_tech!N102)</f>
        <v>0</v>
      </c>
      <c r="O129" s="93">
        <f>IF(TrRoad_act!O71=0,0,TrRoad_ene!O74/TrRoad_tech!O102)</f>
        <v>0</v>
      </c>
      <c r="P129" s="93">
        <f>IF(TrRoad_act!P71=0,0,TrRoad_ene!P74/TrRoad_tech!P102)</f>
        <v>0</v>
      </c>
      <c r="Q129" s="93">
        <f>IF(TrRoad_act!Q71=0,0,TrRoad_ene!Q74/TrRoad_tech!Q102)</f>
        <v>0</v>
      </c>
      <c r="R129" s="93">
        <f>IF(TrRoad_act!R71=0,0,TrRoad_ene!R74/TrRoad_tech!R102)</f>
        <v>0</v>
      </c>
      <c r="S129" s="93">
        <f>IF(TrRoad_act!S71=0,0,TrRoad_ene!S74/TrRoad_tech!S102)</f>
        <v>0</v>
      </c>
      <c r="T129" s="93">
        <f>IF(TrRoad_act!T71=0,0,TrRoad_ene!T74/TrRoad_tech!T102)</f>
        <v>0</v>
      </c>
      <c r="U129" s="93">
        <f>IF(TrRoad_act!U71=0,0,TrRoad_ene!U74/TrRoad_tech!U102)</f>
        <v>0</v>
      </c>
      <c r="V129" s="93">
        <f>IF(TrRoad_act!V71=0,0,TrRoad_ene!V74/TrRoad_tech!V102)</f>
        <v>0</v>
      </c>
      <c r="W129" s="93">
        <f>IF(TrRoad_act!W71=0,0,TrRoad_ene!W74/TrRoad_tech!W102)</f>
        <v>0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0</v>
      </c>
      <c r="C130" s="93">
        <f>IF(TrRoad_act!C72=0,0,TrRoad_ene!C75/TrRoad_tech!C103)</f>
        <v>0</v>
      </c>
      <c r="D130" s="93">
        <f>IF(TrRoad_act!D72=0,0,TrRoad_ene!D75/TrRoad_tech!D103)</f>
        <v>0</v>
      </c>
      <c r="E130" s="93">
        <f>IF(TrRoad_act!E72=0,0,TrRoad_ene!E75/TrRoad_tech!E103)</f>
        <v>0</v>
      </c>
      <c r="F130" s="93">
        <f>IF(TrRoad_act!F72=0,0,TrRoad_ene!F75/TrRoad_tech!F103)</f>
        <v>0</v>
      </c>
      <c r="G130" s="93">
        <f>IF(TrRoad_act!G72=0,0,TrRoad_ene!G75/TrRoad_tech!G103)</f>
        <v>0</v>
      </c>
      <c r="H130" s="93">
        <f>IF(TrRoad_act!H72=0,0,TrRoad_ene!H75/TrRoad_tech!H103)</f>
        <v>0</v>
      </c>
      <c r="I130" s="93">
        <f>IF(TrRoad_act!I72=0,0,TrRoad_ene!I75/TrRoad_tech!I103)</f>
        <v>0</v>
      </c>
      <c r="J130" s="93">
        <f>IF(TrRoad_act!J72=0,0,TrRoad_ene!J75/TrRoad_tech!J103)</f>
        <v>1.1693333333396367</v>
      </c>
      <c r="K130" s="93">
        <f>IF(TrRoad_act!K72=0,0,TrRoad_ene!K75/TrRoad_tech!K103)</f>
        <v>1.1693333333396372</v>
      </c>
      <c r="L130" s="93">
        <f>IF(TrRoad_act!L72=0,0,TrRoad_ene!L75/TrRoad_tech!L103)</f>
        <v>1.169333333339637</v>
      </c>
      <c r="M130" s="93">
        <f>IF(TrRoad_act!M72=0,0,TrRoad_ene!M75/TrRoad_tech!M103)</f>
        <v>1.1693333333396367</v>
      </c>
      <c r="N130" s="93">
        <f>IF(TrRoad_act!N72=0,0,TrRoad_ene!N75/TrRoad_tech!N103)</f>
        <v>1.1693333333396367</v>
      </c>
      <c r="O130" s="93">
        <f>IF(TrRoad_act!O72=0,0,TrRoad_ene!O75/TrRoad_tech!O103)</f>
        <v>1.1693333333396372</v>
      </c>
      <c r="P130" s="93">
        <f>IF(TrRoad_act!P72=0,0,TrRoad_ene!P75/TrRoad_tech!P103)</f>
        <v>1.1693333333396367</v>
      </c>
      <c r="Q130" s="93">
        <f>IF(TrRoad_act!Q72=0,0,TrRoad_ene!Q75/TrRoad_tech!Q103)</f>
        <v>1.1693333333396367</v>
      </c>
      <c r="R130" s="93">
        <f>IF(TrRoad_act!R72=0,0,TrRoad_ene!R75/TrRoad_tech!R103)</f>
        <v>1.1693333333396367</v>
      </c>
      <c r="S130" s="93">
        <f>IF(TrRoad_act!S72=0,0,TrRoad_ene!S75/TrRoad_tech!S103)</f>
        <v>1.1693333333396367</v>
      </c>
      <c r="T130" s="93">
        <f>IF(TrRoad_act!T72=0,0,TrRoad_ene!T75/TrRoad_tech!T103)</f>
        <v>1.1693333333396367</v>
      </c>
      <c r="U130" s="93">
        <f>IF(TrRoad_act!U72=0,0,TrRoad_ene!U75/TrRoad_tech!U103)</f>
        <v>1.1693333333396372</v>
      </c>
      <c r="V130" s="93">
        <f>IF(TrRoad_act!V72=0,0,TrRoad_ene!V75/TrRoad_tech!V103)</f>
        <v>1.3533878856593002</v>
      </c>
      <c r="W130" s="93">
        <f>IF(TrRoad_act!W72=0,0,TrRoad_ene!W75/TrRoad_tech!W103)</f>
        <v>1.3533878856593005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1.3463050738796418</v>
      </c>
      <c r="C132" s="150">
        <f>IF(TrRoad_act!C74=0,0,TrRoad_ene!C77/TrRoad_tech!C105)</f>
        <v>1.3441380272076584</v>
      </c>
      <c r="D132" s="150">
        <f>IF(TrRoad_act!D74=0,0,TrRoad_ene!D77/TrRoad_tech!D105)</f>
        <v>1.2675181819594845</v>
      </c>
      <c r="E132" s="150">
        <f>IF(TrRoad_act!E74=0,0,TrRoad_ene!E77/TrRoad_tech!E105)</f>
        <v>1.2828243651648947</v>
      </c>
      <c r="F132" s="150">
        <f>IF(TrRoad_act!F74=0,0,TrRoad_ene!F77/TrRoad_tech!F105)</f>
        <v>1.4034738745353679</v>
      </c>
      <c r="G132" s="150">
        <f>IF(TrRoad_act!G74=0,0,TrRoad_ene!G77/TrRoad_tech!G105)</f>
        <v>1.2906501482039183</v>
      </c>
      <c r="H132" s="150">
        <f>IF(TrRoad_act!H74=0,0,TrRoad_ene!H77/TrRoad_tech!H105)</f>
        <v>1.2978412660368204</v>
      </c>
      <c r="I132" s="150">
        <f>IF(TrRoad_act!I74=0,0,TrRoad_ene!I77/TrRoad_tech!I105)</f>
        <v>1.3604956501025651</v>
      </c>
      <c r="J132" s="150">
        <f>IF(TrRoad_act!J74=0,0,TrRoad_ene!J77/TrRoad_tech!J105)</f>
        <v>1.3213671822393671</v>
      </c>
      <c r="K132" s="150">
        <f>IF(TrRoad_act!K74=0,0,TrRoad_ene!K77/TrRoad_tech!K105)</f>
        <v>1.4193342959249793</v>
      </c>
      <c r="L132" s="150">
        <f>IF(TrRoad_act!L74=0,0,TrRoad_ene!L77/TrRoad_tech!L105)</f>
        <v>1.4554432960945958</v>
      </c>
      <c r="M132" s="150">
        <f>IF(TrRoad_act!M74=0,0,TrRoad_ene!M77/TrRoad_tech!M105)</f>
        <v>1.4211900055866138</v>
      </c>
      <c r="N132" s="150">
        <f>IF(TrRoad_act!N74=0,0,TrRoad_ene!N77/TrRoad_tech!N105)</f>
        <v>1.2671602470602319</v>
      </c>
      <c r="O132" s="150">
        <f>IF(TrRoad_act!O74=0,0,TrRoad_ene!O77/TrRoad_tech!O105)</f>
        <v>1.1658226237288185</v>
      </c>
      <c r="P132" s="150">
        <f>IF(TrRoad_act!P74=0,0,TrRoad_ene!P77/TrRoad_tech!P105)</f>
        <v>1.1554157904737341</v>
      </c>
      <c r="Q132" s="150">
        <f>IF(TrRoad_act!Q74=0,0,TrRoad_ene!Q77/TrRoad_tech!Q105)</f>
        <v>1.2308237027466828</v>
      </c>
      <c r="R132" s="150">
        <f>IF(TrRoad_act!R74=0,0,TrRoad_ene!R77/TrRoad_tech!R105)</f>
        <v>1.2433143374116047</v>
      </c>
      <c r="S132" s="150">
        <f>IF(TrRoad_act!S74=0,0,TrRoad_ene!S77/TrRoad_tech!S105)</f>
        <v>1.2554887714994833</v>
      </c>
      <c r="T132" s="150">
        <f>IF(TrRoad_act!T74=0,0,TrRoad_ene!T77/TrRoad_tech!T105)</f>
        <v>1.2213225019335927</v>
      </c>
      <c r="U132" s="150">
        <f>IF(TrRoad_act!U74=0,0,TrRoad_ene!U77/TrRoad_tech!U105)</f>
        <v>1.241100559972566</v>
      </c>
      <c r="V132" s="150">
        <f>IF(TrRoad_act!V74=0,0,TrRoad_ene!V77/TrRoad_tech!V105)</f>
        <v>1.3143436434726619</v>
      </c>
      <c r="W132" s="150">
        <f>IF(TrRoad_act!W74=0,0,TrRoad_ene!W77/TrRoad_tech!W105)</f>
        <v>1.3905506502970193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1.1540601858222441</v>
      </c>
      <c r="C133" s="91">
        <f>IF(TrRoad_act!C75=0,0,TrRoad_ene!C78/TrRoad_tech!C106)</f>
        <v>1.2048100465567422</v>
      </c>
      <c r="D133" s="91">
        <f>IF(TrRoad_act!D75=0,0,TrRoad_ene!D78/TrRoad_tech!D106)</f>
        <v>1.2391555396557334</v>
      </c>
      <c r="E133" s="91">
        <f>IF(TrRoad_act!E75=0,0,TrRoad_ene!E78/TrRoad_tech!E106)</f>
        <v>1.3153381049376867</v>
      </c>
      <c r="F133" s="91">
        <f>IF(TrRoad_act!F75=0,0,TrRoad_ene!F78/TrRoad_tech!F106)</f>
        <v>1.345674493820584</v>
      </c>
      <c r="G133" s="91">
        <f>IF(TrRoad_act!G75=0,0,TrRoad_ene!G78/TrRoad_tech!G106)</f>
        <v>1.3854714750808628</v>
      </c>
      <c r="H133" s="91">
        <f>IF(TrRoad_act!H75=0,0,TrRoad_ene!H78/TrRoad_tech!H106)</f>
        <v>1.4184604343907943</v>
      </c>
      <c r="I133" s="91">
        <f>IF(TrRoad_act!I75=0,0,TrRoad_ene!I78/TrRoad_tech!I106)</f>
        <v>1.4309679089497376</v>
      </c>
      <c r="J133" s="91">
        <f>IF(TrRoad_act!J75=0,0,TrRoad_ene!J78/TrRoad_tech!J106)</f>
        <v>1.4328485449495951</v>
      </c>
      <c r="K133" s="91">
        <f>IF(TrRoad_act!K75=0,0,TrRoad_ene!K78/TrRoad_tech!K106)</f>
        <v>1.4475911383786852</v>
      </c>
      <c r="L133" s="91">
        <f>IF(TrRoad_act!L75=0,0,TrRoad_ene!L78/TrRoad_tech!L106)</f>
        <v>1.4586622254140258</v>
      </c>
      <c r="M133" s="91">
        <f>IF(TrRoad_act!M75=0,0,TrRoad_ene!M78/TrRoad_tech!M106)</f>
        <v>1.4362429100803848</v>
      </c>
      <c r="N133" s="91">
        <f>IF(TrRoad_act!N75=0,0,TrRoad_ene!N78/TrRoad_tech!N106)</f>
        <v>1.4109339081659245</v>
      </c>
      <c r="O133" s="91">
        <f>IF(TrRoad_act!O75=0,0,TrRoad_ene!O78/TrRoad_tech!O106)</f>
        <v>1.3397546873814792</v>
      </c>
      <c r="P133" s="91">
        <f>IF(TrRoad_act!P75=0,0,TrRoad_ene!P78/TrRoad_tech!P106)</f>
        <v>1.3563418165084538</v>
      </c>
      <c r="Q133" s="91">
        <f>IF(TrRoad_act!Q75=0,0,TrRoad_ene!Q78/TrRoad_tech!Q106)</f>
        <v>1.3727258362620274</v>
      </c>
      <c r="R133" s="91">
        <f>IF(TrRoad_act!R75=0,0,TrRoad_ene!R78/TrRoad_tech!R106)</f>
        <v>1.260797823112265</v>
      </c>
      <c r="S133" s="91">
        <f>IF(TrRoad_act!S75=0,0,TrRoad_ene!S78/TrRoad_tech!S106)</f>
        <v>1.2878135151135142</v>
      </c>
      <c r="T133" s="91">
        <f>IF(TrRoad_act!T75=0,0,TrRoad_ene!T78/TrRoad_tech!T106)</f>
        <v>1.2761031201236568</v>
      </c>
      <c r="U133" s="91">
        <f>IF(TrRoad_act!U75=0,0,TrRoad_ene!U78/TrRoad_tech!U106)</f>
        <v>1.2826239549291882</v>
      </c>
      <c r="V133" s="91">
        <f>IF(TrRoad_act!V75=0,0,TrRoad_ene!V78/TrRoad_tech!V106)</f>
        <v>1.2299846653344271</v>
      </c>
      <c r="W133" s="91">
        <f>IF(TrRoad_act!W75=0,0,TrRoad_ene!W78/TrRoad_tech!W106)</f>
        <v>1.326189473721056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1.3473760812909092</v>
      </c>
      <c r="C134" s="91">
        <f>IF(TrRoad_act!C76=0,0,TrRoad_ene!C79/TrRoad_tech!C107)</f>
        <v>1.3510046004695504</v>
      </c>
      <c r="D134" s="91">
        <f>IF(TrRoad_act!D76=0,0,TrRoad_ene!D79/TrRoad_tech!D107)</f>
        <v>1.2759244666615386</v>
      </c>
      <c r="E134" s="91">
        <f>IF(TrRoad_act!E76=0,0,TrRoad_ene!E79/TrRoad_tech!E107)</f>
        <v>1.295580615172184</v>
      </c>
      <c r="F134" s="91">
        <f>IF(TrRoad_act!F76=0,0,TrRoad_ene!F79/TrRoad_tech!F107)</f>
        <v>1.4291101335404806</v>
      </c>
      <c r="G134" s="91">
        <f>IF(TrRoad_act!G76=0,0,TrRoad_ene!G79/TrRoad_tech!G107)</f>
        <v>1.3143677012386217</v>
      </c>
      <c r="H134" s="91">
        <f>IF(TrRoad_act!H76=0,0,TrRoad_ene!H79/TrRoad_tech!H107)</f>
        <v>1.3236168333215415</v>
      </c>
      <c r="I134" s="91">
        <f>IF(TrRoad_act!I76=0,0,TrRoad_ene!I79/TrRoad_tech!I107)</f>
        <v>1.3922838914128093</v>
      </c>
      <c r="J134" s="91">
        <f>IF(TrRoad_act!J76=0,0,TrRoad_ene!J79/TrRoad_tech!J107)</f>
        <v>1.354976409062508</v>
      </c>
      <c r="K134" s="91">
        <f>IF(TrRoad_act!K76=0,0,TrRoad_ene!K79/TrRoad_tech!K107)</f>
        <v>1.4586460347183425</v>
      </c>
      <c r="L134" s="91">
        <f>IF(TrRoad_act!L76=0,0,TrRoad_ene!L79/TrRoad_tech!L107)</f>
        <v>1.495196448044918</v>
      </c>
      <c r="M134" s="91">
        <f>IF(TrRoad_act!M76=0,0,TrRoad_ene!M79/TrRoad_tech!M107)</f>
        <v>1.4553511179688223</v>
      </c>
      <c r="N134" s="91">
        <f>IF(TrRoad_act!N76=0,0,TrRoad_ene!N79/TrRoad_tech!N107)</f>
        <v>1.2885355800690115</v>
      </c>
      <c r="O134" s="91">
        <f>IF(TrRoad_act!O76=0,0,TrRoad_ene!O79/TrRoad_tech!O107)</f>
        <v>1.1772387886646916</v>
      </c>
      <c r="P134" s="91">
        <f>IF(TrRoad_act!P76=0,0,TrRoad_ene!P79/TrRoad_tech!P107)</f>
        <v>1.1585056853928444</v>
      </c>
      <c r="Q134" s="91">
        <f>IF(TrRoad_act!Q76=0,0,TrRoad_ene!Q79/TrRoad_tech!Q107)</f>
        <v>1.2314947575724295</v>
      </c>
      <c r="R134" s="91">
        <f>IF(TrRoad_act!R76=0,0,TrRoad_ene!R79/TrRoad_tech!R107)</f>
        <v>1.251887856344605</v>
      </c>
      <c r="S134" s="91">
        <f>IF(TrRoad_act!S76=0,0,TrRoad_ene!S79/TrRoad_tech!S107)</f>
        <v>1.2698760994862621</v>
      </c>
      <c r="T134" s="91">
        <f>IF(TrRoad_act!T76=0,0,TrRoad_ene!T79/TrRoad_tech!T107)</f>
        <v>1.2387622713490418</v>
      </c>
      <c r="U134" s="91">
        <f>IF(TrRoad_act!U76=0,0,TrRoad_ene!U79/TrRoad_tech!U107)</f>
        <v>1.2686837133631126</v>
      </c>
      <c r="V134" s="91">
        <f>IF(TrRoad_act!V76=0,0,TrRoad_ene!V79/TrRoad_tech!V107)</f>
        <v>1.3505043522370346</v>
      </c>
      <c r="W134" s="91">
        <f>IF(TrRoad_act!W76=0,0,TrRoad_ene!W79/TrRoad_tech!W107)</f>
        <v>1.4291082186558719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0</v>
      </c>
      <c r="F135" s="91">
        <f>IF(TrRoad_act!F77=0,0,TrRoad_ene!F80/TrRoad_tech!F108)</f>
        <v>0</v>
      </c>
      <c r="G135" s="91">
        <f>IF(TrRoad_act!G77=0,0,TrRoad_ene!G80/TrRoad_tech!G108)</f>
        <v>0</v>
      </c>
      <c r="H135" s="91">
        <f>IF(TrRoad_act!H77=0,0,TrRoad_ene!H80/TrRoad_tech!H108)</f>
        <v>0</v>
      </c>
      <c r="I135" s="91">
        <f>IF(TrRoad_act!I77=0,0,TrRoad_ene!I80/TrRoad_tech!I108)</f>
        <v>0</v>
      </c>
      <c r="J135" s="91">
        <f>IF(TrRoad_act!J77=0,0,TrRoad_ene!J80/TrRoad_tech!J108)</f>
        <v>0</v>
      </c>
      <c r="K135" s="91">
        <f>IF(TrRoad_act!K77=0,0,TrRoad_ene!K80/TrRoad_tech!K108)</f>
        <v>0</v>
      </c>
      <c r="L135" s="91">
        <f>IF(TrRoad_act!L77=0,0,TrRoad_ene!L80/TrRoad_tech!L108)</f>
        <v>0</v>
      </c>
      <c r="M135" s="91">
        <f>IF(TrRoad_act!M77=0,0,TrRoad_ene!M80/TrRoad_tech!M108)</f>
        <v>0</v>
      </c>
      <c r="N135" s="91">
        <f>IF(TrRoad_act!N77=0,0,TrRoad_ene!N80/TrRoad_tech!N108)</f>
        <v>0</v>
      </c>
      <c r="O135" s="91">
        <f>IF(TrRoad_act!O77=0,0,TrRoad_ene!O80/TrRoad_tech!O108)</f>
        <v>0</v>
      </c>
      <c r="P135" s="91">
        <f>IF(TrRoad_act!P77=0,0,TrRoad_ene!P80/TrRoad_tech!P108)</f>
        <v>0</v>
      </c>
      <c r="Q135" s="91">
        <f>IF(TrRoad_act!Q77=0,0,TrRoad_ene!Q80/TrRoad_tech!Q108)</f>
        <v>0</v>
      </c>
      <c r="R135" s="91">
        <f>IF(TrRoad_act!R77=0,0,TrRoad_ene!R80/TrRoad_tech!R108)</f>
        <v>0</v>
      </c>
      <c r="S135" s="91">
        <f>IF(TrRoad_act!S77=0,0,TrRoad_ene!S80/TrRoad_tech!S108)</f>
        <v>0</v>
      </c>
      <c r="T135" s="91">
        <f>IF(TrRoad_act!T77=0,0,TrRoad_ene!T80/TrRoad_tech!T108)</f>
        <v>0</v>
      </c>
      <c r="U135" s="91">
        <f>IF(TrRoad_act!U77=0,0,TrRoad_ene!U80/TrRoad_tech!U108)</f>
        <v>0</v>
      </c>
      <c r="V135" s="91">
        <f>IF(TrRoad_act!V77=0,0,TrRoad_ene!V80/TrRoad_tech!V108)</f>
        <v>0</v>
      </c>
      <c r="W135" s="91">
        <f>IF(TrRoad_act!W77=0,0,TrRoad_ene!W80/TrRoad_tech!W108)</f>
        <v>0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0</v>
      </c>
      <c r="L136" s="91">
        <f>IF(TrRoad_act!L78=0,0,TrRoad_ene!L81/TrRoad_tech!L109)</f>
        <v>0</v>
      </c>
      <c r="M136" s="91">
        <f>IF(TrRoad_act!M78=0,0,TrRoad_ene!M81/TrRoad_tech!M109)</f>
        <v>0</v>
      </c>
      <c r="N136" s="91">
        <f>IF(TrRoad_act!N78=0,0,TrRoad_ene!N81/TrRoad_tech!N109)</f>
        <v>0</v>
      </c>
      <c r="O136" s="91">
        <f>IF(TrRoad_act!O78=0,0,TrRoad_ene!O81/TrRoad_tech!O109)</f>
        <v>0</v>
      </c>
      <c r="P136" s="91">
        <f>IF(TrRoad_act!P78=0,0,TrRoad_ene!P81/TrRoad_tech!P109)</f>
        <v>0</v>
      </c>
      <c r="Q136" s="91">
        <f>IF(TrRoad_act!Q78=0,0,TrRoad_ene!Q81/TrRoad_tech!Q109)</f>
        <v>0</v>
      </c>
      <c r="R136" s="91">
        <f>IF(TrRoad_act!R78=0,0,TrRoad_ene!R81/TrRoad_tech!R109)</f>
        <v>0</v>
      </c>
      <c r="S136" s="91">
        <f>IF(TrRoad_act!S78=0,0,TrRoad_ene!S81/TrRoad_tech!S109)</f>
        <v>0</v>
      </c>
      <c r="T136" s="91">
        <f>IF(TrRoad_act!T78=0,0,TrRoad_ene!T81/TrRoad_tech!T109)</f>
        <v>0</v>
      </c>
      <c r="U136" s="91">
        <f>IF(TrRoad_act!U78=0,0,TrRoad_ene!U81/TrRoad_tech!U109)</f>
        <v>0</v>
      </c>
      <c r="V136" s="91">
        <f>IF(TrRoad_act!V78=0,0,TrRoad_ene!V81/TrRoad_tech!V109)</f>
        <v>0</v>
      </c>
      <c r="W136" s="91">
        <f>IF(TrRoad_act!W78=0,0,TrRoad_ene!W81/TrRoad_tech!W109)</f>
        <v>0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1.1560000000067703</v>
      </c>
      <c r="J137" s="91">
        <f>IF(TrRoad_act!J79=0,0,TrRoad_ene!J82/TrRoad_tech!J110)</f>
        <v>1.16052399791439</v>
      </c>
      <c r="K137" s="91">
        <f>IF(TrRoad_act!K79=0,0,TrRoad_ene!K82/TrRoad_tech!K110)</f>
        <v>1.1605239979143898</v>
      </c>
      <c r="L137" s="91">
        <f>IF(TrRoad_act!L79=0,0,TrRoad_ene!L82/TrRoad_tech!L110)</f>
        <v>1.1770293179024975</v>
      </c>
      <c r="M137" s="91">
        <f>IF(TrRoad_act!M79=0,0,TrRoad_ene!M82/TrRoad_tech!M110)</f>
        <v>1.18415362454519</v>
      </c>
      <c r="N137" s="91">
        <f>IF(TrRoad_act!N79=0,0,TrRoad_ene!N82/TrRoad_tech!N110)</f>
        <v>1.1841536245451896</v>
      </c>
      <c r="O137" s="91">
        <f>IF(TrRoad_act!O79=0,0,TrRoad_ene!O82/TrRoad_tech!O110)</f>
        <v>1.1841536245451898</v>
      </c>
      <c r="P137" s="91">
        <f>IF(TrRoad_act!P79=0,0,TrRoad_ene!P82/TrRoad_tech!P110)</f>
        <v>1.1894464768204203</v>
      </c>
      <c r="Q137" s="91">
        <f>IF(TrRoad_act!Q79=0,0,TrRoad_ene!Q82/TrRoad_tech!Q110)</f>
        <v>1.1894464768204205</v>
      </c>
      <c r="R137" s="91">
        <f>IF(TrRoad_act!R79=0,0,TrRoad_ene!R82/TrRoad_tech!R110)</f>
        <v>1.1894464768204203</v>
      </c>
      <c r="S137" s="91">
        <f>IF(TrRoad_act!S79=0,0,TrRoad_ene!S82/TrRoad_tech!S110)</f>
        <v>1.18944647682042</v>
      </c>
      <c r="T137" s="91">
        <f>IF(TrRoad_act!T79=0,0,TrRoad_ene!T82/TrRoad_tech!T110)</f>
        <v>1.1971901898876567</v>
      </c>
      <c r="U137" s="91">
        <f>IF(TrRoad_act!U79=0,0,TrRoad_ene!U82/TrRoad_tech!U110)</f>
        <v>1.2845608892500353</v>
      </c>
      <c r="V137" s="91">
        <f>IF(TrRoad_act!V79=0,0,TrRoad_ene!V82/TrRoad_tech!V110)</f>
        <v>1.297563446216025</v>
      </c>
      <c r="W137" s="91">
        <f>IF(TrRoad_act!W79=0,0,TrRoad_ene!W82/TrRoad_tech!W110)</f>
        <v>1.3242285676352286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1.287868531602107</v>
      </c>
      <c r="C138" s="151">
        <f>IF(TrRoad_act!C80=0,0,TrRoad_ene!C83/TrRoad_tech!C111)</f>
        <v>1.2922029766335068</v>
      </c>
      <c r="D138" s="151">
        <f>IF(TrRoad_act!D80=0,0,TrRoad_ene!D83/TrRoad_tech!D111)</f>
        <v>1.2347912891502957</v>
      </c>
      <c r="E138" s="151">
        <f>IF(TrRoad_act!E80=0,0,TrRoad_ene!E83/TrRoad_tech!E111)</f>
        <v>1.2520629780281791</v>
      </c>
      <c r="F138" s="151">
        <f>IF(TrRoad_act!F80=0,0,TrRoad_ene!F83/TrRoad_tech!F111)</f>
        <v>1.3554941533229217</v>
      </c>
      <c r="G138" s="151">
        <f>IF(TrRoad_act!G80=0,0,TrRoad_ene!G83/TrRoad_tech!G111)</f>
        <v>1.275765172274665</v>
      </c>
      <c r="H138" s="151">
        <f>IF(TrRoad_act!H80=0,0,TrRoad_ene!H83/TrRoad_tech!H111)</f>
        <v>1.2849086416883602</v>
      </c>
      <c r="I138" s="151">
        <f>IF(TrRoad_act!I80=0,0,TrRoad_ene!I83/TrRoad_tech!I111)</f>
        <v>1.3475149965329509</v>
      </c>
      <c r="J138" s="151">
        <f>IF(TrRoad_act!J80=0,0,TrRoad_ene!J83/TrRoad_tech!J111)</f>
        <v>1.3244574846231998</v>
      </c>
      <c r="K138" s="151">
        <f>IF(TrRoad_act!K80=0,0,TrRoad_ene!K83/TrRoad_tech!K111)</f>
        <v>1.4094853630660937</v>
      </c>
      <c r="L138" s="151">
        <f>IF(TrRoad_act!L80=0,0,TrRoad_ene!L83/TrRoad_tech!L111)</f>
        <v>1.4466281652847319</v>
      </c>
      <c r="M138" s="151">
        <f>IF(TrRoad_act!M80=0,0,TrRoad_ene!M83/TrRoad_tech!M111)</f>
        <v>1.4158943505655317</v>
      </c>
      <c r="N138" s="151">
        <f>IF(TrRoad_act!N80=0,0,TrRoad_ene!N83/TrRoad_tech!N111)</f>
        <v>1.2819776785424768</v>
      </c>
      <c r="O138" s="151">
        <f>IF(TrRoad_act!O80=0,0,TrRoad_ene!O83/TrRoad_tech!O111)</f>
        <v>1.2077933803710375</v>
      </c>
      <c r="P138" s="151">
        <f>IF(TrRoad_act!P80=0,0,TrRoad_ene!P83/TrRoad_tech!P111)</f>
        <v>1.1909945698092848</v>
      </c>
      <c r="Q138" s="151">
        <f>IF(TrRoad_act!Q80=0,0,TrRoad_ene!Q83/TrRoad_tech!Q111)</f>
        <v>1.2428672956525777</v>
      </c>
      <c r="R138" s="151">
        <f>IF(TrRoad_act!R80=0,0,TrRoad_ene!R83/TrRoad_tech!R111)</f>
        <v>1.2566214886093285</v>
      </c>
      <c r="S138" s="151">
        <f>IF(TrRoad_act!S80=0,0,TrRoad_ene!S83/TrRoad_tech!S111)</f>
        <v>1.2673960922680072</v>
      </c>
      <c r="T138" s="151">
        <f>IF(TrRoad_act!T80=0,0,TrRoad_ene!T83/TrRoad_tech!T111)</f>
        <v>1.2373998380819076</v>
      </c>
      <c r="U138" s="151">
        <f>IF(TrRoad_act!U80=0,0,TrRoad_ene!U83/TrRoad_tech!U111)</f>
        <v>1.2719441052495237</v>
      </c>
      <c r="V138" s="151">
        <f>IF(TrRoad_act!V80=0,0,TrRoad_ene!V83/TrRoad_tech!V111)</f>
        <v>1.3342568150913763</v>
      </c>
      <c r="W138" s="151">
        <f>IF(TrRoad_act!W80=0,0,TrRoad_ene!W83/TrRoad_tech!W111)</f>
        <v>1.393144033755886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1.287868531602107</v>
      </c>
      <c r="C139" s="93">
        <f>IF(TrRoad_act!C81=0,0,TrRoad_ene!C84/TrRoad_tech!C112)</f>
        <v>1.2922029766335068</v>
      </c>
      <c r="D139" s="93">
        <f>IF(TrRoad_act!D81=0,0,TrRoad_ene!D84/TrRoad_tech!D112)</f>
        <v>1.2347912891502957</v>
      </c>
      <c r="E139" s="93">
        <f>IF(TrRoad_act!E81=0,0,TrRoad_ene!E84/TrRoad_tech!E112)</f>
        <v>1.2520629780281791</v>
      </c>
      <c r="F139" s="93">
        <f>IF(TrRoad_act!F81=0,0,TrRoad_ene!F84/TrRoad_tech!F112)</f>
        <v>1.3554941533229217</v>
      </c>
      <c r="G139" s="93">
        <f>IF(TrRoad_act!G81=0,0,TrRoad_ene!G84/TrRoad_tech!G112)</f>
        <v>1.275765172274665</v>
      </c>
      <c r="H139" s="93">
        <f>IF(TrRoad_act!H81=0,0,TrRoad_ene!H84/TrRoad_tech!H112)</f>
        <v>1.2849086416883602</v>
      </c>
      <c r="I139" s="93">
        <f>IF(TrRoad_act!I81=0,0,TrRoad_ene!I84/TrRoad_tech!I112)</f>
        <v>1.3475149965329509</v>
      </c>
      <c r="J139" s="93">
        <f>IF(TrRoad_act!J81=0,0,TrRoad_ene!J84/TrRoad_tech!J112)</f>
        <v>1.3244574846231998</v>
      </c>
      <c r="K139" s="93">
        <f>IF(TrRoad_act!K81=0,0,TrRoad_ene!K84/TrRoad_tech!K112)</f>
        <v>1.4094853630660937</v>
      </c>
      <c r="L139" s="93">
        <f>IF(TrRoad_act!L81=0,0,TrRoad_ene!L84/TrRoad_tech!L112)</f>
        <v>1.4466281652847319</v>
      </c>
      <c r="M139" s="93">
        <f>IF(TrRoad_act!M81=0,0,TrRoad_ene!M84/TrRoad_tech!M112)</f>
        <v>1.4158943505655317</v>
      </c>
      <c r="N139" s="93">
        <f>IF(TrRoad_act!N81=0,0,TrRoad_ene!N84/TrRoad_tech!N112)</f>
        <v>1.2819776785424768</v>
      </c>
      <c r="O139" s="93">
        <f>IF(TrRoad_act!O81=0,0,TrRoad_ene!O84/TrRoad_tech!O112)</f>
        <v>1.2077933803710375</v>
      </c>
      <c r="P139" s="93">
        <f>IF(TrRoad_act!P81=0,0,TrRoad_ene!P84/TrRoad_tech!P112)</f>
        <v>1.1909945698092848</v>
      </c>
      <c r="Q139" s="93">
        <f>IF(TrRoad_act!Q81=0,0,TrRoad_ene!Q84/TrRoad_tech!Q112)</f>
        <v>1.2428672956525777</v>
      </c>
      <c r="R139" s="93">
        <f>IF(TrRoad_act!R81=0,0,TrRoad_ene!R84/TrRoad_tech!R112)</f>
        <v>1.2566214886093285</v>
      </c>
      <c r="S139" s="93">
        <f>IF(TrRoad_act!S81=0,0,TrRoad_ene!S84/TrRoad_tech!S112)</f>
        <v>1.2673960922680072</v>
      </c>
      <c r="T139" s="93">
        <f>IF(TrRoad_act!T81=0,0,TrRoad_ene!T84/TrRoad_tech!T112)</f>
        <v>1.2373998380819076</v>
      </c>
      <c r="U139" s="93">
        <f>IF(TrRoad_act!U81=0,0,TrRoad_ene!U84/TrRoad_tech!U112)</f>
        <v>1.2719441052495237</v>
      </c>
      <c r="V139" s="93">
        <f>IF(TrRoad_act!V81=0,0,TrRoad_ene!V84/TrRoad_tech!V112)</f>
        <v>1.3342568150913763</v>
      </c>
      <c r="W139" s="93">
        <f>IF(TrRoad_act!W81=0,0,TrRoad_ene!W84/TrRoad_tech!W112)</f>
        <v>1.393144033755886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0</v>
      </c>
      <c r="C140" s="94">
        <f>IF(TrRoad_act!C82=0,0,TrRoad_ene!C85/TrRoad_tech!C113)</f>
        <v>0</v>
      </c>
      <c r="D140" s="94">
        <f>IF(TrRoad_act!D82=0,0,TrRoad_ene!D85/TrRoad_tech!D113)</f>
        <v>0</v>
      </c>
      <c r="E140" s="94">
        <f>IF(TrRoad_act!E82=0,0,TrRoad_ene!E85/TrRoad_tech!E113)</f>
        <v>0</v>
      </c>
      <c r="F140" s="94">
        <f>IF(TrRoad_act!F82=0,0,TrRoad_ene!F85/TrRoad_tech!F113)</f>
        <v>0</v>
      </c>
      <c r="G140" s="94">
        <f>IF(TrRoad_act!G82=0,0,TrRoad_ene!G85/TrRoad_tech!G113)</f>
        <v>0</v>
      </c>
      <c r="H140" s="94">
        <f>IF(TrRoad_act!H82=0,0,TrRoad_ene!H85/TrRoad_tech!H113)</f>
        <v>0</v>
      </c>
      <c r="I140" s="94">
        <f>IF(TrRoad_act!I82=0,0,TrRoad_ene!I85/TrRoad_tech!I113)</f>
        <v>0</v>
      </c>
      <c r="J140" s="94">
        <f>IF(TrRoad_act!J82=0,0,TrRoad_ene!J85/TrRoad_tech!J113)</f>
        <v>0</v>
      </c>
      <c r="K140" s="94">
        <f>IF(TrRoad_act!K82=0,0,TrRoad_ene!K85/TrRoad_tech!K113)</f>
        <v>0</v>
      </c>
      <c r="L140" s="94">
        <f>IF(TrRoad_act!L82=0,0,TrRoad_ene!L85/TrRoad_tech!L113)</f>
        <v>0</v>
      </c>
      <c r="M140" s="94">
        <f>IF(TrRoad_act!M82=0,0,TrRoad_ene!M85/TrRoad_tech!M113)</f>
        <v>0</v>
      </c>
      <c r="N140" s="94">
        <f>IF(TrRoad_act!N82=0,0,TrRoad_ene!N85/TrRoad_tech!N113)</f>
        <v>0</v>
      </c>
      <c r="O140" s="94">
        <f>IF(TrRoad_act!O82=0,0,TrRoad_ene!O85/TrRoad_tech!O113)</f>
        <v>0</v>
      </c>
      <c r="P140" s="94">
        <f>IF(TrRoad_act!P82=0,0,TrRoad_ene!P85/TrRoad_tech!P113)</f>
        <v>0</v>
      </c>
      <c r="Q140" s="94">
        <f>IF(TrRoad_act!Q82=0,0,TrRoad_ene!Q85/TrRoad_tech!Q113)</f>
        <v>0</v>
      </c>
      <c r="R140" s="94">
        <f>IF(TrRoad_act!R82=0,0,TrRoad_ene!R85/TrRoad_tech!R113)</f>
        <v>0</v>
      </c>
      <c r="S140" s="94">
        <f>IF(TrRoad_act!S82=0,0,TrRoad_ene!S85/TrRoad_tech!S113)</f>
        <v>0</v>
      </c>
      <c r="T140" s="94">
        <f>IF(TrRoad_act!T82=0,0,TrRoad_ene!T85/TrRoad_tech!T113)</f>
        <v>0</v>
      </c>
      <c r="U140" s="94">
        <f>IF(TrRoad_act!U82=0,0,TrRoad_ene!U85/TrRoad_tech!U113)</f>
        <v>0</v>
      </c>
      <c r="V140" s="94">
        <f>IF(TrRoad_act!V82=0,0,TrRoad_ene!V85/TrRoad_tech!V113)</f>
        <v>0</v>
      </c>
      <c r="W140" s="94">
        <f>IF(TrRoad_act!W82=0,0,TrRoad_ene!W85/TrRoad_tech!W113)</f>
        <v>0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3.5696486780685728</v>
      </c>
      <c r="C144" s="141">
        <v>3.5599039382106836</v>
      </c>
      <c r="D144" s="141">
        <v>3.5491076462526139</v>
      </c>
      <c r="E144" s="141">
        <v>3.5267561247531609</v>
      </c>
      <c r="F144" s="141">
        <v>3.524312460479385</v>
      </c>
      <c r="G144" s="141">
        <v>3.5004130298924578</v>
      </c>
      <c r="H144" s="141">
        <v>3.4647566361170736</v>
      </c>
      <c r="I144" s="141">
        <v>3.4391580064946785</v>
      </c>
      <c r="J144" s="141">
        <v>3.3535914410951762</v>
      </c>
      <c r="K144" s="141">
        <v>3.2586838098110218</v>
      </c>
      <c r="L144" s="141">
        <v>3.1983261332334108</v>
      </c>
      <c r="M144" s="141">
        <v>3.09894577985493</v>
      </c>
      <c r="N144" s="141">
        <v>2.9823353730485871</v>
      </c>
      <c r="O144" s="141">
        <v>2.8830092768846383</v>
      </c>
      <c r="P144" s="141">
        <v>2.6887244148760456</v>
      </c>
      <c r="Q144" s="141">
        <v>2.5667579142601542</v>
      </c>
      <c r="R144" s="141">
        <v>2.4886791300556474</v>
      </c>
      <c r="S144" s="141">
        <v>2.4262161026920421</v>
      </c>
      <c r="T144" s="141">
        <v>2.3762456808011581</v>
      </c>
      <c r="U144" s="141">
        <v>2.3362693432884507</v>
      </c>
      <c r="V144" s="141">
        <v>2.304288273278285</v>
      </c>
      <c r="W144" s="141">
        <v>2.2787034172701524</v>
      </c>
      <c r="DA144" s="174" t="s">
        <v>885</v>
      </c>
    </row>
    <row r="145" spans="1:105" ht="11.45" customHeight="1" x14ac:dyDescent="0.25">
      <c r="A145" s="109" t="s">
        <v>20</v>
      </c>
      <c r="B145" s="130">
        <v>6.7630697462263099</v>
      </c>
      <c r="C145" s="130">
        <v>6.7468873618207894</v>
      </c>
      <c r="D145" s="130">
        <v>6.696602498649054</v>
      </c>
      <c r="E145" s="130">
        <v>6.6322760712640623</v>
      </c>
      <c r="F145" s="130">
        <v>6.6115294061086107</v>
      </c>
      <c r="G145" s="130">
        <v>6.5754914685435573</v>
      </c>
      <c r="H145" s="130">
        <v>6.5161185965285418</v>
      </c>
      <c r="I145" s="130">
        <v>6.5068516480223293</v>
      </c>
      <c r="J145" s="130">
        <v>6.3843039762491554</v>
      </c>
      <c r="K145" s="130">
        <v>6.2107176694695614</v>
      </c>
      <c r="L145" s="130">
        <v>6.1460894029744608</v>
      </c>
      <c r="M145" s="130">
        <v>5.9204455670485352</v>
      </c>
      <c r="N145" s="130">
        <v>5.6980611066420153</v>
      </c>
      <c r="O145" s="130">
        <v>5.4898431214377483</v>
      </c>
      <c r="P145" s="130">
        <v>5.1993052539687206</v>
      </c>
      <c r="Q145" s="130">
        <v>5.0139918915818535</v>
      </c>
      <c r="R145" s="130">
        <v>4.9435148289620052</v>
      </c>
      <c r="S145" s="130">
        <v>4.9411978007429891</v>
      </c>
      <c r="T145" s="130">
        <v>5.0222088491716601</v>
      </c>
      <c r="U145" s="130">
        <v>5.1030916622738278</v>
      </c>
      <c r="V145" s="130">
        <v>5.1497189495986948</v>
      </c>
      <c r="W145" s="130">
        <v>4.9939580832441202</v>
      </c>
      <c r="DA145" s="176" t="s">
        <v>886</v>
      </c>
    </row>
    <row r="146" spans="1:105" ht="11.45" customHeight="1" x14ac:dyDescent="0.25">
      <c r="A146" s="111" t="s">
        <v>110</v>
      </c>
      <c r="B146" s="96">
        <v>6.678297391330501</v>
      </c>
      <c r="C146" s="96">
        <v>6.6600663897274686</v>
      </c>
      <c r="D146" s="96">
        <v>6.6398680859384722</v>
      </c>
      <c r="E146" s="96">
        <v>6.5980516156961331</v>
      </c>
      <c r="F146" s="96">
        <v>6.5934798725873183</v>
      </c>
      <c r="G146" s="96">
        <v>6.548767487885832</v>
      </c>
      <c r="H146" s="96">
        <v>6.4820595221979476</v>
      </c>
      <c r="I146" s="96">
        <v>6.4341681813835958</v>
      </c>
      <c r="J146" s="96">
        <v>6.2740854892118287</v>
      </c>
      <c r="K146" s="96">
        <v>6.0965270111698748</v>
      </c>
      <c r="L146" s="96">
        <v>5.9836065110345542</v>
      </c>
      <c r="M146" s="96">
        <v>5.7976802155997174</v>
      </c>
      <c r="N146" s="96">
        <v>5.5795189773912144</v>
      </c>
      <c r="O146" s="96">
        <v>5.3936941893726775</v>
      </c>
      <c r="P146" s="96">
        <v>5.030858233136783</v>
      </c>
      <c r="Q146" s="96">
        <v>4.8020335413667183</v>
      </c>
      <c r="R146" s="96">
        <v>4.6803801373940397</v>
      </c>
      <c r="S146" s="96">
        <v>4.6032123282741928</v>
      </c>
      <c r="T146" s="96">
        <v>4.6157608018695253</v>
      </c>
      <c r="U146" s="96">
        <v>5.07451024612452</v>
      </c>
      <c r="V146" s="96">
        <v>5.1284054496908782</v>
      </c>
      <c r="W146" s="96">
        <v>4.9452974635639624</v>
      </c>
      <c r="DA146" s="171" t="s">
        <v>887</v>
      </c>
    </row>
    <row r="147" spans="1:105" ht="11.45" customHeight="1" x14ac:dyDescent="0.25">
      <c r="A147" s="111" t="s">
        <v>111</v>
      </c>
      <c r="B147" s="96">
        <v>7.3570572420677305</v>
      </c>
      <c r="C147" s="96">
        <v>7.3552292188284563</v>
      </c>
      <c r="D147" s="96">
        <v>7.3531986146096431</v>
      </c>
      <c r="E147" s="96">
        <v>7.361565326247681</v>
      </c>
      <c r="F147" s="96">
        <v>7.3372088656705063</v>
      </c>
      <c r="G147" s="96">
        <v>7.3481307329888095</v>
      </c>
      <c r="H147" s="96">
        <v>7.3716136601919438</v>
      </c>
      <c r="I147" s="96">
        <v>7.3375299781718368</v>
      </c>
      <c r="J147" s="96">
        <v>7.1681878506821324</v>
      </c>
      <c r="K147" s="96">
        <v>7.0245175084578308</v>
      </c>
      <c r="L147" s="96">
        <v>6.8869649507412776</v>
      </c>
      <c r="M147" s="96">
        <v>6.4886744720717084</v>
      </c>
      <c r="N147" s="96">
        <v>6.2414999632318731</v>
      </c>
      <c r="O147" s="96">
        <v>5.8757584317534928</v>
      </c>
      <c r="P147" s="96">
        <v>5.5606480944909755</v>
      </c>
      <c r="Q147" s="96">
        <v>5.4977752863572684</v>
      </c>
      <c r="R147" s="96">
        <v>5.3994755384058166</v>
      </c>
      <c r="S147" s="96">
        <v>5.4071863972829659</v>
      </c>
      <c r="T147" s="96">
        <v>5.5489910381045453</v>
      </c>
      <c r="U147" s="96">
        <v>5.161415519659303</v>
      </c>
      <c r="V147" s="96">
        <v>5.1975684009207841</v>
      </c>
      <c r="W147" s="96">
        <v>5.2453921062173938</v>
      </c>
      <c r="DA147" s="171" t="s">
        <v>888</v>
      </c>
    </row>
    <row r="148" spans="1:105" ht="11.45" customHeight="1" x14ac:dyDescent="0.25">
      <c r="A148" s="111" t="s">
        <v>112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0</v>
      </c>
      <c r="O148" s="96">
        <v>0</v>
      </c>
      <c r="P148" s="96">
        <v>0</v>
      </c>
      <c r="Q148" s="96">
        <v>0</v>
      </c>
      <c r="R148" s="96">
        <v>0</v>
      </c>
      <c r="S148" s="96">
        <v>0</v>
      </c>
      <c r="T148" s="96">
        <v>4.9117000646444851</v>
      </c>
      <c r="U148" s="96">
        <v>0</v>
      </c>
      <c r="V148" s="96">
        <v>0</v>
      </c>
      <c r="W148" s="96">
        <v>0</v>
      </c>
      <c r="DA148" s="171" t="s">
        <v>889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0</v>
      </c>
      <c r="M149" s="96">
        <v>0</v>
      </c>
      <c r="N149" s="96">
        <v>0</v>
      </c>
      <c r="O149" s="96">
        <v>0</v>
      </c>
      <c r="P149" s="96">
        <v>0</v>
      </c>
      <c r="Q149" s="96">
        <v>0</v>
      </c>
      <c r="R149" s="96">
        <v>0</v>
      </c>
      <c r="S149" s="96">
        <v>0</v>
      </c>
      <c r="T149" s="96">
        <v>0</v>
      </c>
      <c r="U149" s="96">
        <v>0</v>
      </c>
      <c r="V149" s="96">
        <v>0</v>
      </c>
      <c r="W149" s="96">
        <v>0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0</v>
      </c>
      <c r="O150" s="96">
        <v>0</v>
      </c>
      <c r="P150" s="96">
        <v>2.7021993848275483</v>
      </c>
      <c r="Q150" s="96">
        <v>2.7579852880745066</v>
      </c>
      <c r="R150" s="96">
        <v>4.2793712761553016</v>
      </c>
      <c r="S150" s="96">
        <v>3.6556558810225948</v>
      </c>
      <c r="T150" s="96">
        <v>3.6478238003395216</v>
      </c>
      <c r="U150" s="96">
        <v>3.3353860515273093</v>
      </c>
      <c r="V150" s="96">
        <v>4.4349507341953647</v>
      </c>
      <c r="W150" s="96">
        <v>2.6757696547530769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0</v>
      </c>
      <c r="K151" s="96">
        <v>0</v>
      </c>
      <c r="L151" s="96">
        <v>0</v>
      </c>
      <c r="M151" s="96">
        <v>0</v>
      </c>
      <c r="N151" s="96">
        <v>0</v>
      </c>
      <c r="O151" s="96">
        <v>1.321055934017817</v>
      </c>
      <c r="P151" s="96">
        <v>1.3111679024807961</v>
      </c>
      <c r="Q151" s="96">
        <v>1.379374669857534</v>
      </c>
      <c r="R151" s="96">
        <v>1.3399239780743561</v>
      </c>
      <c r="S151" s="96">
        <v>1.2621256019831668</v>
      </c>
      <c r="T151" s="96">
        <v>1.4037219194819983</v>
      </c>
      <c r="U151" s="96">
        <v>1.5058878978948307</v>
      </c>
      <c r="V151" s="96">
        <v>1.4670282426086381</v>
      </c>
      <c r="W151" s="96">
        <v>1.4359158382965607</v>
      </c>
      <c r="DA151" s="171" t="s">
        <v>892</v>
      </c>
    </row>
    <row r="152" spans="1:105" ht="11.45" customHeight="1" x14ac:dyDescent="0.25">
      <c r="A152" s="109" t="s">
        <v>21</v>
      </c>
      <c r="B152" s="130">
        <v>46.840557132676345</v>
      </c>
      <c r="C152" s="130">
        <v>46.937331653615139</v>
      </c>
      <c r="D152" s="130">
        <v>46.901663247623354</v>
      </c>
      <c r="E152" s="130">
        <v>46.730096967190484</v>
      </c>
      <c r="F152" s="130">
        <v>46.819352815590392</v>
      </c>
      <c r="G152" s="130">
        <v>46.73957300310034</v>
      </c>
      <c r="H152" s="130">
        <v>46.038007295489763</v>
      </c>
      <c r="I152" s="130">
        <v>46.533040728210992</v>
      </c>
      <c r="J152" s="130">
        <v>46.052181939505431</v>
      </c>
      <c r="K152" s="130">
        <v>45.903868410847437</v>
      </c>
      <c r="L152" s="130">
        <v>45.448003436062812</v>
      </c>
      <c r="M152" s="130">
        <v>45.026198538510222</v>
      </c>
      <c r="N152" s="130">
        <v>44.702777803239407</v>
      </c>
      <c r="O152" s="130">
        <v>44.502860640500892</v>
      </c>
      <c r="P152" s="130">
        <v>43.713191446335998</v>
      </c>
      <c r="Q152" s="130">
        <v>43.199999999908329</v>
      </c>
      <c r="R152" s="130">
        <v>42.743280968029893</v>
      </c>
      <c r="S152" s="130">
        <v>42.336363687217549</v>
      </c>
      <c r="T152" s="130">
        <v>41.973451342350124</v>
      </c>
      <c r="U152" s="130">
        <v>41.225303647455924</v>
      </c>
      <c r="V152" s="130">
        <v>41.316730999968918</v>
      </c>
      <c r="W152" s="130">
        <v>41.101301335591707</v>
      </c>
      <c r="DA152" s="176" t="s">
        <v>893</v>
      </c>
    </row>
    <row r="153" spans="1:105" ht="11.45" customHeight="1" x14ac:dyDescent="0.25">
      <c r="A153" s="111" t="s">
        <v>110</v>
      </c>
      <c r="B153" s="97">
        <v>14.87353615861905</v>
      </c>
      <c r="C153" s="97">
        <v>0</v>
      </c>
      <c r="D153" s="97">
        <v>0</v>
      </c>
      <c r="E153" s="97">
        <v>14.694817186471504</v>
      </c>
      <c r="F153" s="97">
        <v>0</v>
      </c>
      <c r="G153" s="97">
        <v>0</v>
      </c>
      <c r="H153" s="97">
        <v>14.436485983821141</v>
      </c>
      <c r="I153" s="97">
        <v>0</v>
      </c>
      <c r="J153" s="97">
        <v>13.973297671229899</v>
      </c>
      <c r="K153" s="97">
        <v>0</v>
      </c>
      <c r="L153" s="97">
        <v>13.326358888472544</v>
      </c>
      <c r="M153" s="97">
        <v>12.912274082728876</v>
      </c>
      <c r="N153" s="97">
        <v>12.426397387702448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9.8354516183046368</v>
      </c>
      <c r="V153" s="97">
        <v>0</v>
      </c>
      <c r="W153" s="97">
        <v>0</v>
      </c>
      <c r="DA153" s="175" t="s">
        <v>894</v>
      </c>
    </row>
    <row r="154" spans="1:105" ht="11.45" customHeight="1" x14ac:dyDescent="0.25">
      <c r="A154" s="111" t="s">
        <v>111</v>
      </c>
      <c r="B154" s="97">
        <v>46.969456410797548</v>
      </c>
      <c r="C154" s="97">
        <v>46.937331653615139</v>
      </c>
      <c r="D154" s="97">
        <v>46.901663247623354</v>
      </c>
      <c r="E154" s="97">
        <v>46.827468638256498</v>
      </c>
      <c r="F154" s="97">
        <v>46.819352815590392</v>
      </c>
      <c r="G154" s="97">
        <v>46.73957300310034</v>
      </c>
      <c r="H154" s="97">
        <v>46.619630387115564</v>
      </c>
      <c r="I154" s="97">
        <v>46.533040728210992</v>
      </c>
      <c r="J154" s="97">
        <v>46.238100548109138</v>
      </c>
      <c r="K154" s="97">
        <v>45.90386841084743</v>
      </c>
      <c r="L154" s="97">
        <v>45.688314991281686</v>
      </c>
      <c r="M154" s="97">
        <v>45.324932719494235</v>
      </c>
      <c r="N154" s="97">
        <v>44.88616632832769</v>
      </c>
      <c r="O154" s="97">
        <v>44.502860640500892</v>
      </c>
      <c r="P154" s="97">
        <v>43.713191446335998</v>
      </c>
      <c r="Q154" s="97">
        <v>43.199999999908329</v>
      </c>
      <c r="R154" s="97">
        <v>42.743280968029893</v>
      </c>
      <c r="S154" s="97">
        <v>42.336363687217549</v>
      </c>
      <c r="T154" s="97">
        <v>41.973451342350124</v>
      </c>
      <c r="U154" s="97">
        <v>41.649490837039053</v>
      </c>
      <c r="V154" s="97">
        <v>41.360064775263773</v>
      </c>
      <c r="W154" s="97">
        <v>41.101301335591707</v>
      </c>
      <c r="DA154" s="175" t="s">
        <v>895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0</v>
      </c>
      <c r="D156" s="97">
        <v>0</v>
      </c>
      <c r="E156" s="97">
        <v>0</v>
      </c>
      <c r="F156" s="97">
        <v>0</v>
      </c>
      <c r="G156" s="97">
        <v>0</v>
      </c>
      <c r="H156" s="97">
        <v>0</v>
      </c>
      <c r="I156" s="97">
        <v>0</v>
      </c>
      <c r="J156" s="97">
        <v>0</v>
      </c>
      <c r="K156" s="97">
        <v>0</v>
      </c>
      <c r="L156" s="97">
        <v>0</v>
      </c>
      <c r="M156" s="97">
        <v>0</v>
      </c>
      <c r="N156" s="97">
        <v>0</v>
      </c>
      <c r="O156" s="97">
        <v>0</v>
      </c>
      <c r="P156" s="97">
        <v>0</v>
      </c>
      <c r="Q156" s="97">
        <v>0</v>
      </c>
      <c r="R156" s="97">
        <v>0</v>
      </c>
      <c r="S156" s="97">
        <v>0</v>
      </c>
      <c r="T156" s="97">
        <v>0</v>
      </c>
      <c r="U156" s="97">
        <v>0</v>
      </c>
      <c r="V156" s="97">
        <v>0</v>
      </c>
      <c r="W156" s="97">
        <v>0</v>
      </c>
      <c r="DA156" s="175" t="s">
        <v>897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0</v>
      </c>
      <c r="F157" s="97">
        <v>0</v>
      </c>
      <c r="G157" s="97">
        <v>0</v>
      </c>
      <c r="H157" s="97">
        <v>0</v>
      </c>
      <c r="I157" s="97">
        <v>0</v>
      </c>
      <c r="J157" s="97">
        <v>28.304879101988803</v>
      </c>
      <c r="K157" s="97">
        <v>0</v>
      </c>
      <c r="L157" s="97">
        <v>0</v>
      </c>
      <c r="M157" s="97">
        <v>0</v>
      </c>
      <c r="N157" s="97">
        <v>0</v>
      </c>
      <c r="O157" s="97">
        <v>0</v>
      </c>
      <c r="P157" s="97">
        <v>0</v>
      </c>
      <c r="Q157" s="97">
        <v>0</v>
      </c>
      <c r="R157" s="97">
        <v>0</v>
      </c>
      <c r="S157" s="97">
        <v>0</v>
      </c>
      <c r="T157" s="97">
        <v>0</v>
      </c>
      <c r="U157" s="97">
        <v>0</v>
      </c>
      <c r="V157" s="97">
        <v>28.793269939755223</v>
      </c>
      <c r="W157" s="97">
        <v>0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6.4834876416113616</v>
      </c>
      <c r="C159" s="141">
        <v>6.6676812182274814</v>
      </c>
      <c r="D159" s="141">
        <v>6.6641305053052582</v>
      </c>
      <c r="E159" s="141">
        <v>6.661284041689056</v>
      </c>
      <c r="F159" s="141">
        <v>6.6897099093368606</v>
      </c>
      <c r="G159" s="141">
        <v>6.6859601504212209</v>
      </c>
      <c r="H159" s="141">
        <v>6.6657890185837863</v>
      </c>
      <c r="I159" s="141">
        <v>6.6518987042865589</v>
      </c>
      <c r="J159" s="141">
        <v>6.6455859781227469</v>
      </c>
      <c r="K159" s="141">
        <v>6.6576052791101983</v>
      </c>
      <c r="L159" s="141">
        <v>6.7120649883589456</v>
      </c>
      <c r="M159" s="141">
        <v>6.7355118415345556</v>
      </c>
      <c r="N159" s="141">
        <v>6.3846432405496767</v>
      </c>
      <c r="O159" s="141">
        <v>6.4253090521206992</v>
      </c>
      <c r="P159" s="141">
        <v>6.2777359435808409</v>
      </c>
      <c r="Q159" s="141">
        <v>5.9523091695814205</v>
      </c>
      <c r="R159" s="141">
        <v>5.6375086648611683</v>
      </c>
      <c r="S159" s="141">
        <v>4.6643711659901639</v>
      </c>
      <c r="T159" s="141">
        <v>5.1680369186645123</v>
      </c>
      <c r="U159" s="141">
        <v>4.1441659393303816</v>
      </c>
      <c r="V159" s="141">
        <v>5.1023398898935906</v>
      </c>
      <c r="W159" s="141">
        <v>5.2431818796006446</v>
      </c>
      <c r="DA159" s="174" t="s">
        <v>899</v>
      </c>
    </row>
    <row r="160" spans="1:105" ht="11.45" customHeight="1" x14ac:dyDescent="0.25">
      <c r="A160" s="111" t="s">
        <v>110</v>
      </c>
      <c r="B160" s="96">
        <v>6.0076141825179006</v>
      </c>
      <c r="C160" s="96">
        <v>5.991214070726822</v>
      </c>
      <c r="D160" s="96">
        <v>5.9730442275474678</v>
      </c>
      <c r="E160" s="96">
        <v>5.9354272714626957</v>
      </c>
      <c r="F160" s="96">
        <v>5.9313146560564096</v>
      </c>
      <c r="G160" s="96">
        <v>5.8910926143103275</v>
      </c>
      <c r="H160" s="96">
        <v>5.8310839478388852</v>
      </c>
      <c r="I160" s="96">
        <v>5.7880022038797749</v>
      </c>
      <c r="J160" s="96">
        <v>5.6439961802613583</v>
      </c>
      <c r="K160" s="96">
        <v>5.4842694163266064</v>
      </c>
      <c r="L160" s="96">
        <v>5.3826892143142091</v>
      </c>
      <c r="M160" s="96">
        <v>5.2154349900852743</v>
      </c>
      <c r="N160" s="96">
        <v>5.0191830905459591</v>
      </c>
      <c r="O160" s="96">
        <v>4.8394485341607139</v>
      </c>
      <c r="P160" s="96">
        <v>7.2235962819183035</v>
      </c>
      <c r="Q160" s="96">
        <v>4.3499586784731505</v>
      </c>
      <c r="R160" s="96">
        <v>4.6615899707364958</v>
      </c>
      <c r="S160" s="96">
        <v>4.5188926246558641</v>
      </c>
      <c r="T160" s="96">
        <v>4.5390007479330672</v>
      </c>
      <c r="U160" s="96">
        <v>4.7638161548343305</v>
      </c>
      <c r="V160" s="96">
        <v>4.6925698888218728</v>
      </c>
      <c r="W160" s="96">
        <v>4.4661718707388411</v>
      </c>
      <c r="DA160" s="171" t="s">
        <v>900</v>
      </c>
    </row>
    <row r="161" spans="1:105" ht="11.45" customHeight="1" x14ac:dyDescent="0.25">
      <c r="A161" s="111" t="s">
        <v>111</v>
      </c>
      <c r="B161" s="96">
        <v>6.7435307310894883</v>
      </c>
      <c r="C161" s="96">
        <v>6.741855152052163</v>
      </c>
      <c r="D161" s="96">
        <v>6.7399938858554096</v>
      </c>
      <c r="E161" s="96">
        <v>6.7476628729507713</v>
      </c>
      <c r="F161" s="96">
        <v>6.7253375688246093</v>
      </c>
      <c r="G161" s="96">
        <v>6.7353486296983416</v>
      </c>
      <c r="H161" s="96">
        <v>6.7568732469522033</v>
      </c>
      <c r="I161" s="96">
        <v>6.7256319028157181</v>
      </c>
      <c r="J161" s="96">
        <v>6.5704117103908004</v>
      </c>
      <c r="K161" s="96">
        <v>6.4387224580093116</v>
      </c>
      <c r="L161" s="96">
        <v>6.3126408102007483</v>
      </c>
      <c r="M161" s="96">
        <v>5.9475649389066696</v>
      </c>
      <c r="N161" s="96">
        <v>4.7303958122301131</v>
      </c>
      <c r="O161" s="96">
        <v>5.3857617589844322</v>
      </c>
      <c r="P161" s="96">
        <v>3.843621583765505</v>
      </c>
      <c r="Q161" s="96">
        <v>4.7978005818420222</v>
      </c>
      <c r="R161" s="96">
        <v>4.8599147308555946</v>
      </c>
      <c r="S161" s="96">
        <v>4.4948836069828859</v>
      </c>
      <c r="T161" s="96">
        <v>4.5821873946078</v>
      </c>
      <c r="U161" s="96">
        <v>4.5406089286195401</v>
      </c>
      <c r="V161" s="96">
        <v>6.1911371654805629</v>
      </c>
      <c r="W161" s="96">
        <v>6.3165481354471158</v>
      </c>
      <c r="DA161" s="171" t="s">
        <v>901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0</v>
      </c>
      <c r="P162" s="96">
        <v>0</v>
      </c>
      <c r="Q162" s="96">
        <v>0</v>
      </c>
      <c r="R162" s="96">
        <v>0</v>
      </c>
      <c r="S162" s="96">
        <v>0</v>
      </c>
      <c r="T162" s="96">
        <v>0</v>
      </c>
      <c r="U162" s="96">
        <v>0</v>
      </c>
      <c r="V162" s="96">
        <v>0</v>
      </c>
      <c r="W162" s="96">
        <v>0</v>
      </c>
      <c r="DA162" s="171" t="s">
        <v>902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0</v>
      </c>
      <c r="O163" s="96">
        <v>0</v>
      </c>
      <c r="P163" s="96">
        <v>0</v>
      </c>
      <c r="Q163" s="96">
        <v>0</v>
      </c>
      <c r="R163" s="96">
        <v>0</v>
      </c>
      <c r="S163" s="96">
        <v>0</v>
      </c>
      <c r="T163" s="96">
        <v>0</v>
      </c>
      <c r="U163" s="96">
        <v>0</v>
      </c>
      <c r="V163" s="96">
        <v>0</v>
      </c>
      <c r="W163" s="96">
        <v>0</v>
      </c>
      <c r="DA163" s="171" t="s">
        <v>903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1.4104152265329351</v>
      </c>
      <c r="J164" s="96">
        <v>1.3963110742676057</v>
      </c>
      <c r="K164" s="96">
        <v>0</v>
      </c>
      <c r="L164" s="96">
        <v>1.3736322702876926</v>
      </c>
      <c r="M164" s="96">
        <v>1.3598959475848158</v>
      </c>
      <c r="N164" s="96">
        <v>0</v>
      </c>
      <c r="O164" s="96">
        <v>0</v>
      </c>
      <c r="P164" s="96">
        <v>0</v>
      </c>
      <c r="Q164" s="96">
        <v>0</v>
      </c>
      <c r="R164" s="96">
        <v>0</v>
      </c>
      <c r="S164" s="96">
        <v>0</v>
      </c>
      <c r="T164" s="96">
        <v>0</v>
      </c>
      <c r="U164" s="96">
        <v>1.8057543142999408</v>
      </c>
      <c r="V164" s="96">
        <v>2.0958241253219345</v>
      </c>
      <c r="W164" s="96">
        <v>2.1340805595493646</v>
      </c>
      <c r="DA164" s="171" t="s">
        <v>904</v>
      </c>
    </row>
    <row r="165" spans="1:105" ht="11.45" customHeight="1" x14ac:dyDescent="0.25">
      <c r="A165" s="109" t="s">
        <v>158</v>
      </c>
      <c r="B165" s="130">
        <v>23.759779832273317</v>
      </c>
      <c r="C165" s="130">
        <v>23.633698453561188</v>
      </c>
      <c r="D165" s="130">
        <v>23.494392568285335</v>
      </c>
      <c r="E165" s="130">
        <v>23.320930811310955</v>
      </c>
      <c r="F165" s="130">
        <v>23.113753952229665</v>
      </c>
      <c r="G165" s="130">
        <v>22.873384715532183</v>
      </c>
      <c r="H165" s="130">
        <v>22.600424520913002</v>
      </c>
      <c r="I165" s="130">
        <v>22.295549778792303</v>
      </c>
      <c r="J165" s="130">
        <v>21.959507782878735</v>
      </c>
      <c r="K165" s="130">
        <v>21.593112244852609</v>
      </c>
      <c r="L165" s="130">
        <v>21.197238520351998</v>
      </c>
      <c r="M165" s="130">
        <v>20.772818576209431</v>
      </c>
      <c r="N165" s="130">
        <v>20.320835750822614</v>
      </c>
      <c r="O165" s="130">
        <v>19.842319360149059</v>
      </c>
      <c r="P165" s="130">
        <v>19.338339200580421</v>
      </c>
      <c r="Q165" s="130">
        <v>18.809999999960084</v>
      </c>
      <c r="R165" s="130">
        <v>18.425413567498403</v>
      </c>
      <c r="S165" s="130">
        <v>18.156203064775227</v>
      </c>
      <c r="T165" s="130">
        <v>17.87353203691589</v>
      </c>
      <c r="U165" s="130">
        <v>17.528045225087816</v>
      </c>
      <c r="V165" s="130">
        <v>17.217865917794651</v>
      </c>
      <c r="W165" s="130">
        <v>17.045687258616702</v>
      </c>
      <c r="DA165" s="176" t="s">
        <v>905</v>
      </c>
    </row>
    <row r="166" spans="1:105" ht="11.45" customHeight="1" x14ac:dyDescent="0.25">
      <c r="A166" s="128" t="s">
        <v>27</v>
      </c>
      <c r="B166" s="97">
        <v>23.759779832273317</v>
      </c>
      <c r="C166" s="97">
        <v>23.633698453561188</v>
      </c>
      <c r="D166" s="97">
        <v>23.494392568285335</v>
      </c>
      <c r="E166" s="97">
        <v>23.320930811310955</v>
      </c>
      <c r="F166" s="97">
        <v>23.113753952229665</v>
      </c>
      <c r="G166" s="97">
        <v>22.873384715532183</v>
      </c>
      <c r="H166" s="97">
        <v>22.600424520913002</v>
      </c>
      <c r="I166" s="97">
        <v>22.295549778792303</v>
      </c>
      <c r="J166" s="97">
        <v>21.959507782878735</v>
      </c>
      <c r="K166" s="97">
        <v>21.593112244852609</v>
      </c>
      <c r="L166" s="97">
        <v>21.197238520351998</v>
      </c>
      <c r="M166" s="97">
        <v>20.772818576209431</v>
      </c>
      <c r="N166" s="97">
        <v>20.320835750822614</v>
      </c>
      <c r="O166" s="97">
        <v>19.842319360149059</v>
      </c>
      <c r="P166" s="97">
        <v>19.338339200580421</v>
      </c>
      <c r="Q166" s="97">
        <v>18.809999999960084</v>
      </c>
      <c r="R166" s="97">
        <v>18.425413567498403</v>
      </c>
      <c r="S166" s="97">
        <v>18.156203064775227</v>
      </c>
      <c r="T166" s="97">
        <v>17.87353203691589</v>
      </c>
      <c r="U166" s="97">
        <v>17.528045225087816</v>
      </c>
      <c r="V166" s="97">
        <v>17.217865917794651</v>
      </c>
      <c r="W166" s="97">
        <v>17.045687258616702</v>
      </c>
      <c r="DA166" s="175" t="s">
        <v>906</v>
      </c>
    </row>
    <row r="167" spans="1:105" ht="11.45" customHeight="1" x14ac:dyDescent="0.25">
      <c r="A167" s="138" t="s">
        <v>116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116.49299536160544</v>
      </c>
      <c r="C171" s="152">
        <v>115.52151929990039</v>
      </c>
      <c r="D171" s="152">
        <v>114.68302204797887</v>
      </c>
      <c r="E171" s="152">
        <v>114.09611930519702</v>
      </c>
      <c r="F171" s="152">
        <v>113.26170798333807</v>
      </c>
      <c r="G171" s="152">
        <v>112.2067442961103</v>
      </c>
      <c r="H171" s="152">
        <v>110.99386512211183</v>
      </c>
      <c r="I171" s="152">
        <v>109.55588526545044</v>
      </c>
      <c r="J171" s="152">
        <v>107.86283263513629</v>
      </c>
      <c r="K171" s="152">
        <v>106.09723197544875</v>
      </c>
      <c r="L171" s="152">
        <v>103.76717530980227</v>
      </c>
      <c r="M171" s="152">
        <v>101.76477366174908</v>
      </c>
      <c r="N171" s="152">
        <v>100.99180095468557</v>
      </c>
      <c r="O171" s="152">
        <v>99.198905978646124</v>
      </c>
      <c r="P171" s="152">
        <v>98.171395743968034</v>
      </c>
      <c r="Q171" s="152">
        <v>96.935923078048774</v>
      </c>
      <c r="R171" s="152">
        <v>94.763336006587096</v>
      </c>
      <c r="S171" s="152">
        <v>93.319555724092609</v>
      </c>
      <c r="T171" s="152">
        <v>91.649563515085902</v>
      </c>
      <c r="U171" s="152">
        <v>89.074606243756307</v>
      </c>
      <c r="V171" s="152">
        <v>87.493865107856038</v>
      </c>
      <c r="W171" s="152">
        <v>82.065865803454244</v>
      </c>
      <c r="DA171" s="174" t="s">
        <v>908</v>
      </c>
    </row>
    <row r="172" spans="1:105" ht="11.45" customHeight="1" x14ac:dyDescent="0.25">
      <c r="A172" s="109" t="s">
        <v>20</v>
      </c>
      <c r="B172" s="116">
        <v>222.57252406409879</v>
      </c>
      <c r="C172" s="116">
        <v>218.94312437788025</v>
      </c>
      <c r="D172" s="116">
        <v>215.87290830540115</v>
      </c>
      <c r="E172" s="116">
        <v>213.03722313226979</v>
      </c>
      <c r="F172" s="116">
        <v>209.98474127131558</v>
      </c>
      <c r="G172" s="116">
        <v>207.71246697502642</v>
      </c>
      <c r="H172" s="116">
        <v>205.5639751020926</v>
      </c>
      <c r="I172" s="116">
        <v>204.34129445445308</v>
      </c>
      <c r="J172" s="116">
        <v>202.78542911238827</v>
      </c>
      <c r="K172" s="116">
        <v>199.98333148640293</v>
      </c>
      <c r="L172" s="116">
        <v>198.68895000699902</v>
      </c>
      <c r="M172" s="116">
        <v>196.74157601723326</v>
      </c>
      <c r="N172" s="116">
        <v>195.88299443365048</v>
      </c>
      <c r="O172" s="116">
        <v>194.80163717915764</v>
      </c>
      <c r="P172" s="116">
        <v>195.5982022259173</v>
      </c>
      <c r="Q172" s="116">
        <v>193.9758011936776</v>
      </c>
      <c r="R172" s="116">
        <v>193.23898187327694</v>
      </c>
      <c r="S172" s="116">
        <v>191.88249064290264</v>
      </c>
      <c r="T172" s="116">
        <v>189.12359049556852</v>
      </c>
      <c r="U172" s="116">
        <v>186.69478877749947</v>
      </c>
      <c r="V172" s="116">
        <v>183.51356301866676</v>
      </c>
      <c r="W172" s="116">
        <v>179.39290045774061</v>
      </c>
      <c r="DA172" s="176" t="s">
        <v>909</v>
      </c>
    </row>
    <row r="173" spans="1:105" ht="11.45" customHeight="1" x14ac:dyDescent="0.25">
      <c r="A173" s="111" t="s">
        <v>110</v>
      </c>
      <c r="B173" s="87">
        <v>217.94157834395804</v>
      </c>
      <c r="C173" s="87">
        <v>213.30115047186322</v>
      </c>
      <c r="D173" s="87">
        <v>210.5036503617057</v>
      </c>
      <c r="E173" s="87">
        <v>207.86539136880145</v>
      </c>
      <c r="F173" s="87">
        <v>204.97077632342862</v>
      </c>
      <c r="G173" s="87">
        <v>202.65805287046405</v>
      </c>
      <c r="H173" s="87">
        <v>200.64622617968249</v>
      </c>
      <c r="I173" s="87">
        <v>198.73944218907533</v>
      </c>
      <c r="J173" s="87">
        <v>196.57269117054926</v>
      </c>
      <c r="K173" s="87">
        <v>193.94884141094545</v>
      </c>
      <c r="L173" s="87">
        <v>192.10949500470593</v>
      </c>
      <c r="M173" s="87">
        <v>190.47974021892949</v>
      </c>
      <c r="N173" s="87">
        <v>189.59423013543815</v>
      </c>
      <c r="O173" s="87">
        <v>188.38287940169801</v>
      </c>
      <c r="P173" s="87">
        <v>187.42218791716573</v>
      </c>
      <c r="Q173" s="87">
        <v>185.85987264749915</v>
      </c>
      <c r="R173" s="87">
        <v>184.17841188295941</v>
      </c>
      <c r="S173" s="87">
        <v>181.92239808000795</v>
      </c>
      <c r="T173" s="87">
        <v>179.40330310721629</v>
      </c>
      <c r="U173" s="87">
        <v>177.04582837494357</v>
      </c>
      <c r="V173" s="87">
        <v>174.37135565459516</v>
      </c>
      <c r="W173" s="87">
        <v>171.83229329593843</v>
      </c>
      <c r="DA173" s="171" t="s">
        <v>910</v>
      </c>
    </row>
    <row r="174" spans="1:105" ht="11.45" customHeight="1" x14ac:dyDescent="0.25">
      <c r="A174" s="111" t="s">
        <v>111</v>
      </c>
      <c r="B174" s="87">
        <v>257.36098993023279</v>
      </c>
      <c r="C174" s="87">
        <v>250.84783551884311</v>
      </c>
      <c r="D174" s="87">
        <v>248.55865260002261</v>
      </c>
      <c r="E174" s="87">
        <v>247.30465184461045</v>
      </c>
      <c r="F174" s="87">
        <v>246.28758420268488</v>
      </c>
      <c r="G174" s="87">
        <v>244.82818065748012</v>
      </c>
      <c r="H174" s="87">
        <v>243.27842806577317</v>
      </c>
      <c r="I174" s="87">
        <v>240.73757283041536</v>
      </c>
      <c r="J174" s="87">
        <v>237.16336254242472</v>
      </c>
      <c r="K174" s="87">
        <v>233.86721914412493</v>
      </c>
      <c r="L174" s="87">
        <v>230.93487913924102</v>
      </c>
      <c r="M174" s="87">
        <v>228.30802207470202</v>
      </c>
      <c r="N174" s="87">
        <v>226.0417212836382</v>
      </c>
      <c r="O174" s="87">
        <v>224.0612902874737</v>
      </c>
      <c r="P174" s="87">
        <v>219.94318410191204</v>
      </c>
      <c r="Q174" s="87">
        <v>215.56775542680549</v>
      </c>
      <c r="R174" s="87">
        <v>209.90277319186595</v>
      </c>
      <c r="S174" s="87">
        <v>203.91929828374063</v>
      </c>
      <c r="T174" s="87">
        <v>198.0820152909275</v>
      </c>
      <c r="U174" s="87">
        <v>192.77246088984492</v>
      </c>
      <c r="V174" s="87">
        <v>189.02326086595238</v>
      </c>
      <c r="W174" s="87">
        <v>187.52386995680826</v>
      </c>
      <c r="DA174" s="171" t="s">
        <v>911</v>
      </c>
    </row>
    <row r="175" spans="1:105" ht="11.45" customHeight="1" x14ac:dyDescent="0.25">
      <c r="A175" s="111" t="s">
        <v>112</v>
      </c>
      <c r="B175" s="87">
        <v>0</v>
      </c>
      <c r="C175" s="87">
        <v>0</v>
      </c>
      <c r="D175" s="87">
        <v>0</v>
      </c>
      <c r="E175" s="87">
        <v>0</v>
      </c>
      <c r="F175" s="87">
        <v>0</v>
      </c>
      <c r="G175" s="87">
        <v>0</v>
      </c>
      <c r="H175" s="87">
        <v>0</v>
      </c>
      <c r="I175" s="87">
        <v>0</v>
      </c>
      <c r="J175" s="87">
        <v>0</v>
      </c>
      <c r="K175" s="87">
        <v>0</v>
      </c>
      <c r="L175" s="87">
        <v>0</v>
      </c>
      <c r="M175" s="87">
        <v>0</v>
      </c>
      <c r="N175" s="87">
        <v>0</v>
      </c>
      <c r="O175" s="87">
        <v>0</v>
      </c>
      <c r="P175" s="87">
        <v>0</v>
      </c>
      <c r="Q175" s="87">
        <v>0</v>
      </c>
      <c r="R175" s="87">
        <v>0</v>
      </c>
      <c r="S175" s="87">
        <v>0</v>
      </c>
      <c r="T175" s="87">
        <v>135.6237072556263</v>
      </c>
      <c r="U175" s="87">
        <v>135.6237072556263</v>
      </c>
      <c r="V175" s="87">
        <v>135.6237072556263</v>
      </c>
      <c r="W175" s="87">
        <v>135.62370725562627</v>
      </c>
      <c r="DA175" s="171" t="s">
        <v>912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0</v>
      </c>
      <c r="I176" s="87">
        <v>0</v>
      </c>
      <c r="J176" s="87">
        <v>0</v>
      </c>
      <c r="K176" s="87">
        <v>0</v>
      </c>
      <c r="L176" s="87">
        <v>0</v>
      </c>
      <c r="M176" s="87">
        <v>0</v>
      </c>
      <c r="N176" s="87">
        <v>0</v>
      </c>
      <c r="O176" s="87">
        <v>0</v>
      </c>
      <c r="P176" s="87">
        <v>0</v>
      </c>
      <c r="Q176" s="87">
        <v>0</v>
      </c>
      <c r="R176" s="87">
        <v>0</v>
      </c>
      <c r="S176" s="87">
        <v>0</v>
      </c>
      <c r="T176" s="87">
        <v>0</v>
      </c>
      <c r="U176" s="87">
        <v>0</v>
      </c>
      <c r="V176" s="87">
        <v>0</v>
      </c>
      <c r="W176" s="87">
        <v>0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0</v>
      </c>
      <c r="O177" s="87">
        <v>0</v>
      </c>
      <c r="P177" s="87">
        <v>50.393326592517703</v>
      </c>
      <c r="Q177" s="87">
        <v>50.217990228038495</v>
      </c>
      <c r="R177" s="87">
        <v>68.931467194116365</v>
      </c>
      <c r="S177" s="87">
        <v>65.230548642090682</v>
      </c>
      <c r="T177" s="87">
        <v>63.086076087705663</v>
      </c>
      <c r="U177" s="87">
        <v>61.380790101687978</v>
      </c>
      <c r="V177" s="87">
        <v>68.293518142589249</v>
      </c>
      <c r="W177" s="87">
        <v>56.163436617333261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1545.952816557294</v>
      </c>
      <c r="C179" s="116">
        <v>1526.6463320264052</v>
      </c>
      <c r="D179" s="116">
        <v>1517.568528886577</v>
      </c>
      <c r="E179" s="116">
        <v>1509.4663372896639</v>
      </c>
      <c r="F179" s="116">
        <v>1502.2447113017963</v>
      </c>
      <c r="G179" s="116">
        <v>1497.1322004686128</v>
      </c>
      <c r="H179" s="116">
        <v>1488.4500644040338</v>
      </c>
      <c r="I179" s="116">
        <v>1481.617139072978</v>
      </c>
      <c r="J179" s="116">
        <v>1469.2579531144133</v>
      </c>
      <c r="K179" s="116">
        <v>1466.6835543954417</v>
      </c>
      <c r="L179" s="116">
        <v>1442.8362089833204</v>
      </c>
      <c r="M179" s="116">
        <v>1432.9893945666788</v>
      </c>
      <c r="N179" s="116">
        <v>1429.748408475572</v>
      </c>
      <c r="O179" s="116">
        <v>1426.6401798556867</v>
      </c>
      <c r="P179" s="116">
        <v>1449.2949754851468</v>
      </c>
      <c r="Q179" s="116">
        <v>1444.183981859434</v>
      </c>
      <c r="R179" s="116">
        <v>1438.6336977917408</v>
      </c>
      <c r="S179" s="116">
        <v>1432.0696497915251</v>
      </c>
      <c r="T179" s="116">
        <v>1424.361656811109</v>
      </c>
      <c r="U179" s="116">
        <v>1419.1266530559606</v>
      </c>
      <c r="V179" s="116">
        <v>1367.3605572108509</v>
      </c>
      <c r="W179" s="116">
        <v>1365.2534433500182</v>
      </c>
      <c r="DA179" s="176" t="s">
        <v>916</v>
      </c>
    </row>
    <row r="180" spans="1:105" ht="11.45" customHeight="1" x14ac:dyDescent="0.25">
      <c r="A180" s="111" t="s">
        <v>110</v>
      </c>
      <c r="B180" s="101">
        <v>474.7034290230323</v>
      </c>
      <c r="C180" s="101">
        <v>474.29992524905441</v>
      </c>
      <c r="D180" s="101">
        <v>474.28875972650422</v>
      </c>
      <c r="E180" s="101">
        <v>473.77998314659118</v>
      </c>
      <c r="F180" s="101">
        <v>473.76509891081685</v>
      </c>
      <c r="G180" s="101">
        <v>473.75984903200231</v>
      </c>
      <c r="H180" s="101">
        <v>471.83508329181836</v>
      </c>
      <c r="I180" s="101">
        <v>471.81951380210899</v>
      </c>
      <c r="J180" s="101">
        <v>470.99024373176599</v>
      </c>
      <c r="K180" s="101">
        <v>470.92251017399377</v>
      </c>
      <c r="L180" s="101">
        <v>467.56097287221161</v>
      </c>
      <c r="M180" s="101">
        <v>465.08046968963941</v>
      </c>
      <c r="N180" s="101">
        <v>463.65265104729093</v>
      </c>
      <c r="O180" s="101">
        <v>463.53968338802161</v>
      </c>
      <c r="P180" s="101">
        <v>449.49797381165354</v>
      </c>
      <c r="Q180" s="101">
        <v>446.76440186492073</v>
      </c>
      <c r="R180" s="101">
        <v>446.27635996166674</v>
      </c>
      <c r="S180" s="101">
        <v>446.27635996166663</v>
      </c>
      <c r="T180" s="101">
        <v>446.2763599616668</v>
      </c>
      <c r="U180" s="101">
        <v>438.67864284050364</v>
      </c>
      <c r="V180" s="101">
        <v>438.67864284050381</v>
      </c>
      <c r="W180" s="101">
        <v>437.95522190058597</v>
      </c>
      <c r="DA180" s="175" t="s">
        <v>917</v>
      </c>
    </row>
    <row r="181" spans="1:105" ht="11.45" customHeight="1" x14ac:dyDescent="0.25">
      <c r="A181" s="111" t="s">
        <v>111</v>
      </c>
      <c r="B181" s="101">
        <v>1602.9081705410272</v>
      </c>
      <c r="C181" s="101">
        <v>1572.3861750356152</v>
      </c>
      <c r="D181" s="101">
        <v>1558.2324096790824</v>
      </c>
      <c r="E181" s="101">
        <v>1542.5418815484279</v>
      </c>
      <c r="F181" s="101">
        <v>1534.8002106434242</v>
      </c>
      <c r="G181" s="101">
        <v>1527.8061678264673</v>
      </c>
      <c r="H181" s="101">
        <v>1519.5890415514484</v>
      </c>
      <c r="I181" s="101">
        <v>1509.8356563597486</v>
      </c>
      <c r="J181" s="101">
        <v>1499.0510474778462</v>
      </c>
      <c r="K181" s="101">
        <v>1491.0663462965572</v>
      </c>
      <c r="L181" s="101">
        <v>1470.9741283762</v>
      </c>
      <c r="M181" s="101">
        <v>1462.2457328327832</v>
      </c>
      <c r="N181" s="101">
        <v>1457.2629998202158</v>
      </c>
      <c r="O181" s="101">
        <v>1453.8629021105644</v>
      </c>
      <c r="P181" s="101">
        <v>1449.9079207875</v>
      </c>
      <c r="Q181" s="101">
        <v>1441.0936204884347</v>
      </c>
      <c r="R181" s="101">
        <v>1434.5712622715482</v>
      </c>
      <c r="S181" s="101">
        <v>1427.3163965332435</v>
      </c>
      <c r="T181" s="101">
        <v>1419.1205793882216</v>
      </c>
      <c r="U181" s="101">
        <v>1413.5056525181699</v>
      </c>
      <c r="V181" s="101">
        <v>1374.0580791397224</v>
      </c>
      <c r="W181" s="101">
        <v>1366.0706769693286</v>
      </c>
      <c r="DA181" s="175" t="s">
        <v>918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01">
        <v>0</v>
      </c>
      <c r="P182" s="101">
        <v>0</v>
      </c>
      <c r="Q182" s="101">
        <v>0</v>
      </c>
      <c r="R182" s="101">
        <v>0</v>
      </c>
      <c r="S182" s="101">
        <v>0</v>
      </c>
      <c r="T182" s="101">
        <v>0</v>
      </c>
      <c r="U182" s="101">
        <v>0</v>
      </c>
      <c r="V182" s="101">
        <v>0</v>
      </c>
      <c r="W182" s="101">
        <v>0</v>
      </c>
      <c r="DA182" s="175" t="s">
        <v>919</v>
      </c>
    </row>
    <row r="183" spans="1:105" ht="11.45" customHeight="1" x14ac:dyDescent="0.25">
      <c r="A183" s="111" t="s">
        <v>113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291.6939651314816</v>
      </c>
      <c r="C186" s="152">
        <v>278.73013613613733</v>
      </c>
      <c r="D186" s="152">
        <v>274.96888800385477</v>
      </c>
      <c r="E186" s="152">
        <v>269.84943697273292</v>
      </c>
      <c r="F186" s="152">
        <v>265.83223540163328</v>
      </c>
      <c r="G186" s="152">
        <v>262.66981043837495</v>
      </c>
      <c r="H186" s="152">
        <v>258.26382175240661</v>
      </c>
      <c r="I186" s="152">
        <v>251.76762220138696</v>
      </c>
      <c r="J186" s="152">
        <v>241.16897193908477</v>
      </c>
      <c r="K186" s="152">
        <v>231.76607884448578</v>
      </c>
      <c r="L186" s="152">
        <v>220.08937614600634</v>
      </c>
      <c r="M186" s="152">
        <v>201.68904749118133</v>
      </c>
      <c r="N186" s="152">
        <v>164.99726050197691</v>
      </c>
      <c r="O186" s="152">
        <v>181.2006072352458</v>
      </c>
      <c r="P186" s="152">
        <v>142.17175039277808</v>
      </c>
      <c r="Q186" s="152">
        <v>165.13636142030174</v>
      </c>
      <c r="R186" s="152">
        <v>174.89995266226927</v>
      </c>
      <c r="S186" s="152">
        <v>191.71749443294436</v>
      </c>
      <c r="T186" s="152">
        <v>173.43998695404738</v>
      </c>
      <c r="U186" s="152">
        <v>209.73512839455341</v>
      </c>
      <c r="V186" s="152">
        <v>223.52582353057713</v>
      </c>
      <c r="W186" s="152">
        <v>217.77276380956124</v>
      </c>
      <c r="DA186" s="174" t="s">
        <v>922</v>
      </c>
    </row>
    <row r="187" spans="1:105" ht="11.45" customHeight="1" x14ac:dyDescent="0.25">
      <c r="A187" s="111" t="s">
        <v>110</v>
      </c>
      <c r="B187" s="87">
        <v>196.0542995163988</v>
      </c>
      <c r="C187" s="87">
        <v>193.7006292026885</v>
      </c>
      <c r="D187" s="87">
        <v>191.53323665398966</v>
      </c>
      <c r="E187" s="87">
        <v>189.5301058452909</v>
      </c>
      <c r="F187" s="87">
        <v>187.68579974536456</v>
      </c>
      <c r="G187" s="87">
        <v>183.42146050229869</v>
      </c>
      <c r="H187" s="87">
        <v>181.14094617604738</v>
      </c>
      <c r="I187" s="87">
        <v>176.93027961381839</v>
      </c>
      <c r="J187" s="87">
        <v>174.17416440139309</v>
      </c>
      <c r="K187" s="87">
        <v>172.60433706862315</v>
      </c>
      <c r="L187" s="87">
        <v>171.11894547034146</v>
      </c>
      <c r="M187" s="87">
        <v>170.94603319410729</v>
      </c>
      <c r="N187" s="87">
        <v>170.31980250029289</v>
      </c>
      <c r="O187" s="87">
        <v>170.06127076681537</v>
      </c>
      <c r="P187" s="87">
        <v>176.21570244579442</v>
      </c>
      <c r="Q187" s="87">
        <v>176.03365818135342</v>
      </c>
      <c r="R187" s="87">
        <v>175.43072829233927</v>
      </c>
      <c r="S187" s="87">
        <v>172.8527367554278</v>
      </c>
      <c r="T187" s="87">
        <v>168.0458670802598</v>
      </c>
      <c r="U187" s="87">
        <v>167.69318626329414</v>
      </c>
      <c r="V187" s="87">
        <v>162.82686154131352</v>
      </c>
      <c r="W187" s="87">
        <v>158.22134003822015</v>
      </c>
      <c r="DA187" s="171" t="s">
        <v>923</v>
      </c>
    </row>
    <row r="188" spans="1:105" ht="11.45" customHeight="1" x14ac:dyDescent="0.25">
      <c r="A188" s="111" t="s">
        <v>111</v>
      </c>
      <c r="B188" s="87">
        <v>292.89759125913679</v>
      </c>
      <c r="C188" s="87">
        <v>286.2167388903764</v>
      </c>
      <c r="D188" s="87">
        <v>280.3721950663961</v>
      </c>
      <c r="E188" s="87">
        <v>273.55388958702554</v>
      </c>
      <c r="F188" s="87">
        <v>267.55747486627763</v>
      </c>
      <c r="G188" s="87">
        <v>261.79343174160516</v>
      </c>
      <c r="H188" s="87">
        <v>256.45200708083695</v>
      </c>
      <c r="I188" s="87">
        <v>250.36460004726467</v>
      </c>
      <c r="J188" s="87">
        <v>244.01792277658328</v>
      </c>
      <c r="K188" s="87">
        <v>237.30484400894676</v>
      </c>
      <c r="L188" s="87">
        <v>231.2037500290846</v>
      </c>
      <c r="M188" s="87">
        <v>225.7947216590394</v>
      </c>
      <c r="N188" s="87">
        <v>219.84885120129744</v>
      </c>
      <c r="O188" s="87">
        <v>214.63308087133279</v>
      </c>
      <c r="P188" s="87">
        <v>209.41958489166998</v>
      </c>
      <c r="Q188" s="87">
        <v>204.81128008385218</v>
      </c>
      <c r="R188" s="87">
        <v>202.20999742652558</v>
      </c>
      <c r="S188" s="87">
        <v>197.7279976986207</v>
      </c>
      <c r="T188" s="87">
        <v>194.26209449294109</v>
      </c>
      <c r="U188" s="87">
        <v>187.89914987864347</v>
      </c>
      <c r="V188" s="87">
        <v>185.6984069685615</v>
      </c>
      <c r="W188" s="87">
        <v>183.93402250168231</v>
      </c>
      <c r="DA188" s="171" t="s">
        <v>924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0</v>
      </c>
      <c r="F189" s="87">
        <v>0</v>
      </c>
      <c r="G189" s="87">
        <v>0</v>
      </c>
      <c r="H189" s="87">
        <v>0</v>
      </c>
      <c r="I189" s="87">
        <v>0</v>
      </c>
      <c r="J189" s="87">
        <v>0</v>
      </c>
      <c r="K189" s="87">
        <v>0</v>
      </c>
      <c r="L189" s="87">
        <v>0</v>
      </c>
      <c r="M189" s="87">
        <v>0</v>
      </c>
      <c r="N189" s="87">
        <v>0</v>
      </c>
      <c r="O189" s="87">
        <v>0</v>
      </c>
      <c r="P189" s="87">
        <v>0</v>
      </c>
      <c r="Q189" s="87">
        <v>0</v>
      </c>
      <c r="R189" s="87">
        <v>0</v>
      </c>
      <c r="S189" s="87">
        <v>0</v>
      </c>
      <c r="T189" s="87">
        <v>0</v>
      </c>
      <c r="U189" s="87">
        <v>0</v>
      </c>
      <c r="V189" s="87">
        <v>0</v>
      </c>
      <c r="W189" s="87">
        <v>0</v>
      </c>
      <c r="DA189" s="171" t="s">
        <v>925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0</v>
      </c>
      <c r="O190" s="87">
        <v>0</v>
      </c>
      <c r="P190" s="87">
        <v>0</v>
      </c>
      <c r="Q190" s="87">
        <v>0</v>
      </c>
      <c r="R190" s="87">
        <v>0</v>
      </c>
      <c r="S190" s="87">
        <v>0</v>
      </c>
      <c r="T190" s="87">
        <v>0</v>
      </c>
      <c r="U190" s="87">
        <v>0</v>
      </c>
      <c r="V190" s="87">
        <v>0</v>
      </c>
      <c r="W190" s="87">
        <v>0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771.06754856925102</v>
      </c>
      <c r="C192" s="116">
        <v>766.16454761201805</v>
      </c>
      <c r="D192" s="116">
        <v>757.00541232727653</v>
      </c>
      <c r="E192" s="116">
        <v>751.78095972405868</v>
      </c>
      <c r="F192" s="116">
        <v>745.98414610902273</v>
      </c>
      <c r="G192" s="116">
        <v>738.1087965118794</v>
      </c>
      <c r="H192" s="116">
        <v>731.60151608044771</v>
      </c>
      <c r="I192" s="116">
        <v>720.5409599286977</v>
      </c>
      <c r="J192" s="116">
        <v>715.63412293769818</v>
      </c>
      <c r="K192" s="116">
        <v>711.81210009419874</v>
      </c>
      <c r="L192" s="116">
        <v>706.66910246554596</v>
      </c>
      <c r="M192" s="116">
        <v>701.26063139649716</v>
      </c>
      <c r="N192" s="116">
        <v>696.74793574672799</v>
      </c>
      <c r="O192" s="116">
        <v>683.37107611524334</v>
      </c>
      <c r="P192" s="116">
        <v>680.61719044772508</v>
      </c>
      <c r="Q192" s="116">
        <v>679.42100867631518</v>
      </c>
      <c r="R192" s="116">
        <v>674.62803705308158</v>
      </c>
      <c r="S192" s="116">
        <v>670.80904003251351</v>
      </c>
      <c r="T192" s="116">
        <v>666.43363571921202</v>
      </c>
      <c r="U192" s="116">
        <v>659.9094905033661</v>
      </c>
      <c r="V192" s="116">
        <v>655.36299210010952</v>
      </c>
      <c r="W192" s="116">
        <v>651.92535989111855</v>
      </c>
      <c r="DA192" s="176" t="s">
        <v>928</v>
      </c>
    </row>
    <row r="193" spans="1:105" ht="11.45" customHeight="1" x14ac:dyDescent="0.25">
      <c r="A193" s="128" t="s">
        <v>27</v>
      </c>
      <c r="B193" s="101">
        <v>721.11985311537251</v>
      </c>
      <c r="C193" s="101">
        <v>716.53445545901263</v>
      </c>
      <c r="D193" s="101">
        <v>707.96862448421416</v>
      </c>
      <c r="E193" s="101">
        <v>703.08259796055688</v>
      </c>
      <c r="F193" s="101">
        <v>697.66128644204139</v>
      </c>
      <c r="G193" s="101">
        <v>690.29608094835703</v>
      </c>
      <c r="H193" s="101">
        <v>684.21032475539835</v>
      </c>
      <c r="I193" s="101">
        <v>673.86624187663631</v>
      </c>
      <c r="J193" s="101">
        <v>669.27725667452739</v>
      </c>
      <c r="K193" s="101">
        <v>665.70281425813732</v>
      </c>
      <c r="L193" s="101">
        <v>660.89296627344584</v>
      </c>
      <c r="M193" s="101">
        <v>655.83484150846516</v>
      </c>
      <c r="N193" s="101">
        <v>651.6144662246727</v>
      </c>
      <c r="O193" s="101">
        <v>639.10412381628021</v>
      </c>
      <c r="P193" s="101">
        <v>636.528627503743</v>
      </c>
      <c r="Q193" s="101">
        <v>635.40993119120969</v>
      </c>
      <c r="R193" s="101">
        <v>630.92743546259862</v>
      </c>
      <c r="S193" s="101">
        <v>627.35582286441547</v>
      </c>
      <c r="T193" s="101">
        <v>623.26384555116567</v>
      </c>
      <c r="U193" s="101">
        <v>617.16231702946391</v>
      </c>
      <c r="V193" s="101">
        <v>612.91032864423175</v>
      </c>
      <c r="W193" s="101">
        <v>609.69537706416349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0</v>
      </c>
      <c r="D194" s="88">
        <v>0</v>
      </c>
      <c r="E194" s="88">
        <v>0</v>
      </c>
      <c r="F194" s="88">
        <v>0</v>
      </c>
      <c r="G194" s="88">
        <v>0</v>
      </c>
      <c r="H194" s="88">
        <v>0</v>
      </c>
      <c r="I194" s="88">
        <v>0</v>
      </c>
      <c r="J194" s="88">
        <v>0</v>
      </c>
      <c r="K194" s="88">
        <v>0</v>
      </c>
      <c r="L194" s="88">
        <v>0</v>
      </c>
      <c r="M194" s="88">
        <v>0</v>
      </c>
      <c r="N194" s="88">
        <v>0</v>
      </c>
      <c r="O194" s="88">
        <v>0</v>
      </c>
      <c r="P194" s="88">
        <v>0</v>
      </c>
      <c r="Q194" s="88">
        <v>0</v>
      </c>
      <c r="R194" s="88">
        <v>0</v>
      </c>
      <c r="S194" s="88">
        <v>0</v>
      </c>
      <c r="T194" s="88">
        <v>0</v>
      </c>
      <c r="U194" s="88">
        <v>0</v>
      </c>
      <c r="V194" s="88">
        <v>0</v>
      </c>
      <c r="W194" s="88">
        <v>0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1.1275000000068984</v>
      </c>
      <c r="C198" s="150">
        <f>IF(TrRoad_act!C59=0,0,TrRoad_emi!C56/TrRoad_tech!C171)</f>
        <v>1.1277474459752157</v>
      </c>
      <c r="D198" s="150">
        <f>IF(TrRoad_act!D59=0,0,TrRoad_emi!D56/TrRoad_tech!D171)</f>
        <v>1.1282173168623686</v>
      </c>
      <c r="E198" s="150">
        <f>IF(TrRoad_act!E59=0,0,TrRoad_emi!E56/TrRoad_tech!E171)</f>
        <v>1.1288527665618791</v>
      </c>
      <c r="F198" s="150">
        <f>IF(TrRoad_act!F59=0,0,TrRoad_emi!F56/TrRoad_tech!F171)</f>
        <v>1.1300860956625207</v>
      </c>
      <c r="G198" s="150">
        <f>IF(TrRoad_act!G59=0,0,TrRoad_emi!G56/TrRoad_tech!G171)</f>
        <v>1.1320556777889914</v>
      </c>
      <c r="H198" s="150">
        <f>IF(TrRoad_act!H59=0,0,TrRoad_emi!H56/TrRoad_tech!H171)</f>
        <v>1.1350670886942624</v>
      </c>
      <c r="I198" s="150">
        <f>IF(TrRoad_act!I59=0,0,TrRoad_emi!I56/TrRoad_tech!I171)</f>
        <v>1.1397121508362797</v>
      </c>
      <c r="J198" s="150">
        <f>IF(TrRoad_act!J59=0,0,TrRoad_emi!J56/TrRoad_tech!J171)</f>
        <v>1.1459385957466441</v>
      </c>
      <c r="K198" s="150">
        <f>IF(TrRoad_act!K59=0,0,TrRoad_emi!K56/TrRoad_tech!K171)</f>
        <v>1.1521099509779917</v>
      </c>
      <c r="L198" s="150">
        <f>IF(TrRoad_act!L59=0,0,TrRoad_emi!L56/TrRoad_tech!L171)</f>
        <v>1.1607344047481238</v>
      </c>
      <c r="M198" s="150">
        <f>IF(TrRoad_act!M59=0,0,TrRoad_emi!M56/TrRoad_tech!M171)</f>
        <v>1.1688869465525638</v>
      </c>
      <c r="N198" s="150">
        <f>IF(TrRoad_act!N59=0,0,TrRoad_emi!N56/TrRoad_tech!N171)</f>
        <v>1.1735084085094791</v>
      </c>
      <c r="O198" s="150">
        <f>IF(TrRoad_act!O59=0,0,TrRoad_emi!O56/TrRoad_tech!O171)</f>
        <v>1.1812391024928734</v>
      </c>
      <c r="P198" s="150">
        <f>IF(TrRoad_act!P59=0,0,TrRoad_emi!P56/TrRoad_tech!P171)</f>
        <v>1.1865312504781589</v>
      </c>
      <c r="Q198" s="150">
        <f>IF(TrRoad_act!Q59=0,0,TrRoad_emi!Q56/TrRoad_tech!Q171)</f>
        <v>1.1937139198510913</v>
      </c>
      <c r="R198" s="150">
        <f>IF(TrRoad_act!R59=0,0,TrRoad_emi!R56/TrRoad_tech!R171)</f>
        <v>1.20350581638369</v>
      </c>
      <c r="S198" s="150">
        <f>IF(TrRoad_act!S59=0,0,TrRoad_emi!S56/TrRoad_tech!S171)</f>
        <v>1.2111326293993818</v>
      </c>
      <c r="T198" s="150">
        <f>IF(TrRoad_act!T59=0,0,TrRoad_emi!T56/TrRoad_tech!T171)</f>
        <v>1.2206106055942423</v>
      </c>
      <c r="U198" s="150">
        <f>IF(TrRoad_act!U59=0,0,TrRoad_emi!U56/TrRoad_tech!U171)</f>
        <v>1.2353713026386166</v>
      </c>
      <c r="V198" s="150">
        <f>IF(TrRoad_act!V59=0,0,TrRoad_emi!V56/TrRoad_tech!V171)</f>
        <v>1.2437136734789787</v>
      </c>
      <c r="W198" s="150">
        <f>IF(TrRoad_act!W59=0,0,TrRoad_emi!W56/TrRoad_tech!W171)</f>
        <v>1.2487952908971225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1.1144314072212527</v>
      </c>
      <c r="C199" s="151">
        <f>IF(TrRoad_act!C60=0,0,TrRoad_emi!C57/TrRoad_tech!C172)</f>
        <v>1.1491635358223629</v>
      </c>
      <c r="D199" s="151">
        <f>IF(TrRoad_act!D60=0,0,TrRoad_emi!D57/TrRoad_tech!D172)</f>
        <v>1.1651168025079242</v>
      </c>
      <c r="E199" s="151">
        <f>IF(TrRoad_act!E60=0,0,TrRoad_emi!E57/TrRoad_tech!E172)</f>
        <v>1.2276775694488216</v>
      </c>
      <c r="F199" s="151">
        <f>IF(TrRoad_act!F60=0,0,TrRoad_emi!F57/TrRoad_tech!F172)</f>
        <v>1.2668423541555831</v>
      </c>
      <c r="G199" s="151">
        <f>IF(TrRoad_act!G60=0,0,TrRoad_emi!G57/TrRoad_tech!G172)</f>
        <v>1.281771178912765</v>
      </c>
      <c r="H199" s="151">
        <f>IF(TrRoad_act!H60=0,0,TrRoad_emi!H57/TrRoad_tech!H172)</f>
        <v>1.307059563238379</v>
      </c>
      <c r="I199" s="151">
        <f>IF(TrRoad_act!I60=0,0,TrRoad_emi!I57/TrRoad_tech!I172)</f>
        <v>1.3131914994935658</v>
      </c>
      <c r="J199" s="151">
        <f>IF(TrRoad_act!J60=0,0,TrRoad_emi!J57/TrRoad_tech!J172)</f>
        <v>1.2945346048643467</v>
      </c>
      <c r="K199" s="151">
        <f>IF(TrRoad_act!K60=0,0,TrRoad_emi!K57/TrRoad_tech!K172)</f>
        <v>1.3142709004875173</v>
      </c>
      <c r="L199" s="151">
        <f>IF(TrRoad_act!L60=0,0,TrRoad_emi!L57/TrRoad_tech!L172)</f>
        <v>1.3215679985568489</v>
      </c>
      <c r="M199" s="151">
        <f>IF(TrRoad_act!M60=0,0,TrRoad_emi!M57/TrRoad_tech!M172)</f>
        <v>1.2993388914015256</v>
      </c>
      <c r="N199" s="151">
        <f>IF(TrRoad_act!N60=0,0,TrRoad_emi!N57/TrRoad_tech!N172)</f>
        <v>1.2589701852509343</v>
      </c>
      <c r="O199" s="151">
        <f>IF(TrRoad_act!O60=0,0,TrRoad_emi!O57/TrRoad_tech!O172)</f>
        <v>1.1892546704396618</v>
      </c>
      <c r="P199" s="151">
        <f>IF(TrRoad_act!P60=0,0,TrRoad_emi!P57/TrRoad_tech!P172)</f>
        <v>1.1600447791073236</v>
      </c>
      <c r="Q199" s="151">
        <f>IF(TrRoad_act!Q60=0,0,TrRoad_emi!Q57/TrRoad_tech!Q172)</f>
        <v>1.1778365447251653</v>
      </c>
      <c r="R199" s="151">
        <f>IF(TrRoad_act!R60=0,0,TrRoad_emi!R57/TrRoad_tech!R172)</f>
        <v>1.0874672509287306</v>
      </c>
      <c r="S199" s="151">
        <f>IF(TrRoad_act!S60=0,0,TrRoad_emi!S57/TrRoad_tech!S172)</f>
        <v>1.0986100692540983</v>
      </c>
      <c r="T199" s="151">
        <f>IF(TrRoad_act!T60=0,0,TrRoad_emi!T57/TrRoad_tech!T172)</f>
        <v>1.0749586857695073</v>
      </c>
      <c r="U199" s="151">
        <f>IF(TrRoad_act!U60=0,0,TrRoad_emi!U57/TrRoad_tech!U172)</f>
        <v>1.0651730802002433</v>
      </c>
      <c r="V199" s="151">
        <f>IF(TrRoad_act!V60=0,0,TrRoad_emi!V57/TrRoad_tech!V172)</f>
        <v>1.0241656739546465</v>
      </c>
      <c r="W199" s="151">
        <f>IF(TrRoad_act!W60=0,0,TrRoad_emi!W57/TrRoad_tech!W172)</f>
        <v>1.1005255784165138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1.079850207981097</v>
      </c>
      <c r="C200" s="91">
        <f>IF(TrRoad_act!C61=0,0,TrRoad_emi!C58/TrRoad_tech!C173)</f>
        <v>1.1284344987268191</v>
      </c>
      <c r="D200" s="91">
        <f>IF(TrRoad_act!D61=0,0,TrRoad_emi!D58/TrRoad_tech!D173)</f>
        <v>1.1609121475540733</v>
      </c>
      <c r="E200" s="91">
        <f>IF(TrRoad_act!E61=0,0,TrRoad_emi!E58/TrRoad_tech!E173)</f>
        <v>1.2331559874002929</v>
      </c>
      <c r="F200" s="91">
        <f>IF(TrRoad_act!F61=0,0,TrRoad_emi!F58/TrRoad_tech!F173)</f>
        <v>1.2610228713766165</v>
      </c>
      <c r="G200" s="91">
        <f>IF(TrRoad_act!G61=0,0,TrRoad_emi!G58/TrRoad_tech!G173)</f>
        <v>1.2963699461496812</v>
      </c>
      <c r="H200" s="91">
        <f>IF(TrRoad_act!H61=0,0,TrRoad_emi!H58/TrRoad_tech!H173)</f>
        <v>1.3250293744841728</v>
      </c>
      <c r="I200" s="91">
        <f>IF(TrRoad_act!I61=0,0,TrRoad_emi!I58/TrRoad_tech!I173)</f>
        <v>1.3306582554906392</v>
      </c>
      <c r="J200" s="91">
        <f>IF(TrRoad_act!J61=0,0,TrRoad_emi!J58/TrRoad_tech!J173)</f>
        <v>1.3260812092084522</v>
      </c>
      <c r="K200" s="91">
        <f>IF(TrRoad_act!K61=0,0,TrRoad_emi!K58/TrRoad_tech!K173)</f>
        <v>1.3374306338013617</v>
      </c>
      <c r="L200" s="91">
        <f>IF(TrRoad_act!L61=0,0,TrRoad_emi!L58/TrRoad_tech!L173)</f>
        <v>1.3465123305853495</v>
      </c>
      <c r="M200" s="91">
        <f>IF(TrRoad_act!M61=0,0,TrRoad_emi!M58/TrRoad_tech!M173)</f>
        <v>1.3253167771705194</v>
      </c>
      <c r="N200" s="91">
        <f>IF(TrRoad_act!N61=0,0,TrRoad_emi!N58/TrRoad_tech!N173)</f>
        <v>1.2998148728439727</v>
      </c>
      <c r="O200" s="91">
        <f>IF(TrRoad_act!O61=0,0,TrRoad_emi!O58/TrRoad_tech!O173)</f>
        <v>1.2332107409394295</v>
      </c>
      <c r="P200" s="91">
        <f>IF(TrRoad_act!P61=0,0,TrRoad_emi!P58/TrRoad_tech!P173)</f>
        <v>1.21271791059211</v>
      </c>
      <c r="Q200" s="91">
        <f>IF(TrRoad_act!Q61=0,0,TrRoad_emi!Q58/TrRoad_tech!Q173)</f>
        <v>1.2278082480938901</v>
      </c>
      <c r="R200" s="91">
        <f>IF(TrRoad_act!R61=0,0,TrRoad_emi!R58/TrRoad_tech!R173)</f>
        <v>1.1257597742701955</v>
      </c>
      <c r="S200" s="91">
        <f>IF(TrRoad_act!S61=0,0,TrRoad_emi!S58/TrRoad_tech!S173)</f>
        <v>1.1439182843414739</v>
      </c>
      <c r="T200" s="91">
        <f>IF(TrRoad_act!T61=0,0,TrRoad_emi!T58/TrRoad_tech!T173)</f>
        <v>1.1205120368631589</v>
      </c>
      <c r="U200" s="91">
        <f>IF(TrRoad_act!U61=0,0,TrRoad_emi!U58/TrRoad_tech!U173)</f>
        <v>1.1067111938322229</v>
      </c>
      <c r="V200" s="91">
        <f>IF(TrRoad_act!V61=0,0,TrRoad_emi!V58/TrRoad_tech!V173)</f>
        <v>1.0478137497400821</v>
      </c>
      <c r="W200" s="91">
        <f>IF(TrRoad_act!W61=0,0,TrRoad_emi!W58/TrRoad_tech!W173)</f>
        <v>1.119641308553696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1.2033115067970486</v>
      </c>
      <c r="C201" s="91">
        <f>IF(TrRoad_act!C62=0,0,TrRoad_emi!C59/TrRoad_tech!C174)</f>
        <v>1.2069564550803273</v>
      </c>
      <c r="D201" s="91">
        <f>IF(TrRoad_act!D62=0,0,TrRoad_emi!D59/TrRoad_tech!D174)</f>
        <v>1.1524016334845646</v>
      </c>
      <c r="E201" s="91">
        <f>IF(TrRoad_act!E62=0,0,TrRoad_emi!E59/TrRoad_tech!E174)</f>
        <v>1.1674612466319387</v>
      </c>
      <c r="F201" s="91">
        <f>IF(TrRoad_act!F62=0,0,TrRoad_emi!F59/TrRoad_tech!F174)</f>
        <v>1.262208345449858</v>
      </c>
      <c r="G201" s="91">
        <f>IF(TrRoad_act!G62=0,0,TrRoad_emi!G59/TrRoad_tech!G174)</f>
        <v>1.1817423260414495</v>
      </c>
      <c r="H201" s="91">
        <f>IF(TrRoad_act!H62=0,0,TrRoad_emi!H59/TrRoad_tech!H174)</f>
        <v>1.1875952106973702</v>
      </c>
      <c r="I201" s="91">
        <f>IF(TrRoad_act!I62=0,0,TrRoad_emi!I59/TrRoad_tech!I174)</f>
        <v>1.2363615800658274</v>
      </c>
      <c r="J201" s="91">
        <f>IF(TrRoad_act!J62=0,0,TrRoad_emi!J59/TrRoad_tech!J174)</f>
        <v>1.1654622812381099</v>
      </c>
      <c r="K201" s="91">
        <f>IF(TrRoad_act!K62=0,0,TrRoad_emi!K59/TrRoad_tech!K174)</f>
        <v>1.2329798211478118</v>
      </c>
      <c r="L201" s="91">
        <f>IF(TrRoad_act!L62=0,0,TrRoad_emi!L59/TrRoad_tech!L174)</f>
        <v>1.2622387367375634</v>
      </c>
      <c r="M201" s="91">
        <f>IF(TrRoad_act!M62=0,0,TrRoad_emi!M59/TrRoad_tech!M174)</f>
        <v>1.2244686727313669</v>
      </c>
      <c r="N201" s="91">
        <f>IF(TrRoad_act!N62=0,0,TrRoad_emi!N59/TrRoad_tech!N174)</f>
        <v>1.097062731817632</v>
      </c>
      <c r="O201" s="91">
        <f>IF(TrRoad_act!O62=0,0,TrRoad_emi!O59/TrRoad_tech!O174)</f>
        <v>1.0106631015060685</v>
      </c>
      <c r="P201" s="91">
        <f>IF(TrRoad_act!P62=0,0,TrRoad_emi!P59/TrRoad_tech!P174)</f>
        <v>1.018348948934672</v>
      </c>
      <c r="Q201" s="91">
        <f>IF(TrRoad_act!Q62=0,0,TrRoad_emi!Q59/TrRoad_tech!Q174)</f>
        <v>1.0695032747284439</v>
      </c>
      <c r="R201" s="91">
        <f>IF(TrRoad_act!R62=0,0,TrRoad_emi!R59/TrRoad_tech!R174)</f>
        <v>1.0918027397068533</v>
      </c>
      <c r="S201" s="91">
        <f>IF(TrRoad_act!S62=0,0,TrRoad_emi!S59/TrRoad_tech!S174)</f>
        <v>1.1099625599287237</v>
      </c>
      <c r="T201" s="91">
        <f>IF(TrRoad_act!T62=0,0,TrRoad_emi!T59/TrRoad_tech!T174)</f>
        <v>1.0862978630717095</v>
      </c>
      <c r="U201" s="91">
        <f>IF(TrRoad_act!U62=0,0,TrRoad_emi!U59/TrRoad_tech!U174)</f>
        <v>1.0986834480985856</v>
      </c>
      <c r="V201" s="91">
        <f>IF(TrRoad_act!V62=0,0,TrRoad_emi!V59/TrRoad_tech!V174)</f>
        <v>1.1010228737918462</v>
      </c>
      <c r="W201" s="91">
        <f>IF(TrRoad_act!W62=0,0,TrRoad_emi!W59/TrRoad_tech!W174)</f>
        <v>1.1550674965859491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0</v>
      </c>
      <c r="C202" s="91">
        <f>IF(TrRoad_act!C63=0,0,TrRoad_emi!C60/TrRoad_tech!C175)</f>
        <v>0</v>
      </c>
      <c r="D202" s="91">
        <f>IF(TrRoad_act!D63=0,0,TrRoad_emi!D60/TrRoad_tech!D175)</f>
        <v>0</v>
      </c>
      <c r="E202" s="91">
        <f>IF(TrRoad_act!E63=0,0,TrRoad_emi!E60/TrRoad_tech!E175)</f>
        <v>0</v>
      </c>
      <c r="F202" s="91">
        <f>IF(TrRoad_act!F63=0,0,TrRoad_emi!F60/TrRoad_tech!F175)</f>
        <v>0</v>
      </c>
      <c r="G202" s="91">
        <f>IF(TrRoad_act!G63=0,0,TrRoad_emi!G60/TrRoad_tech!G175)</f>
        <v>0</v>
      </c>
      <c r="H202" s="91">
        <f>IF(TrRoad_act!H63=0,0,TrRoad_emi!H60/TrRoad_tech!H175)</f>
        <v>0</v>
      </c>
      <c r="I202" s="91">
        <f>IF(TrRoad_act!I63=0,0,TrRoad_emi!I60/TrRoad_tech!I175)</f>
        <v>0</v>
      </c>
      <c r="J202" s="91">
        <f>IF(TrRoad_act!J63=0,0,TrRoad_emi!J60/TrRoad_tech!J175)</f>
        <v>0</v>
      </c>
      <c r="K202" s="91">
        <f>IF(TrRoad_act!K63=0,0,TrRoad_emi!K60/TrRoad_tech!K175)</f>
        <v>0</v>
      </c>
      <c r="L202" s="91">
        <f>IF(TrRoad_act!L63=0,0,TrRoad_emi!L60/TrRoad_tech!L175)</f>
        <v>0</v>
      </c>
      <c r="M202" s="91">
        <f>IF(TrRoad_act!M63=0,0,TrRoad_emi!M60/TrRoad_tech!M175)</f>
        <v>0</v>
      </c>
      <c r="N202" s="91">
        <f>IF(TrRoad_act!N63=0,0,TrRoad_emi!N60/TrRoad_tech!N175)</f>
        <v>0</v>
      </c>
      <c r="O202" s="91">
        <f>IF(TrRoad_act!O63=0,0,TrRoad_emi!O60/TrRoad_tech!O175)</f>
        <v>0</v>
      </c>
      <c r="P202" s="91">
        <f>IF(TrRoad_act!P63=0,0,TrRoad_emi!P60/TrRoad_tech!P175)</f>
        <v>0</v>
      </c>
      <c r="Q202" s="91">
        <f>IF(TrRoad_act!Q63=0,0,TrRoad_emi!Q60/TrRoad_tech!Q175)</f>
        <v>0</v>
      </c>
      <c r="R202" s="91">
        <f>IF(TrRoad_act!R63=0,0,TrRoad_emi!R60/TrRoad_tech!R175)</f>
        <v>0</v>
      </c>
      <c r="S202" s="91">
        <f>IF(TrRoad_act!S63=0,0,TrRoad_emi!S60/TrRoad_tech!S175)</f>
        <v>0</v>
      </c>
      <c r="T202" s="91">
        <f>IF(TrRoad_act!T63=0,0,TrRoad_emi!T60/TrRoad_tech!T175)</f>
        <v>0.9652189306820429</v>
      </c>
      <c r="U202" s="91">
        <f>IF(TrRoad_act!U63=0,0,TrRoad_emi!U60/TrRoad_tech!U175)</f>
        <v>1.0711111111163001</v>
      </c>
      <c r="V202" s="91">
        <f>IF(TrRoad_act!V63=0,0,TrRoad_emi!V60/TrRoad_tech!V175)</f>
        <v>1.0397742188393762</v>
      </c>
      <c r="W202" s="91">
        <f>IF(TrRoad_act!W63=0,0,TrRoad_emi!W60/TrRoad_tech!W175)</f>
        <v>1.1706164977830225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0</v>
      </c>
      <c r="I203" s="91">
        <f>IF(TrRoad_act!I64=0,0,TrRoad_emi!I61/TrRoad_tech!I176)</f>
        <v>0</v>
      </c>
      <c r="J203" s="91">
        <f>IF(TrRoad_act!J64=0,0,TrRoad_emi!J61/TrRoad_tech!J176)</f>
        <v>0</v>
      </c>
      <c r="K203" s="91">
        <f>IF(TrRoad_act!K64=0,0,TrRoad_emi!K61/TrRoad_tech!K176)</f>
        <v>0</v>
      </c>
      <c r="L203" s="91">
        <f>IF(TrRoad_act!L64=0,0,TrRoad_emi!L61/TrRoad_tech!L176)</f>
        <v>0</v>
      </c>
      <c r="M203" s="91">
        <f>IF(TrRoad_act!M64=0,0,TrRoad_emi!M61/TrRoad_tech!M176)</f>
        <v>0</v>
      </c>
      <c r="N203" s="91">
        <f>IF(TrRoad_act!N64=0,0,TrRoad_emi!N61/TrRoad_tech!N176)</f>
        <v>0</v>
      </c>
      <c r="O203" s="91">
        <f>IF(TrRoad_act!O64=0,0,TrRoad_emi!O61/TrRoad_tech!O176)</f>
        <v>0</v>
      </c>
      <c r="P203" s="91">
        <f>IF(TrRoad_act!P64=0,0,TrRoad_emi!P61/TrRoad_tech!P176)</f>
        <v>0</v>
      </c>
      <c r="Q203" s="91">
        <f>IF(TrRoad_act!Q64=0,0,TrRoad_emi!Q61/TrRoad_tech!Q176)</f>
        <v>0</v>
      </c>
      <c r="R203" s="91">
        <f>IF(TrRoad_act!R64=0,0,TrRoad_emi!R61/TrRoad_tech!R176)</f>
        <v>0</v>
      </c>
      <c r="S203" s="91">
        <f>IF(TrRoad_act!S64=0,0,TrRoad_emi!S61/TrRoad_tech!S176)</f>
        <v>0</v>
      </c>
      <c r="T203" s="91">
        <f>IF(TrRoad_act!T64=0,0,TrRoad_emi!T61/TrRoad_tech!T176)</f>
        <v>0</v>
      </c>
      <c r="U203" s="91">
        <f>IF(TrRoad_act!U64=0,0,TrRoad_emi!U61/TrRoad_tech!U176)</f>
        <v>0</v>
      </c>
      <c r="V203" s="91">
        <f>IF(TrRoad_act!V64=0,0,TrRoad_emi!V61/TrRoad_tech!V176)</f>
        <v>0</v>
      </c>
      <c r="W203" s="91">
        <f>IF(TrRoad_act!W64=0,0,TrRoad_emi!W61/TrRoad_tech!W176)</f>
        <v>0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0</v>
      </c>
      <c r="O204" s="91">
        <f>IF(TrRoad_act!O65=0,0,TrRoad_emi!O62/TrRoad_tech!O177)</f>
        <v>0</v>
      </c>
      <c r="P204" s="91">
        <f>IF(TrRoad_act!P65=0,0,TrRoad_emi!P62/TrRoad_tech!P177)</f>
        <v>1.2576158959279553</v>
      </c>
      <c r="Q204" s="91">
        <f>IF(TrRoad_act!Q65=0,0,TrRoad_emi!Q62/TrRoad_tech!Q177)</f>
        <v>1.2784517758746974</v>
      </c>
      <c r="R204" s="91">
        <f>IF(TrRoad_act!R65=0,0,TrRoad_emi!R62/TrRoad_tech!R177)</f>
        <v>1.1741385901511563</v>
      </c>
      <c r="S204" s="91">
        <f>IF(TrRoad_act!S65=0,0,TrRoad_emi!S62/TrRoad_tech!S177)</f>
        <v>1.1944304822941059</v>
      </c>
      <c r="T204" s="91">
        <f>IF(TrRoad_act!T65=0,0,TrRoad_emi!T62/TrRoad_tech!T177)</f>
        <v>1.1694796020993381</v>
      </c>
      <c r="U204" s="91">
        <f>IF(TrRoad_act!U65=0,0,TrRoad_emi!U62/TrRoad_tech!U177)</f>
        <v>1.1546492805884225</v>
      </c>
      <c r="V204" s="91">
        <f>IF(TrRoad_act!V65=0,0,TrRoad_emi!V62/TrRoad_tech!V177)</f>
        <v>1.0919860581211298</v>
      </c>
      <c r="W204" s="91">
        <f>IF(TrRoad_act!W65=0,0,TrRoad_emi!W62/TrRoad_tech!W177)</f>
        <v>1.1653770035062052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1.3393201771409513</v>
      </c>
      <c r="C206" s="151">
        <f>IF(TrRoad_act!C67=0,0,TrRoad_emi!C64/TrRoad_tech!C179)</f>
        <v>1.3362722413038755</v>
      </c>
      <c r="D206" s="151">
        <f>IF(TrRoad_act!D67=0,0,TrRoad_emi!D64/TrRoad_tech!D179)</f>
        <v>1.267512396260202</v>
      </c>
      <c r="E206" s="151">
        <f>IF(TrRoad_act!E67=0,0,TrRoad_emi!E64/TrRoad_tech!E179)</f>
        <v>1.2836312018217173</v>
      </c>
      <c r="F206" s="151">
        <f>IF(TrRoad_act!F67=0,0,TrRoad_emi!F64/TrRoad_tech!F179)</f>
        <v>1.4052508335543206</v>
      </c>
      <c r="G206" s="151">
        <f>IF(TrRoad_act!G67=0,0,TrRoad_emi!G64/TrRoad_tech!G179)</f>
        <v>1.3026940397738449</v>
      </c>
      <c r="H206" s="151">
        <f>IF(TrRoad_act!H67=0,0,TrRoad_emi!H64/TrRoad_tech!H179)</f>
        <v>1.3145060365451704</v>
      </c>
      <c r="I206" s="151">
        <f>IF(TrRoad_act!I67=0,0,TrRoad_emi!I64/TrRoad_tech!I179)</f>
        <v>1.3761104060871103</v>
      </c>
      <c r="J206" s="151">
        <f>IF(TrRoad_act!J67=0,0,TrRoad_emi!J64/TrRoad_tech!J179)</f>
        <v>1.2989243300507229</v>
      </c>
      <c r="K206" s="151">
        <f>IF(TrRoad_act!K67=0,0,TrRoad_emi!K64/TrRoad_tech!K179)</f>
        <v>1.3826206097689409</v>
      </c>
      <c r="L206" s="151">
        <f>IF(TrRoad_act!L67=0,0,TrRoad_emi!L64/TrRoad_tech!L179)</f>
        <v>1.4328610138908964</v>
      </c>
      <c r="M206" s="151">
        <f>IF(TrRoad_act!M67=0,0,TrRoad_emi!M64/TrRoad_tech!M179)</f>
        <v>1.3965375674770053</v>
      </c>
      <c r="N206" s="151">
        <f>IF(TrRoad_act!N67=0,0,TrRoad_emi!N64/TrRoad_tech!N179)</f>
        <v>1.2400423926574506</v>
      </c>
      <c r="O206" s="151">
        <f>IF(TrRoad_act!O67=0,0,TrRoad_emi!O64/TrRoad_tech!O179)</f>
        <v>1.13215627388049</v>
      </c>
      <c r="P206" s="151">
        <f>IF(TrRoad_act!P67=0,0,TrRoad_emi!P64/TrRoad_tech!P179)</f>
        <v>1.130520189126681</v>
      </c>
      <c r="Q206" s="151">
        <f>IF(TrRoad_act!Q67=0,0,TrRoad_emi!Q64/TrRoad_tech!Q179)</f>
        <v>1.1993234682578795</v>
      </c>
      <c r="R206" s="151">
        <f>IF(TrRoad_act!R67=0,0,TrRoad_emi!R64/TrRoad_tech!R179)</f>
        <v>1.2246247128644778</v>
      </c>
      <c r="S206" s="151">
        <f>IF(TrRoad_act!S67=0,0,TrRoad_emi!S64/TrRoad_tech!S179)</f>
        <v>1.2452785994295712</v>
      </c>
      <c r="T206" s="151">
        <f>IF(TrRoad_act!T67=0,0,TrRoad_emi!T64/TrRoad_tech!T179)</f>
        <v>1.2166687330686237</v>
      </c>
      <c r="U206" s="151">
        <f>IF(TrRoad_act!U67=0,0,TrRoad_emi!U64/TrRoad_tech!U179)</f>
        <v>1.2357880893519357</v>
      </c>
      <c r="V206" s="151">
        <f>IF(TrRoad_act!V67=0,0,TrRoad_emi!V64/TrRoad_tech!V179)</f>
        <v>1.2921424148640586</v>
      </c>
      <c r="W206" s="151">
        <f>IF(TrRoad_act!W67=0,0,TrRoad_emi!W64/TrRoad_tech!W179)</f>
        <v>1.3612840013918497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1.1432481486591415</v>
      </c>
      <c r="C207" s="93">
        <f>IF(TrRoad_act!C68=0,0,TrRoad_emi!C65/TrRoad_tech!C180)</f>
        <v>1.1836543571735634</v>
      </c>
      <c r="D207" s="93">
        <f>IF(TrRoad_act!D68=0,0,TrRoad_emi!D65/TrRoad_tech!D180)</f>
        <v>1.2106596536283736</v>
      </c>
      <c r="E207" s="93">
        <f>IF(TrRoad_act!E68=0,0,TrRoad_emi!E65/TrRoad_tech!E180)</f>
        <v>1.2708680624390754</v>
      </c>
      <c r="F207" s="93">
        <f>IF(TrRoad_act!F68=0,0,TrRoad_emi!F65/TrRoad_tech!F180)</f>
        <v>1.2941501683716374</v>
      </c>
      <c r="G207" s="93">
        <f>IF(TrRoad_act!G68=0,0,TrRoad_emi!G65/TrRoad_tech!G180)</f>
        <v>1.3235109568496386</v>
      </c>
      <c r="H207" s="93">
        <f>IF(TrRoad_act!H68=0,0,TrRoad_emi!H65/TrRoad_tech!H180)</f>
        <v>1.3487283362531546</v>
      </c>
      <c r="I207" s="93">
        <f>IF(TrRoad_act!I68=0,0,TrRoad_emi!I65/TrRoad_tech!I180)</f>
        <v>1.3527938282414262</v>
      </c>
      <c r="J207" s="93">
        <f>IF(TrRoad_act!J68=0,0,TrRoad_emi!J65/TrRoad_tech!J180)</f>
        <v>1.3488091717135158</v>
      </c>
      <c r="K207" s="93">
        <f>IF(TrRoad_act!K68=0,0,TrRoad_emi!K65/TrRoad_tech!K180)</f>
        <v>1.356925042232614</v>
      </c>
      <c r="L207" s="93">
        <f>IF(TrRoad_act!L68=0,0,TrRoad_emi!L65/TrRoad_tech!L180)</f>
        <v>1.3674202258847867</v>
      </c>
      <c r="M207" s="93">
        <f>IF(TrRoad_act!M68=0,0,TrRoad_emi!M65/TrRoad_tech!M180)</f>
        <v>1.3513845341616304</v>
      </c>
      <c r="N207" s="93">
        <f>IF(TrRoad_act!N68=0,0,TrRoad_emi!N65/TrRoad_tech!N180)</f>
        <v>1.3304788722062129</v>
      </c>
      <c r="O207" s="93">
        <f>IF(TrRoad_act!O68=0,0,TrRoad_emi!O65/TrRoad_tech!O180)</f>
        <v>1.2737183837617787</v>
      </c>
      <c r="P207" s="93">
        <f>IF(TrRoad_act!P68=0,0,TrRoad_emi!P65/TrRoad_tech!P180)</f>
        <v>1.2697790468554326</v>
      </c>
      <c r="Q207" s="93">
        <f>IF(TrRoad_act!Q68=0,0,TrRoad_emi!Q65/TrRoad_tech!Q180)</f>
        <v>1.2843102940704711</v>
      </c>
      <c r="R207" s="93">
        <f>IF(TrRoad_act!R68=0,0,TrRoad_emi!R65/TrRoad_tech!R180)</f>
        <v>1.1967778913642553</v>
      </c>
      <c r="S207" s="93">
        <f>IF(TrRoad_act!S68=0,0,TrRoad_emi!S65/TrRoad_tech!S180)</f>
        <v>1.2104897935632613</v>
      </c>
      <c r="T207" s="93">
        <f>IF(TrRoad_act!T68=0,0,TrRoad_emi!T65/TrRoad_tech!T180)</f>
        <v>1.188565253947216</v>
      </c>
      <c r="U207" s="93">
        <f>IF(TrRoad_act!U68=0,0,TrRoad_emi!U65/TrRoad_tech!U180)</f>
        <v>1.1819079373592454</v>
      </c>
      <c r="V207" s="93">
        <f>IF(TrRoad_act!V68=0,0,TrRoad_emi!V65/TrRoad_tech!V180)</f>
        <v>1.1289891173760251</v>
      </c>
      <c r="W207" s="93">
        <f>IF(TrRoad_act!W68=0,0,TrRoad_emi!W65/TrRoad_tech!W180)</f>
        <v>1.1890986320893606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1.3248873466287112</v>
      </c>
      <c r="C208" s="93">
        <f>IF(TrRoad_act!C69=0,0,TrRoad_emi!C66/TrRoad_tech!C181)</f>
        <v>1.3285708610155333</v>
      </c>
      <c r="D208" s="93">
        <f>IF(TrRoad_act!D69=0,0,TrRoad_emi!D66/TrRoad_tech!D181)</f>
        <v>1.2612829812202462</v>
      </c>
      <c r="E208" s="93">
        <f>IF(TrRoad_act!E69=0,0,TrRoad_emi!E66/TrRoad_tech!E181)</f>
        <v>1.2814073629869274</v>
      </c>
      <c r="F208" s="93">
        <f>IF(TrRoad_act!F69=0,0,TrRoad_emi!F66/TrRoad_tech!F181)</f>
        <v>1.4045489231760053</v>
      </c>
      <c r="G208" s="93">
        <f>IF(TrRoad_act!G69=0,0,TrRoad_emi!G66/TrRoad_tech!G181)</f>
        <v>1.301859042174496</v>
      </c>
      <c r="H208" s="93">
        <f>IF(TrRoad_act!H69=0,0,TrRoad_emi!H66/TrRoad_tech!H181)</f>
        <v>1.3132262802349839</v>
      </c>
      <c r="I208" s="93">
        <f>IF(TrRoad_act!I69=0,0,TrRoad_emi!I66/TrRoad_tech!I181)</f>
        <v>1.377324211699082</v>
      </c>
      <c r="J208" s="93">
        <f>IF(TrRoad_act!J69=0,0,TrRoad_emi!J66/TrRoad_tech!J181)</f>
        <v>1.2978950468520873</v>
      </c>
      <c r="K208" s="93">
        <f>IF(TrRoad_act!K69=0,0,TrRoad_emi!K66/TrRoad_tech!K181)</f>
        <v>1.3879074657159403</v>
      </c>
      <c r="L208" s="93">
        <f>IF(TrRoad_act!L69=0,0,TrRoad_emi!L66/TrRoad_tech!L181)</f>
        <v>1.4353479448934545</v>
      </c>
      <c r="M208" s="93">
        <f>IF(TrRoad_act!M69=0,0,TrRoad_emi!M66/TrRoad_tech!M181)</f>
        <v>1.3974054514787437</v>
      </c>
      <c r="N208" s="93">
        <f>IF(TrRoad_act!N69=0,0,TrRoad_emi!N66/TrRoad_tech!N181)</f>
        <v>1.2406204657522155</v>
      </c>
      <c r="O208" s="93">
        <f>IF(TrRoad_act!O69=0,0,TrRoad_emi!O66/TrRoad_tech!O181)</f>
        <v>1.1324339226647779</v>
      </c>
      <c r="P208" s="93">
        <f>IF(TrRoad_act!P69=0,0,TrRoad_emi!P66/TrRoad_tech!P181)</f>
        <v>1.1379029931045148</v>
      </c>
      <c r="Q208" s="93">
        <f>IF(TrRoad_act!Q69=0,0,TrRoad_emi!Q66/TrRoad_tech!Q181)</f>
        <v>1.2090836752153065</v>
      </c>
      <c r="R208" s="93">
        <f>IF(TrRoad_act!R69=0,0,TrRoad_emi!R66/TrRoad_tech!R181)</f>
        <v>1.2353700986598861</v>
      </c>
      <c r="S208" s="93">
        <f>IF(TrRoad_act!S69=0,0,TrRoad_emi!S66/TrRoad_tech!S181)</f>
        <v>1.2567970529558867</v>
      </c>
      <c r="T208" s="93">
        <f>IF(TrRoad_act!T69=0,0,TrRoad_emi!T66/TrRoad_tech!T181)</f>
        <v>1.2284201103853438</v>
      </c>
      <c r="U208" s="93">
        <f>IF(TrRoad_act!U69=0,0,TrRoad_emi!U66/TrRoad_tech!U181)</f>
        <v>1.2481068745628365</v>
      </c>
      <c r="V208" s="93">
        <f>IF(TrRoad_act!V69=0,0,TrRoad_emi!V66/TrRoad_tech!V181)</f>
        <v>1.2955142036413445</v>
      </c>
      <c r="W208" s="93">
        <f>IF(TrRoad_act!W69=0,0,TrRoad_emi!W66/TrRoad_tech!W181)</f>
        <v>1.3698734288128946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0</v>
      </c>
      <c r="M209" s="93">
        <f>IF(TrRoad_act!M70=0,0,TrRoad_emi!M67/TrRoad_tech!M182)</f>
        <v>0</v>
      </c>
      <c r="N209" s="93">
        <f>IF(TrRoad_act!N70=0,0,TrRoad_emi!N67/TrRoad_tech!N182)</f>
        <v>0</v>
      </c>
      <c r="O209" s="93">
        <f>IF(TrRoad_act!O70=0,0,TrRoad_emi!O67/TrRoad_tech!O182)</f>
        <v>0</v>
      </c>
      <c r="P209" s="93">
        <f>IF(TrRoad_act!P70=0,0,TrRoad_emi!P67/TrRoad_tech!P182)</f>
        <v>0</v>
      </c>
      <c r="Q209" s="93">
        <f>IF(TrRoad_act!Q70=0,0,TrRoad_emi!Q67/TrRoad_tech!Q182)</f>
        <v>0</v>
      </c>
      <c r="R209" s="93">
        <f>IF(TrRoad_act!R70=0,0,TrRoad_emi!R67/TrRoad_tech!R182)</f>
        <v>0</v>
      </c>
      <c r="S209" s="93">
        <f>IF(TrRoad_act!S70=0,0,TrRoad_emi!S67/TrRoad_tech!S182)</f>
        <v>0</v>
      </c>
      <c r="T209" s="93">
        <f>IF(TrRoad_act!T70=0,0,TrRoad_emi!T67/TrRoad_tech!T182)</f>
        <v>0</v>
      </c>
      <c r="U209" s="93">
        <f>IF(TrRoad_act!U70=0,0,TrRoad_emi!U67/TrRoad_tech!U182)</f>
        <v>0</v>
      </c>
      <c r="V209" s="93">
        <f>IF(TrRoad_act!V70=0,0,TrRoad_emi!V67/TrRoad_tech!V182)</f>
        <v>0</v>
      </c>
      <c r="W209" s="93">
        <f>IF(TrRoad_act!W70=0,0,TrRoad_emi!W67/TrRoad_tech!W182)</f>
        <v>0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</v>
      </c>
      <c r="C210" s="93">
        <f>IF(TrRoad_act!C71=0,0,TrRoad_emi!C68/TrRoad_tech!C183)</f>
        <v>0</v>
      </c>
      <c r="D210" s="93">
        <f>IF(TrRoad_act!D71=0,0,TrRoad_emi!D68/TrRoad_tech!D183)</f>
        <v>0</v>
      </c>
      <c r="E210" s="93">
        <f>IF(TrRoad_act!E71=0,0,TrRoad_emi!E68/TrRoad_tech!E183)</f>
        <v>0</v>
      </c>
      <c r="F210" s="93">
        <f>IF(TrRoad_act!F71=0,0,TrRoad_emi!F68/TrRoad_tech!F183)</f>
        <v>0</v>
      </c>
      <c r="G210" s="93">
        <f>IF(TrRoad_act!G71=0,0,TrRoad_emi!G68/TrRoad_tech!G183)</f>
        <v>0</v>
      </c>
      <c r="H210" s="93">
        <f>IF(TrRoad_act!H71=0,0,TrRoad_emi!H68/TrRoad_tech!H183)</f>
        <v>0</v>
      </c>
      <c r="I210" s="93">
        <f>IF(TrRoad_act!I71=0,0,TrRoad_emi!I68/TrRoad_tech!I183)</f>
        <v>0</v>
      </c>
      <c r="J210" s="93">
        <f>IF(TrRoad_act!J71=0,0,TrRoad_emi!J68/TrRoad_tech!J183)</f>
        <v>0</v>
      </c>
      <c r="K210" s="93">
        <f>IF(TrRoad_act!K71=0,0,TrRoad_emi!K68/TrRoad_tech!K183)</f>
        <v>0</v>
      </c>
      <c r="L210" s="93">
        <f>IF(TrRoad_act!L71=0,0,TrRoad_emi!L68/TrRoad_tech!L183)</f>
        <v>0</v>
      </c>
      <c r="M210" s="93">
        <f>IF(TrRoad_act!M71=0,0,TrRoad_emi!M68/TrRoad_tech!M183)</f>
        <v>0</v>
      </c>
      <c r="N210" s="93">
        <f>IF(TrRoad_act!N71=0,0,TrRoad_emi!N68/TrRoad_tech!N183)</f>
        <v>0</v>
      </c>
      <c r="O210" s="93">
        <f>IF(TrRoad_act!O71=0,0,TrRoad_emi!O68/TrRoad_tech!O183)</f>
        <v>0</v>
      </c>
      <c r="P210" s="93">
        <f>IF(TrRoad_act!P71=0,0,TrRoad_emi!P68/TrRoad_tech!P183)</f>
        <v>0</v>
      </c>
      <c r="Q210" s="93">
        <f>IF(TrRoad_act!Q71=0,0,TrRoad_emi!Q68/TrRoad_tech!Q183)</f>
        <v>0</v>
      </c>
      <c r="R210" s="93">
        <f>IF(TrRoad_act!R71=0,0,TrRoad_emi!R68/TrRoad_tech!R183)</f>
        <v>0</v>
      </c>
      <c r="S210" s="93">
        <f>IF(TrRoad_act!S71=0,0,TrRoad_emi!S68/TrRoad_tech!S183)</f>
        <v>0</v>
      </c>
      <c r="T210" s="93">
        <f>IF(TrRoad_act!T71=0,0,TrRoad_emi!T68/TrRoad_tech!T183)</f>
        <v>0</v>
      </c>
      <c r="U210" s="93">
        <f>IF(TrRoad_act!U71=0,0,TrRoad_emi!U68/TrRoad_tech!U183)</f>
        <v>0</v>
      </c>
      <c r="V210" s="93">
        <f>IF(TrRoad_act!V71=0,0,TrRoad_emi!V68/TrRoad_tech!V183)</f>
        <v>0</v>
      </c>
      <c r="W210" s="93">
        <f>IF(TrRoad_act!W71=0,0,TrRoad_emi!W68/TrRoad_tech!W183)</f>
        <v>0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1.3150435753783156</v>
      </c>
      <c r="C213" s="150">
        <f>IF(TrRoad_act!C74=0,0,TrRoad_emi!C71/TrRoad_tech!C186)</f>
        <v>1.3506324399761405</v>
      </c>
      <c r="D213" s="150">
        <f>IF(TrRoad_act!D74=0,0,TrRoad_emi!D71/TrRoad_tech!D186)</f>
        <v>1.2738202206122824</v>
      </c>
      <c r="E213" s="150">
        <f>IF(TrRoad_act!E74=0,0,TrRoad_emi!E71/TrRoad_tech!E186)</f>
        <v>1.2874040377432479</v>
      </c>
      <c r="F213" s="150">
        <f>IF(TrRoad_act!F74=0,0,TrRoad_emi!F71/TrRoad_tech!F186)</f>
        <v>1.4091029942278195</v>
      </c>
      <c r="G213" s="150">
        <f>IF(TrRoad_act!G74=0,0,TrRoad_emi!G71/TrRoad_tech!G186)</f>
        <v>1.2948338347432271</v>
      </c>
      <c r="H213" s="150">
        <f>IF(TrRoad_act!H74=0,0,TrRoad_emi!H71/TrRoad_tech!H186)</f>
        <v>1.3002032576070002</v>
      </c>
      <c r="I213" s="150">
        <f>IF(TrRoad_act!I74=0,0,TrRoad_emi!I71/TrRoad_tech!I186)</f>
        <v>1.3656491814210701</v>
      </c>
      <c r="J213" s="150">
        <f>IF(TrRoad_act!J74=0,0,TrRoad_emi!J71/TrRoad_tech!J186)</f>
        <v>1.3040407157867633</v>
      </c>
      <c r="K213" s="150">
        <f>IF(TrRoad_act!K74=0,0,TrRoad_emi!K71/TrRoad_tech!K186)</f>
        <v>1.4134203612320049</v>
      </c>
      <c r="L213" s="150">
        <f>IF(TrRoad_act!L74=0,0,TrRoad_emi!L71/TrRoad_tech!L186)</f>
        <v>1.4887468874838423</v>
      </c>
      <c r="M213" s="150">
        <f>IF(TrRoad_act!M74=0,0,TrRoad_emi!M71/TrRoad_tech!M186)</f>
        <v>1.5389522033442535</v>
      </c>
      <c r="N213" s="150">
        <f>IF(TrRoad_act!N74=0,0,TrRoad_emi!N71/TrRoad_tech!N186)</f>
        <v>1.6174100620176002</v>
      </c>
      <c r="O213" s="150">
        <f>IF(TrRoad_act!O74=0,0,TrRoad_emi!O71/TrRoad_tech!O186)</f>
        <v>1.3086979439238347</v>
      </c>
      <c r="P213" s="150">
        <f>IF(TrRoad_act!P74=0,0,TrRoad_emi!P71/TrRoad_tech!P186)</f>
        <v>1.6386754718417158</v>
      </c>
      <c r="Q213" s="150">
        <f>IF(TrRoad_act!Q74=0,0,TrRoad_emi!Q71/TrRoad_tech!Q186)</f>
        <v>1.4692817460024434</v>
      </c>
      <c r="R213" s="150">
        <f>IF(TrRoad_act!R74=0,0,TrRoad_emi!R71/TrRoad_tech!R186)</f>
        <v>1.3969640100111274</v>
      </c>
      <c r="S213" s="150">
        <f>IF(TrRoad_act!S74=0,0,TrRoad_emi!S71/TrRoad_tech!S186)</f>
        <v>1.2689871874830101</v>
      </c>
      <c r="T213" s="150">
        <f>IF(TrRoad_act!T74=0,0,TrRoad_emi!T71/TrRoad_tech!T186)</f>
        <v>1.3446318620354984</v>
      </c>
      <c r="U213" s="150">
        <f>IF(TrRoad_act!U74=0,0,TrRoad_emi!U71/TrRoad_tech!U186)</f>
        <v>1.0972102873668821</v>
      </c>
      <c r="V213" s="150">
        <f>IF(TrRoad_act!V74=0,0,TrRoad_emi!V71/TrRoad_tech!V186)</f>
        <v>1.0305614407133032</v>
      </c>
      <c r="W213" s="150">
        <f>IF(TrRoad_act!W74=0,0,TrRoad_emi!W71/TrRoad_tech!W186)</f>
        <v>1.1135891979403649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1.1540601858222441</v>
      </c>
      <c r="C214" s="91">
        <f>IF(TrRoad_act!C75=0,0,TrRoad_emi!C72/TrRoad_tech!C187)</f>
        <v>1.204810046556742</v>
      </c>
      <c r="D214" s="91">
        <f>IF(TrRoad_act!D75=0,0,TrRoad_emi!D72/TrRoad_tech!D187)</f>
        <v>1.2391555396557332</v>
      </c>
      <c r="E214" s="91">
        <f>IF(TrRoad_act!E75=0,0,TrRoad_emi!E72/TrRoad_tech!E187)</f>
        <v>1.3153381049376867</v>
      </c>
      <c r="F214" s="91">
        <f>IF(TrRoad_act!F75=0,0,TrRoad_emi!F72/TrRoad_tech!F187)</f>
        <v>1.3456744938205838</v>
      </c>
      <c r="G214" s="91">
        <f>IF(TrRoad_act!G75=0,0,TrRoad_emi!G72/TrRoad_tech!G187)</f>
        <v>1.3854714750808628</v>
      </c>
      <c r="H214" s="91">
        <f>IF(TrRoad_act!H75=0,0,TrRoad_emi!H72/TrRoad_tech!H187)</f>
        <v>1.4184604343907943</v>
      </c>
      <c r="I214" s="91">
        <f>IF(TrRoad_act!I75=0,0,TrRoad_emi!I72/TrRoad_tech!I187)</f>
        <v>1.4309679089497376</v>
      </c>
      <c r="J214" s="91">
        <f>IF(TrRoad_act!J75=0,0,TrRoad_emi!J72/TrRoad_tech!J187)</f>
        <v>1.4328485449495951</v>
      </c>
      <c r="K214" s="91">
        <f>IF(TrRoad_act!K75=0,0,TrRoad_emi!K72/TrRoad_tech!K187)</f>
        <v>1.447591138378685</v>
      </c>
      <c r="L214" s="91">
        <f>IF(TrRoad_act!L75=0,0,TrRoad_emi!L72/TrRoad_tech!L187)</f>
        <v>1.4586622254140258</v>
      </c>
      <c r="M214" s="91">
        <f>IF(TrRoad_act!M75=0,0,TrRoad_emi!M72/TrRoad_tech!M187)</f>
        <v>1.4362429100803848</v>
      </c>
      <c r="N214" s="91">
        <f>IF(TrRoad_act!N75=0,0,TrRoad_emi!N72/TrRoad_tech!N187)</f>
        <v>1.4109339081659242</v>
      </c>
      <c r="O214" s="91">
        <f>IF(TrRoad_act!O75=0,0,TrRoad_emi!O72/TrRoad_tech!O187)</f>
        <v>1.3397546873814792</v>
      </c>
      <c r="P214" s="91">
        <f>IF(TrRoad_act!P75=0,0,TrRoad_emi!P72/TrRoad_tech!P187)</f>
        <v>1.3563418165084538</v>
      </c>
      <c r="Q214" s="91">
        <f>IF(TrRoad_act!Q75=0,0,TrRoad_emi!Q72/TrRoad_tech!Q187)</f>
        <v>1.3727258362620274</v>
      </c>
      <c r="R214" s="91">
        <f>IF(TrRoad_act!R75=0,0,TrRoad_emi!R72/TrRoad_tech!R187)</f>
        <v>1.2607978231122652</v>
      </c>
      <c r="S214" s="91">
        <f>IF(TrRoad_act!S75=0,0,TrRoad_emi!S72/TrRoad_tech!S187)</f>
        <v>1.2878135151135142</v>
      </c>
      <c r="T214" s="91">
        <f>IF(TrRoad_act!T75=0,0,TrRoad_emi!T72/TrRoad_tech!T187)</f>
        <v>1.276103120123657</v>
      </c>
      <c r="U214" s="91">
        <f>IF(TrRoad_act!U75=0,0,TrRoad_emi!U72/TrRoad_tech!U187)</f>
        <v>1.2826239549291882</v>
      </c>
      <c r="V214" s="91">
        <f>IF(TrRoad_act!V75=0,0,TrRoad_emi!V72/TrRoad_tech!V187)</f>
        <v>1.2273261050948707</v>
      </c>
      <c r="W214" s="91">
        <f>IF(TrRoad_act!W75=0,0,TrRoad_emi!W72/TrRoad_tech!W187)</f>
        <v>1.3261894737210558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1.3473760812909097</v>
      </c>
      <c r="C215" s="91">
        <f>IF(TrRoad_act!C76=0,0,TrRoad_emi!C73/TrRoad_tech!C188)</f>
        <v>1.3510046004695504</v>
      </c>
      <c r="D215" s="91">
        <f>IF(TrRoad_act!D76=0,0,TrRoad_emi!D73/TrRoad_tech!D188)</f>
        <v>1.2759244666615386</v>
      </c>
      <c r="E215" s="91">
        <f>IF(TrRoad_act!E76=0,0,TrRoad_emi!E73/TrRoad_tech!E188)</f>
        <v>1.2955806151721838</v>
      </c>
      <c r="F215" s="91">
        <f>IF(TrRoad_act!F76=0,0,TrRoad_emi!F73/TrRoad_tech!F188)</f>
        <v>1.4291101335404801</v>
      </c>
      <c r="G215" s="91">
        <f>IF(TrRoad_act!G76=0,0,TrRoad_emi!G73/TrRoad_tech!G188)</f>
        <v>1.3143677012386215</v>
      </c>
      <c r="H215" s="91">
        <f>IF(TrRoad_act!H76=0,0,TrRoad_emi!H73/TrRoad_tech!H188)</f>
        <v>1.3236168333215417</v>
      </c>
      <c r="I215" s="91">
        <f>IF(TrRoad_act!I76=0,0,TrRoad_emi!I73/TrRoad_tech!I188)</f>
        <v>1.3887379379342948</v>
      </c>
      <c r="J215" s="91">
        <f>IF(TrRoad_act!J76=0,0,TrRoad_emi!J73/TrRoad_tech!J188)</f>
        <v>1.3006896852729837</v>
      </c>
      <c r="K215" s="91">
        <f>IF(TrRoad_act!K76=0,0,TrRoad_emi!K73/TrRoad_tech!K188)</f>
        <v>1.3949936281297439</v>
      </c>
      <c r="L215" s="91">
        <f>IF(TrRoad_act!L76=0,0,TrRoad_emi!L73/TrRoad_tech!L188)</f>
        <v>1.431524778562745</v>
      </c>
      <c r="M215" s="91">
        <f>IF(TrRoad_act!M76=0,0,TrRoad_emi!M73/TrRoad_tech!M188)</f>
        <v>1.3866454065889373</v>
      </c>
      <c r="N215" s="91">
        <f>IF(TrRoad_act!N76=0,0,TrRoad_emi!N73/TrRoad_tech!N188)</f>
        <v>1.2188968910059426</v>
      </c>
      <c r="O215" s="91">
        <f>IF(TrRoad_act!O76=0,0,TrRoad_emi!O73/TrRoad_tech!O188)</f>
        <v>1.1066815758773467</v>
      </c>
      <c r="P215" s="91">
        <f>IF(TrRoad_act!P76=0,0,TrRoad_emi!P73/TrRoad_tech!P188)</f>
        <v>1.1113322452403298</v>
      </c>
      <c r="Q215" s="91">
        <f>IF(TrRoad_act!Q76=0,0,TrRoad_emi!Q73/TrRoad_tech!Q188)</f>
        <v>1.1848967607807193</v>
      </c>
      <c r="R215" s="91">
        <f>IF(TrRoad_act!R76=0,0,TrRoad_emi!R73/TrRoad_tech!R188)</f>
        <v>1.2128753241821584</v>
      </c>
      <c r="S215" s="91">
        <f>IF(TrRoad_act!S76=0,0,TrRoad_emi!S73/TrRoad_tech!S188)</f>
        <v>1.2344606802984435</v>
      </c>
      <c r="T215" s="91">
        <f>IF(TrRoad_act!T76=0,0,TrRoad_emi!T73/TrRoad_tech!T188)</f>
        <v>1.2041439076485647</v>
      </c>
      <c r="U215" s="91">
        <f>IF(TrRoad_act!U76=0,0,TrRoad_emi!U73/TrRoad_tech!U188)</f>
        <v>1.2277977471780617</v>
      </c>
      <c r="V215" s="91">
        <f>IF(TrRoad_act!V76=0,0,TrRoad_emi!V73/TrRoad_tech!V188)</f>
        <v>1.2469070912919806</v>
      </c>
      <c r="W215" s="91">
        <f>IF(TrRoad_act!W76=0,0,TrRoad_emi!W73/TrRoad_tech!W188)</f>
        <v>1.3255782604519735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0</v>
      </c>
      <c r="F216" s="91">
        <f>IF(TrRoad_act!F77=0,0,TrRoad_emi!F74/TrRoad_tech!F189)</f>
        <v>0</v>
      </c>
      <c r="G216" s="91">
        <f>IF(TrRoad_act!G77=0,0,TrRoad_emi!G74/TrRoad_tech!G189)</f>
        <v>0</v>
      </c>
      <c r="H216" s="91">
        <f>IF(TrRoad_act!H77=0,0,TrRoad_emi!H74/TrRoad_tech!H189)</f>
        <v>0</v>
      </c>
      <c r="I216" s="91">
        <f>IF(TrRoad_act!I77=0,0,TrRoad_emi!I74/TrRoad_tech!I189)</f>
        <v>0</v>
      </c>
      <c r="J216" s="91">
        <f>IF(TrRoad_act!J77=0,0,TrRoad_emi!J74/TrRoad_tech!J189)</f>
        <v>0</v>
      </c>
      <c r="K216" s="91">
        <f>IF(TrRoad_act!K77=0,0,TrRoad_emi!K74/TrRoad_tech!K189)</f>
        <v>0</v>
      </c>
      <c r="L216" s="91">
        <f>IF(TrRoad_act!L77=0,0,TrRoad_emi!L74/TrRoad_tech!L189)</f>
        <v>0</v>
      </c>
      <c r="M216" s="91">
        <f>IF(TrRoad_act!M77=0,0,TrRoad_emi!M74/TrRoad_tech!M189)</f>
        <v>0</v>
      </c>
      <c r="N216" s="91">
        <f>IF(TrRoad_act!N77=0,0,TrRoad_emi!N74/TrRoad_tech!N189)</f>
        <v>0</v>
      </c>
      <c r="O216" s="91">
        <f>IF(TrRoad_act!O77=0,0,TrRoad_emi!O74/TrRoad_tech!O189)</f>
        <v>0</v>
      </c>
      <c r="P216" s="91">
        <f>IF(TrRoad_act!P77=0,0,TrRoad_emi!P74/TrRoad_tech!P189)</f>
        <v>0</v>
      </c>
      <c r="Q216" s="91">
        <f>IF(TrRoad_act!Q77=0,0,TrRoad_emi!Q74/TrRoad_tech!Q189)</f>
        <v>0</v>
      </c>
      <c r="R216" s="91">
        <f>IF(TrRoad_act!R77=0,0,TrRoad_emi!R74/TrRoad_tech!R189)</f>
        <v>0</v>
      </c>
      <c r="S216" s="91">
        <f>IF(TrRoad_act!S77=0,0,TrRoad_emi!S74/TrRoad_tech!S189)</f>
        <v>0</v>
      </c>
      <c r="T216" s="91">
        <f>IF(TrRoad_act!T77=0,0,TrRoad_emi!T74/TrRoad_tech!T189)</f>
        <v>0</v>
      </c>
      <c r="U216" s="91">
        <f>IF(TrRoad_act!U77=0,0,TrRoad_emi!U74/TrRoad_tech!U189)</f>
        <v>0</v>
      </c>
      <c r="V216" s="91">
        <f>IF(TrRoad_act!V77=0,0,TrRoad_emi!V74/TrRoad_tech!V189)</f>
        <v>0</v>
      </c>
      <c r="W216" s="91">
        <f>IF(TrRoad_act!W77=0,0,TrRoad_emi!W74/TrRoad_tech!W189)</f>
        <v>0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0</v>
      </c>
      <c r="L217" s="91">
        <f>IF(TrRoad_act!L78=0,0,TrRoad_emi!L75/TrRoad_tech!L190)</f>
        <v>0</v>
      </c>
      <c r="M217" s="91">
        <f>IF(TrRoad_act!M78=0,0,TrRoad_emi!M75/TrRoad_tech!M190)</f>
        <v>0</v>
      </c>
      <c r="N217" s="91">
        <f>IF(TrRoad_act!N78=0,0,TrRoad_emi!N75/TrRoad_tech!N190)</f>
        <v>0</v>
      </c>
      <c r="O217" s="91">
        <f>IF(TrRoad_act!O78=0,0,TrRoad_emi!O75/TrRoad_tech!O190)</f>
        <v>0</v>
      </c>
      <c r="P217" s="91">
        <f>IF(TrRoad_act!P78=0,0,TrRoad_emi!P75/TrRoad_tech!P190)</f>
        <v>0</v>
      </c>
      <c r="Q217" s="91">
        <f>IF(TrRoad_act!Q78=0,0,TrRoad_emi!Q75/TrRoad_tech!Q190)</f>
        <v>0</v>
      </c>
      <c r="R217" s="91">
        <f>IF(TrRoad_act!R78=0,0,TrRoad_emi!R75/TrRoad_tech!R190)</f>
        <v>0</v>
      </c>
      <c r="S217" s="91">
        <f>IF(TrRoad_act!S78=0,0,TrRoad_emi!S75/TrRoad_tech!S190)</f>
        <v>0</v>
      </c>
      <c r="T217" s="91">
        <f>IF(TrRoad_act!T78=0,0,TrRoad_emi!T75/TrRoad_tech!T190)</f>
        <v>0</v>
      </c>
      <c r="U217" s="91">
        <f>IF(TrRoad_act!U78=0,0,TrRoad_emi!U75/TrRoad_tech!U190)</f>
        <v>0</v>
      </c>
      <c r="V217" s="91">
        <f>IF(TrRoad_act!V78=0,0,TrRoad_emi!V75/TrRoad_tech!V190)</f>
        <v>0</v>
      </c>
      <c r="W217" s="91">
        <f>IF(TrRoad_act!W78=0,0,TrRoad_emi!W75/TrRoad_tech!W190)</f>
        <v>0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1.2878685316021068</v>
      </c>
      <c r="C219" s="151">
        <f>IF(TrRoad_act!C80=0,0,TrRoad_emi!C77/TrRoad_tech!C192)</f>
        <v>1.2922029766335066</v>
      </c>
      <c r="D219" s="151">
        <f>IF(TrRoad_act!D80=0,0,TrRoad_emi!D77/TrRoad_tech!D192)</f>
        <v>1.2347912891502959</v>
      </c>
      <c r="E219" s="151">
        <f>IF(TrRoad_act!E80=0,0,TrRoad_emi!E77/TrRoad_tech!E192)</f>
        <v>1.2520629780281789</v>
      </c>
      <c r="F219" s="151">
        <f>IF(TrRoad_act!F80=0,0,TrRoad_emi!F77/TrRoad_tech!F192)</f>
        <v>1.3554941533229214</v>
      </c>
      <c r="G219" s="151">
        <f>IF(TrRoad_act!G80=0,0,TrRoad_emi!G77/TrRoad_tech!G192)</f>
        <v>1.2757651722746646</v>
      </c>
      <c r="H219" s="151">
        <f>IF(TrRoad_act!H80=0,0,TrRoad_emi!H77/TrRoad_tech!H192)</f>
        <v>1.2849086416883602</v>
      </c>
      <c r="I219" s="151">
        <f>IF(TrRoad_act!I80=0,0,TrRoad_emi!I77/TrRoad_tech!I192)</f>
        <v>1.3440830632047136</v>
      </c>
      <c r="J219" s="151">
        <f>IF(TrRoad_act!J80=0,0,TrRoad_emi!J77/TrRoad_tech!J192)</f>
        <v>1.2713934923958703</v>
      </c>
      <c r="K219" s="151">
        <f>IF(TrRoad_act!K80=0,0,TrRoad_emi!K77/TrRoad_tech!K192)</f>
        <v>1.3479782302352792</v>
      </c>
      <c r="L219" s="151">
        <f>IF(TrRoad_act!L80=0,0,TrRoad_emi!L77/TrRoad_tech!L192)</f>
        <v>1.3850247348297902</v>
      </c>
      <c r="M219" s="151">
        <f>IF(TrRoad_act!M80=0,0,TrRoad_emi!M77/TrRoad_tech!M192)</f>
        <v>1.3490513548146958</v>
      </c>
      <c r="N219" s="151">
        <f>IF(TrRoad_act!N80=0,0,TrRoad_emi!N77/TrRoad_tech!N192)</f>
        <v>1.2126934101662523</v>
      </c>
      <c r="O219" s="151">
        <f>IF(TrRoad_act!O80=0,0,TrRoad_emi!O77/TrRoad_tech!O192)</f>
        <v>1.135404893547012</v>
      </c>
      <c r="P219" s="151">
        <f>IF(TrRoad_act!P80=0,0,TrRoad_emi!P77/TrRoad_tech!P192)</f>
        <v>1.142498207841224</v>
      </c>
      <c r="Q219" s="151">
        <f>IF(TrRoad_act!Q80=0,0,TrRoad_emi!Q77/TrRoad_tech!Q192)</f>
        <v>1.1958389783177112</v>
      </c>
      <c r="R219" s="151">
        <f>IF(TrRoad_act!R80=0,0,TrRoad_emi!R77/TrRoad_tech!R192)</f>
        <v>1.2174614424502916</v>
      </c>
      <c r="S219" s="151">
        <f>IF(TrRoad_act!S80=0,0,TrRoad_emi!S77/TrRoad_tech!S192)</f>
        <v>1.2320498376981066</v>
      </c>
      <c r="T219" s="151">
        <f>IF(TrRoad_act!T80=0,0,TrRoad_emi!T77/TrRoad_tech!T192)</f>
        <v>1.2028195488461202</v>
      </c>
      <c r="U219" s="151">
        <f>IF(TrRoad_act!U80=0,0,TrRoad_emi!U77/TrRoad_tech!U192)</f>
        <v>1.2309530661680417</v>
      </c>
      <c r="V219" s="151">
        <f>IF(TrRoad_act!V80=0,0,TrRoad_emi!V77/TrRoad_tech!V192)</f>
        <v>1.2319059035879993</v>
      </c>
      <c r="W219" s="151">
        <f>IF(TrRoad_act!W80=0,0,TrRoad_emi!W77/TrRoad_tech!W192)</f>
        <v>1.2922194559640006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1.3770715467780101</v>
      </c>
      <c r="C220" s="93">
        <f>IF(TrRoad_act!C81=0,0,TrRoad_emi!C78/TrRoad_tech!C193)</f>
        <v>1.3817062131102866</v>
      </c>
      <c r="D220" s="93">
        <f>IF(TrRoad_act!D81=0,0,TrRoad_emi!D78/TrRoad_tech!D193)</f>
        <v>1.3203179585286711</v>
      </c>
      <c r="E220" s="93">
        <f>IF(TrRoad_act!E81=0,0,TrRoad_emi!E78/TrRoad_tech!E193)</f>
        <v>1.3387859548612997</v>
      </c>
      <c r="F220" s="93">
        <f>IF(TrRoad_act!F81=0,0,TrRoad_emi!F78/TrRoad_tech!F193)</f>
        <v>1.4493811942457215</v>
      </c>
      <c r="G220" s="93">
        <f>IF(TrRoad_act!G81=0,0,TrRoad_emi!G78/TrRoad_tech!G193)</f>
        <v>1.3641298595317837</v>
      </c>
      <c r="H220" s="93">
        <f>IF(TrRoad_act!H81=0,0,TrRoad_emi!H78/TrRoad_tech!H193)</f>
        <v>1.3739066428442641</v>
      </c>
      <c r="I220" s="93">
        <f>IF(TrRoad_act!I81=0,0,TrRoad_emi!I78/TrRoad_tech!I193)</f>
        <v>1.4371797255911873</v>
      </c>
      <c r="J220" s="93">
        <f>IF(TrRoad_act!J81=0,0,TrRoad_emi!J78/TrRoad_tech!J193)</f>
        <v>1.3594553793150648</v>
      </c>
      <c r="K220" s="93">
        <f>IF(TrRoad_act!K81=0,0,TrRoad_emi!K78/TrRoad_tech!K193)</f>
        <v>1.441344687740753</v>
      </c>
      <c r="L220" s="93">
        <f>IF(TrRoad_act!L81=0,0,TrRoad_emi!L78/TrRoad_tech!L193)</f>
        <v>1.4809571839954898</v>
      </c>
      <c r="M220" s="93">
        <f>IF(TrRoad_act!M81=0,0,TrRoad_emi!M78/TrRoad_tech!M193)</f>
        <v>1.4424921412953668</v>
      </c>
      <c r="N220" s="93">
        <f>IF(TrRoad_act!N81=0,0,TrRoad_emi!N78/TrRoad_tech!N193)</f>
        <v>1.2966894905240882</v>
      </c>
      <c r="O220" s="93">
        <f>IF(TrRoad_act!O81=0,0,TrRoad_emi!O78/TrRoad_tech!O193)</f>
        <v>1.2140476567364153</v>
      </c>
      <c r="P220" s="93">
        <f>IF(TrRoad_act!P81=0,0,TrRoad_emi!P78/TrRoad_tech!P193)</f>
        <v>1.2216322828432133</v>
      </c>
      <c r="Q220" s="93">
        <f>IF(TrRoad_act!Q81=0,0,TrRoad_emi!Q78/TrRoad_tech!Q193)</f>
        <v>1.2786676521405831</v>
      </c>
      <c r="R220" s="93">
        <f>IF(TrRoad_act!R81=0,0,TrRoad_emi!R78/TrRoad_tech!R193)</f>
        <v>1.3017877761265022</v>
      </c>
      <c r="S220" s="93">
        <f>IF(TrRoad_act!S81=0,0,TrRoad_emi!S78/TrRoad_tech!S193)</f>
        <v>1.3173866229932134</v>
      </c>
      <c r="T220" s="93">
        <f>IF(TrRoad_act!T81=0,0,TrRoad_emi!T78/TrRoad_tech!T193)</f>
        <v>1.2861317253895748</v>
      </c>
      <c r="U220" s="93">
        <f>IF(TrRoad_act!U81=0,0,TrRoad_emi!U78/TrRoad_tech!U193)</f>
        <v>1.3162138846039231</v>
      </c>
      <c r="V220" s="93">
        <f>IF(TrRoad_act!V81=0,0,TrRoad_emi!V78/TrRoad_tech!V193)</f>
        <v>1.3172327194209348</v>
      </c>
      <c r="W220" s="93">
        <f>IF(TrRoad_act!W81=0,0,TrRoad_emi!W78/TrRoad_tech!W193)</f>
        <v>1.381723833866269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0</v>
      </c>
      <c r="C221" s="94">
        <f>IF(TrRoad_act!C82=0,0,TrRoad_emi!C79/TrRoad_tech!C194)</f>
        <v>0</v>
      </c>
      <c r="D221" s="94">
        <f>IF(TrRoad_act!D82=0,0,TrRoad_emi!D79/TrRoad_tech!D194)</f>
        <v>0</v>
      </c>
      <c r="E221" s="94">
        <f>IF(TrRoad_act!E82=0,0,TrRoad_emi!E79/TrRoad_tech!E194)</f>
        <v>0</v>
      </c>
      <c r="F221" s="94">
        <f>IF(TrRoad_act!F82=0,0,TrRoad_emi!F79/TrRoad_tech!F194)</f>
        <v>0</v>
      </c>
      <c r="G221" s="94">
        <f>IF(TrRoad_act!G82=0,0,TrRoad_emi!G79/TrRoad_tech!G194)</f>
        <v>0</v>
      </c>
      <c r="H221" s="94">
        <f>IF(TrRoad_act!H82=0,0,TrRoad_emi!H79/TrRoad_tech!H194)</f>
        <v>0</v>
      </c>
      <c r="I221" s="94">
        <f>IF(TrRoad_act!I82=0,0,TrRoad_emi!I79/TrRoad_tech!I194)</f>
        <v>0</v>
      </c>
      <c r="J221" s="94">
        <f>IF(TrRoad_act!J82=0,0,TrRoad_emi!J79/TrRoad_tech!J194)</f>
        <v>0</v>
      </c>
      <c r="K221" s="94">
        <f>IF(TrRoad_act!K82=0,0,TrRoad_emi!K79/TrRoad_tech!K194)</f>
        <v>0</v>
      </c>
      <c r="L221" s="94">
        <f>IF(TrRoad_act!L82=0,0,TrRoad_emi!L79/TrRoad_tech!L194)</f>
        <v>0</v>
      </c>
      <c r="M221" s="94">
        <f>IF(TrRoad_act!M82=0,0,TrRoad_emi!M79/TrRoad_tech!M194)</f>
        <v>0</v>
      </c>
      <c r="N221" s="94">
        <f>IF(TrRoad_act!N82=0,0,TrRoad_emi!N79/TrRoad_tech!N194)</f>
        <v>0</v>
      </c>
      <c r="O221" s="94">
        <f>IF(TrRoad_act!O82=0,0,TrRoad_emi!O79/TrRoad_tech!O194)</f>
        <v>0</v>
      </c>
      <c r="P221" s="94">
        <f>IF(TrRoad_act!P82=0,0,TrRoad_emi!P79/TrRoad_tech!P194)</f>
        <v>0</v>
      </c>
      <c r="Q221" s="94">
        <f>IF(TrRoad_act!Q82=0,0,TrRoad_emi!Q79/TrRoad_tech!Q194)</f>
        <v>0</v>
      </c>
      <c r="R221" s="94">
        <f>IF(TrRoad_act!R82=0,0,TrRoad_emi!R79/TrRoad_tech!R194)</f>
        <v>0</v>
      </c>
      <c r="S221" s="94">
        <f>IF(TrRoad_act!S82=0,0,TrRoad_emi!S79/TrRoad_tech!S194)</f>
        <v>0</v>
      </c>
      <c r="T221" s="94">
        <f>IF(TrRoad_act!T82=0,0,TrRoad_emi!T79/TrRoad_tech!T194)</f>
        <v>0</v>
      </c>
      <c r="U221" s="94">
        <f>IF(TrRoad_act!U82=0,0,TrRoad_emi!U79/TrRoad_tech!U194)</f>
        <v>0</v>
      </c>
      <c r="V221" s="94">
        <f>IF(TrRoad_act!V82=0,0,TrRoad_emi!V79/TrRoad_tech!V194)</f>
        <v>0</v>
      </c>
      <c r="W221" s="94">
        <f>IF(TrRoad_act!W82=0,0,TrRoad_emi!W79/TrRoad_tech!W194)</f>
        <v>0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103.57165724138888</v>
      </c>
      <c r="C225" s="152">
        <v>103.28891825290842</v>
      </c>
      <c r="D225" s="152">
        <v>102.97566898077997</v>
      </c>
      <c r="E225" s="152">
        <v>102.3271502237976</v>
      </c>
      <c r="F225" s="152">
        <v>102.25624846807817</v>
      </c>
      <c r="G225" s="152">
        <v>101.56281786572745</v>
      </c>
      <c r="H225" s="152">
        <v>100.5282645727781</v>
      </c>
      <c r="I225" s="152">
        <v>99.785532519232007</v>
      </c>
      <c r="J225" s="152">
        <v>97.302859353850579</v>
      </c>
      <c r="K225" s="152">
        <v>94.549159608173326</v>
      </c>
      <c r="L225" s="152">
        <v>92.797910352527992</v>
      </c>
      <c r="M225" s="152">
        <v>89.91443670429959</v>
      </c>
      <c r="N225" s="152">
        <v>86.531041257367207</v>
      </c>
      <c r="O225" s="152">
        <v>83.649141856391992</v>
      </c>
      <c r="P225" s="152">
        <v>78.012059064806991</v>
      </c>
      <c r="Q225" s="152">
        <v>74.473259105491181</v>
      </c>
      <c r="R225" s="152">
        <v>72.207840347298713</v>
      </c>
      <c r="S225" s="152">
        <v>70.395505340744734</v>
      </c>
      <c r="T225" s="152">
        <v>68.945637335501544</v>
      </c>
      <c r="U225" s="152">
        <v>67.785742931306984</v>
      </c>
      <c r="V225" s="152">
        <v>66.857827407951362</v>
      </c>
      <c r="W225" s="152">
        <v>66.11549498926685</v>
      </c>
      <c r="DA225" s="174" t="s">
        <v>931</v>
      </c>
    </row>
    <row r="226" spans="1:105" ht="11.45" customHeight="1" x14ac:dyDescent="0.25">
      <c r="A226" s="109" t="s">
        <v>20</v>
      </c>
      <c r="B226" s="116">
        <v>198.07381910210506</v>
      </c>
      <c r="C226" s="116">
        <v>197.60383610041453</v>
      </c>
      <c r="D226" s="116">
        <v>195.47405222583325</v>
      </c>
      <c r="E226" s="116">
        <v>193.09548562230827</v>
      </c>
      <c r="F226" s="116">
        <v>192.18823240714653</v>
      </c>
      <c r="G226" s="116">
        <v>191.27844840224037</v>
      </c>
      <c r="H226" s="116">
        <v>189.62929279663325</v>
      </c>
      <c r="I226" s="116">
        <v>189.97964733225498</v>
      </c>
      <c r="J226" s="116">
        <v>187.01336540430822</v>
      </c>
      <c r="K226" s="116">
        <v>181.93812559568724</v>
      </c>
      <c r="L226" s="116">
        <v>180.815282416222</v>
      </c>
      <c r="M226" s="116">
        <v>174.09566875419014</v>
      </c>
      <c r="N226" s="116">
        <v>167.57268527367353</v>
      </c>
      <c r="O226" s="116">
        <v>161.66532340232231</v>
      </c>
      <c r="P226" s="116">
        <v>154.43227612766398</v>
      </c>
      <c r="Q226" s="116">
        <v>148.85376362069661</v>
      </c>
      <c r="R226" s="116">
        <v>147.39448995864979</v>
      </c>
      <c r="S226" s="116">
        <v>147.8994558007233</v>
      </c>
      <c r="T226" s="116">
        <v>150.1538842244245</v>
      </c>
      <c r="U226" s="116">
        <v>152.52580179785909</v>
      </c>
      <c r="V226" s="116">
        <v>153.5326443634271</v>
      </c>
      <c r="W226" s="116">
        <v>147.05359264056992</v>
      </c>
      <c r="DA226" s="176" t="s">
        <v>932</v>
      </c>
    </row>
    <row r="227" spans="1:105" ht="11.45" customHeight="1" x14ac:dyDescent="0.25">
      <c r="A227" s="111" t="s">
        <v>110</v>
      </c>
      <c r="B227" s="87">
        <v>193.76761993989624</v>
      </c>
      <c r="C227" s="87">
        <v>193.23865610634098</v>
      </c>
      <c r="D227" s="87">
        <v>192.6526119362959</v>
      </c>
      <c r="E227" s="87">
        <v>191.43932695685422</v>
      </c>
      <c r="F227" s="87">
        <v>191.3066800067017</v>
      </c>
      <c r="G227" s="87">
        <v>190.00937144768318</v>
      </c>
      <c r="H227" s="87">
        <v>188.07387157624089</v>
      </c>
      <c r="I227" s="87">
        <v>186.68432711879072</v>
      </c>
      <c r="J227" s="87">
        <v>182.03960400478834</v>
      </c>
      <c r="K227" s="87">
        <v>176.88782928223662</v>
      </c>
      <c r="L227" s="87">
        <v>173.61149472096835</v>
      </c>
      <c r="M227" s="87">
        <v>168.21693175984319</v>
      </c>
      <c r="N227" s="87">
        <v>161.88708727797285</v>
      </c>
      <c r="O227" s="87">
        <v>156.49546950621411</v>
      </c>
      <c r="P227" s="87">
        <v>145.96795694594482</v>
      </c>
      <c r="Q227" s="87">
        <v>139.32871743478964</v>
      </c>
      <c r="R227" s="87">
        <v>135.79900182554266</v>
      </c>
      <c r="S227" s="87">
        <v>133.56001457580746</v>
      </c>
      <c r="T227" s="87">
        <v>133.92410256410261</v>
      </c>
      <c r="U227" s="87">
        <v>147.2344993244258</v>
      </c>
      <c r="V227" s="87">
        <v>148.7982430017868</v>
      </c>
      <c r="W227" s="87">
        <v>143.4854519437157</v>
      </c>
      <c r="DA227" s="171" t="s">
        <v>933</v>
      </c>
    </row>
    <row r="228" spans="1:105" ht="11.45" customHeight="1" x14ac:dyDescent="0.25">
      <c r="A228" s="111" t="s">
        <v>111</v>
      </c>
      <c r="B228" s="87">
        <v>228.24672700467082</v>
      </c>
      <c r="C228" s="87">
        <v>228.19001406802718</v>
      </c>
      <c r="D228" s="87">
        <v>228.12701622098913</v>
      </c>
      <c r="E228" s="87">
        <v>228.38658665578939</v>
      </c>
      <c r="F228" s="87">
        <v>227.63094724382853</v>
      </c>
      <c r="G228" s="87">
        <v>227.96978930882264</v>
      </c>
      <c r="H228" s="87">
        <v>228.69832805716297</v>
      </c>
      <c r="I228" s="87">
        <v>227.64090949843896</v>
      </c>
      <c r="J228" s="87">
        <v>222.38720749887841</v>
      </c>
      <c r="K228" s="87">
        <v>217.92995179168736</v>
      </c>
      <c r="L228" s="87">
        <v>213.66249538120815</v>
      </c>
      <c r="M228" s="87">
        <v>201.30585669235347</v>
      </c>
      <c r="N228" s="87">
        <v>193.63746826129872</v>
      </c>
      <c r="O228" s="87">
        <v>182.29063422930554</v>
      </c>
      <c r="P228" s="87">
        <v>172.51459188532979</v>
      </c>
      <c r="Q228" s="87">
        <v>170.56401406570174</v>
      </c>
      <c r="R228" s="87">
        <v>167.51434420490327</v>
      </c>
      <c r="S228" s="87">
        <v>167.75356734034943</v>
      </c>
      <c r="T228" s="87">
        <v>172.15294117647059</v>
      </c>
      <c r="U228" s="87">
        <v>160.12872542802791</v>
      </c>
      <c r="V228" s="87">
        <v>161.2503392130258</v>
      </c>
      <c r="W228" s="87">
        <v>162.73403083700441</v>
      </c>
      <c r="DA228" s="171" t="s">
        <v>934</v>
      </c>
    </row>
    <row r="229" spans="1:105" ht="11.45" customHeight="1" x14ac:dyDescent="0.25">
      <c r="A229" s="111" t="s">
        <v>112</v>
      </c>
      <c r="B229" s="87">
        <v>0</v>
      </c>
      <c r="C229" s="87">
        <v>0</v>
      </c>
      <c r="D229" s="87">
        <v>0</v>
      </c>
      <c r="E229" s="87">
        <v>0</v>
      </c>
      <c r="F229" s="87">
        <v>0</v>
      </c>
      <c r="G229" s="87">
        <v>0</v>
      </c>
      <c r="H229" s="87">
        <v>0</v>
      </c>
      <c r="I229" s="87">
        <v>0</v>
      </c>
      <c r="J229" s="87">
        <v>0</v>
      </c>
      <c r="K229" s="87">
        <v>0</v>
      </c>
      <c r="L229" s="87">
        <v>0</v>
      </c>
      <c r="M229" s="87">
        <v>0</v>
      </c>
      <c r="N229" s="87">
        <v>0</v>
      </c>
      <c r="O229" s="87">
        <v>0</v>
      </c>
      <c r="P229" s="87">
        <v>0</v>
      </c>
      <c r="Q229" s="87">
        <v>0</v>
      </c>
      <c r="R229" s="87">
        <v>0</v>
      </c>
      <c r="S229" s="87">
        <v>0</v>
      </c>
      <c r="T229" s="87">
        <v>129.7607697914238</v>
      </c>
      <c r="U229" s="87">
        <v>0</v>
      </c>
      <c r="V229" s="87">
        <v>0</v>
      </c>
      <c r="W229" s="87">
        <v>0</v>
      </c>
      <c r="DA229" s="171" t="s">
        <v>935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0</v>
      </c>
      <c r="J230" s="87">
        <v>0</v>
      </c>
      <c r="K230" s="87">
        <v>0</v>
      </c>
      <c r="L230" s="87">
        <v>0</v>
      </c>
      <c r="M230" s="87">
        <v>0</v>
      </c>
      <c r="N230" s="87">
        <v>0</v>
      </c>
      <c r="O230" s="87">
        <v>0</v>
      </c>
      <c r="P230" s="87">
        <v>0</v>
      </c>
      <c r="Q230" s="87">
        <v>0</v>
      </c>
      <c r="R230" s="87">
        <v>0</v>
      </c>
      <c r="S230" s="87">
        <v>0</v>
      </c>
      <c r="T230" s="87">
        <v>0</v>
      </c>
      <c r="U230" s="87">
        <v>0</v>
      </c>
      <c r="V230" s="87">
        <v>0</v>
      </c>
      <c r="W230" s="87">
        <v>0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0</v>
      </c>
      <c r="O231" s="87">
        <v>0</v>
      </c>
      <c r="P231" s="87">
        <v>50.393326592517703</v>
      </c>
      <c r="Q231" s="87">
        <v>50.191342872903718</v>
      </c>
      <c r="R231" s="87">
        <v>94.475800596918631</v>
      </c>
      <c r="S231" s="87">
        <v>61.534708322155986</v>
      </c>
      <c r="T231" s="87">
        <v>58.771311202722252</v>
      </c>
      <c r="U231" s="87">
        <v>58.565217391304351</v>
      </c>
      <c r="V231" s="87">
        <v>90.258064516129039</v>
      </c>
      <c r="W231" s="87">
        <v>35.071428571428569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1453.070207094552</v>
      </c>
      <c r="C233" s="116">
        <v>1456.1926014401072</v>
      </c>
      <c r="D233" s="116">
        <v>1455.0860181069575</v>
      </c>
      <c r="E233" s="116">
        <v>1449.6738237347527</v>
      </c>
      <c r="F233" s="116">
        <v>1452.5324037892055</v>
      </c>
      <c r="G233" s="116">
        <v>1450.0572998879095</v>
      </c>
      <c r="H233" s="116">
        <v>1427.7674714414618</v>
      </c>
      <c r="I233" s="116">
        <v>1443.6498037636748</v>
      </c>
      <c r="J233" s="116">
        <v>1425.3751891019085</v>
      </c>
      <c r="K233" s="116">
        <v>1424.1302435053919</v>
      </c>
      <c r="L233" s="116">
        <v>1409.7885302727623</v>
      </c>
      <c r="M233" s="116">
        <v>1396.6620840303133</v>
      </c>
      <c r="N233" s="116">
        <v>1386.7262929527528</v>
      </c>
      <c r="O233" s="116">
        <v>1380.6651150487</v>
      </c>
      <c r="P233" s="116">
        <v>1356.1662695111202</v>
      </c>
      <c r="Q233" s="116">
        <v>1340.2449215971562</v>
      </c>
      <c r="R233" s="116">
        <v>1326.0755844889816</v>
      </c>
      <c r="S233" s="116">
        <v>1313.4513062686103</v>
      </c>
      <c r="T233" s="116">
        <v>1302.1922454539229</v>
      </c>
      <c r="U233" s="116">
        <v>1278.7180246752112</v>
      </c>
      <c r="V233" s="116">
        <v>1278.7377272617543</v>
      </c>
      <c r="W233" s="116">
        <v>1275.1344996800483</v>
      </c>
      <c r="DA233" s="176" t="s">
        <v>939</v>
      </c>
    </row>
    <row r="234" spans="1:105" ht="11.45" customHeight="1" x14ac:dyDescent="0.25">
      <c r="A234" s="111" t="s">
        <v>110</v>
      </c>
      <c r="B234" s="101">
        <v>431.54857183912026</v>
      </c>
      <c r="C234" s="101">
        <v>0</v>
      </c>
      <c r="D234" s="101">
        <v>0</v>
      </c>
      <c r="E234" s="101">
        <v>426.36312593248994</v>
      </c>
      <c r="F234" s="101">
        <v>0</v>
      </c>
      <c r="G234" s="101">
        <v>0</v>
      </c>
      <c r="H234" s="101">
        <v>418.86776905324211</v>
      </c>
      <c r="I234" s="101">
        <v>0</v>
      </c>
      <c r="J234" s="101">
        <v>405.42858064104405</v>
      </c>
      <c r="K234" s="101">
        <v>0</v>
      </c>
      <c r="L234" s="101">
        <v>386.65795980219997</v>
      </c>
      <c r="M234" s="101">
        <v>374.64348626791497</v>
      </c>
      <c r="N234" s="101">
        <v>360.54600523902997</v>
      </c>
      <c r="O234" s="101">
        <v>0</v>
      </c>
      <c r="P234" s="101">
        <v>0</v>
      </c>
      <c r="Q234" s="101">
        <v>0</v>
      </c>
      <c r="R234" s="101">
        <v>0</v>
      </c>
      <c r="S234" s="101">
        <v>0</v>
      </c>
      <c r="T234" s="101">
        <v>0</v>
      </c>
      <c r="U234" s="101">
        <v>285.37094703013878</v>
      </c>
      <c r="V234" s="101">
        <v>0</v>
      </c>
      <c r="W234" s="101">
        <v>0</v>
      </c>
      <c r="DA234" s="175" t="s">
        <v>940</v>
      </c>
    </row>
    <row r="235" spans="1:105" ht="11.45" customHeight="1" x14ac:dyDescent="0.25">
      <c r="A235" s="111" t="s">
        <v>111</v>
      </c>
      <c r="B235" s="101">
        <v>1457.1892459463884</v>
      </c>
      <c r="C235" s="101">
        <v>1456.192601440107</v>
      </c>
      <c r="D235" s="101">
        <v>1455.0860181069577</v>
      </c>
      <c r="E235" s="101">
        <v>1452.7841905973735</v>
      </c>
      <c r="F235" s="101">
        <v>1452.5324037892055</v>
      </c>
      <c r="G235" s="101">
        <v>1450.0572998879095</v>
      </c>
      <c r="H235" s="101">
        <v>1446.336177620386</v>
      </c>
      <c r="I235" s="101">
        <v>1443.6498037636748</v>
      </c>
      <c r="J235" s="101">
        <v>1434.4995241674412</v>
      </c>
      <c r="K235" s="101">
        <v>1424.1302435053919</v>
      </c>
      <c r="L235" s="101">
        <v>1417.4428736927414</v>
      </c>
      <c r="M235" s="101">
        <v>1406.1692337769402</v>
      </c>
      <c r="N235" s="101">
        <v>1392.5568627693081</v>
      </c>
      <c r="O235" s="101">
        <v>1380.6651150487</v>
      </c>
      <c r="P235" s="101">
        <v>1356.1662695111202</v>
      </c>
      <c r="Q235" s="101">
        <v>1340.2449215971562</v>
      </c>
      <c r="R235" s="101">
        <v>1326.0755844889816</v>
      </c>
      <c r="S235" s="101">
        <v>1313.4513062686103</v>
      </c>
      <c r="T235" s="101">
        <v>1302.1922454539229</v>
      </c>
      <c r="U235" s="101">
        <v>1292.1416338325771</v>
      </c>
      <c r="V235" s="101">
        <v>1283.1624252799611</v>
      </c>
      <c r="W235" s="101">
        <v>1275.1344996800483</v>
      </c>
      <c r="DA235" s="175" t="s">
        <v>941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0</v>
      </c>
      <c r="Q236" s="101">
        <v>0</v>
      </c>
      <c r="R236" s="101">
        <v>0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0</v>
      </c>
      <c r="D237" s="101">
        <v>0</v>
      </c>
      <c r="E237" s="101">
        <v>0</v>
      </c>
      <c r="F237" s="101">
        <v>0</v>
      </c>
      <c r="G237" s="101">
        <v>0</v>
      </c>
      <c r="H237" s="101">
        <v>0</v>
      </c>
      <c r="I237" s="101">
        <v>0</v>
      </c>
      <c r="J237" s="101">
        <v>0</v>
      </c>
      <c r="K237" s="101">
        <v>0</v>
      </c>
      <c r="L237" s="101">
        <v>0</v>
      </c>
      <c r="M237" s="101">
        <v>0</v>
      </c>
      <c r="N237" s="101">
        <v>0</v>
      </c>
      <c r="O237" s="101">
        <v>0</v>
      </c>
      <c r="P237" s="101">
        <v>0</v>
      </c>
      <c r="Q237" s="101">
        <v>0</v>
      </c>
      <c r="R237" s="101">
        <v>0</v>
      </c>
      <c r="S237" s="101">
        <v>0</v>
      </c>
      <c r="T237" s="101">
        <v>0</v>
      </c>
      <c r="U237" s="101">
        <v>0</v>
      </c>
      <c r="V237" s="101">
        <v>0</v>
      </c>
      <c r="W237" s="101">
        <v>0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205.37583132953372</v>
      </c>
      <c r="C240" s="152">
        <v>205.277257003725</v>
      </c>
      <c r="D240" s="152">
        <v>205.12880272624196</v>
      </c>
      <c r="E240" s="152">
        <v>205.24585368035338</v>
      </c>
      <c r="F240" s="152">
        <v>206.13642220344016</v>
      </c>
      <c r="G240" s="152">
        <v>206.28411302952287</v>
      </c>
      <c r="H240" s="152">
        <v>205.94230213870304</v>
      </c>
      <c r="I240" s="152">
        <v>204.65739268592978</v>
      </c>
      <c r="J240" s="152">
        <v>200.3635948503117</v>
      </c>
      <c r="K240" s="152">
        <v>198.2142713294943</v>
      </c>
      <c r="L240" s="152">
        <v>194.76495297720416</v>
      </c>
      <c r="M240" s="152">
        <v>183.7536275364902</v>
      </c>
      <c r="N240" s="152">
        <v>146.73665950599639</v>
      </c>
      <c r="O240" s="152">
        <v>166.90010055761215</v>
      </c>
      <c r="P240" s="152">
        <v>131.59587303276436</v>
      </c>
      <c r="Q240" s="152">
        <v>148.67389372702286</v>
      </c>
      <c r="R240" s="152">
        <v>150.62332998425117</v>
      </c>
      <c r="S240" s="152">
        <v>138.99017443050235</v>
      </c>
      <c r="T240" s="152">
        <v>141.37586862404217</v>
      </c>
      <c r="U240" s="152">
        <v>140.57512253962122</v>
      </c>
      <c r="V240" s="152">
        <v>186.46052172333668</v>
      </c>
      <c r="W240" s="152">
        <v>188.45426660955323</v>
      </c>
      <c r="DA240" s="174" t="s">
        <v>945</v>
      </c>
    </row>
    <row r="241" spans="1:105" ht="11.45" customHeight="1" x14ac:dyDescent="0.25">
      <c r="A241" s="111" t="s">
        <v>110</v>
      </c>
      <c r="B241" s="87">
        <v>174.30806588140601</v>
      </c>
      <c r="C241" s="87">
        <v>173.83222444424109</v>
      </c>
      <c r="D241" s="87">
        <v>173.30503509323748</v>
      </c>
      <c r="E241" s="87">
        <v>172.21359701810891</v>
      </c>
      <c r="F241" s="87">
        <v>172.09427143970046</v>
      </c>
      <c r="G241" s="87">
        <v>170.92724804412975</v>
      </c>
      <c r="H241" s="87">
        <v>169.18612515058609</v>
      </c>
      <c r="I241" s="87">
        <v>167.93612885652266</v>
      </c>
      <c r="J241" s="87">
        <v>163.75786262810152</v>
      </c>
      <c r="K241" s="87">
        <v>159.12346660247431</v>
      </c>
      <c r="L241" s="87">
        <v>156.17616539326079</v>
      </c>
      <c r="M241" s="87">
        <v>151.32336369026896</v>
      </c>
      <c r="N241" s="87">
        <v>145.62920824103992</v>
      </c>
      <c r="O241" s="87">
        <v>140.41429564117087</v>
      </c>
      <c r="P241" s="87">
        <v>209.58920768802938</v>
      </c>
      <c r="Q241" s="87">
        <v>126.21198047556754</v>
      </c>
      <c r="R241" s="87">
        <v>135.25381408409336</v>
      </c>
      <c r="S241" s="87">
        <v>131.11351851150056</v>
      </c>
      <c r="T241" s="87">
        <v>131.69694613692192</v>
      </c>
      <c r="U241" s="87">
        <v>138.21985815602841</v>
      </c>
      <c r="V241" s="87">
        <v>136.15268166089959</v>
      </c>
      <c r="W241" s="87">
        <v>129.58385093167701</v>
      </c>
      <c r="DA241" s="171" t="s">
        <v>946</v>
      </c>
    </row>
    <row r="242" spans="1:105" ht="11.45" customHeight="1" x14ac:dyDescent="0.25">
      <c r="A242" s="111" t="s">
        <v>111</v>
      </c>
      <c r="B242" s="87">
        <v>209.21256518509773</v>
      </c>
      <c r="C242" s="87">
        <v>209.16058170603492</v>
      </c>
      <c r="D242" s="87">
        <v>209.10283743362879</v>
      </c>
      <c r="E242" s="87">
        <v>209.34076153104485</v>
      </c>
      <c r="F242" s="87">
        <v>208.64813709867764</v>
      </c>
      <c r="G242" s="87">
        <v>208.95872213330375</v>
      </c>
      <c r="H242" s="87">
        <v>209.6265059056156</v>
      </c>
      <c r="I242" s="87">
        <v>208.65726857175255</v>
      </c>
      <c r="J242" s="87">
        <v>203.84168814056574</v>
      </c>
      <c r="K242" s="87">
        <v>199.75613601710299</v>
      </c>
      <c r="L242" s="87">
        <v>195.84455527214033</v>
      </c>
      <c r="M242" s="87">
        <v>184.51837280684904</v>
      </c>
      <c r="N242" s="87">
        <v>146.75668899303972</v>
      </c>
      <c r="O242" s="87">
        <v>167.08888533394372</v>
      </c>
      <c r="P242" s="87">
        <v>119.24523861559878</v>
      </c>
      <c r="Q242" s="87">
        <v>148.84786723757631</v>
      </c>
      <c r="R242" s="87">
        <v>150.77490827403338</v>
      </c>
      <c r="S242" s="87">
        <v>139.45011406115518</v>
      </c>
      <c r="T242" s="87">
        <v>142.15864318154257</v>
      </c>
      <c r="U242" s="87">
        <v>140.8687050359712</v>
      </c>
      <c r="V242" s="87">
        <v>192.07500335565609</v>
      </c>
      <c r="W242" s="87">
        <v>195.96577686516079</v>
      </c>
      <c r="DA242" s="171" t="s">
        <v>947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0</v>
      </c>
      <c r="F243" s="87">
        <v>0</v>
      </c>
      <c r="G243" s="87">
        <v>0</v>
      </c>
      <c r="H243" s="87">
        <v>0</v>
      </c>
      <c r="I243" s="87">
        <v>0</v>
      </c>
      <c r="J243" s="87">
        <v>0</v>
      </c>
      <c r="K243" s="87">
        <v>0</v>
      </c>
      <c r="L243" s="87">
        <v>0</v>
      </c>
      <c r="M243" s="87">
        <v>0</v>
      </c>
      <c r="N243" s="87">
        <v>0</v>
      </c>
      <c r="O243" s="87">
        <v>0</v>
      </c>
      <c r="P243" s="87">
        <v>0</v>
      </c>
      <c r="Q243" s="87">
        <v>0</v>
      </c>
      <c r="R243" s="87">
        <v>0</v>
      </c>
      <c r="S243" s="87">
        <v>0</v>
      </c>
      <c r="T243" s="87">
        <v>0</v>
      </c>
      <c r="U243" s="87">
        <v>0</v>
      </c>
      <c r="V243" s="87">
        <v>0</v>
      </c>
      <c r="W243" s="87">
        <v>0</v>
      </c>
      <c r="DA243" s="171" t="s">
        <v>948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0</v>
      </c>
      <c r="O244" s="87">
        <v>0</v>
      </c>
      <c r="P244" s="87">
        <v>0</v>
      </c>
      <c r="Q244" s="87">
        <v>0</v>
      </c>
      <c r="R244" s="87">
        <v>0</v>
      </c>
      <c r="S244" s="87">
        <v>0</v>
      </c>
      <c r="T244" s="87">
        <v>0</v>
      </c>
      <c r="U244" s="87">
        <v>0</v>
      </c>
      <c r="V244" s="87">
        <v>0</v>
      </c>
      <c r="W244" s="87">
        <v>0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737.12787635505595</v>
      </c>
      <c r="C246" s="116">
        <v>733.21630395859165</v>
      </c>
      <c r="D246" s="116">
        <v>728.894451984287</v>
      </c>
      <c r="E246" s="116">
        <v>723.51294182510367</v>
      </c>
      <c r="F246" s="116">
        <v>717.08544799971617</v>
      </c>
      <c r="G246" s="116">
        <v>709.62818761099697</v>
      </c>
      <c r="H246" s="116">
        <v>701.15981921661501</v>
      </c>
      <c r="I246" s="116">
        <v>691.70132790061086</v>
      </c>
      <c r="J246" s="116">
        <v>681.27589784349311</v>
      </c>
      <c r="K246" s="116">
        <v>669.90877378940934</v>
      </c>
      <c r="L246" s="116">
        <v>657.62711293624216</v>
      </c>
      <c r="M246" s="116">
        <v>644.45982879821372</v>
      </c>
      <c r="N246" s="116">
        <v>630.437428650642</v>
      </c>
      <c r="O246" s="116">
        <v>615.59184618530412</v>
      </c>
      <c r="P246" s="116">
        <v>599.95627096657665</v>
      </c>
      <c r="Q246" s="116">
        <v>583.56497627876172</v>
      </c>
      <c r="R246" s="116">
        <v>571.63349449582108</v>
      </c>
      <c r="S246" s="116">
        <v>563.28145724776277</v>
      </c>
      <c r="T246" s="116">
        <v>554.51181813730159</v>
      </c>
      <c r="U246" s="116">
        <v>543.79337033562672</v>
      </c>
      <c r="V246" s="116">
        <v>534.17030919245394</v>
      </c>
      <c r="W246" s="116">
        <v>528.82860610052921</v>
      </c>
      <c r="DA246" s="176" t="s">
        <v>951</v>
      </c>
    </row>
    <row r="247" spans="1:105" ht="11.45" customHeight="1" x14ac:dyDescent="0.25">
      <c r="A247" s="128" t="s">
        <v>27</v>
      </c>
      <c r="B247" s="101">
        <v>689.37870217821023</v>
      </c>
      <c r="C247" s="101">
        <v>685.7205109896139</v>
      </c>
      <c r="D247" s="101">
        <v>681.67861703793653</v>
      </c>
      <c r="E247" s="101">
        <v>676.64570672712125</v>
      </c>
      <c r="F247" s="101">
        <v>670.63456877706244</v>
      </c>
      <c r="G247" s="101">
        <v>663.66036979004184</v>
      </c>
      <c r="H247" s="101">
        <v>655.74055967221875</v>
      </c>
      <c r="I247" s="101">
        <v>646.89476414996409</v>
      </c>
      <c r="J247" s="101">
        <v>637.14466559452183</v>
      </c>
      <c r="K247" s="101">
        <v>626.51387346296997</v>
      </c>
      <c r="L247" s="101">
        <v>615.02778578247751</v>
      </c>
      <c r="M247" s="101">
        <v>602.71344312707447</v>
      </c>
      <c r="N247" s="101">
        <v>589.59937659230081</v>
      </c>
      <c r="O247" s="101">
        <v>575.71545129070955</v>
      </c>
      <c r="P247" s="101">
        <v>561.09270685538149</v>
      </c>
      <c r="Q247" s="101">
        <v>545.76319643884187</v>
      </c>
      <c r="R247" s="101">
        <v>534.60460416410808</v>
      </c>
      <c r="S247" s="101">
        <v>526.79358957179431</v>
      </c>
      <c r="T247" s="101">
        <v>518.59202424986495</v>
      </c>
      <c r="U247" s="101">
        <v>508.56788885639594</v>
      </c>
      <c r="V247" s="101">
        <v>499.56818390063495</v>
      </c>
      <c r="W247" s="101">
        <v>494.57250206162854</v>
      </c>
      <c r="DA247" s="175" t="s">
        <v>952</v>
      </c>
    </row>
    <row r="248" spans="1:105" ht="11.45" customHeight="1" x14ac:dyDescent="0.25">
      <c r="A248" s="138" t="s">
        <v>116</v>
      </c>
      <c r="B248" s="88">
        <v>0</v>
      </c>
      <c r="C248" s="88">
        <v>0</v>
      </c>
      <c r="D248" s="88">
        <v>0</v>
      </c>
      <c r="E248" s="88">
        <v>0</v>
      </c>
      <c r="F248" s="88">
        <v>0</v>
      </c>
      <c r="G248" s="88">
        <v>0</v>
      </c>
      <c r="H248" s="88">
        <v>0</v>
      </c>
      <c r="I248" s="88">
        <v>0</v>
      </c>
      <c r="J248" s="88">
        <v>0</v>
      </c>
      <c r="K248" s="88">
        <v>0</v>
      </c>
      <c r="L248" s="88">
        <v>0</v>
      </c>
      <c r="M248" s="88">
        <v>0</v>
      </c>
      <c r="N248" s="88">
        <v>0</v>
      </c>
      <c r="O248" s="88">
        <v>0</v>
      </c>
      <c r="P248" s="88">
        <v>0</v>
      </c>
      <c r="Q248" s="88">
        <v>0</v>
      </c>
      <c r="R248" s="88">
        <v>0</v>
      </c>
      <c r="S248" s="88">
        <v>0</v>
      </c>
      <c r="T248" s="88">
        <v>0</v>
      </c>
      <c r="U248" s="88">
        <v>0</v>
      </c>
      <c r="V248" s="88">
        <v>0</v>
      </c>
      <c r="W248" s="88">
        <v>0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0</v>
      </c>
      <c r="C4" s="28">
        <f t="shared" ref="C4:V4" si="1">SUM(C5,C6,C9)</f>
        <v>0</v>
      </c>
      <c r="D4" s="28">
        <f t="shared" si="1"/>
        <v>0</v>
      </c>
      <c r="E4" s="28">
        <f t="shared" si="1"/>
        <v>0</v>
      </c>
      <c r="F4" s="28">
        <f t="shared" si="1"/>
        <v>0</v>
      </c>
      <c r="G4" s="28">
        <f t="shared" si="1"/>
        <v>0</v>
      </c>
      <c r="H4" s="28">
        <f t="shared" si="1"/>
        <v>0</v>
      </c>
      <c r="I4" s="28">
        <f t="shared" si="1"/>
        <v>0</v>
      </c>
      <c r="J4" s="28">
        <f t="shared" si="1"/>
        <v>0</v>
      </c>
      <c r="K4" s="28">
        <f t="shared" si="1"/>
        <v>0</v>
      </c>
      <c r="L4" s="28">
        <f t="shared" si="1"/>
        <v>0</v>
      </c>
      <c r="M4" s="28">
        <f t="shared" si="1"/>
        <v>0</v>
      </c>
      <c r="N4" s="28">
        <f t="shared" si="1"/>
        <v>0</v>
      </c>
      <c r="O4" s="28">
        <f t="shared" si="1"/>
        <v>0</v>
      </c>
      <c r="P4" s="28">
        <f t="shared" si="1"/>
        <v>0</v>
      </c>
      <c r="Q4" s="28">
        <f t="shared" si="1"/>
        <v>0</v>
      </c>
      <c r="R4" s="28">
        <f t="shared" si="1"/>
        <v>0</v>
      </c>
      <c r="S4" s="28">
        <f t="shared" si="1"/>
        <v>0</v>
      </c>
      <c r="T4" s="28">
        <f t="shared" si="1"/>
        <v>0</v>
      </c>
      <c r="U4" s="28">
        <f t="shared" si="1"/>
        <v>0</v>
      </c>
      <c r="V4" s="28">
        <f t="shared" si="1"/>
        <v>0</v>
      </c>
      <c r="W4" s="28">
        <f t="shared" ref="W4" si="2">SUM(W5,W6,W9)</f>
        <v>0</v>
      </c>
      <c r="DA4" s="173" t="s">
        <v>375</v>
      </c>
    </row>
    <row r="5" spans="1:105" ht="11.45" customHeight="1" x14ac:dyDescent="0.25">
      <c r="A5" s="107" t="s">
        <v>23</v>
      </c>
      <c r="B5" s="108">
        <v>0</v>
      </c>
      <c r="C5" s="108">
        <v>0</v>
      </c>
      <c r="D5" s="108">
        <v>0</v>
      </c>
      <c r="E5" s="108">
        <v>0</v>
      </c>
      <c r="F5" s="108">
        <v>0</v>
      </c>
      <c r="G5" s="108">
        <v>0</v>
      </c>
      <c r="H5" s="108">
        <v>0</v>
      </c>
      <c r="I5" s="108">
        <v>0</v>
      </c>
      <c r="J5" s="108">
        <v>0</v>
      </c>
      <c r="K5" s="108">
        <v>0</v>
      </c>
      <c r="L5" s="108">
        <v>0</v>
      </c>
      <c r="M5" s="108">
        <v>0</v>
      </c>
      <c r="N5" s="108">
        <v>0</v>
      </c>
      <c r="O5" s="108">
        <v>0</v>
      </c>
      <c r="P5" s="108">
        <v>0</v>
      </c>
      <c r="Q5" s="108">
        <v>0</v>
      </c>
      <c r="R5" s="108">
        <v>0</v>
      </c>
      <c r="S5" s="108">
        <v>0</v>
      </c>
      <c r="T5" s="108">
        <v>0</v>
      </c>
      <c r="U5" s="108">
        <v>0</v>
      </c>
      <c r="V5" s="108">
        <v>0</v>
      </c>
      <c r="W5" s="108">
        <v>0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0</v>
      </c>
      <c r="C6" s="110">
        <f t="shared" ref="C6:V6" si="4">SUM(C7:C8)</f>
        <v>0</v>
      </c>
      <c r="D6" s="110">
        <f t="shared" si="4"/>
        <v>0</v>
      </c>
      <c r="E6" s="110">
        <f t="shared" si="4"/>
        <v>0</v>
      </c>
      <c r="F6" s="110">
        <f t="shared" si="4"/>
        <v>0</v>
      </c>
      <c r="G6" s="110">
        <f t="shared" si="4"/>
        <v>0</v>
      </c>
      <c r="H6" s="110">
        <f t="shared" si="4"/>
        <v>0</v>
      </c>
      <c r="I6" s="110">
        <f t="shared" si="4"/>
        <v>0</v>
      </c>
      <c r="J6" s="110">
        <f t="shared" si="4"/>
        <v>0</v>
      </c>
      <c r="K6" s="110">
        <f t="shared" si="4"/>
        <v>0</v>
      </c>
      <c r="L6" s="110">
        <f t="shared" si="4"/>
        <v>0</v>
      </c>
      <c r="M6" s="110">
        <f t="shared" si="4"/>
        <v>0</v>
      </c>
      <c r="N6" s="110">
        <f t="shared" si="4"/>
        <v>0</v>
      </c>
      <c r="O6" s="110">
        <f t="shared" si="4"/>
        <v>0</v>
      </c>
      <c r="P6" s="110">
        <f t="shared" si="4"/>
        <v>0</v>
      </c>
      <c r="Q6" s="110">
        <f t="shared" si="4"/>
        <v>0</v>
      </c>
      <c r="R6" s="110">
        <f t="shared" si="4"/>
        <v>0</v>
      </c>
      <c r="S6" s="110">
        <f t="shared" si="4"/>
        <v>0</v>
      </c>
      <c r="T6" s="110">
        <f t="shared" si="4"/>
        <v>0</v>
      </c>
      <c r="U6" s="110">
        <f t="shared" si="4"/>
        <v>0</v>
      </c>
      <c r="V6" s="110">
        <f t="shared" si="4"/>
        <v>0</v>
      </c>
      <c r="W6" s="110">
        <f t="shared" ref="W6" si="5">SUM(W7:W8)</f>
        <v>0</v>
      </c>
      <c r="DA6" s="176" t="s">
        <v>377</v>
      </c>
    </row>
    <row r="7" spans="1:105" ht="11.45" customHeight="1" x14ac:dyDescent="0.25">
      <c r="A7" s="111" t="s">
        <v>90</v>
      </c>
      <c r="B7" s="84">
        <v>0</v>
      </c>
      <c r="C7" s="84">
        <v>0</v>
      </c>
      <c r="D7" s="84">
        <v>0</v>
      </c>
      <c r="E7" s="84">
        <v>0</v>
      </c>
      <c r="F7" s="84">
        <v>0</v>
      </c>
      <c r="G7" s="84">
        <v>0</v>
      </c>
      <c r="H7" s="84">
        <v>0</v>
      </c>
      <c r="I7" s="84">
        <v>0</v>
      </c>
      <c r="J7" s="84">
        <v>0</v>
      </c>
      <c r="K7" s="84">
        <v>0</v>
      </c>
      <c r="L7" s="84">
        <v>0</v>
      </c>
      <c r="M7" s="84">
        <v>0</v>
      </c>
      <c r="N7" s="84">
        <v>0</v>
      </c>
      <c r="O7" s="84">
        <v>0</v>
      </c>
      <c r="P7" s="84">
        <v>0</v>
      </c>
      <c r="Q7" s="84">
        <v>0</v>
      </c>
      <c r="R7" s="84">
        <v>0</v>
      </c>
      <c r="S7" s="84">
        <v>0</v>
      </c>
      <c r="T7" s="84">
        <v>0</v>
      </c>
      <c r="U7" s="84">
        <v>0</v>
      </c>
      <c r="V7" s="84">
        <v>0</v>
      </c>
      <c r="W7" s="84">
        <v>0</v>
      </c>
      <c r="DA7" s="171" t="s">
        <v>1029</v>
      </c>
    </row>
    <row r="8" spans="1:105" ht="11.45" customHeight="1" x14ac:dyDescent="0.25">
      <c r="A8" s="111" t="s">
        <v>93</v>
      </c>
      <c r="B8" s="84">
        <v>0</v>
      </c>
      <c r="C8" s="84">
        <v>0</v>
      </c>
      <c r="D8" s="84">
        <v>0</v>
      </c>
      <c r="E8" s="84">
        <v>0</v>
      </c>
      <c r="F8" s="84">
        <v>0</v>
      </c>
      <c r="G8" s="84">
        <v>0</v>
      </c>
      <c r="H8" s="84">
        <v>0</v>
      </c>
      <c r="I8" s="84">
        <v>0</v>
      </c>
      <c r="J8" s="84">
        <v>0</v>
      </c>
      <c r="K8" s="84">
        <v>0</v>
      </c>
      <c r="L8" s="84">
        <v>0</v>
      </c>
      <c r="M8" s="84">
        <v>0</v>
      </c>
      <c r="N8" s="84">
        <v>0</v>
      </c>
      <c r="O8" s="84">
        <v>0</v>
      </c>
      <c r="P8" s="84">
        <v>0</v>
      </c>
      <c r="Q8" s="84">
        <v>0</v>
      </c>
      <c r="R8" s="84">
        <v>0</v>
      </c>
      <c r="S8" s="84">
        <v>0</v>
      </c>
      <c r="T8" s="84">
        <v>0</v>
      </c>
      <c r="U8" s="84">
        <v>0</v>
      </c>
      <c r="V8" s="84">
        <v>0</v>
      </c>
      <c r="W8" s="84">
        <v>0</v>
      </c>
      <c r="DA8" s="171" t="s">
        <v>1030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  <c r="M9" s="113">
        <v>0</v>
      </c>
      <c r="N9" s="113">
        <v>0</v>
      </c>
      <c r="O9" s="113">
        <v>0</v>
      </c>
      <c r="P9" s="113">
        <v>0</v>
      </c>
      <c r="Q9" s="113">
        <v>0</v>
      </c>
      <c r="R9" s="113">
        <v>0</v>
      </c>
      <c r="S9" s="113">
        <v>0</v>
      </c>
      <c r="T9" s="113">
        <v>0</v>
      </c>
      <c r="U9" s="113">
        <v>0</v>
      </c>
      <c r="V9" s="113">
        <v>0</v>
      </c>
      <c r="W9" s="113">
        <v>0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0</v>
      </c>
      <c r="C10" s="28">
        <f t="shared" ref="C10:V10" si="7">SUM(C11:C12)</f>
        <v>0</v>
      </c>
      <c r="D10" s="28">
        <f t="shared" si="7"/>
        <v>0</v>
      </c>
      <c r="E10" s="28">
        <f t="shared" si="7"/>
        <v>0</v>
      </c>
      <c r="F10" s="28">
        <f t="shared" si="7"/>
        <v>0</v>
      </c>
      <c r="G10" s="28">
        <f t="shared" si="7"/>
        <v>0</v>
      </c>
      <c r="H10" s="28">
        <f t="shared" si="7"/>
        <v>0</v>
      </c>
      <c r="I10" s="28">
        <f t="shared" si="7"/>
        <v>0</v>
      </c>
      <c r="J10" s="28">
        <f t="shared" si="7"/>
        <v>0</v>
      </c>
      <c r="K10" s="28">
        <f t="shared" si="7"/>
        <v>0</v>
      </c>
      <c r="L10" s="28">
        <f t="shared" si="7"/>
        <v>0</v>
      </c>
      <c r="M10" s="28">
        <f t="shared" si="7"/>
        <v>0</v>
      </c>
      <c r="N10" s="28">
        <f t="shared" si="7"/>
        <v>0</v>
      </c>
      <c r="O10" s="28">
        <f t="shared" si="7"/>
        <v>0</v>
      </c>
      <c r="P10" s="28">
        <f t="shared" si="7"/>
        <v>0</v>
      </c>
      <c r="Q10" s="28">
        <f t="shared" si="7"/>
        <v>0</v>
      </c>
      <c r="R10" s="28">
        <f t="shared" si="7"/>
        <v>0</v>
      </c>
      <c r="S10" s="28">
        <f t="shared" si="7"/>
        <v>0</v>
      </c>
      <c r="T10" s="28">
        <f t="shared" si="7"/>
        <v>0</v>
      </c>
      <c r="U10" s="28">
        <f t="shared" si="7"/>
        <v>0</v>
      </c>
      <c r="V10" s="28">
        <f t="shared" si="7"/>
        <v>0</v>
      </c>
      <c r="W10" s="28">
        <f t="shared" ref="W10" si="8">SUM(W11:W12)</f>
        <v>0</v>
      </c>
      <c r="DA10" s="173" t="s">
        <v>383</v>
      </c>
    </row>
    <row r="11" spans="1:105" ht="11.45" customHeight="1" x14ac:dyDescent="0.25">
      <c r="A11" s="83" t="s">
        <v>90</v>
      </c>
      <c r="B11" s="84">
        <v>0</v>
      </c>
      <c r="C11" s="84">
        <v>0</v>
      </c>
      <c r="D11" s="84">
        <v>0</v>
      </c>
      <c r="E11" s="84">
        <v>0</v>
      </c>
      <c r="F11" s="84">
        <v>0</v>
      </c>
      <c r="G11" s="84">
        <v>0</v>
      </c>
      <c r="H11" s="84">
        <v>0</v>
      </c>
      <c r="I11" s="84">
        <v>0</v>
      </c>
      <c r="J11" s="84">
        <v>0</v>
      </c>
      <c r="K11" s="84">
        <v>0</v>
      </c>
      <c r="L11" s="84">
        <v>0</v>
      </c>
      <c r="M11" s="84">
        <v>0</v>
      </c>
      <c r="N11" s="84">
        <v>0</v>
      </c>
      <c r="O11" s="84">
        <v>0</v>
      </c>
      <c r="P11" s="84">
        <v>0</v>
      </c>
      <c r="Q11" s="84">
        <v>0</v>
      </c>
      <c r="R11" s="84">
        <v>0</v>
      </c>
      <c r="S11" s="84">
        <v>0</v>
      </c>
      <c r="T11" s="84">
        <v>0</v>
      </c>
      <c r="U11" s="84">
        <v>0</v>
      </c>
      <c r="V11" s="84">
        <v>0</v>
      </c>
      <c r="W11" s="84">
        <v>0</v>
      </c>
      <c r="DA11" s="171" t="s">
        <v>1031</v>
      </c>
    </row>
    <row r="12" spans="1:105" ht="11.45" customHeight="1" x14ac:dyDescent="0.25">
      <c r="A12" s="85" t="s">
        <v>93</v>
      </c>
      <c r="B12" s="86">
        <v>0</v>
      </c>
      <c r="C12" s="86">
        <v>0</v>
      </c>
      <c r="D12" s="86">
        <v>0</v>
      </c>
      <c r="E12" s="86">
        <v>0</v>
      </c>
      <c r="F12" s="86">
        <v>0</v>
      </c>
      <c r="G12" s="86">
        <v>0</v>
      </c>
      <c r="H12" s="86">
        <v>0</v>
      </c>
      <c r="I12" s="86">
        <v>0</v>
      </c>
      <c r="J12" s="86">
        <v>0</v>
      </c>
      <c r="K12" s="86">
        <v>0</v>
      </c>
      <c r="L12" s="86">
        <v>0</v>
      </c>
      <c r="M12" s="86">
        <v>0</v>
      </c>
      <c r="N12" s="86">
        <v>0</v>
      </c>
      <c r="O12" s="86">
        <v>0</v>
      </c>
      <c r="P12" s="86">
        <v>0</v>
      </c>
      <c r="Q12" s="86">
        <v>0</v>
      </c>
      <c r="R12" s="86">
        <v>0</v>
      </c>
      <c r="S12" s="86">
        <v>0</v>
      </c>
      <c r="T12" s="86">
        <v>0</v>
      </c>
      <c r="U12" s="86">
        <v>0</v>
      </c>
      <c r="V12" s="86">
        <v>0</v>
      </c>
      <c r="W12" s="86">
        <v>0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0</v>
      </c>
      <c r="C14" s="62">
        <f t="shared" ref="C14:V14" si="10">C15+C21</f>
        <v>0</v>
      </c>
      <c r="D14" s="62">
        <f t="shared" si="10"/>
        <v>0</v>
      </c>
      <c r="E14" s="62">
        <f t="shared" si="10"/>
        <v>0</v>
      </c>
      <c r="F14" s="62">
        <f t="shared" si="10"/>
        <v>0</v>
      </c>
      <c r="G14" s="62">
        <f t="shared" si="10"/>
        <v>0</v>
      </c>
      <c r="H14" s="62">
        <f t="shared" si="10"/>
        <v>0</v>
      </c>
      <c r="I14" s="62">
        <f t="shared" si="10"/>
        <v>0</v>
      </c>
      <c r="J14" s="62">
        <f t="shared" si="10"/>
        <v>0</v>
      </c>
      <c r="K14" s="62">
        <f t="shared" si="10"/>
        <v>0</v>
      </c>
      <c r="L14" s="62">
        <f t="shared" si="10"/>
        <v>0</v>
      </c>
      <c r="M14" s="62">
        <f t="shared" si="10"/>
        <v>0</v>
      </c>
      <c r="N14" s="62">
        <f t="shared" si="10"/>
        <v>0</v>
      </c>
      <c r="O14" s="62">
        <f t="shared" si="10"/>
        <v>0</v>
      </c>
      <c r="P14" s="62">
        <f t="shared" si="10"/>
        <v>0</v>
      </c>
      <c r="Q14" s="62">
        <f t="shared" si="10"/>
        <v>0</v>
      </c>
      <c r="R14" s="62">
        <f t="shared" si="10"/>
        <v>0</v>
      </c>
      <c r="S14" s="62">
        <f t="shared" si="10"/>
        <v>0</v>
      </c>
      <c r="T14" s="62">
        <f t="shared" si="10"/>
        <v>0</v>
      </c>
      <c r="U14" s="62">
        <f t="shared" si="10"/>
        <v>0</v>
      </c>
      <c r="V14" s="62">
        <f t="shared" si="10"/>
        <v>0</v>
      </c>
      <c r="W14" s="62">
        <f t="shared" ref="W14" si="11">W15+W21</f>
        <v>0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0</v>
      </c>
      <c r="C15" s="29">
        <f t="shared" ref="C15:V15" si="13">SUM(C16,C17,C20)</f>
        <v>0</v>
      </c>
      <c r="D15" s="29">
        <f t="shared" si="13"/>
        <v>0</v>
      </c>
      <c r="E15" s="29">
        <f t="shared" si="13"/>
        <v>0</v>
      </c>
      <c r="F15" s="29">
        <f t="shared" si="13"/>
        <v>0</v>
      </c>
      <c r="G15" s="29">
        <f t="shared" si="13"/>
        <v>0</v>
      </c>
      <c r="H15" s="29">
        <f t="shared" si="13"/>
        <v>0</v>
      </c>
      <c r="I15" s="29">
        <f t="shared" si="13"/>
        <v>0</v>
      </c>
      <c r="J15" s="29">
        <f t="shared" si="13"/>
        <v>0</v>
      </c>
      <c r="K15" s="29">
        <f t="shared" si="13"/>
        <v>0</v>
      </c>
      <c r="L15" s="29">
        <f t="shared" si="13"/>
        <v>0</v>
      </c>
      <c r="M15" s="29">
        <f t="shared" si="13"/>
        <v>0</v>
      </c>
      <c r="N15" s="29">
        <f t="shared" si="13"/>
        <v>0</v>
      </c>
      <c r="O15" s="29">
        <f t="shared" si="13"/>
        <v>0</v>
      </c>
      <c r="P15" s="29">
        <f t="shared" si="13"/>
        <v>0</v>
      </c>
      <c r="Q15" s="29">
        <f t="shared" si="13"/>
        <v>0</v>
      </c>
      <c r="R15" s="29">
        <f t="shared" si="13"/>
        <v>0</v>
      </c>
      <c r="S15" s="29">
        <f t="shared" si="13"/>
        <v>0</v>
      </c>
      <c r="T15" s="29">
        <f t="shared" si="13"/>
        <v>0</v>
      </c>
      <c r="U15" s="29">
        <f t="shared" si="13"/>
        <v>0</v>
      </c>
      <c r="V15" s="29">
        <f t="shared" si="13"/>
        <v>0</v>
      </c>
      <c r="W15" s="29">
        <f t="shared" ref="W15" si="14">SUM(W16,W17,W20)</f>
        <v>0</v>
      </c>
      <c r="DA15" s="173" t="s">
        <v>1034</v>
      </c>
    </row>
    <row r="16" spans="1:105" ht="11.45" customHeight="1" x14ac:dyDescent="0.25">
      <c r="A16" s="107" t="s">
        <v>23</v>
      </c>
      <c r="B16" s="115">
        <v>0</v>
      </c>
      <c r="C16" s="115">
        <v>0</v>
      </c>
      <c r="D16" s="115">
        <v>0</v>
      </c>
      <c r="E16" s="115">
        <v>0</v>
      </c>
      <c r="F16" s="115">
        <v>0</v>
      </c>
      <c r="G16" s="115">
        <v>0</v>
      </c>
      <c r="H16" s="115">
        <v>0</v>
      </c>
      <c r="I16" s="115">
        <v>0</v>
      </c>
      <c r="J16" s="115">
        <v>0</v>
      </c>
      <c r="K16" s="115">
        <v>0</v>
      </c>
      <c r="L16" s="115">
        <v>0</v>
      </c>
      <c r="M16" s="115">
        <v>0</v>
      </c>
      <c r="N16" s="115">
        <v>0</v>
      </c>
      <c r="O16" s="115">
        <v>0</v>
      </c>
      <c r="P16" s="115">
        <v>0</v>
      </c>
      <c r="Q16" s="115">
        <v>0</v>
      </c>
      <c r="R16" s="115">
        <v>0</v>
      </c>
      <c r="S16" s="115">
        <v>0</v>
      </c>
      <c r="T16" s="115">
        <v>0</v>
      </c>
      <c r="U16" s="115">
        <v>0</v>
      </c>
      <c r="V16" s="115">
        <v>0</v>
      </c>
      <c r="W16" s="115">
        <v>0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0</v>
      </c>
      <c r="C17" s="116">
        <f t="shared" ref="C17:V17" si="16">SUM(C18:C19)</f>
        <v>0</v>
      </c>
      <c r="D17" s="116">
        <f t="shared" si="16"/>
        <v>0</v>
      </c>
      <c r="E17" s="116">
        <f t="shared" si="16"/>
        <v>0</v>
      </c>
      <c r="F17" s="116">
        <f t="shared" si="16"/>
        <v>0</v>
      </c>
      <c r="G17" s="116">
        <f t="shared" si="16"/>
        <v>0</v>
      </c>
      <c r="H17" s="116">
        <f t="shared" si="16"/>
        <v>0</v>
      </c>
      <c r="I17" s="116">
        <f t="shared" si="16"/>
        <v>0</v>
      </c>
      <c r="J17" s="116">
        <f t="shared" si="16"/>
        <v>0</v>
      </c>
      <c r="K17" s="116">
        <f t="shared" si="16"/>
        <v>0</v>
      </c>
      <c r="L17" s="116">
        <f t="shared" si="16"/>
        <v>0</v>
      </c>
      <c r="M17" s="116">
        <f t="shared" si="16"/>
        <v>0</v>
      </c>
      <c r="N17" s="116">
        <f t="shared" si="16"/>
        <v>0</v>
      </c>
      <c r="O17" s="116">
        <f t="shared" si="16"/>
        <v>0</v>
      </c>
      <c r="P17" s="116">
        <f t="shared" si="16"/>
        <v>0</v>
      </c>
      <c r="Q17" s="116">
        <f t="shared" si="16"/>
        <v>0</v>
      </c>
      <c r="R17" s="116">
        <f t="shared" si="16"/>
        <v>0</v>
      </c>
      <c r="S17" s="116">
        <f t="shared" si="16"/>
        <v>0</v>
      </c>
      <c r="T17" s="116">
        <f t="shared" si="16"/>
        <v>0</v>
      </c>
      <c r="U17" s="116">
        <f t="shared" si="16"/>
        <v>0</v>
      </c>
      <c r="V17" s="116">
        <f t="shared" si="16"/>
        <v>0</v>
      </c>
      <c r="W17" s="116">
        <f t="shared" ref="W17" si="17">SUM(W18:W19)</f>
        <v>0</v>
      </c>
      <c r="DA17" s="176" t="s">
        <v>1036</v>
      </c>
    </row>
    <row r="18" spans="1:105" ht="11.45" customHeight="1" x14ac:dyDescent="0.25">
      <c r="A18" s="111" t="s">
        <v>92</v>
      </c>
      <c r="B18" s="87">
        <v>0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0</v>
      </c>
      <c r="I18" s="87">
        <v>0</v>
      </c>
      <c r="J18" s="87">
        <v>0</v>
      </c>
      <c r="K18" s="87">
        <v>0</v>
      </c>
      <c r="L18" s="87">
        <v>0</v>
      </c>
      <c r="M18" s="87">
        <v>0</v>
      </c>
      <c r="N18" s="87">
        <v>0</v>
      </c>
      <c r="O18" s="87">
        <v>0</v>
      </c>
      <c r="P18" s="87">
        <v>0</v>
      </c>
      <c r="Q18" s="87">
        <v>0</v>
      </c>
      <c r="R18" s="87">
        <v>0</v>
      </c>
      <c r="S18" s="87">
        <v>0</v>
      </c>
      <c r="T18" s="87">
        <v>0</v>
      </c>
      <c r="U18" s="87">
        <v>0</v>
      </c>
      <c r="V18" s="87">
        <v>0</v>
      </c>
      <c r="W18" s="87">
        <v>0</v>
      </c>
      <c r="DA18" s="171" t="s">
        <v>1037</v>
      </c>
    </row>
    <row r="19" spans="1:105" ht="11.45" customHeight="1" x14ac:dyDescent="0.25">
      <c r="A19" s="111" t="s">
        <v>93</v>
      </c>
      <c r="B19" s="87">
        <v>0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0</v>
      </c>
      <c r="I19" s="87">
        <v>0</v>
      </c>
      <c r="J19" s="87">
        <v>0</v>
      </c>
      <c r="K19" s="87">
        <v>0</v>
      </c>
      <c r="L19" s="87">
        <v>0</v>
      </c>
      <c r="M19" s="87">
        <v>0</v>
      </c>
      <c r="N19" s="87">
        <v>0</v>
      </c>
      <c r="O19" s="87">
        <v>0</v>
      </c>
      <c r="P19" s="87">
        <v>0</v>
      </c>
      <c r="Q19" s="87">
        <v>0</v>
      </c>
      <c r="R19" s="87">
        <v>0</v>
      </c>
      <c r="S19" s="87">
        <v>0</v>
      </c>
      <c r="T19" s="87">
        <v>0</v>
      </c>
      <c r="U19" s="87">
        <v>0</v>
      </c>
      <c r="V19" s="87">
        <v>0</v>
      </c>
      <c r="W19" s="87">
        <v>0</v>
      </c>
      <c r="DA19" s="171" t="s">
        <v>1038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  <c r="O20" s="117">
        <v>0</v>
      </c>
      <c r="P20" s="117">
        <v>0</v>
      </c>
      <c r="Q20" s="117">
        <v>0</v>
      </c>
      <c r="R20" s="117">
        <v>0</v>
      </c>
      <c r="S20" s="117">
        <v>0</v>
      </c>
      <c r="T20" s="117">
        <v>0</v>
      </c>
      <c r="U20" s="117">
        <v>0</v>
      </c>
      <c r="V20" s="117">
        <v>0</v>
      </c>
      <c r="W20" s="117">
        <v>0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0</v>
      </c>
      <c r="C21" s="29">
        <f t="shared" ref="C21:V21" si="19">SUM(C22:C23)</f>
        <v>0</v>
      </c>
      <c r="D21" s="29">
        <f t="shared" si="19"/>
        <v>0</v>
      </c>
      <c r="E21" s="29">
        <f t="shared" si="19"/>
        <v>0</v>
      </c>
      <c r="F21" s="29">
        <f t="shared" si="19"/>
        <v>0</v>
      </c>
      <c r="G21" s="29">
        <f t="shared" si="19"/>
        <v>0</v>
      </c>
      <c r="H21" s="29">
        <f t="shared" si="19"/>
        <v>0</v>
      </c>
      <c r="I21" s="29">
        <f t="shared" si="19"/>
        <v>0</v>
      </c>
      <c r="J21" s="29">
        <f t="shared" si="19"/>
        <v>0</v>
      </c>
      <c r="K21" s="29">
        <f t="shared" si="19"/>
        <v>0</v>
      </c>
      <c r="L21" s="29">
        <f t="shared" si="19"/>
        <v>0</v>
      </c>
      <c r="M21" s="29">
        <f t="shared" si="19"/>
        <v>0</v>
      </c>
      <c r="N21" s="29">
        <f t="shared" si="19"/>
        <v>0</v>
      </c>
      <c r="O21" s="29">
        <f t="shared" si="19"/>
        <v>0</v>
      </c>
      <c r="P21" s="29">
        <f t="shared" si="19"/>
        <v>0</v>
      </c>
      <c r="Q21" s="29">
        <f t="shared" si="19"/>
        <v>0</v>
      </c>
      <c r="R21" s="29">
        <f t="shared" si="19"/>
        <v>0</v>
      </c>
      <c r="S21" s="29">
        <f t="shared" si="19"/>
        <v>0</v>
      </c>
      <c r="T21" s="29">
        <f t="shared" si="19"/>
        <v>0</v>
      </c>
      <c r="U21" s="29">
        <f t="shared" si="19"/>
        <v>0</v>
      </c>
      <c r="V21" s="29">
        <f t="shared" si="19"/>
        <v>0</v>
      </c>
      <c r="W21" s="29">
        <f t="shared" ref="W21" si="20">SUM(W22:W23)</f>
        <v>0</v>
      </c>
      <c r="DA21" s="173" t="s">
        <v>1040</v>
      </c>
    </row>
    <row r="22" spans="1:105" ht="11.45" customHeight="1" x14ac:dyDescent="0.25">
      <c r="A22" s="83" t="s">
        <v>92</v>
      </c>
      <c r="B22" s="87">
        <v>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0</v>
      </c>
      <c r="I22" s="87">
        <v>0</v>
      </c>
      <c r="J22" s="87">
        <v>0</v>
      </c>
      <c r="K22" s="87">
        <v>0</v>
      </c>
      <c r="L22" s="87">
        <v>0</v>
      </c>
      <c r="M22" s="87">
        <v>0</v>
      </c>
      <c r="N22" s="87">
        <v>0</v>
      </c>
      <c r="O22" s="87">
        <v>0</v>
      </c>
      <c r="P22" s="87">
        <v>0</v>
      </c>
      <c r="Q22" s="87">
        <v>0</v>
      </c>
      <c r="R22" s="87">
        <v>0</v>
      </c>
      <c r="S22" s="87">
        <v>0</v>
      </c>
      <c r="T22" s="87">
        <v>0</v>
      </c>
      <c r="U22" s="87">
        <v>0</v>
      </c>
      <c r="V22" s="87">
        <v>0</v>
      </c>
      <c r="W22" s="87">
        <v>0</v>
      </c>
      <c r="DA22" s="171" t="s">
        <v>1041</v>
      </c>
    </row>
    <row r="23" spans="1:105" ht="11.45" customHeight="1" x14ac:dyDescent="0.25">
      <c r="A23" s="85" t="s">
        <v>93</v>
      </c>
      <c r="B23" s="88">
        <v>0</v>
      </c>
      <c r="C23" s="88">
        <v>0</v>
      </c>
      <c r="D23" s="88">
        <v>0</v>
      </c>
      <c r="E23" s="88">
        <v>0</v>
      </c>
      <c r="F23" s="88">
        <v>0</v>
      </c>
      <c r="G23" s="88">
        <v>0</v>
      </c>
      <c r="H23" s="88">
        <v>0</v>
      </c>
      <c r="I23" s="88">
        <v>0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  <c r="S23" s="88">
        <v>0</v>
      </c>
      <c r="T23" s="88">
        <v>0</v>
      </c>
      <c r="U23" s="88">
        <v>0</v>
      </c>
      <c r="V23" s="88">
        <v>0</v>
      </c>
      <c r="W23" s="88">
        <v>0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0</v>
      </c>
      <c r="C25" s="62">
        <f t="shared" ref="C25:V25" si="22">C26+C32</f>
        <v>0</v>
      </c>
      <c r="D25" s="62">
        <f t="shared" si="22"/>
        <v>0</v>
      </c>
      <c r="E25" s="62">
        <f t="shared" si="22"/>
        <v>0</v>
      </c>
      <c r="F25" s="62">
        <f t="shared" si="22"/>
        <v>0</v>
      </c>
      <c r="G25" s="62">
        <f t="shared" si="22"/>
        <v>0</v>
      </c>
      <c r="H25" s="62">
        <f t="shared" si="22"/>
        <v>0</v>
      </c>
      <c r="I25" s="62">
        <f t="shared" si="22"/>
        <v>0</v>
      </c>
      <c r="J25" s="62">
        <f t="shared" si="22"/>
        <v>0</v>
      </c>
      <c r="K25" s="62">
        <f t="shared" si="22"/>
        <v>0</v>
      </c>
      <c r="L25" s="62">
        <f t="shared" si="22"/>
        <v>0</v>
      </c>
      <c r="M25" s="62">
        <f t="shared" si="22"/>
        <v>0</v>
      </c>
      <c r="N25" s="62">
        <f t="shared" si="22"/>
        <v>0</v>
      </c>
      <c r="O25" s="62">
        <f t="shared" si="22"/>
        <v>0</v>
      </c>
      <c r="P25" s="62">
        <f t="shared" si="22"/>
        <v>0</v>
      </c>
      <c r="Q25" s="62">
        <f t="shared" si="22"/>
        <v>0</v>
      </c>
      <c r="R25" s="62">
        <f t="shared" si="22"/>
        <v>0</v>
      </c>
      <c r="S25" s="62">
        <f t="shared" si="22"/>
        <v>0</v>
      </c>
      <c r="T25" s="62">
        <f t="shared" si="22"/>
        <v>0</v>
      </c>
      <c r="U25" s="62">
        <f t="shared" si="22"/>
        <v>0</v>
      </c>
      <c r="V25" s="62">
        <f t="shared" si="22"/>
        <v>0</v>
      </c>
      <c r="W25" s="62">
        <f t="shared" ref="W25" si="23">W26+W32</f>
        <v>0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0</v>
      </c>
      <c r="C26" s="29">
        <f t="shared" ref="C26:V26" si="25">SUM(C27,C28,C31)</f>
        <v>0</v>
      </c>
      <c r="D26" s="29">
        <f t="shared" si="25"/>
        <v>0</v>
      </c>
      <c r="E26" s="29">
        <f t="shared" si="25"/>
        <v>0</v>
      </c>
      <c r="F26" s="29">
        <f t="shared" si="25"/>
        <v>0</v>
      </c>
      <c r="G26" s="29">
        <f t="shared" si="25"/>
        <v>0</v>
      </c>
      <c r="H26" s="29">
        <f t="shared" si="25"/>
        <v>0</v>
      </c>
      <c r="I26" s="29">
        <f t="shared" si="25"/>
        <v>0</v>
      </c>
      <c r="J26" s="29">
        <f t="shared" si="25"/>
        <v>0</v>
      </c>
      <c r="K26" s="29">
        <f t="shared" si="25"/>
        <v>0</v>
      </c>
      <c r="L26" s="29">
        <f t="shared" si="25"/>
        <v>0</v>
      </c>
      <c r="M26" s="29">
        <f t="shared" si="25"/>
        <v>0</v>
      </c>
      <c r="N26" s="29">
        <f t="shared" si="25"/>
        <v>0</v>
      </c>
      <c r="O26" s="29">
        <f t="shared" si="25"/>
        <v>0</v>
      </c>
      <c r="P26" s="29">
        <f t="shared" si="25"/>
        <v>0</v>
      </c>
      <c r="Q26" s="29">
        <f t="shared" si="25"/>
        <v>0</v>
      </c>
      <c r="R26" s="29">
        <f t="shared" si="25"/>
        <v>0</v>
      </c>
      <c r="S26" s="29">
        <f t="shared" si="25"/>
        <v>0</v>
      </c>
      <c r="T26" s="29">
        <f t="shared" si="25"/>
        <v>0</v>
      </c>
      <c r="U26" s="29">
        <f t="shared" si="25"/>
        <v>0</v>
      </c>
      <c r="V26" s="29">
        <f t="shared" si="25"/>
        <v>0</v>
      </c>
      <c r="W26" s="29">
        <f t="shared" ref="W26" si="26">SUM(W27,W28,W31)</f>
        <v>0</v>
      </c>
      <c r="DA26" s="173" t="s">
        <v>1044</v>
      </c>
    </row>
    <row r="27" spans="1:105" ht="11.45" customHeight="1" x14ac:dyDescent="0.25">
      <c r="A27" s="107" t="s">
        <v>23</v>
      </c>
      <c r="B27" s="115">
        <v>0</v>
      </c>
      <c r="C27" s="115">
        <v>0</v>
      </c>
      <c r="D27" s="115">
        <v>0</v>
      </c>
      <c r="E27" s="115">
        <v>0</v>
      </c>
      <c r="F27" s="115">
        <v>0</v>
      </c>
      <c r="G27" s="115">
        <v>0</v>
      </c>
      <c r="H27" s="115">
        <v>0</v>
      </c>
      <c r="I27" s="115">
        <v>0</v>
      </c>
      <c r="J27" s="115">
        <v>0</v>
      </c>
      <c r="K27" s="115">
        <v>0</v>
      </c>
      <c r="L27" s="115">
        <v>0</v>
      </c>
      <c r="M27" s="115">
        <v>0</v>
      </c>
      <c r="N27" s="115">
        <v>0</v>
      </c>
      <c r="O27" s="115">
        <v>0</v>
      </c>
      <c r="P27" s="115">
        <v>0</v>
      </c>
      <c r="Q27" s="115">
        <v>0</v>
      </c>
      <c r="R27" s="115">
        <v>0</v>
      </c>
      <c r="S27" s="115">
        <v>0</v>
      </c>
      <c r="T27" s="115">
        <v>0</v>
      </c>
      <c r="U27" s="115">
        <v>0</v>
      </c>
      <c r="V27" s="115">
        <v>0</v>
      </c>
      <c r="W27" s="115">
        <v>0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0</v>
      </c>
      <c r="C28" s="116">
        <f t="shared" ref="C28:V28" si="28">SUM(C29:C30)</f>
        <v>0</v>
      </c>
      <c r="D28" s="116">
        <f t="shared" si="28"/>
        <v>0</v>
      </c>
      <c r="E28" s="116">
        <f t="shared" si="28"/>
        <v>0</v>
      </c>
      <c r="F28" s="116">
        <f t="shared" si="28"/>
        <v>0</v>
      </c>
      <c r="G28" s="116">
        <f t="shared" si="28"/>
        <v>0</v>
      </c>
      <c r="H28" s="116">
        <f t="shared" si="28"/>
        <v>0</v>
      </c>
      <c r="I28" s="116">
        <f t="shared" si="28"/>
        <v>0</v>
      </c>
      <c r="J28" s="116">
        <f t="shared" si="28"/>
        <v>0</v>
      </c>
      <c r="K28" s="116">
        <f t="shared" si="28"/>
        <v>0</v>
      </c>
      <c r="L28" s="116">
        <f t="shared" si="28"/>
        <v>0</v>
      </c>
      <c r="M28" s="116">
        <f t="shared" si="28"/>
        <v>0</v>
      </c>
      <c r="N28" s="116">
        <f t="shared" si="28"/>
        <v>0</v>
      </c>
      <c r="O28" s="116">
        <f t="shared" si="28"/>
        <v>0</v>
      </c>
      <c r="P28" s="116">
        <f t="shared" si="28"/>
        <v>0</v>
      </c>
      <c r="Q28" s="116">
        <f t="shared" si="28"/>
        <v>0</v>
      </c>
      <c r="R28" s="116">
        <f t="shared" si="28"/>
        <v>0</v>
      </c>
      <c r="S28" s="116">
        <f t="shared" si="28"/>
        <v>0</v>
      </c>
      <c r="T28" s="116">
        <f t="shared" si="28"/>
        <v>0</v>
      </c>
      <c r="U28" s="116">
        <f t="shared" si="28"/>
        <v>0</v>
      </c>
      <c r="V28" s="116">
        <f t="shared" si="28"/>
        <v>0</v>
      </c>
      <c r="W28" s="116">
        <f t="shared" ref="W28" si="29">SUM(W29:W30)</f>
        <v>0</v>
      </c>
      <c r="DA28" s="176" t="s">
        <v>1046</v>
      </c>
    </row>
    <row r="29" spans="1:105" ht="11.45" customHeight="1" x14ac:dyDescent="0.25">
      <c r="A29" s="111" t="s">
        <v>92</v>
      </c>
      <c r="B29" s="87">
        <v>0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0</v>
      </c>
      <c r="M29" s="87">
        <v>0</v>
      </c>
      <c r="N29" s="87">
        <v>0</v>
      </c>
      <c r="O29" s="87">
        <v>0</v>
      </c>
      <c r="P29" s="87">
        <v>0</v>
      </c>
      <c r="Q29" s="87">
        <v>0</v>
      </c>
      <c r="R29" s="87">
        <v>0</v>
      </c>
      <c r="S29" s="87">
        <v>0</v>
      </c>
      <c r="T29" s="87">
        <v>0</v>
      </c>
      <c r="U29" s="87">
        <v>0</v>
      </c>
      <c r="V29" s="87">
        <v>0</v>
      </c>
      <c r="W29" s="87">
        <v>0</v>
      </c>
      <c r="DA29" s="171" t="s">
        <v>1047</v>
      </c>
    </row>
    <row r="30" spans="1:105" ht="11.45" customHeight="1" x14ac:dyDescent="0.25">
      <c r="A30" s="111" t="s">
        <v>93</v>
      </c>
      <c r="B30" s="87">
        <v>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0</v>
      </c>
      <c r="M30" s="87">
        <v>0</v>
      </c>
      <c r="N30" s="87">
        <v>0</v>
      </c>
      <c r="O30" s="87">
        <v>0</v>
      </c>
      <c r="P30" s="87">
        <v>0</v>
      </c>
      <c r="Q30" s="87">
        <v>0</v>
      </c>
      <c r="R30" s="87">
        <v>0</v>
      </c>
      <c r="S30" s="87">
        <v>0</v>
      </c>
      <c r="T30" s="87">
        <v>0</v>
      </c>
      <c r="U30" s="87">
        <v>0</v>
      </c>
      <c r="V30" s="87">
        <v>0</v>
      </c>
      <c r="W30" s="87">
        <v>0</v>
      </c>
      <c r="DA30" s="171" t="s">
        <v>1048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  <c r="O31" s="117">
        <v>0</v>
      </c>
      <c r="P31" s="117">
        <v>0</v>
      </c>
      <c r="Q31" s="117">
        <v>0</v>
      </c>
      <c r="R31" s="117">
        <v>0</v>
      </c>
      <c r="S31" s="117">
        <v>0</v>
      </c>
      <c r="T31" s="117">
        <v>0</v>
      </c>
      <c r="U31" s="117">
        <v>0</v>
      </c>
      <c r="V31" s="117">
        <v>0</v>
      </c>
      <c r="W31" s="117">
        <v>0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0</v>
      </c>
      <c r="C32" s="29">
        <f t="shared" ref="C32:V32" si="31">SUM(C33:C34)</f>
        <v>0</v>
      </c>
      <c r="D32" s="29">
        <f t="shared" si="31"/>
        <v>0</v>
      </c>
      <c r="E32" s="29">
        <f t="shared" si="31"/>
        <v>0</v>
      </c>
      <c r="F32" s="29">
        <f t="shared" si="31"/>
        <v>0</v>
      </c>
      <c r="G32" s="29">
        <f t="shared" si="31"/>
        <v>0</v>
      </c>
      <c r="H32" s="29">
        <f t="shared" si="31"/>
        <v>0</v>
      </c>
      <c r="I32" s="29">
        <f t="shared" si="31"/>
        <v>0</v>
      </c>
      <c r="J32" s="29">
        <f t="shared" si="31"/>
        <v>0</v>
      </c>
      <c r="K32" s="29">
        <f t="shared" si="31"/>
        <v>0</v>
      </c>
      <c r="L32" s="29">
        <f t="shared" si="31"/>
        <v>0</v>
      </c>
      <c r="M32" s="29">
        <f t="shared" si="31"/>
        <v>0</v>
      </c>
      <c r="N32" s="29">
        <f t="shared" si="31"/>
        <v>0</v>
      </c>
      <c r="O32" s="29">
        <f t="shared" si="31"/>
        <v>0</v>
      </c>
      <c r="P32" s="29">
        <f t="shared" si="31"/>
        <v>0</v>
      </c>
      <c r="Q32" s="29">
        <f t="shared" si="31"/>
        <v>0</v>
      </c>
      <c r="R32" s="29">
        <f t="shared" si="31"/>
        <v>0</v>
      </c>
      <c r="S32" s="29">
        <f t="shared" si="31"/>
        <v>0</v>
      </c>
      <c r="T32" s="29">
        <f t="shared" si="31"/>
        <v>0</v>
      </c>
      <c r="U32" s="29">
        <f t="shared" si="31"/>
        <v>0</v>
      </c>
      <c r="V32" s="29">
        <f t="shared" si="31"/>
        <v>0</v>
      </c>
      <c r="W32" s="29">
        <f t="shared" ref="W32" si="32">SUM(W33:W34)</f>
        <v>0</v>
      </c>
      <c r="DA32" s="173" t="s">
        <v>1050</v>
      </c>
    </row>
    <row r="33" spans="1:105" ht="11.45" customHeight="1" x14ac:dyDescent="0.25">
      <c r="A33" s="83" t="s">
        <v>92</v>
      </c>
      <c r="B33" s="87">
        <v>0</v>
      </c>
      <c r="C33" s="87">
        <v>0</v>
      </c>
      <c r="D33" s="87">
        <v>0</v>
      </c>
      <c r="E33" s="87">
        <v>0</v>
      </c>
      <c r="F33" s="87">
        <v>0</v>
      </c>
      <c r="G33" s="87">
        <v>0</v>
      </c>
      <c r="H33" s="87">
        <v>0</v>
      </c>
      <c r="I33" s="87">
        <v>0</v>
      </c>
      <c r="J33" s="87">
        <v>0</v>
      </c>
      <c r="K33" s="87">
        <v>0</v>
      </c>
      <c r="L33" s="87">
        <v>0</v>
      </c>
      <c r="M33" s="87">
        <v>0</v>
      </c>
      <c r="N33" s="87">
        <v>0</v>
      </c>
      <c r="O33" s="87">
        <v>0</v>
      </c>
      <c r="P33" s="87">
        <v>0</v>
      </c>
      <c r="Q33" s="87">
        <v>0</v>
      </c>
      <c r="R33" s="87">
        <v>0</v>
      </c>
      <c r="S33" s="87">
        <v>0</v>
      </c>
      <c r="T33" s="87">
        <v>0</v>
      </c>
      <c r="U33" s="87">
        <v>0</v>
      </c>
      <c r="V33" s="87">
        <v>0</v>
      </c>
      <c r="W33" s="87">
        <v>0</v>
      </c>
      <c r="DA33" s="171" t="s">
        <v>1051</v>
      </c>
    </row>
    <row r="34" spans="1:105" ht="11.45" customHeight="1" x14ac:dyDescent="0.25">
      <c r="A34" s="85" t="s">
        <v>93</v>
      </c>
      <c r="B34" s="88">
        <v>0</v>
      </c>
      <c r="C34" s="88">
        <v>0</v>
      </c>
      <c r="D34" s="88">
        <v>0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0</v>
      </c>
      <c r="D36" s="54">
        <f t="shared" ref="D36:V36" si="34">D37+D43</f>
        <v>0</v>
      </c>
      <c r="E36" s="54">
        <f t="shared" si="34"/>
        <v>0</v>
      </c>
      <c r="F36" s="54">
        <f t="shared" si="34"/>
        <v>0</v>
      </c>
      <c r="G36" s="54">
        <f t="shared" si="34"/>
        <v>0</v>
      </c>
      <c r="H36" s="54">
        <f t="shared" si="34"/>
        <v>0</v>
      </c>
      <c r="I36" s="54">
        <f t="shared" si="34"/>
        <v>0</v>
      </c>
      <c r="J36" s="54">
        <f t="shared" si="34"/>
        <v>0</v>
      </c>
      <c r="K36" s="54">
        <f t="shared" si="34"/>
        <v>0</v>
      </c>
      <c r="L36" s="54">
        <f t="shared" si="34"/>
        <v>0</v>
      </c>
      <c r="M36" s="54">
        <f t="shared" si="34"/>
        <v>0</v>
      </c>
      <c r="N36" s="54">
        <f t="shared" si="34"/>
        <v>0</v>
      </c>
      <c r="O36" s="54">
        <f t="shared" si="34"/>
        <v>0</v>
      </c>
      <c r="P36" s="54">
        <f t="shared" si="34"/>
        <v>0</v>
      </c>
      <c r="Q36" s="54">
        <f t="shared" si="34"/>
        <v>0</v>
      </c>
      <c r="R36" s="54">
        <f t="shared" si="34"/>
        <v>0</v>
      </c>
      <c r="S36" s="54">
        <f t="shared" si="34"/>
        <v>0</v>
      </c>
      <c r="T36" s="54">
        <f t="shared" si="34"/>
        <v>0</v>
      </c>
      <c r="U36" s="54">
        <f t="shared" si="34"/>
        <v>0</v>
      </c>
      <c r="V36" s="54">
        <f t="shared" si="34"/>
        <v>0</v>
      </c>
      <c r="W36" s="54">
        <f t="shared" ref="W36" si="35">W37+W43</f>
        <v>0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0</v>
      </c>
      <c r="D37" s="28">
        <f t="shared" ref="D37:V37" si="37">SUM(D38,D39,D42)</f>
        <v>0</v>
      </c>
      <c r="E37" s="28">
        <f t="shared" si="37"/>
        <v>0</v>
      </c>
      <c r="F37" s="28">
        <f t="shared" si="37"/>
        <v>0</v>
      </c>
      <c r="G37" s="28">
        <f t="shared" si="37"/>
        <v>0</v>
      </c>
      <c r="H37" s="28">
        <f t="shared" si="37"/>
        <v>0</v>
      </c>
      <c r="I37" s="28">
        <f t="shared" si="37"/>
        <v>0</v>
      </c>
      <c r="J37" s="28">
        <f t="shared" si="37"/>
        <v>0</v>
      </c>
      <c r="K37" s="28">
        <f t="shared" si="37"/>
        <v>0</v>
      </c>
      <c r="L37" s="28">
        <f t="shared" si="37"/>
        <v>0</v>
      </c>
      <c r="M37" s="28">
        <f t="shared" si="37"/>
        <v>0</v>
      </c>
      <c r="N37" s="28">
        <f t="shared" si="37"/>
        <v>0</v>
      </c>
      <c r="O37" s="28">
        <f t="shared" si="37"/>
        <v>0</v>
      </c>
      <c r="P37" s="28">
        <f t="shared" si="37"/>
        <v>0</v>
      </c>
      <c r="Q37" s="28">
        <f t="shared" si="37"/>
        <v>0</v>
      </c>
      <c r="R37" s="28">
        <f t="shared" si="37"/>
        <v>0</v>
      </c>
      <c r="S37" s="28">
        <f t="shared" si="37"/>
        <v>0</v>
      </c>
      <c r="T37" s="28">
        <f t="shared" si="37"/>
        <v>0</v>
      </c>
      <c r="U37" s="28">
        <f t="shared" si="37"/>
        <v>0</v>
      </c>
      <c r="V37" s="28">
        <f t="shared" si="37"/>
        <v>0</v>
      </c>
      <c r="W37" s="28">
        <f t="shared" ref="W37" si="38">SUM(W38,W39,W42)</f>
        <v>0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0</v>
      </c>
      <c r="D38" s="108">
        <v>0</v>
      </c>
      <c r="E38" s="108">
        <v>0</v>
      </c>
      <c r="F38" s="108">
        <v>0</v>
      </c>
      <c r="G38" s="108">
        <v>0</v>
      </c>
      <c r="H38" s="108">
        <v>0</v>
      </c>
      <c r="I38" s="108">
        <v>0</v>
      </c>
      <c r="J38" s="108">
        <v>0</v>
      </c>
      <c r="K38" s="108">
        <v>0</v>
      </c>
      <c r="L38" s="108">
        <v>0</v>
      </c>
      <c r="M38" s="108">
        <v>0</v>
      </c>
      <c r="N38" s="108">
        <v>0</v>
      </c>
      <c r="O38" s="108">
        <v>0</v>
      </c>
      <c r="P38" s="108">
        <v>0</v>
      </c>
      <c r="Q38" s="108">
        <v>0</v>
      </c>
      <c r="R38" s="108">
        <v>0</v>
      </c>
      <c r="S38" s="108">
        <v>0</v>
      </c>
      <c r="T38" s="108">
        <v>0</v>
      </c>
      <c r="U38" s="108">
        <v>0</v>
      </c>
      <c r="V38" s="108">
        <v>0</v>
      </c>
      <c r="W38" s="108">
        <v>0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0</v>
      </c>
      <c r="D39" s="110">
        <f t="shared" ref="D39:V39" si="40">SUM(D40:D41)</f>
        <v>0</v>
      </c>
      <c r="E39" s="110">
        <f t="shared" si="40"/>
        <v>0</v>
      </c>
      <c r="F39" s="110">
        <f t="shared" si="40"/>
        <v>0</v>
      </c>
      <c r="G39" s="110">
        <f t="shared" si="40"/>
        <v>0</v>
      </c>
      <c r="H39" s="110">
        <f t="shared" si="40"/>
        <v>0</v>
      </c>
      <c r="I39" s="110">
        <f t="shared" si="40"/>
        <v>0</v>
      </c>
      <c r="J39" s="110">
        <f t="shared" si="40"/>
        <v>0</v>
      </c>
      <c r="K39" s="110">
        <f t="shared" si="40"/>
        <v>0</v>
      </c>
      <c r="L39" s="110">
        <f t="shared" si="40"/>
        <v>0</v>
      </c>
      <c r="M39" s="110">
        <f t="shared" si="40"/>
        <v>0</v>
      </c>
      <c r="N39" s="110">
        <f t="shared" si="40"/>
        <v>0</v>
      </c>
      <c r="O39" s="110">
        <f t="shared" si="40"/>
        <v>0</v>
      </c>
      <c r="P39" s="110">
        <f t="shared" si="40"/>
        <v>0</v>
      </c>
      <c r="Q39" s="110">
        <f t="shared" si="40"/>
        <v>0</v>
      </c>
      <c r="R39" s="110">
        <f t="shared" si="40"/>
        <v>0</v>
      </c>
      <c r="S39" s="110">
        <f t="shared" si="40"/>
        <v>0</v>
      </c>
      <c r="T39" s="110">
        <f t="shared" si="40"/>
        <v>0</v>
      </c>
      <c r="U39" s="110">
        <f t="shared" si="40"/>
        <v>0</v>
      </c>
      <c r="V39" s="110">
        <f t="shared" si="40"/>
        <v>0</v>
      </c>
      <c r="W39" s="110">
        <f t="shared" ref="W39" si="41">SUM(W40:W41)</f>
        <v>0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0</v>
      </c>
      <c r="D40" s="84">
        <v>0</v>
      </c>
      <c r="E40" s="84">
        <v>0</v>
      </c>
      <c r="F40" s="84">
        <v>0</v>
      </c>
      <c r="G40" s="84">
        <v>0</v>
      </c>
      <c r="H40" s="84">
        <v>0</v>
      </c>
      <c r="I40" s="84">
        <v>0</v>
      </c>
      <c r="J40" s="84">
        <v>0</v>
      </c>
      <c r="K40" s="84">
        <v>0</v>
      </c>
      <c r="L40" s="84">
        <v>0</v>
      </c>
      <c r="M40" s="84">
        <v>0</v>
      </c>
      <c r="N40" s="84">
        <v>0</v>
      </c>
      <c r="O40" s="84">
        <v>0</v>
      </c>
      <c r="P40" s="84">
        <v>0</v>
      </c>
      <c r="Q40" s="84">
        <v>0</v>
      </c>
      <c r="R40" s="84">
        <v>0</v>
      </c>
      <c r="S40" s="84">
        <v>0</v>
      </c>
      <c r="T40" s="84">
        <v>0</v>
      </c>
      <c r="U40" s="84">
        <v>0</v>
      </c>
      <c r="V40" s="84">
        <v>0</v>
      </c>
      <c r="W40" s="84">
        <v>0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0</v>
      </c>
      <c r="D41" s="84">
        <v>0</v>
      </c>
      <c r="E41" s="84">
        <v>0</v>
      </c>
      <c r="F41" s="84">
        <v>0</v>
      </c>
      <c r="G41" s="84">
        <v>0</v>
      </c>
      <c r="H41" s="84">
        <v>0</v>
      </c>
      <c r="I41" s="84">
        <v>0</v>
      </c>
      <c r="J41" s="84">
        <v>0</v>
      </c>
      <c r="K41" s="84">
        <v>0</v>
      </c>
      <c r="L41" s="84">
        <v>0</v>
      </c>
      <c r="M41" s="84">
        <v>0</v>
      </c>
      <c r="N41" s="84">
        <v>0</v>
      </c>
      <c r="O41" s="84">
        <v>0</v>
      </c>
      <c r="P41" s="84">
        <v>0</v>
      </c>
      <c r="Q41" s="84">
        <v>0</v>
      </c>
      <c r="R41" s="84">
        <v>0</v>
      </c>
      <c r="S41" s="84">
        <v>0</v>
      </c>
      <c r="T41" s="84">
        <v>0</v>
      </c>
      <c r="U41" s="84">
        <v>0</v>
      </c>
      <c r="V41" s="84">
        <v>0</v>
      </c>
      <c r="W41" s="84">
        <v>0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0</v>
      </c>
      <c r="D43" s="28">
        <f t="shared" ref="D43:V43" si="43">SUM(D44:D45)</f>
        <v>0</v>
      </c>
      <c r="E43" s="28">
        <f t="shared" si="43"/>
        <v>0</v>
      </c>
      <c r="F43" s="28">
        <f t="shared" si="43"/>
        <v>0</v>
      </c>
      <c r="G43" s="28">
        <f t="shared" si="43"/>
        <v>0</v>
      </c>
      <c r="H43" s="28">
        <f t="shared" si="43"/>
        <v>0</v>
      </c>
      <c r="I43" s="28">
        <f t="shared" si="43"/>
        <v>0</v>
      </c>
      <c r="J43" s="28">
        <f t="shared" si="43"/>
        <v>0</v>
      </c>
      <c r="K43" s="28">
        <f t="shared" si="43"/>
        <v>0</v>
      </c>
      <c r="L43" s="28">
        <f t="shared" si="43"/>
        <v>0</v>
      </c>
      <c r="M43" s="28">
        <f t="shared" si="43"/>
        <v>0</v>
      </c>
      <c r="N43" s="28">
        <f t="shared" si="43"/>
        <v>0</v>
      </c>
      <c r="O43" s="28">
        <f t="shared" si="43"/>
        <v>0</v>
      </c>
      <c r="P43" s="28">
        <f t="shared" si="43"/>
        <v>0</v>
      </c>
      <c r="Q43" s="28">
        <f t="shared" si="43"/>
        <v>0</v>
      </c>
      <c r="R43" s="28">
        <f t="shared" si="43"/>
        <v>0</v>
      </c>
      <c r="S43" s="28">
        <f t="shared" si="43"/>
        <v>0</v>
      </c>
      <c r="T43" s="28">
        <f t="shared" si="43"/>
        <v>0</v>
      </c>
      <c r="U43" s="28">
        <f t="shared" si="43"/>
        <v>0</v>
      </c>
      <c r="V43" s="28">
        <f t="shared" si="43"/>
        <v>0</v>
      </c>
      <c r="W43" s="28">
        <f t="shared" ref="W43" si="44">SUM(W44:W45)</f>
        <v>0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0</v>
      </c>
      <c r="D44" s="84">
        <v>0</v>
      </c>
      <c r="E44" s="84">
        <v>0</v>
      </c>
      <c r="F44" s="84">
        <v>0</v>
      </c>
      <c r="G44" s="84">
        <v>0</v>
      </c>
      <c r="H44" s="84">
        <v>0</v>
      </c>
      <c r="I44" s="84">
        <v>0</v>
      </c>
      <c r="J44" s="84">
        <v>0</v>
      </c>
      <c r="K44" s="84">
        <v>0</v>
      </c>
      <c r="L44" s="84">
        <v>0</v>
      </c>
      <c r="M44" s="84">
        <v>0</v>
      </c>
      <c r="N44" s="84">
        <v>0</v>
      </c>
      <c r="O44" s="84">
        <v>0</v>
      </c>
      <c r="P44" s="84">
        <v>0</v>
      </c>
      <c r="Q44" s="84">
        <v>0</v>
      </c>
      <c r="R44" s="84">
        <v>0</v>
      </c>
      <c r="S44" s="84">
        <v>0</v>
      </c>
      <c r="T44" s="84">
        <v>0</v>
      </c>
      <c r="U44" s="84">
        <v>0</v>
      </c>
      <c r="V44" s="84">
        <v>0</v>
      </c>
      <c r="W44" s="84">
        <v>0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0</v>
      </c>
      <c r="D45" s="86">
        <v>0</v>
      </c>
      <c r="E45" s="86">
        <v>0</v>
      </c>
      <c r="F45" s="86">
        <v>0</v>
      </c>
      <c r="G45" s="86">
        <v>0</v>
      </c>
      <c r="H45" s="86">
        <v>0</v>
      </c>
      <c r="I45" s="86">
        <v>0</v>
      </c>
      <c r="J45" s="86">
        <v>0</v>
      </c>
      <c r="K45" s="86">
        <v>0</v>
      </c>
      <c r="L45" s="86">
        <v>0</v>
      </c>
      <c r="M45" s="86">
        <v>0</v>
      </c>
      <c r="N45" s="86">
        <v>0</v>
      </c>
      <c r="O45" s="86">
        <v>0</v>
      </c>
      <c r="P45" s="86">
        <v>0</v>
      </c>
      <c r="Q45" s="86">
        <v>0</v>
      </c>
      <c r="R45" s="86">
        <v>0</v>
      </c>
      <c r="S45" s="86">
        <v>0</v>
      </c>
      <c r="T45" s="86">
        <v>0</v>
      </c>
      <c r="U45" s="86">
        <v>0</v>
      </c>
      <c r="V45" s="86">
        <v>0</v>
      </c>
      <c r="W45" s="86">
        <v>0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0</v>
      </c>
      <c r="C50" s="29">
        <f t="shared" si="45"/>
        <v>0</v>
      </c>
      <c r="D50" s="29">
        <f t="shared" si="45"/>
        <v>0</v>
      </c>
      <c r="E50" s="29">
        <f t="shared" si="45"/>
        <v>0</v>
      </c>
      <c r="F50" s="29">
        <f t="shared" si="45"/>
        <v>0</v>
      </c>
      <c r="G50" s="29">
        <f t="shared" si="45"/>
        <v>0</v>
      </c>
      <c r="H50" s="29">
        <f t="shared" si="45"/>
        <v>0</v>
      </c>
      <c r="I50" s="29">
        <f t="shared" si="45"/>
        <v>0</v>
      </c>
      <c r="J50" s="29">
        <f t="shared" si="45"/>
        <v>0</v>
      </c>
      <c r="K50" s="29">
        <f t="shared" ref="K50:V50" si="46">IF(K4=0,0,K4/K15)</f>
        <v>0</v>
      </c>
      <c r="L50" s="29">
        <f t="shared" si="46"/>
        <v>0</v>
      </c>
      <c r="M50" s="29">
        <f t="shared" si="46"/>
        <v>0</v>
      </c>
      <c r="N50" s="29">
        <f t="shared" si="46"/>
        <v>0</v>
      </c>
      <c r="O50" s="29">
        <f t="shared" si="46"/>
        <v>0</v>
      </c>
      <c r="P50" s="29">
        <f t="shared" si="46"/>
        <v>0</v>
      </c>
      <c r="Q50" s="29">
        <f t="shared" si="46"/>
        <v>0</v>
      </c>
      <c r="R50" s="29">
        <f t="shared" si="46"/>
        <v>0</v>
      </c>
      <c r="S50" s="29">
        <f t="shared" si="46"/>
        <v>0</v>
      </c>
      <c r="T50" s="29">
        <f t="shared" si="46"/>
        <v>0</v>
      </c>
      <c r="U50" s="29">
        <f t="shared" si="46"/>
        <v>0</v>
      </c>
      <c r="V50" s="29">
        <f t="shared" si="46"/>
        <v>0</v>
      </c>
      <c r="W50" s="29">
        <f t="shared" ref="W50" si="47">IF(W4=0,0,W4/W15)</f>
        <v>0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0</v>
      </c>
      <c r="C51" s="115">
        <f t="shared" si="48"/>
        <v>0</v>
      </c>
      <c r="D51" s="115">
        <f t="shared" si="48"/>
        <v>0</v>
      </c>
      <c r="E51" s="115">
        <f t="shared" si="48"/>
        <v>0</v>
      </c>
      <c r="F51" s="115">
        <f t="shared" si="48"/>
        <v>0</v>
      </c>
      <c r="G51" s="115">
        <f t="shared" si="48"/>
        <v>0</v>
      </c>
      <c r="H51" s="115">
        <f t="shared" si="48"/>
        <v>0</v>
      </c>
      <c r="I51" s="115">
        <f t="shared" si="48"/>
        <v>0</v>
      </c>
      <c r="J51" s="115">
        <f t="shared" si="48"/>
        <v>0</v>
      </c>
      <c r="K51" s="115">
        <f t="shared" ref="K51:V51" si="49">IF(K5=0,0,K5/K16)</f>
        <v>0</v>
      </c>
      <c r="L51" s="115">
        <f t="shared" si="49"/>
        <v>0</v>
      </c>
      <c r="M51" s="115">
        <f t="shared" si="49"/>
        <v>0</v>
      </c>
      <c r="N51" s="115">
        <f t="shared" si="49"/>
        <v>0</v>
      </c>
      <c r="O51" s="115">
        <f t="shared" si="49"/>
        <v>0</v>
      </c>
      <c r="P51" s="115">
        <f t="shared" si="49"/>
        <v>0</v>
      </c>
      <c r="Q51" s="115">
        <f t="shared" si="49"/>
        <v>0</v>
      </c>
      <c r="R51" s="115">
        <f t="shared" si="49"/>
        <v>0</v>
      </c>
      <c r="S51" s="115">
        <f t="shared" si="49"/>
        <v>0</v>
      </c>
      <c r="T51" s="115">
        <f t="shared" si="49"/>
        <v>0</v>
      </c>
      <c r="U51" s="115">
        <f t="shared" si="49"/>
        <v>0</v>
      </c>
      <c r="V51" s="115">
        <f t="shared" si="49"/>
        <v>0</v>
      </c>
      <c r="W51" s="115">
        <f t="shared" ref="W51" si="50">IF(W5=0,0,W5/W16)</f>
        <v>0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0</v>
      </c>
      <c r="C52" s="116">
        <f t="shared" si="51"/>
        <v>0</v>
      </c>
      <c r="D52" s="116">
        <f t="shared" si="51"/>
        <v>0</v>
      </c>
      <c r="E52" s="116">
        <f t="shared" si="51"/>
        <v>0</v>
      </c>
      <c r="F52" s="116">
        <f t="shared" si="51"/>
        <v>0</v>
      </c>
      <c r="G52" s="116">
        <f t="shared" si="51"/>
        <v>0</v>
      </c>
      <c r="H52" s="116">
        <f t="shared" si="51"/>
        <v>0</v>
      </c>
      <c r="I52" s="116">
        <f t="shared" si="51"/>
        <v>0</v>
      </c>
      <c r="J52" s="116">
        <f t="shared" si="51"/>
        <v>0</v>
      </c>
      <c r="K52" s="116">
        <f t="shared" ref="K52:V52" si="52">IF(K6=0,0,K6/K17)</f>
        <v>0</v>
      </c>
      <c r="L52" s="116">
        <f t="shared" si="52"/>
        <v>0</v>
      </c>
      <c r="M52" s="116">
        <f t="shared" si="52"/>
        <v>0</v>
      </c>
      <c r="N52" s="116">
        <f t="shared" si="52"/>
        <v>0</v>
      </c>
      <c r="O52" s="116">
        <f t="shared" si="52"/>
        <v>0</v>
      </c>
      <c r="P52" s="116">
        <f t="shared" si="52"/>
        <v>0</v>
      </c>
      <c r="Q52" s="116">
        <f t="shared" si="52"/>
        <v>0</v>
      </c>
      <c r="R52" s="116">
        <f t="shared" si="52"/>
        <v>0</v>
      </c>
      <c r="S52" s="116">
        <f t="shared" si="52"/>
        <v>0</v>
      </c>
      <c r="T52" s="116">
        <f t="shared" si="52"/>
        <v>0</v>
      </c>
      <c r="U52" s="116">
        <f t="shared" si="52"/>
        <v>0</v>
      </c>
      <c r="V52" s="116">
        <f t="shared" si="52"/>
        <v>0</v>
      </c>
      <c r="W52" s="116">
        <f t="shared" ref="W52" si="53">IF(W6=0,0,W6/W17)</f>
        <v>0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0</v>
      </c>
      <c r="C53" s="87">
        <f t="shared" si="54"/>
        <v>0</v>
      </c>
      <c r="D53" s="87">
        <f t="shared" si="54"/>
        <v>0</v>
      </c>
      <c r="E53" s="87">
        <f t="shared" si="54"/>
        <v>0</v>
      </c>
      <c r="F53" s="87">
        <f t="shared" si="54"/>
        <v>0</v>
      </c>
      <c r="G53" s="87">
        <f t="shared" si="54"/>
        <v>0</v>
      </c>
      <c r="H53" s="87">
        <f t="shared" si="54"/>
        <v>0</v>
      </c>
      <c r="I53" s="87">
        <f t="shared" si="54"/>
        <v>0</v>
      </c>
      <c r="J53" s="87">
        <f t="shared" si="54"/>
        <v>0</v>
      </c>
      <c r="K53" s="87">
        <f t="shared" ref="K53:V53" si="55">IF(K7=0,0,K7/K18)</f>
        <v>0</v>
      </c>
      <c r="L53" s="87">
        <f t="shared" si="55"/>
        <v>0</v>
      </c>
      <c r="M53" s="87">
        <f t="shared" si="55"/>
        <v>0</v>
      </c>
      <c r="N53" s="87">
        <f t="shared" si="55"/>
        <v>0</v>
      </c>
      <c r="O53" s="87">
        <f t="shared" si="55"/>
        <v>0</v>
      </c>
      <c r="P53" s="87">
        <f t="shared" si="55"/>
        <v>0</v>
      </c>
      <c r="Q53" s="87">
        <f t="shared" si="55"/>
        <v>0</v>
      </c>
      <c r="R53" s="87">
        <f t="shared" si="55"/>
        <v>0</v>
      </c>
      <c r="S53" s="87">
        <f t="shared" si="55"/>
        <v>0</v>
      </c>
      <c r="T53" s="87">
        <f t="shared" si="55"/>
        <v>0</v>
      </c>
      <c r="U53" s="87">
        <f t="shared" si="55"/>
        <v>0</v>
      </c>
      <c r="V53" s="87">
        <f t="shared" si="55"/>
        <v>0</v>
      </c>
      <c r="W53" s="87">
        <f t="shared" ref="W53" si="56">IF(W7=0,0,W7/W18)</f>
        <v>0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0</v>
      </c>
      <c r="C54" s="87">
        <f t="shared" si="57"/>
        <v>0</v>
      </c>
      <c r="D54" s="87">
        <f t="shared" si="57"/>
        <v>0</v>
      </c>
      <c r="E54" s="87">
        <f t="shared" si="57"/>
        <v>0</v>
      </c>
      <c r="F54" s="87">
        <f t="shared" si="57"/>
        <v>0</v>
      </c>
      <c r="G54" s="87">
        <f t="shared" si="57"/>
        <v>0</v>
      </c>
      <c r="H54" s="87">
        <f t="shared" si="57"/>
        <v>0</v>
      </c>
      <c r="I54" s="87">
        <f t="shared" si="57"/>
        <v>0</v>
      </c>
      <c r="J54" s="87">
        <f t="shared" si="57"/>
        <v>0</v>
      </c>
      <c r="K54" s="87">
        <f t="shared" ref="K54:V54" si="58">IF(K8=0,0,K8/K19)</f>
        <v>0</v>
      </c>
      <c r="L54" s="87">
        <f t="shared" si="58"/>
        <v>0</v>
      </c>
      <c r="M54" s="87">
        <f t="shared" si="58"/>
        <v>0</v>
      </c>
      <c r="N54" s="87">
        <f t="shared" si="58"/>
        <v>0</v>
      </c>
      <c r="O54" s="87">
        <f t="shared" si="58"/>
        <v>0</v>
      </c>
      <c r="P54" s="87">
        <f t="shared" si="58"/>
        <v>0</v>
      </c>
      <c r="Q54" s="87">
        <f t="shared" si="58"/>
        <v>0</v>
      </c>
      <c r="R54" s="87">
        <f t="shared" si="58"/>
        <v>0</v>
      </c>
      <c r="S54" s="87">
        <f t="shared" si="58"/>
        <v>0</v>
      </c>
      <c r="T54" s="87">
        <f t="shared" si="58"/>
        <v>0</v>
      </c>
      <c r="U54" s="87">
        <f t="shared" si="58"/>
        <v>0</v>
      </c>
      <c r="V54" s="87">
        <f t="shared" si="58"/>
        <v>0</v>
      </c>
      <c r="W54" s="87">
        <f t="shared" ref="W54" si="59">IF(W8=0,0,W8/W19)</f>
        <v>0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0</v>
      </c>
      <c r="G55" s="117">
        <f t="shared" si="60"/>
        <v>0</v>
      </c>
      <c r="H55" s="117">
        <f t="shared" si="60"/>
        <v>0</v>
      </c>
      <c r="I55" s="117">
        <f t="shared" si="60"/>
        <v>0</v>
      </c>
      <c r="J55" s="117">
        <f t="shared" si="60"/>
        <v>0</v>
      </c>
      <c r="K55" s="117">
        <f t="shared" ref="K55:V55" si="61">IF(K9=0,0,K9/K20)</f>
        <v>0</v>
      </c>
      <c r="L55" s="117">
        <f t="shared" si="61"/>
        <v>0</v>
      </c>
      <c r="M55" s="117">
        <f t="shared" si="61"/>
        <v>0</v>
      </c>
      <c r="N55" s="117">
        <f t="shared" si="61"/>
        <v>0</v>
      </c>
      <c r="O55" s="117">
        <f t="shared" si="61"/>
        <v>0</v>
      </c>
      <c r="P55" s="117">
        <f t="shared" si="61"/>
        <v>0</v>
      </c>
      <c r="Q55" s="117">
        <f t="shared" si="61"/>
        <v>0</v>
      </c>
      <c r="R55" s="117">
        <f t="shared" si="61"/>
        <v>0</v>
      </c>
      <c r="S55" s="117">
        <f t="shared" si="61"/>
        <v>0</v>
      </c>
      <c r="T55" s="117">
        <f t="shared" si="61"/>
        <v>0</v>
      </c>
      <c r="U55" s="117">
        <f t="shared" si="61"/>
        <v>0</v>
      </c>
      <c r="V55" s="117">
        <f t="shared" si="61"/>
        <v>0</v>
      </c>
      <c r="W55" s="117">
        <f t="shared" ref="W55" si="62">IF(W9=0,0,W9/W20)</f>
        <v>0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0</v>
      </c>
      <c r="C56" s="29">
        <f t="shared" si="63"/>
        <v>0</v>
      </c>
      <c r="D56" s="29">
        <f t="shared" si="63"/>
        <v>0</v>
      </c>
      <c r="E56" s="29">
        <f t="shared" si="63"/>
        <v>0</v>
      </c>
      <c r="F56" s="29">
        <f t="shared" si="63"/>
        <v>0</v>
      </c>
      <c r="G56" s="29">
        <f t="shared" si="63"/>
        <v>0</v>
      </c>
      <c r="H56" s="29">
        <f t="shared" si="63"/>
        <v>0</v>
      </c>
      <c r="I56" s="29">
        <f t="shared" si="63"/>
        <v>0</v>
      </c>
      <c r="J56" s="29">
        <f t="shared" si="63"/>
        <v>0</v>
      </c>
      <c r="K56" s="29">
        <f t="shared" ref="K56:V56" si="64">IF(K10=0,0,K10/K21)</f>
        <v>0</v>
      </c>
      <c r="L56" s="29">
        <f t="shared" si="64"/>
        <v>0</v>
      </c>
      <c r="M56" s="29">
        <f t="shared" si="64"/>
        <v>0</v>
      </c>
      <c r="N56" s="29">
        <f t="shared" si="64"/>
        <v>0</v>
      </c>
      <c r="O56" s="29">
        <f t="shared" si="64"/>
        <v>0</v>
      </c>
      <c r="P56" s="29">
        <f t="shared" si="64"/>
        <v>0</v>
      </c>
      <c r="Q56" s="29">
        <f t="shared" si="64"/>
        <v>0</v>
      </c>
      <c r="R56" s="29">
        <f t="shared" si="64"/>
        <v>0</v>
      </c>
      <c r="S56" s="29">
        <f t="shared" si="64"/>
        <v>0</v>
      </c>
      <c r="T56" s="29">
        <f t="shared" si="64"/>
        <v>0</v>
      </c>
      <c r="U56" s="29">
        <f t="shared" si="64"/>
        <v>0</v>
      </c>
      <c r="V56" s="29">
        <f t="shared" si="64"/>
        <v>0</v>
      </c>
      <c r="W56" s="29">
        <f t="shared" ref="W56" si="65">IF(W10=0,0,W10/W21)</f>
        <v>0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0</v>
      </c>
      <c r="C57" s="87">
        <f t="shared" si="66"/>
        <v>0</v>
      </c>
      <c r="D57" s="87">
        <f t="shared" si="66"/>
        <v>0</v>
      </c>
      <c r="E57" s="87">
        <f t="shared" si="66"/>
        <v>0</v>
      </c>
      <c r="F57" s="87">
        <f t="shared" si="66"/>
        <v>0</v>
      </c>
      <c r="G57" s="87">
        <f t="shared" si="66"/>
        <v>0</v>
      </c>
      <c r="H57" s="87">
        <f t="shared" si="66"/>
        <v>0</v>
      </c>
      <c r="I57" s="87">
        <f t="shared" si="66"/>
        <v>0</v>
      </c>
      <c r="J57" s="87">
        <f t="shared" si="66"/>
        <v>0</v>
      </c>
      <c r="K57" s="87">
        <f t="shared" ref="K57:V57" si="67">IF(K11=0,0,K11/K22)</f>
        <v>0</v>
      </c>
      <c r="L57" s="87">
        <f t="shared" si="67"/>
        <v>0</v>
      </c>
      <c r="M57" s="87">
        <f t="shared" si="67"/>
        <v>0</v>
      </c>
      <c r="N57" s="87">
        <f t="shared" si="67"/>
        <v>0</v>
      </c>
      <c r="O57" s="87">
        <f t="shared" si="67"/>
        <v>0</v>
      </c>
      <c r="P57" s="87">
        <f t="shared" si="67"/>
        <v>0</v>
      </c>
      <c r="Q57" s="87">
        <f t="shared" si="67"/>
        <v>0</v>
      </c>
      <c r="R57" s="87">
        <f t="shared" si="67"/>
        <v>0</v>
      </c>
      <c r="S57" s="87">
        <f t="shared" si="67"/>
        <v>0</v>
      </c>
      <c r="T57" s="87">
        <f t="shared" si="67"/>
        <v>0</v>
      </c>
      <c r="U57" s="87">
        <f t="shared" si="67"/>
        <v>0</v>
      </c>
      <c r="V57" s="87">
        <f t="shared" si="67"/>
        <v>0</v>
      </c>
      <c r="W57" s="87">
        <f t="shared" ref="W57" si="68">IF(W11=0,0,W11/W22)</f>
        <v>0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0</v>
      </c>
      <c r="C58" s="88">
        <f t="shared" si="69"/>
        <v>0</v>
      </c>
      <c r="D58" s="88">
        <f t="shared" si="69"/>
        <v>0</v>
      </c>
      <c r="E58" s="88">
        <f t="shared" si="69"/>
        <v>0</v>
      </c>
      <c r="F58" s="88">
        <f t="shared" si="69"/>
        <v>0</v>
      </c>
      <c r="G58" s="88">
        <f t="shared" si="69"/>
        <v>0</v>
      </c>
      <c r="H58" s="88">
        <f t="shared" si="69"/>
        <v>0</v>
      </c>
      <c r="I58" s="88">
        <f t="shared" si="69"/>
        <v>0</v>
      </c>
      <c r="J58" s="88">
        <f t="shared" si="69"/>
        <v>0</v>
      </c>
      <c r="K58" s="88">
        <f t="shared" ref="K58:V58" si="70">IF(K12=0,0,K12/K23)</f>
        <v>0</v>
      </c>
      <c r="L58" s="88">
        <f t="shared" si="70"/>
        <v>0</v>
      </c>
      <c r="M58" s="88">
        <f t="shared" si="70"/>
        <v>0</v>
      </c>
      <c r="N58" s="88">
        <f t="shared" si="70"/>
        <v>0</v>
      </c>
      <c r="O58" s="88">
        <f t="shared" si="70"/>
        <v>0</v>
      </c>
      <c r="P58" s="88">
        <f t="shared" si="70"/>
        <v>0</v>
      </c>
      <c r="Q58" s="88">
        <f t="shared" si="70"/>
        <v>0</v>
      </c>
      <c r="R58" s="88">
        <f t="shared" si="70"/>
        <v>0</v>
      </c>
      <c r="S58" s="88">
        <f t="shared" si="70"/>
        <v>0</v>
      </c>
      <c r="T58" s="88">
        <f t="shared" si="70"/>
        <v>0</v>
      </c>
      <c r="U58" s="88">
        <f t="shared" si="70"/>
        <v>0</v>
      </c>
      <c r="V58" s="88">
        <f t="shared" si="70"/>
        <v>0</v>
      </c>
      <c r="W58" s="88">
        <f t="shared" ref="W58" si="71">IF(W12=0,0,W12/W23)</f>
        <v>0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0</v>
      </c>
      <c r="C61" s="29">
        <f t="shared" ref="C61" si="73">IF(C26=0,0,(C62*C27+C64*C29+C65*C30+C66*C31)/(C27+C29+C30+C31))</f>
        <v>0</v>
      </c>
      <c r="D61" s="29">
        <f t="shared" ref="D61" si="74">IF(D26=0,0,(D62*D27+D64*D29+D65*D30+D66*D31)/(D27+D29+D30+D31))</f>
        <v>0</v>
      </c>
      <c r="E61" s="29">
        <f t="shared" ref="E61" si="75">IF(E26=0,0,(E62*E27+E64*E29+E65*E30+E66*E31)/(E27+E29+E30+E31))</f>
        <v>0</v>
      </c>
      <c r="F61" s="29">
        <f t="shared" ref="F61" si="76">IF(F26=0,0,(F62*F27+F64*F29+F65*F30+F66*F31)/(F27+F29+F30+F31))</f>
        <v>0</v>
      </c>
      <c r="G61" s="29">
        <f t="shared" ref="G61" si="77">IF(G26=0,0,(G62*G27+G64*G29+G65*G30+G66*G31)/(G27+G29+G30+G31))</f>
        <v>0</v>
      </c>
      <c r="H61" s="29">
        <f t="shared" ref="H61" si="78">IF(H26=0,0,(H62*H27+H64*H29+H65*H30+H66*H31)/(H27+H29+H30+H31))</f>
        <v>0</v>
      </c>
      <c r="I61" s="29">
        <f t="shared" ref="I61" si="79">IF(I26=0,0,(I62*I27+I64*I29+I65*I30+I66*I31)/(I27+I29+I30+I31))</f>
        <v>0</v>
      </c>
      <c r="J61" s="29">
        <f t="shared" ref="J61" si="80">IF(J26=0,0,(J62*J27+J64*J29+J65*J30+J66*J31)/(J27+J29+J30+J31))</f>
        <v>0</v>
      </c>
      <c r="K61" s="29">
        <f t="shared" ref="K61" si="81">IF(K26=0,0,(K62*K27+K64*K29+K65*K30+K66*K31)/(K27+K29+K30+K31))</f>
        <v>0</v>
      </c>
      <c r="L61" s="29">
        <f t="shared" ref="L61" si="82">IF(L26=0,0,(L62*L27+L64*L29+L65*L30+L66*L31)/(L27+L29+L30+L31))</f>
        <v>0</v>
      </c>
      <c r="M61" s="29">
        <f t="shared" ref="M61" si="83">IF(M26=0,0,(M62*M27+M64*M29+M65*M30+M66*M31)/(M27+M29+M30+M31))</f>
        <v>0</v>
      </c>
      <c r="N61" s="29">
        <f t="shared" ref="N61" si="84">IF(N26=0,0,(N62*N27+N64*N29+N65*N30+N66*N31)/(N27+N29+N30+N31))</f>
        <v>0</v>
      </c>
      <c r="O61" s="29">
        <f t="shared" ref="O61" si="85">IF(O26=0,0,(O62*O27+O64*O29+O65*O30+O66*O31)/(O27+O29+O30+O31))</f>
        <v>0</v>
      </c>
      <c r="P61" s="29">
        <f t="shared" ref="P61" si="86">IF(P26=0,0,(P62*P27+P64*P29+P65*P30+P66*P31)/(P27+P29+P30+P31))</f>
        <v>0</v>
      </c>
      <c r="Q61" s="29">
        <f t="shared" ref="Q61" si="87">IF(Q26=0,0,(Q62*Q27+Q64*Q29+Q65*Q30+Q66*Q31)/(Q27+Q29+Q30+Q31))</f>
        <v>0</v>
      </c>
      <c r="R61" s="29">
        <f t="shared" ref="R61" si="88">IF(R26=0,0,(R62*R27+R64*R29+R65*R30+R66*R31)/(R27+R29+R30+R31))</f>
        <v>0</v>
      </c>
      <c r="S61" s="29">
        <f t="shared" ref="S61" si="89">IF(S26=0,0,(S62*S27+S64*S29+S65*S30+S66*S31)/(S27+S29+S30+S31))</f>
        <v>0</v>
      </c>
      <c r="T61" s="29">
        <f t="shared" ref="T61" si="90">IF(T26=0,0,(T62*T27+T64*T29+T65*T30+T66*T31)/(T27+T29+T30+T31))</f>
        <v>0</v>
      </c>
      <c r="U61" s="29">
        <f t="shared" ref="U61" si="91">IF(U26=0,0,(U62*U27+U64*U29+U65*U30+U66*U31)/(U27+U29+U30+U31))</f>
        <v>0</v>
      </c>
      <c r="V61" s="29">
        <f t="shared" ref="V61" si="92">IF(V26=0,0,(V62*V27+V64*V29+V65*V30+V66*V31)/(V27+V29+V30+V31))</f>
        <v>0</v>
      </c>
      <c r="W61" s="29">
        <f t="shared" ref="W61" si="93">IF(W26=0,0,(W62*W27+W64*W29+W65*W30+W66*W31)/(W27+W29+W30+W31))</f>
        <v>0</v>
      </c>
      <c r="DA61" s="173" t="s">
        <v>1072</v>
      </c>
    </row>
    <row r="62" spans="1:105" ht="11.45" customHeight="1" x14ac:dyDescent="0.25">
      <c r="A62" s="107" t="s">
        <v>23</v>
      </c>
      <c r="B62" s="115">
        <v>0</v>
      </c>
      <c r="C62" s="115">
        <v>0</v>
      </c>
      <c r="D62" s="115">
        <v>0</v>
      </c>
      <c r="E62" s="115">
        <v>0</v>
      </c>
      <c r="F62" s="115">
        <v>0</v>
      </c>
      <c r="G62" s="115">
        <v>0</v>
      </c>
      <c r="H62" s="115">
        <v>0</v>
      </c>
      <c r="I62" s="115">
        <v>0</v>
      </c>
      <c r="J62" s="115">
        <v>0</v>
      </c>
      <c r="K62" s="115">
        <v>0</v>
      </c>
      <c r="L62" s="115">
        <v>0</v>
      </c>
      <c r="M62" s="115">
        <v>0</v>
      </c>
      <c r="N62" s="115">
        <v>0</v>
      </c>
      <c r="O62" s="115">
        <v>0</v>
      </c>
      <c r="P62" s="115">
        <v>0</v>
      </c>
      <c r="Q62" s="115">
        <v>0</v>
      </c>
      <c r="R62" s="115">
        <v>0</v>
      </c>
      <c r="S62" s="115">
        <v>0</v>
      </c>
      <c r="T62" s="115">
        <v>0</v>
      </c>
      <c r="U62" s="115">
        <v>0</v>
      </c>
      <c r="V62" s="115">
        <v>0</v>
      </c>
      <c r="W62" s="115">
        <v>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0</v>
      </c>
      <c r="C63" s="116">
        <f t="shared" ref="C63" si="95">IF(C28=0,0,(C64*C29+C65*C30)/(C29+C30))</f>
        <v>0</v>
      </c>
      <c r="D63" s="116">
        <f t="shared" ref="D63" si="96">IF(D28=0,0,(D64*D29+D65*D30)/(D29+D30))</f>
        <v>0</v>
      </c>
      <c r="E63" s="116">
        <f t="shared" ref="E63" si="97">IF(E28=0,0,(E64*E29+E65*E30)/(E29+E30))</f>
        <v>0</v>
      </c>
      <c r="F63" s="116">
        <f t="shared" ref="F63" si="98">IF(F28=0,0,(F64*F29+F65*F30)/(F29+F30))</f>
        <v>0</v>
      </c>
      <c r="G63" s="116">
        <f t="shared" ref="G63" si="99">IF(G28=0,0,(G64*G29+G65*G30)/(G29+G30))</f>
        <v>0</v>
      </c>
      <c r="H63" s="116">
        <f t="shared" ref="H63" si="100">IF(H28=0,0,(H64*H29+H65*H30)/(H29+H30))</f>
        <v>0</v>
      </c>
      <c r="I63" s="116">
        <f t="shared" ref="I63" si="101">IF(I28=0,0,(I64*I29+I65*I30)/(I29+I30))</f>
        <v>0</v>
      </c>
      <c r="J63" s="116">
        <f t="shared" ref="J63" si="102">IF(J28=0,0,(J64*J29+J65*J30)/(J29+J30))</f>
        <v>0</v>
      </c>
      <c r="K63" s="116">
        <f t="shared" ref="K63" si="103">IF(K28=0,0,(K64*K29+K65*K30)/(K29+K30))</f>
        <v>0</v>
      </c>
      <c r="L63" s="116">
        <f t="shared" ref="L63" si="104">IF(L28=0,0,(L64*L29+L65*L30)/(L29+L30))</f>
        <v>0</v>
      </c>
      <c r="M63" s="116">
        <f t="shared" ref="M63" si="105">IF(M28=0,0,(M64*M29+M65*M30)/(M29+M30))</f>
        <v>0</v>
      </c>
      <c r="N63" s="116">
        <f t="shared" ref="N63" si="106">IF(N28=0,0,(N64*N29+N65*N30)/(N29+N30))</f>
        <v>0</v>
      </c>
      <c r="O63" s="116">
        <f t="shared" ref="O63" si="107">IF(O28=0,0,(O64*O29+O65*O30)/(O29+O30))</f>
        <v>0</v>
      </c>
      <c r="P63" s="116">
        <f t="shared" ref="P63" si="108">IF(P28=0,0,(P64*P29+P65*P30)/(P29+P30))</f>
        <v>0</v>
      </c>
      <c r="Q63" s="116">
        <f t="shared" ref="Q63" si="109">IF(Q28=0,0,(Q64*Q29+Q65*Q30)/(Q29+Q30))</f>
        <v>0</v>
      </c>
      <c r="R63" s="116">
        <f t="shared" ref="R63" si="110">IF(R28=0,0,(R64*R29+R65*R30)/(R29+R30))</f>
        <v>0</v>
      </c>
      <c r="S63" s="116">
        <f t="shared" ref="S63" si="111">IF(S28=0,0,(S64*S29+S65*S30)/(S29+S30))</f>
        <v>0</v>
      </c>
      <c r="T63" s="116">
        <f t="shared" ref="T63" si="112">IF(T28=0,0,(T64*T29+T65*T30)/(T29+T30))</f>
        <v>0</v>
      </c>
      <c r="U63" s="116">
        <f t="shared" ref="U63" si="113">IF(U28=0,0,(U64*U29+U65*U30)/(U29+U30))</f>
        <v>0</v>
      </c>
      <c r="V63" s="116">
        <f t="shared" ref="V63" si="114">IF(V28=0,0,(V64*V29+V65*V30)/(V29+V30))</f>
        <v>0</v>
      </c>
      <c r="W63" s="116">
        <f t="shared" ref="W63" si="115">IF(W28=0,0,(W64*W29+W65*W30)/(W29+W30))</f>
        <v>0</v>
      </c>
      <c r="DA63" s="176" t="s">
        <v>1074</v>
      </c>
    </row>
    <row r="64" spans="1:105" ht="11.45" customHeight="1" x14ac:dyDescent="0.25">
      <c r="A64" s="111" t="s">
        <v>92</v>
      </c>
      <c r="B64" s="87">
        <v>0</v>
      </c>
      <c r="C64" s="87">
        <v>0</v>
      </c>
      <c r="D64" s="87">
        <v>0</v>
      </c>
      <c r="E64" s="87">
        <v>0</v>
      </c>
      <c r="F64" s="87">
        <v>0</v>
      </c>
      <c r="G64" s="87">
        <v>0</v>
      </c>
      <c r="H64" s="87">
        <v>0</v>
      </c>
      <c r="I64" s="87">
        <v>0</v>
      </c>
      <c r="J64" s="87">
        <v>0</v>
      </c>
      <c r="K64" s="87">
        <v>0</v>
      </c>
      <c r="L64" s="87">
        <v>0</v>
      </c>
      <c r="M64" s="87">
        <v>0</v>
      </c>
      <c r="N64" s="87">
        <v>0</v>
      </c>
      <c r="O64" s="87">
        <v>0</v>
      </c>
      <c r="P64" s="87">
        <v>0</v>
      </c>
      <c r="Q64" s="87">
        <v>0</v>
      </c>
      <c r="R64" s="87">
        <v>0</v>
      </c>
      <c r="S64" s="87">
        <v>0</v>
      </c>
      <c r="T64" s="87">
        <v>0</v>
      </c>
      <c r="U64" s="87">
        <v>0</v>
      </c>
      <c r="V64" s="87">
        <v>0</v>
      </c>
      <c r="W64" s="87">
        <v>0</v>
      </c>
      <c r="DA64" s="171" t="s">
        <v>1075</v>
      </c>
    </row>
    <row r="65" spans="1:105" ht="11.45" customHeight="1" x14ac:dyDescent="0.25">
      <c r="A65" s="111" t="s">
        <v>93</v>
      </c>
      <c r="B65" s="87">
        <v>0</v>
      </c>
      <c r="C65" s="87">
        <v>0</v>
      </c>
      <c r="D65" s="87">
        <v>0</v>
      </c>
      <c r="E65" s="87">
        <v>0</v>
      </c>
      <c r="F65" s="87">
        <v>0</v>
      </c>
      <c r="G65" s="87">
        <v>0</v>
      </c>
      <c r="H65" s="87">
        <v>0</v>
      </c>
      <c r="I65" s="87">
        <v>0</v>
      </c>
      <c r="J65" s="87">
        <v>0</v>
      </c>
      <c r="K65" s="87">
        <v>0</v>
      </c>
      <c r="L65" s="87">
        <v>0</v>
      </c>
      <c r="M65" s="87">
        <v>0</v>
      </c>
      <c r="N65" s="87">
        <v>0</v>
      </c>
      <c r="O65" s="87">
        <v>0</v>
      </c>
      <c r="P65" s="87">
        <v>0</v>
      </c>
      <c r="Q65" s="87">
        <v>0</v>
      </c>
      <c r="R65" s="87">
        <v>0</v>
      </c>
      <c r="S65" s="87">
        <v>0</v>
      </c>
      <c r="T65" s="87">
        <v>0</v>
      </c>
      <c r="U65" s="87">
        <v>0</v>
      </c>
      <c r="V65" s="87">
        <v>0</v>
      </c>
      <c r="W65" s="87">
        <v>0</v>
      </c>
      <c r="DA65" s="171" t="s">
        <v>1076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17">
        <v>0</v>
      </c>
      <c r="P66" s="117">
        <v>0</v>
      </c>
      <c r="Q66" s="117">
        <v>0</v>
      </c>
      <c r="R66" s="117">
        <v>0</v>
      </c>
      <c r="S66" s="117">
        <v>0</v>
      </c>
      <c r="T66" s="117">
        <v>0</v>
      </c>
      <c r="U66" s="117">
        <v>0</v>
      </c>
      <c r="V66" s="117">
        <v>0</v>
      </c>
      <c r="W66" s="117">
        <v>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0</v>
      </c>
      <c r="C67" s="29">
        <f t="shared" ref="C67" si="117">IF(C32=0,0,(C68*C33+C69*C34)/(C33+C34))</f>
        <v>0</v>
      </c>
      <c r="D67" s="29">
        <f t="shared" ref="D67" si="118">IF(D32=0,0,(D68*D33+D69*D34)/(D33+D34))</f>
        <v>0</v>
      </c>
      <c r="E67" s="29">
        <f t="shared" ref="E67" si="119">IF(E32=0,0,(E68*E33+E69*E34)/(E33+E34))</f>
        <v>0</v>
      </c>
      <c r="F67" s="29">
        <f t="shared" ref="F67" si="120">IF(F32=0,0,(F68*F33+F69*F34)/(F33+F34))</f>
        <v>0</v>
      </c>
      <c r="G67" s="29">
        <f t="shared" ref="G67" si="121">IF(G32=0,0,(G68*G33+G69*G34)/(G33+G34))</f>
        <v>0</v>
      </c>
      <c r="H67" s="29">
        <f t="shared" ref="H67" si="122">IF(H32=0,0,(H68*H33+H69*H34)/(H33+H34))</f>
        <v>0</v>
      </c>
      <c r="I67" s="29">
        <f t="shared" ref="I67" si="123">IF(I32=0,0,(I68*I33+I69*I34)/(I33+I34))</f>
        <v>0</v>
      </c>
      <c r="J67" s="29">
        <f t="shared" ref="J67" si="124">IF(J32=0,0,(J68*J33+J69*J34)/(J33+J34))</f>
        <v>0</v>
      </c>
      <c r="K67" s="29">
        <f t="shared" ref="K67" si="125">IF(K32=0,0,(K68*K33+K69*K34)/(K33+K34))</f>
        <v>0</v>
      </c>
      <c r="L67" s="29">
        <f t="shared" ref="L67" si="126">IF(L32=0,0,(L68*L33+L69*L34)/(L33+L34))</f>
        <v>0</v>
      </c>
      <c r="M67" s="29">
        <f t="shared" ref="M67" si="127">IF(M32=0,0,(M68*M33+M69*M34)/(M33+M34))</f>
        <v>0</v>
      </c>
      <c r="N67" s="29">
        <f t="shared" ref="N67" si="128">IF(N32=0,0,(N68*N33+N69*N34)/(N33+N34))</f>
        <v>0</v>
      </c>
      <c r="O67" s="29">
        <f t="shared" ref="O67" si="129">IF(O32=0,0,(O68*O33+O69*O34)/(O33+O34))</f>
        <v>0</v>
      </c>
      <c r="P67" s="29">
        <f t="shared" ref="P67" si="130">IF(P32=0,0,(P68*P33+P69*P34)/(P33+P34))</f>
        <v>0</v>
      </c>
      <c r="Q67" s="29">
        <f t="shared" ref="Q67" si="131">IF(Q32=0,0,(Q68*Q33+Q69*Q34)/(Q33+Q34))</f>
        <v>0</v>
      </c>
      <c r="R67" s="29">
        <f t="shared" ref="R67" si="132">IF(R32=0,0,(R68*R33+R69*R34)/(R33+R34))</f>
        <v>0</v>
      </c>
      <c r="S67" s="29">
        <f t="shared" ref="S67" si="133">IF(S32=0,0,(S68*S33+S69*S34)/(S33+S34))</f>
        <v>0</v>
      </c>
      <c r="T67" s="29">
        <f t="shared" ref="T67" si="134">IF(T32=0,0,(T68*T33+T69*T34)/(T33+T34))</f>
        <v>0</v>
      </c>
      <c r="U67" s="29">
        <f t="shared" ref="U67" si="135">IF(U32=0,0,(U68*U33+U69*U34)/(U33+U34))</f>
        <v>0</v>
      </c>
      <c r="V67" s="29">
        <f t="shared" ref="V67" si="136">IF(V32=0,0,(V68*V33+V69*V34)/(V33+V34))</f>
        <v>0</v>
      </c>
      <c r="W67" s="29">
        <f t="shared" ref="W67" si="137">IF(W32=0,0,(W68*W33+W69*W34)/(W33+W34))</f>
        <v>0</v>
      </c>
      <c r="DA67" s="173" t="s">
        <v>1078</v>
      </c>
    </row>
    <row r="68" spans="1:105" ht="11.45" customHeight="1" x14ac:dyDescent="0.25">
      <c r="A68" s="83" t="s">
        <v>92</v>
      </c>
      <c r="B68" s="87">
        <v>0</v>
      </c>
      <c r="C68" s="87">
        <v>0</v>
      </c>
      <c r="D68" s="87">
        <v>0</v>
      </c>
      <c r="E68" s="87">
        <v>0</v>
      </c>
      <c r="F68" s="87">
        <v>0</v>
      </c>
      <c r="G68" s="87">
        <v>0</v>
      </c>
      <c r="H68" s="87">
        <v>0</v>
      </c>
      <c r="I68" s="87">
        <v>0</v>
      </c>
      <c r="J68" s="87">
        <v>0</v>
      </c>
      <c r="K68" s="87">
        <v>0</v>
      </c>
      <c r="L68" s="87">
        <v>0</v>
      </c>
      <c r="M68" s="87">
        <v>0</v>
      </c>
      <c r="N68" s="87">
        <v>0</v>
      </c>
      <c r="O68" s="87">
        <v>0</v>
      </c>
      <c r="P68" s="87">
        <v>0</v>
      </c>
      <c r="Q68" s="87">
        <v>0</v>
      </c>
      <c r="R68" s="87">
        <v>0</v>
      </c>
      <c r="S68" s="87">
        <v>0</v>
      </c>
      <c r="T68" s="87">
        <v>0</v>
      </c>
      <c r="U68" s="87">
        <v>0</v>
      </c>
      <c r="V68" s="87">
        <v>0</v>
      </c>
      <c r="W68" s="87">
        <v>0</v>
      </c>
      <c r="DA68" s="171" t="s">
        <v>1079</v>
      </c>
    </row>
    <row r="69" spans="1:105" ht="11.45" customHeight="1" x14ac:dyDescent="0.25">
      <c r="A69" s="85" t="s">
        <v>93</v>
      </c>
      <c r="B69" s="88">
        <v>0</v>
      </c>
      <c r="C69" s="88">
        <v>0</v>
      </c>
      <c r="D69" s="88">
        <v>0</v>
      </c>
      <c r="E69" s="88">
        <v>0</v>
      </c>
      <c r="F69" s="88">
        <v>0</v>
      </c>
      <c r="G69" s="88">
        <v>0</v>
      </c>
      <c r="H69" s="88">
        <v>0</v>
      </c>
      <c r="I69" s="88">
        <v>0</v>
      </c>
      <c r="J69" s="88">
        <v>0</v>
      </c>
      <c r="K69" s="88">
        <v>0</v>
      </c>
      <c r="L69" s="88">
        <v>0</v>
      </c>
      <c r="M69" s="88">
        <v>0</v>
      </c>
      <c r="N69" s="88">
        <v>0</v>
      </c>
      <c r="O69" s="88">
        <v>0</v>
      </c>
      <c r="P69" s="88">
        <v>0</v>
      </c>
      <c r="Q69" s="88">
        <v>0</v>
      </c>
      <c r="R69" s="88">
        <v>0</v>
      </c>
      <c r="S69" s="88">
        <v>0</v>
      </c>
      <c r="T69" s="88">
        <v>0</v>
      </c>
      <c r="U69" s="88">
        <v>0</v>
      </c>
      <c r="V69" s="88">
        <v>0</v>
      </c>
      <c r="W69" s="88">
        <v>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</v>
      </c>
      <c r="C72" s="30">
        <f t="shared" ref="C72:J72" si="138">IF(C50=0,0,C50/C61)</f>
        <v>0</v>
      </c>
      <c r="D72" s="30">
        <f t="shared" si="138"/>
        <v>0</v>
      </c>
      <c r="E72" s="30">
        <f t="shared" si="138"/>
        <v>0</v>
      </c>
      <c r="F72" s="30">
        <f t="shared" si="138"/>
        <v>0</v>
      </c>
      <c r="G72" s="30">
        <f t="shared" si="138"/>
        <v>0</v>
      </c>
      <c r="H72" s="30">
        <f t="shared" si="138"/>
        <v>0</v>
      </c>
      <c r="I72" s="30">
        <f t="shared" si="138"/>
        <v>0</v>
      </c>
      <c r="J72" s="30">
        <f t="shared" si="138"/>
        <v>0</v>
      </c>
      <c r="K72" s="30">
        <f t="shared" ref="K72:V72" si="139">IF(K50=0,0,K50/K61)</f>
        <v>0</v>
      </c>
      <c r="L72" s="30">
        <f t="shared" si="139"/>
        <v>0</v>
      </c>
      <c r="M72" s="30">
        <f t="shared" si="139"/>
        <v>0</v>
      </c>
      <c r="N72" s="30">
        <f t="shared" si="139"/>
        <v>0</v>
      </c>
      <c r="O72" s="30">
        <f t="shared" si="139"/>
        <v>0</v>
      </c>
      <c r="P72" s="30">
        <f t="shared" si="139"/>
        <v>0</v>
      </c>
      <c r="Q72" s="30">
        <f t="shared" si="139"/>
        <v>0</v>
      </c>
      <c r="R72" s="30">
        <f t="shared" si="139"/>
        <v>0</v>
      </c>
      <c r="S72" s="30">
        <f t="shared" si="139"/>
        <v>0</v>
      </c>
      <c r="T72" s="30">
        <f t="shared" si="139"/>
        <v>0</v>
      </c>
      <c r="U72" s="30">
        <f t="shared" si="139"/>
        <v>0</v>
      </c>
      <c r="V72" s="30">
        <f t="shared" si="139"/>
        <v>0</v>
      </c>
      <c r="W72" s="30">
        <f t="shared" ref="W72" si="140">IF(W50=0,0,W50/W61)</f>
        <v>0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</v>
      </c>
      <c r="C73" s="118">
        <f t="shared" si="141"/>
        <v>0</v>
      </c>
      <c r="D73" s="118">
        <f t="shared" si="141"/>
        <v>0</v>
      </c>
      <c r="E73" s="118">
        <f t="shared" si="141"/>
        <v>0</v>
      </c>
      <c r="F73" s="118">
        <f t="shared" si="141"/>
        <v>0</v>
      </c>
      <c r="G73" s="118">
        <f t="shared" si="141"/>
        <v>0</v>
      </c>
      <c r="H73" s="118">
        <f t="shared" si="141"/>
        <v>0</v>
      </c>
      <c r="I73" s="118">
        <f t="shared" si="141"/>
        <v>0</v>
      </c>
      <c r="J73" s="118">
        <f t="shared" si="141"/>
        <v>0</v>
      </c>
      <c r="K73" s="118">
        <f t="shared" ref="K73:V73" si="142">IF(K51=0,0,K51/K62)</f>
        <v>0</v>
      </c>
      <c r="L73" s="118">
        <f t="shared" si="142"/>
        <v>0</v>
      </c>
      <c r="M73" s="118">
        <f t="shared" si="142"/>
        <v>0</v>
      </c>
      <c r="N73" s="118">
        <f t="shared" si="142"/>
        <v>0</v>
      </c>
      <c r="O73" s="118">
        <f t="shared" si="142"/>
        <v>0</v>
      </c>
      <c r="P73" s="118">
        <f t="shared" si="142"/>
        <v>0</v>
      </c>
      <c r="Q73" s="118">
        <f t="shared" si="142"/>
        <v>0</v>
      </c>
      <c r="R73" s="118">
        <f t="shared" si="142"/>
        <v>0</v>
      </c>
      <c r="S73" s="118">
        <f t="shared" si="142"/>
        <v>0</v>
      </c>
      <c r="T73" s="118">
        <f t="shared" si="142"/>
        <v>0</v>
      </c>
      <c r="U73" s="118">
        <f t="shared" si="142"/>
        <v>0</v>
      </c>
      <c r="V73" s="118">
        <f t="shared" si="142"/>
        <v>0</v>
      </c>
      <c r="W73" s="118">
        <f t="shared" ref="W73" si="143">IF(W51=0,0,W51/W62)</f>
        <v>0</v>
      </c>
      <c r="DA73" s="203"/>
    </row>
    <row r="74" spans="1:105" ht="11.45" customHeight="1" x14ac:dyDescent="0.25">
      <c r="A74" s="109" t="s">
        <v>24</v>
      </c>
      <c r="B74" s="119">
        <f t="shared" si="141"/>
        <v>0</v>
      </c>
      <c r="C74" s="119">
        <f t="shared" si="141"/>
        <v>0</v>
      </c>
      <c r="D74" s="119">
        <f t="shared" si="141"/>
        <v>0</v>
      </c>
      <c r="E74" s="119">
        <f t="shared" si="141"/>
        <v>0</v>
      </c>
      <c r="F74" s="119">
        <f t="shared" si="141"/>
        <v>0</v>
      </c>
      <c r="G74" s="119">
        <f t="shared" si="141"/>
        <v>0</v>
      </c>
      <c r="H74" s="119">
        <f t="shared" si="141"/>
        <v>0</v>
      </c>
      <c r="I74" s="119">
        <f t="shared" si="141"/>
        <v>0</v>
      </c>
      <c r="J74" s="119">
        <f t="shared" si="141"/>
        <v>0</v>
      </c>
      <c r="K74" s="119">
        <f t="shared" ref="K74:V74" si="144">IF(K52=0,0,K52/K63)</f>
        <v>0</v>
      </c>
      <c r="L74" s="119">
        <f t="shared" si="144"/>
        <v>0</v>
      </c>
      <c r="M74" s="119">
        <f t="shared" si="144"/>
        <v>0</v>
      </c>
      <c r="N74" s="119">
        <f t="shared" si="144"/>
        <v>0</v>
      </c>
      <c r="O74" s="119">
        <f t="shared" si="144"/>
        <v>0</v>
      </c>
      <c r="P74" s="119">
        <f t="shared" si="144"/>
        <v>0</v>
      </c>
      <c r="Q74" s="119">
        <f t="shared" si="144"/>
        <v>0</v>
      </c>
      <c r="R74" s="119">
        <f t="shared" si="144"/>
        <v>0</v>
      </c>
      <c r="S74" s="119">
        <f t="shared" si="144"/>
        <v>0</v>
      </c>
      <c r="T74" s="119">
        <f t="shared" si="144"/>
        <v>0</v>
      </c>
      <c r="U74" s="119">
        <f t="shared" si="144"/>
        <v>0</v>
      </c>
      <c r="V74" s="119">
        <f t="shared" si="144"/>
        <v>0</v>
      </c>
      <c r="W74" s="119">
        <f t="shared" ref="W74" si="145">IF(W52=0,0,W52/W63)</f>
        <v>0</v>
      </c>
      <c r="DA74" s="176"/>
    </row>
    <row r="75" spans="1:105" ht="11.45" customHeight="1" x14ac:dyDescent="0.25">
      <c r="A75" s="111" t="s">
        <v>92</v>
      </c>
      <c r="B75" s="120">
        <f t="shared" si="141"/>
        <v>0</v>
      </c>
      <c r="C75" s="120">
        <f t="shared" si="141"/>
        <v>0</v>
      </c>
      <c r="D75" s="120">
        <f t="shared" si="141"/>
        <v>0</v>
      </c>
      <c r="E75" s="120">
        <f t="shared" si="141"/>
        <v>0</v>
      </c>
      <c r="F75" s="120">
        <f t="shared" si="141"/>
        <v>0</v>
      </c>
      <c r="G75" s="120">
        <f t="shared" si="141"/>
        <v>0</v>
      </c>
      <c r="H75" s="120">
        <f t="shared" si="141"/>
        <v>0</v>
      </c>
      <c r="I75" s="120">
        <f t="shared" si="141"/>
        <v>0</v>
      </c>
      <c r="J75" s="120">
        <f t="shared" si="141"/>
        <v>0</v>
      </c>
      <c r="K75" s="120">
        <f t="shared" ref="K75:V75" si="146">IF(K53=0,0,K53/K64)</f>
        <v>0</v>
      </c>
      <c r="L75" s="120">
        <f t="shared" si="146"/>
        <v>0</v>
      </c>
      <c r="M75" s="120">
        <f t="shared" si="146"/>
        <v>0</v>
      </c>
      <c r="N75" s="120">
        <f t="shared" si="146"/>
        <v>0</v>
      </c>
      <c r="O75" s="120">
        <f t="shared" si="146"/>
        <v>0</v>
      </c>
      <c r="P75" s="120">
        <f t="shared" si="146"/>
        <v>0</v>
      </c>
      <c r="Q75" s="120">
        <f t="shared" si="146"/>
        <v>0</v>
      </c>
      <c r="R75" s="120">
        <f t="shared" si="146"/>
        <v>0</v>
      </c>
      <c r="S75" s="120">
        <f t="shared" si="146"/>
        <v>0</v>
      </c>
      <c r="T75" s="120">
        <f t="shared" si="146"/>
        <v>0</v>
      </c>
      <c r="U75" s="120">
        <f t="shared" si="146"/>
        <v>0</v>
      </c>
      <c r="V75" s="120">
        <f t="shared" si="146"/>
        <v>0</v>
      </c>
      <c r="W75" s="120">
        <f t="shared" ref="W75" si="147">IF(W53=0,0,W53/W64)</f>
        <v>0</v>
      </c>
      <c r="DA75" s="171"/>
    </row>
    <row r="76" spans="1:105" ht="11.45" customHeight="1" x14ac:dyDescent="0.25">
      <c r="A76" s="111" t="s">
        <v>93</v>
      </c>
      <c r="B76" s="120">
        <f t="shared" si="141"/>
        <v>0</v>
      </c>
      <c r="C76" s="120">
        <f t="shared" si="141"/>
        <v>0</v>
      </c>
      <c r="D76" s="120">
        <f t="shared" si="141"/>
        <v>0</v>
      </c>
      <c r="E76" s="120">
        <f t="shared" si="141"/>
        <v>0</v>
      </c>
      <c r="F76" s="120">
        <f t="shared" si="141"/>
        <v>0</v>
      </c>
      <c r="G76" s="120">
        <f t="shared" si="141"/>
        <v>0</v>
      </c>
      <c r="H76" s="120">
        <f t="shared" si="141"/>
        <v>0</v>
      </c>
      <c r="I76" s="120">
        <f t="shared" si="141"/>
        <v>0</v>
      </c>
      <c r="J76" s="120">
        <f t="shared" si="141"/>
        <v>0</v>
      </c>
      <c r="K76" s="120">
        <f t="shared" ref="K76:V76" si="148">IF(K54=0,0,K54/K65)</f>
        <v>0</v>
      </c>
      <c r="L76" s="120">
        <f t="shared" si="148"/>
        <v>0</v>
      </c>
      <c r="M76" s="120">
        <f t="shared" si="148"/>
        <v>0</v>
      </c>
      <c r="N76" s="120">
        <f t="shared" si="148"/>
        <v>0</v>
      </c>
      <c r="O76" s="120">
        <f t="shared" si="148"/>
        <v>0</v>
      </c>
      <c r="P76" s="120">
        <f t="shared" si="148"/>
        <v>0</v>
      </c>
      <c r="Q76" s="120">
        <f t="shared" si="148"/>
        <v>0</v>
      </c>
      <c r="R76" s="120">
        <f t="shared" si="148"/>
        <v>0</v>
      </c>
      <c r="S76" s="120">
        <f t="shared" si="148"/>
        <v>0</v>
      </c>
      <c r="T76" s="120">
        <f t="shared" si="148"/>
        <v>0</v>
      </c>
      <c r="U76" s="120">
        <f t="shared" si="148"/>
        <v>0</v>
      </c>
      <c r="V76" s="120">
        <f t="shared" si="148"/>
        <v>0</v>
      </c>
      <c r="W76" s="120">
        <f t="shared" ref="W76" si="149">IF(W54=0,0,W54/W65)</f>
        <v>0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</v>
      </c>
      <c r="G77" s="121">
        <f t="shared" si="141"/>
        <v>0</v>
      </c>
      <c r="H77" s="121">
        <f t="shared" si="141"/>
        <v>0</v>
      </c>
      <c r="I77" s="121">
        <f t="shared" si="141"/>
        <v>0</v>
      </c>
      <c r="J77" s="121">
        <f t="shared" si="141"/>
        <v>0</v>
      </c>
      <c r="K77" s="121">
        <f t="shared" ref="K77:V77" si="150">IF(K55=0,0,K55/K66)</f>
        <v>0</v>
      </c>
      <c r="L77" s="121">
        <f t="shared" si="150"/>
        <v>0</v>
      </c>
      <c r="M77" s="121">
        <f t="shared" si="150"/>
        <v>0</v>
      </c>
      <c r="N77" s="121">
        <f t="shared" si="150"/>
        <v>0</v>
      </c>
      <c r="O77" s="121">
        <f t="shared" si="150"/>
        <v>0</v>
      </c>
      <c r="P77" s="121">
        <f t="shared" si="150"/>
        <v>0</v>
      </c>
      <c r="Q77" s="121">
        <f t="shared" si="150"/>
        <v>0</v>
      </c>
      <c r="R77" s="121">
        <f t="shared" si="150"/>
        <v>0</v>
      </c>
      <c r="S77" s="121">
        <f t="shared" si="150"/>
        <v>0</v>
      </c>
      <c r="T77" s="121">
        <f t="shared" si="150"/>
        <v>0</v>
      </c>
      <c r="U77" s="121">
        <f t="shared" si="150"/>
        <v>0</v>
      </c>
      <c r="V77" s="121">
        <f t="shared" si="150"/>
        <v>0</v>
      </c>
      <c r="W77" s="121">
        <f t="shared" ref="W77" si="151">IF(W55=0,0,W55/W66)</f>
        <v>0</v>
      </c>
      <c r="DA77" s="204"/>
    </row>
    <row r="78" spans="1:105" ht="11.45" customHeight="1" x14ac:dyDescent="0.25">
      <c r="A78" s="27" t="s">
        <v>34</v>
      </c>
      <c r="B78" s="30">
        <f t="shared" si="141"/>
        <v>0</v>
      </c>
      <c r="C78" s="30">
        <f t="shared" si="141"/>
        <v>0</v>
      </c>
      <c r="D78" s="30">
        <f t="shared" si="141"/>
        <v>0</v>
      </c>
      <c r="E78" s="30">
        <f t="shared" si="141"/>
        <v>0</v>
      </c>
      <c r="F78" s="30">
        <f t="shared" si="141"/>
        <v>0</v>
      </c>
      <c r="G78" s="30">
        <f t="shared" si="141"/>
        <v>0</v>
      </c>
      <c r="H78" s="30">
        <f t="shared" si="141"/>
        <v>0</v>
      </c>
      <c r="I78" s="30">
        <f t="shared" si="141"/>
        <v>0</v>
      </c>
      <c r="J78" s="30">
        <f t="shared" si="141"/>
        <v>0</v>
      </c>
      <c r="K78" s="30">
        <f t="shared" ref="K78:V78" si="152">IF(K56=0,0,K56/K67)</f>
        <v>0</v>
      </c>
      <c r="L78" s="30">
        <f t="shared" si="152"/>
        <v>0</v>
      </c>
      <c r="M78" s="30">
        <f t="shared" si="152"/>
        <v>0</v>
      </c>
      <c r="N78" s="30">
        <f t="shared" si="152"/>
        <v>0</v>
      </c>
      <c r="O78" s="30">
        <f t="shared" si="152"/>
        <v>0</v>
      </c>
      <c r="P78" s="30">
        <f t="shared" si="152"/>
        <v>0</v>
      </c>
      <c r="Q78" s="30">
        <f t="shared" si="152"/>
        <v>0</v>
      </c>
      <c r="R78" s="30">
        <f t="shared" si="152"/>
        <v>0</v>
      </c>
      <c r="S78" s="30">
        <f t="shared" si="152"/>
        <v>0</v>
      </c>
      <c r="T78" s="30">
        <f t="shared" si="152"/>
        <v>0</v>
      </c>
      <c r="U78" s="30">
        <f t="shared" si="152"/>
        <v>0</v>
      </c>
      <c r="V78" s="30">
        <f t="shared" si="152"/>
        <v>0</v>
      </c>
      <c r="W78" s="30">
        <f t="shared" ref="W78" si="153">IF(W56=0,0,W56/W67)</f>
        <v>0</v>
      </c>
      <c r="DA78" s="173"/>
    </row>
    <row r="79" spans="1:105" ht="11.45" customHeight="1" x14ac:dyDescent="0.25">
      <c r="A79" s="83" t="s">
        <v>92</v>
      </c>
      <c r="B79" s="120">
        <f t="shared" si="141"/>
        <v>0</v>
      </c>
      <c r="C79" s="120">
        <f t="shared" si="141"/>
        <v>0</v>
      </c>
      <c r="D79" s="120">
        <f t="shared" si="141"/>
        <v>0</v>
      </c>
      <c r="E79" s="120">
        <f t="shared" si="141"/>
        <v>0</v>
      </c>
      <c r="F79" s="120">
        <f t="shared" si="141"/>
        <v>0</v>
      </c>
      <c r="G79" s="120">
        <f t="shared" si="141"/>
        <v>0</v>
      </c>
      <c r="H79" s="120">
        <f t="shared" si="141"/>
        <v>0</v>
      </c>
      <c r="I79" s="120">
        <f t="shared" si="141"/>
        <v>0</v>
      </c>
      <c r="J79" s="120">
        <f t="shared" si="141"/>
        <v>0</v>
      </c>
      <c r="K79" s="120">
        <f t="shared" ref="K79:V79" si="154">IF(K57=0,0,K57/K68)</f>
        <v>0</v>
      </c>
      <c r="L79" s="120">
        <f t="shared" si="154"/>
        <v>0</v>
      </c>
      <c r="M79" s="120">
        <f t="shared" si="154"/>
        <v>0</v>
      </c>
      <c r="N79" s="120">
        <f t="shared" si="154"/>
        <v>0</v>
      </c>
      <c r="O79" s="120">
        <f t="shared" si="154"/>
        <v>0</v>
      </c>
      <c r="P79" s="120">
        <f t="shared" si="154"/>
        <v>0</v>
      </c>
      <c r="Q79" s="120">
        <f t="shared" si="154"/>
        <v>0</v>
      </c>
      <c r="R79" s="120">
        <f t="shared" si="154"/>
        <v>0</v>
      </c>
      <c r="S79" s="120">
        <f t="shared" si="154"/>
        <v>0</v>
      </c>
      <c r="T79" s="120">
        <f t="shared" si="154"/>
        <v>0</v>
      </c>
      <c r="U79" s="120">
        <f t="shared" si="154"/>
        <v>0</v>
      </c>
      <c r="V79" s="120">
        <f t="shared" si="154"/>
        <v>0</v>
      </c>
      <c r="W79" s="120">
        <f t="shared" ref="W79" si="155">IF(W57=0,0,W57/W68)</f>
        <v>0</v>
      </c>
      <c r="DA79" s="171"/>
    </row>
    <row r="80" spans="1:105" ht="11.45" customHeight="1" x14ac:dyDescent="0.25">
      <c r="A80" s="85" t="s">
        <v>93</v>
      </c>
      <c r="B80" s="122">
        <f t="shared" si="141"/>
        <v>0</v>
      </c>
      <c r="C80" s="122">
        <f t="shared" si="141"/>
        <v>0</v>
      </c>
      <c r="D80" s="122">
        <f t="shared" si="141"/>
        <v>0</v>
      </c>
      <c r="E80" s="122">
        <f t="shared" si="141"/>
        <v>0</v>
      </c>
      <c r="F80" s="122">
        <f t="shared" si="141"/>
        <v>0</v>
      </c>
      <c r="G80" s="122">
        <f t="shared" si="141"/>
        <v>0</v>
      </c>
      <c r="H80" s="122">
        <f t="shared" si="141"/>
        <v>0</v>
      </c>
      <c r="I80" s="122">
        <f t="shared" si="141"/>
        <v>0</v>
      </c>
      <c r="J80" s="122">
        <f t="shared" si="141"/>
        <v>0</v>
      </c>
      <c r="K80" s="122">
        <f t="shared" ref="K80:V80" si="156">IF(K58=0,0,K58/K69)</f>
        <v>0</v>
      </c>
      <c r="L80" s="122">
        <f t="shared" si="156"/>
        <v>0</v>
      </c>
      <c r="M80" s="122">
        <f t="shared" si="156"/>
        <v>0</v>
      </c>
      <c r="N80" s="122">
        <f t="shared" si="156"/>
        <v>0</v>
      </c>
      <c r="O80" s="122">
        <f t="shared" si="156"/>
        <v>0</v>
      </c>
      <c r="P80" s="122">
        <f t="shared" si="156"/>
        <v>0</v>
      </c>
      <c r="Q80" s="122">
        <f t="shared" si="156"/>
        <v>0</v>
      </c>
      <c r="R80" s="122">
        <f t="shared" si="156"/>
        <v>0</v>
      </c>
      <c r="S80" s="122">
        <f t="shared" si="156"/>
        <v>0</v>
      </c>
      <c r="T80" s="122">
        <f t="shared" si="156"/>
        <v>0</v>
      </c>
      <c r="U80" s="122">
        <f t="shared" si="156"/>
        <v>0</v>
      </c>
      <c r="V80" s="122">
        <f t="shared" si="156"/>
        <v>0</v>
      </c>
      <c r="W80" s="122">
        <f t="shared" ref="W80" si="157">IF(W58=0,0,W58/W69)</f>
        <v>0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0</v>
      </c>
      <c r="C82" s="54">
        <f t="shared" si="158"/>
        <v>0</v>
      </c>
      <c r="D82" s="54">
        <f t="shared" si="158"/>
        <v>0</v>
      </c>
      <c r="E82" s="54">
        <f t="shared" si="158"/>
        <v>0</v>
      </c>
      <c r="F82" s="54">
        <f t="shared" si="158"/>
        <v>0</v>
      </c>
      <c r="G82" s="54">
        <f t="shared" si="158"/>
        <v>0</v>
      </c>
      <c r="H82" s="54">
        <f t="shared" si="158"/>
        <v>0</v>
      </c>
      <c r="I82" s="54">
        <f t="shared" si="158"/>
        <v>0</v>
      </c>
      <c r="J82" s="54">
        <f t="shared" si="158"/>
        <v>0</v>
      </c>
      <c r="K82" s="54">
        <f t="shared" ref="K82:V82" si="159">IF(K14=0,0,K14/K25*1000000)</f>
        <v>0</v>
      </c>
      <c r="L82" s="54">
        <f t="shared" si="159"/>
        <v>0</v>
      </c>
      <c r="M82" s="54">
        <f t="shared" si="159"/>
        <v>0</v>
      </c>
      <c r="N82" s="54">
        <f t="shared" si="159"/>
        <v>0</v>
      </c>
      <c r="O82" s="54">
        <f t="shared" si="159"/>
        <v>0</v>
      </c>
      <c r="P82" s="54">
        <f t="shared" si="159"/>
        <v>0</v>
      </c>
      <c r="Q82" s="54">
        <f t="shared" si="159"/>
        <v>0</v>
      </c>
      <c r="R82" s="54">
        <f t="shared" si="159"/>
        <v>0</v>
      </c>
      <c r="S82" s="54">
        <f t="shared" si="159"/>
        <v>0</v>
      </c>
      <c r="T82" s="54">
        <f t="shared" si="159"/>
        <v>0</v>
      </c>
      <c r="U82" s="54">
        <f t="shared" si="159"/>
        <v>0</v>
      </c>
      <c r="V82" s="54">
        <f t="shared" si="159"/>
        <v>0</v>
      </c>
      <c r="W82" s="54">
        <f t="shared" ref="W82" si="160">IF(W14=0,0,W14/W25*1000000)</f>
        <v>0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0</v>
      </c>
      <c r="C83" s="28">
        <f t="shared" si="161"/>
        <v>0</v>
      </c>
      <c r="D83" s="28">
        <f t="shared" si="161"/>
        <v>0</v>
      </c>
      <c r="E83" s="28">
        <f t="shared" si="161"/>
        <v>0</v>
      </c>
      <c r="F83" s="28">
        <f t="shared" si="161"/>
        <v>0</v>
      </c>
      <c r="G83" s="28">
        <f t="shared" si="161"/>
        <v>0</v>
      </c>
      <c r="H83" s="28">
        <f t="shared" si="161"/>
        <v>0</v>
      </c>
      <c r="I83" s="28">
        <f t="shared" si="161"/>
        <v>0</v>
      </c>
      <c r="J83" s="28">
        <f t="shared" si="161"/>
        <v>0</v>
      </c>
      <c r="K83" s="28">
        <f t="shared" ref="K83:V83" si="162">IF(K15=0,0,K15/K26*1000000)</f>
        <v>0</v>
      </c>
      <c r="L83" s="28">
        <f t="shared" si="162"/>
        <v>0</v>
      </c>
      <c r="M83" s="28">
        <f t="shared" si="162"/>
        <v>0</v>
      </c>
      <c r="N83" s="28">
        <f t="shared" si="162"/>
        <v>0</v>
      </c>
      <c r="O83" s="28">
        <f t="shared" si="162"/>
        <v>0</v>
      </c>
      <c r="P83" s="28">
        <f t="shared" si="162"/>
        <v>0</v>
      </c>
      <c r="Q83" s="28">
        <f t="shared" si="162"/>
        <v>0</v>
      </c>
      <c r="R83" s="28">
        <f t="shared" si="162"/>
        <v>0</v>
      </c>
      <c r="S83" s="28">
        <f t="shared" si="162"/>
        <v>0</v>
      </c>
      <c r="T83" s="28">
        <f t="shared" si="162"/>
        <v>0</v>
      </c>
      <c r="U83" s="28">
        <f t="shared" si="162"/>
        <v>0</v>
      </c>
      <c r="V83" s="28">
        <f t="shared" si="162"/>
        <v>0</v>
      </c>
      <c r="W83" s="28">
        <f t="shared" ref="W83" si="163">IF(W15=0,0,W15/W26*1000000)</f>
        <v>0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0</v>
      </c>
      <c r="C84" s="108">
        <f t="shared" si="161"/>
        <v>0</v>
      </c>
      <c r="D84" s="108">
        <f t="shared" si="161"/>
        <v>0</v>
      </c>
      <c r="E84" s="108">
        <f t="shared" si="161"/>
        <v>0</v>
      </c>
      <c r="F84" s="108">
        <f t="shared" si="161"/>
        <v>0</v>
      </c>
      <c r="G84" s="108">
        <f t="shared" si="161"/>
        <v>0</v>
      </c>
      <c r="H84" s="108">
        <f t="shared" si="161"/>
        <v>0</v>
      </c>
      <c r="I84" s="108">
        <f t="shared" si="161"/>
        <v>0</v>
      </c>
      <c r="J84" s="108">
        <f t="shared" si="161"/>
        <v>0</v>
      </c>
      <c r="K84" s="108">
        <f t="shared" ref="K84:V84" si="164">IF(K16=0,0,K16/K27*1000000)</f>
        <v>0</v>
      </c>
      <c r="L84" s="108">
        <f t="shared" si="164"/>
        <v>0</v>
      </c>
      <c r="M84" s="108">
        <f t="shared" si="164"/>
        <v>0</v>
      </c>
      <c r="N84" s="108">
        <f t="shared" si="164"/>
        <v>0</v>
      </c>
      <c r="O84" s="108">
        <f t="shared" si="164"/>
        <v>0</v>
      </c>
      <c r="P84" s="108">
        <f t="shared" si="164"/>
        <v>0</v>
      </c>
      <c r="Q84" s="108">
        <f t="shared" si="164"/>
        <v>0</v>
      </c>
      <c r="R84" s="108">
        <f t="shared" si="164"/>
        <v>0</v>
      </c>
      <c r="S84" s="108">
        <f t="shared" si="164"/>
        <v>0</v>
      </c>
      <c r="T84" s="108">
        <f t="shared" si="164"/>
        <v>0</v>
      </c>
      <c r="U84" s="108">
        <f t="shared" si="164"/>
        <v>0</v>
      </c>
      <c r="V84" s="108">
        <f t="shared" si="164"/>
        <v>0</v>
      </c>
      <c r="W84" s="108">
        <f t="shared" ref="W84" si="165">IF(W16=0,0,W16/W27*1000000)</f>
        <v>0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0</v>
      </c>
      <c r="C85" s="110">
        <f t="shared" si="161"/>
        <v>0</v>
      </c>
      <c r="D85" s="110">
        <f t="shared" si="161"/>
        <v>0</v>
      </c>
      <c r="E85" s="110">
        <f t="shared" si="161"/>
        <v>0</v>
      </c>
      <c r="F85" s="110">
        <f t="shared" si="161"/>
        <v>0</v>
      </c>
      <c r="G85" s="110">
        <f t="shared" si="161"/>
        <v>0</v>
      </c>
      <c r="H85" s="110">
        <f t="shared" si="161"/>
        <v>0</v>
      </c>
      <c r="I85" s="110">
        <f t="shared" si="161"/>
        <v>0</v>
      </c>
      <c r="J85" s="110">
        <f t="shared" si="161"/>
        <v>0</v>
      </c>
      <c r="K85" s="110">
        <f t="shared" ref="K85:V85" si="166">IF(K17=0,0,K17/K28*1000000)</f>
        <v>0</v>
      </c>
      <c r="L85" s="110">
        <f t="shared" si="166"/>
        <v>0</v>
      </c>
      <c r="M85" s="110">
        <f t="shared" si="166"/>
        <v>0</v>
      </c>
      <c r="N85" s="110">
        <f t="shared" si="166"/>
        <v>0</v>
      </c>
      <c r="O85" s="110">
        <f t="shared" si="166"/>
        <v>0</v>
      </c>
      <c r="P85" s="110">
        <f t="shared" si="166"/>
        <v>0</v>
      </c>
      <c r="Q85" s="110">
        <f t="shared" si="166"/>
        <v>0</v>
      </c>
      <c r="R85" s="110">
        <f t="shared" si="166"/>
        <v>0</v>
      </c>
      <c r="S85" s="110">
        <f t="shared" si="166"/>
        <v>0</v>
      </c>
      <c r="T85" s="110">
        <f t="shared" si="166"/>
        <v>0</v>
      </c>
      <c r="U85" s="110">
        <f t="shared" si="166"/>
        <v>0</v>
      </c>
      <c r="V85" s="110">
        <f t="shared" si="166"/>
        <v>0</v>
      </c>
      <c r="W85" s="110">
        <f t="shared" ref="W85" si="167">IF(W17=0,0,W17/W28*1000000)</f>
        <v>0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0</v>
      </c>
      <c r="C86" s="84">
        <f t="shared" si="161"/>
        <v>0</v>
      </c>
      <c r="D86" s="84">
        <f t="shared" si="161"/>
        <v>0</v>
      </c>
      <c r="E86" s="84">
        <f t="shared" si="161"/>
        <v>0</v>
      </c>
      <c r="F86" s="84">
        <f t="shared" si="161"/>
        <v>0</v>
      </c>
      <c r="G86" s="84">
        <f t="shared" si="161"/>
        <v>0</v>
      </c>
      <c r="H86" s="84">
        <f t="shared" si="161"/>
        <v>0</v>
      </c>
      <c r="I86" s="84">
        <f t="shared" si="161"/>
        <v>0</v>
      </c>
      <c r="J86" s="84">
        <f t="shared" si="161"/>
        <v>0</v>
      </c>
      <c r="K86" s="84">
        <f t="shared" ref="K86:V86" si="168">IF(K18=0,0,K18/K29*1000000)</f>
        <v>0</v>
      </c>
      <c r="L86" s="84">
        <f t="shared" si="168"/>
        <v>0</v>
      </c>
      <c r="M86" s="84">
        <f t="shared" si="168"/>
        <v>0</v>
      </c>
      <c r="N86" s="84">
        <f t="shared" si="168"/>
        <v>0</v>
      </c>
      <c r="O86" s="84">
        <f t="shared" si="168"/>
        <v>0</v>
      </c>
      <c r="P86" s="84">
        <f t="shared" si="168"/>
        <v>0</v>
      </c>
      <c r="Q86" s="84">
        <f t="shared" si="168"/>
        <v>0</v>
      </c>
      <c r="R86" s="84">
        <f t="shared" si="168"/>
        <v>0</v>
      </c>
      <c r="S86" s="84">
        <f t="shared" si="168"/>
        <v>0</v>
      </c>
      <c r="T86" s="84">
        <f t="shared" si="168"/>
        <v>0</v>
      </c>
      <c r="U86" s="84">
        <f t="shared" si="168"/>
        <v>0</v>
      </c>
      <c r="V86" s="84">
        <f t="shared" si="168"/>
        <v>0</v>
      </c>
      <c r="W86" s="84">
        <f t="shared" ref="W86" si="169">IF(W18=0,0,W18/W29*1000000)</f>
        <v>0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0</v>
      </c>
      <c r="C87" s="84">
        <f t="shared" si="161"/>
        <v>0</v>
      </c>
      <c r="D87" s="84">
        <f t="shared" si="161"/>
        <v>0</v>
      </c>
      <c r="E87" s="84">
        <f t="shared" si="161"/>
        <v>0</v>
      </c>
      <c r="F87" s="84">
        <f t="shared" si="161"/>
        <v>0</v>
      </c>
      <c r="G87" s="84">
        <f t="shared" si="161"/>
        <v>0</v>
      </c>
      <c r="H87" s="84">
        <f t="shared" si="161"/>
        <v>0</v>
      </c>
      <c r="I87" s="84">
        <f t="shared" si="161"/>
        <v>0</v>
      </c>
      <c r="J87" s="84">
        <f t="shared" si="161"/>
        <v>0</v>
      </c>
      <c r="K87" s="84">
        <f t="shared" ref="K87:V87" si="170">IF(K19=0,0,K19/K30*1000000)</f>
        <v>0</v>
      </c>
      <c r="L87" s="84">
        <f t="shared" si="170"/>
        <v>0</v>
      </c>
      <c r="M87" s="84">
        <f t="shared" si="170"/>
        <v>0</v>
      </c>
      <c r="N87" s="84">
        <f t="shared" si="170"/>
        <v>0</v>
      </c>
      <c r="O87" s="84">
        <f t="shared" si="170"/>
        <v>0</v>
      </c>
      <c r="P87" s="84">
        <f t="shared" si="170"/>
        <v>0</v>
      </c>
      <c r="Q87" s="84">
        <f t="shared" si="170"/>
        <v>0</v>
      </c>
      <c r="R87" s="84">
        <f t="shared" si="170"/>
        <v>0</v>
      </c>
      <c r="S87" s="84">
        <f t="shared" si="170"/>
        <v>0</v>
      </c>
      <c r="T87" s="84">
        <f t="shared" si="170"/>
        <v>0</v>
      </c>
      <c r="U87" s="84">
        <f t="shared" si="170"/>
        <v>0</v>
      </c>
      <c r="V87" s="84">
        <f t="shared" si="170"/>
        <v>0</v>
      </c>
      <c r="W87" s="84">
        <f t="shared" ref="W87" si="171">IF(W19=0,0,W19/W30*1000000)</f>
        <v>0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0</v>
      </c>
      <c r="G88" s="113">
        <f t="shared" si="161"/>
        <v>0</v>
      </c>
      <c r="H88" s="113">
        <f t="shared" si="161"/>
        <v>0</v>
      </c>
      <c r="I88" s="113">
        <f t="shared" si="161"/>
        <v>0</v>
      </c>
      <c r="J88" s="113">
        <f t="shared" si="161"/>
        <v>0</v>
      </c>
      <c r="K88" s="113">
        <f t="shared" ref="K88:V88" si="172">IF(K20=0,0,K20/K31*1000000)</f>
        <v>0</v>
      </c>
      <c r="L88" s="113">
        <f t="shared" si="172"/>
        <v>0</v>
      </c>
      <c r="M88" s="113">
        <f t="shared" si="172"/>
        <v>0</v>
      </c>
      <c r="N88" s="113">
        <f t="shared" si="172"/>
        <v>0</v>
      </c>
      <c r="O88" s="113">
        <f t="shared" si="172"/>
        <v>0</v>
      </c>
      <c r="P88" s="113">
        <f t="shared" si="172"/>
        <v>0</v>
      </c>
      <c r="Q88" s="113">
        <f t="shared" si="172"/>
        <v>0</v>
      </c>
      <c r="R88" s="113">
        <f t="shared" si="172"/>
        <v>0</v>
      </c>
      <c r="S88" s="113">
        <f t="shared" si="172"/>
        <v>0</v>
      </c>
      <c r="T88" s="113">
        <f t="shared" si="172"/>
        <v>0</v>
      </c>
      <c r="U88" s="113">
        <f t="shared" si="172"/>
        <v>0</v>
      </c>
      <c r="V88" s="113">
        <f t="shared" si="172"/>
        <v>0</v>
      </c>
      <c r="W88" s="113">
        <f t="shared" ref="W88" si="173">IF(W20=0,0,W20/W31*1000000)</f>
        <v>0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0</v>
      </c>
      <c r="C89" s="28">
        <f t="shared" si="161"/>
        <v>0</v>
      </c>
      <c r="D89" s="28">
        <f t="shared" si="161"/>
        <v>0</v>
      </c>
      <c r="E89" s="28">
        <f t="shared" si="161"/>
        <v>0</v>
      </c>
      <c r="F89" s="28">
        <f t="shared" si="161"/>
        <v>0</v>
      </c>
      <c r="G89" s="28">
        <f t="shared" si="161"/>
        <v>0</v>
      </c>
      <c r="H89" s="28">
        <f t="shared" si="161"/>
        <v>0</v>
      </c>
      <c r="I89" s="28">
        <f t="shared" si="161"/>
        <v>0</v>
      </c>
      <c r="J89" s="28">
        <f t="shared" si="161"/>
        <v>0</v>
      </c>
      <c r="K89" s="28">
        <f t="shared" ref="K89:V89" si="174">IF(K21=0,0,K21/K32*1000000)</f>
        <v>0</v>
      </c>
      <c r="L89" s="28">
        <f t="shared" si="174"/>
        <v>0</v>
      </c>
      <c r="M89" s="28">
        <f t="shared" si="174"/>
        <v>0</v>
      </c>
      <c r="N89" s="28">
        <f t="shared" si="174"/>
        <v>0</v>
      </c>
      <c r="O89" s="28">
        <f t="shared" si="174"/>
        <v>0</v>
      </c>
      <c r="P89" s="28">
        <f t="shared" si="174"/>
        <v>0</v>
      </c>
      <c r="Q89" s="28">
        <f t="shared" si="174"/>
        <v>0</v>
      </c>
      <c r="R89" s="28">
        <f t="shared" si="174"/>
        <v>0</v>
      </c>
      <c r="S89" s="28">
        <f t="shared" si="174"/>
        <v>0</v>
      </c>
      <c r="T89" s="28">
        <f t="shared" si="174"/>
        <v>0</v>
      </c>
      <c r="U89" s="28">
        <f t="shared" si="174"/>
        <v>0</v>
      </c>
      <c r="V89" s="28">
        <f t="shared" si="174"/>
        <v>0</v>
      </c>
      <c r="W89" s="28">
        <f t="shared" ref="W89" si="175">IF(W21=0,0,W21/W32*1000000)</f>
        <v>0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0</v>
      </c>
      <c r="C90" s="84">
        <f t="shared" si="161"/>
        <v>0</v>
      </c>
      <c r="D90" s="84">
        <f t="shared" si="161"/>
        <v>0</v>
      </c>
      <c r="E90" s="84">
        <f t="shared" si="161"/>
        <v>0</v>
      </c>
      <c r="F90" s="84">
        <f t="shared" si="161"/>
        <v>0</v>
      </c>
      <c r="G90" s="84">
        <f t="shared" si="161"/>
        <v>0</v>
      </c>
      <c r="H90" s="84">
        <f t="shared" si="161"/>
        <v>0</v>
      </c>
      <c r="I90" s="84">
        <f t="shared" si="161"/>
        <v>0</v>
      </c>
      <c r="J90" s="84">
        <f t="shared" si="161"/>
        <v>0</v>
      </c>
      <c r="K90" s="84">
        <f t="shared" ref="K90:V90" si="176">IF(K22=0,0,K22/K33*1000000)</f>
        <v>0</v>
      </c>
      <c r="L90" s="84">
        <f t="shared" si="176"/>
        <v>0</v>
      </c>
      <c r="M90" s="84">
        <f t="shared" si="176"/>
        <v>0</v>
      </c>
      <c r="N90" s="84">
        <f t="shared" si="176"/>
        <v>0</v>
      </c>
      <c r="O90" s="84">
        <f t="shared" si="176"/>
        <v>0</v>
      </c>
      <c r="P90" s="84">
        <f t="shared" si="176"/>
        <v>0</v>
      </c>
      <c r="Q90" s="84">
        <f t="shared" si="176"/>
        <v>0</v>
      </c>
      <c r="R90" s="84">
        <f t="shared" si="176"/>
        <v>0</v>
      </c>
      <c r="S90" s="84">
        <f t="shared" si="176"/>
        <v>0</v>
      </c>
      <c r="T90" s="84">
        <f t="shared" si="176"/>
        <v>0</v>
      </c>
      <c r="U90" s="84">
        <f t="shared" si="176"/>
        <v>0</v>
      </c>
      <c r="V90" s="84">
        <f t="shared" si="176"/>
        <v>0</v>
      </c>
      <c r="W90" s="84">
        <f t="shared" ref="W90" si="177">IF(W22=0,0,W22/W33*1000000)</f>
        <v>0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0</v>
      </c>
      <c r="C91" s="86">
        <f t="shared" si="161"/>
        <v>0</v>
      </c>
      <c r="D91" s="86">
        <f t="shared" si="161"/>
        <v>0</v>
      </c>
      <c r="E91" s="86">
        <f t="shared" si="161"/>
        <v>0</v>
      </c>
      <c r="F91" s="86">
        <f t="shared" si="161"/>
        <v>0</v>
      </c>
      <c r="G91" s="86">
        <f t="shared" si="161"/>
        <v>0</v>
      </c>
      <c r="H91" s="86">
        <f t="shared" si="161"/>
        <v>0</v>
      </c>
      <c r="I91" s="86">
        <f t="shared" si="161"/>
        <v>0</v>
      </c>
      <c r="J91" s="86">
        <f t="shared" si="161"/>
        <v>0</v>
      </c>
      <c r="K91" s="86">
        <f t="shared" ref="K91:V91" si="178">IF(K23=0,0,K23/K34*1000000)</f>
        <v>0</v>
      </c>
      <c r="L91" s="86">
        <f t="shared" si="178"/>
        <v>0</v>
      </c>
      <c r="M91" s="86">
        <f t="shared" si="178"/>
        <v>0</v>
      </c>
      <c r="N91" s="86">
        <f t="shared" si="178"/>
        <v>0</v>
      </c>
      <c r="O91" s="86">
        <f t="shared" si="178"/>
        <v>0</v>
      </c>
      <c r="P91" s="86">
        <f t="shared" si="178"/>
        <v>0</v>
      </c>
      <c r="Q91" s="86">
        <f t="shared" si="178"/>
        <v>0</v>
      </c>
      <c r="R91" s="86">
        <f t="shared" si="178"/>
        <v>0</v>
      </c>
      <c r="S91" s="86">
        <f t="shared" si="178"/>
        <v>0</v>
      </c>
      <c r="T91" s="86">
        <f t="shared" si="178"/>
        <v>0</v>
      </c>
      <c r="U91" s="86">
        <f t="shared" si="178"/>
        <v>0</v>
      </c>
      <c r="V91" s="86">
        <f t="shared" si="178"/>
        <v>0</v>
      </c>
      <c r="W91" s="86">
        <f t="shared" ref="W91" si="179">IF(W23=0,0,W23/W34*1000000)</f>
        <v>0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0</v>
      </c>
      <c r="C94" s="28">
        <f t="shared" si="180"/>
        <v>0</v>
      </c>
      <c r="D94" s="28">
        <f t="shared" si="180"/>
        <v>0</v>
      </c>
      <c r="E94" s="28">
        <f t="shared" si="180"/>
        <v>0</v>
      </c>
      <c r="F94" s="28">
        <f t="shared" si="180"/>
        <v>0</v>
      </c>
      <c r="G94" s="28">
        <f t="shared" si="180"/>
        <v>0</v>
      </c>
      <c r="H94" s="28">
        <f t="shared" si="180"/>
        <v>0</v>
      </c>
      <c r="I94" s="28">
        <f t="shared" si="180"/>
        <v>0</v>
      </c>
      <c r="J94" s="28">
        <f t="shared" si="180"/>
        <v>0</v>
      </c>
      <c r="K94" s="28">
        <f t="shared" ref="K94:V94" si="181">IF(K4=0,0,K4/K26*1000000)</f>
        <v>0</v>
      </c>
      <c r="L94" s="28">
        <f t="shared" si="181"/>
        <v>0</v>
      </c>
      <c r="M94" s="28">
        <f t="shared" si="181"/>
        <v>0</v>
      </c>
      <c r="N94" s="28">
        <f t="shared" si="181"/>
        <v>0</v>
      </c>
      <c r="O94" s="28">
        <f t="shared" si="181"/>
        <v>0</v>
      </c>
      <c r="P94" s="28">
        <f t="shared" si="181"/>
        <v>0</v>
      </c>
      <c r="Q94" s="28">
        <f t="shared" si="181"/>
        <v>0</v>
      </c>
      <c r="R94" s="28">
        <f t="shared" si="181"/>
        <v>0</v>
      </c>
      <c r="S94" s="28">
        <f t="shared" si="181"/>
        <v>0</v>
      </c>
      <c r="T94" s="28">
        <f t="shared" si="181"/>
        <v>0</v>
      </c>
      <c r="U94" s="28">
        <f t="shared" si="181"/>
        <v>0</v>
      </c>
      <c r="V94" s="28">
        <f t="shared" si="181"/>
        <v>0</v>
      </c>
      <c r="W94" s="28">
        <f t="shared" ref="W94" si="182">IF(W4=0,0,W4/W26*1000000)</f>
        <v>0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0</v>
      </c>
      <c r="C95" s="108">
        <f t="shared" si="180"/>
        <v>0</v>
      </c>
      <c r="D95" s="108">
        <f t="shared" si="180"/>
        <v>0</v>
      </c>
      <c r="E95" s="108">
        <f t="shared" si="180"/>
        <v>0</v>
      </c>
      <c r="F95" s="108">
        <f t="shared" si="180"/>
        <v>0</v>
      </c>
      <c r="G95" s="108">
        <f t="shared" si="180"/>
        <v>0</v>
      </c>
      <c r="H95" s="108">
        <f t="shared" si="180"/>
        <v>0</v>
      </c>
      <c r="I95" s="108">
        <f t="shared" si="180"/>
        <v>0</v>
      </c>
      <c r="J95" s="108">
        <f t="shared" si="180"/>
        <v>0</v>
      </c>
      <c r="K95" s="108">
        <f t="shared" ref="K95:V95" si="183">IF(K5=0,0,K5/K27*1000000)</f>
        <v>0</v>
      </c>
      <c r="L95" s="108">
        <f t="shared" si="183"/>
        <v>0</v>
      </c>
      <c r="M95" s="108">
        <f t="shared" si="183"/>
        <v>0</v>
      </c>
      <c r="N95" s="108">
        <f t="shared" si="183"/>
        <v>0</v>
      </c>
      <c r="O95" s="108">
        <f t="shared" si="183"/>
        <v>0</v>
      </c>
      <c r="P95" s="108">
        <f t="shared" si="183"/>
        <v>0</v>
      </c>
      <c r="Q95" s="108">
        <f t="shared" si="183"/>
        <v>0</v>
      </c>
      <c r="R95" s="108">
        <f t="shared" si="183"/>
        <v>0</v>
      </c>
      <c r="S95" s="108">
        <f t="shared" si="183"/>
        <v>0</v>
      </c>
      <c r="T95" s="108">
        <f t="shared" si="183"/>
        <v>0</v>
      </c>
      <c r="U95" s="108">
        <f t="shared" si="183"/>
        <v>0</v>
      </c>
      <c r="V95" s="108">
        <f t="shared" si="183"/>
        <v>0</v>
      </c>
      <c r="W95" s="108">
        <f t="shared" ref="W95" si="184">IF(W5=0,0,W5/W27*1000000)</f>
        <v>0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0</v>
      </c>
      <c r="C96" s="110">
        <f t="shared" si="180"/>
        <v>0</v>
      </c>
      <c r="D96" s="110">
        <f t="shared" si="180"/>
        <v>0</v>
      </c>
      <c r="E96" s="110">
        <f t="shared" si="180"/>
        <v>0</v>
      </c>
      <c r="F96" s="110">
        <f t="shared" si="180"/>
        <v>0</v>
      </c>
      <c r="G96" s="110">
        <f t="shared" si="180"/>
        <v>0</v>
      </c>
      <c r="H96" s="110">
        <f t="shared" si="180"/>
        <v>0</v>
      </c>
      <c r="I96" s="110">
        <f t="shared" si="180"/>
        <v>0</v>
      </c>
      <c r="J96" s="110">
        <f t="shared" si="180"/>
        <v>0</v>
      </c>
      <c r="K96" s="110">
        <f t="shared" ref="K96:V96" si="185">IF(K6=0,0,K6/K28*1000000)</f>
        <v>0</v>
      </c>
      <c r="L96" s="110">
        <f t="shared" si="185"/>
        <v>0</v>
      </c>
      <c r="M96" s="110">
        <f t="shared" si="185"/>
        <v>0</v>
      </c>
      <c r="N96" s="110">
        <f t="shared" si="185"/>
        <v>0</v>
      </c>
      <c r="O96" s="110">
        <f t="shared" si="185"/>
        <v>0</v>
      </c>
      <c r="P96" s="110">
        <f t="shared" si="185"/>
        <v>0</v>
      </c>
      <c r="Q96" s="110">
        <f t="shared" si="185"/>
        <v>0</v>
      </c>
      <c r="R96" s="110">
        <f t="shared" si="185"/>
        <v>0</v>
      </c>
      <c r="S96" s="110">
        <f t="shared" si="185"/>
        <v>0</v>
      </c>
      <c r="T96" s="110">
        <f t="shared" si="185"/>
        <v>0</v>
      </c>
      <c r="U96" s="110">
        <f t="shared" si="185"/>
        <v>0</v>
      </c>
      <c r="V96" s="110">
        <f t="shared" si="185"/>
        <v>0</v>
      </c>
      <c r="W96" s="110">
        <f t="shared" ref="W96" si="186">IF(W6=0,0,W6/W28*1000000)</f>
        <v>0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0</v>
      </c>
      <c r="C97" s="84">
        <f t="shared" si="180"/>
        <v>0</v>
      </c>
      <c r="D97" s="84">
        <f t="shared" si="180"/>
        <v>0</v>
      </c>
      <c r="E97" s="84">
        <f t="shared" si="180"/>
        <v>0</v>
      </c>
      <c r="F97" s="84">
        <f t="shared" si="180"/>
        <v>0</v>
      </c>
      <c r="G97" s="84">
        <f t="shared" si="180"/>
        <v>0</v>
      </c>
      <c r="H97" s="84">
        <f t="shared" si="180"/>
        <v>0</v>
      </c>
      <c r="I97" s="84">
        <f t="shared" si="180"/>
        <v>0</v>
      </c>
      <c r="J97" s="84">
        <f t="shared" si="180"/>
        <v>0</v>
      </c>
      <c r="K97" s="84">
        <f t="shared" ref="K97:V97" si="187">IF(K7=0,0,K7/K29*1000000)</f>
        <v>0</v>
      </c>
      <c r="L97" s="84">
        <f t="shared" si="187"/>
        <v>0</v>
      </c>
      <c r="M97" s="84">
        <f t="shared" si="187"/>
        <v>0</v>
      </c>
      <c r="N97" s="84">
        <f t="shared" si="187"/>
        <v>0</v>
      </c>
      <c r="O97" s="84">
        <f t="shared" si="187"/>
        <v>0</v>
      </c>
      <c r="P97" s="84">
        <f t="shared" si="187"/>
        <v>0</v>
      </c>
      <c r="Q97" s="84">
        <f t="shared" si="187"/>
        <v>0</v>
      </c>
      <c r="R97" s="84">
        <f t="shared" si="187"/>
        <v>0</v>
      </c>
      <c r="S97" s="84">
        <f t="shared" si="187"/>
        <v>0</v>
      </c>
      <c r="T97" s="84">
        <f t="shared" si="187"/>
        <v>0</v>
      </c>
      <c r="U97" s="84">
        <f t="shared" si="187"/>
        <v>0</v>
      </c>
      <c r="V97" s="84">
        <f t="shared" si="187"/>
        <v>0</v>
      </c>
      <c r="W97" s="84">
        <f t="shared" ref="W97" si="188">IF(W7=0,0,W7/W29*1000000)</f>
        <v>0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0</v>
      </c>
      <c r="C98" s="84">
        <f t="shared" si="180"/>
        <v>0</v>
      </c>
      <c r="D98" s="84">
        <f t="shared" si="180"/>
        <v>0</v>
      </c>
      <c r="E98" s="84">
        <f t="shared" si="180"/>
        <v>0</v>
      </c>
      <c r="F98" s="84">
        <f t="shared" si="180"/>
        <v>0</v>
      </c>
      <c r="G98" s="84">
        <f t="shared" si="180"/>
        <v>0</v>
      </c>
      <c r="H98" s="84">
        <f t="shared" si="180"/>
        <v>0</v>
      </c>
      <c r="I98" s="84">
        <f t="shared" si="180"/>
        <v>0</v>
      </c>
      <c r="J98" s="84">
        <f t="shared" si="180"/>
        <v>0</v>
      </c>
      <c r="K98" s="84">
        <f t="shared" ref="K98:V98" si="189">IF(K8=0,0,K8/K30*1000000)</f>
        <v>0</v>
      </c>
      <c r="L98" s="84">
        <f t="shared" si="189"/>
        <v>0</v>
      </c>
      <c r="M98" s="84">
        <f t="shared" si="189"/>
        <v>0</v>
      </c>
      <c r="N98" s="84">
        <f t="shared" si="189"/>
        <v>0</v>
      </c>
      <c r="O98" s="84">
        <f t="shared" si="189"/>
        <v>0</v>
      </c>
      <c r="P98" s="84">
        <f t="shared" si="189"/>
        <v>0</v>
      </c>
      <c r="Q98" s="84">
        <f t="shared" si="189"/>
        <v>0</v>
      </c>
      <c r="R98" s="84">
        <f t="shared" si="189"/>
        <v>0</v>
      </c>
      <c r="S98" s="84">
        <f t="shared" si="189"/>
        <v>0</v>
      </c>
      <c r="T98" s="84">
        <f t="shared" si="189"/>
        <v>0</v>
      </c>
      <c r="U98" s="84">
        <f t="shared" si="189"/>
        <v>0</v>
      </c>
      <c r="V98" s="84">
        <f t="shared" si="189"/>
        <v>0</v>
      </c>
      <c r="W98" s="84">
        <f t="shared" ref="W98" si="190">IF(W8=0,0,W8/W30*1000000)</f>
        <v>0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0</v>
      </c>
      <c r="G99" s="113">
        <f t="shared" si="180"/>
        <v>0</v>
      </c>
      <c r="H99" s="113">
        <f t="shared" si="180"/>
        <v>0</v>
      </c>
      <c r="I99" s="113">
        <f t="shared" si="180"/>
        <v>0</v>
      </c>
      <c r="J99" s="113">
        <f t="shared" si="180"/>
        <v>0</v>
      </c>
      <c r="K99" s="113">
        <f t="shared" ref="K99:V99" si="191">IF(K9=0,0,K9/K31*1000000)</f>
        <v>0</v>
      </c>
      <c r="L99" s="113">
        <f t="shared" si="191"/>
        <v>0</v>
      </c>
      <c r="M99" s="113">
        <f t="shared" si="191"/>
        <v>0</v>
      </c>
      <c r="N99" s="113">
        <f t="shared" si="191"/>
        <v>0</v>
      </c>
      <c r="O99" s="113">
        <f t="shared" si="191"/>
        <v>0</v>
      </c>
      <c r="P99" s="113">
        <f t="shared" si="191"/>
        <v>0</v>
      </c>
      <c r="Q99" s="113">
        <f t="shared" si="191"/>
        <v>0</v>
      </c>
      <c r="R99" s="113">
        <f t="shared" si="191"/>
        <v>0</v>
      </c>
      <c r="S99" s="113">
        <f t="shared" si="191"/>
        <v>0</v>
      </c>
      <c r="T99" s="113">
        <f t="shared" si="191"/>
        <v>0</v>
      </c>
      <c r="U99" s="113">
        <f t="shared" si="191"/>
        <v>0</v>
      </c>
      <c r="V99" s="113">
        <f t="shared" si="191"/>
        <v>0</v>
      </c>
      <c r="W99" s="113">
        <f t="shared" ref="W99" si="192">IF(W9=0,0,W9/W31*1000000)</f>
        <v>0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0</v>
      </c>
      <c r="C100" s="28">
        <f t="shared" si="180"/>
        <v>0</v>
      </c>
      <c r="D100" s="28">
        <f t="shared" si="180"/>
        <v>0</v>
      </c>
      <c r="E100" s="28">
        <f t="shared" si="180"/>
        <v>0</v>
      </c>
      <c r="F100" s="28">
        <f t="shared" si="180"/>
        <v>0</v>
      </c>
      <c r="G100" s="28">
        <f t="shared" si="180"/>
        <v>0</v>
      </c>
      <c r="H100" s="28">
        <f t="shared" si="180"/>
        <v>0</v>
      </c>
      <c r="I100" s="28">
        <f t="shared" si="180"/>
        <v>0</v>
      </c>
      <c r="J100" s="28">
        <f t="shared" si="180"/>
        <v>0</v>
      </c>
      <c r="K100" s="28">
        <f t="shared" ref="K100:V100" si="193">IF(K10=0,0,K10/K32*1000000)</f>
        <v>0</v>
      </c>
      <c r="L100" s="28">
        <f t="shared" si="193"/>
        <v>0</v>
      </c>
      <c r="M100" s="28">
        <f t="shared" si="193"/>
        <v>0</v>
      </c>
      <c r="N100" s="28">
        <f t="shared" si="193"/>
        <v>0</v>
      </c>
      <c r="O100" s="28">
        <f t="shared" si="193"/>
        <v>0</v>
      </c>
      <c r="P100" s="28">
        <f t="shared" si="193"/>
        <v>0</v>
      </c>
      <c r="Q100" s="28">
        <f t="shared" si="193"/>
        <v>0</v>
      </c>
      <c r="R100" s="28">
        <f t="shared" si="193"/>
        <v>0</v>
      </c>
      <c r="S100" s="28">
        <f t="shared" si="193"/>
        <v>0</v>
      </c>
      <c r="T100" s="28">
        <f t="shared" si="193"/>
        <v>0</v>
      </c>
      <c r="U100" s="28">
        <f t="shared" si="193"/>
        <v>0</v>
      </c>
      <c r="V100" s="28">
        <f t="shared" si="193"/>
        <v>0</v>
      </c>
      <c r="W100" s="28">
        <f t="shared" ref="W100" si="194">IF(W10=0,0,W10/W32*1000000)</f>
        <v>0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0</v>
      </c>
      <c r="C101" s="84">
        <f t="shared" si="180"/>
        <v>0</v>
      </c>
      <c r="D101" s="84">
        <f t="shared" si="180"/>
        <v>0</v>
      </c>
      <c r="E101" s="84">
        <f t="shared" si="180"/>
        <v>0</v>
      </c>
      <c r="F101" s="84">
        <f t="shared" si="180"/>
        <v>0</v>
      </c>
      <c r="G101" s="84">
        <f t="shared" si="180"/>
        <v>0</v>
      </c>
      <c r="H101" s="84">
        <f t="shared" si="180"/>
        <v>0</v>
      </c>
      <c r="I101" s="84">
        <f t="shared" si="180"/>
        <v>0</v>
      </c>
      <c r="J101" s="84">
        <f t="shared" si="180"/>
        <v>0</v>
      </c>
      <c r="K101" s="84">
        <f t="shared" ref="K101:V101" si="195">IF(K11=0,0,K11/K33*1000000)</f>
        <v>0</v>
      </c>
      <c r="L101" s="84">
        <f t="shared" si="195"/>
        <v>0</v>
      </c>
      <c r="M101" s="84">
        <f t="shared" si="195"/>
        <v>0</v>
      </c>
      <c r="N101" s="84">
        <f t="shared" si="195"/>
        <v>0</v>
      </c>
      <c r="O101" s="84">
        <f t="shared" si="195"/>
        <v>0</v>
      </c>
      <c r="P101" s="84">
        <f t="shared" si="195"/>
        <v>0</v>
      </c>
      <c r="Q101" s="84">
        <f t="shared" si="195"/>
        <v>0</v>
      </c>
      <c r="R101" s="84">
        <f t="shared" si="195"/>
        <v>0</v>
      </c>
      <c r="S101" s="84">
        <f t="shared" si="195"/>
        <v>0</v>
      </c>
      <c r="T101" s="84">
        <f t="shared" si="195"/>
        <v>0</v>
      </c>
      <c r="U101" s="84">
        <f t="shared" si="195"/>
        <v>0</v>
      </c>
      <c r="V101" s="84">
        <f t="shared" si="195"/>
        <v>0</v>
      </c>
      <c r="W101" s="84">
        <f t="shared" ref="W101" si="196">IF(W11=0,0,W11/W33*1000000)</f>
        <v>0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0</v>
      </c>
      <c r="C102" s="86">
        <f t="shared" si="180"/>
        <v>0</v>
      </c>
      <c r="D102" s="86">
        <f t="shared" si="180"/>
        <v>0</v>
      </c>
      <c r="E102" s="86">
        <f t="shared" si="180"/>
        <v>0</v>
      </c>
      <c r="F102" s="86">
        <f t="shared" si="180"/>
        <v>0</v>
      </c>
      <c r="G102" s="86">
        <f t="shared" si="180"/>
        <v>0</v>
      </c>
      <c r="H102" s="86">
        <f t="shared" si="180"/>
        <v>0</v>
      </c>
      <c r="I102" s="86">
        <f t="shared" si="180"/>
        <v>0</v>
      </c>
      <c r="J102" s="86">
        <f t="shared" si="180"/>
        <v>0</v>
      </c>
      <c r="K102" s="86">
        <f t="shared" ref="K102:V102" si="197">IF(K12=0,0,K12/K34*1000000)</f>
        <v>0</v>
      </c>
      <c r="L102" s="86">
        <f t="shared" si="197"/>
        <v>0</v>
      </c>
      <c r="M102" s="86">
        <f t="shared" si="197"/>
        <v>0</v>
      </c>
      <c r="N102" s="86">
        <f t="shared" si="197"/>
        <v>0</v>
      </c>
      <c r="O102" s="86">
        <f t="shared" si="197"/>
        <v>0</v>
      </c>
      <c r="P102" s="86">
        <f t="shared" si="197"/>
        <v>0</v>
      </c>
      <c r="Q102" s="86">
        <f t="shared" si="197"/>
        <v>0</v>
      </c>
      <c r="R102" s="86">
        <f t="shared" si="197"/>
        <v>0</v>
      </c>
      <c r="S102" s="86">
        <f t="shared" si="197"/>
        <v>0</v>
      </c>
      <c r="T102" s="86">
        <f t="shared" si="197"/>
        <v>0</v>
      </c>
      <c r="U102" s="86">
        <f t="shared" si="197"/>
        <v>0</v>
      </c>
      <c r="V102" s="86">
        <f t="shared" si="197"/>
        <v>0</v>
      </c>
      <c r="W102" s="86">
        <f t="shared" ref="W102" si="198">IF(W12=0,0,W12/W34*1000000)</f>
        <v>0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0</v>
      </c>
      <c r="C105" s="31">
        <f t="shared" si="199"/>
        <v>0</v>
      </c>
      <c r="D105" s="31">
        <f t="shared" si="199"/>
        <v>0</v>
      </c>
      <c r="E105" s="31">
        <f t="shared" si="199"/>
        <v>0</v>
      </c>
      <c r="F105" s="31">
        <f t="shared" si="199"/>
        <v>0</v>
      </c>
      <c r="G105" s="31">
        <f t="shared" si="199"/>
        <v>0</v>
      </c>
      <c r="H105" s="31">
        <f t="shared" si="199"/>
        <v>0</v>
      </c>
      <c r="I105" s="31">
        <f t="shared" si="199"/>
        <v>0</v>
      </c>
      <c r="J105" s="31">
        <f t="shared" si="199"/>
        <v>0</v>
      </c>
      <c r="K105" s="31">
        <f t="shared" ref="K105:V105" si="200">IF(K4=0,0,K4/K$4)</f>
        <v>0</v>
      </c>
      <c r="L105" s="31">
        <f t="shared" si="200"/>
        <v>0</v>
      </c>
      <c r="M105" s="31">
        <f t="shared" si="200"/>
        <v>0</v>
      </c>
      <c r="N105" s="31">
        <f t="shared" si="200"/>
        <v>0</v>
      </c>
      <c r="O105" s="31">
        <f t="shared" si="200"/>
        <v>0</v>
      </c>
      <c r="P105" s="31">
        <f t="shared" si="200"/>
        <v>0</v>
      </c>
      <c r="Q105" s="31">
        <f t="shared" si="200"/>
        <v>0</v>
      </c>
      <c r="R105" s="31">
        <f t="shared" si="200"/>
        <v>0</v>
      </c>
      <c r="S105" s="31">
        <f t="shared" si="200"/>
        <v>0</v>
      </c>
      <c r="T105" s="31">
        <f t="shared" si="200"/>
        <v>0</v>
      </c>
      <c r="U105" s="31">
        <f t="shared" si="200"/>
        <v>0</v>
      </c>
      <c r="V105" s="31">
        <f t="shared" si="200"/>
        <v>0</v>
      </c>
      <c r="W105" s="31">
        <f t="shared" ref="W105" si="201">IF(W4=0,0,W4/W$4)</f>
        <v>0</v>
      </c>
      <c r="DA105" s="173"/>
    </row>
    <row r="106" spans="1:105" ht="11.45" customHeight="1" x14ac:dyDescent="0.25">
      <c r="A106" s="107" t="s">
        <v>23</v>
      </c>
      <c r="B106" s="123">
        <f t="shared" si="199"/>
        <v>0</v>
      </c>
      <c r="C106" s="123">
        <f t="shared" si="199"/>
        <v>0</v>
      </c>
      <c r="D106" s="123">
        <f t="shared" si="199"/>
        <v>0</v>
      </c>
      <c r="E106" s="123">
        <f t="shared" si="199"/>
        <v>0</v>
      </c>
      <c r="F106" s="123">
        <f t="shared" si="199"/>
        <v>0</v>
      </c>
      <c r="G106" s="123">
        <f t="shared" si="199"/>
        <v>0</v>
      </c>
      <c r="H106" s="123">
        <f t="shared" si="199"/>
        <v>0</v>
      </c>
      <c r="I106" s="123">
        <f t="shared" si="199"/>
        <v>0</v>
      </c>
      <c r="J106" s="123">
        <f t="shared" si="199"/>
        <v>0</v>
      </c>
      <c r="K106" s="123">
        <f t="shared" ref="K106:V106" si="202">IF(K5=0,0,K5/K$4)</f>
        <v>0</v>
      </c>
      <c r="L106" s="123">
        <f t="shared" si="202"/>
        <v>0</v>
      </c>
      <c r="M106" s="123">
        <f t="shared" si="202"/>
        <v>0</v>
      </c>
      <c r="N106" s="123">
        <f t="shared" si="202"/>
        <v>0</v>
      </c>
      <c r="O106" s="123">
        <f t="shared" si="202"/>
        <v>0</v>
      </c>
      <c r="P106" s="123">
        <f t="shared" si="202"/>
        <v>0</v>
      </c>
      <c r="Q106" s="123">
        <f t="shared" si="202"/>
        <v>0</v>
      </c>
      <c r="R106" s="123">
        <f t="shared" si="202"/>
        <v>0</v>
      </c>
      <c r="S106" s="123">
        <f t="shared" si="202"/>
        <v>0</v>
      </c>
      <c r="T106" s="123">
        <f t="shared" si="202"/>
        <v>0</v>
      </c>
      <c r="U106" s="123">
        <f t="shared" si="202"/>
        <v>0</v>
      </c>
      <c r="V106" s="123">
        <f t="shared" si="202"/>
        <v>0</v>
      </c>
      <c r="W106" s="123">
        <f t="shared" ref="W106" si="203">IF(W5=0,0,W5/W$4)</f>
        <v>0</v>
      </c>
      <c r="DA106" s="203"/>
    </row>
    <row r="107" spans="1:105" ht="11.45" customHeight="1" x14ac:dyDescent="0.25">
      <c r="A107" s="109" t="s">
        <v>24</v>
      </c>
      <c r="B107" s="124">
        <f t="shared" si="199"/>
        <v>0</v>
      </c>
      <c r="C107" s="124">
        <f t="shared" si="199"/>
        <v>0</v>
      </c>
      <c r="D107" s="124">
        <f t="shared" si="199"/>
        <v>0</v>
      </c>
      <c r="E107" s="124">
        <f t="shared" si="199"/>
        <v>0</v>
      </c>
      <c r="F107" s="124">
        <f t="shared" si="199"/>
        <v>0</v>
      </c>
      <c r="G107" s="124">
        <f t="shared" si="199"/>
        <v>0</v>
      </c>
      <c r="H107" s="124">
        <f t="shared" si="199"/>
        <v>0</v>
      </c>
      <c r="I107" s="124">
        <f t="shared" si="199"/>
        <v>0</v>
      </c>
      <c r="J107" s="124">
        <f t="shared" si="199"/>
        <v>0</v>
      </c>
      <c r="K107" s="124">
        <f t="shared" ref="K107:V107" si="204">IF(K6=0,0,K6/K$4)</f>
        <v>0</v>
      </c>
      <c r="L107" s="124">
        <f t="shared" si="204"/>
        <v>0</v>
      </c>
      <c r="M107" s="124">
        <f t="shared" si="204"/>
        <v>0</v>
      </c>
      <c r="N107" s="124">
        <f t="shared" si="204"/>
        <v>0</v>
      </c>
      <c r="O107" s="124">
        <f t="shared" si="204"/>
        <v>0</v>
      </c>
      <c r="P107" s="124">
        <f t="shared" si="204"/>
        <v>0</v>
      </c>
      <c r="Q107" s="124">
        <f t="shared" si="204"/>
        <v>0</v>
      </c>
      <c r="R107" s="124">
        <f t="shared" si="204"/>
        <v>0</v>
      </c>
      <c r="S107" s="124">
        <f t="shared" si="204"/>
        <v>0</v>
      </c>
      <c r="T107" s="124">
        <f t="shared" si="204"/>
        <v>0</v>
      </c>
      <c r="U107" s="124">
        <f t="shared" si="204"/>
        <v>0</v>
      </c>
      <c r="V107" s="124">
        <f t="shared" si="204"/>
        <v>0</v>
      </c>
      <c r="W107" s="124">
        <f t="shared" ref="W107" si="205">IF(W6=0,0,W6/W$4)</f>
        <v>0</v>
      </c>
      <c r="DA107" s="176"/>
    </row>
    <row r="108" spans="1:105" ht="11.45" customHeight="1" x14ac:dyDescent="0.25">
      <c r="A108" s="111" t="s">
        <v>92</v>
      </c>
      <c r="B108" s="125">
        <f t="shared" si="199"/>
        <v>0</v>
      </c>
      <c r="C108" s="125">
        <f t="shared" si="199"/>
        <v>0</v>
      </c>
      <c r="D108" s="125">
        <f t="shared" si="199"/>
        <v>0</v>
      </c>
      <c r="E108" s="125">
        <f t="shared" si="199"/>
        <v>0</v>
      </c>
      <c r="F108" s="125">
        <f t="shared" si="199"/>
        <v>0</v>
      </c>
      <c r="G108" s="125">
        <f t="shared" si="199"/>
        <v>0</v>
      </c>
      <c r="H108" s="125">
        <f t="shared" si="199"/>
        <v>0</v>
      </c>
      <c r="I108" s="125">
        <f t="shared" si="199"/>
        <v>0</v>
      </c>
      <c r="J108" s="125">
        <f t="shared" si="199"/>
        <v>0</v>
      </c>
      <c r="K108" s="125">
        <f t="shared" ref="K108:V108" si="206">IF(K7=0,0,K7/K$4)</f>
        <v>0</v>
      </c>
      <c r="L108" s="125">
        <f t="shared" si="206"/>
        <v>0</v>
      </c>
      <c r="M108" s="125">
        <f t="shared" si="206"/>
        <v>0</v>
      </c>
      <c r="N108" s="125">
        <f t="shared" si="206"/>
        <v>0</v>
      </c>
      <c r="O108" s="125">
        <f t="shared" si="206"/>
        <v>0</v>
      </c>
      <c r="P108" s="125">
        <f t="shared" si="206"/>
        <v>0</v>
      </c>
      <c r="Q108" s="125">
        <f t="shared" si="206"/>
        <v>0</v>
      </c>
      <c r="R108" s="125">
        <f t="shared" si="206"/>
        <v>0</v>
      </c>
      <c r="S108" s="125">
        <f t="shared" si="206"/>
        <v>0</v>
      </c>
      <c r="T108" s="125">
        <f t="shared" si="206"/>
        <v>0</v>
      </c>
      <c r="U108" s="125">
        <f t="shared" si="206"/>
        <v>0</v>
      </c>
      <c r="V108" s="125">
        <f t="shared" si="206"/>
        <v>0</v>
      </c>
      <c r="W108" s="125">
        <f t="shared" ref="W108" si="207">IF(W7=0,0,W7/W$4)</f>
        <v>0</v>
      </c>
      <c r="DA108" s="171"/>
    </row>
    <row r="109" spans="1:105" ht="11.45" customHeight="1" x14ac:dyDescent="0.25">
      <c r="A109" s="111" t="s">
        <v>93</v>
      </c>
      <c r="B109" s="125">
        <f t="shared" si="199"/>
        <v>0</v>
      </c>
      <c r="C109" s="125">
        <f t="shared" si="199"/>
        <v>0</v>
      </c>
      <c r="D109" s="125">
        <f t="shared" si="199"/>
        <v>0</v>
      </c>
      <c r="E109" s="125">
        <f t="shared" si="199"/>
        <v>0</v>
      </c>
      <c r="F109" s="125">
        <f t="shared" si="199"/>
        <v>0</v>
      </c>
      <c r="G109" s="125">
        <f t="shared" si="199"/>
        <v>0</v>
      </c>
      <c r="H109" s="125">
        <f t="shared" si="199"/>
        <v>0</v>
      </c>
      <c r="I109" s="125">
        <f t="shared" si="199"/>
        <v>0</v>
      </c>
      <c r="J109" s="125">
        <f t="shared" si="199"/>
        <v>0</v>
      </c>
      <c r="K109" s="125">
        <f t="shared" ref="K109:V109" si="208">IF(K8=0,0,K8/K$4)</f>
        <v>0</v>
      </c>
      <c r="L109" s="125">
        <f t="shared" si="208"/>
        <v>0</v>
      </c>
      <c r="M109" s="125">
        <f t="shared" si="208"/>
        <v>0</v>
      </c>
      <c r="N109" s="125">
        <f t="shared" si="208"/>
        <v>0</v>
      </c>
      <c r="O109" s="125">
        <f t="shared" si="208"/>
        <v>0</v>
      </c>
      <c r="P109" s="125">
        <f t="shared" si="208"/>
        <v>0</v>
      </c>
      <c r="Q109" s="125">
        <f t="shared" si="208"/>
        <v>0</v>
      </c>
      <c r="R109" s="125">
        <f t="shared" si="208"/>
        <v>0</v>
      </c>
      <c r="S109" s="125">
        <f t="shared" si="208"/>
        <v>0</v>
      </c>
      <c r="T109" s="125">
        <f t="shared" si="208"/>
        <v>0</v>
      </c>
      <c r="U109" s="125">
        <f t="shared" si="208"/>
        <v>0</v>
      </c>
      <c r="V109" s="125">
        <f t="shared" si="208"/>
        <v>0</v>
      </c>
      <c r="W109" s="125">
        <f t="shared" ref="W109" si="209">IF(W8=0,0,W8/W$4)</f>
        <v>0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0</v>
      </c>
      <c r="G110" s="126">
        <f t="shared" si="199"/>
        <v>0</v>
      </c>
      <c r="H110" s="126">
        <f t="shared" si="199"/>
        <v>0</v>
      </c>
      <c r="I110" s="126">
        <f t="shared" si="199"/>
        <v>0</v>
      </c>
      <c r="J110" s="126">
        <f t="shared" si="199"/>
        <v>0</v>
      </c>
      <c r="K110" s="126">
        <f t="shared" ref="K110:V110" si="210">IF(K9=0,0,K9/K$4)</f>
        <v>0</v>
      </c>
      <c r="L110" s="126">
        <f t="shared" si="210"/>
        <v>0</v>
      </c>
      <c r="M110" s="126">
        <f t="shared" si="210"/>
        <v>0</v>
      </c>
      <c r="N110" s="126">
        <f t="shared" si="210"/>
        <v>0</v>
      </c>
      <c r="O110" s="126">
        <f t="shared" si="210"/>
        <v>0</v>
      </c>
      <c r="P110" s="126">
        <f t="shared" si="210"/>
        <v>0</v>
      </c>
      <c r="Q110" s="126">
        <f t="shared" si="210"/>
        <v>0</v>
      </c>
      <c r="R110" s="126">
        <f t="shared" si="210"/>
        <v>0</v>
      </c>
      <c r="S110" s="126">
        <f t="shared" si="210"/>
        <v>0</v>
      </c>
      <c r="T110" s="126">
        <f t="shared" si="210"/>
        <v>0</v>
      </c>
      <c r="U110" s="126">
        <f t="shared" si="210"/>
        <v>0</v>
      </c>
      <c r="V110" s="126">
        <f t="shared" si="210"/>
        <v>0</v>
      </c>
      <c r="W110" s="126">
        <f t="shared" ref="W110" si="211">IF(W9=0,0,W9/W$4)</f>
        <v>0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0</v>
      </c>
      <c r="C111" s="31">
        <f t="shared" si="212"/>
        <v>0</v>
      </c>
      <c r="D111" s="31">
        <f t="shared" si="212"/>
        <v>0</v>
      </c>
      <c r="E111" s="31">
        <f t="shared" si="212"/>
        <v>0</v>
      </c>
      <c r="F111" s="31">
        <f t="shared" si="212"/>
        <v>0</v>
      </c>
      <c r="G111" s="31">
        <f t="shared" si="212"/>
        <v>0</v>
      </c>
      <c r="H111" s="31">
        <f t="shared" si="212"/>
        <v>0</v>
      </c>
      <c r="I111" s="31">
        <f t="shared" si="212"/>
        <v>0</v>
      </c>
      <c r="J111" s="31">
        <f t="shared" si="212"/>
        <v>0</v>
      </c>
      <c r="K111" s="31">
        <f t="shared" ref="K111:V111" si="213">IF(K10=0,0,K10/K$10)</f>
        <v>0</v>
      </c>
      <c r="L111" s="31">
        <f t="shared" si="213"/>
        <v>0</v>
      </c>
      <c r="M111" s="31">
        <f t="shared" si="213"/>
        <v>0</v>
      </c>
      <c r="N111" s="31">
        <f t="shared" si="213"/>
        <v>0</v>
      </c>
      <c r="O111" s="31">
        <f t="shared" si="213"/>
        <v>0</v>
      </c>
      <c r="P111" s="31">
        <f t="shared" si="213"/>
        <v>0</v>
      </c>
      <c r="Q111" s="31">
        <f t="shared" si="213"/>
        <v>0</v>
      </c>
      <c r="R111" s="31">
        <f t="shared" si="213"/>
        <v>0</v>
      </c>
      <c r="S111" s="31">
        <f t="shared" si="213"/>
        <v>0</v>
      </c>
      <c r="T111" s="31">
        <f t="shared" si="213"/>
        <v>0</v>
      </c>
      <c r="U111" s="31">
        <f t="shared" si="213"/>
        <v>0</v>
      </c>
      <c r="V111" s="31">
        <f t="shared" si="213"/>
        <v>0</v>
      </c>
      <c r="W111" s="31">
        <f t="shared" ref="W111" si="214">IF(W10=0,0,W10/W$10)</f>
        <v>0</v>
      </c>
      <c r="DA111" s="173"/>
    </row>
    <row r="112" spans="1:105" ht="11.45" customHeight="1" x14ac:dyDescent="0.25">
      <c r="A112" s="83" t="s">
        <v>92</v>
      </c>
      <c r="B112" s="125">
        <f t="shared" si="212"/>
        <v>0</v>
      </c>
      <c r="C112" s="125">
        <f t="shared" si="212"/>
        <v>0</v>
      </c>
      <c r="D112" s="125">
        <f t="shared" si="212"/>
        <v>0</v>
      </c>
      <c r="E112" s="125">
        <f t="shared" si="212"/>
        <v>0</v>
      </c>
      <c r="F112" s="125">
        <f t="shared" si="212"/>
        <v>0</v>
      </c>
      <c r="G112" s="125">
        <f t="shared" si="212"/>
        <v>0</v>
      </c>
      <c r="H112" s="125">
        <f t="shared" si="212"/>
        <v>0</v>
      </c>
      <c r="I112" s="125">
        <f t="shared" si="212"/>
        <v>0</v>
      </c>
      <c r="J112" s="125">
        <f t="shared" si="212"/>
        <v>0</v>
      </c>
      <c r="K112" s="125">
        <f t="shared" ref="K112:V112" si="215">IF(K11=0,0,K11/K$10)</f>
        <v>0</v>
      </c>
      <c r="L112" s="125">
        <f t="shared" si="215"/>
        <v>0</v>
      </c>
      <c r="M112" s="125">
        <f t="shared" si="215"/>
        <v>0</v>
      </c>
      <c r="N112" s="125">
        <f t="shared" si="215"/>
        <v>0</v>
      </c>
      <c r="O112" s="125">
        <f t="shared" si="215"/>
        <v>0</v>
      </c>
      <c r="P112" s="125">
        <f t="shared" si="215"/>
        <v>0</v>
      </c>
      <c r="Q112" s="125">
        <f t="shared" si="215"/>
        <v>0</v>
      </c>
      <c r="R112" s="125">
        <f t="shared" si="215"/>
        <v>0</v>
      </c>
      <c r="S112" s="125">
        <f t="shared" si="215"/>
        <v>0</v>
      </c>
      <c r="T112" s="125">
        <f t="shared" si="215"/>
        <v>0</v>
      </c>
      <c r="U112" s="125">
        <f t="shared" si="215"/>
        <v>0</v>
      </c>
      <c r="V112" s="125">
        <f t="shared" si="215"/>
        <v>0</v>
      </c>
      <c r="W112" s="125">
        <f t="shared" ref="W112" si="216">IF(W11=0,0,W11/W$10)</f>
        <v>0</v>
      </c>
      <c r="DA112" s="171"/>
    </row>
    <row r="113" spans="1:105" ht="11.45" customHeight="1" x14ac:dyDescent="0.25">
      <c r="A113" s="85" t="s">
        <v>93</v>
      </c>
      <c r="B113" s="127">
        <f t="shared" si="212"/>
        <v>0</v>
      </c>
      <c r="C113" s="127">
        <f t="shared" si="212"/>
        <v>0</v>
      </c>
      <c r="D113" s="127">
        <f t="shared" si="212"/>
        <v>0</v>
      </c>
      <c r="E113" s="127">
        <f t="shared" si="212"/>
        <v>0</v>
      </c>
      <c r="F113" s="127">
        <f t="shared" si="212"/>
        <v>0</v>
      </c>
      <c r="G113" s="127">
        <f t="shared" si="212"/>
        <v>0</v>
      </c>
      <c r="H113" s="127">
        <f t="shared" si="212"/>
        <v>0</v>
      </c>
      <c r="I113" s="127">
        <f t="shared" si="212"/>
        <v>0</v>
      </c>
      <c r="J113" s="127">
        <f t="shared" si="212"/>
        <v>0</v>
      </c>
      <c r="K113" s="127">
        <f t="shared" ref="K113:V113" si="217">IF(K12=0,0,K12/K$10)</f>
        <v>0</v>
      </c>
      <c r="L113" s="127">
        <f t="shared" si="217"/>
        <v>0</v>
      </c>
      <c r="M113" s="127">
        <f t="shared" si="217"/>
        <v>0</v>
      </c>
      <c r="N113" s="127">
        <f t="shared" si="217"/>
        <v>0</v>
      </c>
      <c r="O113" s="127">
        <f t="shared" si="217"/>
        <v>0</v>
      </c>
      <c r="P113" s="127">
        <f t="shared" si="217"/>
        <v>0</v>
      </c>
      <c r="Q113" s="127">
        <f t="shared" si="217"/>
        <v>0</v>
      </c>
      <c r="R113" s="127">
        <f t="shared" si="217"/>
        <v>0</v>
      </c>
      <c r="S113" s="127">
        <f t="shared" si="217"/>
        <v>0</v>
      </c>
      <c r="T113" s="127">
        <f t="shared" si="217"/>
        <v>0</v>
      </c>
      <c r="U113" s="127">
        <f t="shared" si="217"/>
        <v>0</v>
      </c>
      <c r="V113" s="127">
        <f t="shared" si="217"/>
        <v>0</v>
      </c>
      <c r="W113" s="127">
        <f t="shared" ref="W113" si="218">IF(W12=0,0,W12/W$10)</f>
        <v>0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0</v>
      </c>
      <c r="C116" s="31">
        <f t="shared" si="219"/>
        <v>0</v>
      </c>
      <c r="D116" s="31">
        <f t="shared" si="219"/>
        <v>0</v>
      </c>
      <c r="E116" s="31">
        <f t="shared" si="219"/>
        <v>0</v>
      </c>
      <c r="F116" s="31">
        <f t="shared" si="219"/>
        <v>0</v>
      </c>
      <c r="G116" s="31">
        <f t="shared" si="219"/>
        <v>0</v>
      </c>
      <c r="H116" s="31">
        <f t="shared" si="219"/>
        <v>0</v>
      </c>
      <c r="I116" s="31">
        <f t="shared" si="219"/>
        <v>0</v>
      </c>
      <c r="J116" s="31">
        <f t="shared" si="219"/>
        <v>0</v>
      </c>
      <c r="K116" s="31">
        <f t="shared" ref="K116:V116" si="220">IF(K15=0,0,K15/K$15)</f>
        <v>0</v>
      </c>
      <c r="L116" s="31">
        <f t="shared" si="220"/>
        <v>0</v>
      </c>
      <c r="M116" s="31">
        <f t="shared" si="220"/>
        <v>0</v>
      </c>
      <c r="N116" s="31">
        <f t="shared" si="220"/>
        <v>0</v>
      </c>
      <c r="O116" s="31">
        <f t="shared" si="220"/>
        <v>0</v>
      </c>
      <c r="P116" s="31">
        <f t="shared" si="220"/>
        <v>0</v>
      </c>
      <c r="Q116" s="31">
        <f t="shared" si="220"/>
        <v>0</v>
      </c>
      <c r="R116" s="31">
        <f t="shared" si="220"/>
        <v>0</v>
      </c>
      <c r="S116" s="31">
        <f t="shared" si="220"/>
        <v>0</v>
      </c>
      <c r="T116" s="31">
        <f t="shared" si="220"/>
        <v>0</v>
      </c>
      <c r="U116" s="31">
        <f t="shared" si="220"/>
        <v>0</v>
      </c>
      <c r="V116" s="31">
        <f t="shared" si="220"/>
        <v>0</v>
      </c>
      <c r="W116" s="31">
        <f t="shared" ref="W116" si="221">IF(W15=0,0,W15/W$15)</f>
        <v>0</v>
      </c>
      <c r="DA116" s="173"/>
    </row>
    <row r="117" spans="1:105" ht="11.45" customHeight="1" x14ac:dyDescent="0.25">
      <c r="A117" s="107" t="s">
        <v>23</v>
      </c>
      <c r="B117" s="123">
        <f t="shared" si="219"/>
        <v>0</v>
      </c>
      <c r="C117" s="123">
        <f t="shared" si="219"/>
        <v>0</v>
      </c>
      <c r="D117" s="123">
        <f t="shared" si="219"/>
        <v>0</v>
      </c>
      <c r="E117" s="123">
        <f t="shared" si="219"/>
        <v>0</v>
      </c>
      <c r="F117" s="123">
        <f t="shared" si="219"/>
        <v>0</v>
      </c>
      <c r="G117" s="123">
        <f t="shared" si="219"/>
        <v>0</v>
      </c>
      <c r="H117" s="123">
        <f t="shared" si="219"/>
        <v>0</v>
      </c>
      <c r="I117" s="123">
        <f t="shared" si="219"/>
        <v>0</v>
      </c>
      <c r="J117" s="123">
        <f t="shared" si="219"/>
        <v>0</v>
      </c>
      <c r="K117" s="123">
        <f t="shared" ref="K117:V117" si="222">IF(K16=0,0,K16/K$15)</f>
        <v>0</v>
      </c>
      <c r="L117" s="123">
        <f t="shared" si="222"/>
        <v>0</v>
      </c>
      <c r="M117" s="123">
        <f t="shared" si="222"/>
        <v>0</v>
      </c>
      <c r="N117" s="123">
        <f t="shared" si="222"/>
        <v>0</v>
      </c>
      <c r="O117" s="123">
        <f t="shared" si="222"/>
        <v>0</v>
      </c>
      <c r="P117" s="123">
        <f t="shared" si="222"/>
        <v>0</v>
      </c>
      <c r="Q117" s="123">
        <f t="shared" si="222"/>
        <v>0</v>
      </c>
      <c r="R117" s="123">
        <f t="shared" si="222"/>
        <v>0</v>
      </c>
      <c r="S117" s="123">
        <f t="shared" si="222"/>
        <v>0</v>
      </c>
      <c r="T117" s="123">
        <f t="shared" si="222"/>
        <v>0</v>
      </c>
      <c r="U117" s="123">
        <f t="shared" si="222"/>
        <v>0</v>
      </c>
      <c r="V117" s="123">
        <f t="shared" si="222"/>
        <v>0</v>
      </c>
      <c r="W117" s="123">
        <f t="shared" ref="W117" si="223">IF(W16=0,0,W16/W$15)</f>
        <v>0</v>
      </c>
      <c r="DA117" s="203"/>
    </row>
    <row r="118" spans="1:105" ht="11.45" customHeight="1" x14ac:dyDescent="0.25">
      <c r="A118" s="109" t="s">
        <v>24</v>
      </c>
      <c r="B118" s="124">
        <f t="shared" si="219"/>
        <v>0</v>
      </c>
      <c r="C118" s="124">
        <f t="shared" si="219"/>
        <v>0</v>
      </c>
      <c r="D118" s="124">
        <f t="shared" si="219"/>
        <v>0</v>
      </c>
      <c r="E118" s="124">
        <f t="shared" si="219"/>
        <v>0</v>
      </c>
      <c r="F118" s="124">
        <f t="shared" si="219"/>
        <v>0</v>
      </c>
      <c r="G118" s="124">
        <f t="shared" si="219"/>
        <v>0</v>
      </c>
      <c r="H118" s="124">
        <f t="shared" si="219"/>
        <v>0</v>
      </c>
      <c r="I118" s="124">
        <f t="shared" si="219"/>
        <v>0</v>
      </c>
      <c r="J118" s="124">
        <f t="shared" si="219"/>
        <v>0</v>
      </c>
      <c r="K118" s="124">
        <f t="shared" ref="K118:V118" si="224">IF(K17=0,0,K17/K$15)</f>
        <v>0</v>
      </c>
      <c r="L118" s="124">
        <f t="shared" si="224"/>
        <v>0</v>
      </c>
      <c r="M118" s="124">
        <f t="shared" si="224"/>
        <v>0</v>
      </c>
      <c r="N118" s="124">
        <f t="shared" si="224"/>
        <v>0</v>
      </c>
      <c r="O118" s="124">
        <f t="shared" si="224"/>
        <v>0</v>
      </c>
      <c r="P118" s="124">
        <f t="shared" si="224"/>
        <v>0</v>
      </c>
      <c r="Q118" s="124">
        <f t="shared" si="224"/>
        <v>0</v>
      </c>
      <c r="R118" s="124">
        <f t="shared" si="224"/>
        <v>0</v>
      </c>
      <c r="S118" s="124">
        <f t="shared" si="224"/>
        <v>0</v>
      </c>
      <c r="T118" s="124">
        <f t="shared" si="224"/>
        <v>0</v>
      </c>
      <c r="U118" s="124">
        <f t="shared" si="224"/>
        <v>0</v>
      </c>
      <c r="V118" s="124">
        <f t="shared" si="224"/>
        <v>0</v>
      </c>
      <c r="W118" s="124">
        <f t="shared" ref="W118" si="225">IF(W17=0,0,W17/W$15)</f>
        <v>0</v>
      </c>
      <c r="DA118" s="176"/>
    </row>
    <row r="119" spans="1:105" ht="11.45" customHeight="1" x14ac:dyDescent="0.25">
      <c r="A119" s="111" t="s">
        <v>92</v>
      </c>
      <c r="B119" s="125">
        <f t="shared" si="219"/>
        <v>0</v>
      </c>
      <c r="C119" s="125">
        <f t="shared" si="219"/>
        <v>0</v>
      </c>
      <c r="D119" s="125">
        <f t="shared" si="219"/>
        <v>0</v>
      </c>
      <c r="E119" s="125">
        <f t="shared" si="219"/>
        <v>0</v>
      </c>
      <c r="F119" s="125">
        <f t="shared" si="219"/>
        <v>0</v>
      </c>
      <c r="G119" s="125">
        <f t="shared" si="219"/>
        <v>0</v>
      </c>
      <c r="H119" s="125">
        <f t="shared" si="219"/>
        <v>0</v>
      </c>
      <c r="I119" s="125">
        <f t="shared" si="219"/>
        <v>0</v>
      </c>
      <c r="J119" s="125">
        <f t="shared" si="219"/>
        <v>0</v>
      </c>
      <c r="K119" s="125">
        <f t="shared" ref="K119:V119" si="226">IF(K18=0,0,K18/K$15)</f>
        <v>0</v>
      </c>
      <c r="L119" s="125">
        <f t="shared" si="226"/>
        <v>0</v>
      </c>
      <c r="M119" s="125">
        <f t="shared" si="226"/>
        <v>0</v>
      </c>
      <c r="N119" s="125">
        <f t="shared" si="226"/>
        <v>0</v>
      </c>
      <c r="O119" s="125">
        <f t="shared" si="226"/>
        <v>0</v>
      </c>
      <c r="P119" s="125">
        <f t="shared" si="226"/>
        <v>0</v>
      </c>
      <c r="Q119" s="125">
        <f t="shared" si="226"/>
        <v>0</v>
      </c>
      <c r="R119" s="125">
        <f t="shared" si="226"/>
        <v>0</v>
      </c>
      <c r="S119" s="125">
        <f t="shared" si="226"/>
        <v>0</v>
      </c>
      <c r="T119" s="125">
        <f t="shared" si="226"/>
        <v>0</v>
      </c>
      <c r="U119" s="125">
        <f t="shared" si="226"/>
        <v>0</v>
      </c>
      <c r="V119" s="125">
        <f t="shared" si="226"/>
        <v>0</v>
      </c>
      <c r="W119" s="125">
        <f t="shared" ref="W119" si="227">IF(W18=0,0,W18/W$15)</f>
        <v>0</v>
      </c>
      <c r="DA119" s="171"/>
    </row>
    <row r="120" spans="1:105" ht="11.45" customHeight="1" x14ac:dyDescent="0.25">
      <c r="A120" s="111" t="s">
        <v>93</v>
      </c>
      <c r="B120" s="125">
        <f t="shared" si="219"/>
        <v>0</v>
      </c>
      <c r="C120" s="125">
        <f t="shared" si="219"/>
        <v>0</v>
      </c>
      <c r="D120" s="125">
        <f t="shared" si="219"/>
        <v>0</v>
      </c>
      <c r="E120" s="125">
        <f t="shared" si="219"/>
        <v>0</v>
      </c>
      <c r="F120" s="125">
        <f t="shared" si="219"/>
        <v>0</v>
      </c>
      <c r="G120" s="125">
        <f t="shared" si="219"/>
        <v>0</v>
      </c>
      <c r="H120" s="125">
        <f t="shared" si="219"/>
        <v>0</v>
      </c>
      <c r="I120" s="125">
        <f t="shared" si="219"/>
        <v>0</v>
      </c>
      <c r="J120" s="125">
        <f t="shared" si="219"/>
        <v>0</v>
      </c>
      <c r="K120" s="125">
        <f t="shared" ref="K120:V120" si="228">IF(K19=0,0,K19/K$15)</f>
        <v>0</v>
      </c>
      <c r="L120" s="125">
        <f t="shared" si="228"/>
        <v>0</v>
      </c>
      <c r="M120" s="125">
        <f t="shared" si="228"/>
        <v>0</v>
      </c>
      <c r="N120" s="125">
        <f t="shared" si="228"/>
        <v>0</v>
      </c>
      <c r="O120" s="125">
        <f t="shared" si="228"/>
        <v>0</v>
      </c>
      <c r="P120" s="125">
        <f t="shared" si="228"/>
        <v>0</v>
      </c>
      <c r="Q120" s="125">
        <f t="shared" si="228"/>
        <v>0</v>
      </c>
      <c r="R120" s="125">
        <f t="shared" si="228"/>
        <v>0</v>
      </c>
      <c r="S120" s="125">
        <f t="shared" si="228"/>
        <v>0</v>
      </c>
      <c r="T120" s="125">
        <f t="shared" si="228"/>
        <v>0</v>
      </c>
      <c r="U120" s="125">
        <f t="shared" si="228"/>
        <v>0</v>
      </c>
      <c r="V120" s="125">
        <f t="shared" si="228"/>
        <v>0</v>
      </c>
      <c r="W120" s="125">
        <f t="shared" ref="W120" si="229">IF(W19=0,0,W19/W$15)</f>
        <v>0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0</v>
      </c>
      <c r="G121" s="126">
        <f t="shared" si="219"/>
        <v>0</v>
      </c>
      <c r="H121" s="126">
        <f t="shared" si="219"/>
        <v>0</v>
      </c>
      <c r="I121" s="126">
        <f t="shared" si="219"/>
        <v>0</v>
      </c>
      <c r="J121" s="126">
        <f t="shared" si="219"/>
        <v>0</v>
      </c>
      <c r="K121" s="126">
        <f t="shared" ref="K121:V121" si="230">IF(K20=0,0,K20/K$15)</f>
        <v>0</v>
      </c>
      <c r="L121" s="126">
        <f t="shared" si="230"/>
        <v>0</v>
      </c>
      <c r="M121" s="126">
        <f t="shared" si="230"/>
        <v>0</v>
      </c>
      <c r="N121" s="126">
        <f t="shared" si="230"/>
        <v>0</v>
      </c>
      <c r="O121" s="126">
        <f t="shared" si="230"/>
        <v>0</v>
      </c>
      <c r="P121" s="126">
        <f t="shared" si="230"/>
        <v>0</v>
      </c>
      <c r="Q121" s="126">
        <f t="shared" si="230"/>
        <v>0</v>
      </c>
      <c r="R121" s="126">
        <f t="shared" si="230"/>
        <v>0</v>
      </c>
      <c r="S121" s="126">
        <f t="shared" si="230"/>
        <v>0</v>
      </c>
      <c r="T121" s="126">
        <f t="shared" si="230"/>
        <v>0</v>
      </c>
      <c r="U121" s="126">
        <f t="shared" si="230"/>
        <v>0</v>
      </c>
      <c r="V121" s="126">
        <f t="shared" si="230"/>
        <v>0</v>
      </c>
      <c r="W121" s="126">
        <f t="shared" ref="W121" si="231">IF(W20=0,0,W20/W$15)</f>
        <v>0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0</v>
      </c>
      <c r="C122" s="31">
        <f t="shared" si="232"/>
        <v>0</v>
      </c>
      <c r="D122" s="31">
        <f t="shared" si="232"/>
        <v>0</v>
      </c>
      <c r="E122" s="31">
        <f t="shared" si="232"/>
        <v>0</v>
      </c>
      <c r="F122" s="31">
        <f t="shared" si="232"/>
        <v>0</v>
      </c>
      <c r="G122" s="31">
        <f t="shared" si="232"/>
        <v>0</v>
      </c>
      <c r="H122" s="31">
        <f t="shared" si="232"/>
        <v>0</v>
      </c>
      <c r="I122" s="31">
        <f t="shared" si="232"/>
        <v>0</v>
      </c>
      <c r="J122" s="31">
        <f t="shared" si="232"/>
        <v>0</v>
      </c>
      <c r="K122" s="31">
        <f t="shared" ref="K122:V122" si="233">IF(K21=0,0,K21/K$21)</f>
        <v>0</v>
      </c>
      <c r="L122" s="31">
        <f t="shared" si="233"/>
        <v>0</v>
      </c>
      <c r="M122" s="31">
        <f t="shared" si="233"/>
        <v>0</v>
      </c>
      <c r="N122" s="31">
        <f t="shared" si="233"/>
        <v>0</v>
      </c>
      <c r="O122" s="31">
        <f t="shared" si="233"/>
        <v>0</v>
      </c>
      <c r="P122" s="31">
        <f t="shared" si="233"/>
        <v>0</v>
      </c>
      <c r="Q122" s="31">
        <f t="shared" si="233"/>
        <v>0</v>
      </c>
      <c r="R122" s="31">
        <f t="shared" si="233"/>
        <v>0</v>
      </c>
      <c r="S122" s="31">
        <f t="shared" si="233"/>
        <v>0</v>
      </c>
      <c r="T122" s="31">
        <f t="shared" si="233"/>
        <v>0</v>
      </c>
      <c r="U122" s="31">
        <f t="shared" si="233"/>
        <v>0</v>
      </c>
      <c r="V122" s="31">
        <f t="shared" si="233"/>
        <v>0</v>
      </c>
      <c r="W122" s="31">
        <f t="shared" ref="W122" si="234">IF(W21=0,0,W21/W$21)</f>
        <v>0</v>
      </c>
      <c r="DA122" s="173"/>
    </row>
    <row r="123" spans="1:105" ht="11.45" customHeight="1" x14ac:dyDescent="0.25">
      <c r="A123" s="83" t="s">
        <v>92</v>
      </c>
      <c r="B123" s="125">
        <f t="shared" si="232"/>
        <v>0</v>
      </c>
      <c r="C123" s="125">
        <f t="shared" si="232"/>
        <v>0</v>
      </c>
      <c r="D123" s="125">
        <f t="shared" si="232"/>
        <v>0</v>
      </c>
      <c r="E123" s="125">
        <f t="shared" si="232"/>
        <v>0</v>
      </c>
      <c r="F123" s="125">
        <f t="shared" si="232"/>
        <v>0</v>
      </c>
      <c r="G123" s="125">
        <f t="shared" si="232"/>
        <v>0</v>
      </c>
      <c r="H123" s="125">
        <f t="shared" si="232"/>
        <v>0</v>
      </c>
      <c r="I123" s="125">
        <f t="shared" si="232"/>
        <v>0</v>
      </c>
      <c r="J123" s="125">
        <f t="shared" si="232"/>
        <v>0</v>
      </c>
      <c r="K123" s="125">
        <f t="shared" ref="K123:V123" si="235">IF(K22=0,0,K22/K$21)</f>
        <v>0</v>
      </c>
      <c r="L123" s="125">
        <f t="shared" si="235"/>
        <v>0</v>
      </c>
      <c r="M123" s="125">
        <f t="shared" si="235"/>
        <v>0</v>
      </c>
      <c r="N123" s="125">
        <f t="shared" si="235"/>
        <v>0</v>
      </c>
      <c r="O123" s="125">
        <f t="shared" si="235"/>
        <v>0</v>
      </c>
      <c r="P123" s="125">
        <f t="shared" si="235"/>
        <v>0</v>
      </c>
      <c r="Q123" s="125">
        <f t="shared" si="235"/>
        <v>0</v>
      </c>
      <c r="R123" s="125">
        <f t="shared" si="235"/>
        <v>0</v>
      </c>
      <c r="S123" s="125">
        <f t="shared" si="235"/>
        <v>0</v>
      </c>
      <c r="T123" s="125">
        <f t="shared" si="235"/>
        <v>0</v>
      </c>
      <c r="U123" s="125">
        <f t="shared" si="235"/>
        <v>0</v>
      </c>
      <c r="V123" s="125">
        <f t="shared" si="235"/>
        <v>0</v>
      </c>
      <c r="W123" s="125">
        <f t="shared" ref="W123" si="236">IF(W22=0,0,W22/W$21)</f>
        <v>0</v>
      </c>
      <c r="DA123" s="171"/>
    </row>
    <row r="124" spans="1:105" ht="11.45" customHeight="1" x14ac:dyDescent="0.25">
      <c r="A124" s="85" t="s">
        <v>93</v>
      </c>
      <c r="B124" s="127">
        <f t="shared" si="232"/>
        <v>0</v>
      </c>
      <c r="C124" s="127">
        <f t="shared" si="232"/>
        <v>0</v>
      </c>
      <c r="D124" s="127">
        <f t="shared" si="232"/>
        <v>0</v>
      </c>
      <c r="E124" s="127">
        <f t="shared" si="232"/>
        <v>0</v>
      </c>
      <c r="F124" s="127">
        <f t="shared" si="232"/>
        <v>0</v>
      </c>
      <c r="G124" s="127">
        <f t="shared" si="232"/>
        <v>0</v>
      </c>
      <c r="H124" s="127">
        <f t="shared" si="232"/>
        <v>0</v>
      </c>
      <c r="I124" s="127">
        <f t="shared" si="232"/>
        <v>0</v>
      </c>
      <c r="J124" s="127">
        <f t="shared" si="232"/>
        <v>0</v>
      </c>
      <c r="K124" s="127">
        <f t="shared" ref="K124:V124" si="237">IF(K23=0,0,K23/K$21)</f>
        <v>0</v>
      </c>
      <c r="L124" s="127">
        <f t="shared" si="237"/>
        <v>0</v>
      </c>
      <c r="M124" s="127">
        <f t="shared" si="237"/>
        <v>0</v>
      </c>
      <c r="N124" s="127">
        <f t="shared" si="237"/>
        <v>0</v>
      </c>
      <c r="O124" s="127">
        <f t="shared" si="237"/>
        <v>0</v>
      </c>
      <c r="P124" s="127">
        <f t="shared" si="237"/>
        <v>0</v>
      </c>
      <c r="Q124" s="127">
        <f t="shared" si="237"/>
        <v>0</v>
      </c>
      <c r="R124" s="127">
        <f t="shared" si="237"/>
        <v>0</v>
      </c>
      <c r="S124" s="127">
        <f t="shared" si="237"/>
        <v>0</v>
      </c>
      <c r="T124" s="127">
        <f t="shared" si="237"/>
        <v>0</v>
      </c>
      <c r="U124" s="127">
        <f t="shared" si="237"/>
        <v>0</v>
      </c>
      <c r="V124" s="127">
        <f t="shared" si="237"/>
        <v>0</v>
      </c>
      <c r="W124" s="127">
        <f t="shared" ref="W124" si="238">IF(W23=0,0,W23/W$21)</f>
        <v>0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0</v>
      </c>
      <c r="C4" s="146">
        <f t="shared" ref="C4:V4" si="0">SUM(C5,C8)</f>
        <v>0</v>
      </c>
      <c r="D4" s="146">
        <f t="shared" si="0"/>
        <v>0</v>
      </c>
      <c r="E4" s="146">
        <f t="shared" si="0"/>
        <v>0</v>
      </c>
      <c r="F4" s="146">
        <f t="shared" si="0"/>
        <v>0</v>
      </c>
      <c r="G4" s="146">
        <f t="shared" si="0"/>
        <v>0</v>
      </c>
      <c r="H4" s="146">
        <f t="shared" si="0"/>
        <v>0</v>
      </c>
      <c r="I4" s="146">
        <f t="shared" si="0"/>
        <v>0</v>
      </c>
      <c r="J4" s="146">
        <f t="shared" si="0"/>
        <v>0</v>
      </c>
      <c r="K4" s="146">
        <f t="shared" si="0"/>
        <v>0</v>
      </c>
      <c r="L4" s="146">
        <f t="shared" si="0"/>
        <v>0</v>
      </c>
      <c r="M4" s="146">
        <f t="shared" si="0"/>
        <v>0</v>
      </c>
      <c r="N4" s="146">
        <f t="shared" si="0"/>
        <v>0</v>
      </c>
      <c r="O4" s="146">
        <f t="shared" si="0"/>
        <v>0</v>
      </c>
      <c r="P4" s="146">
        <f t="shared" si="0"/>
        <v>0</v>
      </c>
      <c r="Q4" s="146">
        <f t="shared" si="0"/>
        <v>0</v>
      </c>
      <c r="R4" s="146">
        <f t="shared" si="0"/>
        <v>0</v>
      </c>
      <c r="S4" s="146">
        <f t="shared" si="0"/>
        <v>0</v>
      </c>
      <c r="T4" s="146">
        <f t="shared" si="0"/>
        <v>0</v>
      </c>
      <c r="U4" s="146">
        <f t="shared" si="0"/>
        <v>0</v>
      </c>
      <c r="V4" s="146">
        <f t="shared" si="0"/>
        <v>0</v>
      </c>
      <c r="W4" s="146">
        <f t="shared" ref="W4" si="1">SUM(W5,W8)</f>
        <v>0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0</v>
      </c>
      <c r="C5" s="101">
        <f t="shared" ref="C5:V5" si="2">SUM(C6:C7)</f>
        <v>0</v>
      </c>
      <c r="D5" s="101">
        <f t="shared" si="2"/>
        <v>0</v>
      </c>
      <c r="E5" s="101">
        <f t="shared" si="2"/>
        <v>0</v>
      </c>
      <c r="F5" s="101">
        <f t="shared" si="2"/>
        <v>0</v>
      </c>
      <c r="G5" s="101">
        <f t="shared" si="2"/>
        <v>0</v>
      </c>
      <c r="H5" s="101">
        <f t="shared" si="2"/>
        <v>0</v>
      </c>
      <c r="I5" s="101">
        <f t="shared" si="2"/>
        <v>0</v>
      </c>
      <c r="J5" s="101">
        <f t="shared" si="2"/>
        <v>0</v>
      </c>
      <c r="K5" s="101">
        <f t="shared" si="2"/>
        <v>0</v>
      </c>
      <c r="L5" s="101">
        <f t="shared" si="2"/>
        <v>0</v>
      </c>
      <c r="M5" s="101">
        <f t="shared" si="2"/>
        <v>0</v>
      </c>
      <c r="N5" s="101">
        <f t="shared" si="2"/>
        <v>0</v>
      </c>
      <c r="O5" s="101">
        <f t="shared" si="2"/>
        <v>0</v>
      </c>
      <c r="P5" s="101">
        <f t="shared" si="2"/>
        <v>0</v>
      </c>
      <c r="Q5" s="101">
        <f t="shared" si="2"/>
        <v>0</v>
      </c>
      <c r="R5" s="101">
        <f t="shared" si="2"/>
        <v>0</v>
      </c>
      <c r="S5" s="101">
        <f t="shared" si="2"/>
        <v>0</v>
      </c>
      <c r="T5" s="101">
        <f t="shared" si="2"/>
        <v>0</v>
      </c>
      <c r="U5" s="101">
        <f t="shared" si="2"/>
        <v>0</v>
      </c>
      <c r="V5" s="101">
        <f t="shared" si="2"/>
        <v>0</v>
      </c>
      <c r="W5" s="101">
        <f t="shared" ref="W5" si="3">SUM(W6:W7)</f>
        <v>0</v>
      </c>
      <c r="DA5" s="175"/>
    </row>
    <row r="6" spans="1:105" ht="11.45" customHeight="1" x14ac:dyDescent="0.25">
      <c r="A6" s="164" t="s">
        <v>182</v>
      </c>
      <c r="B6" s="165">
        <v>0</v>
      </c>
      <c r="C6" s="165">
        <v>0</v>
      </c>
      <c r="D6" s="165">
        <v>0</v>
      </c>
      <c r="E6" s="165">
        <v>0</v>
      </c>
      <c r="F6" s="165">
        <v>0</v>
      </c>
      <c r="G6" s="165">
        <v>0</v>
      </c>
      <c r="H6" s="165">
        <v>0</v>
      </c>
      <c r="I6" s="165">
        <v>0</v>
      </c>
      <c r="J6" s="165">
        <v>0</v>
      </c>
      <c r="K6" s="165">
        <v>0</v>
      </c>
      <c r="L6" s="165">
        <v>0</v>
      </c>
      <c r="M6" s="165">
        <v>0</v>
      </c>
      <c r="N6" s="165">
        <v>0</v>
      </c>
      <c r="O6" s="165">
        <v>0</v>
      </c>
      <c r="P6" s="165">
        <v>0</v>
      </c>
      <c r="Q6" s="165">
        <v>0</v>
      </c>
      <c r="R6" s="165">
        <v>0</v>
      </c>
      <c r="S6" s="165">
        <v>0</v>
      </c>
      <c r="T6" s="165">
        <v>0</v>
      </c>
      <c r="U6" s="165">
        <v>0</v>
      </c>
      <c r="V6" s="165">
        <v>0</v>
      </c>
      <c r="W6" s="165">
        <v>0</v>
      </c>
      <c r="DA6" s="207" t="s">
        <v>1102</v>
      </c>
    </row>
    <row r="7" spans="1:105" ht="11.45" customHeight="1" x14ac:dyDescent="0.25">
      <c r="A7" s="166" t="s">
        <v>183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DA7" s="177" t="s">
        <v>1103</v>
      </c>
    </row>
    <row r="8" spans="1:105" ht="11.45" customHeight="1" x14ac:dyDescent="0.25">
      <c r="A8" s="85" t="s">
        <v>91</v>
      </c>
      <c r="B8" s="88">
        <v>0</v>
      </c>
      <c r="C8" s="88">
        <v>0</v>
      </c>
      <c r="D8" s="88">
        <v>0</v>
      </c>
      <c r="E8" s="88">
        <v>0</v>
      </c>
      <c r="F8" s="88">
        <v>0</v>
      </c>
      <c r="G8" s="88">
        <v>0</v>
      </c>
      <c r="H8" s="88">
        <v>0</v>
      </c>
      <c r="I8" s="88">
        <v>0</v>
      </c>
      <c r="J8" s="88">
        <v>0</v>
      </c>
      <c r="K8" s="88">
        <v>0</v>
      </c>
      <c r="L8" s="88">
        <v>0</v>
      </c>
      <c r="M8" s="88">
        <v>0</v>
      </c>
      <c r="N8" s="88">
        <v>0</v>
      </c>
      <c r="O8" s="88">
        <v>0</v>
      </c>
      <c r="P8" s="88">
        <v>0</v>
      </c>
      <c r="Q8" s="88">
        <v>0</v>
      </c>
      <c r="R8" s="88">
        <v>0</v>
      </c>
      <c r="S8" s="88">
        <v>0</v>
      </c>
      <c r="T8" s="88">
        <v>0</v>
      </c>
      <c r="U8" s="88">
        <v>0</v>
      </c>
      <c r="V8" s="88">
        <v>0</v>
      </c>
      <c r="W8" s="88">
        <v>0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0</v>
      </c>
      <c r="C10" s="62">
        <f t="shared" ref="C10:V10" si="5">SUM(C11,C17)</f>
        <v>0</v>
      </c>
      <c r="D10" s="62">
        <f t="shared" si="5"/>
        <v>0</v>
      </c>
      <c r="E10" s="62">
        <f t="shared" si="5"/>
        <v>0</v>
      </c>
      <c r="F10" s="62">
        <f t="shared" si="5"/>
        <v>0</v>
      </c>
      <c r="G10" s="62">
        <f t="shared" si="5"/>
        <v>0</v>
      </c>
      <c r="H10" s="62">
        <f t="shared" si="5"/>
        <v>0</v>
      </c>
      <c r="I10" s="62">
        <f t="shared" si="5"/>
        <v>0</v>
      </c>
      <c r="J10" s="62">
        <f t="shared" si="5"/>
        <v>0</v>
      </c>
      <c r="K10" s="62">
        <f t="shared" si="5"/>
        <v>0</v>
      </c>
      <c r="L10" s="62">
        <f t="shared" si="5"/>
        <v>0</v>
      </c>
      <c r="M10" s="62">
        <f t="shared" si="5"/>
        <v>0</v>
      </c>
      <c r="N10" s="62">
        <f t="shared" si="5"/>
        <v>0</v>
      </c>
      <c r="O10" s="62">
        <f t="shared" si="5"/>
        <v>0</v>
      </c>
      <c r="P10" s="62">
        <f t="shared" si="5"/>
        <v>0</v>
      </c>
      <c r="Q10" s="62">
        <f t="shared" si="5"/>
        <v>0</v>
      </c>
      <c r="R10" s="62">
        <f t="shared" si="5"/>
        <v>0</v>
      </c>
      <c r="S10" s="62">
        <f t="shared" si="5"/>
        <v>0</v>
      </c>
      <c r="T10" s="62">
        <f t="shared" si="5"/>
        <v>0</v>
      </c>
      <c r="U10" s="62">
        <f t="shared" si="5"/>
        <v>0</v>
      </c>
      <c r="V10" s="62">
        <f t="shared" si="5"/>
        <v>0</v>
      </c>
      <c r="W10" s="62">
        <f t="shared" ref="W10" si="6">SUM(W11,W17)</f>
        <v>0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0</v>
      </c>
      <c r="C11" s="29">
        <f t="shared" ref="C11:V11" si="8">SUM(C12,C13,C16)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" si="9">SUM(W12,W13,W16)</f>
        <v>0</v>
      </c>
      <c r="DA11" s="173" t="s">
        <v>394</v>
      </c>
    </row>
    <row r="12" spans="1:105" ht="11.45" customHeight="1" x14ac:dyDescent="0.25">
      <c r="A12" s="107" t="s">
        <v>23</v>
      </c>
      <c r="B12" s="115">
        <v>0</v>
      </c>
      <c r="C12" s="115">
        <v>0</v>
      </c>
      <c r="D12" s="115">
        <v>0</v>
      </c>
      <c r="E12" s="115">
        <v>0</v>
      </c>
      <c r="F12" s="115">
        <v>0</v>
      </c>
      <c r="G12" s="115">
        <v>0</v>
      </c>
      <c r="H12" s="115">
        <v>0</v>
      </c>
      <c r="I12" s="115">
        <v>0</v>
      </c>
      <c r="J12" s="115">
        <v>0</v>
      </c>
      <c r="K12" s="115">
        <v>0</v>
      </c>
      <c r="L12" s="115">
        <v>0</v>
      </c>
      <c r="M12" s="115">
        <v>0</v>
      </c>
      <c r="N12" s="115">
        <v>0</v>
      </c>
      <c r="O12" s="115">
        <v>0</v>
      </c>
      <c r="P12" s="115">
        <v>0</v>
      </c>
      <c r="Q12" s="115">
        <v>0</v>
      </c>
      <c r="R12" s="115">
        <v>0</v>
      </c>
      <c r="S12" s="115">
        <v>0</v>
      </c>
      <c r="T12" s="115">
        <v>0</v>
      </c>
      <c r="U12" s="115">
        <v>0</v>
      </c>
      <c r="V12" s="115">
        <v>0</v>
      </c>
      <c r="W12" s="115">
        <v>0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0</v>
      </c>
      <c r="C13" s="116">
        <f t="shared" ref="C13:V13" si="11">SUM(C14:C15)</f>
        <v>0</v>
      </c>
      <c r="D13" s="116">
        <f t="shared" si="11"/>
        <v>0</v>
      </c>
      <c r="E13" s="116">
        <f t="shared" si="11"/>
        <v>0</v>
      </c>
      <c r="F13" s="116">
        <f t="shared" si="11"/>
        <v>0</v>
      </c>
      <c r="G13" s="116">
        <f t="shared" si="11"/>
        <v>0</v>
      </c>
      <c r="H13" s="116">
        <f t="shared" si="11"/>
        <v>0</v>
      </c>
      <c r="I13" s="116">
        <f t="shared" si="11"/>
        <v>0</v>
      </c>
      <c r="J13" s="116">
        <f t="shared" si="11"/>
        <v>0</v>
      </c>
      <c r="K13" s="116">
        <f t="shared" si="11"/>
        <v>0</v>
      </c>
      <c r="L13" s="116">
        <f t="shared" si="11"/>
        <v>0</v>
      </c>
      <c r="M13" s="116">
        <f t="shared" si="11"/>
        <v>0</v>
      </c>
      <c r="N13" s="116">
        <f t="shared" si="11"/>
        <v>0</v>
      </c>
      <c r="O13" s="116">
        <f t="shared" si="11"/>
        <v>0</v>
      </c>
      <c r="P13" s="116">
        <f t="shared" si="11"/>
        <v>0</v>
      </c>
      <c r="Q13" s="116">
        <f t="shared" si="11"/>
        <v>0</v>
      </c>
      <c r="R13" s="116">
        <f t="shared" si="11"/>
        <v>0</v>
      </c>
      <c r="S13" s="116">
        <f t="shared" si="11"/>
        <v>0</v>
      </c>
      <c r="T13" s="116">
        <f t="shared" si="11"/>
        <v>0</v>
      </c>
      <c r="U13" s="116">
        <f t="shared" si="11"/>
        <v>0</v>
      </c>
      <c r="V13" s="116">
        <f t="shared" si="11"/>
        <v>0</v>
      </c>
      <c r="W13" s="116">
        <f t="shared" ref="W13" si="12">SUM(W14:W15)</f>
        <v>0</v>
      </c>
      <c r="DA13" s="176" t="s">
        <v>396</v>
      </c>
    </row>
    <row r="14" spans="1:105" ht="11.45" customHeight="1" x14ac:dyDescent="0.25">
      <c r="A14" s="111" t="s">
        <v>95</v>
      </c>
      <c r="B14" s="87">
        <v>0</v>
      </c>
      <c r="C14" s="87">
        <v>0</v>
      </c>
      <c r="D14" s="87">
        <v>0</v>
      </c>
      <c r="E14" s="87">
        <v>0</v>
      </c>
      <c r="F14" s="87">
        <v>0</v>
      </c>
      <c r="G14" s="87">
        <v>0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  <c r="P14" s="87">
        <v>0</v>
      </c>
      <c r="Q14" s="87">
        <v>0</v>
      </c>
      <c r="R14" s="87">
        <v>0</v>
      </c>
      <c r="S14" s="87">
        <v>0</v>
      </c>
      <c r="T14" s="87">
        <v>0</v>
      </c>
      <c r="U14" s="87">
        <v>0</v>
      </c>
      <c r="V14" s="87">
        <v>0</v>
      </c>
      <c r="W14" s="87">
        <v>0</v>
      </c>
      <c r="DA14" s="171" t="s">
        <v>1106</v>
      </c>
    </row>
    <row r="15" spans="1:105" ht="11.45" customHeight="1" x14ac:dyDescent="0.25">
      <c r="A15" s="111" t="s">
        <v>93</v>
      </c>
      <c r="B15" s="87">
        <v>0</v>
      </c>
      <c r="C15" s="87">
        <v>0</v>
      </c>
      <c r="D15" s="87">
        <v>0</v>
      </c>
      <c r="E15" s="87">
        <v>0</v>
      </c>
      <c r="F15" s="87">
        <v>0</v>
      </c>
      <c r="G15" s="87">
        <v>0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  <c r="P15" s="87">
        <v>0</v>
      </c>
      <c r="Q15" s="87">
        <v>0</v>
      </c>
      <c r="R15" s="87">
        <v>0</v>
      </c>
      <c r="S15" s="87">
        <v>0</v>
      </c>
      <c r="T15" s="87">
        <v>0</v>
      </c>
      <c r="U15" s="87">
        <v>0</v>
      </c>
      <c r="V15" s="87">
        <v>0</v>
      </c>
      <c r="W15" s="87">
        <v>0</v>
      </c>
      <c r="DA15" s="171" t="s">
        <v>1107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  <c r="O16" s="117">
        <v>0</v>
      </c>
      <c r="P16" s="117">
        <v>0</v>
      </c>
      <c r="Q16" s="117">
        <v>0</v>
      </c>
      <c r="R16" s="117">
        <v>0</v>
      </c>
      <c r="S16" s="117">
        <v>0</v>
      </c>
      <c r="T16" s="117">
        <v>0</v>
      </c>
      <c r="U16" s="117">
        <v>0</v>
      </c>
      <c r="V16" s="117">
        <v>0</v>
      </c>
      <c r="W16" s="117">
        <v>0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0</v>
      </c>
      <c r="C17" s="29">
        <f t="shared" si="13"/>
        <v>0</v>
      </c>
      <c r="D17" s="29">
        <f t="shared" si="13"/>
        <v>0</v>
      </c>
      <c r="E17" s="29">
        <f t="shared" si="13"/>
        <v>0</v>
      </c>
      <c r="F17" s="29">
        <f t="shared" si="13"/>
        <v>0</v>
      </c>
      <c r="G17" s="29">
        <f t="shared" si="13"/>
        <v>0</v>
      </c>
      <c r="H17" s="29">
        <f t="shared" si="13"/>
        <v>0</v>
      </c>
      <c r="I17" s="29">
        <f t="shared" si="13"/>
        <v>0</v>
      </c>
      <c r="J17" s="29">
        <f t="shared" si="13"/>
        <v>0</v>
      </c>
      <c r="K17" s="29">
        <f t="shared" si="13"/>
        <v>0</v>
      </c>
      <c r="L17" s="29">
        <f t="shared" si="13"/>
        <v>0</v>
      </c>
      <c r="M17" s="29">
        <f t="shared" si="13"/>
        <v>0</v>
      </c>
      <c r="N17" s="29">
        <f t="shared" si="13"/>
        <v>0</v>
      </c>
      <c r="O17" s="29">
        <f t="shared" si="13"/>
        <v>0</v>
      </c>
      <c r="P17" s="29">
        <f t="shared" si="13"/>
        <v>0</v>
      </c>
      <c r="Q17" s="29">
        <f t="shared" si="13"/>
        <v>0</v>
      </c>
      <c r="R17" s="29">
        <f t="shared" si="13"/>
        <v>0</v>
      </c>
      <c r="S17" s="29">
        <f t="shared" si="13"/>
        <v>0</v>
      </c>
      <c r="T17" s="29">
        <f t="shared" si="13"/>
        <v>0</v>
      </c>
      <c r="U17" s="29">
        <f t="shared" si="13"/>
        <v>0</v>
      </c>
      <c r="V17" s="29">
        <f t="shared" si="13"/>
        <v>0</v>
      </c>
      <c r="W17" s="29">
        <f t="shared" si="13"/>
        <v>0</v>
      </c>
      <c r="DA17" s="173" t="s">
        <v>401</v>
      </c>
    </row>
    <row r="18" spans="1:105" ht="11.45" customHeight="1" x14ac:dyDescent="0.25">
      <c r="A18" s="83" t="s">
        <v>95</v>
      </c>
      <c r="B18" s="87">
        <v>0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0</v>
      </c>
      <c r="I18" s="87">
        <v>0</v>
      </c>
      <c r="J18" s="87">
        <v>0</v>
      </c>
      <c r="K18" s="87">
        <v>0</v>
      </c>
      <c r="L18" s="87">
        <v>0</v>
      </c>
      <c r="M18" s="87">
        <v>0</v>
      </c>
      <c r="N18" s="87">
        <v>0</v>
      </c>
      <c r="O18" s="87">
        <v>0</v>
      </c>
      <c r="P18" s="87">
        <v>0</v>
      </c>
      <c r="Q18" s="87">
        <v>0</v>
      </c>
      <c r="R18" s="87">
        <v>0</v>
      </c>
      <c r="S18" s="87">
        <v>0</v>
      </c>
      <c r="T18" s="87">
        <v>0</v>
      </c>
      <c r="U18" s="87">
        <v>0</v>
      </c>
      <c r="V18" s="87">
        <v>0</v>
      </c>
      <c r="W18" s="87">
        <v>0</v>
      </c>
      <c r="DA18" s="171" t="s">
        <v>1108</v>
      </c>
    </row>
    <row r="19" spans="1:105" ht="11.45" customHeight="1" x14ac:dyDescent="0.25">
      <c r="A19" s="85" t="s">
        <v>93</v>
      </c>
      <c r="B19" s="88">
        <v>0</v>
      </c>
      <c r="C19" s="88">
        <v>0</v>
      </c>
      <c r="D19" s="88">
        <v>0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0</v>
      </c>
      <c r="C23" s="62">
        <f>IF(C10=0,0,C10/TrRail_act!C14*100)</f>
        <v>0</v>
      </c>
      <c r="D23" s="62">
        <f>IF(D10=0,0,D10/TrRail_act!D14*100)</f>
        <v>0</v>
      </c>
      <c r="E23" s="62">
        <f>IF(E10=0,0,E10/TrRail_act!E14*100)</f>
        <v>0</v>
      </c>
      <c r="F23" s="62">
        <f>IF(F10=0,0,F10/TrRail_act!F14*100)</f>
        <v>0</v>
      </c>
      <c r="G23" s="62">
        <f>IF(G10=0,0,G10/TrRail_act!G14*100)</f>
        <v>0</v>
      </c>
      <c r="H23" s="62">
        <f>IF(H10=0,0,H10/TrRail_act!H14*100)</f>
        <v>0</v>
      </c>
      <c r="I23" s="62">
        <f>IF(I10=0,0,I10/TrRail_act!I14*100)</f>
        <v>0</v>
      </c>
      <c r="J23" s="62">
        <f>IF(J10=0,0,J10/TrRail_act!J14*100)</f>
        <v>0</v>
      </c>
      <c r="K23" s="62">
        <f>IF(K10=0,0,K10/TrRail_act!K14*100)</f>
        <v>0</v>
      </c>
      <c r="L23" s="62">
        <f>IF(L10=0,0,L10/TrRail_act!L14*100)</f>
        <v>0</v>
      </c>
      <c r="M23" s="62">
        <f>IF(M10=0,0,M10/TrRail_act!M14*100)</f>
        <v>0</v>
      </c>
      <c r="N23" s="62">
        <f>IF(N10=0,0,N10/TrRail_act!N14*100)</f>
        <v>0</v>
      </c>
      <c r="O23" s="62">
        <f>IF(O10=0,0,O10/TrRail_act!O14*100)</f>
        <v>0</v>
      </c>
      <c r="P23" s="62">
        <f>IF(P10=0,0,P10/TrRail_act!P14*100)</f>
        <v>0</v>
      </c>
      <c r="Q23" s="62">
        <f>IF(Q10=0,0,Q10/TrRail_act!Q14*100)</f>
        <v>0</v>
      </c>
      <c r="R23" s="62">
        <f>IF(R10=0,0,R10/TrRail_act!R14*100)</f>
        <v>0</v>
      </c>
      <c r="S23" s="62">
        <f>IF(S10=0,0,S10/TrRail_act!S14*100)</f>
        <v>0</v>
      </c>
      <c r="T23" s="62">
        <f>IF(T10=0,0,T10/TrRail_act!T14*100)</f>
        <v>0</v>
      </c>
      <c r="U23" s="62">
        <f>IF(U10=0,0,U10/TrRail_act!U14*100)</f>
        <v>0</v>
      </c>
      <c r="V23" s="62">
        <f>IF(V10=0,0,V10/TrRail_act!V14*100)</f>
        <v>0</v>
      </c>
      <c r="W23" s="62">
        <f>IF(W10=0,0,W10/TrRail_act!W14*100)</f>
        <v>0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0</v>
      </c>
      <c r="C24" s="29">
        <f>IF(C11=0,0,C11/TrRail_act!C15*100)</f>
        <v>0</v>
      </c>
      <c r="D24" s="29">
        <f>IF(D11=0,0,D11/TrRail_act!D15*100)</f>
        <v>0</v>
      </c>
      <c r="E24" s="29">
        <f>IF(E11=0,0,E11/TrRail_act!E15*100)</f>
        <v>0</v>
      </c>
      <c r="F24" s="29">
        <f>IF(F11=0,0,F11/TrRail_act!F15*100)</f>
        <v>0</v>
      </c>
      <c r="G24" s="29">
        <f>IF(G11=0,0,G11/TrRail_act!G15*100)</f>
        <v>0</v>
      </c>
      <c r="H24" s="29">
        <f>IF(H11=0,0,H11/TrRail_act!H15*100)</f>
        <v>0</v>
      </c>
      <c r="I24" s="29">
        <f>IF(I11=0,0,I11/TrRail_act!I15*100)</f>
        <v>0</v>
      </c>
      <c r="J24" s="29">
        <f>IF(J11=0,0,J11/TrRail_act!J15*100)</f>
        <v>0</v>
      </c>
      <c r="K24" s="29">
        <f>IF(K11=0,0,K11/TrRail_act!K15*100)</f>
        <v>0</v>
      </c>
      <c r="L24" s="29">
        <f>IF(L11=0,0,L11/TrRail_act!L15*100)</f>
        <v>0</v>
      </c>
      <c r="M24" s="29">
        <f>IF(M11=0,0,M11/TrRail_act!M15*100)</f>
        <v>0</v>
      </c>
      <c r="N24" s="29">
        <f>IF(N11=0,0,N11/TrRail_act!N15*100)</f>
        <v>0</v>
      </c>
      <c r="O24" s="29">
        <f>IF(O11=0,0,O11/TrRail_act!O15*100)</f>
        <v>0</v>
      </c>
      <c r="P24" s="29">
        <f>IF(P11=0,0,P11/TrRail_act!P15*100)</f>
        <v>0</v>
      </c>
      <c r="Q24" s="29">
        <f>IF(Q11=0,0,Q11/TrRail_act!Q15*100)</f>
        <v>0</v>
      </c>
      <c r="R24" s="29">
        <f>IF(R11=0,0,R11/TrRail_act!R15*100)</f>
        <v>0</v>
      </c>
      <c r="S24" s="29">
        <f>IF(S11=0,0,S11/TrRail_act!S15*100)</f>
        <v>0</v>
      </c>
      <c r="T24" s="29">
        <f>IF(T11=0,0,T11/TrRail_act!T15*100)</f>
        <v>0</v>
      </c>
      <c r="U24" s="29">
        <f>IF(U11=0,0,U11/TrRail_act!U15*100)</f>
        <v>0</v>
      </c>
      <c r="V24" s="29">
        <f>IF(V11=0,0,V11/TrRail_act!V15*100)</f>
        <v>0</v>
      </c>
      <c r="W24" s="29">
        <f>IF(W11=0,0,W11/TrRail_act!W15*100)</f>
        <v>0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0</v>
      </c>
      <c r="C25" s="115">
        <f>IF(C12=0,0,C12/TrRail_act!C16*100)</f>
        <v>0</v>
      </c>
      <c r="D25" s="115">
        <f>IF(D12=0,0,D12/TrRail_act!D16*100)</f>
        <v>0</v>
      </c>
      <c r="E25" s="115">
        <f>IF(E12=0,0,E12/TrRail_act!E16*100)</f>
        <v>0</v>
      </c>
      <c r="F25" s="115">
        <f>IF(F12=0,0,F12/TrRail_act!F16*100)</f>
        <v>0</v>
      </c>
      <c r="G25" s="115">
        <f>IF(G12=0,0,G12/TrRail_act!G16*100)</f>
        <v>0</v>
      </c>
      <c r="H25" s="115">
        <f>IF(H12=0,0,H12/TrRail_act!H16*100)</f>
        <v>0</v>
      </c>
      <c r="I25" s="115">
        <f>IF(I12=0,0,I12/TrRail_act!I16*100)</f>
        <v>0</v>
      </c>
      <c r="J25" s="115">
        <f>IF(J12=0,0,J12/TrRail_act!J16*100)</f>
        <v>0</v>
      </c>
      <c r="K25" s="115">
        <f>IF(K12=0,0,K12/TrRail_act!K16*100)</f>
        <v>0</v>
      </c>
      <c r="L25" s="115">
        <f>IF(L12=0,0,L12/TrRail_act!L16*100)</f>
        <v>0</v>
      </c>
      <c r="M25" s="115">
        <f>IF(M12=0,0,M12/TrRail_act!M16*100)</f>
        <v>0</v>
      </c>
      <c r="N25" s="115">
        <f>IF(N12=0,0,N12/TrRail_act!N16*100)</f>
        <v>0</v>
      </c>
      <c r="O25" s="115">
        <f>IF(O12=0,0,O12/TrRail_act!O16*100)</f>
        <v>0</v>
      </c>
      <c r="P25" s="115">
        <f>IF(P12=0,0,P12/TrRail_act!P16*100)</f>
        <v>0</v>
      </c>
      <c r="Q25" s="115">
        <f>IF(Q12=0,0,Q12/TrRail_act!Q16*100)</f>
        <v>0</v>
      </c>
      <c r="R25" s="115">
        <f>IF(R12=0,0,R12/TrRail_act!R16*100)</f>
        <v>0</v>
      </c>
      <c r="S25" s="115">
        <f>IF(S12=0,0,S12/TrRail_act!S16*100)</f>
        <v>0</v>
      </c>
      <c r="T25" s="115">
        <f>IF(T12=0,0,T12/TrRail_act!T16*100)</f>
        <v>0</v>
      </c>
      <c r="U25" s="115">
        <f>IF(U12=0,0,U12/TrRail_act!U16*100)</f>
        <v>0</v>
      </c>
      <c r="V25" s="115">
        <f>IF(V12=0,0,V12/TrRail_act!V16*100)</f>
        <v>0</v>
      </c>
      <c r="W25" s="115">
        <f>IF(W12=0,0,W12/TrRail_act!W16*100)</f>
        <v>0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0</v>
      </c>
      <c r="C26" s="116">
        <f>IF(C13=0,0,C13/TrRail_act!C17*100)</f>
        <v>0</v>
      </c>
      <c r="D26" s="116">
        <f>IF(D13=0,0,D13/TrRail_act!D17*100)</f>
        <v>0</v>
      </c>
      <c r="E26" s="116">
        <f>IF(E13=0,0,E13/TrRail_act!E17*100)</f>
        <v>0</v>
      </c>
      <c r="F26" s="116">
        <f>IF(F13=0,0,F13/TrRail_act!F17*100)</f>
        <v>0</v>
      </c>
      <c r="G26" s="116">
        <f>IF(G13=0,0,G13/TrRail_act!G17*100)</f>
        <v>0</v>
      </c>
      <c r="H26" s="116">
        <f>IF(H13=0,0,H13/TrRail_act!H17*100)</f>
        <v>0</v>
      </c>
      <c r="I26" s="116">
        <f>IF(I13=0,0,I13/TrRail_act!I17*100)</f>
        <v>0</v>
      </c>
      <c r="J26" s="116">
        <f>IF(J13=0,0,J13/TrRail_act!J17*100)</f>
        <v>0</v>
      </c>
      <c r="K26" s="116">
        <f>IF(K13=0,0,K13/TrRail_act!K17*100)</f>
        <v>0</v>
      </c>
      <c r="L26" s="116">
        <f>IF(L13=0,0,L13/TrRail_act!L17*100)</f>
        <v>0</v>
      </c>
      <c r="M26" s="116">
        <f>IF(M13=0,0,M13/TrRail_act!M17*100)</f>
        <v>0</v>
      </c>
      <c r="N26" s="116">
        <f>IF(N13=0,0,N13/TrRail_act!N17*100)</f>
        <v>0</v>
      </c>
      <c r="O26" s="116">
        <f>IF(O13=0,0,O13/TrRail_act!O17*100)</f>
        <v>0</v>
      </c>
      <c r="P26" s="116">
        <f>IF(P13=0,0,P13/TrRail_act!P17*100)</f>
        <v>0</v>
      </c>
      <c r="Q26" s="116">
        <f>IF(Q13=0,0,Q13/TrRail_act!Q17*100)</f>
        <v>0</v>
      </c>
      <c r="R26" s="116">
        <f>IF(R13=0,0,R13/TrRail_act!R17*100)</f>
        <v>0</v>
      </c>
      <c r="S26" s="116">
        <f>IF(S13=0,0,S13/TrRail_act!S17*100)</f>
        <v>0</v>
      </c>
      <c r="T26" s="116">
        <f>IF(T13=0,0,T13/TrRail_act!T17*100)</f>
        <v>0</v>
      </c>
      <c r="U26" s="116">
        <f>IF(U13=0,0,U13/TrRail_act!U17*100)</f>
        <v>0</v>
      </c>
      <c r="V26" s="116">
        <f>IF(V13=0,0,V13/TrRail_act!V17*100)</f>
        <v>0</v>
      </c>
      <c r="W26" s="116">
        <f>IF(W13=0,0,W13/TrRail_act!W17*100)</f>
        <v>0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0</v>
      </c>
      <c r="C27" s="87">
        <f>IF(C14=0,0,C14/TrRail_act!C18*100)</f>
        <v>0</v>
      </c>
      <c r="D27" s="87">
        <f>IF(D14=0,0,D14/TrRail_act!D18*100)</f>
        <v>0</v>
      </c>
      <c r="E27" s="87">
        <f>IF(E14=0,0,E14/TrRail_act!E18*100)</f>
        <v>0</v>
      </c>
      <c r="F27" s="87">
        <f>IF(F14=0,0,F14/TrRail_act!F18*100)</f>
        <v>0</v>
      </c>
      <c r="G27" s="87">
        <f>IF(G14=0,0,G14/TrRail_act!G18*100)</f>
        <v>0</v>
      </c>
      <c r="H27" s="87">
        <f>IF(H14=0,0,H14/TrRail_act!H18*100)</f>
        <v>0</v>
      </c>
      <c r="I27" s="87">
        <f>IF(I14=0,0,I14/TrRail_act!I18*100)</f>
        <v>0</v>
      </c>
      <c r="J27" s="87">
        <f>IF(J14=0,0,J14/TrRail_act!J18*100)</f>
        <v>0</v>
      </c>
      <c r="K27" s="87">
        <f>IF(K14=0,0,K14/TrRail_act!K18*100)</f>
        <v>0</v>
      </c>
      <c r="L27" s="87">
        <f>IF(L14=0,0,L14/TrRail_act!L18*100)</f>
        <v>0</v>
      </c>
      <c r="M27" s="87">
        <f>IF(M14=0,0,M14/TrRail_act!M18*100)</f>
        <v>0</v>
      </c>
      <c r="N27" s="87">
        <f>IF(N14=0,0,N14/TrRail_act!N18*100)</f>
        <v>0</v>
      </c>
      <c r="O27" s="87">
        <f>IF(O14=0,0,O14/TrRail_act!O18*100)</f>
        <v>0</v>
      </c>
      <c r="P27" s="87">
        <f>IF(P14=0,0,P14/TrRail_act!P18*100)</f>
        <v>0</v>
      </c>
      <c r="Q27" s="87">
        <f>IF(Q14=0,0,Q14/TrRail_act!Q18*100)</f>
        <v>0</v>
      </c>
      <c r="R27" s="87">
        <f>IF(R14=0,0,R14/TrRail_act!R18*100)</f>
        <v>0</v>
      </c>
      <c r="S27" s="87">
        <f>IF(S14=0,0,S14/TrRail_act!S18*100)</f>
        <v>0</v>
      </c>
      <c r="T27" s="87">
        <f>IF(T14=0,0,T14/TrRail_act!T18*100)</f>
        <v>0</v>
      </c>
      <c r="U27" s="87">
        <f>IF(U14=0,0,U14/TrRail_act!U18*100)</f>
        <v>0</v>
      </c>
      <c r="V27" s="87">
        <f>IF(V14=0,0,V14/TrRail_act!V18*100)</f>
        <v>0</v>
      </c>
      <c r="W27" s="87">
        <f>IF(W14=0,0,W14/TrRail_act!W18*100)</f>
        <v>0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0</v>
      </c>
      <c r="C28" s="87">
        <f>IF(C15=0,0,C15/TrRail_act!C19*100)</f>
        <v>0</v>
      </c>
      <c r="D28" s="87">
        <f>IF(D15=0,0,D15/TrRail_act!D19*100)</f>
        <v>0</v>
      </c>
      <c r="E28" s="87">
        <f>IF(E15=0,0,E15/TrRail_act!E19*100)</f>
        <v>0</v>
      </c>
      <c r="F28" s="87">
        <f>IF(F15=0,0,F15/TrRail_act!F19*100)</f>
        <v>0</v>
      </c>
      <c r="G28" s="87">
        <f>IF(G15=0,0,G15/TrRail_act!G19*100)</f>
        <v>0</v>
      </c>
      <c r="H28" s="87">
        <f>IF(H15=0,0,H15/TrRail_act!H19*100)</f>
        <v>0</v>
      </c>
      <c r="I28" s="87">
        <f>IF(I15=0,0,I15/TrRail_act!I19*100)</f>
        <v>0</v>
      </c>
      <c r="J28" s="87">
        <f>IF(J15=0,0,J15/TrRail_act!J19*100)</f>
        <v>0</v>
      </c>
      <c r="K28" s="87">
        <f>IF(K15=0,0,K15/TrRail_act!K19*100)</f>
        <v>0</v>
      </c>
      <c r="L28" s="87">
        <f>IF(L15=0,0,L15/TrRail_act!L19*100)</f>
        <v>0</v>
      </c>
      <c r="M28" s="87">
        <f>IF(M15=0,0,M15/TrRail_act!M19*100)</f>
        <v>0</v>
      </c>
      <c r="N28" s="87">
        <f>IF(N15=0,0,N15/TrRail_act!N19*100)</f>
        <v>0</v>
      </c>
      <c r="O28" s="87">
        <f>IF(O15=0,0,O15/TrRail_act!O19*100)</f>
        <v>0</v>
      </c>
      <c r="P28" s="87">
        <f>IF(P15=0,0,P15/TrRail_act!P19*100)</f>
        <v>0</v>
      </c>
      <c r="Q28" s="87">
        <f>IF(Q15=0,0,Q15/TrRail_act!Q19*100)</f>
        <v>0</v>
      </c>
      <c r="R28" s="87">
        <f>IF(R15=0,0,R15/TrRail_act!R19*100)</f>
        <v>0</v>
      </c>
      <c r="S28" s="87">
        <f>IF(S15=0,0,S15/TrRail_act!S19*100)</f>
        <v>0</v>
      </c>
      <c r="T28" s="87">
        <f>IF(T15=0,0,T15/TrRail_act!T19*100)</f>
        <v>0</v>
      </c>
      <c r="U28" s="87">
        <f>IF(U15=0,0,U15/TrRail_act!U19*100)</f>
        <v>0</v>
      </c>
      <c r="V28" s="87">
        <f>IF(V15=0,0,V15/TrRail_act!V19*100)</f>
        <v>0</v>
      </c>
      <c r="W28" s="87">
        <f>IF(W15=0,0,W15/TrRail_act!W19*100)</f>
        <v>0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0</v>
      </c>
      <c r="G29" s="117">
        <f>IF(G16=0,0,G16/TrRail_act!G20*100)</f>
        <v>0</v>
      </c>
      <c r="H29" s="117">
        <f>IF(H16=0,0,H16/TrRail_act!H20*100)</f>
        <v>0</v>
      </c>
      <c r="I29" s="117">
        <f>IF(I16=0,0,I16/TrRail_act!I20*100)</f>
        <v>0</v>
      </c>
      <c r="J29" s="117">
        <f>IF(J16=0,0,J16/TrRail_act!J20*100)</f>
        <v>0</v>
      </c>
      <c r="K29" s="117">
        <f>IF(K16=0,0,K16/TrRail_act!K20*100)</f>
        <v>0</v>
      </c>
      <c r="L29" s="117">
        <f>IF(L16=0,0,L16/TrRail_act!L20*100)</f>
        <v>0</v>
      </c>
      <c r="M29" s="117">
        <f>IF(M16=0,0,M16/TrRail_act!M20*100)</f>
        <v>0</v>
      </c>
      <c r="N29" s="117">
        <f>IF(N16=0,0,N16/TrRail_act!N20*100)</f>
        <v>0</v>
      </c>
      <c r="O29" s="117">
        <f>IF(O16=0,0,O16/TrRail_act!O20*100)</f>
        <v>0</v>
      </c>
      <c r="P29" s="117">
        <f>IF(P16=0,0,P16/TrRail_act!P20*100)</f>
        <v>0</v>
      </c>
      <c r="Q29" s="117">
        <f>IF(Q16=0,0,Q16/TrRail_act!Q20*100)</f>
        <v>0</v>
      </c>
      <c r="R29" s="117">
        <f>IF(R16=0,0,R16/TrRail_act!R20*100)</f>
        <v>0</v>
      </c>
      <c r="S29" s="117">
        <f>IF(S16=0,0,S16/TrRail_act!S20*100)</f>
        <v>0</v>
      </c>
      <c r="T29" s="117">
        <f>IF(T16=0,0,T16/TrRail_act!T20*100)</f>
        <v>0</v>
      </c>
      <c r="U29" s="117">
        <f>IF(U16=0,0,U16/TrRail_act!U20*100)</f>
        <v>0</v>
      </c>
      <c r="V29" s="117">
        <f>IF(V16=0,0,V16/TrRail_act!V20*100)</f>
        <v>0</v>
      </c>
      <c r="W29" s="117">
        <f>IF(W16=0,0,W16/TrRail_act!W20*100)</f>
        <v>0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0</v>
      </c>
      <c r="C30" s="29">
        <f>IF(C17=0,0,C17/TrRail_act!C21*100)</f>
        <v>0</v>
      </c>
      <c r="D30" s="29">
        <f>IF(D17=0,0,D17/TrRail_act!D21*100)</f>
        <v>0</v>
      </c>
      <c r="E30" s="29">
        <f>IF(E17=0,0,E17/TrRail_act!E21*100)</f>
        <v>0</v>
      </c>
      <c r="F30" s="29">
        <f>IF(F17=0,0,F17/TrRail_act!F21*100)</f>
        <v>0</v>
      </c>
      <c r="G30" s="29">
        <f>IF(G17=0,0,G17/TrRail_act!G21*100)</f>
        <v>0</v>
      </c>
      <c r="H30" s="29">
        <f>IF(H17=0,0,H17/TrRail_act!H21*100)</f>
        <v>0</v>
      </c>
      <c r="I30" s="29">
        <f>IF(I17=0,0,I17/TrRail_act!I21*100)</f>
        <v>0</v>
      </c>
      <c r="J30" s="29">
        <f>IF(J17=0,0,J17/TrRail_act!J21*100)</f>
        <v>0</v>
      </c>
      <c r="K30" s="29">
        <f>IF(K17=0,0,K17/TrRail_act!K21*100)</f>
        <v>0</v>
      </c>
      <c r="L30" s="29">
        <f>IF(L17=0,0,L17/TrRail_act!L21*100)</f>
        <v>0</v>
      </c>
      <c r="M30" s="29">
        <f>IF(M17=0,0,M17/TrRail_act!M21*100)</f>
        <v>0</v>
      </c>
      <c r="N30" s="29">
        <f>IF(N17=0,0,N17/TrRail_act!N21*100)</f>
        <v>0</v>
      </c>
      <c r="O30" s="29">
        <f>IF(O17=0,0,O17/TrRail_act!O21*100)</f>
        <v>0</v>
      </c>
      <c r="P30" s="29">
        <f>IF(P17=0,0,P17/TrRail_act!P21*100)</f>
        <v>0</v>
      </c>
      <c r="Q30" s="29">
        <f>IF(Q17=0,0,Q17/TrRail_act!Q21*100)</f>
        <v>0</v>
      </c>
      <c r="R30" s="29">
        <f>IF(R17=0,0,R17/TrRail_act!R21*100)</f>
        <v>0</v>
      </c>
      <c r="S30" s="29">
        <f>IF(S17=0,0,S17/TrRail_act!S21*100)</f>
        <v>0</v>
      </c>
      <c r="T30" s="29">
        <f>IF(T17=0,0,T17/TrRail_act!T21*100)</f>
        <v>0</v>
      </c>
      <c r="U30" s="29">
        <f>IF(U17=0,0,U17/TrRail_act!U21*100)</f>
        <v>0</v>
      </c>
      <c r="V30" s="29">
        <f>IF(V17=0,0,V17/TrRail_act!V21*100)</f>
        <v>0</v>
      </c>
      <c r="W30" s="29">
        <f>IF(W17=0,0,W17/TrRail_act!W21*100)</f>
        <v>0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0</v>
      </c>
      <c r="C31" s="87">
        <f>IF(C18=0,0,C18/TrRail_act!C22*100)</f>
        <v>0</v>
      </c>
      <c r="D31" s="87">
        <f>IF(D18=0,0,D18/TrRail_act!D22*100)</f>
        <v>0</v>
      </c>
      <c r="E31" s="87">
        <f>IF(E18=0,0,E18/TrRail_act!E22*100)</f>
        <v>0</v>
      </c>
      <c r="F31" s="87">
        <f>IF(F18=0,0,F18/TrRail_act!F22*100)</f>
        <v>0</v>
      </c>
      <c r="G31" s="87">
        <f>IF(G18=0,0,G18/TrRail_act!G22*100)</f>
        <v>0</v>
      </c>
      <c r="H31" s="87">
        <f>IF(H18=0,0,H18/TrRail_act!H22*100)</f>
        <v>0</v>
      </c>
      <c r="I31" s="87">
        <f>IF(I18=0,0,I18/TrRail_act!I22*100)</f>
        <v>0</v>
      </c>
      <c r="J31" s="87">
        <f>IF(J18=0,0,J18/TrRail_act!J22*100)</f>
        <v>0</v>
      </c>
      <c r="K31" s="87">
        <f>IF(K18=0,0,K18/TrRail_act!K22*100)</f>
        <v>0</v>
      </c>
      <c r="L31" s="87">
        <f>IF(L18=0,0,L18/TrRail_act!L22*100)</f>
        <v>0</v>
      </c>
      <c r="M31" s="87">
        <f>IF(M18=0,0,M18/TrRail_act!M22*100)</f>
        <v>0</v>
      </c>
      <c r="N31" s="87">
        <f>IF(N18=0,0,N18/TrRail_act!N22*100)</f>
        <v>0</v>
      </c>
      <c r="O31" s="87">
        <f>IF(O18=0,0,O18/TrRail_act!O22*100)</f>
        <v>0</v>
      </c>
      <c r="P31" s="87">
        <f>IF(P18=0,0,P18/TrRail_act!P22*100)</f>
        <v>0</v>
      </c>
      <c r="Q31" s="87">
        <f>IF(Q18=0,0,Q18/TrRail_act!Q22*100)</f>
        <v>0</v>
      </c>
      <c r="R31" s="87">
        <f>IF(R18=0,0,R18/TrRail_act!R22*100)</f>
        <v>0</v>
      </c>
      <c r="S31" s="87">
        <f>IF(S18=0,0,S18/TrRail_act!S22*100)</f>
        <v>0</v>
      </c>
      <c r="T31" s="87">
        <f>IF(T18=0,0,T18/TrRail_act!T22*100)</f>
        <v>0</v>
      </c>
      <c r="U31" s="87">
        <f>IF(U18=0,0,U18/TrRail_act!U22*100)</f>
        <v>0</v>
      </c>
      <c r="V31" s="87">
        <f>IF(V18=0,0,V18/TrRail_act!V22*100)</f>
        <v>0</v>
      </c>
      <c r="W31" s="87">
        <f>IF(W18=0,0,W18/TrRail_act!W22*100)</f>
        <v>0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0</v>
      </c>
      <c r="C32" s="88">
        <f>IF(C19=0,0,C19/TrRail_act!C23*100)</f>
        <v>0</v>
      </c>
      <c r="D32" s="88">
        <f>IF(D19=0,0,D19/TrRail_act!D23*100)</f>
        <v>0</v>
      </c>
      <c r="E32" s="88">
        <f>IF(E19=0,0,E19/TrRail_act!E23*100)</f>
        <v>0</v>
      </c>
      <c r="F32" s="88">
        <f>IF(F19=0,0,F19/TrRail_act!F23*100)</f>
        <v>0</v>
      </c>
      <c r="G32" s="88">
        <f>IF(G19=0,0,G19/TrRail_act!G23*100)</f>
        <v>0</v>
      </c>
      <c r="H32" s="88">
        <f>IF(H19=0,0,H19/TrRail_act!H23*100)</f>
        <v>0</v>
      </c>
      <c r="I32" s="88">
        <f>IF(I19=0,0,I19/TrRail_act!I23*100)</f>
        <v>0</v>
      </c>
      <c r="J32" s="88">
        <f>IF(J19=0,0,J19/TrRail_act!J23*100)</f>
        <v>0</v>
      </c>
      <c r="K32" s="88">
        <f>IF(K19=0,0,K19/TrRail_act!K23*100)</f>
        <v>0</v>
      </c>
      <c r="L32" s="88">
        <f>IF(L19=0,0,L19/TrRail_act!L23*100)</f>
        <v>0</v>
      </c>
      <c r="M32" s="88">
        <f>IF(M19=0,0,M19/TrRail_act!M23*100)</f>
        <v>0</v>
      </c>
      <c r="N32" s="88">
        <f>IF(N19=0,0,N19/TrRail_act!N23*100)</f>
        <v>0</v>
      </c>
      <c r="O32" s="88">
        <f>IF(O19=0,0,O19/TrRail_act!O23*100)</f>
        <v>0</v>
      </c>
      <c r="P32" s="88">
        <f>IF(P19=0,0,P19/TrRail_act!P23*100)</f>
        <v>0</v>
      </c>
      <c r="Q32" s="88">
        <f>IF(Q19=0,0,Q19/TrRail_act!Q23*100)</f>
        <v>0</v>
      </c>
      <c r="R32" s="88">
        <f>IF(R19=0,0,R19/TrRail_act!R23*100)</f>
        <v>0</v>
      </c>
      <c r="S32" s="88">
        <f>IF(S19=0,0,S19/TrRail_act!S23*100)</f>
        <v>0</v>
      </c>
      <c r="T32" s="88">
        <f>IF(T19=0,0,T19/TrRail_act!T23*100)</f>
        <v>0</v>
      </c>
      <c r="U32" s="88">
        <f>IF(U19=0,0,U19/TrRail_act!U23*100)</f>
        <v>0</v>
      </c>
      <c r="V32" s="88">
        <f>IF(V19=0,0,V19/TrRail_act!V23*100)</f>
        <v>0</v>
      </c>
      <c r="W32" s="88">
        <f>IF(W19=0,0,W19/TrRail_act!W23*100)</f>
        <v>0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0</v>
      </c>
      <c r="C35" s="29">
        <f>IF(C11=0,0,C11/TrRail_act!C4*1000)</f>
        <v>0</v>
      </c>
      <c r="D35" s="29">
        <f>IF(D11=0,0,D11/TrRail_act!D4*1000)</f>
        <v>0</v>
      </c>
      <c r="E35" s="29">
        <f>IF(E11=0,0,E11/TrRail_act!E4*1000)</f>
        <v>0</v>
      </c>
      <c r="F35" s="29">
        <f>IF(F11=0,0,F11/TrRail_act!F4*1000)</f>
        <v>0</v>
      </c>
      <c r="G35" s="29">
        <f>IF(G11=0,0,G11/TrRail_act!G4*1000)</f>
        <v>0</v>
      </c>
      <c r="H35" s="29">
        <f>IF(H11=0,0,H11/TrRail_act!H4*1000)</f>
        <v>0</v>
      </c>
      <c r="I35" s="29">
        <f>IF(I11=0,0,I11/TrRail_act!I4*1000)</f>
        <v>0</v>
      </c>
      <c r="J35" s="29">
        <f>IF(J11=0,0,J11/TrRail_act!J4*1000)</f>
        <v>0</v>
      </c>
      <c r="K35" s="29">
        <f>IF(K11=0,0,K11/TrRail_act!K4*1000)</f>
        <v>0</v>
      </c>
      <c r="L35" s="29">
        <f>IF(L11=0,0,L11/TrRail_act!L4*1000)</f>
        <v>0</v>
      </c>
      <c r="M35" s="29">
        <f>IF(M11=0,0,M11/TrRail_act!M4*1000)</f>
        <v>0</v>
      </c>
      <c r="N35" s="29">
        <f>IF(N11=0,0,N11/TrRail_act!N4*1000)</f>
        <v>0</v>
      </c>
      <c r="O35" s="29">
        <f>IF(O11=0,0,O11/TrRail_act!O4*1000)</f>
        <v>0</v>
      </c>
      <c r="P35" s="29">
        <f>IF(P11=0,0,P11/TrRail_act!P4*1000)</f>
        <v>0</v>
      </c>
      <c r="Q35" s="29">
        <f>IF(Q11=0,0,Q11/TrRail_act!Q4*1000)</f>
        <v>0</v>
      </c>
      <c r="R35" s="29">
        <f>IF(R11=0,0,R11/TrRail_act!R4*1000)</f>
        <v>0</v>
      </c>
      <c r="S35" s="29">
        <f>IF(S11=0,0,S11/TrRail_act!S4*1000)</f>
        <v>0</v>
      </c>
      <c r="T35" s="29">
        <f>IF(T11=0,0,T11/TrRail_act!T4*1000)</f>
        <v>0</v>
      </c>
      <c r="U35" s="29">
        <f>IF(U11=0,0,U11/TrRail_act!U4*1000)</f>
        <v>0</v>
      </c>
      <c r="V35" s="29">
        <f>IF(V11=0,0,V11/TrRail_act!V4*1000)</f>
        <v>0</v>
      </c>
      <c r="W35" s="29">
        <f>IF(W11=0,0,W11/TrRail_act!W4*1000)</f>
        <v>0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0</v>
      </c>
      <c r="C36" s="115">
        <f>IF(C12=0,0,C12/TrRail_act!C5*1000)</f>
        <v>0</v>
      </c>
      <c r="D36" s="115">
        <f>IF(D12=0,0,D12/TrRail_act!D5*1000)</f>
        <v>0</v>
      </c>
      <c r="E36" s="115">
        <f>IF(E12=0,0,E12/TrRail_act!E5*1000)</f>
        <v>0</v>
      </c>
      <c r="F36" s="115">
        <f>IF(F12=0,0,F12/TrRail_act!F5*1000)</f>
        <v>0</v>
      </c>
      <c r="G36" s="115">
        <f>IF(G12=0,0,G12/TrRail_act!G5*1000)</f>
        <v>0</v>
      </c>
      <c r="H36" s="115">
        <f>IF(H12=0,0,H12/TrRail_act!H5*1000)</f>
        <v>0</v>
      </c>
      <c r="I36" s="115">
        <f>IF(I12=0,0,I12/TrRail_act!I5*1000)</f>
        <v>0</v>
      </c>
      <c r="J36" s="115">
        <f>IF(J12=0,0,J12/TrRail_act!J5*1000)</f>
        <v>0</v>
      </c>
      <c r="K36" s="115">
        <f>IF(K12=0,0,K12/TrRail_act!K5*1000)</f>
        <v>0</v>
      </c>
      <c r="L36" s="115">
        <f>IF(L12=0,0,L12/TrRail_act!L5*1000)</f>
        <v>0</v>
      </c>
      <c r="M36" s="115">
        <f>IF(M12=0,0,M12/TrRail_act!M5*1000)</f>
        <v>0</v>
      </c>
      <c r="N36" s="115">
        <f>IF(N12=0,0,N12/TrRail_act!N5*1000)</f>
        <v>0</v>
      </c>
      <c r="O36" s="115">
        <f>IF(O12=0,0,O12/TrRail_act!O5*1000)</f>
        <v>0</v>
      </c>
      <c r="P36" s="115">
        <f>IF(P12=0,0,P12/TrRail_act!P5*1000)</f>
        <v>0</v>
      </c>
      <c r="Q36" s="115">
        <f>IF(Q12=0,0,Q12/TrRail_act!Q5*1000)</f>
        <v>0</v>
      </c>
      <c r="R36" s="115">
        <f>IF(R12=0,0,R12/TrRail_act!R5*1000)</f>
        <v>0</v>
      </c>
      <c r="S36" s="115">
        <f>IF(S12=0,0,S12/TrRail_act!S5*1000)</f>
        <v>0</v>
      </c>
      <c r="T36" s="115">
        <f>IF(T12=0,0,T12/TrRail_act!T5*1000)</f>
        <v>0</v>
      </c>
      <c r="U36" s="115">
        <f>IF(U12=0,0,U12/TrRail_act!U5*1000)</f>
        <v>0</v>
      </c>
      <c r="V36" s="115">
        <f>IF(V12=0,0,V12/TrRail_act!V5*1000)</f>
        <v>0</v>
      </c>
      <c r="W36" s="115">
        <f>IF(W12=0,0,W12/TrRail_act!W5*1000)</f>
        <v>0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0</v>
      </c>
      <c r="C37" s="116">
        <f>IF(C13=0,0,C13/TrRail_act!C6*1000)</f>
        <v>0</v>
      </c>
      <c r="D37" s="116">
        <f>IF(D13=0,0,D13/TrRail_act!D6*1000)</f>
        <v>0</v>
      </c>
      <c r="E37" s="116">
        <f>IF(E13=0,0,E13/TrRail_act!E6*1000)</f>
        <v>0</v>
      </c>
      <c r="F37" s="116">
        <f>IF(F13=0,0,F13/TrRail_act!F6*1000)</f>
        <v>0</v>
      </c>
      <c r="G37" s="116">
        <f>IF(G13=0,0,G13/TrRail_act!G6*1000)</f>
        <v>0</v>
      </c>
      <c r="H37" s="116">
        <f>IF(H13=0,0,H13/TrRail_act!H6*1000)</f>
        <v>0</v>
      </c>
      <c r="I37" s="116">
        <f>IF(I13=0,0,I13/TrRail_act!I6*1000)</f>
        <v>0</v>
      </c>
      <c r="J37" s="116">
        <f>IF(J13=0,0,J13/TrRail_act!J6*1000)</f>
        <v>0</v>
      </c>
      <c r="K37" s="116">
        <f>IF(K13=0,0,K13/TrRail_act!K6*1000)</f>
        <v>0</v>
      </c>
      <c r="L37" s="116">
        <f>IF(L13=0,0,L13/TrRail_act!L6*1000)</f>
        <v>0</v>
      </c>
      <c r="M37" s="116">
        <f>IF(M13=0,0,M13/TrRail_act!M6*1000)</f>
        <v>0</v>
      </c>
      <c r="N37" s="116">
        <f>IF(N13=0,0,N13/TrRail_act!N6*1000)</f>
        <v>0</v>
      </c>
      <c r="O37" s="116">
        <f>IF(O13=0,0,O13/TrRail_act!O6*1000)</f>
        <v>0</v>
      </c>
      <c r="P37" s="116">
        <f>IF(P13=0,0,P13/TrRail_act!P6*1000)</f>
        <v>0</v>
      </c>
      <c r="Q37" s="116">
        <f>IF(Q13=0,0,Q13/TrRail_act!Q6*1000)</f>
        <v>0</v>
      </c>
      <c r="R37" s="116">
        <f>IF(R13=0,0,R13/TrRail_act!R6*1000)</f>
        <v>0</v>
      </c>
      <c r="S37" s="116">
        <f>IF(S13=0,0,S13/TrRail_act!S6*1000)</f>
        <v>0</v>
      </c>
      <c r="T37" s="116">
        <f>IF(T13=0,0,T13/TrRail_act!T6*1000)</f>
        <v>0</v>
      </c>
      <c r="U37" s="116">
        <f>IF(U13=0,0,U13/TrRail_act!U6*1000)</f>
        <v>0</v>
      </c>
      <c r="V37" s="116">
        <f>IF(V13=0,0,V13/TrRail_act!V6*1000)</f>
        <v>0</v>
      </c>
      <c r="W37" s="116">
        <f>IF(W13=0,0,W13/TrRail_act!W6*1000)</f>
        <v>0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0</v>
      </c>
      <c r="C38" s="87">
        <f>IF(C14=0,0,C14/TrRail_act!C7*1000)</f>
        <v>0</v>
      </c>
      <c r="D38" s="87">
        <f>IF(D14=0,0,D14/TrRail_act!D7*1000)</f>
        <v>0</v>
      </c>
      <c r="E38" s="87">
        <f>IF(E14=0,0,E14/TrRail_act!E7*1000)</f>
        <v>0</v>
      </c>
      <c r="F38" s="87">
        <f>IF(F14=0,0,F14/TrRail_act!F7*1000)</f>
        <v>0</v>
      </c>
      <c r="G38" s="87">
        <f>IF(G14=0,0,G14/TrRail_act!G7*1000)</f>
        <v>0</v>
      </c>
      <c r="H38" s="87">
        <f>IF(H14=0,0,H14/TrRail_act!H7*1000)</f>
        <v>0</v>
      </c>
      <c r="I38" s="87">
        <f>IF(I14=0,0,I14/TrRail_act!I7*1000)</f>
        <v>0</v>
      </c>
      <c r="J38" s="87">
        <f>IF(J14=0,0,J14/TrRail_act!J7*1000)</f>
        <v>0</v>
      </c>
      <c r="K38" s="87">
        <f>IF(K14=0,0,K14/TrRail_act!K7*1000)</f>
        <v>0</v>
      </c>
      <c r="L38" s="87">
        <f>IF(L14=0,0,L14/TrRail_act!L7*1000)</f>
        <v>0</v>
      </c>
      <c r="M38" s="87">
        <f>IF(M14=0,0,M14/TrRail_act!M7*1000)</f>
        <v>0</v>
      </c>
      <c r="N38" s="87">
        <f>IF(N14=0,0,N14/TrRail_act!N7*1000)</f>
        <v>0</v>
      </c>
      <c r="O38" s="87">
        <f>IF(O14=0,0,O14/TrRail_act!O7*1000)</f>
        <v>0</v>
      </c>
      <c r="P38" s="87">
        <f>IF(P14=0,0,P14/TrRail_act!P7*1000)</f>
        <v>0</v>
      </c>
      <c r="Q38" s="87">
        <f>IF(Q14=0,0,Q14/TrRail_act!Q7*1000)</f>
        <v>0</v>
      </c>
      <c r="R38" s="87">
        <f>IF(R14=0,0,R14/TrRail_act!R7*1000)</f>
        <v>0</v>
      </c>
      <c r="S38" s="87">
        <f>IF(S14=0,0,S14/TrRail_act!S7*1000)</f>
        <v>0</v>
      </c>
      <c r="T38" s="87">
        <f>IF(T14=0,0,T14/TrRail_act!T7*1000)</f>
        <v>0</v>
      </c>
      <c r="U38" s="87">
        <f>IF(U14=0,0,U14/TrRail_act!U7*1000)</f>
        <v>0</v>
      </c>
      <c r="V38" s="87">
        <f>IF(V14=0,0,V14/TrRail_act!V7*1000)</f>
        <v>0</v>
      </c>
      <c r="W38" s="87">
        <f>IF(W14=0,0,W14/TrRail_act!W7*1000)</f>
        <v>0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0</v>
      </c>
      <c r="C39" s="87">
        <f>IF(C15=0,0,C15/TrRail_act!C8*1000)</f>
        <v>0</v>
      </c>
      <c r="D39" s="87">
        <f>IF(D15=0,0,D15/TrRail_act!D8*1000)</f>
        <v>0</v>
      </c>
      <c r="E39" s="87">
        <f>IF(E15=0,0,E15/TrRail_act!E8*1000)</f>
        <v>0</v>
      </c>
      <c r="F39" s="87">
        <f>IF(F15=0,0,F15/TrRail_act!F8*1000)</f>
        <v>0</v>
      </c>
      <c r="G39" s="87">
        <f>IF(G15=0,0,G15/TrRail_act!G8*1000)</f>
        <v>0</v>
      </c>
      <c r="H39" s="87">
        <f>IF(H15=0,0,H15/TrRail_act!H8*1000)</f>
        <v>0</v>
      </c>
      <c r="I39" s="87">
        <f>IF(I15=0,0,I15/TrRail_act!I8*1000)</f>
        <v>0</v>
      </c>
      <c r="J39" s="87">
        <f>IF(J15=0,0,J15/TrRail_act!J8*1000)</f>
        <v>0</v>
      </c>
      <c r="K39" s="87">
        <f>IF(K15=0,0,K15/TrRail_act!K8*1000)</f>
        <v>0</v>
      </c>
      <c r="L39" s="87">
        <f>IF(L15=0,0,L15/TrRail_act!L8*1000)</f>
        <v>0</v>
      </c>
      <c r="M39" s="87">
        <f>IF(M15=0,0,M15/TrRail_act!M8*1000)</f>
        <v>0</v>
      </c>
      <c r="N39" s="87">
        <f>IF(N15=0,0,N15/TrRail_act!N8*1000)</f>
        <v>0</v>
      </c>
      <c r="O39" s="87">
        <f>IF(O15=0,0,O15/TrRail_act!O8*1000)</f>
        <v>0</v>
      </c>
      <c r="P39" s="87">
        <f>IF(P15=0,0,P15/TrRail_act!P8*1000)</f>
        <v>0</v>
      </c>
      <c r="Q39" s="87">
        <f>IF(Q15=0,0,Q15/TrRail_act!Q8*1000)</f>
        <v>0</v>
      </c>
      <c r="R39" s="87">
        <f>IF(R15=0,0,R15/TrRail_act!R8*1000)</f>
        <v>0</v>
      </c>
      <c r="S39" s="87">
        <f>IF(S15=0,0,S15/TrRail_act!S8*1000)</f>
        <v>0</v>
      </c>
      <c r="T39" s="87">
        <f>IF(T15=0,0,T15/TrRail_act!T8*1000)</f>
        <v>0</v>
      </c>
      <c r="U39" s="87">
        <f>IF(U15=0,0,U15/TrRail_act!U8*1000)</f>
        <v>0</v>
      </c>
      <c r="V39" s="87">
        <f>IF(V15=0,0,V15/TrRail_act!V8*1000)</f>
        <v>0</v>
      </c>
      <c r="W39" s="87">
        <f>IF(W15=0,0,W15/TrRail_act!W8*1000)</f>
        <v>0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0</v>
      </c>
      <c r="G40" s="117">
        <f>IF(G16=0,0,G16/TrRail_act!G9*1000)</f>
        <v>0</v>
      </c>
      <c r="H40" s="117">
        <f>IF(H16=0,0,H16/TrRail_act!H9*1000)</f>
        <v>0</v>
      </c>
      <c r="I40" s="117">
        <f>IF(I16=0,0,I16/TrRail_act!I9*1000)</f>
        <v>0</v>
      </c>
      <c r="J40" s="117">
        <f>IF(J16=0,0,J16/TrRail_act!J9*1000)</f>
        <v>0</v>
      </c>
      <c r="K40" s="117">
        <f>IF(K16=0,0,K16/TrRail_act!K9*1000)</f>
        <v>0</v>
      </c>
      <c r="L40" s="117">
        <f>IF(L16=0,0,L16/TrRail_act!L9*1000)</f>
        <v>0</v>
      </c>
      <c r="M40" s="117">
        <f>IF(M16=0,0,M16/TrRail_act!M9*1000)</f>
        <v>0</v>
      </c>
      <c r="N40" s="117">
        <f>IF(N16=0,0,N16/TrRail_act!N9*1000)</f>
        <v>0</v>
      </c>
      <c r="O40" s="117">
        <f>IF(O16=0,0,O16/TrRail_act!O9*1000)</f>
        <v>0</v>
      </c>
      <c r="P40" s="117">
        <f>IF(P16=0,0,P16/TrRail_act!P9*1000)</f>
        <v>0</v>
      </c>
      <c r="Q40" s="117">
        <f>IF(Q16=0,0,Q16/TrRail_act!Q9*1000)</f>
        <v>0</v>
      </c>
      <c r="R40" s="117">
        <f>IF(R16=0,0,R16/TrRail_act!R9*1000)</f>
        <v>0</v>
      </c>
      <c r="S40" s="117">
        <f>IF(S16=0,0,S16/TrRail_act!S9*1000)</f>
        <v>0</v>
      </c>
      <c r="T40" s="117">
        <f>IF(T16=0,0,T16/TrRail_act!T9*1000)</f>
        <v>0</v>
      </c>
      <c r="U40" s="117">
        <f>IF(U16=0,0,U16/TrRail_act!U9*1000)</f>
        <v>0</v>
      </c>
      <c r="V40" s="117">
        <f>IF(V16=0,0,V16/TrRail_act!V9*1000)</f>
        <v>0</v>
      </c>
      <c r="W40" s="117">
        <f>IF(W16=0,0,W16/TrRail_act!W9*1000)</f>
        <v>0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0</v>
      </c>
      <c r="C41" s="29">
        <f>IF(C17=0,0,C17/TrRail_act!C10*1000)</f>
        <v>0</v>
      </c>
      <c r="D41" s="29">
        <f>IF(D17=0,0,D17/TrRail_act!D10*1000)</f>
        <v>0</v>
      </c>
      <c r="E41" s="29">
        <f>IF(E17=0,0,E17/TrRail_act!E10*1000)</f>
        <v>0</v>
      </c>
      <c r="F41" s="29">
        <f>IF(F17=0,0,F17/TrRail_act!F10*1000)</f>
        <v>0</v>
      </c>
      <c r="G41" s="29">
        <f>IF(G17=0,0,G17/TrRail_act!G10*1000)</f>
        <v>0</v>
      </c>
      <c r="H41" s="29">
        <f>IF(H17=0,0,H17/TrRail_act!H10*1000)</f>
        <v>0</v>
      </c>
      <c r="I41" s="29">
        <f>IF(I17=0,0,I17/TrRail_act!I10*1000)</f>
        <v>0</v>
      </c>
      <c r="J41" s="29">
        <f>IF(J17=0,0,J17/TrRail_act!J10*1000)</f>
        <v>0</v>
      </c>
      <c r="K41" s="29">
        <f>IF(K17=0,0,K17/TrRail_act!K10*1000)</f>
        <v>0</v>
      </c>
      <c r="L41" s="29">
        <f>IF(L17=0,0,L17/TrRail_act!L10*1000)</f>
        <v>0</v>
      </c>
      <c r="M41" s="29">
        <f>IF(M17=0,0,M17/TrRail_act!M10*1000)</f>
        <v>0</v>
      </c>
      <c r="N41" s="29">
        <f>IF(N17=0,0,N17/TrRail_act!N10*1000)</f>
        <v>0</v>
      </c>
      <c r="O41" s="29">
        <f>IF(O17=0,0,O17/TrRail_act!O10*1000)</f>
        <v>0</v>
      </c>
      <c r="P41" s="29">
        <f>IF(P17=0,0,P17/TrRail_act!P10*1000)</f>
        <v>0</v>
      </c>
      <c r="Q41" s="29">
        <f>IF(Q17=0,0,Q17/TrRail_act!Q10*1000)</f>
        <v>0</v>
      </c>
      <c r="R41" s="29">
        <f>IF(R17=0,0,R17/TrRail_act!R10*1000)</f>
        <v>0</v>
      </c>
      <c r="S41" s="29">
        <f>IF(S17=0,0,S17/TrRail_act!S10*1000)</f>
        <v>0</v>
      </c>
      <c r="T41" s="29">
        <f>IF(T17=0,0,T17/TrRail_act!T10*1000)</f>
        <v>0</v>
      </c>
      <c r="U41" s="29">
        <f>IF(U17=0,0,U17/TrRail_act!U10*1000)</f>
        <v>0</v>
      </c>
      <c r="V41" s="29">
        <f>IF(V17=0,0,V17/TrRail_act!V10*1000)</f>
        <v>0</v>
      </c>
      <c r="W41" s="29">
        <f>IF(W17=0,0,W17/TrRail_act!W10*1000)</f>
        <v>0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0</v>
      </c>
      <c r="C42" s="87">
        <f>IF(C18=0,0,C18/TrRail_act!C11*1000)</f>
        <v>0</v>
      </c>
      <c r="D42" s="87">
        <f>IF(D18=0,0,D18/TrRail_act!D11*1000)</f>
        <v>0</v>
      </c>
      <c r="E42" s="87">
        <f>IF(E18=0,0,E18/TrRail_act!E11*1000)</f>
        <v>0</v>
      </c>
      <c r="F42" s="87">
        <f>IF(F18=0,0,F18/TrRail_act!F11*1000)</f>
        <v>0</v>
      </c>
      <c r="G42" s="87">
        <f>IF(G18=0,0,G18/TrRail_act!G11*1000)</f>
        <v>0</v>
      </c>
      <c r="H42" s="87">
        <f>IF(H18=0,0,H18/TrRail_act!H11*1000)</f>
        <v>0</v>
      </c>
      <c r="I42" s="87">
        <f>IF(I18=0,0,I18/TrRail_act!I11*1000)</f>
        <v>0</v>
      </c>
      <c r="J42" s="87">
        <f>IF(J18=0,0,J18/TrRail_act!J11*1000)</f>
        <v>0</v>
      </c>
      <c r="K42" s="87">
        <f>IF(K18=0,0,K18/TrRail_act!K11*1000)</f>
        <v>0</v>
      </c>
      <c r="L42" s="87">
        <f>IF(L18=0,0,L18/TrRail_act!L11*1000)</f>
        <v>0</v>
      </c>
      <c r="M42" s="87">
        <f>IF(M18=0,0,M18/TrRail_act!M11*1000)</f>
        <v>0</v>
      </c>
      <c r="N42" s="87">
        <f>IF(N18=0,0,N18/TrRail_act!N11*1000)</f>
        <v>0</v>
      </c>
      <c r="O42" s="87">
        <f>IF(O18=0,0,O18/TrRail_act!O11*1000)</f>
        <v>0</v>
      </c>
      <c r="P42" s="87">
        <f>IF(P18=0,0,P18/TrRail_act!P11*1000)</f>
        <v>0</v>
      </c>
      <c r="Q42" s="87">
        <f>IF(Q18=0,0,Q18/TrRail_act!Q11*1000)</f>
        <v>0</v>
      </c>
      <c r="R42" s="87">
        <f>IF(R18=0,0,R18/TrRail_act!R11*1000)</f>
        <v>0</v>
      </c>
      <c r="S42" s="87">
        <f>IF(S18=0,0,S18/TrRail_act!S11*1000)</f>
        <v>0</v>
      </c>
      <c r="T42" s="87">
        <f>IF(T18=0,0,T18/TrRail_act!T11*1000)</f>
        <v>0</v>
      </c>
      <c r="U42" s="87">
        <f>IF(U18=0,0,U18/TrRail_act!U11*1000)</f>
        <v>0</v>
      </c>
      <c r="V42" s="87">
        <f>IF(V18=0,0,V18/TrRail_act!V11*1000)</f>
        <v>0</v>
      </c>
      <c r="W42" s="87">
        <f>IF(W18=0,0,W18/TrRail_act!W11*1000)</f>
        <v>0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0</v>
      </c>
      <c r="C43" s="88">
        <f>IF(C19=0,0,C19/TrRail_act!C12*1000)</f>
        <v>0</v>
      </c>
      <c r="D43" s="88">
        <f>IF(D19=0,0,D19/TrRail_act!D12*1000)</f>
        <v>0</v>
      </c>
      <c r="E43" s="88">
        <f>IF(E19=0,0,E19/TrRail_act!E12*1000)</f>
        <v>0</v>
      </c>
      <c r="F43" s="88">
        <f>IF(F19=0,0,F19/TrRail_act!F12*1000)</f>
        <v>0</v>
      </c>
      <c r="G43" s="88">
        <f>IF(G19=0,0,G19/TrRail_act!G12*1000)</f>
        <v>0</v>
      </c>
      <c r="H43" s="88">
        <f>IF(H19=0,0,H19/TrRail_act!H12*1000)</f>
        <v>0</v>
      </c>
      <c r="I43" s="88">
        <f>IF(I19=0,0,I19/TrRail_act!I12*1000)</f>
        <v>0</v>
      </c>
      <c r="J43" s="88">
        <f>IF(J19=0,0,J19/TrRail_act!J12*1000)</f>
        <v>0</v>
      </c>
      <c r="K43" s="88">
        <f>IF(K19=0,0,K19/TrRail_act!K12*1000)</f>
        <v>0</v>
      </c>
      <c r="L43" s="88">
        <f>IF(L19=0,0,L19/TrRail_act!L12*1000)</f>
        <v>0</v>
      </c>
      <c r="M43" s="88">
        <f>IF(M19=0,0,M19/TrRail_act!M12*1000)</f>
        <v>0</v>
      </c>
      <c r="N43" s="88">
        <f>IF(N19=0,0,N19/TrRail_act!N12*1000)</f>
        <v>0</v>
      </c>
      <c r="O43" s="88">
        <f>IF(O19=0,0,O19/TrRail_act!O12*1000)</f>
        <v>0</v>
      </c>
      <c r="P43" s="88">
        <f>IF(P19=0,0,P19/TrRail_act!P12*1000)</f>
        <v>0</v>
      </c>
      <c r="Q43" s="88">
        <f>IF(Q19=0,0,Q19/TrRail_act!Q12*1000)</f>
        <v>0</v>
      </c>
      <c r="R43" s="88">
        <f>IF(R19=0,0,R19/TrRail_act!R12*1000)</f>
        <v>0</v>
      </c>
      <c r="S43" s="88">
        <f>IF(S19=0,0,S19/TrRail_act!S12*1000)</f>
        <v>0</v>
      </c>
      <c r="T43" s="88">
        <f>IF(T19=0,0,T19/TrRail_act!T12*1000)</f>
        <v>0</v>
      </c>
      <c r="U43" s="88">
        <f>IF(U19=0,0,U19/TrRail_act!U12*1000)</f>
        <v>0</v>
      </c>
      <c r="V43" s="88">
        <f>IF(V19=0,0,V19/TrRail_act!V12*1000)</f>
        <v>0</v>
      </c>
      <c r="W43" s="88">
        <f>IF(W19=0,0,W19/TrRail_act!W12*1000)</f>
        <v>0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0</v>
      </c>
      <c r="C45" s="54">
        <f>IF(C10=0,0,1000000*C10/TrRail_act!C25)</f>
        <v>0</v>
      </c>
      <c r="D45" s="54">
        <f>IF(D10=0,0,1000000*D10/TrRail_act!D25)</f>
        <v>0</v>
      </c>
      <c r="E45" s="54">
        <f>IF(E10=0,0,1000000*E10/TrRail_act!E25)</f>
        <v>0</v>
      </c>
      <c r="F45" s="54">
        <f>IF(F10=0,0,1000000*F10/TrRail_act!F25)</f>
        <v>0</v>
      </c>
      <c r="G45" s="54">
        <f>IF(G10=0,0,1000000*G10/TrRail_act!G25)</f>
        <v>0</v>
      </c>
      <c r="H45" s="54">
        <f>IF(H10=0,0,1000000*H10/TrRail_act!H25)</f>
        <v>0</v>
      </c>
      <c r="I45" s="54">
        <f>IF(I10=0,0,1000000*I10/TrRail_act!I25)</f>
        <v>0</v>
      </c>
      <c r="J45" s="54">
        <f>IF(J10=0,0,1000000*J10/TrRail_act!J25)</f>
        <v>0</v>
      </c>
      <c r="K45" s="54">
        <f>IF(K10=0,0,1000000*K10/TrRail_act!K25)</f>
        <v>0</v>
      </c>
      <c r="L45" s="54">
        <f>IF(L10=0,0,1000000*L10/TrRail_act!L25)</f>
        <v>0</v>
      </c>
      <c r="M45" s="54">
        <f>IF(M10=0,0,1000000*M10/TrRail_act!M25)</f>
        <v>0</v>
      </c>
      <c r="N45" s="54">
        <f>IF(N10=0,0,1000000*N10/TrRail_act!N25)</f>
        <v>0</v>
      </c>
      <c r="O45" s="54">
        <f>IF(O10=0,0,1000000*O10/TrRail_act!O25)</f>
        <v>0</v>
      </c>
      <c r="P45" s="54">
        <f>IF(P10=0,0,1000000*P10/TrRail_act!P25)</f>
        <v>0</v>
      </c>
      <c r="Q45" s="54">
        <f>IF(Q10=0,0,1000000*Q10/TrRail_act!Q25)</f>
        <v>0</v>
      </c>
      <c r="R45" s="54">
        <f>IF(R10=0,0,1000000*R10/TrRail_act!R25)</f>
        <v>0</v>
      </c>
      <c r="S45" s="54">
        <f>IF(S10=0,0,1000000*S10/TrRail_act!S25)</f>
        <v>0</v>
      </c>
      <c r="T45" s="54">
        <f>IF(T10=0,0,1000000*T10/TrRail_act!T25)</f>
        <v>0</v>
      </c>
      <c r="U45" s="54">
        <f>IF(U10=0,0,1000000*U10/TrRail_act!U25)</f>
        <v>0</v>
      </c>
      <c r="V45" s="54">
        <f>IF(V10=0,0,1000000*V10/TrRail_act!V25)</f>
        <v>0</v>
      </c>
      <c r="W45" s="54">
        <f>IF(W10=0,0,1000000*W10/TrRail_act!W25)</f>
        <v>0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0</v>
      </c>
      <c r="C46" s="28">
        <f>IF(C11=0,0,1000000*C11/TrRail_act!C26)</f>
        <v>0</v>
      </c>
      <c r="D46" s="28">
        <f>IF(D11=0,0,1000000*D11/TrRail_act!D26)</f>
        <v>0</v>
      </c>
      <c r="E46" s="28">
        <f>IF(E11=0,0,1000000*E11/TrRail_act!E26)</f>
        <v>0</v>
      </c>
      <c r="F46" s="28">
        <f>IF(F11=0,0,1000000*F11/TrRail_act!F26)</f>
        <v>0</v>
      </c>
      <c r="G46" s="28">
        <f>IF(G11=0,0,1000000*G11/TrRail_act!G26)</f>
        <v>0</v>
      </c>
      <c r="H46" s="28">
        <f>IF(H11=0,0,1000000*H11/TrRail_act!H26)</f>
        <v>0</v>
      </c>
      <c r="I46" s="28">
        <f>IF(I11=0,0,1000000*I11/TrRail_act!I26)</f>
        <v>0</v>
      </c>
      <c r="J46" s="28">
        <f>IF(J11=0,0,1000000*J11/TrRail_act!J26)</f>
        <v>0</v>
      </c>
      <c r="K46" s="28">
        <f>IF(K11=0,0,1000000*K11/TrRail_act!K26)</f>
        <v>0</v>
      </c>
      <c r="L46" s="28">
        <f>IF(L11=0,0,1000000*L11/TrRail_act!L26)</f>
        <v>0</v>
      </c>
      <c r="M46" s="28">
        <f>IF(M11=0,0,1000000*M11/TrRail_act!M26)</f>
        <v>0</v>
      </c>
      <c r="N46" s="28">
        <f>IF(N11=0,0,1000000*N11/TrRail_act!N26)</f>
        <v>0</v>
      </c>
      <c r="O46" s="28">
        <f>IF(O11=0,0,1000000*O11/TrRail_act!O26)</f>
        <v>0</v>
      </c>
      <c r="P46" s="28">
        <f>IF(P11=0,0,1000000*P11/TrRail_act!P26)</f>
        <v>0</v>
      </c>
      <c r="Q46" s="28">
        <f>IF(Q11=0,0,1000000*Q11/TrRail_act!Q26)</f>
        <v>0</v>
      </c>
      <c r="R46" s="28">
        <f>IF(R11=0,0,1000000*R11/TrRail_act!R26)</f>
        <v>0</v>
      </c>
      <c r="S46" s="28">
        <f>IF(S11=0,0,1000000*S11/TrRail_act!S26)</f>
        <v>0</v>
      </c>
      <c r="T46" s="28">
        <f>IF(T11=0,0,1000000*T11/TrRail_act!T26)</f>
        <v>0</v>
      </c>
      <c r="U46" s="28">
        <f>IF(U11=0,0,1000000*U11/TrRail_act!U26)</f>
        <v>0</v>
      </c>
      <c r="V46" s="28">
        <f>IF(V11=0,0,1000000*V11/TrRail_act!V26)</f>
        <v>0</v>
      </c>
      <c r="W46" s="28">
        <f>IF(W11=0,0,1000000*W11/TrRail_act!W26)</f>
        <v>0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0</v>
      </c>
      <c r="C47" s="108">
        <f>IF(C12=0,0,1000000*C12/TrRail_act!C27)</f>
        <v>0</v>
      </c>
      <c r="D47" s="108">
        <f>IF(D12=0,0,1000000*D12/TrRail_act!D27)</f>
        <v>0</v>
      </c>
      <c r="E47" s="108">
        <f>IF(E12=0,0,1000000*E12/TrRail_act!E27)</f>
        <v>0</v>
      </c>
      <c r="F47" s="108">
        <f>IF(F12=0,0,1000000*F12/TrRail_act!F27)</f>
        <v>0</v>
      </c>
      <c r="G47" s="108">
        <f>IF(G12=0,0,1000000*G12/TrRail_act!G27)</f>
        <v>0</v>
      </c>
      <c r="H47" s="108">
        <f>IF(H12=0,0,1000000*H12/TrRail_act!H27)</f>
        <v>0</v>
      </c>
      <c r="I47" s="108">
        <f>IF(I12=0,0,1000000*I12/TrRail_act!I27)</f>
        <v>0</v>
      </c>
      <c r="J47" s="108">
        <f>IF(J12=0,0,1000000*J12/TrRail_act!J27)</f>
        <v>0</v>
      </c>
      <c r="K47" s="108">
        <f>IF(K12=0,0,1000000*K12/TrRail_act!K27)</f>
        <v>0</v>
      </c>
      <c r="L47" s="108">
        <f>IF(L12=0,0,1000000*L12/TrRail_act!L27)</f>
        <v>0</v>
      </c>
      <c r="M47" s="108">
        <f>IF(M12=0,0,1000000*M12/TrRail_act!M27)</f>
        <v>0</v>
      </c>
      <c r="N47" s="108">
        <f>IF(N12=0,0,1000000*N12/TrRail_act!N27)</f>
        <v>0</v>
      </c>
      <c r="O47" s="108">
        <f>IF(O12=0,0,1000000*O12/TrRail_act!O27)</f>
        <v>0</v>
      </c>
      <c r="P47" s="108">
        <f>IF(P12=0,0,1000000*P12/TrRail_act!P27)</f>
        <v>0</v>
      </c>
      <c r="Q47" s="108">
        <f>IF(Q12=0,0,1000000*Q12/TrRail_act!Q27)</f>
        <v>0</v>
      </c>
      <c r="R47" s="108">
        <f>IF(R12=0,0,1000000*R12/TrRail_act!R27)</f>
        <v>0</v>
      </c>
      <c r="S47" s="108">
        <f>IF(S12=0,0,1000000*S12/TrRail_act!S27)</f>
        <v>0</v>
      </c>
      <c r="T47" s="108">
        <f>IF(T12=0,0,1000000*T12/TrRail_act!T27)</f>
        <v>0</v>
      </c>
      <c r="U47" s="108">
        <f>IF(U12=0,0,1000000*U12/TrRail_act!U27)</f>
        <v>0</v>
      </c>
      <c r="V47" s="108">
        <f>IF(V12=0,0,1000000*V12/TrRail_act!V27)</f>
        <v>0</v>
      </c>
      <c r="W47" s="108">
        <f>IF(W12=0,0,1000000*W12/TrRail_act!W27)</f>
        <v>0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0</v>
      </c>
      <c r="C48" s="110">
        <f>IF(C13=0,0,1000000*C13/TrRail_act!C28)</f>
        <v>0</v>
      </c>
      <c r="D48" s="110">
        <f>IF(D13=0,0,1000000*D13/TrRail_act!D28)</f>
        <v>0</v>
      </c>
      <c r="E48" s="110">
        <f>IF(E13=0,0,1000000*E13/TrRail_act!E28)</f>
        <v>0</v>
      </c>
      <c r="F48" s="110">
        <f>IF(F13=0,0,1000000*F13/TrRail_act!F28)</f>
        <v>0</v>
      </c>
      <c r="G48" s="110">
        <f>IF(G13=0,0,1000000*G13/TrRail_act!G28)</f>
        <v>0</v>
      </c>
      <c r="H48" s="110">
        <f>IF(H13=0,0,1000000*H13/TrRail_act!H28)</f>
        <v>0</v>
      </c>
      <c r="I48" s="110">
        <f>IF(I13=0,0,1000000*I13/TrRail_act!I28)</f>
        <v>0</v>
      </c>
      <c r="J48" s="110">
        <f>IF(J13=0,0,1000000*J13/TrRail_act!J28)</f>
        <v>0</v>
      </c>
      <c r="K48" s="110">
        <f>IF(K13=0,0,1000000*K13/TrRail_act!K28)</f>
        <v>0</v>
      </c>
      <c r="L48" s="110">
        <f>IF(L13=0,0,1000000*L13/TrRail_act!L28)</f>
        <v>0</v>
      </c>
      <c r="M48" s="110">
        <f>IF(M13=0,0,1000000*M13/TrRail_act!M28)</f>
        <v>0</v>
      </c>
      <c r="N48" s="110">
        <f>IF(N13=0,0,1000000*N13/TrRail_act!N28)</f>
        <v>0</v>
      </c>
      <c r="O48" s="110">
        <f>IF(O13=0,0,1000000*O13/TrRail_act!O28)</f>
        <v>0</v>
      </c>
      <c r="P48" s="110">
        <f>IF(P13=0,0,1000000*P13/TrRail_act!P28)</f>
        <v>0</v>
      </c>
      <c r="Q48" s="110">
        <f>IF(Q13=0,0,1000000*Q13/TrRail_act!Q28)</f>
        <v>0</v>
      </c>
      <c r="R48" s="110">
        <f>IF(R13=0,0,1000000*R13/TrRail_act!R28)</f>
        <v>0</v>
      </c>
      <c r="S48" s="110">
        <f>IF(S13=0,0,1000000*S13/TrRail_act!S28)</f>
        <v>0</v>
      </c>
      <c r="T48" s="110">
        <f>IF(T13=0,0,1000000*T13/TrRail_act!T28)</f>
        <v>0</v>
      </c>
      <c r="U48" s="110">
        <f>IF(U13=0,0,1000000*U13/TrRail_act!U28)</f>
        <v>0</v>
      </c>
      <c r="V48" s="110">
        <f>IF(V13=0,0,1000000*V13/TrRail_act!V28)</f>
        <v>0</v>
      </c>
      <c r="W48" s="110">
        <f>IF(W13=0,0,1000000*W13/TrRail_act!W28)</f>
        <v>0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0</v>
      </c>
      <c r="C49" s="84">
        <f>IF(C14=0,0,1000000*C14/TrRail_act!C29)</f>
        <v>0</v>
      </c>
      <c r="D49" s="84">
        <f>IF(D14=0,0,1000000*D14/TrRail_act!D29)</f>
        <v>0</v>
      </c>
      <c r="E49" s="84">
        <f>IF(E14=0,0,1000000*E14/TrRail_act!E29)</f>
        <v>0</v>
      </c>
      <c r="F49" s="84">
        <f>IF(F14=0,0,1000000*F14/TrRail_act!F29)</f>
        <v>0</v>
      </c>
      <c r="G49" s="84">
        <f>IF(G14=0,0,1000000*G14/TrRail_act!G29)</f>
        <v>0</v>
      </c>
      <c r="H49" s="84">
        <f>IF(H14=0,0,1000000*H14/TrRail_act!H29)</f>
        <v>0</v>
      </c>
      <c r="I49" s="84">
        <f>IF(I14=0,0,1000000*I14/TrRail_act!I29)</f>
        <v>0</v>
      </c>
      <c r="J49" s="84">
        <f>IF(J14=0,0,1000000*J14/TrRail_act!J29)</f>
        <v>0</v>
      </c>
      <c r="K49" s="84">
        <f>IF(K14=0,0,1000000*K14/TrRail_act!K29)</f>
        <v>0</v>
      </c>
      <c r="L49" s="84">
        <f>IF(L14=0,0,1000000*L14/TrRail_act!L29)</f>
        <v>0</v>
      </c>
      <c r="M49" s="84">
        <f>IF(M14=0,0,1000000*M14/TrRail_act!M29)</f>
        <v>0</v>
      </c>
      <c r="N49" s="84">
        <f>IF(N14=0,0,1000000*N14/TrRail_act!N29)</f>
        <v>0</v>
      </c>
      <c r="O49" s="84">
        <f>IF(O14=0,0,1000000*O14/TrRail_act!O29)</f>
        <v>0</v>
      </c>
      <c r="P49" s="84">
        <f>IF(P14=0,0,1000000*P14/TrRail_act!P29)</f>
        <v>0</v>
      </c>
      <c r="Q49" s="84">
        <f>IF(Q14=0,0,1000000*Q14/TrRail_act!Q29)</f>
        <v>0</v>
      </c>
      <c r="R49" s="84">
        <f>IF(R14=0,0,1000000*R14/TrRail_act!R29)</f>
        <v>0</v>
      </c>
      <c r="S49" s="84">
        <f>IF(S14=0,0,1000000*S14/TrRail_act!S29)</f>
        <v>0</v>
      </c>
      <c r="T49" s="84">
        <f>IF(T14=0,0,1000000*T14/TrRail_act!T29)</f>
        <v>0</v>
      </c>
      <c r="U49" s="84">
        <f>IF(U14=0,0,1000000*U14/TrRail_act!U29)</f>
        <v>0</v>
      </c>
      <c r="V49" s="84">
        <f>IF(V14=0,0,1000000*V14/TrRail_act!V29)</f>
        <v>0</v>
      </c>
      <c r="W49" s="84">
        <f>IF(W14=0,0,1000000*W14/TrRail_act!W29)</f>
        <v>0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0</v>
      </c>
      <c r="C50" s="84">
        <f>IF(C15=0,0,1000000*C15/TrRail_act!C30)</f>
        <v>0</v>
      </c>
      <c r="D50" s="84">
        <f>IF(D15=0,0,1000000*D15/TrRail_act!D30)</f>
        <v>0</v>
      </c>
      <c r="E50" s="84">
        <f>IF(E15=0,0,1000000*E15/TrRail_act!E30)</f>
        <v>0</v>
      </c>
      <c r="F50" s="84">
        <f>IF(F15=0,0,1000000*F15/TrRail_act!F30)</f>
        <v>0</v>
      </c>
      <c r="G50" s="84">
        <f>IF(G15=0,0,1000000*G15/TrRail_act!G30)</f>
        <v>0</v>
      </c>
      <c r="H50" s="84">
        <f>IF(H15=0,0,1000000*H15/TrRail_act!H30)</f>
        <v>0</v>
      </c>
      <c r="I50" s="84">
        <f>IF(I15=0,0,1000000*I15/TrRail_act!I30)</f>
        <v>0</v>
      </c>
      <c r="J50" s="84">
        <f>IF(J15=0,0,1000000*J15/TrRail_act!J30)</f>
        <v>0</v>
      </c>
      <c r="K50" s="84">
        <f>IF(K15=0,0,1000000*K15/TrRail_act!K30)</f>
        <v>0</v>
      </c>
      <c r="L50" s="84">
        <f>IF(L15=0,0,1000000*L15/TrRail_act!L30)</f>
        <v>0</v>
      </c>
      <c r="M50" s="84">
        <f>IF(M15=0,0,1000000*M15/TrRail_act!M30)</f>
        <v>0</v>
      </c>
      <c r="N50" s="84">
        <f>IF(N15=0,0,1000000*N15/TrRail_act!N30)</f>
        <v>0</v>
      </c>
      <c r="O50" s="84">
        <f>IF(O15=0,0,1000000*O15/TrRail_act!O30)</f>
        <v>0</v>
      </c>
      <c r="P50" s="84">
        <f>IF(P15=0,0,1000000*P15/TrRail_act!P30)</f>
        <v>0</v>
      </c>
      <c r="Q50" s="84">
        <f>IF(Q15=0,0,1000000*Q15/TrRail_act!Q30)</f>
        <v>0</v>
      </c>
      <c r="R50" s="84">
        <f>IF(R15=0,0,1000000*R15/TrRail_act!R30)</f>
        <v>0</v>
      </c>
      <c r="S50" s="84">
        <f>IF(S15=0,0,1000000*S15/TrRail_act!S30)</f>
        <v>0</v>
      </c>
      <c r="T50" s="84">
        <f>IF(T15=0,0,1000000*T15/TrRail_act!T30)</f>
        <v>0</v>
      </c>
      <c r="U50" s="84">
        <f>IF(U15=0,0,1000000*U15/TrRail_act!U30)</f>
        <v>0</v>
      </c>
      <c r="V50" s="84">
        <f>IF(V15=0,0,1000000*V15/TrRail_act!V30)</f>
        <v>0</v>
      </c>
      <c r="W50" s="84">
        <f>IF(W15=0,0,1000000*W15/TrRail_act!W30)</f>
        <v>0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0</v>
      </c>
      <c r="G51" s="113">
        <f>IF(G16=0,0,1000000*G16/TrRail_act!G31)</f>
        <v>0</v>
      </c>
      <c r="H51" s="113">
        <f>IF(H16=0,0,1000000*H16/TrRail_act!H31)</f>
        <v>0</v>
      </c>
      <c r="I51" s="113">
        <f>IF(I16=0,0,1000000*I16/TrRail_act!I31)</f>
        <v>0</v>
      </c>
      <c r="J51" s="113">
        <f>IF(J16=0,0,1000000*J16/TrRail_act!J31)</f>
        <v>0</v>
      </c>
      <c r="K51" s="113">
        <f>IF(K16=0,0,1000000*K16/TrRail_act!K31)</f>
        <v>0</v>
      </c>
      <c r="L51" s="113">
        <f>IF(L16=0,0,1000000*L16/TrRail_act!L31)</f>
        <v>0</v>
      </c>
      <c r="M51" s="113">
        <f>IF(M16=0,0,1000000*M16/TrRail_act!M31)</f>
        <v>0</v>
      </c>
      <c r="N51" s="113">
        <f>IF(N16=0,0,1000000*N16/TrRail_act!N31)</f>
        <v>0</v>
      </c>
      <c r="O51" s="113">
        <f>IF(O16=0,0,1000000*O16/TrRail_act!O31)</f>
        <v>0</v>
      </c>
      <c r="P51" s="113">
        <f>IF(P16=0,0,1000000*P16/TrRail_act!P31)</f>
        <v>0</v>
      </c>
      <c r="Q51" s="113">
        <f>IF(Q16=0,0,1000000*Q16/TrRail_act!Q31)</f>
        <v>0</v>
      </c>
      <c r="R51" s="113">
        <f>IF(R16=0,0,1000000*R16/TrRail_act!R31)</f>
        <v>0</v>
      </c>
      <c r="S51" s="113">
        <f>IF(S16=0,0,1000000*S16/TrRail_act!S31)</f>
        <v>0</v>
      </c>
      <c r="T51" s="113">
        <f>IF(T16=0,0,1000000*T16/TrRail_act!T31)</f>
        <v>0</v>
      </c>
      <c r="U51" s="113">
        <f>IF(U16=0,0,1000000*U16/TrRail_act!U31)</f>
        <v>0</v>
      </c>
      <c r="V51" s="113">
        <f>IF(V16=0,0,1000000*V16/TrRail_act!V31)</f>
        <v>0</v>
      </c>
      <c r="W51" s="113">
        <f>IF(W16=0,0,1000000*W16/TrRail_act!W31)</f>
        <v>0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0</v>
      </c>
      <c r="C52" s="28">
        <f>IF(C17=0,0,1000000*C17/TrRail_act!C32)</f>
        <v>0</v>
      </c>
      <c r="D52" s="28">
        <f>IF(D17=0,0,1000000*D17/TrRail_act!D32)</f>
        <v>0</v>
      </c>
      <c r="E52" s="28">
        <f>IF(E17=0,0,1000000*E17/TrRail_act!E32)</f>
        <v>0</v>
      </c>
      <c r="F52" s="28">
        <f>IF(F17=0,0,1000000*F17/TrRail_act!F32)</f>
        <v>0</v>
      </c>
      <c r="G52" s="28">
        <f>IF(G17=0,0,1000000*G17/TrRail_act!G32)</f>
        <v>0</v>
      </c>
      <c r="H52" s="28">
        <f>IF(H17=0,0,1000000*H17/TrRail_act!H32)</f>
        <v>0</v>
      </c>
      <c r="I52" s="28">
        <f>IF(I17=0,0,1000000*I17/TrRail_act!I32)</f>
        <v>0</v>
      </c>
      <c r="J52" s="28">
        <f>IF(J17=0,0,1000000*J17/TrRail_act!J32)</f>
        <v>0</v>
      </c>
      <c r="K52" s="28">
        <f>IF(K17=0,0,1000000*K17/TrRail_act!K32)</f>
        <v>0</v>
      </c>
      <c r="L52" s="28">
        <f>IF(L17=0,0,1000000*L17/TrRail_act!L32)</f>
        <v>0</v>
      </c>
      <c r="M52" s="28">
        <f>IF(M17=0,0,1000000*M17/TrRail_act!M32)</f>
        <v>0</v>
      </c>
      <c r="N52" s="28">
        <f>IF(N17=0,0,1000000*N17/TrRail_act!N32)</f>
        <v>0</v>
      </c>
      <c r="O52" s="28">
        <f>IF(O17=0,0,1000000*O17/TrRail_act!O32)</f>
        <v>0</v>
      </c>
      <c r="P52" s="28">
        <f>IF(P17=0,0,1000000*P17/TrRail_act!P32)</f>
        <v>0</v>
      </c>
      <c r="Q52" s="28">
        <f>IF(Q17=0,0,1000000*Q17/TrRail_act!Q32)</f>
        <v>0</v>
      </c>
      <c r="R52" s="28">
        <f>IF(R17=0,0,1000000*R17/TrRail_act!R32)</f>
        <v>0</v>
      </c>
      <c r="S52" s="28">
        <f>IF(S17=0,0,1000000*S17/TrRail_act!S32)</f>
        <v>0</v>
      </c>
      <c r="T52" s="28">
        <f>IF(T17=0,0,1000000*T17/TrRail_act!T32)</f>
        <v>0</v>
      </c>
      <c r="U52" s="28">
        <f>IF(U17=0,0,1000000*U17/TrRail_act!U32)</f>
        <v>0</v>
      </c>
      <c r="V52" s="28">
        <f>IF(V17=0,0,1000000*V17/TrRail_act!V32)</f>
        <v>0</v>
      </c>
      <c r="W52" s="28">
        <f>IF(W17=0,0,1000000*W17/TrRail_act!W32)</f>
        <v>0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0</v>
      </c>
      <c r="C53" s="84">
        <f>IF(C18=0,0,1000000*C18/TrRail_act!C33)</f>
        <v>0</v>
      </c>
      <c r="D53" s="84">
        <f>IF(D18=0,0,1000000*D18/TrRail_act!D33)</f>
        <v>0</v>
      </c>
      <c r="E53" s="84">
        <f>IF(E18=0,0,1000000*E18/TrRail_act!E33)</f>
        <v>0</v>
      </c>
      <c r="F53" s="84">
        <f>IF(F18=0,0,1000000*F18/TrRail_act!F33)</f>
        <v>0</v>
      </c>
      <c r="G53" s="84">
        <f>IF(G18=0,0,1000000*G18/TrRail_act!G33)</f>
        <v>0</v>
      </c>
      <c r="H53" s="84">
        <f>IF(H18=0,0,1000000*H18/TrRail_act!H33)</f>
        <v>0</v>
      </c>
      <c r="I53" s="84">
        <f>IF(I18=0,0,1000000*I18/TrRail_act!I33)</f>
        <v>0</v>
      </c>
      <c r="J53" s="84">
        <f>IF(J18=0,0,1000000*J18/TrRail_act!J33)</f>
        <v>0</v>
      </c>
      <c r="K53" s="84">
        <f>IF(K18=0,0,1000000*K18/TrRail_act!K33)</f>
        <v>0</v>
      </c>
      <c r="L53" s="84">
        <f>IF(L18=0,0,1000000*L18/TrRail_act!L33)</f>
        <v>0</v>
      </c>
      <c r="M53" s="84">
        <f>IF(M18=0,0,1000000*M18/TrRail_act!M33)</f>
        <v>0</v>
      </c>
      <c r="N53" s="84">
        <f>IF(N18=0,0,1000000*N18/TrRail_act!N33)</f>
        <v>0</v>
      </c>
      <c r="O53" s="84">
        <f>IF(O18=0,0,1000000*O18/TrRail_act!O33)</f>
        <v>0</v>
      </c>
      <c r="P53" s="84">
        <f>IF(P18=0,0,1000000*P18/TrRail_act!P33)</f>
        <v>0</v>
      </c>
      <c r="Q53" s="84">
        <f>IF(Q18=0,0,1000000*Q18/TrRail_act!Q33)</f>
        <v>0</v>
      </c>
      <c r="R53" s="84">
        <f>IF(R18=0,0,1000000*R18/TrRail_act!R33)</f>
        <v>0</v>
      </c>
      <c r="S53" s="84">
        <f>IF(S18=0,0,1000000*S18/TrRail_act!S33)</f>
        <v>0</v>
      </c>
      <c r="T53" s="84">
        <f>IF(T18=0,0,1000000*T18/TrRail_act!T33)</f>
        <v>0</v>
      </c>
      <c r="U53" s="84">
        <f>IF(U18=0,0,1000000*U18/TrRail_act!U33)</f>
        <v>0</v>
      </c>
      <c r="V53" s="84">
        <f>IF(V18=0,0,1000000*V18/TrRail_act!V33)</f>
        <v>0</v>
      </c>
      <c r="W53" s="84">
        <f>IF(W18=0,0,1000000*W18/TrRail_act!W33)</f>
        <v>0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0</v>
      </c>
      <c r="C54" s="86">
        <f>IF(C19=0,0,1000000*C19/TrRail_act!C34)</f>
        <v>0</v>
      </c>
      <c r="D54" s="86">
        <f>IF(D19=0,0,1000000*D19/TrRail_act!D34)</f>
        <v>0</v>
      </c>
      <c r="E54" s="86">
        <f>IF(E19=0,0,1000000*E19/TrRail_act!E34)</f>
        <v>0</v>
      </c>
      <c r="F54" s="86">
        <f>IF(F19=0,0,1000000*F19/TrRail_act!F34)</f>
        <v>0</v>
      </c>
      <c r="G54" s="86">
        <f>IF(G19=0,0,1000000*G19/TrRail_act!G34)</f>
        <v>0</v>
      </c>
      <c r="H54" s="86">
        <f>IF(H19=0,0,1000000*H19/TrRail_act!H34)</f>
        <v>0</v>
      </c>
      <c r="I54" s="86">
        <f>IF(I19=0,0,1000000*I19/TrRail_act!I34)</f>
        <v>0</v>
      </c>
      <c r="J54" s="86">
        <f>IF(J19=0,0,1000000*J19/TrRail_act!J34)</f>
        <v>0</v>
      </c>
      <c r="K54" s="86">
        <f>IF(K19=0,0,1000000*K19/TrRail_act!K34)</f>
        <v>0</v>
      </c>
      <c r="L54" s="86">
        <f>IF(L19=0,0,1000000*L19/TrRail_act!L34)</f>
        <v>0</v>
      </c>
      <c r="M54" s="86">
        <f>IF(M19=0,0,1000000*M19/TrRail_act!M34)</f>
        <v>0</v>
      </c>
      <c r="N54" s="86">
        <f>IF(N19=0,0,1000000*N19/TrRail_act!N34)</f>
        <v>0</v>
      </c>
      <c r="O54" s="86">
        <f>IF(O19=0,0,1000000*O19/TrRail_act!O34)</f>
        <v>0</v>
      </c>
      <c r="P54" s="86">
        <f>IF(P19=0,0,1000000*P19/TrRail_act!P34)</f>
        <v>0</v>
      </c>
      <c r="Q54" s="86">
        <f>IF(Q19=0,0,1000000*Q19/TrRail_act!Q34)</f>
        <v>0</v>
      </c>
      <c r="R54" s="86">
        <f>IF(R19=0,0,1000000*R19/TrRail_act!R34)</f>
        <v>0</v>
      </c>
      <c r="S54" s="86">
        <f>IF(S19=0,0,1000000*S19/TrRail_act!S34)</f>
        <v>0</v>
      </c>
      <c r="T54" s="86">
        <f>IF(T19=0,0,1000000*T19/TrRail_act!T34)</f>
        <v>0</v>
      </c>
      <c r="U54" s="86">
        <f>IF(U19=0,0,1000000*U19/TrRail_act!U34)</f>
        <v>0</v>
      </c>
      <c r="V54" s="86">
        <f>IF(V19=0,0,1000000*V19/TrRail_act!V34)</f>
        <v>0</v>
      </c>
      <c r="W54" s="86">
        <f>IF(W19=0,0,1000000*W19/TrRail_act!W34)</f>
        <v>0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0</v>
      </c>
      <c r="C56" s="65">
        <f t="shared" ref="C56:V56" si="15">IF(C10=0,0,C10/C$10)</f>
        <v>0</v>
      </c>
      <c r="D56" s="65">
        <f t="shared" si="15"/>
        <v>0</v>
      </c>
      <c r="E56" s="65">
        <f t="shared" si="15"/>
        <v>0</v>
      </c>
      <c r="F56" s="65">
        <f t="shared" si="15"/>
        <v>0</v>
      </c>
      <c r="G56" s="65">
        <f t="shared" si="15"/>
        <v>0</v>
      </c>
      <c r="H56" s="65">
        <f t="shared" si="15"/>
        <v>0</v>
      </c>
      <c r="I56" s="65">
        <f t="shared" si="15"/>
        <v>0</v>
      </c>
      <c r="J56" s="65">
        <f t="shared" si="15"/>
        <v>0</v>
      </c>
      <c r="K56" s="65">
        <f t="shared" si="15"/>
        <v>0</v>
      </c>
      <c r="L56" s="65">
        <f t="shared" si="15"/>
        <v>0</v>
      </c>
      <c r="M56" s="65">
        <f t="shared" si="15"/>
        <v>0</v>
      </c>
      <c r="N56" s="65">
        <f t="shared" si="15"/>
        <v>0</v>
      </c>
      <c r="O56" s="65">
        <f t="shared" si="15"/>
        <v>0</v>
      </c>
      <c r="P56" s="65">
        <f t="shared" si="15"/>
        <v>0</v>
      </c>
      <c r="Q56" s="65">
        <f t="shared" si="15"/>
        <v>0</v>
      </c>
      <c r="R56" s="65">
        <f t="shared" si="15"/>
        <v>0</v>
      </c>
      <c r="S56" s="65">
        <f t="shared" si="15"/>
        <v>0</v>
      </c>
      <c r="T56" s="65">
        <f t="shared" si="15"/>
        <v>0</v>
      </c>
      <c r="U56" s="65">
        <f t="shared" si="15"/>
        <v>0</v>
      </c>
      <c r="V56" s="65">
        <f t="shared" si="15"/>
        <v>0</v>
      </c>
      <c r="W56" s="65">
        <f t="shared" ref="W56" si="16">IF(W10=0,0,W10/W$10)</f>
        <v>0</v>
      </c>
      <c r="DA56" s="172"/>
    </row>
    <row r="57" spans="1:105" ht="11.45" customHeight="1" x14ac:dyDescent="0.25">
      <c r="A57" s="27" t="s">
        <v>33</v>
      </c>
      <c r="B57" s="31">
        <f t="shared" si="14"/>
        <v>0</v>
      </c>
      <c r="C57" s="31">
        <f t="shared" ref="C57:V57" si="17">IF(C11=0,0,C11/C$10)</f>
        <v>0</v>
      </c>
      <c r="D57" s="31">
        <f t="shared" si="17"/>
        <v>0</v>
      </c>
      <c r="E57" s="31">
        <f t="shared" si="17"/>
        <v>0</v>
      </c>
      <c r="F57" s="31">
        <f t="shared" si="17"/>
        <v>0</v>
      </c>
      <c r="G57" s="31">
        <f t="shared" si="17"/>
        <v>0</v>
      </c>
      <c r="H57" s="31">
        <f t="shared" si="17"/>
        <v>0</v>
      </c>
      <c r="I57" s="31">
        <f t="shared" si="17"/>
        <v>0</v>
      </c>
      <c r="J57" s="31">
        <f t="shared" si="17"/>
        <v>0</v>
      </c>
      <c r="K57" s="31">
        <f t="shared" si="17"/>
        <v>0</v>
      </c>
      <c r="L57" s="31">
        <f t="shared" si="17"/>
        <v>0</v>
      </c>
      <c r="M57" s="31">
        <f t="shared" si="17"/>
        <v>0</v>
      </c>
      <c r="N57" s="31">
        <f t="shared" si="17"/>
        <v>0</v>
      </c>
      <c r="O57" s="31">
        <f t="shared" si="17"/>
        <v>0</v>
      </c>
      <c r="P57" s="31">
        <f t="shared" si="17"/>
        <v>0</v>
      </c>
      <c r="Q57" s="31">
        <f t="shared" si="17"/>
        <v>0</v>
      </c>
      <c r="R57" s="31">
        <f t="shared" si="17"/>
        <v>0</v>
      </c>
      <c r="S57" s="31">
        <f t="shared" si="17"/>
        <v>0</v>
      </c>
      <c r="T57" s="31">
        <f t="shared" si="17"/>
        <v>0</v>
      </c>
      <c r="U57" s="31">
        <f t="shared" si="17"/>
        <v>0</v>
      </c>
      <c r="V57" s="31">
        <f t="shared" si="17"/>
        <v>0</v>
      </c>
      <c r="W57" s="31">
        <f t="shared" ref="W57" si="18">IF(W11=0,0,W11/W$10)</f>
        <v>0</v>
      </c>
      <c r="DA57" s="173"/>
    </row>
    <row r="58" spans="1:105" ht="11.45" customHeight="1" x14ac:dyDescent="0.25">
      <c r="A58" s="107" t="s">
        <v>23</v>
      </c>
      <c r="B58" s="123">
        <f t="shared" si="14"/>
        <v>0</v>
      </c>
      <c r="C58" s="123">
        <f t="shared" ref="C58:V58" si="19">IF(C12=0,0,C12/C$10)</f>
        <v>0</v>
      </c>
      <c r="D58" s="123">
        <f t="shared" si="19"/>
        <v>0</v>
      </c>
      <c r="E58" s="123">
        <f t="shared" si="19"/>
        <v>0</v>
      </c>
      <c r="F58" s="123">
        <f t="shared" si="19"/>
        <v>0</v>
      </c>
      <c r="G58" s="123">
        <f t="shared" si="19"/>
        <v>0</v>
      </c>
      <c r="H58" s="123">
        <f t="shared" si="19"/>
        <v>0</v>
      </c>
      <c r="I58" s="123">
        <f t="shared" si="19"/>
        <v>0</v>
      </c>
      <c r="J58" s="123">
        <f t="shared" si="19"/>
        <v>0</v>
      </c>
      <c r="K58" s="123">
        <f t="shared" si="19"/>
        <v>0</v>
      </c>
      <c r="L58" s="123">
        <f t="shared" si="19"/>
        <v>0</v>
      </c>
      <c r="M58" s="123">
        <f t="shared" si="19"/>
        <v>0</v>
      </c>
      <c r="N58" s="123">
        <f t="shared" si="19"/>
        <v>0</v>
      </c>
      <c r="O58" s="123">
        <f t="shared" si="19"/>
        <v>0</v>
      </c>
      <c r="P58" s="123">
        <f t="shared" si="19"/>
        <v>0</v>
      </c>
      <c r="Q58" s="123">
        <f t="shared" si="19"/>
        <v>0</v>
      </c>
      <c r="R58" s="123">
        <f t="shared" si="19"/>
        <v>0</v>
      </c>
      <c r="S58" s="123">
        <f t="shared" si="19"/>
        <v>0</v>
      </c>
      <c r="T58" s="123">
        <f t="shared" si="19"/>
        <v>0</v>
      </c>
      <c r="U58" s="123">
        <f t="shared" si="19"/>
        <v>0</v>
      </c>
      <c r="V58" s="123">
        <f t="shared" si="19"/>
        <v>0</v>
      </c>
      <c r="W58" s="123">
        <f t="shared" ref="W58" si="20">IF(W12=0,0,W12/W$10)</f>
        <v>0</v>
      </c>
      <c r="DA58" s="203"/>
    </row>
    <row r="59" spans="1:105" ht="11.45" customHeight="1" x14ac:dyDescent="0.25">
      <c r="A59" s="109" t="s">
        <v>24</v>
      </c>
      <c r="B59" s="124">
        <f t="shared" si="14"/>
        <v>0</v>
      </c>
      <c r="C59" s="124">
        <f t="shared" ref="C59:V59" si="21">IF(C13=0,0,C13/C$10)</f>
        <v>0</v>
      </c>
      <c r="D59" s="124">
        <f t="shared" si="21"/>
        <v>0</v>
      </c>
      <c r="E59" s="124">
        <f t="shared" si="21"/>
        <v>0</v>
      </c>
      <c r="F59" s="124">
        <f t="shared" si="21"/>
        <v>0</v>
      </c>
      <c r="G59" s="124">
        <f t="shared" si="21"/>
        <v>0</v>
      </c>
      <c r="H59" s="124">
        <f t="shared" si="21"/>
        <v>0</v>
      </c>
      <c r="I59" s="124">
        <f t="shared" si="21"/>
        <v>0</v>
      </c>
      <c r="J59" s="124">
        <f t="shared" si="21"/>
        <v>0</v>
      </c>
      <c r="K59" s="124">
        <f t="shared" si="21"/>
        <v>0</v>
      </c>
      <c r="L59" s="124">
        <f t="shared" si="21"/>
        <v>0</v>
      </c>
      <c r="M59" s="124">
        <f t="shared" si="21"/>
        <v>0</v>
      </c>
      <c r="N59" s="124">
        <f t="shared" si="21"/>
        <v>0</v>
      </c>
      <c r="O59" s="124">
        <f t="shared" si="21"/>
        <v>0</v>
      </c>
      <c r="P59" s="124">
        <f t="shared" si="21"/>
        <v>0</v>
      </c>
      <c r="Q59" s="124">
        <f t="shared" si="21"/>
        <v>0</v>
      </c>
      <c r="R59" s="124">
        <f t="shared" si="21"/>
        <v>0</v>
      </c>
      <c r="S59" s="124">
        <f t="shared" si="21"/>
        <v>0</v>
      </c>
      <c r="T59" s="124">
        <f t="shared" si="21"/>
        <v>0</v>
      </c>
      <c r="U59" s="124">
        <f t="shared" si="21"/>
        <v>0</v>
      </c>
      <c r="V59" s="124">
        <f t="shared" si="21"/>
        <v>0</v>
      </c>
      <c r="W59" s="124">
        <f t="shared" ref="W59" si="22">IF(W13=0,0,W13/W$10)</f>
        <v>0</v>
      </c>
      <c r="DA59" s="176"/>
    </row>
    <row r="60" spans="1:105" ht="11.45" customHeight="1" x14ac:dyDescent="0.25">
      <c r="A60" s="111" t="s">
        <v>92</v>
      </c>
      <c r="B60" s="125">
        <f t="shared" si="14"/>
        <v>0</v>
      </c>
      <c r="C60" s="125">
        <f t="shared" ref="C60:V60" si="23">IF(C14=0,0,C14/C$10)</f>
        <v>0</v>
      </c>
      <c r="D60" s="125">
        <f t="shared" si="23"/>
        <v>0</v>
      </c>
      <c r="E60" s="125">
        <f t="shared" si="23"/>
        <v>0</v>
      </c>
      <c r="F60" s="125">
        <f t="shared" si="23"/>
        <v>0</v>
      </c>
      <c r="G60" s="125">
        <f t="shared" si="23"/>
        <v>0</v>
      </c>
      <c r="H60" s="125">
        <f t="shared" si="23"/>
        <v>0</v>
      </c>
      <c r="I60" s="125">
        <f t="shared" si="23"/>
        <v>0</v>
      </c>
      <c r="J60" s="125">
        <f t="shared" si="23"/>
        <v>0</v>
      </c>
      <c r="K60" s="125">
        <f t="shared" si="23"/>
        <v>0</v>
      </c>
      <c r="L60" s="125">
        <f t="shared" si="23"/>
        <v>0</v>
      </c>
      <c r="M60" s="125">
        <f t="shared" si="23"/>
        <v>0</v>
      </c>
      <c r="N60" s="125">
        <f t="shared" si="23"/>
        <v>0</v>
      </c>
      <c r="O60" s="125">
        <f t="shared" si="23"/>
        <v>0</v>
      </c>
      <c r="P60" s="125">
        <f t="shared" si="23"/>
        <v>0</v>
      </c>
      <c r="Q60" s="125">
        <f t="shared" si="23"/>
        <v>0</v>
      </c>
      <c r="R60" s="125">
        <f t="shared" si="23"/>
        <v>0</v>
      </c>
      <c r="S60" s="125">
        <f t="shared" si="23"/>
        <v>0</v>
      </c>
      <c r="T60" s="125">
        <f t="shared" si="23"/>
        <v>0</v>
      </c>
      <c r="U60" s="125">
        <f t="shared" si="23"/>
        <v>0</v>
      </c>
      <c r="V60" s="125">
        <f t="shared" si="23"/>
        <v>0</v>
      </c>
      <c r="W60" s="125">
        <f t="shared" ref="W60" si="24">IF(W14=0,0,W14/W$10)</f>
        <v>0</v>
      </c>
      <c r="DA60" s="171"/>
    </row>
    <row r="61" spans="1:105" ht="11.45" customHeight="1" x14ac:dyDescent="0.25">
      <c r="A61" s="111" t="s">
        <v>93</v>
      </c>
      <c r="B61" s="125">
        <f t="shared" si="14"/>
        <v>0</v>
      </c>
      <c r="C61" s="125">
        <f t="shared" ref="C61:V61" si="25">IF(C15=0,0,C15/C$10)</f>
        <v>0</v>
      </c>
      <c r="D61" s="125">
        <f t="shared" si="25"/>
        <v>0</v>
      </c>
      <c r="E61" s="125">
        <f t="shared" si="25"/>
        <v>0</v>
      </c>
      <c r="F61" s="125">
        <f t="shared" si="25"/>
        <v>0</v>
      </c>
      <c r="G61" s="125">
        <f t="shared" si="25"/>
        <v>0</v>
      </c>
      <c r="H61" s="125">
        <f t="shared" si="25"/>
        <v>0</v>
      </c>
      <c r="I61" s="125">
        <f t="shared" si="25"/>
        <v>0</v>
      </c>
      <c r="J61" s="125">
        <f t="shared" si="25"/>
        <v>0</v>
      </c>
      <c r="K61" s="125">
        <f t="shared" si="25"/>
        <v>0</v>
      </c>
      <c r="L61" s="125">
        <f t="shared" si="25"/>
        <v>0</v>
      </c>
      <c r="M61" s="125">
        <f t="shared" si="25"/>
        <v>0</v>
      </c>
      <c r="N61" s="125">
        <f t="shared" si="25"/>
        <v>0</v>
      </c>
      <c r="O61" s="125">
        <f t="shared" si="25"/>
        <v>0</v>
      </c>
      <c r="P61" s="125">
        <f t="shared" si="25"/>
        <v>0</v>
      </c>
      <c r="Q61" s="125">
        <f t="shared" si="25"/>
        <v>0</v>
      </c>
      <c r="R61" s="125">
        <f t="shared" si="25"/>
        <v>0</v>
      </c>
      <c r="S61" s="125">
        <f t="shared" si="25"/>
        <v>0</v>
      </c>
      <c r="T61" s="125">
        <f t="shared" si="25"/>
        <v>0</v>
      </c>
      <c r="U61" s="125">
        <f t="shared" si="25"/>
        <v>0</v>
      </c>
      <c r="V61" s="125">
        <f t="shared" si="25"/>
        <v>0</v>
      </c>
      <c r="W61" s="125">
        <f t="shared" ref="W61" si="26">IF(W15=0,0,W15/W$10)</f>
        <v>0</v>
      </c>
      <c r="DA61" s="171"/>
    </row>
    <row r="62" spans="1:105" ht="11.45" customHeight="1" x14ac:dyDescent="0.25">
      <c r="A62" s="112" t="s">
        <v>25</v>
      </c>
      <c r="B62" s="126">
        <f t="shared" si="14"/>
        <v>0</v>
      </c>
      <c r="C62" s="126">
        <f t="shared" ref="C62:V62" si="27">IF(C16=0,0,C16/C$10)</f>
        <v>0</v>
      </c>
      <c r="D62" s="126">
        <f t="shared" si="27"/>
        <v>0</v>
      </c>
      <c r="E62" s="126">
        <f t="shared" si="27"/>
        <v>0</v>
      </c>
      <c r="F62" s="126">
        <f t="shared" si="27"/>
        <v>0</v>
      </c>
      <c r="G62" s="126">
        <f t="shared" si="27"/>
        <v>0</v>
      </c>
      <c r="H62" s="126">
        <f t="shared" si="27"/>
        <v>0</v>
      </c>
      <c r="I62" s="126">
        <f t="shared" si="27"/>
        <v>0</v>
      </c>
      <c r="J62" s="126">
        <f t="shared" si="27"/>
        <v>0</v>
      </c>
      <c r="K62" s="126">
        <f t="shared" si="27"/>
        <v>0</v>
      </c>
      <c r="L62" s="126">
        <f t="shared" si="27"/>
        <v>0</v>
      </c>
      <c r="M62" s="126">
        <f t="shared" si="27"/>
        <v>0</v>
      </c>
      <c r="N62" s="126">
        <f t="shared" si="27"/>
        <v>0</v>
      </c>
      <c r="O62" s="126">
        <f t="shared" si="27"/>
        <v>0</v>
      </c>
      <c r="P62" s="126">
        <f t="shared" si="27"/>
        <v>0</v>
      </c>
      <c r="Q62" s="126">
        <f t="shared" si="27"/>
        <v>0</v>
      </c>
      <c r="R62" s="126">
        <f t="shared" si="27"/>
        <v>0</v>
      </c>
      <c r="S62" s="126">
        <f t="shared" si="27"/>
        <v>0</v>
      </c>
      <c r="T62" s="126">
        <f t="shared" si="27"/>
        <v>0</v>
      </c>
      <c r="U62" s="126">
        <f t="shared" si="27"/>
        <v>0</v>
      </c>
      <c r="V62" s="126">
        <f t="shared" si="27"/>
        <v>0</v>
      </c>
      <c r="W62" s="126">
        <f t="shared" ref="W62" si="28">IF(W16=0,0,W16/W$10)</f>
        <v>0</v>
      </c>
      <c r="DA62" s="204"/>
    </row>
    <row r="63" spans="1:105" ht="11.45" customHeight="1" x14ac:dyDescent="0.25">
      <c r="A63" s="27" t="s">
        <v>34</v>
      </c>
      <c r="B63" s="31">
        <f t="shared" si="14"/>
        <v>0</v>
      </c>
      <c r="C63" s="31">
        <f t="shared" ref="C63:V63" si="29">IF(C17=0,0,C17/C$10)</f>
        <v>0</v>
      </c>
      <c r="D63" s="31">
        <f t="shared" si="29"/>
        <v>0</v>
      </c>
      <c r="E63" s="31">
        <f t="shared" si="29"/>
        <v>0</v>
      </c>
      <c r="F63" s="31">
        <f t="shared" si="29"/>
        <v>0</v>
      </c>
      <c r="G63" s="31">
        <f t="shared" si="29"/>
        <v>0</v>
      </c>
      <c r="H63" s="31">
        <f t="shared" si="29"/>
        <v>0</v>
      </c>
      <c r="I63" s="31">
        <f t="shared" si="29"/>
        <v>0</v>
      </c>
      <c r="J63" s="31">
        <f t="shared" si="29"/>
        <v>0</v>
      </c>
      <c r="K63" s="31">
        <f t="shared" si="29"/>
        <v>0</v>
      </c>
      <c r="L63" s="31">
        <f t="shared" si="29"/>
        <v>0</v>
      </c>
      <c r="M63" s="31">
        <f t="shared" si="29"/>
        <v>0</v>
      </c>
      <c r="N63" s="31">
        <f t="shared" si="29"/>
        <v>0</v>
      </c>
      <c r="O63" s="31">
        <f t="shared" si="29"/>
        <v>0</v>
      </c>
      <c r="P63" s="31">
        <f t="shared" si="29"/>
        <v>0</v>
      </c>
      <c r="Q63" s="31">
        <f t="shared" si="29"/>
        <v>0</v>
      </c>
      <c r="R63" s="31">
        <f t="shared" si="29"/>
        <v>0</v>
      </c>
      <c r="S63" s="31">
        <f t="shared" si="29"/>
        <v>0</v>
      </c>
      <c r="T63" s="31">
        <f t="shared" si="29"/>
        <v>0</v>
      </c>
      <c r="U63" s="31">
        <f t="shared" si="29"/>
        <v>0</v>
      </c>
      <c r="V63" s="31">
        <f t="shared" si="29"/>
        <v>0</v>
      </c>
      <c r="W63" s="31">
        <f t="shared" ref="W63" si="30">IF(W17=0,0,W17/W$10)</f>
        <v>0</v>
      </c>
      <c r="DA63" s="173"/>
    </row>
    <row r="64" spans="1:105" ht="11.45" customHeight="1" x14ac:dyDescent="0.25">
      <c r="A64" s="83" t="s">
        <v>92</v>
      </c>
      <c r="B64" s="125">
        <f t="shared" si="14"/>
        <v>0</v>
      </c>
      <c r="C64" s="125">
        <f t="shared" ref="C64:V64" si="31">IF(C18=0,0,C18/C$10)</f>
        <v>0</v>
      </c>
      <c r="D64" s="125">
        <f t="shared" si="31"/>
        <v>0</v>
      </c>
      <c r="E64" s="125">
        <f t="shared" si="31"/>
        <v>0</v>
      </c>
      <c r="F64" s="125">
        <f t="shared" si="31"/>
        <v>0</v>
      </c>
      <c r="G64" s="125">
        <f t="shared" si="31"/>
        <v>0</v>
      </c>
      <c r="H64" s="125">
        <f t="shared" si="31"/>
        <v>0</v>
      </c>
      <c r="I64" s="125">
        <f t="shared" si="31"/>
        <v>0</v>
      </c>
      <c r="J64" s="125">
        <f t="shared" si="31"/>
        <v>0</v>
      </c>
      <c r="K64" s="125">
        <f t="shared" si="31"/>
        <v>0</v>
      </c>
      <c r="L64" s="125">
        <f t="shared" si="31"/>
        <v>0</v>
      </c>
      <c r="M64" s="125">
        <f t="shared" si="31"/>
        <v>0</v>
      </c>
      <c r="N64" s="125">
        <f t="shared" si="31"/>
        <v>0</v>
      </c>
      <c r="O64" s="125">
        <f t="shared" si="31"/>
        <v>0</v>
      </c>
      <c r="P64" s="125">
        <f t="shared" si="31"/>
        <v>0</v>
      </c>
      <c r="Q64" s="125">
        <f t="shared" si="31"/>
        <v>0</v>
      </c>
      <c r="R64" s="125">
        <f t="shared" si="31"/>
        <v>0</v>
      </c>
      <c r="S64" s="125">
        <f t="shared" si="31"/>
        <v>0</v>
      </c>
      <c r="T64" s="125">
        <f t="shared" si="31"/>
        <v>0</v>
      </c>
      <c r="U64" s="125">
        <f t="shared" si="31"/>
        <v>0</v>
      </c>
      <c r="V64" s="125">
        <f t="shared" si="31"/>
        <v>0</v>
      </c>
      <c r="W64" s="125">
        <f t="shared" ref="W64" si="32">IF(W18=0,0,W18/W$10)</f>
        <v>0</v>
      </c>
      <c r="DA64" s="171"/>
    </row>
    <row r="65" spans="1:105" ht="11.45" customHeight="1" x14ac:dyDescent="0.25">
      <c r="A65" s="85" t="s">
        <v>93</v>
      </c>
      <c r="B65" s="127">
        <f t="shared" si="14"/>
        <v>0</v>
      </c>
      <c r="C65" s="127">
        <f t="shared" ref="C65:V65" si="33">IF(C19=0,0,C19/C$10)</f>
        <v>0</v>
      </c>
      <c r="D65" s="127">
        <f t="shared" si="33"/>
        <v>0</v>
      </c>
      <c r="E65" s="127">
        <f t="shared" si="33"/>
        <v>0</v>
      </c>
      <c r="F65" s="127">
        <f t="shared" si="33"/>
        <v>0</v>
      </c>
      <c r="G65" s="127">
        <f t="shared" si="33"/>
        <v>0</v>
      </c>
      <c r="H65" s="127">
        <f t="shared" si="33"/>
        <v>0</v>
      </c>
      <c r="I65" s="127">
        <f t="shared" si="33"/>
        <v>0</v>
      </c>
      <c r="J65" s="127">
        <f t="shared" si="33"/>
        <v>0</v>
      </c>
      <c r="K65" s="127">
        <f t="shared" si="33"/>
        <v>0</v>
      </c>
      <c r="L65" s="127">
        <f t="shared" si="33"/>
        <v>0</v>
      </c>
      <c r="M65" s="127">
        <f t="shared" si="33"/>
        <v>0</v>
      </c>
      <c r="N65" s="127">
        <f t="shared" si="33"/>
        <v>0</v>
      </c>
      <c r="O65" s="127">
        <f t="shared" si="33"/>
        <v>0</v>
      </c>
      <c r="P65" s="127">
        <f t="shared" si="33"/>
        <v>0</v>
      </c>
      <c r="Q65" s="127">
        <f t="shared" si="33"/>
        <v>0</v>
      </c>
      <c r="R65" s="127">
        <f t="shared" si="33"/>
        <v>0</v>
      </c>
      <c r="S65" s="127">
        <f t="shared" si="33"/>
        <v>0</v>
      </c>
      <c r="T65" s="127">
        <f t="shared" si="33"/>
        <v>0</v>
      </c>
      <c r="U65" s="127">
        <f t="shared" si="33"/>
        <v>0</v>
      </c>
      <c r="V65" s="127">
        <f t="shared" si="33"/>
        <v>0</v>
      </c>
      <c r="W65" s="127">
        <f t="shared" ref="W65" si="34">IF(W19=0,0,W19/W$10)</f>
        <v>0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0</v>
      </c>
      <c r="C4" s="26">
        <f t="shared" ref="C4:W4" si="0">SUM(C5:C6)</f>
        <v>0</v>
      </c>
      <c r="D4" s="26">
        <f t="shared" si="0"/>
        <v>0</v>
      </c>
      <c r="E4" s="26">
        <f t="shared" si="0"/>
        <v>0</v>
      </c>
      <c r="F4" s="26">
        <f t="shared" si="0"/>
        <v>0</v>
      </c>
      <c r="G4" s="26">
        <f t="shared" si="0"/>
        <v>0</v>
      </c>
      <c r="H4" s="26">
        <f t="shared" si="0"/>
        <v>0</v>
      </c>
      <c r="I4" s="26">
        <f t="shared" si="0"/>
        <v>0</v>
      </c>
      <c r="J4" s="26">
        <f t="shared" si="0"/>
        <v>0</v>
      </c>
      <c r="K4" s="26">
        <f t="shared" si="0"/>
        <v>0</v>
      </c>
      <c r="L4" s="26">
        <f t="shared" si="0"/>
        <v>0</v>
      </c>
      <c r="M4" s="26">
        <f t="shared" si="0"/>
        <v>0</v>
      </c>
      <c r="N4" s="26">
        <f t="shared" si="0"/>
        <v>0</v>
      </c>
      <c r="O4" s="26">
        <f t="shared" si="0"/>
        <v>0</v>
      </c>
      <c r="P4" s="26">
        <f t="shared" si="0"/>
        <v>0</v>
      </c>
      <c r="Q4" s="26">
        <f t="shared" si="0"/>
        <v>0</v>
      </c>
      <c r="R4" s="26">
        <f t="shared" si="0"/>
        <v>0</v>
      </c>
      <c r="S4" s="26">
        <f t="shared" si="0"/>
        <v>0</v>
      </c>
      <c r="T4" s="26">
        <f t="shared" si="0"/>
        <v>0</v>
      </c>
      <c r="U4" s="26">
        <f t="shared" si="0"/>
        <v>0</v>
      </c>
      <c r="V4" s="26">
        <f t="shared" si="0"/>
        <v>0</v>
      </c>
      <c r="W4" s="26">
        <f t="shared" si="0"/>
        <v>0</v>
      </c>
      <c r="DA4" s="202" t="s">
        <v>1135</v>
      </c>
    </row>
    <row r="5" spans="1:105" ht="11.45" customHeight="1" x14ac:dyDescent="0.25">
      <c r="A5" s="107" t="s">
        <v>92</v>
      </c>
      <c r="B5" s="129">
        <v>0</v>
      </c>
      <c r="C5" s="129">
        <v>0</v>
      </c>
      <c r="D5" s="129">
        <v>0</v>
      </c>
      <c r="E5" s="129">
        <v>0</v>
      </c>
      <c r="F5" s="129">
        <v>0</v>
      </c>
      <c r="G5" s="129">
        <v>0</v>
      </c>
      <c r="H5" s="129">
        <v>0</v>
      </c>
      <c r="I5" s="129">
        <v>0</v>
      </c>
      <c r="J5" s="129">
        <v>0</v>
      </c>
      <c r="K5" s="129">
        <v>0</v>
      </c>
      <c r="L5" s="129">
        <v>0</v>
      </c>
      <c r="M5" s="129">
        <v>0</v>
      </c>
      <c r="N5" s="129">
        <v>0</v>
      </c>
      <c r="O5" s="129">
        <v>0</v>
      </c>
      <c r="P5" s="129">
        <v>0</v>
      </c>
      <c r="Q5" s="129">
        <v>0</v>
      </c>
      <c r="R5" s="129">
        <v>0</v>
      </c>
      <c r="S5" s="129">
        <v>0</v>
      </c>
      <c r="T5" s="129">
        <v>0</v>
      </c>
      <c r="U5" s="129">
        <v>0</v>
      </c>
      <c r="V5" s="129">
        <v>0</v>
      </c>
      <c r="W5" s="129">
        <v>0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0</v>
      </c>
      <c r="C8" s="79">
        <f t="shared" si="1"/>
        <v>0</v>
      </c>
      <c r="D8" s="79">
        <f t="shared" si="1"/>
        <v>0</v>
      </c>
      <c r="E8" s="79">
        <f t="shared" si="1"/>
        <v>0</v>
      </c>
      <c r="F8" s="79">
        <f t="shared" si="1"/>
        <v>0</v>
      </c>
      <c r="G8" s="79">
        <f t="shared" si="1"/>
        <v>0</v>
      </c>
      <c r="H8" s="79">
        <f t="shared" si="1"/>
        <v>0</v>
      </c>
      <c r="I8" s="79">
        <f t="shared" si="1"/>
        <v>0</v>
      </c>
      <c r="J8" s="79">
        <f t="shared" si="1"/>
        <v>0</v>
      </c>
      <c r="K8" s="79">
        <f t="shared" si="1"/>
        <v>0</v>
      </c>
      <c r="L8" s="79">
        <f t="shared" si="1"/>
        <v>0</v>
      </c>
      <c r="M8" s="79">
        <f t="shared" si="1"/>
        <v>0</v>
      </c>
      <c r="N8" s="79">
        <f t="shared" si="1"/>
        <v>0</v>
      </c>
      <c r="O8" s="79">
        <f t="shared" si="1"/>
        <v>0</v>
      </c>
      <c r="P8" s="79">
        <f t="shared" si="1"/>
        <v>0</v>
      </c>
      <c r="Q8" s="79">
        <f t="shared" si="1"/>
        <v>0</v>
      </c>
      <c r="R8" s="79">
        <f t="shared" si="1"/>
        <v>0</v>
      </c>
      <c r="S8" s="79">
        <f t="shared" si="1"/>
        <v>0</v>
      </c>
      <c r="T8" s="79">
        <f t="shared" si="1"/>
        <v>0</v>
      </c>
      <c r="U8" s="79">
        <f t="shared" si="1"/>
        <v>0</v>
      </c>
      <c r="V8" s="79">
        <f t="shared" si="1"/>
        <v>0</v>
      </c>
      <c r="W8" s="79">
        <f t="shared" si="1"/>
        <v>0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0</v>
      </c>
      <c r="C9" s="32">
        <f t="shared" si="2"/>
        <v>0</v>
      </c>
      <c r="D9" s="32">
        <f t="shared" si="2"/>
        <v>0</v>
      </c>
      <c r="E9" s="32">
        <f t="shared" si="2"/>
        <v>0</v>
      </c>
      <c r="F9" s="32">
        <f t="shared" si="2"/>
        <v>0</v>
      </c>
      <c r="G9" s="32">
        <f t="shared" si="2"/>
        <v>0</v>
      </c>
      <c r="H9" s="32">
        <f t="shared" si="2"/>
        <v>0</v>
      </c>
      <c r="I9" s="32">
        <f t="shared" si="2"/>
        <v>0</v>
      </c>
      <c r="J9" s="32">
        <f t="shared" si="2"/>
        <v>0</v>
      </c>
      <c r="K9" s="32">
        <f t="shared" si="2"/>
        <v>0</v>
      </c>
      <c r="L9" s="32">
        <f t="shared" si="2"/>
        <v>0</v>
      </c>
      <c r="M9" s="32">
        <f t="shared" si="2"/>
        <v>0</v>
      </c>
      <c r="N9" s="32">
        <f t="shared" si="2"/>
        <v>0</v>
      </c>
      <c r="O9" s="32">
        <f t="shared" si="2"/>
        <v>0</v>
      </c>
      <c r="P9" s="32">
        <f t="shared" si="2"/>
        <v>0</v>
      </c>
      <c r="Q9" s="32">
        <f t="shared" si="2"/>
        <v>0</v>
      </c>
      <c r="R9" s="32">
        <f t="shared" si="2"/>
        <v>0</v>
      </c>
      <c r="S9" s="32">
        <f t="shared" si="2"/>
        <v>0</v>
      </c>
      <c r="T9" s="32">
        <f t="shared" si="2"/>
        <v>0</v>
      </c>
      <c r="U9" s="32">
        <f t="shared" si="2"/>
        <v>0</v>
      </c>
      <c r="V9" s="32">
        <f t="shared" si="2"/>
        <v>0</v>
      </c>
      <c r="W9" s="32">
        <f t="shared" si="2"/>
        <v>0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0</v>
      </c>
      <c r="C11" s="130">
        <f t="shared" si="3"/>
        <v>0</v>
      </c>
      <c r="D11" s="130">
        <f t="shared" si="3"/>
        <v>0</v>
      </c>
      <c r="E11" s="130">
        <f t="shared" si="3"/>
        <v>0</v>
      </c>
      <c r="F11" s="130">
        <f t="shared" si="3"/>
        <v>0</v>
      </c>
      <c r="G11" s="130">
        <f t="shared" si="3"/>
        <v>0</v>
      </c>
      <c r="H11" s="130">
        <f t="shared" si="3"/>
        <v>0</v>
      </c>
      <c r="I11" s="130">
        <f t="shared" si="3"/>
        <v>0</v>
      </c>
      <c r="J11" s="130">
        <f t="shared" si="3"/>
        <v>0</v>
      </c>
      <c r="K11" s="130">
        <f t="shared" si="3"/>
        <v>0</v>
      </c>
      <c r="L11" s="130">
        <f t="shared" si="3"/>
        <v>0</v>
      </c>
      <c r="M11" s="130">
        <f t="shared" si="3"/>
        <v>0</v>
      </c>
      <c r="N11" s="130">
        <f t="shared" si="3"/>
        <v>0</v>
      </c>
      <c r="O11" s="130">
        <f t="shared" si="3"/>
        <v>0</v>
      </c>
      <c r="P11" s="130">
        <f t="shared" si="3"/>
        <v>0</v>
      </c>
      <c r="Q11" s="130">
        <f t="shared" si="3"/>
        <v>0</v>
      </c>
      <c r="R11" s="130">
        <f t="shared" si="3"/>
        <v>0</v>
      </c>
      <c r="S11" s="130">
        <f t="shared" si="3"/>
        <v>0</v>
      </c>
      <c r="T11" s="130">
        <f t="shared" si="3"/>
        <v>0</v>
      </c>
      <c r="U11" s="130">
        <f t="shared" si="3"/>
        <v>0</v>
      </c>
      <c r="V11" s="130">
        <f t="shared" si="3"/>
        <v>0</v>
      </c>
      <c r="W11" s="130">
        <f t="shared" si="3"/>
        <v>0</v>
      </c>
      <c r="DA11" s="176" t="s">
        <v>408</v>
      </c>
    </row>
    <row r="12" spans="1:105" ht="11.45" customHeight="1" x14ac:dyDescent="0.25">
      <c r="A12" s="111" t="s">
        <v>92</v>
      </c>
      <c r="B12" s="96">
        <v>0</v>
      </c>
      <c r="C12" s="96">
        <v>0</v>
      </c>
      <c r="D12" s="96">
        <v>0</v>
      </c>
      <c r="E12" s="96">
        <v>0</v>
      </c>
      <c r="F12" s="96">
        <v>0</v>
      </c>
      <c r="G12" s="96">
        <v>0</v>
      </c>
      <c r="H12" s="96">
        <v>0</v>
      </c>
      <c r="I12" s="96">
        <v>0</v>
      </c>
      <c r="J12" s="96">
        <v>0</v>
      </c>
      <c r="K12" s="96">
        <v>0</v>
      </c>
      <c r="L12" s="96">
        <v>0</v>
      </c>
      <c r="M12" s="96">
        <v>0</v>
      </c>
      <c r="N12" s="96">
        <v>0</v>
      </c>
      <c r="O12" s="96">
        <v>0</v>
      </c>
      <c r="P12" s="96">
        <v>0</v>
      </c>
      <c r="Q12" s="96">
        <v>0</v>
      </c>
      <c r="R12" s="96">
        <v>0</v>
      </c>
      <c r="S12" s="96">
        <v>0</v>
      </c>
      <c r="T12" s="96">
        <v>0</v>
      </c>
      <c r="U12" s="96">
        <v>0</v>
      </c>
      <c r="V12" s="96">
        <v>0</v>
      </c>
      <c r="W12" s="96">
        <v>0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0</v>
      </c>
      <c r="C15" s="32">
        <f t="shared" si="4"/>
        <v>0</v>
      </c>
      <c r="D15" s="32">
        <f t="shared" si="4"/>
        <v>0</v>
      </c>
      <c r="E15" s="32">
        <f t="shared" si="4"/>
        <v>0</v>
      </c>
      <c r="F15" s="32">
        <f t="shared" si="4"/>
        <v>0</v>
      </c>
      <c r="G15" s="32">
        <f t="shared" si="4"/>
        <v>0</v>
      </c>
      <c r="H15" s="32">
        <f t="shared" si="4"/>
        <v>0</v>
      </c>
      <c r="I15" s="32">
        <f t="shared" si="4"/>
        <v>0</v>
      </c>
      <c r="J15" s="32">
        <f t="shared" si="4"/>
        <v>0</v>
      </c>
      <c r="K15" s="32">
        <f t="shared" si="4"/>
        <v>0</v>
      </c>
      <c r="L15" s="32">
        <f t="shared" si="4"/>
        <v>0</v>
      </c>
      <c r="M15" s="32">
        <f t="shared" si="4"/>
        <v>0</v>
      </c>
      <c r="N15" s="32">
        <f t="shared" si="4"/>
        <v>0</v>
      </c>
      <c r="O15" s="32">
        <f t="shared" si="4"/>
        <v>0</v>
      </c>
      <c r="P15" s="32">
        <f t="shared" si="4"/>
        <v>0</v>
      </c>
      <c r="Q15" s="32">
        <f t="shared" si="4"/>
        <v>0</v>
      </c>
      <c r="R15" s="32">
        <f t="shared" si="4"/>
        <v>0</v>
      </c>
      <c r="S15" s="32">
        <f t="shared" si="4"/>
        <v>0</v>
      </c>
      <c r="T15" s="32">
        <f t="shared" si="4"/>
        <v>0</v>
      </c>
      <c r="U15" s="32">
        <f t="shared" si="4"/>
        <v>0</v>
      </c>
      <c r="V15" s="32">
        <f t="shared" si="4"/>
        <v>0</v>
      </c>
      <c r="W15" s="32">
        <f t="shared" si="4"/>
        <v>0</v>
      </c>
      <c r="DA15" s="173" t="s">
        <v>413</v>
      </c>
    </row>
    <row r="16" spans="1:105" ht="11.45" customHeight="1" x14ac:dyDescent="0.25">
      <c r="A16" s="83" t="s">
        <v>92</v>
      </c>
      <c r="B16" s="96">
        <v>0</v>
      </c>
      <c r="C16" s="96">
        <v>0</v>
      </c>
      <c r="D16" s="96">
        <v>0</v>
      </c>
      <c r="E16" s="96">
        <v>0</v>
      </c>
      <c r="F16" s="96">
        <v>0</v>
      </c>
      <c r="G16" s="96">
        <v>0</v>
      </c>
      <c r="H16" s="96">
        <v>0</v>
      </c>
      <c r="I16" s="96">
        <v>0</v>
      </c>
      <c r="J16" s="96">
        <v>0</v>
      </c>
      <c r="K16" s="96">
        <v>0</v>
      </c>
      <c r="L16" s="96">
        <v>0</v>
      </c>
      <c r="M16" s="96">
        <v>0</v>
      </c>
      <c r="N16" s="96">
        <v>0</v>
      </c>
      <c r="O16" s="96">
        <v>0</v>
      </c>
      <c r="P16" s="96">
        <v>0</v>
      </c>
      <c r="Q16" s="96">
        <v>0</v>
      </c>
      <c r="R16" s="96">
        <v>0</v>
      </c>
      <c r="S16" s="96">
        <v>0</v>
      </c>
      <c r="T16" s="96">
        <v>0</v>
      </c>
      <c r="U16" s="96">
        <v>0</v>
      </c>
      <c r="V16" s="96">
        <v>0</v>
      </c>
      <c r="W16" s="96">
        <v>0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0</v>
      </c>
      <c r="C22" s="134">
        <f>IF(C4=0,0,C4/TrRail_ene!C4)</f>
        <v>0</v>
      </c>
      <c r="D22" s="134">
        <f>IF(D4=0,0,D4/TrRail_ene!D4)</f>
        <v>0</v>
      </c>
      <c r="E22" s="134">
        <f>IF(E4=0,0,E4/TrRail_ene!E4)</f>
        <v>0</v>
      </c>
      <c r="F22" s="134">
        <f>IF(F4=0,0,F4/TrRail_ene!F4)</f>
        <v>0</v>
      </c>
      <c r="G22" s="134">
        <f>IF(G4=0,0,G4/TrRail_ene!G4)</f>
        <v>0</v>
      </c>
      <c r="H22" s="134">
        <f>IF(H4=0,0,H4/TrRail_ene!H4)</f>
        <v>0</v>
      </c>
      <c r="I22" s="134">
        <f>IF(I4=0,0,I4/TrRail_ene!I4)</f>
        <v>0</v>
      </c>
      <c r="J22" s="134">
        <f>IF(J4=0,0,J4/TrRail_ene!J4)</f>
        <v>0</v>
      </c>
      <c r="K22" s="134">
        <f>IF(K4=0,0,K4/TrRail_ene!K4)</f>
        <v>0</v>
      </c>
      <c r="L22" s="134">
        <f>IF(L4=0,0,L4/TrRail_ene!L4)</f>
        <v>0</v>
      </c>
      <c r="M22" s="134">
        <f>IF(M4=0,0,M4/TrRail_ene!M4)</f>
        <v>0</v>
      </c>
      <c r="N22" s="134">
        <f>IF(N4=0,0,N4/TrRail_ene!N4)</f>
        <v>0</v>
      </c>
      <c r="O22" s="134">
        <f>IF(O4=0,0,O4/TrRail_ene!O4)</f>
        <v>0</v>
      </c>
      <c r="P22" s="134">
        <f>IF(P4=0,0,P4/TrRail_ene!P4)</f>
        <v>0</v>
      </c>
      <c r="Q22" s="134">
        <f>IF(Q4=0,0,Q4/TrRail_ene!Q4)</f>
        <v>0</v>
      </c>
      <c r="R22" s="134">
        <f>IF(R4=0,0,R4/TrRail_ene!R4)</f>
        <v>0</v>
      </c>
      <c r="S22" s="134">
        <f>IF(S4=0,0,S4/TrRail_ene!S4)</f>
        <v>0</v>
      </c>
      <c r="T22" s="134">
        <f>IF(T4=0,0,T4/TrRail_ene!T4)</f>
        <v>0</v>
      </c>
      <c r="U22" s="134">
        <f>IF(U4=0,0,U4/TrRail_ene!U4)</f>
        <v>0</v>
      </c>
      <c r="V22" s="134">
        <f>IF(V4=0,0,V4/TrRail_ene!V4)</f>
        <v>0</v>
      </c>
      <c r="W22" s="134">
        <f>IF(W4=0,0,W4/TrRail_ene!W4)</f>
        <v>0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0</v>
      </c>
      <c r="C23" s="129">
        <f>IF(C5=0,0,C5/SUM(TrRail_ene!C5:C7))</f>
        <v>0</v>
      </c>
      <c r="D23" s="129">
        <f>IF(D5=0,0,D5/SUM(TrRail_ene!D5:D7))</f>
        <v>0</v>
      </c>
      <c r="E23" s="129">
        <f>IF(E5=0,0,E5/SUM(TrRail_ene!E5:E7))</f>
        <v>0</v>
      </c>
      <c r="F23" s="129">
        <f>IF(F5=0,0,F5/SUM(TrRail_ene!F5:F7))</f>
        <v>0</v>
      </c>
      <c r="G23" s="129">
        <f>IF(G5=0,0,G5/SUM(TrRail_ene!G5:G7))</f>
        <v>0</v>
      </c>
      <c r="H23" s="129">
        <f>IF(H5=0,0,H5/SUM(TrRail_ene!H5:H7))</f>
        <v>0</v>
      </c>
      <c r="I23" s="129">
        <f>IF(I5=0,0,I5/SUM(TrRail_ene!I5:I7))</f>
        <v>0</v>
      </c>
      <c r="J23" s="129">
        <f>IF(J5=0,0,J5/SUM(TrRail_ene!J5:J7))</f>
        <v>0</v>
      </c>
      <c r="K23" s="129">
        <f>IF(K5=0,0,K5/SUM(TrRail_ene!K5:K7))</f>
        <v>0</v>
      </c>
      <c r="L23" s="129">
        <f>IF(L5=0,0,L5/SUM(TrRail_ene!L5:L7))</f>
        <v>0</v>
      </c>
      <c r="M23" s="129">
        <f>IF(M5=0,0,M5/SUM(TrRail_ene!M5:M7))</f>
        <v>0</v>
      </c>
      <c r="N23" s="129">
        <f>IF(N5=0,0,N5/SUM(TrRail_ene!N5:N7))</f>
        <v>0</v>
      </c>
      <c r="O23" s="129">
        <f>IF(O5=0,0,O5/SUM(TrRail_ene!O5:O7))</f>
        <v>0</v>
      </c>
      <c r="P23" s="129">
        <f>IF(P5=0,0,P5/SUM(TrRail_ene!P5:P7))</f>
        <v>0</v>
      </c>
      <c r="Q23" s="129">
        <f>IF(Q5=0,0,Q5/SUM(TrRail_ene!Q5:Q7))</f>
        <v>0</v>
      </c>
      <c r="R23" s="129">
        <f>IF(R5=0,0,R5/SUM(TrRail_ene!R5:R7))</f>
        <v>0</v>
      </c>
      <c r="S23" s="129">
        <f>IF(S5=0,0,S5/SUM(TrRail_ene!S5:S7))</f>
        <v>0</v>
      </c>
      <c r="T23" s="129">
        <f>IF(T5=0,0,T5/SUM(TrRail_ene!T5:T7))</f>
        <v>0</v>
      </c>
      <c r="U23" s="129">
        <f>IF(U5=0,0,U5/SUM(TrRail_ene!U5:U7))</f>
        <v>0</v>
      </c>
      <c r="V23" s="129">
        <f>IF(V5=0,0,V5/SUM(TrRail_ene!V5:V7))</f>
        <v>0</v>
      </c>
      <c r="W23" s="129">
        <f>IF(W5=0,0,W5/SUM(TrRail_ene!W5:W7))</f>
        <v>0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0</v>
      </c>
      <c r="C26" s="54">
        <f>IF(C8=0,0,C8/TrRail_act!C14*1000)</f>
        <v>0</v>
      </c>
      <c r="D26" s="54">
        <f>IF(D8=0,0,D8/TrRail_act!D14*1000)</f>
        <v>0</v>
      </c>
      <c r="E26" s="54">
        <f>IF(E8=0,0,E8/TrRail_act!E14*1000)</f>
        <v>0</v>
      </c>
      <c r="F26" s="54">
        <f>IF(F8=0,0,F8/TrRail_act!F14*1000)</f>
        <v>0</v>
      </c>
      <c r="G26" s="54">
        <f>IF(G8=0,0,G8/TrRail_act!G14*1000)</f>
        <v>0</v>
      </c>
      <c r="H26" s="54">
        <f>IF(H8=0,0,H8/TrRail_act!H14*1000)</f>
        <v>0</v>
      </c>
      <c r="I26" s="54">
        <f>IF(I8=0,0,I8/TrRail_act!I14*1000)</f>
        <v>0</v>
      </c>
      <c r="J26" s="54">
        <f>IF(J8=0,0,J8/TrRail_act!J14*1000)</f>
        <v>0</v>
      </c>
      <c r="K26" s="54">
        <f>IF(K8=0,0,K8/TrRail_act!K14*1000)</f>
        <v>0</v>
      </c>
      <c r="L26" s="54">
        <f>IF(L8=0,0,L8/TrRail_act!L14*1000)</f>
        <v>0</v>
      </c>
      <c r="M26" s="54">
        <f>IF(M8=0,0,M8/TrRail_act!M14*1000)</f>
        <v>0</v>
      </c>
      <c r="N26" s="54">
        <f>IF(N8=0,0,N8/TrRail_act!N14*1000)</f>
        <v>0</v>
      </c>
      <c r="O26" s="54">
        <f>IF(O8=0,0,O8/TrRail_act!O14*1000)</f>
        <v>0</v>
      </c>
      <c r="P26" s="54">
        <f>IF(P8=0,0,P8/TrRail_act!P14*1000)</f>
        <v>0</v>
      </c>
      <c r="Q26" s="54">
        <f>IF(Q8=0,0,Q8/TrRail_act!Q14*1000)</f>
        <v>0</v>
      </c>
      <c r="R26" s="54">
        <f>IF(R8=0,0,R8/TrRail_act!R14*1000)</f>
        <v>0</v>
      </c>
      <c r="S26" s="54">
        <f>IF(S8=0,0,S8/TrRail_act!S14*1000)</f>
        <v>0</v>
      </c>
      <c r="T26" s="54">
        <f>IF(T8=0,0,T8/TrRail_act!T14*1000)</f>
        <v>0</v>
      </c>
      <c r="U26" s="54">
        <f>IF(U8=0,0,U8/TrRail_act!U14*1000)</f>
        <v>0</v>
      </c>
      <c r="V26" s="54">
        <f>IF(V8=0,0,V8/TrRail_act!V14*1000)</f>
        <v>0</v>
      </c>
      <c r="W26" s="54">
        <f>IF(W8=0,0,W8/TrRail_act!W14*1000)</f>
        <v>0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0</v>
      </c>
      <c r="C27" s="28">
        <f>IF(C9=0,0,C9/TrRail_act!C15*1000)</f>
        <v>0</v>
      </c>
      <c r="D27" s="28">
        <f>IF(D9=0,0,D9/TrRail_act!D15*1000)</f>
        <v>0</v>
      </c>
      <c r="E27" s="28">
        <f>IF(E9=0,0,E9/TrRail_act!E15*1000)</f>
        <v>0</v>
      </c>
      <c r="F27" s="28">
        <f>IF(F9=0,0,F9/TrRail_act!F15*1000)</f>
        <v>0</v>
      </c>
      <c r="G27" s="28">
        <f>IF(G9=0,0,G9/TrRail_act!G15*1000)</f>
        <v>0</v>
      </c>
      <c r="H27" s="28">
        <f>IF(H9=0,0,H9/TrRail_act!H15*1000)</f>
        <v>0</v>
      </c>
      <c r="I27" s="28">
        <f>IF(I9=0,0,I9/TrRail_act!I15*1000)</f>
        <v>0</v>
      </c>
      <c r="J27" s="28">
        <f>IF(J9=0,0,J9/TrRail_act!J15*1000)</f>
        <v>0</v>
      </c>
      <c r="K27" s="28">
        <f>IF(K9=0,0,K9/TrRail_act!K15*1000)</f>
        <v>0</v>
      </c>
      <c r="L27" s="28">
        <f>IF(L9=0,0,L9/TrRail_act!L15*1000)</f>
        <v>0</v>
      </c>
      <c r="M27" s="28">
        <f>IF(M9=0,0,M9/TrRail_act!M15*1000)</f>
        <v>0</v>
      </c>
      <c r="N27" s="28">
        <f>IF(N9=0,0,N9/TrRail_act!N15*1000)</f>
        <v>0</v>
      </c>
      <c r="O27" s="28">
        <f>IF(O9=0,0,O9/TrRail_act!O15*1000)</f>
        <v>0</v>
      </c>
      <c r="P27" s="28">
        <f>IF(P9=0,0,P9/TrRail_act!P15*1000)</f>
        <v>0</v>
      </c>
      <c r="Q27" s="28">
        <f>IF(Q9=0,0,Q9/TrRail_act!Q15*1000)</f>
        <v>0</v>
      </c>
      <c r="R27" s="28">
        <f>IF(R9=0,0,R9/TrRail_act!R15*1000)</f>
        <v>0</v>
      </c>
      <c r="S27" s="28">
        <f>IF(S9=0,0,S9/TrRail_act!S15*1000)</f>
        <v>0</v>
      </c>
      <c r="T27" s="28">
        <f>IF(T9=0,0,T9/TrRail_act!T15*1000)</f>
        <v>0</v>
      </c>
      <c r="U27" s="28">
        <f>IF(U9=0,0,U9/TrRail_act!U15*1000)</f>
        <v>0</v>
      </c>
      <c r="V27" s="28">
        <f>IF(V9=0,0,V9/TrRail_act!V15*1000)</f>
        <v>0</v>
      </c>
      <c r="W27" s="28">
        <f>IF(W9=0,0,W9/TrRail_act!W15*1000)</f>
        <v>0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0</v>
      </c>
      <c r="C29" s="110">
        <f>IF(C11=0,0,C11/TrRail_act!C17*1000)</f>
        <v>0</v>
      </c>
      <c r="D29" s="110">
        <f>IF(D11=0,0,D11/TrRail_act!D17*1000)</f>
        <v>0</v>
      </c>
      <c r="E29" s="110">
        <f>IF(E11=0,0,E11/TrRail_act!E17*1000)</f>
        <v>0</v>
      </c>
      <c r="F29" s="110">
        <f>IF(F11=0,0,F11/TrRail_act!F17*1000)</f>
        <v>0</v>
      </c>
      <c r="G29" s="110">
        <f>IF(G11=0,0,G11/TrRail_act!G17*1000)</f>
        <v>0</v>
      </c>
      <c r="H29" s="110">
        <f>IF(H11=0,0,H11/TrRail_act!H17*1000)</f>
        <v>0</v>
      </c>
      <c r="I29" s="110">
        <f>IF(I11=0,0,I11/TrRail_act!I17*1000)</f>
        <v>0</v>
      </c>
      <c r="J29" s="110">
        <f>IF(J11=0,0,J11/TrRail_act!J17*1000)</f>
        <v>0</v>
      </c>
      <c r="K29" s="110">
        <f>IF(K11=0,0,K11/TrRail_act!K17*1000)</f>
        <v>0</v>
      </c>
      <c r="L29" s="110">
        <f>IF(L11=0,0,L11/TrRail_act!L17*1000)</f>
        <v>0</v>
      </c>
      <c r="M29" s="110">
        <f>IF(M11=0,0,M11/TrRail_act!M17*1000)</f>
        <v>0</v>
      </c>
      <c r="N29" s="110">
        <f>IF(N11=0,0,N11/TrRail_act!N17*1000)</f>
        <v>0</v>
      </c>
      <c r="O29" s="110">
        <f>IF(O11=0,0,O11/TrRail_act!O17*1000)</f>
        <v>0</v>
      </c>
      <c r="P29" s="110">
        <f>IF(P11=0,0,P11/TrRail_act!P17*1000)</f>
        <v>0</v>
      </c>
      <c r="Q29" s="110">
        <f>IF(Q11=0,0,Q11/TrRail_act!Q17*1000)</f>
        <v>0</v>
      </c>
      <c r="R29" s="110">
        <f>IF(R11=0,0,R11/TrRail_act!R17*1000)</f>
        <v>0</v>
      </c>
      <c r="S29" s="110">
        <f>IF(S11=0,0,S11/TrRail_act!S17*1000)</f>
        <v>0</v>
      </c>
      <c r="T29" s="110">
        <f>IF(T11=0,0,T11/TrRail_act!T17*1000)</f>
        <v>0</v>
      </c>
      <c r="U29" s="110">
        <f>IF(U11=0,0,U11/TrRail_act!U17*1000)</f>
        <v>0</v>
      </c>
      <c r="V29" s="110">
        <f>IF(V11=0,0,V11/TrRail_act!V17*1000)</f>
        <v>0</v>
      </c>
      <c r="W29" s="110">
        <f>IF(W11=0,0,W11/TrRail_act!W17*1000)</f>
        <v>0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0</v>
      </c>
      <c r="C30" s="84">
        <f>IF(C12=0,0,C12/TrRail_act!C18*1000)</f>
        <v>0</v>
      </c>
      <c r="D30" s="84">
        <f>IF(D12=0,0,D12/TrRail_act!D18*1000)</f>
        <v>0</v>
      </c>
      <c r="E30" s="84">
        <f>IF(E12=0,0,E12/TrRail_act!E18*1000)</f>
        <v>0</v>
      </c>
      <c r="F30" s="84">
        <f>IF(F12=0,0,F12/TrRail_act!F18*1000)</f>
        <v>0</v>
      </c>
      <c r="G30" s="84">
        <f>IF(G12=0,0,G12/TrRail_act!G18*1000)</f>
        <v>0</v>
      </c>
      <c r="H30" s="84">
        <f>IF(H12=0,0,H12/TrRail_act!H18*1000)</f>
        <v>0</v>
      </c>
      <c r="I30" s="84">
        <f>IF(I12=0,0,I12/TrRail_act!I18*1000)</f>
        <v>0</v>
      </c>
      <c r="J30" s="84">
        <f>IF(J12=0,0,J12/TrRail_act!J18*1000)</f>
        <v>0</v>
      </c>
      <c r="K30" s="84">
        <f>IF(K12=0,0,K12/TrRail_act!K18*1000)</f>
        <v>0</v>
      </c>
      <c r="L30" s="84">
        <f>IF(L12=0,0,L12/TrRail_act!L18*1000)</f>
        <v>0</v>
      </c>
      <c r="M30" s="84">
        <f>IF(M12=0,0,M12/TrRail_act!M18*1000)</f>
        <v>0</v>
      </c>
      <c r="N30" s="84">
        <f>IF(N12=0,0,N12/TrRail_act!N18*1000)</f>
        <v>0</v>
      </c>
      <c r="O30" s="84">
        <f>IF(O12=0,0,O12/TrRail_act!O18*1000)</f>
        <v>0</v>
      </c>
      <c r="P30" s="84">
        <f>IF(P12=0,0,P12/TrRail_act!P18*1000)</f>
        <v>0</v>
      </c>
      <c r="Q30" s="84">
        <f>IF(Q12=0,0,Q12/TrRail_act!Q18*1000)</f>
        <v>0</v>
      </c>
      <c r="R30" s="84">
        <f>IF(R12=0,0,R12/TrRail_act!R18*1000)</f>
        <v>0</v>
      </c>
      <c r="S30" s="84">
        <f>IF(S12=0,0,S12/TrRail_act!S18*1000)</f>
        <v>0</v>
      </c>
      <c r="T30" s="84">
        <f>IF(T12=0,0,T12/TrRail_act!T18*1000)</f>
        <v>0</v>
      </c>
      <c r="U30" s="84">
        <f>IF(U12=0,0,U12/TrRail_act!U18*1000)</f>
        <v>0</v>
      </c>
      <c r="V30" s="84">
        <f>IF(V12=0,0,V12/TrRail_act!V18*1000)</f>
        <v>0</v>
      </c>
      <c r="W30" s="84">
        <f>IF(W12=0,0,W12/TrRail_act!W18*1000)</f>
        <v>0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0</v>
      </c>
      <c r="C33" s="28">
        <f>IF(C15=0,0,C15/TrRail_act!C21*1000)</f>
        <v>0</v>
      </c>
      <c r="D33" s="28">
        <f>IF(D15=0,0,D15/TrRail_act!D21*1000)</f>
        <v>0</v>
      </c>
      <c r="E33" s="28">
        <f>IF(E15=0,0,E15/TrRail_act!E21*1000)</f>
        <v>0</v>
      </c>
      <c r="F33" s="28">
        <f>IF(F15=0,0,F15/TrRail_act!F21*1000)</f>
        <v>0</v>
      </c>
      <c r="G33" s="28">
        <f>IF(G15=0,0,G15/TrRail_act!G21*1000)</f>
        <v>0</v>
      </c>
      <c r="H33" s="28">
        <f>IF(H15=0,0,H15/TrRail_act!H21*1000)</f>
        <v>0</v>
      </c>
      <c r="I33" s="28">
        <f>IF(I15=0,0,I15/TrRail_act!I21*1000)</f>
        <v>0</v>
      </c>
      <c r="J33" s="28">
        <f>IF(J15=0,0,J15/TrRail_act!J21*1000)</f>
        <v>0</v>
      </c>
      <c r="K33" s="28">
        <f>IF(K15=0,0,K15/TrRail_act!K21*1000)</f>
        <v>0</v>
      </c>
      <c r="L33" s="28">
        <f>IF(L15=0,0,L15/TrRail_act!L21*1000)</f>
        <v>0</v>
      </c>
      <c r="M33" s="28">
        <f>IF(M15=0,0,M15/TrRail_act!M21*1000)</f>
        <v>0</v>
      </c>
      <c r="N33" s="28">
        <f>IF(N15=0,0,N15/TrRail_act!N21*1000)</f>
        <v>0</v>
      </c>
      <c r="O33" s="28">
        <f>IF(O15=0,0,O15/TrRail_act!O21*1000)</f>
        <v>0</v>
      </c>
      <c r="P33" s="28">
        <f>IF(P15=0,0,P15/TrRail_act!P21*1000)</f>
        <v>0</v>
      </c>
      <c r="Q33" s="28">
        <f>IF(Q15=0,0,Q15/TrRail_act!Q21*1000)</f>
        <v>0</v>
      </c>
      <c r="R33" s="28">
        <f>IF(R15=0,0,R15/TrRail_act!R21*1000)</f>
        <v>0</v>
      </c>
      <c r="S33" s="28">
        <f>IF(S15=0,0,S15/TrRail_act!S21*1000)</f>
        <v>0</v>
      </c>
      <c r="T33" s="28">
        <f>IF(T15=0,0,T15/TrRail_act!T21*1000)</f>
        <v>0</v>
      </c>
      <c r="U33" s="28">
        <f>IF(U15=0,0,U15/TrRail_act!U21*1000)</f>
        <v>0</v>
      </c>
      <c r="V33" s="28">
        <f>IF(V15=0,0,V15/TrRail_act!V21*1000)</f>
        <v>0</v>
      </c>
      <c r="W33" s="28">
        <f>IF(W15=0,0,W15/TrRail_act!W21*1000)</f>
        <v>0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0</v>
      </c>
      <c r="C34" s="84">
        <f>IF(C16=0,0,C16/TrRail_act!C22*1000)</f>
        <v>0</v>
      </c>
      <c r="D34" s="84">
        <f>IF(D16=0,0,D16/TrRail_act!D22*1000)</f>
        <v>0</v>
      </c>
      <c r="E34" s="84">
        <f>IF(E16=0,0,E16/TrRail_act!E22*1000)</f>
        <v>0</v>
      </c>
      <c r="F34" s="84">
        <f>IF(F16=0,0,F16/TrRail_act!F22*1000)</f>
        <v>0</v>
      </c>
      <c r="G34" s="84">
        <f>IF(G16=0,0,G16/TrRail_act!G22*1000)</f>
        <v>0</v>
      </c>
      <c r="H34" s="84">
        <f>IF(H16=0,0,H16/TrRail_act!H22*1000)</f>
        <v>0</v>
      </c>
      <c r="I34" s="84">
        <f>IF(I16=0,0,I16/TrRail_act!I22*1000)</f>
        <v>0</v>
      </c>
      <c r="J34" s="84">
        <f>IF(J16=0,0,J16/TrRail_act!J22*1000)</f>
        <v>0</v>
      </c>
      <c r="K34" s="84">
        <f>IF(K16=0,0,K16/TrRail_act!K22*1000)</f>
        <v>0</v>
      </c>
      <c r="L34" s="84">
        <f>IF(L16=0,0,L16/TrRail_act!L22*1000)</f>
        <v>0</v>
      </c>
      <c r="M34" s="84">
        <f>IF(M16=0,0,M16/TrRail_act!M22*1000)</f>
        <v>0</v>
      </c>
      <c r="N34" s="84">
        <f>IF(N16=0,0,N16/TrRail_act!N22*1000)</f>
        <v>0</v>
      </c>
      <c r="O34" s="84">
        <f>IF(O16=0,0,O16/TrRail_act!O22*1000)</f>
        <v>0</v>
      </c>
      <c r="P34" s="84">
        <f>IF(P16=0,0,P16/TrRail_act!P22*1000)</f>
        <v>0</v>
      </c>
      <c r="Q34" s="84">
        <f>IF(Q16=0,0,Q16/TrRail_act!Q22*1000)</f>
        <v>0</v>
      </c>
      <c r="R34" s="84">
        <f>IF(R16=0,0,R16/TrRail_act!R22*1000)</f>
        <v>0</v>
      </c>
      <c r="S34" s="84">
        <f>IF(S16=0,0,S16/TrRail_act!S22*1000)</f>
        <v>0</v>
      </c>
      <c r="T34" s="84">
        <f>IF(T16=0,0,T16/TrRail_act!T22*1000)</f>
        <v>0</v>
      </c>
      <c r="U34" s="84">
        <f>IF(U16=0,0,U16/TrRail_act!U22*1000)</f>
        <v>0</v>
      </c>
      <c r="V34" s="84">
        <f>IF(V16=0,0,V16/TrRail_act!V22*1000)</f>
        <v>0</v>
      </c>
      <c r="W34" s="84">
        <f>IF(W16=0,0,W16/TrRail_act!W22*1000)</f>
        <v>0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0</v>
      </c>
      <c r="C38" s="29">
        <f>IF(C9=0,0,C9/TrRail_act!C4*1000)</f>
        <v>0</v>
      </c>
      <c r="D38" s="29">
        <f>IF(D9=0,0,D9/TrRail_act!D4*1000)</f>
        <v>0</v>
      </c>
      <c r="E38" s="29">
        <f>IF(E9=0,0,E9/TrRail_act!E4*1000)</f>
        <v>0</v>
      </c>
      <c r="F38" s="29">
        <f>IF(F9=0,0,F9/TrRail_act!F4*1000)</f>
        <v>0</v>
      </c>
      <c r="G38" s="29">
        <f>IF(G9=0,0,G9/TrRail_act!G4*1000)</f>
        <v>0</v>
      </c>
      <c r="H38" s="29">
        <f>IF(H9=0,0,H9/TrRail_act!H4*1000)</f>
        <v>0</v>
      </c>
      <c r="I38" s="29">
        <f>IF(I9=0,0,I9/TrRail_act!I4*1000)</f>
        <v>0</v>
      </c>
      <c r="J38" s="29">
        <f>IF(J9=0,0,J9/TrRail_act!J4*1000)</f>
        <v>0</v>
      </c>
      <c r="K38" s="29">
        <f>IF(K9=0,0,K9/TrRail_act!K4*1000)</f>
        <v>0</v>
      </c>
      <c r="L38" s="29">
        <f>IF(L9=0,0,L9/TrRail_act!L4*1000)</f>
        <v>0</v>
      </c>
      <c r="M38" s="29">
        <f>IF(M9=0,0,M9/TrRail_act!M4*1000)</f>
        <v>0</v>
      </c>
      <c r="N38" s="29">
        <f>IF(N9=0,0,N9/TrRail_act!N4*1000)</f>
        <v>0</v>
      </c>
      <c r="O38" s="29">
        <f>IF(O9=0,0,O9/TrRail_act!O4*1000)</f>
        <v>0</v>
      </c>
      <c r="P38" s="29">
        <f>IF(P9=0,0,P9/TrRail_act!P4*1000)</f>
        <v>0</v>
      </c>
      <c r="Q38" s="29">
        <f>IF(Q9=0,0,Q9/TrRail_act!Q4*1000)</f>
        <v>0</v>
      </c>
      <c r="R38" s="29">
        <f>IF(R9=0,0,R9/TrRail_act!R4*1000)</f>
        <v>0</v>
      </c>
      <c r="S38" s="29">
        <f>IF(S9=0,0,S9/TrRail_act!S4*1000)</f>
        <v>0</v>
      </c>
      <c r="T38" s="29">
        <f>IF(T9=0,0,T9/TrRail_act!T4*1000)</f>
        <v>0</v>
      </c>
      <c r="U38" s="29">
        <f>IF(U9=0,0,U9/TrRail_act!U4*1000)</f>
        <v>0</v>
      </c>
      <c r="V38" s="29">
        <f>IF(V9=0,0,V9/TrRail_act!V4*1000)</f>
        <v>0</v>
      </c>
      <c r="W38" s="29">
        <f>IF(W9=0,0,W9/TrRail_act!W4*1000)</f>
        <v>0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0</v>
      </c>
      <c r="C40" s="116">
        <f>IF(C11=0,0,C11/TrRail_act!C6*1000)</f>
        <v>0</v>
      </c>
      <c r="D40" s="116">
        <f>IF(D11=0,0,D11/TrRail_act!D6*1000)</f>
        <v>0</v>
      </c>
      <c r="E40" s="116">
        <f>IF(E11=0,0,E11/TrRail_act!E6*1000)</f>
        <v>0</v>
      </c>
      <c r="F40" s="116">
        <f>IF(F11=0,0,F11/TrRail_act!F6*1000)</f>
        <v>0</v>
      </c>
      <c r="G40" s="116">
        <f>IF(G11=0,0,G11/TrRail_act!G6*1000)</f>
        <v>0</v>
      </c>
      <c r="H40" s="116">
        <f>IF(H11=0,0,H11/TrRail_act!H6*1000)</f>
        <v>0</v>
      </c>
      <c r="I40" s="116">
        <f>IF(I11=0,0,I11/TrRail_act!I6*1000)</f>
        <v>0</v>
      </c>
      <c r="J40" s="116">
        <f>IF(J11=0,0,J11/TrRail_act!J6*1000)</f>
        <v>0</v>
      </c>
      <c r="K40" s="116">
        <f>IF(K11=0,0,K11/TrRail_act!K6*1000)</f>
        <v>0</v>
      </c>
      <c r="L40" s="116">
        <f>IF(L11=0,0,L11/TrRail_act!L6*1000)</f>
        <v>0</v>
      </c>
      <c r="M40" s="116">
        <f>IF(M11=0,0,M11/TrRail_act!M6*1000)</f>
        <v>0</v>
      </c>
      <c r="N40" s="116">
        <f>IF(N11=0,0,N11/TrRail_act!N6*1000)</f>
        <v>0</v>
      </c>
      <c r="O40" s="116">
        <f>IF(O11=0,0,O11/TrRail_act!O6*1000)</f>
        <v>0</v>
      </c>
      <c r="P40" s="116">
        <f>IF(P11=0,0,P11/TrRail_act!P6*1000)</f>
        <v>0</v>
      </c>
      <c r="Q40" s="116">
        <f>IF(Q11=0,0,Q11/TrRail_act!Q6*1000)</f>
        <v>0</v>
      </c>
      <c r="R40" s="116">
        <f>IF(R11=0,0,R11/TrRail_act!R6*1000)</f>
        <v>0</v>
      </c>
      <c r="S40" s="116">
        <f>IF(S11=0,0,S11/TrRail_act!S6*1000)</f>
        <v>0</v>
      </c>
      <c r="T40" s="116">
        <f>IF(T11=0,0,T11/TrRail_act!T6*1000)</f>
        <v>0</v>
      </c>
      <c r="U40" s="116">
        <f>IF(U11=0,0,U11/TrRail_act!U6*1000)</f>
        <v>0</v>
      </c>
      <c r="V40" s="116">
        <f>IF(V11=0,0,V11/TrRail_act!V6*1000)</f>
        <v>0</v>
      </c>
      <c r="W40" s="116">
        <f>IF(W11=0,0,W11/TrRail_act!W6*1000)</f>
        <v>0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0</v>
      </c>
      <c r="C41" s="87">
        <f>IF(C12=0,0,C12/TrRail_act!C7*1000)</f>
        <v>0</v>
      </c>
      <c r="D41" s="87">
        <f>IF(D12=0,0,D12/TrRail_act!D7*1000)</f>
        <v>0</v>
      </c>
      <c r="E41" s="87">
        <f>IF(E12=0,0,E12/TrRail_act!E7*1000)</f>
        <v>0</v>
      </c>
      <c r="F41" s="87">
        <f>IF(F12=0,0,F12/TrRail_act!F7*1000)</f>
        <v>0</v>
      </c>
      <c r="G41" s="87">
        <f>IF(G12=0,0,G12/TrRail_act!G7*1000)</f>
        <v>0</v>
      </c>
      <c r="H41" s="87">
        <f>IF(H12=0,0,H12/TrRail_act!H7*1000)</f>
        <v>0</v>
      </c>
      <c r="I41" s="87">
        <f>IF(I12=0,0,I12/TrRail_act!I7*1000)</f>
        <v>0</v>
      </c>
      <c r="J41" s="87">
        <f>IF(J12=0,0,J12/TrRail_act!J7*1000)</f>
        <v>0</v>
      </c>
      <c r="K41" s="87">
        <f>IF(K12=0,0,K12/TrRail_act!K7*1000)</f>
        <v>0</v>
      </c>
      <c r="L41" s="87">
        <f>IF(L12=0,0,L12/TrRail_act!L7*1000)</f>
        <v>0</v>
      </c>
      <c r="M41" s="87">
        <f>IF(M12=0,0,M12/TrRail_act!M7*1000)</f>
        <v>0</v>
      </c>
      <c r="N41" s="87">
        <f>IF(N12=0,0,N12/TrRail_act!N7*1000)</f>
        <v>0</v>
      </c>
      <c r="O41" s="87">
        <f>IF(O12=0,0,O12/TrRail_act!O7*1000)</f>
        <v>0</v>
      </c>
      <c r="P41" s="87">
        <f>IF(P12=0,0,P12/TrRail_act!P7*1000)</f>
        <v>0</v>
      </c>
      <c r="Q41" s="87">
        <f>IF(Q12=0,0,Q12/TrRail_act!Q7*1000)</f>
        <v>0</v>
      </c>
      <c r="R41" s="87">
        <f>IF(R12=0,0,R12/TrRail_act!R7*1000)</f>
        <v>0</v>
      </c>
      <c r="S41" s="87">
        <f>IF(S12=0,0,S12/TrRail_act!S7*1000)</f>
        <v>0</v>
      </c>
      <c r="T41" s="87">
        <f>IF(T12=0,0,T12/TrRail_act!T7*1000)</f>
        <v>0</v>
      </c>
      <c r="U41" s="87">
        <f>IF(U12=0,0,U12/TrRail_act!U7*1000)</f>
        <v>0</v>
      </c>
      <c r="V41" s="87">
        <f>IF(V12=0,0,V12/TrRail_act!V7*1000)</f>
        <v>0</v>
      </c>
      <c r="W41" s="87">
        <f>IF(W12=0,0,W12/TrRail_act!W7*1000)</f>
        <v>0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0</v>
      </c>
      <c r="C44" s="29">
        <f>IF(C15=0,0,C15/TrRail_act!C10*1000)</f>
        <v>0</v>
      </c>
      <c r="D44" s="29">
        <f>IF(D15=0,0,D15/TrRail_act!D10*1000)</f>
        <v>0</v>
      </c>
      <c r="E44" s="29">
        <f>IF(E15=0,0,E15/TrRail_act!E10*1000)</f>
        <v>0</v>
      </c>
      <c r="F44" s="29">
        <f>IF(F15=0,0,F15/TrRail_act!F10*1000)</f>
        <v>0</v>
      </c>
      <c r="G44" s="29">
        <f>IF(G15=0,0,G15/TrRail_act!G10*1000)</f>
        <v>0</v>
      </c>
      <c r="H44" s="29">
        <f>IF(H15=0,0,H15/TrRail_act!H10*1000)</f>
        <v>0</v>
      </c>
      <c r="I44" s="29">
        <f>IF(I15=0,0,I15/TrRail_act!I10*1000)</f>
        <v>0</v>
      </c>
      <c r="J44" s="29">
        <f>IF(J15=0,0,J15/TrRail_act!J10*1000)</f>
        <v>0</v>
      </c>
      <c r="K44" s="29">
        <f>IF(K15=0,0,K15/TrRail_act!K10*1000)</f>
        <v>0</v>
      </c>
      <c r="L44" s="29">
        <f>IF(L15=0,0,L15/TrRail_act!L10*1000)</f>
        <v>0</v>
      </c>
      <c r="M44" s="29">
        <f>IF(M15=0,0,M15/TrRail_act!M10*1000)</f>
        <v>0</v>
      </c>
      <c r="N44" s="29">
        <f>IF(N15=0,0,N15/TrRail_act!N10*1000)</f>
        <v>0</v>
      </c>
      <c r="O44" s="29">
        <f>IF(O15=0,0,O15/TrRail_act!O10*1000)</f>
        <v>0</v>
      </c>
      <c r="P44" s="29">
        <f>IF(P15=0,0,P15/TrRail_act!P10*1000)</f>
        <v>0</v>
      </c>
      <c r="Q44" s="29">
        <f>IF(Q15=0,0,Q15/TrRail_act!Q10*1000)</f>
        <v>0</v>
      </c>
      <c r="R44" s="29">
        <f>IF(R15=0,0,R15/TrRail_act!R10*1000)</f>
        <v>0</v>
      </c>
      <c r="S44" s="29">
        <f>IF(S15=0,0,S15/TrRail_act!S10*1000)</f>
        <v>0</v>
      </c>
      <c r="T44" s="29">
        <f>IF(T15=0,0,T15/TrRail_act!T10*1000)</f>
        <v>0</v>
      </c>
      <c r="U44" s="29">
        <f>IF(U15=0,0,U15/TrRail_act!U10*1000)</f>
        <v>0</v>
      </c>
      <c r="V44" s="29">
        <f>IF(V15=0,0,V15/TrRail_act!V10*1000)</f>
        <v>0</v>
      </c>
      <c r="W44" s="29">
        <f>IF(W15=0,0,W15/TrRail_act!W10*1000)</f>
        <v>0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0</v>
      </c>
      <c r="C45" s="87">
        <f>IF(C16=0,0,C16/TrRail_act!C11*1000)</f>
        <v>0</v>
      </c>
      <c r="D45" s="87">
        <f>IF(D16=0,0,D16/TrRail_act!D11*1000)</f>
        <v>0</v>
      </c>
      <c r="E45" s="87">
        <f>IF(E16=0,0,E16/TrRail_act!E11*1000)</f>
        <v>0</v>
      </c>
      <c r="F45" s="87">
        <f>IF(F16=0,0,F16/TrRail_act!F11*1000)</f>
        <v>0</v>
      </c>
      <c r="G45" s="87">
        <f>IF(G16=0,0,G16/TrRail_act!G11*1000)</f>
        <v>0</v>
      </c>
      <c r="H45" s="87">
        <f>IF(H16=0,0,H16/TrRail_act!H11*1000)</f>
        <v>0</v>
      </c>
      <c r="I45" s="87">
        <f>IF(I16=0,0,I16/TrRail_act!I11*1000)</f>
        <v>0</v>
      </c>
      <c r="J45" s="87">
        <f>IF(J16=0,0,J16/TrRail_act!J11*1000)</f>
        <v>0</v>
      </c>
      <c r="K45" s="87">
        <f>IF(K16=0,0,K16/TrRail_act!K11*1000)</f>
        <v>0</v>
      </c>
      <c r="L45" s="87">
        <f>IF(L16=0,0,L16/TrRail_act!L11*1000)</f>
        <v>0</v>
      </c>
      <c r="M45" s="87">
        <f>IF(M16=0,0,M16/TrRail_act!M11*1000)</f>
        <v>0</v>
      </c>
      <c r="N45" s="87">
        <f>IF(N16=0,0,N16/TrRail_act!N11*1000)</f>
        <v>0</v>
      </c>
      <c r="O45" s="87">
        <f>IF(O16=0,0,O16/TrRail_act!O11*1000)</f>
        <v>0</v>
      </c>
      <c r="P45" s="87">
        <f>IF(P16=0,0,P16/TrRail_act!P11*1000)</f>
        <v>0</v>
      </c>
      <c r="Q45" s="87">
        <f>IF(Q16=0,0,Q16/TrRail_act!Q11*1000)</f>
        <v>0</v>
      </c>
      <c r="R45" s="87">
        <f>IF(R16=0,0,R16/TrRail_act!R11*1000)</f>
        <v>0</v>
      </c>
      <c r="S45" s="87">
        <f>IF(S16=0,0,S16/TrRail_act!S11*1000)</f>
        <v>0</v>
      </c>
      <c r="T45" s="87">
        <f>IF(T16=0,0,T16/TrRail_act!T11*1000)</f>
        <v>0</v>
      </c>
      <c r="U45" s="87">
        <f>IF(U16=0,0,U16/TrRail_act!U11*1000)</f>
        <v>0</v>
      </c>
      <c r="V45" s="87">
        <f>IF(V16=0,0,V16/TrRail_act!V11*1000)</f>
        <v>0</v>
      </c>
      <c r="W45" s="87">
        <f>IF(W16=0,0,W16/TrRail_act!W11*1000)</f>
        <v>0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0</v>
      </c>
      <c r="C48" s="62">
        <f>IF(C8=0,0,1000000*C8/TrRail_act!C25/1000)</f>
        <v>0</v>
      </c>
      <c r="D48" s="62">
        <f>IF(D8=0,0,1000000*D8/TrRail_act!D25/1000)</f>
        <v>0</v>
      </c>
      <c r="E48" s="62">
        <f>IF(E8=0,0,1000000*E8/TrRail_act!E25/1000)</f>
        <v>0</v>
      </c>
      <c r="F48" s="62">
        <f>IF(F8=0,0,1000000*F8/TrRail_act!F25/1000)</f>
        <v>0</v>
      </c>
      <c r="G48" s="62">
        <f>IF(G8=0,0,1000000*G8/TrRail_act!G25/1000)</f>
        <v>0</v>
      </c>
      <c r="H48" s="62">
        <f>IF(H8=0,0,1000000*H8/TrRail_act!H25/1000)</f>
        <v>0</v>
      </c>
      <c r="I48" s="62">
        <f>IF(I8=0,0,1000000*I8/TrRail_act!I25/1000)</f>
        <v>0</v>
      </c>
      <c r="J48" s="62">
        <f>IF(J8=0,0,1000000*J8/TrRail_act!J25/1000)</f>
        <v>0</v>
      </c>
      <c r="K48" s="62">
        <f>IF(K8=0,0,1000000*K8/TrRail_act!K25/1000)</f>
        <v>0</v>
      </c>
      <c r="L48" s="62">
        <f>IF(L8=0,0,1000000*L8/TrRail_act!L25/1000)</f>
        <v>0</v>
      </c>
      <c r="M48" s="62">
        <f>IF(M8=0,0,1000000*M8/TrRail_act!M25/1000)</f>
        <v>0</v>
      </c>
      <c r="N48" s="62">
        <f>IF(N8=0,0,1000000*N8/TrRail_act!N25/1000)</f>
        <v>0</v>
      </c>
      <c r="O48" s="62">
        <f>IF(O8=0,0,1000000*O8/TrRail_act!O25/1000)</f>
        <v>0</v>
      </c>
      <c r="P48" s="62">
        <f>IF(P8=0,0,1000000*P8/TrRail_act!P25/1000)</f>
        <v>0</v>
      </c>
      <c r="Q48" s="62">
        <f>IF(Q8=0,0,1000000*Q8/TrRail_act!Q25/1000)</f>
        <v>0</v>
      </c>
      <c r="R48" s="62">
        <f>IF(R8=0,0,1000000*R8/TrRail_act!R25/1000)</f>
        <v>0</v>
      </c>
      <c r="S48" s="62">
        <f>IF(S8=0,0,1000000*S8/TrRail_act!S25/1000)</f>
        <v>0</v>
      </c>
      <c r="T48" s="62">
        <f>IF(T8=0,0,1000000*T8/TrRail_act!T25/1000)</f>
        <v>0</v>
      </c>
      <c r="U48" s="62">
        <f>IF(U8=0,0,1000000*U8/TrRail_act!U25/1000)</f>
        <v>0</v>
      </c>
      <c r="V48" s="62">
        <f>IF(V8=0,0,1000000*V8/TrRail_act!V25/1000)</f>
        <v>0</v>
      </c>
      <c r="W48" s="62">
        <f>IF(W8=0,0,1000000*W8/TrRail_act!W25/1000)</f>
        <v>0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0</v>
      </c>
      <c r="C49" s="29">
        <f>IF(C9=0,0,1000000*C9/TrRail_act!C26/1000)</f>
        <v>0</v>
      </c>
      <c r="D49" s="29">
        <f>IF(D9=0,0,1000000*D9/TrRail_act!D26/1000)</f>
        <v>0</v>
      </c>
      <c r="E49" s="29">
        <f>IF(E9=0,0,1000000*E9/TrRail_act!E26/1000)</f>
        <v>0</v>
      </c>
      <c r="F49" s="29">
        <f>IF(F9=0,0,1000000*F9/TrRail_act!F26/1000)</f>
        <v>0</v>
      </c>
      <c r="G49" s="29">
        <f>IF(G9=0,0,1000000*G9/TrRail_act!G26/1000)</f>
        <v>0</v>
      </c>
      <c r="H49" s="29">
        <f>IF(H9=0,0,1000000*H9/TrRail_act!H26/1000)</f>
        <v>0</v>
      </c>
      <c r="I49" s="29">
        <f>IF(I9=0,0,1000000*I9/TrRail_act!I26/1000)</f>
        <v>0</v>
      </c>
      <c r="J49" s="29">
        <f>IF(J9=0,0,1000000*J9/TrRail_act!J26/1000)</f>
        <v>0</v>
      </c>
      <c r="K49" s="29">
        <f>IF(K9=0,0,1000000*K9/TrRail_act!K26/1000)</f>
        <v>0</v>
      </c>
      <c r="L49" s="29">
        <f>IF(L9=0,0,1000000*L9/TrRail_act!L26/1000)</f>
        <v>0</v>
      </c>
      <c r="M49" s="29">
        <f>IF(M9=0,0,1000000*M9/TrRail_act!M26/1000)</f>
        <v>0</v>
      </c>
      <c r="N49" s="29">
        <f>IF(N9=0,0,1000000*N9/TrRail_act!N26/1000)</f>
        <v>0</v>
      </c>
      <c r="O49" s="29">
        <f>IF(O9=0,0,1000000*O9/TrRail_act!O26/1000)</f>
        <v>0</v>
      </c>
      <c r="P49" s="29">
        <f>IF(P9=0,0,1000000*P9/TrRail_act!P26/1000)</f>
        <v>0</v>
      </c>
      <c r="Q49" s="29">
        <f>IF(Q9=0,0,1000000*Q9/TrRail_act!Q26/1000)</f>
        <v>0</v>
      </c>
      <c r="R49" s="29">
        <f>IF(R9=0,0,1000000*R9/TrRail_act!R26/1000)</f>
        <v>0</v>
      </c>
      <c r="S49" s="29">
        <f>IF(S9=0,0,1000000*S9/TrRail_act!S26/1000)</f>
        <v>0</v>
      </c>
      <c r="T49" s="29">
        <f>IF(T9=0,0,1000000*T9/TrRail_act!T26/1000)</f>
        <v>0</v>
      </c>
      <c r="U49" s="29">
        <f>IF(U9=0,0,1000000*U9/TrRail_act!U26/1000)</f>
        <v>0</v>
      </c>
      <c r="V49" s="29">
        <f>IF(V9=0,0,1000000*V9/TrRail_act!V26/1000)</f>
        <v>0</v>
      </c>
      <c r="W49" s="29">
        <f>IF(W9=0,0,1000000*W9/TrRail_act!W26/1000)</f>
        <v>0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0</v>
      </c>
      <c r="C51" s="116">
        <f>IF(C11=0,0,1000000*C11/TrRail_act!C28/1000)</f>
        <v>0</v>
      </c>
      <c r="D51" s="116">
        <f>IF(D11=0,0,1000000*D11/TrRail_act!D28/1000)</f>
        <v>0</v>
      </c>
      <c r="E51" s="116">
        <f>IF(E11=0,0,1000000*E11/TrRail_act!E28/1000)</f>
        <v>0</v>
      </c>
      <c r="F51" s="116">
        <f>IF(F11=0,0,1000000*F11/TrRail_act!F28/1000)</f>
        <v>0</v>
      </c>
      <c r="G51" s="116">
        <f>IF(G11=0,0,1000000*G11/TrRail_act!G28/1000)</f>
        <v>0</v>
      </c>
      <c r="H51" s="116">
        <f>IF(H11=0,0,1000000*H11/TrRail_act!H28/1000)</f>
        <v>0</v>
      </c>
      <c r="I51" s="116">
        <f>IF(I11=0,0,1000000*I11/TrRail_act!I28/1000)</f>
        <v>0</v>
      </c>
      <c r="J51" s="116">
        <f>IF(J11=0,0,1000000*J11/TrRail_act!J28/1000)</f>
        <v>0</v>
      </c>
      <c r="K51" s="116">
        <f>IF(K11=0,0,1000000*K11/TrRail_act!K28/1000)</f>
        <v>0</v>
      </c>
      <c r="L51" s="116">
        <f>IF(L11=0,0,1000000*L11/TrRail_act!L28/1000)</f>
        <v>0</v>
      </c>
      <c r="M51" s="116">
        <f>IF(M11=0,0,1000000*M11/TrRail_act!M28/1000)</f>
        <v>0</v>
      </c>
      <c r="N51" s="116">
        <f>IF(N11=0,0,1000000*N11/TrRail_act!N28/1000)</f>
        <v>0</v>
      </c>
      <c r="O51" s="116">
        <f>IF(O11=0,0,1000000*O11/TrRail_act!O28/1000)</f>
        <v>0</v>
      </c>
      <c r="P51" s="116">
        <f>IF(P11=0,0,1000000*P11/TrRail_act!P28/1000)</f>
        <v>0</v>
      </c>
      <c r="Q51" s="116">
        <f>IF(Q11=0,0,1000000*Q11/TrRail_act!Q28/1000)</f>
        <v>0</v>
      </c>
      <c r="R51" s="116">
        <f>IF(R11=0,0,1000000*R11/TrRail_act!R28/1000)</f>
        <v>0</v>
      </c>
      <c r="S51" s="116">
        <f>IF(S11=0,0,1000000*S11/TrRail_act!S28/1000)</f>
        <v>0</v>
      </c>
      <c r="T51" s="116">
        <f>IF(T11=0,0,1000000*T11/TrRail_act!T28/1000)</f>
        <v>0</v>
      </c>
      <c r="U51" s="116">
        <f>IF(U11=0,0,1000000*U11/TrRail_act!U28/1000)</f>
        <v>0</v>
      </c>
      <c r="V51" s="116">
        <f>IF(V11=0,0,1000000*V11/TrRail_act!V28/1000)</f>
        <v>0</v>
      </c>
      <c r="W51" s="116">
        <f>IF(W11=0,0,1000000*W11/TrRail_act!W28/1000)</f>
        <v>0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0</v>
      </c>
      <c r="C52" s="87">
        <f>IF(C12=0,0,1000000*C12/TrRail_act!C29/1000)</f>
        <v>0</v>
      </c>
      <c r="D52" s="87">
        <f>IF(D12=0,0,1000000*D12/TrRail_act!D29/1000)</f>
        <v>0</v>
      </c>
      <c r="E52" s="87">
        <f>IF(E12=0,0,1000000*E12/TrRail_act!E29/1000)</f>
        <v>0</v>
      </c>
      <c r="F52" s="87">
        <f>IF(F12=0,0,1000000*F12/TrRail_act!F29/1000)</f>
        <v>0</v>
      </c>
      <c r="G52" s="87">
        <f>IF(G12=0,0,1000000*G12/TrRail_act!G29/1000)</f>
        <v>0</v>
      </c>
      <c r="H52" s="87">
        <f>IF(H12=0,0,1000000*H12/TrRail_act!H29/1000)</f>
        <v>0</v>
      </c>
      <c r="I52" s="87">
        <f>IF(I12=0,0,1000000*I12/TrRail_act!I29/1000)</f>
        <v>0</v>
      </c>
      <c r="J52" s="87">
        <f>IF(J12=0,0,1000000*J12/TrRail_act!J29/1000)</f>
        <v>0</v>
      </c>
      <c r="K52" s="87">
        <f>IF(K12=0,0,1000000*K12/TrRail_act!K29/1000)</f>
        <v>0</v>
      </c>
      <c r="L52" s="87">
        <f>IF(L12=0,0,1000000*L12/TrRail_act!L29/1000)</f>
        <v>0</v>
      </c>
      <c r="M52" s="87">
        <f>IF(M12=0,0,1000000*M12/TrRail_act!M29/1000)</f>
        <v>0</v>
      </c>
      <c r="N52" s="87">
        <f>IF(N12=0,0,1000000*N12/TrRail_act!N29/1000)</f>
        <v>0</v>
      </c>
      <c r="O52" s="87">
        <f>IF(O12=0,0,1000000*O12/TrRail_act!O29/1000)</f>
        <v>0</v>
      </c>
      <c r="P52" s="87">
        <f>IF(P12=0,0,1000000*P12/TrRail_act!P29/1000)</f>
        <v>0</v>
      </c>
      <c r="Q52" s="87">
        <f>IF(Q12=0,0,1000000*Q12/TrRail_act!Q29/1000)</f>
        <v>0</v>
      </c>
      <c r="R52" s="87">
        <f>IF(R12=0,0,1000000*R12/TrRail_act!R29/1000)</f>
        <v>0</v>
      </c>
      <c r="S52" s="87">
        <f>IF(S12=0,0,1000000*S12/TrRail_act!S29/1000)</f>
        <v>0</v>
      </c>
      <c r="T52" s="87">
        <f>IF(T12=0,0,1000000*T12/TrRail_act!T29/1000)</f>
        <v>0</v>
      </c>
      <c r="U52" s="87">
        <f>IF(U12=0,0,1000000*U12/TrRail_act!U29/1000)</f>
        <v>0</v>
      </c>
      <c r="V52" s="87">
        <f>IF(V12=0,0,1000000*V12/TrRail_act!V29/1000)</f>
        <v>0</v>
      </c>
      <c r="W52" s="87">
        <f>IF(W12=0,0,1000000*W12/TrRail_act!W29/1000)</f>
        <v>0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0</v>
      </c>
      <c r="C55" s="29">
        <f>IF(C15=0,0,1000000*C15/TrRail_act!C32/1000)</f>
        <v>0</v>
      </c>
      <c r="D55" s="29">
        <f>IF(D15=0,0,1000000*D15/TrRail_act!D32/1000)</f>
        <v>0</v>
      </c>
      <c r="E55" s="29">
        <f>IF(E15=0,0,1000000*E15/TrRail_act!E32/1000)</f>
        <v>0</v>
      </c>
      <c r="F55" s="29">
        <f>IF(F15=0,0,1000000*F15/TrRail_act!F32/1000)</f>
        <v>0</v>
      </c>
      <c r="G55" s="29">
        <f>IF(G15=0,0,1000000*G15/TrRail_act!G32/1000)</f>
        <v>0</v>
      </c>
      <c r="H55" s="29">
        <f>IF(H15=0,0,1000000*H15/TrRail_act!H32/1000)</f>
        <v>0</v>
      </c>
      <c r="I55" s="29">
        <f>IF(I15=0,0,1000000*I15/TrRail_act!I32/1000)</f>
        <v>0</v>
      </c>
      <c r="J55" s="29">
        <f>IF(J15=0,0,1000000*J15/TrRail_act!J32/1000)</f>
        <v>0</v>
      </c>
      <c r="K55" s="29">
        <f>IF(K15=0,0,1000000*K15/TrRail_act!K32/1000)</f>
        <v>0</v>
      </c>
      <c r="L55" s="29">
        <f>IF(L15=0,0,1000000*L15/TrRail_act!L32/1000)</f>
        <v>0</v>
      </c>
      <c r="M55" s="29">
        <f>IF(M15=0,0,1000000*M15/TrRail_act!M32/1000)</f>
        <v>0</v>
      </c>
      <c r="N55" s="29">
        <f>IF(N15=0,0,1000000*N15/TrRail_act!N32/1000)</f>
        <v>0</v>
      </c>
      <c r="O55" s="29">
        <f>IF(O15=0,0,1000000*O15/TrRail_act!O32/1000)</f>
        <v>0</v>
      </c>
      <c r="P55" s="29">
        <f>IF(P15=0,0,1000000*P15/TrRail_act!P32/1000)</f>
        <v>0</v>
      </c>
      <c r="Q55" s="29">
        <f>IF(Q15=0,0,1000000*Q15/TrRail_act!Q32/1000)</f>
        <v>0</v>
      </c>
      <c r="R55" s="29">
        <f>IF(R15=0,0,1000000*R15/TrRail_act!R32/1000)</f>
        <v>0</v>
      </c>
      <c r="S55" s="29">
        <f>IF(S15=0,0,1000000*S15/TrRail_act!S32/1000)</f>
        <v>0</v>
      </c>
      <c r="T55" s="29">
        <f>IF(T15=0,0,1000000*T15/TrRail_act!T32/1000)</f>
        <v>0</v>
      </c>
      <c r="U55" s="29">
        <f>IF(U15=0,0,1000000*U15/TrRail_act!U32/1000)</f>
        <v>0</v>
      </c>
      <c r="V55" s="29">
        <f>IF(V15=0,0,1000000*V15/TrRail_act!V32/1000)</f>
        <v>0</v>
      </c>
      <c r="W55" s="29">
        <f>IF(W15=0,0,1000000*W15/TrRail_act!W32/1000)</f>
        <v>0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0</v>
      </c>
      <c r="C56" s="87">
        <f>IF(C16=0,0,1000000*C16/TrRail_act!C33/1000)</f>
        <v>0</v>
      </c>
      <c r="D56" s="87">
        <f>IF(D16=0,0,1000000*D16/TrRail_act!D33/1000)</f>
        <v>0</v>
      </c>
      <c r="E56" s="87">
        <f>IF(E16=0,0,1000000*E16/TrRail_act!E33/1000)</f>
        <v>0</v>
      </c>
      <c r="F56" s="87">
        <f>IF(F16=0,0,1000000*F16/TrRail_act!F33/1000)</f>
        <v>0</v>
      </c>
      <c r="G56" s="87">
        <f>IF(G16=0,0,1000000*G16/TrRail_act!G33/1000)</f>
        <v>0</v>
      </c>
      <c r="H56" s="87">
        <f>IF(H16=0,0,1000000*H16/TrRail_act!H33/1000)</f>
        <v>0</v>
      </c>
      <c r="I56" s="87">
        <f>IF(I16=0,0,1000000*I16/TrRail_act!I33/1000)</f>
        <v>0</v>
      </c>
      <c r="J56" s="87">
        <f>IF(J16=0,0,1000000*J16/TrRail_act!J33/1000)</f>
        <v>0</v>
      </c>
      <c r="K56" s="87">
        <f>IF(K16=0,0,1000000*K16/TrRail_act!K33/1000)</f>
        <v>0</v>
      </c>
      <c r="L56" s="87">
        <f>IF(L16=0,0,1000000*L16/TrRail_act!L33/1000)</f>
        <v>0</v>
      </c>
      <c r="M56" s="87">
        <f>IF(M16=0,0,1000000*M16/TrRail_act!M33/1000)</f>
        <v>0</v>
      </c>
      <c r="N56" s="87">
        <f>IF(N16=0,0,1000000*N16/TrRail_act!N33/1000)</f>
        <v>0</v>
      </c>
      <c r="O56" s="87">
        <f>IF(O16=0,0,1000000*O16/TrRail_act!O33/1000)</f>
        <v>0</v>
      </c>
      <c r="P56" s="87">
        <f>IF(P16=0,0,1000000*P16/TrRail_act!P33/1000)</f>
        <v>0</v>
      </c>
      <c r="Q56" s="87">
        <f>IF(Q16=0,0,1000000*Q16/TrRail_act!Q33/1000)</f>
        <v>0</v>
      </c>
      <c r="R56" s="87">
        <f>IF(R16=0,0,1000000*R16/TrRail_act!R33/1000)</f>
        <v>0</v>
      </c>
      <c r="S56" s="87">
        <f>IF(S16=0,0,1000000*S16/TrRail_act!S33/1000)</f>
        <v>0</v>
      </c>
      <c r="T56" s="87">
        <f>IF(T16=0,0,1000000*T16/TrRail_act!T33/1000)</f>
        <v>0</v>
      </c>
      <c r="U56" s="87">
        <f>IF(U16=0,0,1000000*U16/TrRail_act!U33/1000)</f>
        <v>0</v>
      </c>
      <c r="V56" s="87">
        <f>IF(V16=0,0,1000000*V16/TrRail_act!V33/1000)</f>
        <v>0</v>
      </c>
      <c r="W56" s="87">
        <f>IF(W16=0,0,1000000*W16/TrRail_act!W33/1000)</f>
        <v>0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0</v>
      </c>
      <c r="C59" s="65">
        <f t="shared" ref="C59:V59" si="6">IF(C8=0,0,C8/C$8)</f>
        <v>0</v>
      </c>
      <c r="D59" s="65">
        <f t="shared" si="6"/>
        <v>0</v>
      </c>
      <c r="E59" s="65">
        <f t="shared" si="6"/>
        <v>0</v>
      </c>
      <c r="F59" s="65">
        <f t="shared" si="6"/>
        <v>0</v>
      </c>
      <c r="G59" s="65">
        <f t="shared" si="6"/>
        <v>0</v>
      </c>
      <c r="H59" s="65">
        <f t="shared" si="6"/>
        <v>0</v>
      </c>
      <c r="I59" s="65">
        <f t="shared" si="6"/>
        <v>0</v>
      </c>
      <c r="J59" s="65">
        <f t="shared" si="6"/>
        <v>0</v>
      </c>
      <c r="K59" s="65">
        <f t="shared" si="6"/>
        <v>0</v>
      </c>
      <c r="L59" s="65">
        <f t="shared" si="6"/>
        <v>0</v>
      </c>
      <c r="M59" s="65">
        <f t="shared" si="6"/>
        <v>0</v>
      </c>
      <c r="N59" s="65">
        <f t="shared" si="6"/>
        <v>0</v>
      </c>
      <c r="O59" s="65">
        <f t="shared" si="6"/>
        <v>0</v>
      </c>
      <c r="P59" s="65">
        <f t="shared" si="6"/>
        <v>0</v>
      </c>
      <c r="Q59" s="65">
        <f t="shared" si="6"/>
        <v>0</v>
      </c>
      <c r="R59" s="65">
        <f t="shared" si="6"/>
        <v>0</v>
      </c>
      <c r="S59" s="65">
        <f t="shared" si="6"/>
        <v>0</v>
      </c>
      <c r="T59" s="65">
        <f t="shared" si="6"/>
        <v>0</v>
      </c>
      <c r="U59" s="65">
        <f t="shared" si="6"/>
        <v>0</v>
      </c>
      <c r="V59" s="65">
        <f t="shared" si="6"/>
        <v>0</v>
      </c>
      <c r="W59" s="65">
        <f t="shared" ref="W59" si="7">IF(W8=0,0,W8/W$8)</f>
        <v>0</v>
      </c>
      <c r="DA59" s="172"/>
    </row>
    <row r="60" spans="1:105" ht="11.45" customHeight="1" x14ac:dyDescent="0.25">
      <c r="A60" s="27" t="s">
        <v>33</v>
      </c>
      <c r="B60" s="31">
        <f t="shared" si="5"/>
        <v>0</v>
      </c>
      <c r="C60" s="31">
        <f t="shared" ref="C60:V60" si="8">IF(C9=0,0,C9/C$8)</f>
        <v>0</v>
      </c>
      <c r="D60" s="31">
        <f t="shared" si="8"/>
        <v>0</v>
      </c>
      <c r="E60" s="31">
        <f t="shared" si="8"/>
        <v>0</v>
      </c>
      <c r="F60" s="31">
        <f t="shared" si="8"/>
        <v>0</v>
      </c>
      <c r="G60" s="31">
        <f t="shared" si="8"/>
        <v>0</v>
      </c>
      <c r="H60" s="31">
        <f t="shared" si="8"/>
        <v>0</v>
      </c>
      <c r="I60" s="31">
        <f t="shared" si="8"/>
        <v>0</v>
      </c>
      <c r="J60" s="31">
        <f t="shared" si="8"/>
        <v>0</v>
      </c>
      <c r="K60" s="31">
        <f t="shared" si="8"/>
        <v>0</v>
      </c>
      <c r="L60" s="31">
        <f t="shared" si="8"/>
        <v>0</v>
      </c>
      <c r="M60" s="31">
        <f t="shared" si="8"/>
        <v>0</v>
      </c>
      <c r="N60" s="31">
        <f t="shared" si="8"/>
        <v>0</v>
      </c>
      <c r="O60" s="31">
        <f t="shared" si="8"/>
        <v>0</v>
      </c>
      <c r="P60" s="31">
        <f t="shared" si="8"/>
        <v>0</v>
      </c>
      <c r="Q60" s="31">
        <f t="shared" si="8"/>
        <v>0</v>
      </c>
      <c r="R60" s="31">
        <f t="shared" si="8"/>
        <v>0</v>
      </c>
      <c r="S60" s="31">
        <f t="shared" si="8"/>
        <v>0</v>
      </c>
      <c r="T60" s="31">
        <f t="shared" si="8"/>
        <v>0</v>
      </c>
      <c r="U60" s="31">
        <f t="shared" si="8"/>
        <v>0</v>
      </c>
      <c r="V60" s="31">
        <f t="shared" si="8"/>
        <v>0</v>
      </c>
      <c r="W60" s="31">
        <f t="shared" ref="W60" si="9">IF(W9=0,0,W9/W$8)</f>
        <v>0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0</v>
      </c>
      <c r="C62" s="124">
        <f t="shared" ref="C62:V62" si="12">IF(C11=0,0,C11/C$8)</f>
        <v>0</v>
      </c>
      <c r="D62" s="124">
        <f t="shared" si="12"/>
        <v>0</v>
      </c>
      <c r="E62" s="124">
        <f t="shared" si="12"/>
        <v>0</v>
      </c>
      <c r="F62" s="124">
        <f t="shared" si="12"/>
        <v>0</v>
      </c>
      <c r="G62" s="124">
        <f t="shared" si="12"/>
        <v>0</v>
      </c>
      <c r="H62" s="124">
        <f t="shared" si="12"/>
        <v>0</v>
      </c>
      <c r="I62" s="124">
        <f t="shared" si="12"/>
        <v>0</v>
      </c>
      <c r="J62" s="124">
        <f t="shared" si="12"/>
        <v>0</v>
      </c>
      <c r="K62" s="124">
        <f t="shared" si="12"/>
        <v>0</v>
      </c>
      <c r="L62" s="124">
        <f t="shared" si="12"/>
        <v>0</v>
      </c>
      <c r="M62" s="124">
        <f t="shared" si="12"/>
        <v>0</v>
      </c>
      <c r="N62" s="124">
        <f t="shared" si="12"/>
        <v>0</v>
      </c>
      <c r="O62" s="124">
        <f t="shared" si="12"/>
        <v>0</v>
      </c>
      <c r="P62" s="124">
        <f t="shared" si="12"/>
        <v>0</v>
      </c>
      <c r="Q62" s="124">
        <f t="shared" si="12"/>
        <v>0</v>
      </c>
      <c r="R62" s="124">
        <f t="shared" si="12"/>
        <v>0</v>
      </c>
      <c r="S62" s="124">
        <f t="shared" si="12"/>
        <v>0</v>
      </c>
      <c r="T62" s="124">
        <f t="shared" si="12"/>
        <v>0</v>
      </c>
      <c r="U62" s="124">
        <f t="shared" si="12"/>
        <v>0</v>
      </c>
      <c r="V62" s="124">
        <f t="shared" si="12"/>
        <v>0</v>
      </c>
      <c r="W62" s="124">
        <f t="shared" ref="W62" si="13">IF(W11=0,0,W11/W$8)</f>
        <v>0</v>
      </c>
      <c r="DA62" s="176"/>
    </row>
    <row r="63" spans="1:105" ht="11.45" customHeight="1" x14ac:dyDescent="0.25">
      <c r="A63" s="111" t="s">
        <v>92</v>
      </c>
      <c r="B63" s="125">
        <f t="shared" si="5"/>
        <v>0</v>
      </c>
      <c r="C63" s="125">
        <f t="shared" ref="C63:V63" si="14">IF(C12=0,0,C12/C$8)</f>
        <v>0</v>
      </c>
      <c r="D63" s="125">
        <f t="shared" si="14"/>
        <v>0</v>
      </c>
      <c r="E63" s="125">
        <f t="shared" si="14"/>
        <v>0</v>
      </c>
      <c r="F63" s="125">
        <f t="shared" si="14"/>
        <v>0</v>
      </c>
      <c r="G63" s="125">
        <f t="shared" si="14"/>
        <v>0</v>
      </c>
      <c r="H63" s="125">
        <f t="shared" si="14"/>
        <v>0</v>
      </c>
      <c r="I63" s="125">
        <f t="shared" si="14"/>
        <v>0</v>
      </c>
      <c r="J63" s="125">
        <f t="shared" si="14"/>
        <v>0</v>
      </c>
      <c r="K63" s="125">
        <f t="shared" si="14"/>
        <v>0</v>
      </c>
      <c r="L63" s="125">
        <f t="shared" si="14"/>
        <v>0</v>
      </c>
      <c r="M63" s="125">
        <f t="shared" si="14"/>
        <v>0</v>
      </c>
      <c r="N63" s="125">
        <f t="shared" si="14"/>
        <v>0</v>
      </c>
      <c r="O63" s="125">
        <f t="shared" si="14"/>
        <v>0</v>
      </c>
      <c r="P63" s="125">
        <f t="shared" si="14"/>
        <v>0</v>
      </c>
      <c r="Q63" s="125">
        <f t="shared" si="14"/>
        <v>0</v>
      </c>
      <c r="R63" s="125">
        <f t="shared" si="14"/>
        <v>0</v>
      </c>
      <c r="S63" s="125">
        <f t="shared" si="14"/>
        <v>0</v>
      </c>
      <c r="T63" s="125">
        <f t="shared" si="14"/>
        <v>0</v>
      </c>
      <c r="U63" s="125">
        <f t="shared" si="14"/>
        <v>0</v>
      </c>
      <c r="V63" s="125">
        <f t="shared" si="14"/>
        <v>0</v>
      </c>
      <c r="W63" s="125">
        <f t="shared" ref="W63" si="15">IF(W12=0,0,W12/W$8)</f>
        <v>0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0</v>
      </c>
      <c r="C66" s="31">
        <f t="shared" ref="C66:V66" si="20">IF(C15=0,0,C15/C$8)</f>
        <v>0</v>
      </c>
      <c r="D66" s="31">
        <f t="shared" si="20"/>
        <v>0</v>
      </c>
      <c r="E66" s="31">
        <f t="shared" si="20"/>
        <v>0</v>
      </c>
      <c r="F66" s="31">
        <f t="shared" si="20"/>
        <v>0</v>
      </c>
      <c r="G66" s="31">
        <f t="shared" si="20"/>
        <v>0</v>
      </c>
      <c r="H66" s="31">
        <f t="shared" si="20"/>
        <v>0</v>
      </c>
      <c r="I66" s="31">
        <f t="shared" si="20"/>
        <v>0</v>
      </c>
      <c r="J66" s="31">
        <f t="shared" si="20"/>
        <v>0</v>
      </c>
      <c r="K66" s="31">
        <f t="shared" si="20"/>
        <v>0</v>
      </c>
      <c r="L66" s="31">
        <f t="shared" si="20"/>
        <v>0</v>
      </c>
      <c r="M66" s="31">
        <f t="shared" si="20"/>
        <v>0</v>
      </c>
      <c r="N66" s="31">
        <f t="shared" si="20"/>
        <v>0</v>
      </c>
      <c r="O66" s="31">
        <f t="shared" si="20"/>
        <v>0</v>
      </c>
      <c r="P66" s="31">
        <f t="shared" si="20"/>
        <v>0</v>
      </c>
      <c r="Q66" s="31">
        <f t="shared" si="20"/>
        <v>0</v>
      </c>
      <c r="R66" s="31">
        <f t="shared" si="20"/>
        <v>0</v>
      </c>
      <c r="S66" s="31">
        <f t="shared" si="20"/>
        <v>0</v>
      </c>
      <c r="T66" s="31">
        <f t="shared" si="20"/>
        <v>0</v>
      </c>
      <c r="U66" s="31">
        <f t="shared" si="20"/>
        <v>0</v>
      </c>
      <c r="V66" s="31">
        <f t="shared" si="20"/>
        <v>0</v>
      </c>
      <c r="W66" s="31">
        <f t="shared" ref="W66" si="21">IF(W15=0,0,W15/W$8)</f>
        <v>0</v>
      </c>
      <c r="DA66" s="173"/>
    </row>
    <row r="67" spans="1:105" ht="11.45" customHeight="1" x14ac:dyDescent="0.25">
      <c r="A67" s="83" t="s">
        <v>92</v>
      </c>
      <c r="B67" s="125">
        <f t="shared" si="5"/>
        <v>0</v>
      </c>
      <c r="C67" s="125">
        <f t="shared" ref="C67:V67" si="22">IF(C16=0,0,C16/C$8)</f>
        <v>0</v>
      </c>
      <c r="D67" s="125">
        <f t="shared" si="22"/>
        <v>0</v>
      </c>
      <c r="E67" s="125">
        <f t="shared" si="22"/>
        <v>0</v>
      </c>
      <c r="F67" s="125">
        <f t="shared" si="22"/>
        <v>0</v>
      </c>
      <c r="G67" s="125">
        <f t="shared" si="22"/>
        <v>0</v>
      </c>
      <c r="H67" s="125">
        <f t="shared" si="22"/>
        <v>0</v>
      </c>
      <c r="I67" s="125">
        <f t="shared" si="22"/>
        <v>0</v>
      </c>
      <c r="J67" s="125">
        <f t="shared" si="22"/>
        <v>0</v>
      </c>
      <c r="K67" s="125">
        <f t="shared" si="22"/>
        <v>0</v>
      </c>
      <c r="L67" s="125">
        <f t="shared" si="22"/>
        <v>0</v>
      </c>
      <c r="M67" s="125">
        <f t="shared" si="22"/>
        <v>0</v>
      </c>
      <c r="N67" s="125">
        <f t="shared" si="22"/>
        <v>0</v>
      </c>
      <c r="O67" s="125">
        <f t="shared" si="22"/>
        <v>0</v>
      </c>
      <c r="P67" s="125">
        <f t="shared" si="22"/>
        <v>0</v>
      </c>
      <c r="Q67" s="125">
        <f t="shared" si="22"/>
        <v>0</v>
      </c>
      <c r="R67" s="125">
        <f t="shared" si="22"/>
        <v>0</v>
      </c>
      <c r="S67" s="125">
        <f t="shared" si="22"/>
        <v>0</v>
      </c>
      <c r="T67" s="125">
        <f t="shared" si="22"/>
        <v>0</v>
      </c>
      <c r="U67" s="125">
        <f t="shared" si="22"/>
        <v>0</v>
      </c>
      <c r="V67" s="125">
        <f t="shared" si="22"/>
        <v>0</v>
      </c>
      <c r="W67" s="125">
        <f t="shared" ref="W67" si="23">IF(W16=0,0,W16/W$8)</f>
        <v>0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9009.2711453716893</v>
      </c>
      <c r="C4" s="11">
        <f t="shared" si="0"/>
        <v>10385.168506225356</v>
      </c>
      <c r="D4" s="11">
        <f t="shared" ref="D4:V4" si="1">SUM(D5:D7)</f>
        <v>8285.3129242871437</v>
      </c>
      <c r="E4" s="11">
        <f t="shared" si="1"/>
        <v>8692.0387791777775</v>
      </c>
      <c r="F4" s="11">
        <f t="shared" si="1"/>
        <v>8694.1811577502576</v>
      </c>
      <c r="G4" s="11">
        <f t="shared" si="1"/>
        <v>9145.1220905175123</v>
      </c>
      <c r="H4" s="11">
        <f t="shared" si="1"/>
        <v>9158.8483290513432</v>
      </c>
      <c r="I4" s="11">
        <f t="shared" si="1"/>
        <v>9123.649318700709</v>
      </c>
      <c r="J4" s="11">
        <f t="shared" si="1"/>
        <v>9466.1042842118277</v>
      </c>
      <c r="K4" s="11">
        <f t="shared" si="1"/>
        <v>8782.7565361052148</v>
      </c>
      <c r="L4" s="11">
        <f t="shared" si="1"/>
        <v>9019.0466019319174</v>
      </c>
      <c r="M4" s="11">
        <f t="shared" si="1"/>
        <v>9345.9484778184087</v>
      </c>
      <c r="N4" s="11">
        <f t="shared" si="1"/>
        <v>9385.1673415867772</v>
      </c>
      <c r="O4" s="11">
        <f t="shared" si="1"/>
        <v>9402.5599761036974</v>
      </c>
      <c r="P4" s="11">
        <f t="shared" si="1"/>
        <v>9505.8669666479091</v>
      </c>
      <c r="Q4" s="11">
        <f t="shared" si="1"/>
        <v>9463.8911011278906</v>
      </c>
      <c r="R4" s="11">
        <f t="shared" si="1"/>
        <v>11372.985544586209</v>
      </c>
      <c r="S4" s="11">
        <f t="shared" si="1"/>
        <v>12641.699006816716</v>
      </c>
      <c r="T4" s="11">
        <f t="shared" si="1"/>
        <v>13423.204387875518</v>
      </c>
      <c r="U4" s="11">
        <f t="shared" si="1"/>
        <v>13777.565673038269</v>
      </c>
      <c r="V4" s="11">
        <f t="shared" si="1"/>
        <v>2671.0064253841615</v>
      </c>
      <c r="W4" s="11">
        <f t="shared" ref="W4" si="2">SUM(W5:W7)</f>
        <v>5821.1911702902462</v>
      </c>
      <c r="DA4" s="189" t="s">
        <v>189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DA5" s="171" t="s">
        <v>190</v>
      </c>
    </row>
    <row r="6" spans="1:105" ht="11.45" customHeight="1" x14ac:dyDescent="0.25">
      <c r="A6" s="83" t="s">
        <v>173</v>
      </c>
      <c r="B6" s="84">
        <v>8275.8119147554771</v>
      </c>
      <c r="C6" s="84">
        <v>9508.5875075657004</v>
      </c>
      <c r="D6" s="84">
        <v>7362.9114238567281</v>
      </c>
      <c r="E6" s="84">
        <v>7677.7027452195052</v>
      </c>
      <c r="F6" s="84">
        <v>7786.1139665990913</v>
      </c>
      <c r="G6" s="84">
        <v>8281.0398957624475</v>
      </c>
      <c r="H6" s="84">
        <v>8165.6436397337002</v>
      </c>
      <c r="I6" s="84">
        <v>8056.6506502225802</v>
      </c>
      <c r="J6" s="84">
        <v>8277.1313231579134</v>
      </c>
      <c r="K6" s="84">
        <v>7696.4422499873499</v>
      </c>
      <c r="L6" s="84">
        <v>7691.7777645803981</v>
      </c>
      <c r="M6" s="84">
        <v>7765.881123130669</v>
      </c>
      <c r="N6" s="84">
        <v>7296.1536242976263</v>
      </c>
      <c r="O6" s="84">
        <v>6616.8920456795058</v>
      </c>
      <c r="P6" s="84">
        <v>6541.7196867946186</v>
      </c>
      <c r="Q6" s="84">
        <v>6682.3818359868574</v>
      </c>
      <c r="R6" s="84">
        <v>7557.8271314782251</v>
      </c>
      <c r="S6" s="84">
        <v>8733.2560433290655</v>
      </c>
      <c r="T6" s="84">
        <v>9390.8886806951177</v>
      </c>
      <c r="U6" s="84">
        <v>9689.3603590243492</v>
      </c>
      <c r="V6" s="84">
        <v>2266.6212349918483</v>
      </c>
      <c r="W6" s="84">
        <v>3600.2363650422722</v>
      </c>
      <c r="DA6" s="171" t="s">
        <v>191</v>
      </c>
    </row>
    <row r="7" spans="1:105" ht="11.45" customHeight="1" x14ac:dyDescent="0.25">
      <c r="A7" s="83" t="s">
        <v>174</v>
      </c>
      <c r="B7" s="84">
        <v>733.45923061621193</v>
      </c>
      <c r="C7" s="84">
        <v>876.58099865965517</v>
      </c>
      <c r="D7" s="84">
        <v>922.40150043041535</v>
      </c>
      <c r="E7" s="84">
        <v>1014.336033958272</v>
      </c>
      <c r="F7" s="84">
        <v>908.0671911511655</v>
      </c>
      <c r="G7" s="84">
        <v>864.0821947550653</v>
      </c>
      <c r="H7" s="84">
        <v>993.20468931764333</v>
      </c>
      <c r="I7" s="84">
        <v>1066.998668478129</v>
      </c>
      <c r="J7" s="84">
        <v>1188.972961053915</v>
      </c>
      <c r="K7" s="84">
        <v>1086.3142861178649</v>
      </c>
      <c r="L7" s="84">
        <v>1327.2688373515186</v>
      </c>
      <c r="M7" s="84">
        <v>1580.0673546877397</v>
      </c>
      <c r="N7" s="84">
        <v>2089.0137172891514</v>
      </c>
      <c r="O7" s="84">
        <v>2785.6679304241916</v>
      </c>
      <c r="P7" s="84">
        <v>2964.1472798532909</v>
      </c>
      <c r="Q7" s="84">
        <v>2781.5092651410341</v>
      </c>
      <c r="R7" s="84">
        <v>3815.1584131079831</v>
      </c>
      <c r="S7" s="84">
        <v>3908.4429634876501</v>
      </c>
      <c r="T7" s="84">
        <v>4032.3157071803989</v>
      </c>
      <c r="U7" s="84">
        <v>4088.2053140139196</v>
      </c>
      <c r="V7" s="84">
        <v>404.38519039231318</v>
      </c>
      <c r="W7" s="84">
        <v>2220.954805247974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41.946486699904753</v>
      </c>
      <c r="C8" s="13">
        <f t="shared" si="3"/>
        <v>40.741322991330208</v>
      </c>
      <c r="D8" s="13">
        <f t="shared" ref="D8:V8" si="4">SUM(D9:D11)</f>
        <v>37.432274858004142</v>
      </c>
      <c r="E8" s="13">
        <f t="shared" si="4"/>
        <v>35.166633781043672</v>
      </c>
      <c r="F8" s="13">
        <f t="shared" si="4"/>
        <v>39.738042005459526</v>
      </c>
      <c r="G8" s="13">
        <f t="shared" si="4"/>
        <v>45.221290390985295</v>
      </c>
      <c r="H8" s="13">
        <f t="shared" si="4"/>
        <v>49.741382249082548</v>
      </c>
      <c r="I8" s="13">
        <f t="shared" si="4"/>
        <v>47.098792292359065</v>
      </c>
      <c r="J8" s="13">
        <f t="shared" si="4"/>
        <v>48.638316121662029</v>
      </c>
      <c r="K8" s="13">
        <f t="shared" si="4"/>
        <v>46.314199338432033</v>
      </c>
      <c r="L8" s="13">
        <f t="shared" si="4"/>
        <v>46.592404251309247</v>
      </c>
      <c r="M8" s="13">
        <f t="shared" si="4"/>
        <v>32.513294332111755</v>
      </c>
      <c r="N8" s="13">
        <f t="shared" si="4"/>
        <v>24.528082682618042</v>
      </c>
      <c r="O8" s="13">
        <f t="shared" si="4"/>
        <v>24.589069904197906</v>
      </c>
      <c r="P8" s="13">
        <f t="shared" si="4"/>
        <v>23.888659715436056</v>
      </c>
      <c r="Q8" s="13">
        <f t="shared" si="4"/>
        <v>21.83655363160463</v>
      </c>
      <c r="R8" s="13">
        <f t="shared" si="4"/>
        <v>20.229721706100356</v>
      </c>
      <c r="S8" s="13">
        <f t="shared" si="4"/>
        <v>18.268192842566602</v>
      </c>
      <c r="T8" s="13">
        <f t="shared" si="4"/>
        <v>18.190177926599489</v>
      </c>
      <c r="U8" s="13">
        <f t="shared" si="4"/>
        <v>22.083437713310246</v>
      </c>
      <c r="V8" s="13">
        <f t="shared" si="4"/>
        <v>13.393180188004358</v>
      </c>
      <c r="W8" s="13">
        <f t="shared" ref="W8" si="5">SUM(W9:W11)</f>
        <v>13.549685162127993</v>
      </c>
      <c r="DA8" s="193" t="s">
        <v>193</v>
      </c>
    </row>
    <row r="9" spans="1:105" ht="11.45" customHeight="1" x14ac:dyDescent="0.25">
      <c r="A9" s="92" t="s">
        <v>27</v>
      </c>
      <c r="B9" s="102">
        <v>0</v>
      </c>
      <c r="C9" s="102">
        <v>0</v>
      </c>
      <c r="D9" s="102">
        <v>0</v>
      </c>
      <c r="E9" s="102">
        <v>0</v>
      </c>
      <c r="F9" s="102">
        <v>0</v>
      </c>
      <c r="G9" s="102">
        <v>0</v>
      </c>
      <c r="H9" s="102">
        <v>0</v>
      </c>
      <c r="I9" s="102">
        <v>0</v>
      </c>
      <c r="J9" s="102">
        <v>0</v>
      </c>
      <c r="K9" s="102">
        <v>0</v>
      </c>
      <c r="L9" s="102">
        <v>0</v>
      </c>
      <c r="M9" s="102">
        <v>0</v>
      </c>
      <c r="N9" s="102">
        <v>0</v>
      </c>
      <c r="O9" s="102">
        <v>0</v>
      </c>
      <c r="P9" s="102">
        <v>0</v>
      </c>
      <c r="Q9" s="102">
        <v>0</v>
      </c>
      <c r="R9" s="102">
        <v>0</v>
      </c>
      <c r="S9" s="102">
        <v>0</v>
      </c>
      <c r="T9" s="102">
        <v>0</v>
      </c>
      <c r="U9" s="102">
        <v>0</v>
      </c>
      <c r="V9" s="102">
        <v>0</v>
      </c>
      <c r="W9" s="102">
        <v>0</v>
      </c>
      <c r="DA9" s="175" t="s">
        <v>194</v>
      </c>
    </row>
    <row r="10" spans="1:105" ht="11.45" customHeight="1" x14ac:dyDescent="0.25">
      <c r="A10" s="92" t="s">
        <v>173</v>
      </c>
      <c r="B10" s="102">
        <v>32.937330899572807</v>
      </c>
      <c r="C10" s="102">
        <v>31.692796192018726</v>
      </c>
      <c r="D10" s="102">
        <v>29.346090473603542</v>
      </c>
      <c r="E10" s="102">
        <v>27.901627981999304</v>
      </c>
      <c r="F10" s="102">
        <v>31.632290125562562</v>
      </c>
      <c r="G10" s="102">
        <v>37.664627205474552</v>
      </c>
      <c r="H10" s="102">
        <v>39.982498212697216</v>
      </c>
      <c r="I10" s="102">
        <v>36.860859654846962</v>
      </c>
      <c r="J10" s="102">
        <v>36.717487203523746</v>
      </c>
      <c r="K10" s="102">
        <v>34.174885052160647</v>
      </c>
      <c r="L10" s="102">
        <v>33.857504036420799</v>
      </c>
      <c r="M10" s="102">
        <v>24.554540035387429</v>
      </c>
      <c r="N10" s="102">
        <v>20.799396444614814</v>
      </c>
      <c r="O10" s="102">
        <v>19.168830880241863</v>
      </c>
      <c r="P10" s="102">
        <v>18.135628616444556</v>
      </c>
      <c r="Q10" s="102">
        <v>16.229511681044144</v>
      </c>
      <c r="R10" s="102">
        <v>15.074785674510967</v>
      </c>
      <c r="S10" s="102">
        <v>14.553924786334038</v>
      </c>
      <c r="T10" s="102">
        <v>13.411844833681997</v>
      </c>
      <c r="U10" s="102">
        <v>11.697421273142142</v>
      </c>
      <c r="V10" s="102">
        <v>8.1934157403714529</v>
      </c>
      <c r="W10" s="102">
        <v>7.6375478428534302</v>
      </c>
      <c r="DA10" s="175" t="s">
        <v>195</v>
      </c>
    </row>
    <row r="11" spans="1:105" ht="11.45" customHeight="1" x14ac:dyDescent="0.25">
      <c r="A11" s="85" t="s">
        <v>174</v>
      </c>
      <c r="B11" s="86">
        <v>9.0091558003319481</v>
      </c>
      <c r="C11" s="86">
        <v>9.0485267993114817</v>
      </c>
      <c r="D11" s="86">
        <v>8.0861843844006014</v>
      </c>
      <c r="E11" s="86">
        <v>7.2650057990443688</v>
      </c>
      <c r="F11" s="86">
        <v>8.1057518798969639</v>
      </c>
      <c r="G11" s="86">
        <v>7.5566631855107449</v>
      </c>
      <c r="H11" s="86">
        <v>9.7588840363853357</v>
      </c>
      <c r="I11" s="86">
        <v>10.237932637512106</v>
      </c>
      <c r="J11" s="86">
        <v>11.920828918138286</v>
      </c>
      <c r="K11" s="86">
        <v>12.139314286271384</v>
      </c>
      <c r="L11" s="86">
        <v>12.73490021488845</v>
      </c>
      <c r="M11" s="86">
        <v>7.958754296724325</v>
      </c>
      <c r="N11" s="86">
        <v>3.7286862380032262</v>
      </c>
      <c r="O11" s="86">
        <v>5.4202390239560438</v>
      </c>
      <c r="P11" s="86">
        <v>5.7530310989914977</v>
      </c>
      <c r="Q11" s="86">
        <v>5.6070419505604878</v>
      </c>
      <c r="R11" s="86">
        <v>5.1549360315893882</v>
      </c>
      <c r="S11" s="86">
        <v>3.7142680562325654</v>
      </c>
      <c r="T11" s="86">
        <v>4.7783330929174941</v>
      </c>
      <c r="U11" s="86">
        <v>10.386016440168104</v>
      </c>
      <c r="V11" s="86">
        <v>5.1997644476329059</v>
      </c>
      <c r="W11" s="86">
        <v>5.9121373192745628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63.622389984363828</v>
      </c>
      <c r="C13" s="54">
        <f t="shared" si="6"/>
        <v>73.977855976861363</v>
      </c>
      <c r="D13" s="54">
        <f t="shared" ref="D13:V13" si="7">SUM(D14,D18)</f>
        <v>63.137408381809273</v>
      </c>
      <c r="E13" s="54">
        <f t="shared" si="7"/>
        <v>67.406808076102109</v>
      </c>
      <c r="F13" s="54">
        <f t="shared" si="7"/>
        <v>62.765933787640876</v>
      </c>
      <c r="G13" s="54">
        <f t="shared" si="7"/>
        <v>66.935745397948182</v>
      </c>
      <c r="H13" s="54">
        <f t="shared" si="7"/>
        <v>71.725759524451647</v>
      </c>
      <c r="I13" s="54">
        <f t="shared" si="7"/>
        <v>73.263662270577356</v>
      </c>
      <c r="J13" s="54">
        <f t="shared" si="7"/>
        <v>75.301342906823223</v>
      </c>
      <c r="K13" s="54">
        <f t="shared" si="7"/>
        <v>69.810120411619025</v>
      </c>
      <c r="L13" s="54">
        <f t="shared" si="7"/>
        <v>68.934192588920766</v>
      </c>
      <c r="M13" s="54">
        <f t="shared" si="7"/>
        <v>69.131884260578005</v>
      </c>
      <c r="N13" s="54">
        <f t="shared" si="7"/>
        <v>65.669505211152668</v>
      </c>
      <c r="O13" s="54">
        <f t="shared" si="7"/>
        <v>60.136422874939264</v>
      </c>
      <c r="P13" s="54">
        <f t="shared" si="7"/>
        <v>62.084842908362795</v>
      </c>
      <c r="Q13" s="54">
        <f t="shared" si="7"/>
        <v>61.652612036606797</v>
      </c>
      <c r="R13" s="54">
        <f t="shared" si="7"/>
        <v>72.487935616024131</v>
      </c>
      <c r="S13" s="54">
        <f t="shared" si="7"/>
        <v>79.924245676525842</v>
      </c>
      <c r="T13" s="54">
        <f t="shared" si="7"/>
        <v>84.946381498110057</v>
      </c>
      <c r="U13" s="54">
        <f t="shared" si="7"/>
        <v>82.095221464625908</v>
      </c>
      <c r="V13" s="54">
        <f t="shared" si="7"/>
        <v>25.879153329164492</v>
      </c>
      <c r="W13" s="54">
        <f t="shared" ref="W13" si="8">SUM(W14,W18)</f>
        <v>44.73407350953245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61.585936901177888</v>
      </c>
      <c r="C14" s="11">
        <f t="shared" si="9"/>
        <v>72.230875905785112</v>
      </c>
      <c r="D14" s="11">
        <f t="shared" ref="D14:V14" si="10">SUM(D15:D17)</f>
        <v>61.433750321967665</v>
      </c>
      <c r="E14" s="11">
        <f t="shared" si="10"/>
        <v>65.769523674415751</v>
      </c>
      <c r="F14" s="11">
        <f t="shared" si="10"/>
        <v>60.697801222685335</v>
      </c>
      <c r="G14" s="11">
        <f t="shared" si="10"/>
        <v>64.418994336826231</v>
      </c>
      <c r="H14" s="11">
        <f t="shared" si="10"/>
        <v>68.826645331137456</v>
      </c>
      <c r="I14" s="11">
        <f t="shared" si="10"/>
        <v>70.637346599624166</v>
      </c>
      <c r="J14" s="11">
        <f t="shared" si="10"/>
        <v>72.632315106624304</v>
      </c>
      <c r="K14" s="11">
        <f t="shared" si="10"/>
        <v>67.347974631422773</v>
      </c>
      <c r="L14" s="11">
        <f t="shared" si="10"/>
        <v>66.701733285686259</v>
      </c>
      <c r="M14" s="11">
        <f t="shared" si="10"/>
        <v>67.576185350038102</v>
      </c>
      <c r="N14" s="11">
        <f t="shared" si="10"/>
        <v>64.499540976156084</v>
      </c>
      <c r="O14" s="11">
        <f t="shared" si="10"/>
        <v>59.01295024674792</v>
      </c>
      <c r="P14" s="11">
        <f t="shared" si="10"/>
        <v>61.119836737763364</v>
      </c>
      <c r="Q14" s="11">
        <f t="shared" si="10"/>
        <v>60.740655403253726</v>
      </c>
      <c r="R14" s="11">
        <f t="shared" si="10"/>
        <v>71.751731314964204</v>
      </c>
      <c r="S14" s="11">
        <f t="shared" si="10"/>
        <v>79.165049608085866</v>
      </c>
      <c r="T14" s="11">
        <f t="shared" si="10"/>
        <v>84.252832036627709</v>
      </c>
      <c r="U14" s="11">
        <f t="shared" si="10"/>
        <v>81.510602397101778</v>
      </c>
      <c r="V14" s="11">
        <f t="shared" si="10"/>
        <v>25.382262574319086</v>
      </c>
      <c r="W14" s="11">
        <f t="shared" ref="W14" si="11">SUM(W15:W17)</f>
        <v>44.227805154091463</v>
      </c>
      <c r="DA14" s="189" t="s">
        <v>198</v>
      </c>
    </row>
    <row r="15" spans="1:105" ht="11.45" customHeight="1" x14ac:dyDescent="0.25">
      <c r="A15" s="83" t="s">
        <v>27</v>
      </c>
      <c r="B15" s="84">
        <v>0</v>
      </c>
      <c r="C15" s="84">
        <v>0</v>
      </c>
      <c r="D15" s="84">
        <v>0</v>
      </c>
      <c r="E15" s="84">
        <v>0</v>
      </c>
      <c r="F15" s="84">
        <v>0</v>
      </c>
      <c r="G15" s="84">
        <v>0</v>
      </c>
      <c r="H15" s="84">
        <v>0</v>
      </c>
      <c r="I15" s="84">
        <v>0</v>
      </c>
      <c r="J15" s="84">
        <v>0</v>
      </c>
      <c r="K15" s="84">
        <v>0</v>
      </c>
      <c r="L15" s="84">
        <v>0</v>
      </c>
      <c r="M15" s="84">
        <v>0</v>
      </c>
      <c r="N15" s="84">
        <v>0</v>
      </c>
      <c r="O15" s="84">
        <v>0</v>
      </c>
      <c r="P15" s="84">
        <v>0</v>
      </c>
      <c r="Q15" s="84">
        <v>0</v>
      </c>
      <c r="R15" s="84">
        <v>0</v>
      </c>
      <c r="S15" s="84">
        <v>0</v>
      </c>
      <c r="T15" s="84">
        <v>0</v>
      </c>
      <c r="U15" s="84">
        <v>0</v>
      </c>
      <c r="V15" s="84">
        <v>0</v>
      </c>
      <c r="W15" s="84">
        <v>0</v>
      </c>
      <c r="DA15" s="171" t="s">
        <v>199</v>
      </c>
    </row>
    <row r="16" spans="1:105" ht="11.45" customHeight="1" x14ac:dyDescent="0.25">
      <c r="A16" s="83" t="s">
        <v>173</v>
      </c>
      <c r="B16" s="84">
        <v>51.404010291944374</v>
      </c>
      <c r="C16" s="84">
        <v>60.289143605634813</v>
      </c>
      <c r="D16" s="84">
        <v>49.101552660504545</v>
      </c>
      <c r="E16" s="84">
        <v>52.566913645026148</v>
      </c>
      <c r="F16" s="84">
        <v>50.380296362995985</v>
      </c>
      <c r="G16" s="84">
        <v>54.190084101447425</v>
      </c>
      <c r="H16" s="84">
        <v>53.609957668433388</v>
      </c>
      <c r="I16" s="84">
        <v>53.4915387261211</v>
      </c>
      <c r="J16" s="84">
        <v>54.673014353424627</v>
      </c>
      <c r="K16" s="84">
        <v>53.629133270958157</v>
      </c>
      <c r="L16" s="84">
        <v>54.295042251012397</v>
      </c>
      <c r="M16" s="84">
        <v>53.129461880544724</v>
      </c>
      <c r="N16" s="84">
        <v>49.738919281830604</v>
      </c>
      <c r="O16" s="84">
        <v>43.350794252710209</v>
      </c>
      <c r="P16" s="84">
        <v>42.296359801811455</v>
      </c>
      <c r="Q16" s="84">
        <v>43.51080517581633</v>
      </c>
      <c r="R16" s="84">
        <v>48.171023764599866</v>
      </c>
      <c r="S16" s="84">
        <v>56.735486360352709</v>
      </c>
      <c r="T16" s="84">
        <v>60.007667892039422</v>
      </c>
      <c r="U16" s="84">
        <v>57.94869533642526</v>
      </c>
      <c r="V16" s="84">
        <v>20.211727680023486</v>
      </c>
      <c r="W16" s="84">
        <v>29.588983894382643</v>
      </c>
      <c r="DA16" s="171" t="s">
        <v>200</v>
      </c>
    </row>
    <row r="17" spans="1:105" ht="11.45" customHeight="1" x14ac:dyDescent="0.25">
      <c r="A17" s="83" t="s">
        <v>174</v>
      </c>
      <c r="B17" s="84">
        <v>10.181926609233514</v>
      </c>
      <c r="C17" s="84">
        <v>11.941732300150305</v>
      </c>
      <c r="D17" s="84">
        <v>12.332197661463121</v>
      </c>
      <c r="E17" s="84">
        <v>13.202610029389609</v>
      </c>
      <c r="F17" s="84">
        <v>10.317504859689352</v>
      </c>
      <c r="G17" s="84">
        <v>10.228910235378802</v>
      </c>
      <c r="H17" s="84">
        <v>15.216687662704075</v>
      </c>
      <c r="I17" s="84">
        <v>17.14580787350307</v>
      </c>
      <c r="J17" s="84">
        <v>17.959300753199681</v>
      </c>
      <c r="K17" s="84">
        <v>13.718841360464609</v>
      </c>
      <c r="L17" s="84">
        <v>12.406691034673868</v>
      </c>
      <c r="M17" s="84">
        <v>14.446723469493373</v>
      </c>
      <c r="N17" s="84">
        <v>14.760621694325483</v>
      </c>
      <c r="O17" s="84">
        <v>15.662155994037709</v>
      </c>
      <c r="P17" s="84">
        <v>18.823476935951909</v>
      </c>
      <c r="Q17" s="84">
        <v>17.229850227437392</v>
      </c>
      <c r="R17" s="84">
        <v>23.580707550364334</v>
      </c>
      <c r="S17" s="84">
        <v>22.429563247733149</v>
      </c>
      <c r="T17" s="84">
        <v>24.245164144588291</v>
      </c>
      <c r="U17" s="84">
        <v>23.561907060676518</v>
      </c>
      <c r="V17" s="84">
        <v>5.1705348942955984</v>
      </c>
      <c r="W17" s="84">
        <v>14.638821259708822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2.0364530831859424</v>
      </c>
      <c r="C18" s="13">
        <f t="shared" si="12"/>
        <v>1.7469800710762566</v>
      </c>
      <c r="D18" s="13">
        <f t="shared" ref="D18:V18" si="13">SUM(D19:D21)</f>
        <v>1.7036580598416065</v>
      </c>
      <c r="E18" s="13">
        <f t="shared" si="13"/>
        <v>1.6372844016863612</v>
      </c>
      <c r="F18" s="13">
        <f t="shared" si="13"/>
        <v>2.068132564955544</v>
      </c>
      <c r="G18" s="13">
        <f t="shared" si="13"/>
        <v>2.5167510611219548</v>
      </c>
      <c r="H18" s="13">
        <f t="shared" si="13"/>
        <v>2.8991141933141904</v>
      </c>
      <c r="I18" s="13">
        <f t="shared" si="13"/>
        <v>2.626315670953193</v>
      </c>
      <c r="J18" s="13">
        <f t="shared" si="13"/>
        <v>2.6690278001989154</v>
      </c>
      <c r="K18" s="13">
        <f t="shared" si="13"/>
        <v>2.4621457801962467</v>
      </c>
      <c r="L18" s="13">
        <f t="shared" si="13"/>
        <v>2.232459303234501</v>
      </c>
      <c r="M18" s="13">
        <f t="shared" si="13"/>
        <v>1.5556989105399019</v>
      </c>
      <c r="N18" s="13">
        <f t="shared" si="13"/>
        <v>1.1699642349965824</v>
      </c>
      <c r="O18" s="13">
        <f t="shared" si="13"/>
        <v>1.1234726281913421</v>
      </c>
      <c r="P18" s="13">
        <f t="shared" si="13"/>
        <v>0.9650061705994295</v>
      </c>
      <c r="Q18" s="13">
        <f t="shared" si="13"/>
        <v>0.91195663335307486</v>
      </c>
      <c r="R18" s="13">
        <f t="shared" si="13"/>
        <v>0.73620430105993129</v>
      </c>
      <c r="S18" s="13">
        <f t="shared" si="13"/>
        <v>0.75919606843998333</v>
      </c>
      <c r="T18" s="13">
        <f t="shared" si="13"/>
        <v>0.69354946148234209</v>
      </c>
      <c r="U18" s="13">
        <f t="shared" si="13"/>
        <v>0.58461906752413562</v>
      </c>
      <c r="V18" s="13">
        <f t="shared" si="13"/>
        <v>0.49689075484540651</v>
      </c>
      <c r="W18" s="13">
        <f t="shared" ref="W18" si="14">SUM(W19:W21)</f>
        <v>0.50626835544098858</v>
      </c>
      <c r="DA18" s="193" t="s">
        <v>202</v>
      </c>
    </row>
    <row r="19" spans="1:105" ht="11.45" customHeight="1" x14ac:dyDescent="0.25">
      <c r="A19" s="92" t="s">
        <v>27</v>
      </c>
      <c r="B19" s="102">
        <v>0</v>
      </c>
      <c r="C19" s="102">
        <v>0</v>
      </c>
      <c r="D19" s="102">
        <v>0</v>
      </c>
      <c r="E19" s="102">
        <v>0</v>
      </c>
      <c r="F19" s="102">
        <v>0</v>
      </c>
      <c r="G19" s="102">
        <v>0</v>
      </c>
      <c r="H19" s="102">
        <v>0</v>
      </c>
      <c r="I19" s="102">
        <v>0</v>
      </c>
      <c r="J19" s="102">
        <v>0</v>
      </c>
      <c r="K19" s="102">
        <v>0</v>
      </c>
      <c r="L19" s="102">
        <v>0</v>
      </c>
      <c r="M19" s="102">
        <v>0</v>
      </c>
      <c r="N19" s="102">
        <v>0</v>
      </c>
      <c r="O19" s="102">
        <v>0</v>
      </c>
      <c r="P19" s="102">
        <v>0</v>
      </c>
      <c r="Q19" s="102">
        <v>0</v>
      </c>
      <c r="R19" s="102">
        <v>0</v>
      </c>
      <c r="S19" s="102">
        <v>0</v>
      </c>
      <c r="T19" s="102">
        <v>0</v>
      </c>
      <c r="U19" s="102">
        <v>0</v>
      </c>
      <c r="V19" s="102">
        <v>0</v>
      </c>
      <c r="W19" s="102">
        <v>0</v>
      </c>
      <c r="DA19" s="175" t="s">
        <v>203</v>
      </c>
    </row>
    <row r="20" spans="1:105" ht="11.45" customHeight="1" x14ac:dyDescent="0.25">
      <c r="A20" s="92" t="s">
        <v>173</v>
      </c>
      <c r="B20" s="102">
        <v>1.9168959431354267</v>
      </c>
      <c r="C20" s="102">
        <v>1.6323531223680303</v>
      </c>
      <c r="D20" s="102">
        <v>1.5951938503112417</v>
      </c>
      <c r="E20" s="102">
        <v>1.5300527399915689</v>
      </c>
      <c r="F20" s="102">
        <v>1.9448777813983111</v>
      </c>
      <c r="G20" s="102">
        <v>2.3945687833441771</v>
      </c>
      <c r="H20" s="102">
        <v>2.7358870145111944</v>
      </c>
      <c r="I20" s="102">
        <v>2.4521753921392397</v>
      </c>
      <c r="J20" s="102">
        <v>2.4620877156472161</v>
      </c>
      <c r="K20" s="102">
        <v>2.2752881087529193</v>
      </c>
      <c r="L20" s="102">
        <v>2.0396450013477088</v>
      </c>
      <c r="M20" s="102">
        <v>1.4406497203928355</v>
      </c>
      <c r="N20" s="102">
        <v>1.1236259233082708</v>
      </c>
      <c r="O20" s="102">
        <v>1.0608577432076474</v>
      </c>
      <c r="P20" s="102">
        <v>0.9034016501712987</v>
      </c>
      <c r="Q20" s="102">
        <v>0.85402023136951966</v>
      </c>
      <c r="R20" s="102">
        <v>0.6887430785555817</v>
      </c>
      <c r="S20" s="102">
        <v>0.72481223831216968</v>
      </c>
      <c r="T20" s="102">
        <v>0.64794838585209003</v>
      </c>
      <c r="U20" s="102">
        <v>0.48693937445482871</v>
      </c>
      <c r="V20" s="102">
        <v>0.41129024156816019</v>
      </c>
      <c r="W20" s="102">
        <v>0.41962891096633304</v>
      </c>
      <c r="DA20" s="175" t="s">
        <v>204</v>
      </c>
    </row>
    <row r="21" spans="1:105" ht="11.45" customHeight="1" x14ac:dyDescent="0.25">
      <c r="A21" s="85" t="s">
        <v>174</v>
      </c>
      <c r="B21" s="86">
        <v>0.1195571400505157</v>
      </c>
      <c r="C21" s="86">
        <v>0.11462694870822639</v>
      </c>
      <c r="D21" s="86">
        <v>0.10846420953036476</v>
      </c>
      <c r="E21" s="86">
        <v>0.10723166169479242</v>
      </c>
      <c r="F21" s="86">
        <v>0.12325478355723267</v>
      </c>
      <c r="G21" s="86">
        <v>0.12218227777777778</v>
      </c>
      <c r="H21" s="86">
        <v>0.16322717880299592</v>
      </c>
      <c r="I21" s="86">
        <v>0.17414027881395308</v>
      </c>
      <c r="J21" s="86">
        <v>0.20694008455169924</v>
      </c>
      <c r="K21" s="86">
        <v>0.18685767144332727</v>
      </c>
      <c r="L21" s="86">
        <v>0.19281430188679247</v>
      </c>
      <c r="M21" s="86">
        <v>0.1150491901470664</v>
      </c>
      <c r="N21" s="86">
        <v>4.6338311688311692E-2</v>
      </c>
      <c r="O21" s="86">
        <v>6.2614884983694649E-2</v>
      </c>
      <c r="P21" s="86">
        <v>6.1604520428130805E-2</v>
      </c>
      <c r="Q21" s="86">
        <v>5.7936401983555173E-2</v>
      </c>
      <c r="R21" s="86">
        <v>4.7461222504349601E-2</v>
      </c>
      <c r="S21" s="86">
        <v>3.4383830127813687E-2</v>
      </c>
      <c r="T21" s="86">
        <v>4.5601075630252105E-2</v>
      </c>
      <c r="U21" s="86">
        <v>9.7679693069306919E-2</v>
      </c>
      <c r="V21" s="86">
        <v>8.560051327724634E-2</v>
      </c>
      <c r="W21" s="86">
        <v>8.6639444474655561E-2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27262</v>
      </c>
      <c r="C23" s="54">
        <f t="shared" si="15"/>
        <v>31722</v>
      </c>
      <c r="D23" s="54">
        <f t="shared" ref="D23:V23" si="16">SUM(D24,D28)</f>
        <v>28906</v>
      </c>
      <c r="E23" s="54">
        <f t="shared" si="16"/>
        <v>30873</v>
      </c>
      <c r="F23" s="54">
        <f t="shared" si="16"/>
        <v>28442</v>
      </c>
      <c r="G23" s="54">
        <f t="shared" si="16"/>
        <v>29640</v>
      </c>
      <c r="H23" s="54">
        <f t="shared" si="16"/>
        <v>31824</v>
      </c>
      <c r="I23" s="54">
        <f t="shared" si="16"/>
        <v>33591</v>
      </c>
      <c r="J23" s="54">
        <f t="shared" si="16"/>
        <v>34249</v>
      </c>
      <c r="K23" s="54">
        <f t="shared" si="16"/>
        <v>31034</v>
      </c>
      <c r="L23" s="54">
        <f t="shared" si="16"/>
        <v>30247</v>
      </c>
      <c r="M23" s="54">
        <f t="shared" si="16"/>
        <v>29479</v>
      </c>
      <c r="N23" s="54">
        <f t="shared" si="16"/>
        <v>28464</v>
      </c>
      <c r="O23" s="54">
        <f t="shared" si="16"/>
        <v>25494</v>
      </c>
      <c r="P23" s="54">
        <f t="shared" si="16"/>
        <v>26682</v>
      </c>
      <c r="Q23" s="54">
        <f t="shared" si="16"/>
        <v>27228</v>
      </c>
      <c r="R23" s="54">
        <f t="shared" si="16"/>
        <v>32461</v>
      </c>
      <c r="S23" s="54">
        <f t="shared" si="16"/>
        <v>36395</v>
      </c>
      <c r="T23" s="54">
        <f t="shared" si="16"/>
        <v>38249</v>
      </c>
      <c r="U23" s="54">
        <f t="shared" si="16"/>
        <v>37167</v>
      </c>
      <c r="V23" s="54">
        <f t="shared" si="16"/>
        <v>12419</v>
      </c>
      <c r="W23" s="54">
        <f t="shared" ref="W23" si="17">SUM(W24,W28)</f>
        <v>21305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26447</v>
      </c>
      <c r="C24" s="11">
        <f t="shared" si="18"/>
        <v>31018</v>
      </c>
      <c r="D24" s="11">
        <f t="shared" ref="D24:V24" si="19">SUM(D25:D27)</f>
        <v>28221</v>
      </c>
      <c r="E24" s="11">
        <f t="shared" si="19"/>
        <v>30213</v>
      </c>
      <c r="F24" s="11">
        <f t="shared" si="19"/>
        <v>27614</v>
      </c>
      <c r="G24" s="11">
        <f t="shared" si="19"/>
        <v>28633</v>
      </c>
      <c r="H24" s="11">
        <f t="shared" si="19"/>
        <v>30699</v>
      </c>
      <c r="I24" s="11">
        <f t="shared" si="19"/>
        <v>32548</v>
      </c>
      <c r="J24" s="11">
        <f t="shared" si="19"/>
        <v>33174</v>
      </c>
      <c r="K24" s="11">
        <f t="shared" si="19"/>
        <v>30042</v>
      </c>
      <c r="L24" s="11">
        <f t="shared" si="19"/>
        <v>29387</v>
      </c>
      <c r="M24" s="11">
        <f t="shared" si="19"/>
        <v>28840</v>
      </c>
      <c r="N24" s="11">
        <f t="shared" si="19"/>
        <v>27913</v>
      </c>
      <c r="O24" s="11">
        <f t="shared" si="19"/>
        <v>24935</v>
      </c>
      <c r="P24" s="11">
        <f t="shared" si="19"/>
        <v>26208</v>
      </c>
      <c r="Q24" s="11">
        <f t="shared" si="19"/>
        <v>26761</v>
      </c>
      <c r="R24" s="11">
        <f t="shared" si="19"/>
        <v>32064</v>
      </c>
      <c r="S24" s="11">
        <f t="shared" si="19"/>
        <v>35968</v>
      </c>
      <c r="T24" s="11">
        <f t="shared" si="19"/>
        <v>37829</v>
      </c>
      <c r="U24" s="11">
        <f t="shared" si="19"/>
        <v>36744</v>
      </c>
      <c r="V24" s="11">
        <f t="shared" si="19"/>
        <v>12043</v>
      </c>
      <c r="W24" s="11">
        <f t="shared" ref="W24" si="20">SUM(W25:W27)</f>
        <v>20964</v>
      </c>
      <c r="DA24" s="189" t="s">
        <v>207</v>
      </c>
    </row>
    <row r="25" spans="1:105" ht="11.45" customHeight="1" x14ac:dyDescent="0.25">
      <c r="A25" s="83" t="s">
        <v>27</v>
      </c>
      <c r="B25" s="84">
        <v>0</v>
      </c>
      <c r="C25" s="84">
        <v>0</v>
      </c>
      <c r="D25" s="84">
        <v>0</v>
      </c>
      <c r="E25" s="84">
        <v>0</v>
      </c>
      <c r="F25" s="84">
        <v>0</v>
      </c>
      <c r="G25" s="84">
        <v>0</v>
      </c>
      <c r="H25" s="84">
        <v>0</v>
      </c>
      <c r="I25" s="84">
        <v>0</v>
      </c>
      <c r="J25" s="84">
        <v>0</v>
      </c>
      <c r="K25" s="84">
        <v>0</v>
      </c>
      <c r="L25" s="84">
        <v>0</v>
      </c>
      <c r="M25" s="84">
        <v>0</v>
      </c>
      <c r="N25" s="84">
        <v>0</v>
      </c>
      <c r="O25" s="84">
        <v>0</v>
      </c>
      <c r="P25" s="84">
        <v>0</v>
      </c>
      <c r="Q25" s="84">
        <v>0</v>
      </c>
      <c r="R25" s="84">
        <v>0</v>
      </c>
      <c r="S25" s="84">
        <v>0</v>
      </c>
      <c r="T25" s="84">
        <v>0</v>
      </c>
      <c r="U25" s="84">
        <v>0</v>
      </c>
      <c r="V25" s="84">
        <v>0</v>
      </c>
      <c r="W25" s="84">
        <v>0</v>
      </c>
      <c r="DA25" s="171" t="s">
        <v>208</v>
      </c>
    </row>
    <row r="26" spans="1:105" ht="11.45" customHeight="1" x14ac:dyDescent="0.25">
      <c r="A26" s="83" t="s">
        <v>173</v>
      </c>
      <c r="B26" s="84">
        <v>18937</v>
      </c>
      <c r="C26" s="84">
        <v>22210</v>
      </c>
      <c r="D26" s="84">
        <v>19125</v>
      </c>
      <c r="E26" s="84">
        <v>20475</v>
      </c>
      <c r="F26" s="84">
        <v>20004</v>
      </c>
      <c r="G26" s="84">
        <v>21236</v>
      </c>
      <c r="H26" s="84">
        <v>20759</v>
      </c>
      <c r="I26" s="84">
        <v>21247</v>
      </c>
      <c r="J26" s="84">
        <v>21765</v>
      </c>
      <c r="K26" s="84">
        <v>21486</v>
      </c>
      <c r="L26" s="84">
        <v>21768</v>
      </c>
      <c r="M26" s="84">
        <v>21069</v>
      </c>
      <c r="N26" s="84">
        <v>20123</v>
      </c>
      <c r="O26" s="84">
        <v>16973</v>
      </c>
      <c r="P26" s="84">
        <v>16908</v>
      </c>
      <c r="Q26" s="84">
        <v>17842</v>
      </c>
      <c r="R26" s="84">
        <v>19751</v>
      </c>
      <c r="S26" s="84">
        <v>22931</v>
      </c>
      <c r="T26" s="84">
        <v>24512</v>
      </c>
      <c r="U26" s="84">
        <v>23312</v>
      </c>
      <c r="V26" s="84">
        <v>8964</v>
      </c>
      <c r="W26" s="84">
        <v>13326</v>
      </c>
      <c r="DA26" s="171" t="s">
        <v>209</v>
      </c>
    </row>
    <row r="27" spans="1:105" ht="11.45" customHeight="1" x14ac:dyDescent="0.25">
      <c r="A27" s="83" t="s">
        <v>174</v>
      </c>
      <c r="B27" s="84">
        <v>7510</v>
      </c>
      <c r="C27" s="84">
        <v>8808</v>
      </c>
      <c r="D27" s="84">
        <v>9096</v>
      </c>
      <c r="E27" s="84">
        <v>9738</v>
      </c>
      <c r="F27" s="84">
        <v>7610</v>
      </c>
      <c r="G27" s="84">
        <v>7397</v>
      </c>
      <c r="H27" s="84">
        <v>9940</v>
      </c>
      <c r="I27" s="84">
        <v>11301</v>
      </c>
      <c r="J27" s="84">
        <v>11409</v>
      </c>
      <c r="K27" s="84">
        <v>8556</v>
      </c>
      <c r="L27" s="84">
        <v>7619</v>
      </c>
      <c r="M27" s="84">
        <v>7771</v>
      </c>
      <c r="N27" s="84">
        <v>7790</v>
      </c>
      <c r="O27" s="84">
        <v>7962</v>
      </c>
      <c r="P27" s="84">
        <v>9300</v>
      </c>
      <c r="Q27" s="84">
        <v>8919</v>
      </c>
      <c r="R27" s="84">
        <v>12313</v>
      </c>
      <c r="S27" s="84">
        <v>13037</v>
      </c>
      <c r="T27" s="84">
        <v>13317</v>
      </c>
      <c r="U27" s="84">
        <v>13432</v>
      </c>
      <c r="V27" s="84">
        <v>3079</v>
      </c>
      <c r="W27" s="84">
        <v>7638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815</v>
      </c>
      <c r="C28" s="13">
        <f t="shared" si="21"/>
        <v>704</v>
      </c>
      <c r="D28" s="13">
        <f t="shared" ref="D28:V28" si="22">SUM(D29:D31)</f>
        <v>685</v>
      </c>
      <c r="E28" s="13">
        <f t="shared" si="22"/>
        <v>660</v>
      </c>
      <c r="F28" s="13">
        <f t="shared" si="22"/>
        <v>828</v>
      </c>
      <c r="G28" s="13">
        <f t="shared" si="22"/>
        <v>1007</v>
      </c>
      <c r="H28" s="13">
        <f t="shared" si="22"/>
        <v>1125</v>
      </c>
      <c r="I28" s="13">
        <f t="shared" si="22"/>
        <v>1043</v>
      </c>
      <c r="J28" s="13">
        <f t="shared" si="22"/>
        <v>1075</v>
      </c>
      <c r="K28" s="13">
        <f t="shared" si="22"/>
        <v>992</v>
      </c>
      <c r="L28" s="13">
        <f t="shared" si="22"/>
        <v>860</v>
      </c>
      <c r="M28" s="13">
        <f t="shared" si="22"/>
        <v>639</v>
      </c>
      <c r="N28" s="13">
        <f t="shared" si="22"/>
        <v>551</v>
      </c>
      <c r="O28" s="13">
        <f t="shared" si="22"/>
        <v>559</v>
      </c>
      <c r="P28" s="13">
        <f t="shared" si="22"/>
        <v>474</v>
      </c>
      <c r="Q28" s="13">
        <f t="shared" si="22"/>
        <v>467</v>
      </c>
      <c r="R28" s="13">
        <f t="shared" si="22"/>
        <v>397</v>
      </c>
      <c r="S28" s="13">
        <f t="shared" si="22"/>
        <v>427</v>
      </c>
      <c r="T28" s="13">
        <f t="shared" si="22"/>
        <v>420</v>
      </c>
      <c r="U28" s="13">
        <f t="shared" si="22"/>
        <v>423</v>
      </c>
      <c r="V28" s="13">
        <f t="shared" si="22"/>
        <v>376</v>
      </c>
      <c r="W28" s="13">
        <f t="shared" ref="W28" si="23">SUM(W29:W31)</f>
        <v>341</v>
      </c>
      <c r="DA28" s="193" t="s">
        <v>211</v>
      </c>
    </row>
    <row r="29" spans="1:105" ht="11.45" customHeight="1" x14ac:dyDescent="0.25">
      <c r="A29" s="92" t="s">
        <v>27</v>
      </c>
      <c r="B29" s="102">
        <v>0</v>
      </c>
      <c r="C29" s="102">
        <v>0</v>
      </c>
      <c r="D29" s="102">
        <v>0</v>
      </c>
      <c r="E29" s="102">
        <v>0</v>
      </c>
      <c r="F29" s="102">
        <v>0</v>
      </c>
      <c r="G29" s="102">
        <v>0</v>
      </c>
      <c r="H29" s="102">
        <v>0</v>
      </c>
      <c r="I29" s="102">
        <v>0</v>
      </c>
      <c r="J29" s="102">
        <v>0</v>
      </c>
      <c r="K29" s="102">
        <v>0</v>
      </c>
      <c r="L29" s="102">
        <v>0</v>
      </c>
      <c r="M29" s="102">
        <v>0</v>
      </c>
      <c r="N29" s="102">
        <v>0</v>
      </c>
      <c r="O29" s="102">
        <v>0</v>
      </c>
      <c r="P29" s="102">
        <v>0</v>
      </c>
      <c r="Q29" s="102">
        <v>0</v>
      </c>
      <c r="R29" s="102">
        <v>0</v>
      </c>
      <c r="S29" s="102">
        <v>0</v>
      </c>
      <c r="T29" s="102">
        <v>0</v>
      </c>
      <c r="U29" s="102">
        <v>0</v>
      </c>
      <c r="V29" s="102">
        <v>0</v>
      </c>
      <c r="W29" s="102">
        <v>0</v>
      </c>
      <c r="DA29" s="175" t="s">
        <v>212</v>
      </c>
    </row>
    <row r="30" spans="1:105" ht="11.45" customHeight="1" x14ac:dyDescent="0.25">
      <c r="A30" s="92" t="s">
        <v>173</v>
      </c>
      <c r="B30" s="102">
        <v>718</v>
      </c>
      <c r="C30" s="102">
        <v>611</v>
      </c>
      <c r="D30" s="102">
        <v>597</v>
      </c>
      <c r="E30" s="102">
        <v>573</v>
      </c>
      <c r="F30" s="102">
        <v>728</v>
      </c>
      <c r="G30" s="102">
        <v>910</v>
      </c>
      <c r="H30" s="102">
        <v>1019</v>
      </c>
      <c r="I30" s="102">
        <v>938</v>
      </c>
      <c r="J30" s="102">
        <v>963</v>
      </c>
      <c r="K30" s="102">
        <v>899</v>
      </c>
      <c r="L30" s="102">
        <v>771</v>
      </c>
      <c r="M30" s="102">
        <v>559</v>
      </c>
      <c r="N30" s="102">
        <v>461</v>
      </c>
      <c r="O30" s="102">
        <v>454</v>
      </c>
      <c r="P30" s="102">
        <v>381</v>
      </c>
      <c r="Q30" s="102">
        <v>367</v>
      </c>
      <c r="R30" s="102">
        <v>314</v>
      </c>
      <c r="S30" s="102">
        <v>338</v>
      </c>
      <c r="T30" s="102">
        <v>328</v>
      </c>
      <c r="U30" s="102">
        <v>320</v>
      </c>
      <c r="V30" s="102">
        <v>278</v>
      </c>
      <c r="W30" s="102">
        <v>263</v>
      </c>
      <c r="DA30" s="175" t="s">
        <v>213</v>
      </c>
    </row>
    <row r="31" spans="1:105" ht="11.45" customHeight="1" x14ac:dyDescent="0.25">
      <c r="A31" s="85" t="s">
        <v>174</v>
      </c>
      <c r="B31" s="86">
        <v>97</v>
      </c>
      <c r="C31" s="86">
        <v>93</v>
      </c>
      <c r="D31" s="86">
        <v>88</v>
      </c>
      <c r="E31" s="86">
        <v>87</v>
      </c>
      <c r="F31" s="86">
        <v>100</v>
      </c>
      <c r="G31" s="86">
        <v>97</v>
      </c>
      <c r="H31" s="86">
        <v>106</v>
      </c>
      <c r="I31" s="86">
        <v>105</v>
      </c>
      <c r="J31" s="86">
        <v>112</v>
      </c>
      <c r="K31" s="86">
        <v>93</v>
      </c>
      <c r="L31" s="86">
        <v>89</v>
      </c>
      <c r="M31" s="86">
        <v>80</v>
      </c>
      <c r="N31" s="86">
        <v>90</v>
      </c>
      <c r="O31" s="86">
        <v>105</v>
      </c>
      <c r="P31" s="86">
        <v>93</v>
      </c>
      <c r="Q31" s="86">
        <v>100</v>
      </c>
      <c r="R31" s="86">
        <v>83</v>
      </c>
      <c r="S31" s="86">
        <v>89</v>
      </c>
      <c r="T31" s="86">
        <v>92</v>
      </c>
      <c r="U31" s="86">
        <v>103</v>
      </c>
      <c r="V31" s="86">
        <v>98</v>
      </c>
      <c r="W31" s="86">
        <v>78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3077435</v>
      </c>
      <c r="C34" s="11">
        <f t="shared" si="24"/>
        <v>3623418</v>
      </c>
      <c r="D34" s="11">
        <f t="shared" ref="D34:V34" si="25">SUM(D35:D37)</f>
        <v>3092240</v>
      </c>
      <c r="E34" s="11">
        <f t="shared" si="25"/>
        <v>3336219</v>
      </c>
      <c r="F34" s="11">
        <f t="shared" si="25"/>
        <v>3357883</v>
      </c>
      <c r="G34" s="11">
        <f t="shared" si="25"/>
        <v>3498802</v>
      </c>
      <c r="H34" s="11">
        <f t="shared" si="25"/>
        <v>3497973</v>
      </c>
      <c r="I34" s="11">
        <f t="shared" si="25"/>
        <v>3610751</v>
      </c>
      <c r="J34" s="11">
        <f t="shared" si="25"/>
        <v>3742964</v>
      </c>
      <c r="K34" s="11">
        <f t="shared" si="25"/>
        <v>3471262</v>
      </c>
      <c r="L34" s="11">
        <f t="shared" si="25"/>
        <v>3594185</v>
      </c>
      <c r="M34" s="11">
        <f t="shared" si="25"/>
        <v>3606600</v>
      </c>
      <c r="N34" s="11">
        <f t="shared" si="25"/>
        <v>3667685</v>
      </c>
      <c r="O34" s="11">
        <f t="shared" si="25"/>
        <v>3582629</v>
      </c>
      <c r="P34" s="11">
        <f t="shared" si="25"/>
        <v>3715821</v>
      </c>
      <c r="Q34" s="11">
        <f t="shared" si="25"/>
        <v>3872583</v>
      </c>
      <c r="R34" s="11">
        <f t="shared" si="25"/>
        <v>4538471</v>
      </c>
      <c r="S34" s="11">
        <f t="shared" si="25"/>
        <v>5209276</v>
      </c>
      <c r="T34" s="11">
        <f t="shared" si="25"/>
        <v>5539902</v>
      </c>
      <c r="U34" s="11">
        <f t="shared" si="25"/>
        <v>5699341</v>
      </c>
      <c r="V34" s="11">
        <f t="shared" si="25"/>
        <v>1164052</v>
      </c>
      <c r="W34" s="11">
        <f t="shared" ref="W34" si="26">SUM(W35:W37)</f>
        <v>2552843</v>
      </c>
      <c r="DA34" s="189" t="s">
        <v>215</v>
      </c>
    </row>
    <row r="35" spans="1:105" ht="11.45" customHeight="1" x14ac:dyDescent="0.25">
      <c r="A35" s="83" t="s">
        <v>27</v>
      </c>
      <c r="B35" s="84">
        <v>0</v>
      </c>
      <c r="C35" s="84">
        <v>0</v>
      </c>
      <c r="D35" s="84">
        <v>0</v>
      </c>
      <c r="E35" s="84">
        <v>0</v>
      </c>
      <c r="F35" s="84">
        <v>0</v>
      </c>
      <c r="G35" s="84">
        <v>0</v>
      </c>
      <c r="H35" s="84">
        <v>0</v>
      </c>
      <c r="I35" s="84">
        <v>0</v>
      </c>
      <c r="J35" s="84">
        <v>0</v>
      </c>
      <c r="K35" s="84">
        <v>0</v>
      </c>
      <c r="L35" s="84">
        <v>0</v>
      </c>
      <c r="M35" s="84">
        <v>0</v>
      </c>
      <c r="N35" s="84">
        <v>0</v>
      </c>
      <c r="O35" s="84">
        <v>0</v>
      </c>
      <c r="P35" s="84">
        <v>0</v>
      </c>
      <c r="Q35" s="84">
        <v>0</v>
      </c>
      <c r="R35" s="84">
        <v>0</v>
      </c>
      <c r="S35" s="84">
        <v>0</v>
      </c>
      <c r="T35" s="84">
        <v>0</v>
      </c>
      <c r="U35" s="84">
        <v>0</v>
      </c>
      <c r="V35" s="84">
        <v>0</v>
      </c>
      <c r="W35" s="84">
        <v>0</v>
      </c>
      <c r="DA35" s="171" t="s">
        <v>216</v>
      </c>
    </row>
    <row r="36" spans="1:105" ht="11.45" customHeight="1" x14ac:dyDescent="0.25">
      <c r="A36" s="83" t="s">
        <v>173</v>
      </c>
      <c r="B36" s="84">
        <v>2610168</v>
      </c>
      <c r="C36" s="84">
        <v>3064972</v>
      </c>
      <c r="D36" s="84">
        <v>2504603</v>
      </c>
      <c r="E36" s="84">
        <v>2690013</v>
      </c>
      <c r="F36" s="84">
        <v>2779378</v>
      </c>
      <c r="G36" s="84">
        <v>2959092</v>
      </c>
      <c r="H36" s="84">
        <v>2937591</v>
      </c>
      <c r="I36" s="84">
        <v>3003313</v>
      </c>
      <c r="J36" s="84">
        <v>3090571</v>
      </c>
      <c r="K36" s="84">
        <v>2886084</v>
      </c>
      <c r="L36" s="84">
        <v>2890173</v>
      </c>
      <c r="M36" s="84">
        <v>2875736</v>
      </c>
      <c r="N36" s="84">
        <v>2784023</v>
      </c>
      <c r="O36" s="84">
        <v>2519764</v>
      </c>
      <c r="P36" s="84">
        <v>2542554</v>
      </c>
      <c r="Q36" s="84">
        <v>2761676</v>
      </c>
      <c r="R36" s="84">
        <v>3049202</v>
      </c>
      <c r="S36" s="84">
        <v>3510977</v>
      </c>
      <c r="T36" s="84">
        <v>3802695</v>
      </c>
      <c r="U36" s="84">
        <v>3820700</v>
      </c>
      <c r="V36" s="84">
        <v>945010</v>
      </c>
      <c r="W36" s="84">
        <v>1610384</v>
      </c>
      <c r="DA36" s="171" t="s">
        <v>217</v>
      </c>
    </row>
    <row r="37" spans="1:105" ht="11.45" customHeight="1" x14ac:dyDescent="0.25">
      <c r="A37" s="83" t="s">
        <v>174</v>
      </c>
      <c r="B37" s="84">
        <v>467267</v>
      </c>
      <c r="C37" s="84">
        <v>558446</v>
      </c>
      <c r="D37" s="84">
        <v>587637</v>
      </c>
      <c r="E37" s="84">
        <v>646206</v>
      </c>
      <c r="F37" s="84">
        <v>578505</v>
      </c>
      <c r="G37" s="84">
        <v>539710</v>
      </c>
      <c r="H37" s="84">
        <v>560382</v>
      </c>
      <c r="I37" s="84">
        <v>607438</v>
      </c>
      <c r="J37" s="84">
        <v>652393</v>
      </c>
      <c r="K37" s="84">
        <v>585178</v>
      </c>
      <c r="L37" s="84">
        <v>704012</v>
      </c>
      <c r="M37" s="84">
        <v>730864</v>
      </c>
      <c r="N37" s="84">
        <v>883662</v>
      </c>
      <c r="O37" s="84">
        <v>1062865</v>
      </c>
      <c r="P37" s="84">
        <v>1173267</v>
      </c>
      <c r="Q37" s="84">
        <v>1110907</v>
      </c>
      <c r="R37" s="84">
        <v>1489269</v>
      </c>
      <c r="S37" s="84">
        <v>1698299</v>
      </c>
      <c r="T37" s="84">
        <v>1737207</v>
      </c>
      <c r="U37" s="84">
        <v>1878641</v>
      </c>
      <c r="V37" s="84">
        <v>219042</v>
      </c>
      <c r="W37" s="84">
        <v>942459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16599.147191025993</v>
      </c>
      <c r="C38" s="13">
        <f t="shared" si="27"/>
        <v>14936.517673782655</v>
      </c>
      <c r="D38" s="13">
        <f t="shared" ref="D38:V38" si="28">SUM(D39:D41)</f>
        <v>14382.785946028691</v>
      </c>
      <c r="E38" s="13">
        <f t="shared" si="28"/>
        <v>14075.707610442092</v>
      </c>
      <c r="F38" s="13">
        <f t="shared" si="28"/>
        <v>16475.115529006405</v>
      </c>
      <c r="G38" s="13">
        <f t="shared" si="28"/>
        <v>18103.677702793466</v>
      </c>
      <c r="H38" s="13">
        <f t="shared" si="28"/>
        <v>19038.359738039002</v>
      </c>
      <c r="I38" s="13">
        <f t="shared" si="28"/>
        <v>17647.422297984442</v>
      </c>
      <c r="J38" s="13">
        <f t="shared" si="28"/>
        <v>18181.575449508513</v>
      </c>
      <c r="K38" s="13">
        <f t="shared" si="28"/>
        <v>16891.044223266119</v>
      </c>
      <c r="L38" s="13">
        <f t="shared" si="28"/>
        <v>15793.675709213068</v>
      </c>
      <c r="M38" s="13">
        <f t="shared" si="28"/>
        <v>13063.982485841825</v>
      </c>
      <c r="N38" s="13">
        <f t="shared" si="28"/>
        <v>12876.128266589461</v>
      </c>
      <c r="O38" s="13">
        <f t="shared" si="28"/>
        <v>13741.439617776054</v>
      </c>
      <c r="P38" s="13">
        <f t="shared" si="28"/>
        <v>13083.426096149675</v>
      </c>
      <c r="Q38" s="13">
        <f t="shared" si="28"/>
        <v>13264.165621591717</v>
      </c>
      <c r="R38" s="13">
        <f t="shared" si="28"/>
        <v>12520.097655891217</v>
      </c>
      <c r="S38" s="13">
        <f t="shared" si="28"/>
        <v>12951.292588744815</v>
      </c>
      <c r="T38" s="13">
        <f t="shared" si="28"/>
        <v>12962.371943450034</v>
      </c>
      <c r="U38" s="13">
        <f t="shared" si="28"/>
        <v>13953.944868666538</v>
      </c>
      <c r="V38" s="13">
        <f t="shared" si="28"/>
        <v>9793.0396813775951</v>
      </c>
      <c r="W38" s="13">
        <f t="shared" ref="W38" si="29">SUM(W39:W41)</f>
        <v>8796.407414317935</v>
      </c>
      <c r="DA38" s="193" t="s">
        <v>219</v>
      </c>
    </row>
    <row r="39" spans="1:105" ht="11.45" customHeight="1" x14ac:dyDescent="0.25">
      <c r="A39" s="92" t="s">
        <v>27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DA39" s="175" t="s">
        <v>220</v>
      </c>
    </row>
    <row r="40" spans="1:105" ht="11.45" customHeight="1" x14ac:dyDescent="0.25">
      <c r="A40" s="92" t="s">
        <v>173</v>
      </c>
      <c r="B40" s="102">
        <v>11542.622178415628</v>
      </c>
      <c r="C40" s="102">
        <v>9929.5076100582755</v>
      </c>
      <c r="D40" s="102">
        <v>9728.6491012203678</v>
      </c>
      <c r="E40" s="102">
        <v>9836.9805199966413</v>
      </c>
      <c r="F40" s="102">
        <v>11669.172766646832</v>
      </c>
      <c r="G40" s="102">
        <v>13814.729996430269</v>
      </c>
      <c r="H40" s="102">
        <v>14250.993740219883</v>
      </c>
      <c r="I40" s="102">
        <v>12902.785757606525</v>
      </c>
      <c r="J40" s="102">
        <v>13151.329826071051</v>
      </c>
      <c r="K40" s="102">
        <v>12250.457505310307</v>
      </c>
      <c r="L40" s="102">
        <v>11118.426669501878</v>
      </c>
      <c r="M40" s="102">
        <v>8658.7442773021394</v>
      </c>
      <c r="N40" s="102">
        <v>7588.8999954309274</v>
      </c>
      <c r="O40" s="102">
        <v>7510.0876013451734</v>
      </c>
      <c r="P40" s="102">
        <v>6933.3438968185274</v>
      </c>
      <c r="Q40" s="102">
        <v>6670.5060350280091</v>
      </c>
      <c r="R40" s="102">
        <v>6460.0827502555212</v>
      </c>
      <c r="S40" s="102">
        <v>6465.2957983835095</v>
      </c>
      <c r="T40" s="102">
        <v>6235.616016996104</v>
      </c>
      <c r="U40" s="102">
        <v>6237.6450739029697</v>
      </c>
      <c r="V40" s="102">
        <v>4870.3277071318189</v>
      </c>
      <c r="W40" s="102">
        <v>4642.0364645080772</v>
      </c>
      <c r="DA40" s="175" t="s">
        <v>221</v>
      </c>
    </row>
    <row r="41" spans="1:105" ht="11.45" customHeight="1" x14ac:dyDescent="0.25">
      <c r="A41" s="85" t="s">
        <v>174</v>
      </c>
      <c r="B41" s="86">
        <v>5056.5250126103638</v>
      </c>
      <c r="C41" s="86">
        <v>5007.0100637243786</v>
      </c>
      <c r="D41" s="86">
        <v>4654.1368448083231</v>
      </c>
      <c r="E41" s="86">
        <v>4238.7270904454508</v>
      </c>
      <c r="F41" s="86">
        <v>4805.9427623595748</v>
      </c>
      <c r="G41" s="86">
        <v>4288.9477063631975</v>
      </c>
      <c r="H41" s="86">
        <v>4787.3659978191181</v>
      </c>
      <c r="I41" s="86">
        <v>4744.6365403779173</v>
      </c>
      <c r="J41" s="86">
        <v>5030.2456234374622</v>
      </c>
      <c r="K41" s="86">
        <v>4640.5867179558127</v>
      </c>
      <c r="L41" s="86">
        <v>4675.2490397111915</v>
      </c>
      <c r="M41" s="86">
        <v>4405.2382085396866</v>
      </c>
      <c r="N41" s="86">
        <v>5287.2282711585331</v>
      </c>
      <c r="O41" s="86">
        <v>6231.3520164308811</v>
      </c>
      <c r="P41" s="86">
        <v>6150.0821993311474</v>
      </c>
      <c r="Q41" s="86">
        <v>6593.6595865637073</v>
      </c>
      <c r="R41" s="86">
        <v>6060.0149056356959</v>
      </c>
      <c r="S41" s="86">
        <v>6485.9967903613051</v>
      </c>
      <c r="T41" s="86">
        <v>6726.7559264539304</v>
      </c>
      <c r="U41" s="86">
        <v>7716.2997947635677</v>
      </c>
      <c r="V41" s="86">
        <v>4922.7119742457762</v>
      </c>
      <c r="W41" s="86">
        <v>4154.3709498098578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32.876358197751685</v>
      </c>
      <c r="C43" s="54">
        <f t="shared" si="30"/>
        <v>38.235815846295097</v>
      </c>
      <c r="D43" s="54">
        <f t="shared" ref="D43:V43" si="31">SUM(D44,D48)</f>
        <v>37.166054325849124</v>
      </c>
      <c r="E43" s="54">
        <f t="shared" si="31"/>
        <v>37.262589842753179</v>
      </c>
      <c r="F43" s="54">
        <f t="shared" si="31"/>
        <v>35.599813571762347</v>
      </c>
      <c r="G43" s="54">
        <f t="shared" si="31"/>
        <v>35.726459313797065</v>
      </c>
      <c r="H43" s="54">
        <f t="shared" si="31"/>
        <v>38.162224794086477</v>
      </c>
      <c r="I43" s="54">
        <f t="shared" si="31"/>
        <v>39.723803304811256</v>
      </c>
      <c r="J43" s="54">
        <f t="shared" si="31"/>
        <v>40.710428757843573</v>
      </c>
      <c r="K43" s="54">
        <f t="shared" si="31"/>
        <v>39.384666306621661</v>
      </c>
      <c r="L43" s="54">
        <f t="shared" si="31"/>
        <v>38.780076344652805</v>
      </c>
      <c r="M43" s="54">
        <f t="shared" si="31"/>
        <v>37.272089132685466</v>
      </c>
      <c r="N43" s="54">
        <f t="shared" si="31"/>
        <v>34.996638800451578</v>
      </c>
      <c r="O43" s="54">
        <f t="shared" si="31"/>
        <v>33.902979657849492</v>
      </c>
      <c r="P43" s="54">
        <f t="shared" si="31"/>
        <v>34.692808058425634</v>
      </c>
      <c r="Q43" s="54">
        <f t="shared" si="31"/>
        <v>33.64188303957242</v>
      </c>
      <c r="R43" s="54">
        <f t="shared" si="31"/>
        <v>40.012086542618675</v>
      </c>
      <c r="S43" s="54">
        <f t="shared" si="31"/>
        <v>43.561433478393425</v>
      </c>
      <c r="T43" s="54">
        <f t="shared" si="31"/>
        <v>46.122733462526064</v>
      </c>
      <c r="U43" s="54">
        <f t="shared" si="31"/>
        <v>44.863533377553715</v>
      </c>
      <c r="V43" s="54">
        <f t="shared" si="31"/>
        <v>42.692591639389711</v>
      </c>
      <c r="W43" s="54">
        <f t="shared" ref="W43" si="32">SUM(W44,W48)</f>
        <v>40.567194222314399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31.668348989130973</v>
      </c>
      <c r="C44" s="11">
        <f t="shared" si="33"/>
        <v>37.141995029534129</v>
      </c>
      <c r="D44" s="11">
        <f t="shared" ref="D44:V44" si="34">SUM(D45:D47)</f>
        <v>36.152626599275273</v>
      </c>
      <c r="E44" s="11">
        <f t="shared" si="34"/>
        <v>36.287316912081259</v>
      </c>
      <c r="F44" s="11">
        <f t="shared" si="34"/>
        <v>34.372612835764798</v>
      </c>
      <c r="G44" s="11">
        <f t="shared" si="34"/>
        <v>34.235672506860347</v>
      </c>
      <c r="H44" s="11">
        <f t="shared" si="34"/>
        <v>36.465623504910013</v>
      </c>
      <c r="I44" s="11">
        <f t="shared" si="34"/>
        <v>38.109376232534991</v>
      </c>
      <c r="J44" s="11">
        <f t="shared" si="34"/>
        <v>39.107315766195057</v>
      </c>
      <c r="K44" s="11">
        <f t="shared" si="34"/>
        <v>37.875072445915769</v>
      </c>
      <c r="L44" s="11">
        <f t="shared" si="34"/>
        <v>37.38929895014877</v>
      </c>
      <c r="M44" s="11">
        <f t="shared" si="34"/>
        <v>36.002112659043505</v>
      </c>
      <c r="N44" s="11">
        <f t="shared" si="34"/>
        <v>33.847463247671683</v>
      </c>
      <c r="O44" s="11">
        <f t="shared" si="34"/>
        <v>32.874605025931672</v>
      </c>
      <c r="P44" s="11">
        <f t="shared" si="34"/>
        <v>33.785234347369887</v>
      </c>
      <c r="Q44" s="11">
        <f t="shared" si="34"/>
        <v>32.851522820232873</v>
      </c>
      <c r="R44" s="11">
        <f t="shared" si="34"/>
        <v>39.342527244141202</v>
      </c>
      <c r="S44" s="11">
        <f t="shared" si="34"/>
        <v>42.987030351578511</v>
      </c>
      <c r="T44" s="11">
        <f t="shared" si="34"/>
        <v>45.618485807983276</v>
      </c>
      <c r="U44" s="11">
        <f t="shared" si="34"/>
        <v>44.366229896916359</v>
      </c>
      <c r="V44" s="11">
        <f t="shared" si="34"/>
        <v>42.255006630974293</v>
      </c>
      <c r="W44" s="11">
        <f t="shared" ref="W44" si="35">SUM(W45:W47)</f>
        <v>40.143783365032228</v>
      </c>
      <c r="DA44" s="189" t="s">
        <v>224</v>
      </c>
    </row>
    <row r="45" spans="1:105" ht="11.45" customHeight="1" x14ac:dyDescent="0.25">
      <c r="A45" s="83" t="s">
        <v>27</v>
      </c>
      <c r="B45" s="84">
        <v>0</v>
      </c>
      <c r="C45" s="84">
        <v>0</v>
      </c>
      <c r="D45" s="84">
        <v>0</v>
      </c>
      <c r="E45" s="84">
        <v>0</v>
      </c>
      <c r="F45" s="84">
        <v>0</v>
      </c>
      <c r="G45" s="84">
        <v>0</v>
      </c>
      <c r="H45" s="84">
        <v>0</v>
      </c>
      <c r="I45" s="84">
        <v>0</v>
      </c>
      <c r="J45" s="84">
        <v>0</v>
      </c>
      <c r="K45" s="84">
        <v>0</v>
      </c>
      <c r="L45" s="84">
        <v>0</v>
      </c>
      <c r="M45" s="84">
        <v>0</v>
      </c>
      <c r="N45" s="84">
        <v>0</v>
      </c>
      <c r="O45" s="84">
        <v>0</v>
      </c>
      <c r="P45" s="84">
        <v>0</v>
      </c>
      <c r="Q45" s="84">
        <v>0</v>
      </c>
      <c r="R45" s="84">
        <v>0</v>
      </c>
      <c r="S45" s="84">
        <v>0</v>
      </c>
      <c r="T45" s="84">
        <v>0</v>
      </c>
      <c r="U45" s="84">
        <v>0</v>
      </c>
      <c r="V45" s="84">
        <v>0</v>
      </c>
      <c r="W45" s="84">
        <v>0</v>
      </c>
      <c r="DA45" s="171" t="s">
        <v>225</v>
      </c>
    </row>
    <row r="46" spans="1:105" ht="11.45" customHeight="1" x14ac:dyDescent="0.25">
      <c r="A46" s="83" t="s">
        <v>173</v>
      </c>
      <c r="B46" s="84">
        <v>23.695949838387872</v>
      </c>
      <c r="C46" s="84">
        <v>27.791676558196549</v>
      </c>
      <c r="D46" s="84">
        <v>26.496575643861259</v>
      </c>
      <c r="E46" s="84">
        <v>25.949737294246866</v>
      </c>
      <c r="F46" s="84">
        <v>24.832273133004712</v>
      </c>
      <c r="G46" s="84">
        <v>25.492572719174575</v>
      </c>
      <c r="H46" s="84">
        <v>25.105623504910014</v>
      </c>
      <c r="I46" s="84">
        <v>25.267330777989535</v>
      </c>
      <c r="J46" s="84">
        <v>25.841036696427619</v>
      </c>
      <c r="K46" s="84">
        <v>25.406033291222638</v>
      </c>
      <c r="L46" s="84">
        <v>25.717499710529953</v>
      </c>
      <c r="M46" s="84">
        <v>25.127553334498995</v>
      </c>
      <c r="N46" s="84">
        <v>23.637764689349272</v>
      </c>
      <c r="O46" s="84">
        <v>22.172992122705864</v>
      </c>
      <c r="P46" s="84">
        <v>21.028032701279351</v>
      </c>
      <c r="Q46" s="84">
        <v>20.891561089216651</v>
      </c>
      <c r="R46" s="84">
        <v>23.077005447575811</v>
      </c>
      <c r="S46" s="84">
        <v>26.951359994874942</v>
      </c>
      <c r="T46" s="84">
        <v>28.610822972734237</v>
      </c>
      <c r="U46" s="84">
        <v>27.618100221105884</v>
      </c>
      <c r="V46" s="84">
        <v>26.038370231880023</v>
      </c>
      <c r="W46" s="84">
        <v>24.458640242654166</v>
      </c>
      <c r="DA46" s="171" t="s">
        <v>226</v>
      </c>
    </row>
    <row r="47" spans="1:105" ht="11.45" customHeight="1" x14ac:dyDescent="0.25">
      <c r="A47" s="83" t="s">
        <v>174</v>
      </c>
      <c r="B47" s="84">
        <v>7.9723991507431</v>
      </c>
      <c r="C47" s="84">
        <v>9.3503184713375802</v>
      </c>
      <c r="D47" s="84">
        <v>9.6560509554140133</v>
      </c>
      <c r="E47" s="84">
        <v>10.337579617834395</v>
      </c>
      <c r="F47" s="84">
        <v>9.5403397027600843</v>
      </c>
      <c r="G47" s="84">
        <v>8.7430997876857734</v>
      </c>
      <c r="H47" s="84">
        <v>11.36</v>
      </c>
      <c r="I47" s="84">
        <v>12.842045454545454</v>
      </c>
      <c r="J47" s="84">
        <v>13.266279069767442</v>
      </c>
      <c r="K47" s="84">
        <v>12.469039154693132</v>
      </c>
      <c r="L47" s="84">
        <v>11.671799239618821</v>
      </c>
      <c r="M47" s="84">
        <v>10.87455932454451</v>
      </c>
      <c r="N47" s="84">
        <v>10.209698558322412</v>
      </c>
      <c r="O47" s="84">
        <v>10.701612903225806</v>
      </c>
      <c r="P47" s="84">
        <v>12.757201646090534</v>
      </c>
      <c r="Q47" s="84">
        <v>11.959961731016223</v>
      </c>
      <c r="R47" s="84">
        <v>16.265521796565391</v>
      </c>
      <c r="S47" s="84">
        <v>16.035670356703566</v>
      </c>
      <c r="T47" s="84">
        <v>17.007662835249043</v>
      </c>
      <c r="U47" s="84">
        <v>16.748129675810475</v>
      </c>
      <c r="V47" s="84">
        <v>16.21663639909427</v>
      </c>
      <c r="W47" s="84">
        <v>15.685143122378063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1.2080092086207153</v>
      </c>
      <c r="C48" s="13">
        <f t="shared" si="36"/>
        <v>1.0938208167609638</v>
      </c>
      <c r="D48" s="13">
        <f t="shared" ref="D48:V48" si="37">SUM(D49:D51)</f>
        <v>1.0134277265738549</v>
      </c>
      <c r="E48" s="13">
        <f t="shared" si="37"/>
        <v>0.97527293067192233</v>
      </c>
      <c r="F48" s="13">
        <f t="shared" si="37"/>
        <v>1.2272007359975472</v>
      </c>
      <c r="G48" s="13">
        <f t="shared" si="37"/>
        <v>1.4907868069367189</v>
      </c>
      <c r="H48" s="13">
        <f t="shared" si="37"/>
        <v>1.6966012891764655</v>
      </c>
      <c r="I48" s="13">
        <f t="shared" si="37"/>
        <v>1.6144270722762617</v>
      </c>
      <c r="J48" s="13">
        <f t="shared" si="37"/>
        <v>1.6031129916485187</v>
      </c>
      <c r="K48" s="13">
        <f t="shared" si="37"/>
        <v>1.5095938607058927</v>
      </c>
      <c r="L48" s="13">
        <f t="shared" si="37"/>
        <v>1.3907773945040343</v>
      </c>
      <c r="M48" s="13">
        <f t="shared" si="37"/>
        <v>1.2699764736419628</v>
      </c>
      <c r="N48" s="13">
        <f t="shared" si="37"/>
        <v>1.1491755527798913</v>
      </c>
      <c r="O48" s="13">
        <f t="shared" si="37"/>
        <v>1.0283746319178195</v>
      </c>
      <c r="P48" s="13">
        <f t="shared" si="37"/>
        <v>0.90757371105574802</v>
      </c>
      <c r="Q48" s="13">
        <f t="shared" si="37"/>
        <v>0.79036021933954426</v>
      </c>
      <c r="R48" s="13">
        <f t="shared" si="37"/>
        <v>0.66955929847747275</v>
      </c>
      <c r="S48" s="13">
        <f t="shared" si="37"/>
        <v>0.57440312681491312</v>
      </c>
      <c r="T48" s="13">
        <f t="shared" si="37"/>
        <v>0.50424765454278608</v>
      </c>
      <c r="U48" s="13">
        <f t="shared" si="37"/>
        <v>0.49730348063735763</v>
      </c>
      <c r="V48" s="13">
        <f t="shared" si="37"/>
        <v>0.43758500841541587</v>
      </c>
      <c r="W48" s="13">
        <f t="shared" ref="W48" si="38">SUM(W49:W51)</f>
        <v>0.42341085728217276</v>
      </c>
      <c r="DA48" s="193" t="s">
        <v>228</v>
      </c>
    </row>
    <row r="49" spans="1:105" ht="11.45" customHeight="1" x14ac:dyDescent="0.25">
      <c r="A49" s="92" t="s">
        <v>27</v>
      </c>
      <c r="B49" s="102">
        <v>0</v>
      </c>
      <c r="C49" s="102">
        <v>0</v>
      </c>
      <c r="D49" s="102">
        <v>0</v>
      </c>
      <c r="E49" s="102">
        <v>0</v>
      </c>
      <c r="F49" s="102">
        <v>0</v>
      </c>
      <c r="G49" s="102">
        <v>0</v>
      </c>
      <c r="H49" s="102">
        <v>0</v>
      </c>
      <c r="I49" s="102">
        <v>0</v>
      </c>
      <c r="J49" s="102">
        <v>0</v>
      </c>
      <c r="K49" s="102">
        <v>0</v>
      </c>
      <c r="L49" s="102">
        <v>0</v>
      </c>
      <c r="M49" s="102">
        <v>0</v>
      </c>
      <c r="N49" s="102">
        <v>0</v>
      </c>
      <c r="O49" s="102">
        <v>0</v>
      </c>
      <c r="P49" s="102">
        <v>0</v>
      </c>
      <c r="Q49" s="102">
        <v>0</v>
      </c>
      <c r="R49" s="102">
        <v>0</v>
      </c>
      <c r="S49" s="102">
        <v>0</v>
      </c>
      <c r="T49" s="102">
        <v>0</v>
      </c>
      <c r="U49" s="102">
        <v>0</v>
      </c>
      <c r="V49" s="102">
        <v>0</v>
      </c>
      <c r="W49" s="102">
        <v>0</v>
      </c>
      <c r="DA49" s="175" t="s">
        <v>229</v>
      </c>
    </row>
    <row r="50" spans="1:105" ht="11.45" customHeight="1" x14ac:dyDescent="0.25">
      <c r="A50" s="92" t="s">
        <v>173</v>
      </c>
      <c r="B50" s="102">
        <v>1.0954802063005296</v>
      </c>
      <c r="C50" s="102">
        <v>0.98593218567047658</v>
      </c>
      <c r="D50" s="102">
        <v>0.91133955952049073</v>
      </c>
      <c r="E50" s="102">
        <v>0.8743448564259827</v>
      </c>
      <c r="F50" s="102">
        <v>1.1111914552550879</v>
      </c>
      <c r="G50" s="102">
        <v>1.3770705115088173</v>
      </c>
      <c r="H50" s="102">
        <v>1.5591175018872308</v>
      </c>
      <c r="I50" s="102">
        <v>1.4729176383139975</v>
      </c>
      <c r="J50" s="102">
        <v>1.4426545389264556</v>
      </c>
      <c r="K50" s="102">
        <v>1.3603883082158483</v>
      </c>
      <c r="L50" s="102">
        <v>1.2508402875857954</v>
      </c>
      <c r="M50" s="102">
        <v>1.1412922669557424</v>
      </c>
      <c r="N50" s="102">
        <v>1.0317442463256894</v>
      </c>
      <c r="O50" s="102">
        <v>0.92219622569563631</v>
      </c>
      <c r="P50" s="102">
        <v>0.81264820506558333</v>
      </c>
      <c r="Q50" s="102">
        <v>0.70310018443553035</v>
      </c>
      <c r="R50" s="102">
        <v>0.59355216380547737</v>
      </c>
      <c r="S50" s="102">
        <v>0.50432438665743284</v>
      </c>
      <c r="T50" s="102">
        <v>0.42732457761970916</v>
      </c>
      <c r="U50" s="102">
        <v>0.39067822183818579</v>
      </c>
      <c r="V50" s="102">
        <v>0.33846168310425639</v>
      </c>
      <c r="W50" s="102">
        <v>0.33178946545902566</v>
      </c>
      <c r="DA50" s="175" t="s">
        <v>230</v>
      </c>
    </row>
    <row r="51" spans="1:105" ht="11.45" customHeight="1" x14ac:dyDescent="0.25">
      <c r="A51" s="85" t="s">
        <v>174</v>
      </c>
      <c r="B51" s="86">
        <v>0.11252900232018562</v>
      </c>
      <c r="C51" s="86">
        <v>0.10788863109048724</v>
      </c>
      <c r="D51" s="86">
        <v>0.10208816705336426</v>
      </c>
      <c r="E51" s="86">
        <v>0.10092807424593968</v>
      </c>
      <c r="F51" s="86">
        <v>0.11600928074245939</v>
      </c>
      <c r="G51" s="86">
        <v>0.11371629542790153</v>
      </c>
      <c r="H51" s="86">
        <v>0.13748378728923477</v>
      </c>
      <c r="I51" s="86">
        <v>0.14150943396226415</v>
      </c>
      <c r="J51" s="86">
        <v>0.16045845272206305</v>
      </c>
      <c r="K51" s="86">
        <v>0.1492055524900445</v>
      </c>
      <c r="L51" s="86">
        <v>0.13993710691823899</v>
      </c>
      <c r="M51" s="86">
        <v>0.12868420668622044</v>
      </c>
      <c r="N51" s="86">
        <v>0.11743130645420187</v>
      </c>
      <c r="O51" s="86">
        <v>0.1061784062221833</v>
      </c>
      <c r="P51" s="86">
        <v>9.4925505990164735E-2</v>
      </c>
      <c r="Q51" s="86">
        <v>8.7260034904013961E-2</v>
      </c>
      <c r="R51" s="86">
        <v>7.6007134671995394E-2</v>
      </c>
      <c r="S51" s="86">
        <v>7.0078740157480321E-2</v>
      </c>
      <c r="T51" s="86">
        <v>7.6923076923076927E-2</v>
      </c>
      <c r="U51" s="86">
        <v>0.10662525879917184</v>
      </c>
      <c r="V51" s="86">
        <v>9.9123325311159471E-2</v>
      </c>
      <c r="W51" s="86">
        <v>9.1621391823147103E-2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1.8563462548298892</v>
      </c>
      <c r="C53" s="54">
        <f t="shared" si="39"/>
        <v>6.7117125413881595</v>
      </c>
      <c r="D53" s="54">
        <f t="shared" ref="D53:V53" si="40">SUM(D54,D58)</f>
        <v>1.1012881939407091</v>
      </c>
      <c r="E53" s="54">
        <f t="shared" si="40"/>
        <v>2.2128829782912893</v>
      </c>
      <c r="F53" s="54">
        <f t="shared" si="40"/>
        <v>0.95958109915187073</v>
      </c>
      <c r="G53" s="54">
        <f t="shared" si="40"/>
        <v>1.9113131425727115</v>
      </c>
      <c r="H53" s="54">
        <f t="shared" si="40"/>
        <v>3.7102926751664116</v>
      </c>
      <c r="I53" s="54">
        <f t="shared" si="40"/>
        <v>2.8960689408956535</v>
      </c>
      <c r="J53" s="54">
        <f t="shared" si="40"/>
        <v>2.3211158832032077</v>
      </c>
      <c r="K53" s="54">
        <f t="shared" si="40"/>
        <v>0.50194722417429272</v>
      </c>
      <c r="L53" s="54">
        <f t="shared" si="40"/>
        <v>1.2378556379143189</v>
      </c>
      <c r="M53" s="54">
        <f t="shared" si="40"/>
        <v>0.77135896424524653</v>
      </c>
      <c r="N53" s="54">
        <f t="shared" si="40"/>
        <v>7.6261367344243602E-2</v>
      </c>
      <c r="O53" s="54">
        <f t="shared" si="40"/>
        <v>0.84614650190736773</v>
      </c>
      <c r="P53" s="54">
        <f t="shared" si="40"/>
        <v>2.7542116180502738</v>
      </c>
      <c r="Q53" s="54">
        <f t="shared" si="40"/>
        <v>0.81449517950897565</v>
      </c>
      <c r="R53" s="54">
        <f t="shared" si="40"/>
        <v>7.7536484978580038</v>
      </c>
      <c r="S53" s="54">
        <f t="shared" si="40"/>
        <v>4.8884949291483899</v>
      </c>
      <c r="T53" s="54">
        <f t="shared" si="40"/>
        <v>3.8980537480447732</v>
      </c>
      <c r="U53" s="54">
        <f t="shared" si="40"/>
        <v>0.65622856786091355</v>
      </c>
      <c r="V53" s="54">
        <f t="shared" si="40"/>
        <v>0</v>
      </c>
      <c r="W53" s="54">
        <f t="shared" ref="W53" si="41">SUM(W54,W58)</f>
        <v>3.4950482382882994E-2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1.7410181253930597</v>
      </c>
      <c r="C54" s="11">
        <f t="shared" si="42"/>
        <v>6.7117125413881595</v>
      </c>
      <c r="D54" s="11">
        <f t="shared" ref="D54:V54" si="43">SUM(D55:D57)</f>
        <v>1.1012881939407091</v>
      </c>
      <c r="E54" s="11">
        <f t="shared" si="43"/>
        <v>2.2104467833957138</v>
      </c>
      <c r="F54" s="11">
        <f t="shared" si="43"/>
        <v>0.67119259993424585</v>
      </c>
      <c r="G54" s="11">
        <f t="shared" si="43"/>
        <v>1.6112663777415399</v>
      </c>
      <c r="H54" s="11">
        <f t="shared" si="43"/>
        <v>3.4680174990346648</v>
      </c>
      <c r="I54" s="11">
        <f t="shared" si="43"/>
        <v>2.8818192286099751</v>
      </c>
      <c r="J54" s="11">
        <f t="shared" si="43"/>
        <v>2.2360060346450683</v>
      </c>
      <c r="K54" s="11">
        <f t="shared" si="43"/>
        <v>0.4913858134020177</v>
      </c>
      <c r="L54" s="11">
        <f t="shared" si="43"/>
        <v>1.2378556379143189</v>
      </c>
      <c r="M54" s="11">
        <f t="shared" si="43"/>
        <v>0.77135896424524653</v>
      </c>
      <c r="N54" s="11">
        <f t="shared" si="43"/>
        <v>7.6261367344243602E-2</v>
      </c>
      <c r="O54" s="11">
        <f t="shared" si="43"/>
        <v>0.84614650190736773</v>
      </c>
      <c r="P54" s="11">
        <f t="shared" si="43"/>
        <v>2.7542116180502738</v>
      </c>
      <c r="Q54" s="11">
        <f t="shared" si="43"/>
        <v>0.81449517950897565</v>
      </c>
      <c r="R54" s="11">
        <f t="shared" si="43"/>
        <v>7.7536484978580038</v>
      </c>
      <c r="S54" s="11">
        <f t="shared" si="43"/>
        <v>4.8884949291483899</v>
      </c>
      <c r="T54" s="11">
        <f t="shared" si="43"/>
        <v>3.8876131235761768</v>
      </c>
      <c r="U54" s="11">
        <f t="shared" si="43"/>
        <v>0.56674881258045962</v>
      </c>
      <c r="V54" s="11">
        <f t="shared" si="43"/>
        <v>0</v>
      </c>
      <c r="W54" s="11">
        <f t="shared" ref="W54" si="44">SUM(W55:W57)</f>
        <v>0</v>
      </c>
      <c r="DA54" s="189" t="s">
        <v>233</v>
      </c>
    </row>
    <row r="55" spans="1:105" ht="11.45" customHeight="1" x14ac:dyDescent="0.25">
      <c r="A55" s="83" t="s">
        <v>27</v>
      </c>
      <c r="B55" s="84">
        <v>0</v>
      </c>
      <c r="C55" s="84">
        <v>0</v>
      </c>
      <c r="D55" s="84">
        <v>0</v>
      </c>
      <c r="E55" s="84">
        <v>0</v>
      </c>
      <c r="F55" s="84">
        <v>0</v>
      </c>
      <c r="G55" s="84">
        <v>0</v>
      </c>
      <c r="H55" s="84">
        <v>0</v>
      </c>
      <c r="I55" s="84">
        <v>0</v>
      </c>
      <c r="J55" s="84">
        <v>0</v>
      </c>
      <c r="K55" s="84">
        <v>0</v>
      </c>
      <c r="L55" s="84">
        <v>0</v>
      </c>
      <c r="M55" s="84">
        <v>0</v>
      </c>
      <c r="N55" s="84">
        <v>0</v>
      </c>
      <c r="O55" s="84">
        <v>0</v>
      </c>
      <c r="P55" s="84">
        <v>0</v>
      </c>
      <c r="Q55" s="84">
        <v>0</v>
      </c>
      <c r="R55" s="84">
        <v>0</v>
      </c>
      <c r="S55" s="84">
        <v>0</v>
      </c>
      <c r="T55" s="84">
        <v>0</v>
      </c>
      <c r="U55" s="84">
        <v>0</v>
      </c>
      <c r="V55" s="84">
        <v>0</v>
      </c>
      <c r="W55" s="84">
        <v>0</v>
      </c>
      <c r="DA55" s="171" t="s">
        <v>234</v>
      </c>
    </row>
    <row r="56" spans="1:105" ht="11.45" customHeight="1" x14ac:dyDescent="0.25">
      <c r="A56" s="83" t="s">
        <v>173</v>
      </c>
      <c r="B56" s="84">
        <v>1.3030138791084773</v>
      </c>
      <c r="C56" s="84">
        <v>5.0221159384156797</v>
      </c>
      <c r="D56" s="84">
        <v>0.48387842748627641</v>
      </c>
      <c r="E56" s="84">
        <v>1.2172408385973326</v>
      </c>
      <c r="F56" s="84">
        <v>0.67119259993424585</v>
      </c>
      <c r="G56" s="84">
        <v>1.6112663777415399</v>
      </c>
      <c r="H56" s="84">
        <v>0.53944000434243944</v>
      </c>
      <c r="I56" s="84">
        <v>1.0880964916865206</v>
      </c>
      <c r="J56" s="84">
        <v>1.5000951370450806</v>
      </c>
      <c r="K56" s="84">
        <v>0.4913858134020177</v>
      </c>
      <c r="L56" s="84">
        <v>1.2378556379143189</v>
      </c>
      <c r="M56" s="84">
        <v>0.77135896424524653</v>
      </c>
      <c r="N56" s="84">
        <v>7.6261367344243602E-2</v>
      </c>
      <c r="O56" s="84">
        <v>4.2554874625973849E-2</v>
      </c>
      <c r="P56" s="84">
        <v>0.38694559280754603</v>
      </c>
      <c r="Q56" s="84">
        <v>0.81449517950897565</v>
      </c>
      <c r="R56" s="84">
        <v>3.1364111499308365</v>
      </c>
      <c r="S56" s="84">
        <v>4.8066690866322155</v>
      </c>
      <c r="T56" s="84">
        <v>2.6039433626527</v>
      </c>
      <c r="U56" s="84">
        <v>0.51460468964102835</v>
      </c>
      <c r="V56" s="84">
        <v>0</v>
      </c>
      <c r="W56" s="84">
        <v>0</v>
      </c>
      <c r="DA56" s="171" t="s">
        <v>235</v>
      </c>
    </row>
    <row r="57" spans="1:105" ht="11.45" customHeight="1" x14ac:dyDescent="0.25">
      <c r="A57" s="83" t="s">
        <v>174</v>
      </c>
      <c r="B57" s="84">
        <v>0.43800424628458234</v>
      </c>
      <c r="C57" s="84">
        <v>1.6895966029724798</v>
      </c>
      <c r="D57" s="84">
        <v>0.61740976645443268</v>
      </c>
      <c r="E57" s="84">
        <v>0.99320594479838142</v>
      </c>
      <c r="F57" s="84">
        <v>0</v>
      </c>
      <c r="G57" s="84">
        <v>0</v>
      </c>
      <c r="H57" s="84">
        <v>2.9285774946922256</v>
      </c>
      <c r="I57" s="84">
        <v>1.7937227369234545</v>
      </c>
      <c r="J57" s="84">
        <v>0.73591089759998773</v>
      </c>
      <c r="K57" s="84">
        <v>0</v>
      </c>
      <c r="L57" s="84">
        <v>0</v>
      </c>
      <c r="M57" s="84">
        <v>0</v>
      </c>
      <c r="N57" s="84">
        <v>0</v>
      </c>
      <c r="O57" s="84">
        <v>0.80359162728139388</v>
      </c>
      <c r="P57" s="84">
        <v>2.3672660252427278</v>
      </c>
      <c r="Q57" s="84">
        <v>0</v>
      </c>
      <c r="R57" s="84">
        <v>4.6172373479271673</v>
      </c>
      <c r="S57" s="84">
        <v>8.1825842516174419E-2</v>
      </c>
      <c r="T57" s="84">
        <v>1.2836697609234768</v>
      </c>
      <c r="U57" s="84">
        <v>5.214412293943127E-2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0.11532812943682966</v>
      </c>
      <c r="C58" s="13">
        <f t="shared" si="45"/>
        <v>0</v>
      </c>
      <c r="D58" s="13">
        <f t="shared" ref="D58:V58" si="46">SUM(D59:D61)</f>
        <v>0</v>
      </c>
      <c r="E58" s="13">
        <f t="shared" si="46"/>
        <v>2.4361948955754081E-3</v>
      </c>
      <c r="F58" s="13">
        <f t="shared" si="46"/>
        <v>0.28838849921762483</v>
      </c>
      <c r="G58" s="13">
        <f t="shared" si="46"/>
        <v>0.30004676483117154</v>
      </c>
      <c r="H58" s="13">
        <f t="shared" si="46"/>
        <v>0.24227517613174665</v>
      </c>
      <c r="I58" s="13">
        <f t="shared" si="46"/>
        <v>1.4249712285678562E-2</v>
      </c>
      <c r="J58" s="13">
        <f t="shared" si="46"/>
        <v>8.5109848558139301E-2</v>
      </c>
      <c r="K58" s="13">
        <f t="shared" si="46"/>
        <v>1.0561410772275015E-2</v>
      </c>
      <c r="L58" s="13">
        <f t="shared" si="46"/>
        <v>0</v>
      </c>
      <c r="M58" s="13">
        <f t="shared" si="46"/>
        <v>0</v>
      </c>
      <c r="N58" s="13">
        <f t="shared" si="46"/>
        <v>0</v>
      </c>
      <c r="O58" s="13">
        <f t="shared" si="46"/>
        <v>0</v>
      </c>
      <c r="P58" s="13">
        <f t="shared" si="46"/>
        <v>0</v>
      </c>
      <c r="Q58" s="13">
        <f t="shared" si="46"/>
        <v>0</v>
      </c>
      <c r="R58" s="13">
        <f t="shared" si="46"/>
        <v>0</v>
      </c>
      <c r="S58" s="13">
        <f t="shared" si="46"/>
        <v>0</v>
      </c>
      <c r="T58" s="13">
        <f t="shared" si="46"/>
        <v>1.0440624468596602E-2</v>
      </c>
      <c r="U58" s="13">
        <f t="shared" si="46"/>
        <v>8.9479755280453904E-2</v>
      </c>
      <c r="V58" s="13">
        <f t="shared" si="46"/>
        <v>0</v>
      </c>
      <c r="W58" s="13">
        <f t="shared" ref="W58" si="47">SUM(W59:W61)</f>
        <v>3.4950482382882994E-2</v>
      </c>
      <c r="DA58" s="193" t="s">
        <v>237</v>
      </c>
    </row>
    <row r="59" spans="1:105" ht="11.45" customHeight="1" x14ac:dyDescent="0.25">
      <c r="A59" s="92" t="s">
        <v>27</v>
      </c>
      <c r="B59" s="102">
        <v>0</v>
      </c>
      <c r="C59" s="102">
        <v>0</v>
      </c>
      <c r="D59" s="102">
        <v>0</v>
      </c>
      <c r="E59" s="102">
        <v>0</v>
      </c>
      <c r="F59" s="102">
        <v>0</v>
      </c>
      <c r="G59" s="102">
        <v>0</v>
      </c>
      <c r="H59" s="102">
        <v>0</v>
      </c>
      <c r="I59" s="102">
        <v>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DA59" s="175" t="s">
        <v>238</v>
      </c>
    </row>
    <row r="60" spans="1:105" ht="11.45" customHeight="1" x14ac:dyDescent="0.25">
      <c r="A60" s="92" t="s">
        <v>173</v>
      </c>
      <c r="B60" s="102">
        <v>0.11521212015610344</v>
      </c>
      <c r="C60" s="102">
        <v>0</v>
      </c>
      <c r="D60" s="102">
        <v>0</v>
      </c>
      <c r="E60" s="102">
        <v>0</v>
      </c>
      <c r="F60" s="102">
        <v>0.26971100501810513</v>
      </c>
      <c r="G60" s="102">
        <v>0.29874346244272942</v>
      </c>
      <c r="H60" s="102">
        <v>0.21491139656741343</v>
      </c>
      <c r="I60" s="102">
        <v>6.6277779096491907E-3</v>
      </c>
      <c r="J60" s="102">
        <v>6.2564542095340403E-2</v>
      </c>
      <c r="K60" s="102">
        <v>1.0561410772275015E-2</v>
      </c>
      <c r="L60" s="102">
        <v>0</v>
      </c>
      <c r="M60" s="102">
        <v>0</v>
      </c>
      <c r="N60" s="102">
        <v>0</v>
      </c>
      <c r="O60" s="102">
        <v>0</v>
      </c>
      <c r="P60" s="102">
        <v>0</v>
      </c>
      <c r="Q60" s="102">
        <v>0</v>
      </c>
      <c r="R60" s="102">
        <v>0</v>
      </c>
      <c r="S60" s="102">
        <v>0</v>
      </c>
      <c r="T60" s="102">
        <v>0</v>
      </c>
      <c r="U60" s="102">
        <v>5.6181285701358996E-2</v>
      </c>
      <c r="V60" s="102">
        <v>0</v>
      </c>
      <c r="W60" s="102">
        <v>3.4950482382882994E-2</v>
      </c>
      <c r="DA60" s="175" t="s">
        <v>239</v>
      </c>
    </row>
    <row r="61" spans="1:105" ht="11.45" customHeight="1" x14ac:dyDescent="0.25">
      <c r="A61" s="85" t="s">
        <v>174</v>
      </c>
      <c r="B61" s="86">
        <v>1.160092807262203E-4</v>
      </c>
      <c r="C61" s="86">
        <v>0</v>
      </c>
      <c r="D61" s="86">
        <v>0</v>
      </c>
      <c r="E61" s="86">
        <v>2.4361948955754081E-3</v>
      </c>
      <c r="F61" s="86">
        <v>1.8677494199519709E-2</v>
      </c>
      <c r="G61" s="86">
        <v>1.3033023884421319E-3</v>
      </c>
      <c r="H61" s="86">
        <v>2.7363779564333238E-2</v>
      </c>
      <c r="I61" s="86">
        <v>7.6219343760293712E-3</v>
      </c>
      <c r="J61" s="86">
        <v>2.2545306462798897E-2</v>
      </c>
      <c r="K61" s="86">
        <v>0</v>
      </c>
      <c r="L61" s="86">
        <v>0</v>
      </c>
      <c r="M61" s="86">
        <v>0</v>
      </c>
      <c r="N61" s="86">
        <v>0</v>
      </c>
      <c r="O61" s="86">
        <v>0</v>
      </c>
      <c r="P61" s="86">
        <v>0</v>
      </c>
      <c r="Q61" s="86">
        <v>0</v>
      </c>
      <c r="R61" s="86">
        <v>0</v>
      </c>
      <c r="S61" s="86">
        <v>0</v>
      </c>
      <c r="T61" s="86">
        <v>1.0440624468596602E-2</v>
      </c>
      <c r="U61" s="86">
        <v>3.3298469579094908E-2</v>
      </c>
      <c r="V61" s="86">
        <v>0</v>
      </c>
      <c r="W61" s="86">
        <v>0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116.3623473361818</v>
      </c>
      <c r="C66" s="14">
        <f t="shared" si="48"/>
        <v>116.81662260622865</v>
      </c>
      <c r="D66" s="14">
        <f t="shared" ref="D66:V66" si="49">IF(D34=0,0,D34/D24)</f>
        <v>109.57230431239148</v>
      </c>
      <c r="E66" s="14">
        <f t="shared" si="49"/>
        <v>110.4232946082812</v>
      </c>
      <c r="F66" s="14">
        <f t="shared" si="49"/>
        <v>121.60074599840661</v>
      </c>
      <c r="G66" s="14">
        <f t="shared" si="49"/>
        <v>122.19474033457898</v>
      </c>
      <c r="H66" s="14">
        <f t="shared" si="49"/>
        <v>113.94420013681227</v>
      </c>
      <c r="I66" s="14">
        <f t="shared" si="49"/>
        <v>110.93618655524149</v>
      </c>
      <c r="J66" s="14">
        <f t="shared" si="49"/>
        <v>112.82823898233556</v>
      </c>
      <c r="K66" s="14">
        <f t="shared" si="49"/>
        <v>115.54696757872313</v>
      </c>
      <c r="L66" s="14">
        <f t="shared" si="49"/>
        <v>122.30527103821417</v>
      </c>
      <c r="M66" s="14">
        <f t="shared" si="49"/>
        <v>125.05547850208045</v>
      </c>
      <c r="N66" s="14">
        <f t="shared" si="49"/>
        <v>131.39701930999894</v>
      </c>
      <c r="O66" s="14">
        <f t="shared" si="49"/>
        <v>143.67872468417886</v>
      </c>
      <c r="P66" s="14">
        <f t="shared" si="49"/>
        <v>141.7819368131868</v>
      </c>
      <c r="Q66" s="14">
        <f t="shared" si="49"/>
        <v>144.70995104816711</v>
      </c>
      <c r="R66" s="14">
        <f t="shared" si="49"/>
        <v>141.54413048902197</v>
      </c>
      <c r="S66" s="14">
        <f t="shared" si="49"/>
        <v>144.83084964412811</v>
      </c>
      <c r="T66" s="14">
        <f t="shared" si="49"/>
        <v>146.44590129265907</v>
      </c>
      <c r="U66" s="14">
        <f t="shared" si="49"/>
        <v>155.10943283257131</v>
      </c>
      <c r="V66" s="14">
        <f t="shared" si="49"/>
        <v>96.657975587478205</v>
      </c>
      <c r="W66" s="14">
        <f t="shared" ref="W66" si="50">IF(W34=0,0,W34/W24)</f>
        <v>121.77270559053616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0</v>
      </c>
      <c r="C67" s="87">
        <f t="shared" si="48"/>
        <v>0</v>
      </c>
      <c r="D67" s="87">
        <f t="shared" ref="D67:V67" si="51">IF(D35=0,0,D35/D25)</f>
        <v>0</v>
      </c>
      <c r="E67" s="87">
        <f t="shared" si="51"/>
        <v>0</v>
      </c>
      <c r="F67" s="87">
        <f t="shared" si="51"/>
        <v>0</v>
      </c>
      <c r="G67" s="87">
        <f t="shared" si="51"/>
        <v>0</v>
      </c>
      <c r="H67" s="87">
        <f t="shared" si="51"/>
        <v>0</v>
      </c>
      <c r="I67" s="87">
        <f t="shared" si="51"/>
        <v>0</v>
      </c>
      <c r="J67" s="87">
        <f t="shared" si="51"/>
        <v>0</v>
      </c>
      <c r="K67" s="87">
        <f t="shared" si="51"/>
        <v>0</v>
      </c>
      <c r="L67" s="87">
        <f t="shared" si="51"/>
        <v>0</v>
      </c>
      <c r="M67" s="87">
        <f t="shared" si="51"/>
        <v>0</v>
      </c>
      <c r="N67" s="87">
        <f t="shared" si="51"/>
        <v>0</v>
      </c>
      <c r="O67" s="87">
        <f t="shared" si="51"/>
        <v>0</v>
      </c>
      <c r="P67" s="87">
        <f t="shared" si="51"/>
        <v>0</v>
      </c>
      <c r="Q67" s="87">
        <f t="shared" si="51"/>
        <v>0</v>
      </c>
      <c r="R67" s="87">
        <f t="shared" si="51"/>
        <v>0</v>
      </c>
      <c r="S67" s="87">
        <f t="shared" si="51"/>
        <v>0</v>
      </c>
      <c r="T67" s="87">
        <f t="shared" si="51"/>
        <v>0</v>
      </c>
      <c r="U67" s="87">
        <f t="shared" si="51"/>
        <v>0</v>
      </c>
      <c r="V67" s="87">
        <f t="shared" si="51"/>
        <v>0</v>
      </c>
      <c r="W67" s="87">
        <f t="shared" ref="W67" si="52">IF(W35=0,0,W35/W25)</f>
        <v>0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137.83429265459154</v>
      </c>
      <c r="C68" s="87">
        <f t="shared" si="48"/>
        <v>137.99963980189105</v>
      </c>
      <c r="D68" s="87">
        <f t="shared" ref="D68:V68" si="53">IF(D36=0,0,D36/D26)</f>
        <v>130.95963398692811</v>
      </c>
      <c r="E68" s="87">
        <f t="shared" si="53"/>
        <v>131.38036630036629</v>
      </c>
      <c r="F68" s="87">
        <f t="shared" si="53"/>
        <v>138.94111177764447</v>
      </c>
      <c r="G68" s="87">
        <f t="shared" si="53"/>
        <v>139.34319080806179</v>
      </c>
      <c r="H68" s="87">
        <f t="shared" si="53"/>
        <v>141.50927308637219</v>
      </c>
      <c r="I68" s="87">
        <f t="shared" si="53"/>
        <v>141.35233209394266</v>
      </c>
      <c r="J68" s="87">
        <f t="shared" si="53"/>
        <v>141.99728922582128</v>
      </c>
      <c r="K68" s="87">
        <f t="shared" si="53"/>
        <v>134.32393186260822</v>
      </c>
      <c r="L68" s="87">
        <f t="shared" si="53"/>
        <v>132.77163726571115</v>
      </c>
      <c r="M68" s="87">
        <f t="shared" si="53"/>
        <v>136.49133798471689</v>
      </c>
      <c r="N68" s="87">
        <f t="shared" si="53"/>
        <v>138.35029568155841</v>
      </c>
      <c r="O68" s="87">
        <f t="shared" si="53"/>
        <v>148.45719672420904</v>
      </c>
      <c r="P68" s="87">
        <f t="shared" si="53"/>
        <v>150.37579843860894</v>
      </c>
      <c r="Q68" s="87">
        <f t="shared" si="53"/>
        <v>154.78511377648246</v>
      </c>
      <c r="R68" s="87">
        <f t="shared" si="53"/>
        <v>154.38215786542455</v>
      </c>
      <c r="S68" s="87">
        <f t="shared" si="53"/>
        <v>153.11050542933148</v>
      </c>
      <c r="T68" s="87">
        <f t="shared" si="53"/>
        <v>155.13605580939947</v>
      </c>
      <c r="U68" s="87">
        <f t="shared" si="53"/>
        <v>163.89413177762526</v>
      </c>
      <c r="V68" s="87">
        <f t="shared" si="53"/>
        <v>105.42280232039268</v>
      </c>
      <c r="W68" s="87">
        <f t="shared" ref="W68" si="54">IF(W36=0,0,W36/W26)</f>
        <v>120.84526489569264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62.21930758988016</v>
      </c>
      <c r="C69" s="87">
        <f t="shared" si="48"/>
        <v>63.402134423251589</v>
      </c>
      <c r="D69" s="87">
        <f t="shared" ref="D69:V69" si="55">IF(D37=0,0,D37/D27)</f>
        <v>64.603891820580472</v>
      </c>
      <c r="E69" s="87">
        <f t="shared" si="55"/>
        <v>66.359211337030189</v>
      </c>
      <c r="F69" s="87">
        <f t="shared" si="55"/>
        <v>76.019053876478324</v>
      </c>
      <c r="G69" s="87">
        <f t="shared" si="55"/>
        <v>72.963363525753678</v>
      </c>
      <c r="H69" s="87">
        <f t="shared" si="55"/>
        <v>56.376458752515092</v>
      </c>
      <c r="I69" s="87">
        <f t="shared" si="55"/>
        <v>53.75081851163614</v>
      </c>
      <c r="J69" s="87">
        <f t="shared" si="55"/>
        <v>57.182312209659038</v>
      </c>
      <c r="K69" s="87">
        <f t="shared" si="55"/>
        <v>68.393875642823744</v>
      </c>
      <c r="L69" s="87">
        <f t="shared" si="55"/>
        <v>92.402152513453203</v>
      </c>
      <c r="M69" s="87">
        <f t="shared" si="55"/>
        <v>94.050186591172306</v>
      </c>
      <c r="N69" s="87">
        <f t="shared" si="55"/>
        <v>113.43543003851092</v>
      </c>
      <c r="O69" s="87">
        <f t="shared" si="55"/>
        <v>133.49221301180609</v>
      </c>
      <c r="P69" s="87">
        <f t="shared" si="55"/>
        <v>126.15774193548387</v>
      </c>
      <c r="Q69" s="87">
        <f t="shared" si="55"/>
        <v>124.55510707478417</v>
      </c>
      <c r="R69" s="87">
        <f t="shared" si="55"/>
        <v>120.95094615447088</v>
      </c>
      <c r="S69" s="87">
        <f t="shared" si="55"/>
        <v>130.26762291938329</v>
      </c>
      <c r="T69" s="87">
        <f t="shared" si="55"/>
        <v>130.45032665014642</v>
      </c>
      <c r="U69" s="87">
        <f t="shared" si="55"/>
        <v>139.86308814770697</v>
      </c>
      <c r="V69" s="87">
        <f t="shared" si="55"/>
        <v>71.140630074699573</v>
      </c>
      <c r="W69" s="87">
        <f t="shared" ref="W69" si="56">IF(W37=0,0,W37/W27)</f>
        <v>123.39080911233307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20.367051768130054</v>
      </c>
      <c r="C70" s="15">
        <f t="shared" si="48"/>
        <v>21.216644422986725</v>
      </c>
      <c r="D70" s="15">
        <f t="shared" ref="D70:V70" si="57">IF(D38=0,0,D38/D28)</f>
        <v>20.996767804421445</v>
      </c>
      <c r="E70" s="15">
        <f t="shared" si="57"/>
        <v>21.326829712791049</v>
      </c>
      <c r="F70" s="15">
        <f t="shared" si="57"/>
        <v>19.897482522954597</v>
      </c>
      <c r="G70" s="15">
        <f t="shared" si="57"/>
        <v>17.977832872684672</v>
      </c>
      <c r="H70" s="15">
        <f t="shared" si="57"/>
        <v>16.922986433812447</v>
      </c>
      <c r="I70" s="15">
        <f t="shared" si="57"/>
        <v>16.919867975056992</v>
      </c>
      <c r="J70" s="15">
        <f t="shared" si="57"/>
        <v>16.913093441403269</v>
      </c>
      <c r="K70" s="15">
        <f t="shared" si="57"/>
        <v>17.027262321840844</v>
      </c>
      <c r="L70" s="15">
        <f t="shared" si="57"/>
        <v>18.36473919675938</v>
      </c>
      <c r="M70" s="15">
        <f t="shared" si="57"/>
        <v>20.444417035746206</v>
      </c>
      <c r="N70" s="15">
        <f t="shared" si="57"/>
        <v>23.368653841360185</v>
      </c>
      <c r="O70" s="15">
        <f t="shared" si="57"/>
        <v>24.582181784930327</v>
      </c>
      <c r="P70" s="15">
        <f t="shared" si="57"/>
        <v>27.60216475980944</v>
      </c>
      <c r="Q70" s="15">
        <f t="shared" si="57"/>
        <v>28.402924243237081</v>
      </c>
      <c r="R70" s="15">
        <f t="shared" si="57"/>
        <v>31.536769914083671</v>
      </c>
      <c r="S70" s="15">
        <f t="shared" si="57"/>
        <v>30.330895992376615</v>
      </c>
      <c r="T70" s="15">
        <f t="shared" si="57"/>
        <v>30.862790341547701</v>
      </c>
      <c r="U70" s="15">
        <f t="shared" si="57"/>
        <v>32.988049334909071</v>
      </c>
      <c r="V70" s="15">
        <f t="shared" si="57"/>
        <v>26.045318301536156</v>
      </c>
      <c r="W70" s="15">
        <f t="shared" ref="W70" si="58">IF(W38=0,0,W38/W28)</f>
        <v>25.795916171020338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0</v>
      </c>
      <c r="C71" s="41">
        <f t="shared" si="48"/>
        <v>0</v>
      </c>
      <c r="D71" s="41">
        <f t="shared" ref="D71:V71" si="59">IF(D39=0,0,D39/D29)</f>
        <v>0</v>
      </c>
      <c r="E71" s="41">
        <f t="shared" si="59"/>
        <v>0</v>
      </c>
      <c r="F71" s="41">
        <f t="shared" si="59"/>
        <v>0</v>
      </c>
      <c r="G71" s="41">
        <f t="shared" si="59"/>
        <v>0</v>
      </c>
      <c r="H71" s="41">
        <f t="shared" si="59"/>
        <v>0</v>
      </c>
      <c r="I71" s="41">
        <f t="shared" si="59"/>
        <v>0</v>
      </c>
      <c r="J71" s="41">
        <f t="shared" si="59"/>
        <v>0</v>
      </c>
      <c r="K71" s="41">
        <f t="shared" si="59"/>
        <v>0</v>
      </c>
      <c r="L71" s="41">
        <f t="shared" si="59"/>
        <v>0</v>
      </c>
      <c r="M71" s="41">
        <f t="shared" si="59"/>
        <v>0</v>
      </c>
      <c r="N71" s="41">
        <f t="shared" si="59"/>
        <v>0</v>
      </c>
      <c r="O71" s="41">
        <f t="shared" si="59"/>
        <v>0</v>
      </c>
      <c r="P71" s="41">
        <f t="shared" si="59"/>
        <v>0</v>
      </c>
      <c r="Q71" s="41">
        <f t="shared" si="59"/>
        <v>0</v>
      </c>
      <c r="R71" s="41">
        <f t="shared" si="59"/>
        <v>0</v>
      </c>
      <c r="S71" s="41">
        <f t="shared" si="59"/>
        <v>0</v>
      </c>
      <c r="T71" s="41">
        <f t="shared" si="59"/>
        <v>0</v>
      </c>
      <c r="U71" s="41">
        <f t="shared" si="59"/>
        <v>0</v>
      </c>
      <c r="V71" s="41">
        <f t="shared" si="59"/>
        <v>0</v>
      </c>
      <c r="W71" s="41">
        <f t="shared" ref="W71" si="60">IF(W39=0,0,W39/W29)</f>
        <v>0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16.07607545740338</v>
      </c>
      <c r="C72" s="41">
        <f t="shared" si="48"/>
        <v>16.25123995099554</v>
      </c>
      <c r="D72" s="41">
        <f t="shared" ref="D72:V72" si="61">IF(D40=0,0,D40/D30)</f>
        <v>16.295894641910163</v>
      </c>
      <c r="E72" s="41">
        <f t="shared" si="61"/>
        <v>17.167505270500246</v>
      </c>
      <c r="F72" s="41">
        <f t="shared" si="61"/>
        <v>16.029083470668727</v>
      </c>
      <c r="G72" s="41">
        <f t="shared" si="61"/>
        <v>15.181021974099197</v>
      </c>
      <c r="H72" s="41">
        <f t="shared" si="61"/>
        <v>13.985273542904693</v>
      </c>
      <c r="I72" s="41">
        <f t="shared" si="61"/>
        <v>13.755635136041072</v>
      </c>
      <c r="J72" s="41">
        <f t="shared" si="61"/>
        <v>13.656624949191123</v>
      </c>
      <c r="K72" s="41">
        <f t="shared" si="61"/>
        <v>13.626760295117139</v>
      </c>
      <c r="L72" s="41">
        <f t="shared" si="61"/>
        <v>14.420786860573124</v>
      </c>
      <c r="M72" s="41">
        <f t="shared" si="61"/>
        <v>15.48970353721313</v>
      </c>
      <c r="N72" s="41">
        <f t="shared" si="61"/>
        <v>16.46182211590223</v>
      </c>
      <c r="O72" s="41">
        <f t="shared" si="61"/>
        <v>16.542043174769105</v>
      </c>
      <c r="P72" s="41">
        <f t="shared" si="61"/>
        <v>18.197753010022382</v>
      </c>
      <c r="Q72" s="41">
        <f t="shared" si="61"/>
        <v>18.175765763019097</v>
      </c>
      <c r="R72" s="41">
        <f t="shared" si="61"/>
        <v>20.573511943488921</v>
      </c>
      <c r="S72" s="41">
        <f t="shared" si="61"/>
        <v>19.128094078057721</v>
      </c>
      <c r="T72" s="41">
        <f t="shared" si="61"/>
        <v>19.011024442061291</v>
      </c>
      <c r="U72" s="41">
        <f t="shared" si="61"/>
        <v>19.492640855946782</v>
      </c>
      <c r="V72" s="41">
        <f t="shared" si="61"/>
        <v>17.519164414143233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52.129123841343954</v>
      </c>
      <c r="C73" s="40">
        <f t="shared" si="48"/>
        <v>53.83881788950945</v>
      </c>
      <c r="D73" s="40">
        <f t="shared" ref="D73:V73" si="63">IF(D41=0,0,D41/D31)</f>
        <v>52.887918691003669</v>
      </c>
      <c r="E73" s="40">
        <f t="shared" si="63"/>
        <v>48.721001039602882</v>
      </c>
      <c r="F73" s="40">
        <f t="shared" si="63"/>
        <v>48.059427623595745</v>
      </c>
      <c r="G73" s="40">
        <f t="shared" si="63"/>
        <v>44.215955735703069</v>
      </c>
      <c r="H73" s="40">
        <f t="shared" si="63"/>
        <v>45.163830168104887</v>
      </c>
      <c r="I73" s="40">
        <f t="shared" si="63"/>
        <v>45.187014670265881</v>
      </c>
      <c r="J73" s="40">
        <f t="shared" si="63"/>
        <v>44.9129073521202</v>
      </c>
      <c r="K73" s="40">
        <f t="shared" si="63"/>
        <v>49.898781913503363</v>
      </c>
      <c r="L73" s="40">
        <f t="shared" si="63"/>
        <v>52.530888086642598</v>
      </c>
      <c r="M73" s="40">
        <f t="shared" si="63"/>
        <v>55.065477606746086</v>
      </c>
      <c r="N73" s="40">
        <f t="shared" si="63"/>
        <v>58.746980790650369</v>
      </c>
      <c r="O73" s="40">
        <f t="shared" si="63"/>
        <v>59.346209680294109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72.876368431025895</v>
      </c>
      <c r="T73" s="40">
        <f t="shared" si="63"/>
        <v>73.116912244064466</v>
      </c>
      <c r="U73" s="40">
        <f t="shared" si="63"/>
        <v>74.915531987995806</v>
      </c>
      <c r="V73" s="40">
        <f t="shared" si="63"/>
        <v>50.231754839242612</v>
      </c>
      <c r="W73" s="40">
        <f t="shared" ref="W73" si="64">IF(W41=0,0,W41/W31)</f>
        <v>53.261166023203309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2333.7389033953427</v>
      </c>
      <c r="C75" s="62">
        <f t="shared" si="65"/>
        <v>2332.067838624972</v>
      </c>
      <c r="D75" s="62">
        <f t="shared" ref="D75:V75" si="66">IF(D13=0,0,D13*1000000/D23)</f>
        <v>2184.2319373766441</v>
      </c>
      <c r="E75" s="62">
        <f t="shared" si="66"/>
        <v>2183.3578879960519</v>
      </c>
      <c r="F75" s="62">
        <f t="shared" si="66"/>
        <v>2206.8045069840687</v>
      </c>
      <c r="G75" s="62">
        <f t="shared" si="66"/>
        <v>2258.2910053288861</v>
      </c>
      <c r="H75" s="62">
        <f t="shared" si="66"/>
        <v>2253.8260282947349</v>
      </c>
      <c r="I75" s="62">
        <f t="shared" si="66"/>
        <v>2181.0503489201678</v>
      </c>
      <c r="J75" s="62">
        <f t="shared" si="66"/>
        <v>2198.6435489159749</v>
      </c>
      <c r="K75" s="62">
        <f t="shared" si="66"/>
        <v>2249.4722050531359</v>
      </c>
      <c r="L75" s="62">
        <f t="shared" si="66"/>
        <v>2279.0423046556939</v>
      </c>
      <c r="M75" s="62">
        <f t="shared" si="66"/>
        <v>2345.1231134223685</v>
      </c>
      <c r="N75" s="62">
        <f t="shared" si="66"/>
        <v>2307.1074062377975</v>
      </c>
      <c r="O75" s="62">
        <f t="shared" si="66"/>
        <v>2358.8461157503439</v>
      </c>
      <c r="P75" s="62">
        <f t="shared" si="66"/>
        <v>2326.843673951083</v>
      </c>
      <c r="Q75" s="62">
        <f t="shared" si="66"/>
        <v>2264.3092418321871</v>
      </c>
      <c r="R75" s="62">
        <f t="shared" si="66"/>
        <v>2233.07771220924</v>
      </c>
      <c r="S75" s="62">
        <f t="shared" si="66"/>
        <v>2196.0226865373224</v>
      </c>
      <c r="T75" s="62">
        <f t="shared" si="66"/>
        <v>2220.8784935059753</v>
      </c>
      <c r="U75" s="62">
        <f t="shared" si="66"/>
        <v>2208.8202293600752</v>
      </c>
      <c r="V75" s="62">
        <f t="shared" si="66"/>
        <v>2083.8355205060384</v>
      </c>
      <c r="W75" s="62">
        <f t="shared" ref="W75" si="67">IF(W13=0,0,W13*1000000/W23)</f>
        <v>2099.6983576405751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2328.6549287699131</v>
      </c>
      <c r="C76" s="14">
        <f t="shared" si="65"/>
        <v>2328.6761205037433</v>
      </c>
      <c r="D76" s="14">
        <f t="shared" ref="D76:V76" si="68">IF(D14=0,0,D14*1000000/D24)</f>
        <v>2176.8807030922953</v>
      </c>
      <c r="E76" s="14">
        <f t="shared" si="68"/>
        <v>2176.8617374777664</v>
      </c>
      <c r="F76" s="14">
        <f t="shared" si="68"/>
        <v>2198.0807279888945</v>
      </c>
      <c r="G76" s="14">
        <f t="shared" si="68"/>
        <v>2249.8164473448896</v>
      </c>
      <c r="H76" s="14">
        <f t="shared" si="68"/>
        <v>2241.9833001445477</v>
      </c>
      <c r="I76" s="14">
        <f t="shared" si="68"/>
        <v>2170.2515238916117</v>
      </c>
      <c r="J76" s="14">
        <f t="shared" si="68"/>
        <v>2189.4349522705825</v>
      </c>
      <c r="K76" s="14">
        <f t="shared" si="68"/>
        <v>2241.7939761474859</v>
      </c>
      <c r="L76" s="14">
        <f t="shared" si="68"/>
        <v>2269.7700781191093</v>
      </c>
      <c r="M76" s="14">
        <f t="shared" si="68"/>
        <v>2343.1409622065912</v>
      </c>
      <c r="N76" s="14">
        <f t="shared" si="68"/>
        <v>2310.7348180473646</v>
      </c>
      <c r="O76" s="14">
        <f t="shared" si="68"/>
        <v>2366.6713553939408</v>
      </c>
      <c r="P76" s="14">
        <f t="shared" si="68"/>
        <v>2332.106102631386</v>
      </c>
      <c r="Q76" s="14">
        <f t="shared" si="68"/>
        <v>2269.7453534342412</v>
      </c>
      <c r="R76" s="14">
        <f t="shared" si="68"/>
        <v>2237.766071449732</v>
      </c>
      <c r="S76" s="14">
        <f t="shared" si="68"/>
        <v>2200.9855874134196</v>
      </c>
      <c r="T76" s="14">
        <f t="shared" si="68"/>
        <v>2227.2022003390971</v>
      </c>
      <c r="U76" s="14">
        <f t="shared" si="68"/>
        <v>2218.3377530236712</v>
      </c>
      <c r="V76" s="14">
        <f t="shared" si="68"/>
        <v>2107.6361848641609</v>
      </c>
      <c r="W76" s="14">
        <f t="shared" ref="W76" si="69">IF(W14=0,0,W14*1000000/W24)</f>
        <v>2109.7025927347577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0</v>
      </c>
      <c r="C77" s="39">
        <f t="shared" si="65"/>
        <v>0</v>
      </c>
      <c r="D77" s="39">
        <f t="shared" ref="D77:V77" si="70">IF(D15=0,0,D15*1000000/D25)</f>
        <v>0</v>
      </c>
      <c r="E77" s="39">
        <f t="shared" si="70"/>
        <v>0</v>
      </c>
      <c r="F77" s="39">
        <f t="shared" si="70"/>
        <v>0</v>
      </c>
      <c r="G77" s="39">
        <f t="shared" si="70"/>
        <v>0</v>
      </c>
      <c r="H77" s="39">
        <f t="shared" si="70"/>
        <v>0</v>
      </c>
      <c r="I77" s="39">
        <f t="shared" si="70"/>
        <v>0</v>
      </c>
      <c r="J77" s="39">
        <f t="shared" si="70"/>
        <v>0</v>
      </c>
      <c r="K77" s="39">
        <f t="shared" si="70"/>
        <v>0</v>
      </c>
      <c r="L77" s="39">
        <f t="shared" si="70"/>
        <v>0</v>
      </c>
      <c r="M77" s="39">
        <f t="shared" si="70"/>
        <v>0</v>
      </c>
      <c r="N77" s="39">
        <f t="shared" si="70"/>
        <v>0</v>
      </c>
      <c r="O77" s="39">
        <f t="shared" si="70"/>
        <v>0</v>
      </c>
      <c r="P77" s="39">
        <f t="shared" si="70"/>
        <v>0</v>
      </c>
      <c r="Q77" s="39">
        <f t="shared" si="70"/>
        <v>0</v>
      </c>
      <c r="R77" s="39">
        <f t="shared" si="70"/>
        <v>0</v>
      </c>
      <c r="S77" s="39">
        <f t="shared" si="70"/>
        <v>0</v>
      </c>
      <c r="T77" s="39">
        <f t="shared" si="70"/>
        <v>0</v>
      </c>
      <c r="U77" s="39">
        <f t="shared" si="70"/>
        <v>0</v>
      </c>
      <c r="V77" s="39">
        <f t="shared" si="70"/>
        <v>0</v>
      </c>
      <c r="W77" s="39">
        <f t="shared" ref="W77" si="71">IF(W15=0,0,W15*1000000/W25)</f>
        <v>0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2714.4748530360871</v>
      </c>
      <c r="C78" s="39">
        <f t="shared" si="65"/>
        <v>2714.504439695399</v>
      </c>
      <c r="D78" s="39">
        <f t="shared" ref="D78:V78" si="72">IF(D16=0,0,D16*1000000/D26)</f>
        <v>2567.4014463008912</v>
      </c>
      <c r="E78" s="39">
        <f t="shared" si="72"/>
        <v>2567.3706297937069</v>
      </c>
      <c r="F78" s="39">
        <f t="shared" si="72"/>
        <v>2518.5111159266139</v>
      </c>
      <c r="G78" s="39">
        <f t="shared" si="72"/>
        <v>2551.8027924961116</v>
      </c>
      <c r="H78" s="39">
        <f t="shared" si="72"/>
        <v>2582.4923006133913</v>
      </c>
      <c r="I78" s="39">
        <f t="shared" si="72"/>
        <v>2517.6043077197296</v>
      </c>
      <c r="J78" s="39">
        <f t="shared" si="72"/>
        <v>2511.969416651717</v>
      </c>
      <c r="K78" s="39">
        <f t="shared" si="72"/>
        <v>2496.0035963398564</v>
      </c>
      <c r="L78" s="39">
        <f t="shared" si="72"/>
        <v>2494.2595668418044</v>
      </c>
      <c r="M78" s="39">
        <f t="shared" si="72"/>
        <v>2521.6888262634543</v>
      </c>
      <c r="N78" s="39">
        <f t="shared" si="72"/>
        <v>2471.7447339775681</v>
      </c>
      <c r="O78" s="39">
        <f t="shared" si="72"/>
        <v>2554.1032376545222</v>
      </c>
      <c r="P78" s="39">
        <f t="shared" si="72"/>
        <v>2501.5590135918769</v>
      </c>
      <c r="Q78" s="39">
        <f t="shared" si="72"/>
        <v>2438.6730846214732</v>
      </c>
      <c r="R78" s="39">
        <f t="shared" si="72"/>
        <v>2438.9156885524717</v>
      </c>
      <c r="S78" s="39">
        <f t="shared" si="72"/>
        <v>2474.1828250121107</v>
      </c>
      <c r="T78" s="39">
        <f t="shared" si="72"/>
        <v>2448.0935008175352</v>
      </c>
      <c r="U78" s="39">
        <f t="shared" si="72"/>
        <v>2485.7882350903078</v>
      </c>
      <c r="V78" s="39">
        <f t="shared" si="72"/>
        <v>2254.766586348002</v>
      </c>
      <c r="W78" s="39">
        <f t="shared" ref="W78" si="73">IF(W16=0,0,W16*1000000/W26)</f>
        <v>2220.3950093338321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1355.7825045583907</v>
      </c>
      <c r="C79" s="39">
        <f t="shared" si="65"/>
        <v>1355.7825045583907</v>
      </c>
      <c r="D79" s="39">
        <f t="shared" ref="D79:V79" si="74">IF(D17=0,0,D17*1000000/D27)</f>
        <v>1355.7825045583907</v>
      </c>
      <c r="E79" s="39">
        <f t="shared" si="74"/>
        <v>1355.7825045583907</v>
      </c>
      <c r="F79" s="39">
        <f t="shared" si="74"/>
        <v>1355.7825045583907</v>
      </c>
      <c r="G79" s="39">
        <f t="shared" si="74"/>
        <v>1382.8457800971748</v>
      </c>
      <c r="H79" s="39">
        <f t="shared" si="74"/>
        <v>1530.8538896080559</v>
      </c>
      <c r="I79" s="39">
        <f t="shared" si="74"/>
        <v>1517.1938654546564</v>
      </c>
      <c r="J79" s="39">
        <f t="shared" si="74"/>
        <v>1574.1345212726515</v>
      </c>
      <c r="K79" s="39">
        <f t="shared" si="74"/>
        <v>1603.4176438130678</v>
      </c>
      <c r="L79" s="39">
        <f t="shared" si="74"/>
        <v>1628.3883757282933</v>
      </c>
      <c r="M79" s="39">
        <f t="shared" si="74"/>
        <v>1859.0559090842069</v>
      </c>
      <c r="N79" s="39">
        <f t="shared" si="74"/>
        <v>1894.8166488222698</v>
      </c>
      <c r="O79" s="39">
        <f t="shared" si="74"/>
        <v>1967.11328736972</v>
      </c>
      <c r="P79" s="39">
        <f t="shared" si="74"/>
        <v>2024.0297780593453</v>
      </c>
      <c r="Q79" s="39">
        <f t="shared" si="74"/>
        <v>1931.8141302205843</v>
      </c>
      <c r="R79" s="39">
        <f t="shared" si="74"/>
        <v>1915.1065987463928</v>
      </c>
      <c r="S79" s="39">
        <f t="shared" si="74"/>
        <v>1720.4543413157282</v>
      </c>
      <c r="T79" s="39">
        <f t="shared" si="74"/>
        <v>1820.617567364143</v>
      </c>
      <c r="U79" s="39">
        <f t="shared" si="74"/>
        <v>1754.1622290557266</v>
      </c>
      <c r="V79" s="39">
        <f t="shared" si="74"/>
        <v>1679.2903196802854</v>
      </c>
      <c r="W79" s="39">
        <f t="shared" ref="W79" si="75">IF(W17=0,0,W17*1000000/W27)</f>
        <v>1916.5778030516917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2498.7154394919539</v>
      </c>
      <c r="C80" s="15">
        <f t="shared" si="65"/>
        <v>2481.5057827787737</v>
      </c>
      <c r="D80" s="15">
        <f t="shared" ref="D80:V80" si="76">IF(D18=0,0,D18*1000000/D28)</f>
        <v>2487.0920581629293</v>
      </c>
      <c r="E80" s="15">
        <f t="shared" si="76"/>
        <v>2480.7339419490322</v>
      </c>
      <c r="F80" s="15">
        <f t="shared" si="76"/>
        <v>2497.7446436661157</v>
      </c>
      <c r="G80" s="15">
        <f t="shared" si="76"/>
        <v>2499.2562672511963</v>
      </c>
      <c r="H80" s="15">
        <f t="shared" si="76"/>
        <v>2576.9903940570584</v>
      </c>
      <c r="I80" s="15">
        <f t="shared" si="76"/>
        <v>2518.0399529752567</v>
      </c>
      <c r="J80" s="15">
        <f t="shared" si="76"/>
        <v>2482.8165583245723</v>
      </c>
      <c r="K80" s="15">
        <f t="shared" si="76"/>
        <v>2482.0017945526679</v>
      </c>
      <c r="L80" s="15">
        <f t="shared" si="76"/>
        <v>2595.8829107377915</v>
      </c>
      <c r="M80" s="15">
        <f t="shared" si="76"/>
        <v>2434.5835845694869</v>
      </c>
      <c r="N80" s="15">
        <f t="shared" si="76"/>
        <v>2123.3470689593146</v>
      </c>
      <c r="O80" s="15">
        <f t="shared" si="76"/>
        <v>2009.7900325426513</v>
      </c>
      <c r="P80" s="15">
        <f t="shared" si="76"/>
        <v>2035.8779970452099</v>
      </c>
      <c r="Q80" s="15">
        <f t="shared" si="76"/>
        <v>1952.7979300922375</v>
      </c>
      <c r="R80" s="15">
        <f t="shared" si="76"/>
        <v>1854.4188943575095</v>
      </c>
      <c r="S80" s="15">
        <f t="shared" si="76"/>
        <v>1777.9767410772442</v>
      </c>
      <c r="T80" s="15">
        <f t="shared" si="76"/>
        <v>1651.3082416246241</v>
      </c>
      <c r="U80" s="15">
        <f t="shared" si="76"/>
        <v>1382.0781738159233</v>
      </c>
      <c r="V80" s="15">
        <f t="shared" si="76"/>
        <v>1321.5179650143791</v>
      </c>
      <c r="W80" s="15">
        <f t="shared" ref="W80" si="77">IF(W18=0,0,W18*1000000/W28)</f>
        <v>1484.6579338445413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0</v>
      </c>
      <c r="C81" s="41">
        <f t="shared" si="65"/>
        <v>0</v>
      </c>
      <c r="D81" s="41">
        <f t="shared" ref="D81:V81" si="78">IF(D19=0,0,D19*1000000/D29)</f>
        <v>0</v>
      </c>
      <c r="E81" s="41">
        <f t="shared" si="78"/>
        <v>0</v>
      </c>
      <c r="F81" s="41">
        <f t="shared" si="78"/>
        <v>0</v>
      </c>
      <c r="G81" s="41">
        <f t="shared" si="78"/>
        <v>0</v>
      </c>
      <c r="H81" s="41">
        <f t="shared" si="78"/>
        <v>0</v>
      </c>
      <c r="I81" s="41">
        <f t="shared" si="78"/>
        <v>0</v>
      </c>
      <c r="J81" s="41">
        <f t="shared" si="78"/>
        <v>0</v>
      </c>
      <c r="K81" s="41">
        <f t="shared" si="78"/>
        <v>0</v>
      </c>
      <c r="L81" s="41">
        <f t="shared" si="78"/>
        <v>0</v>
      </c>
      <c r="M81" s="41">
        <f t="shared" si="78"/>
        <v>0</v>
      </c>
      <c r="N81" s="41">
        <f t="shared" si="78"/>
        <v>0</v>
      </c>
      <c r="O81" s="41">
        <f t="shared" si="78"/>
        <v>0</v>
      </c>
      <c r="P81" s="41">
        <f t="shared" si="78"/>
        <v>0</v>
      </c>
      <c r="Q81" s="41">
        <f t="shared" si="78"/>
        <v>0</v>
      </c>
      <c r="R81" s="41">
        <f t="shared" si="78"/>
        <v>0</v>
      </c>
      <c r="S81" s="41">
        <f t="shared" si="78"/>
        <v>0</v>
      </c>
      <c r="T81" s="41">
        <f t="shared" si="78"/>
        <v>0</v>
      </c>
      <c r="U81" s="41">
        <f t="shared" si="78"/>
        <v>0</v>
      </c>
      <c r="V81" s="41">
        <f t="shared" si="78"/>
        <v>0</v>
      </c>
      <c r="W81" s="41">
        <f t="shared" ref="W81" si="79">IF(W19=0,0,W19*1000000/W29)</f>
        <v>0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2669.7715085451623</v>
      </c>
      <c r="C82" s="41">
        <f t="shared" si="65"/>
        <v>2671.6090382455486</v>
      </c>
      <c r="D82" s="41">
        <f t="shared" ref="D82:V82" si="80">IF(D20=0,0,D20*1000000/D30)</f>
        <v>2672.0164996838221</v>
      </c>
      <c r="E82" s="41">
        <f t="shared" si="80"/>
        <v>2670.24910993293</v>
      </c>
      <c r="F82" s="41">
        <f t="shared" si="80"/>
        <v>2671.5354140086688</v>
      </c>
      <c r="G82" s="41">
        <f t="shared" si="80"/>
        <v>2631.3942674111836</v>
      </c>
      <c r="H82" s="41">
        <f t="shared" si="80"/>
        <v>2684.8744008942049</v>
      </c>
      <c r="I82" s="41">
        <f t="shared" si="80"/>
        <v>2614.2594798925797</v>
      </c>
      <c r="J82" s="41">
        <f t="shared" si="80"/>
        <v>2556.6850629773789</v>
      </c>
      <c r="K82" s="41">
        <f t="shared" si="80"/>
        <v>2530.9100208597547</v>
      </c>
      <c r="L82" s="41">
        <f t="shared" si="80"/>
        <v>2645.4539576494276</v>
      </c>
      <c r="M82" s="41">
        <f t="shared" si="80"/>
        <v>2577.1909130462172</v>
      </c>
      <c r="N82" s="41">
        <f t="shared" si="80"/>
        <v>2437.3664280005873</v>
      </c>
      <c r="O82" s="41">
        <f t="shared" si="80"/>
        <v>2336.6910643340252</v>
      </c>
      <c r="P82" s="41">
        <f t="shared" si="80"/>
        <v>2371.1329400821487</v>
      </c>
      <c r="Q82" s="41">
        <f t="shared" si="80"/>
        <v>2327.0306031867021</v>
      </c>
      <c r="R82" s="41">
        <f t="shared" si="80"/>
        <v>2193.4492947629992</v>
      </c>
      <c r="S82" s="41">
        <f t="shared" si="80"/>
        <v>2144.4149062490228</v>
      </c>
      <c r="T82" s="41">
        <f t="shared" si="80"/>
        <v>1975.4523958905186</v>
      </c>
      <c r="U82" s="41">
        <f t="shared" si="80"/>
        <v>1521.6855451713398</v>
      </c>
      <c r="V82" s="41">
        <f t="shared" si="80"/>
        <v>1479.4613006048928</v>
      </c>
      <c r="W82" s="41">
        <f t="shared" ref="W82" si="81">IF(W20=0,0,W20*1000000/W30)</f>
        <v>1595.5471899860572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1232.5478355723267</v>
      </c>
      <c r="C83" s="40">
        <f t="shared" si="65"/>
        <v>1232.5478355723267</v>
      </c>
      <c r="D83" s="40">
        <f t="shared" ref="D83:V83" si="82">IF(D21=0,0,D21*1000000/D31)</f>
        <v>1232.5478355723267</v>
      </c>
      <c r="E83" s="40">
        <f t="shared" si="82"/>
        <v>1232.5478355723267</v>
      </c>
      <c r="F83" s="40">
        <f t="shared" si="82"/>
        <v>1232.5478355723267</v>
      </c>
      <c r="G83" s="40">
        <f t="shared" si="82"/>
        <v>1259.6111111111111</v>
      </c>
      <c r="H83" s="40">
        <f t="shared" si="82"/>
        <v>1539.8790453112822</v>
      </c>
      <c r="I83" s="40">
        <f t="shared" si="82"/>
        <v>1658.4788458471721</v>
      </c>
      <c r="J83" s="40">
        <f t="shared" si="82"/>
        <v>1847.6793263544573</v>
      </c>
      <c r="K83" s="40">
        <f t="shared" si="82"/>
        <v>2009.2222735841642</v>
      </c>
      <c r="L83" s="40">
        <f t="shared" si="82"/>
        <v>2166.4528301886794</v>
      </c>
      <c r="M83" s="40">
        <f t="shared" si="82"/>
        <v>1438.11487683833</v>
      </c>
      <c r="N83" s="40">
        <f t="shared" si="82"/>
        <v>514.87012987012986</v>
      </c>
      <c r="O83" s="40">
        <f t="shared" si="82"/>
        <v>596.33223793994898</v>
      </c>
      <c r="P83" s="40">
        <f t="shared" si="82"/>
        <v>662.41419815194411</v>
      </c>
      <c r="Q83" s="40">
        <f t="shared" si="82"/>
        <v>579.36401983555174</v>
      </c>
      <c r="R83" s="40">
        <f t="shared" si="82"/>
        <v>571.82195788373008</v>
      </c>
      <c r="S83" s="40">
        <f t="shared" si="82"/>
        <v>386.33516997543467</v>
      </c>
      <c r="T83" s="40">
        <f t="shared" si="82"/>
        <v>495.66386554621852</v>
      </c>
      <c r="U83" s="40">
        <f t="shared" si="82"/>
        <v>948.34653465346514</v>
      </c>
      <c r="V83" s="40">
        <f t="shared" si="82"/>
        <v>873.47462527802384</v>
      </c>
      <c r="W83" s="40">
        <f t="shared" ref="W83" si="83">IF(W21=0,0,W21*1000000/W31)</f>
        <v>1110.7621086494303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340653.80365908</v>
      </c>
      <c r="C86" s="11">
        <f t="shared" si="84"/>
        <v>334811.02928059053</v>
      </c>
      <c r="D86" s="11">
        <f t="shared" ref="D86:V86" si="85">IF(D4=0,0,D4*1000000/D24)</f>
        <v>293586.79438315949</v>
      </c>
      <c r="E86" s="11">
        <f t="shared" si="85"/>
        <v>287692.01268254651</v>
      </c>
      <c r="F86" s="11">
        <f t="shared" si="85"/>
        <v>314846.85875824792</v>
      </c>
      <c r="G86" s="11">
        <f t="shared" si="85"/>
        <v>319390.98559415754</v>
      </c>
      <c r="H86" s="11">
        <f t="shared" si="85"/>
        <v>298343.53982381657</v>
      </c>
      <c r="I86" s="11">
        <f t="shared" si="85"/>
        <v>280313.66961720254</v>
      </c>
      <c r="J86" s="11">
        <f t="shared" si="85"/>
        <v>285347.08760510728</v>
      </c>
      <c r="K86" s="11">
        <f t="shared" si="85"/>
        <v>292349.26223637623</v>
      </c>
      <c r="L86" s="11">
        <f t="shared" si="85"/>
        <v>306905.99931711017</v>
      </c>
      <c r="M86" s="11">
        <f t="shared" si="85"/>
        <v>324062.01379398088</v>
      </c>
      <c r="N86" s="11">
        <f t="shared" si="85"/>
        <v>336229.26025818713</v>
      </c>
      <c r="O86" s="11">
        <f t="shared" si="85"/>
        <v>377082.81436148775</v>
      </c>
      <c r="P86" s="11">
        <f t="shared" si="85"/>
        <v>362708.59915475844</v>
      </c>
      <c r="Q86" s="11">
        <f t="shared" si="85"/>
        <v>353644.89746750455</v>
      </c>
      <c r="R86" s="11">
        <f t="shared" si="85"/>
        <v>354696.40545740421</v>
      </c>
      <c r="S86" s="11">
        <f t="shared" si="85"/>
        <v>351470.72416639002</v>
      </c>
      <c r="T86" s="11">
        <f t="shared" si="85"/>
        <v>354838.99621654069</v>
      </c>
      <c r="U86" s="11">
        <f t="shared" si="85"/>
        <v>374960.9643217469</v>
      </c>
      <c r="V86" s="11">
        <f t="shared" si="85"/>
        <v>221789.12441951022</v>
      </c>
      <c r="W86" s="11">
        <f t="shared" ref="W86" si="86">IF(W4=0,0,W4*1000000/W24)</f>
        <v>277675.59484307602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0</v>
      </c>
      <c r="C87" s="36">
        <f t="shared" si="84"/>
        <v>0</v>
      </c>
      <c r="D87" s="36">
        <f t="shared" ref="D87:V87" si="87">IF(D5=0,0,D5*1000000/D25)</f>
        <v>0</v>
      </c>
      <c r="E87" s="36">
        <f t="shared" si="87"/>
        <v>0</v>
      </c>
      <c r="F87" s="36">
        <f t="shared" si="87"/>
        <v>0</v>
      </c>
      <c r="G87" s="36">
        <f t="shared" si="87"/>
        <v>0</v>
      </c>
      <c r="H87" s="36">
        <f t="shared" si="87"/>
        <v>0</v>
      </c>
      <c r="I87" s="36">
        <f t="shared" si="87"/>
        <v>0</v>
      </c>
      <c r="J87" s="36">
        <f t="shared" si="87"/>
        <v>0</v>
      </c>
      <c r="K87" s="36">
        <f t="shared" si="87"/>
        <v>0</v>
      </c>
      <c r="L87" s="36">
        <f t="shared" si="87"/>
        <v>0</v>
      </c>
      <c r="M87" s="36">
        <f t="shared" si="87"/>
        <v>0</v>
      </c>
      <c r="N87" s="36">
        <f t="shared" si="87"/>
        <v>0</v>
      </c>
      <c r="O87" s="36">
        <f t="shared" si="87"/>
        <v>0</v>
      </c>
      <c r="P87" s="36">
        <f t="shared" si="87"/>
        <v>0</v>
      </c>
      <c r="Q87" s="36">
        <f t="shared" si="87"/>
        <v>0</v>
      </c>
      <c r="R87" s="36">
        <f t="shared" si="87"/>
        <v>0</v>
      </c>
      <c r="S87" s="36">
        <f t="shared" si="87"/>
        <v>0</v>
      </c>
      <c r="T87" s="36">
        <f t="shared" si="87"/>
        <v>0</v>
      </c>
      <c r="U87" s="36">
        <f t="shared" si="87"/>
        <v>0</v>
      </c>
      <c r="V87" s="36">
        <f t="shared" si="87"/>
        <v>0</v>
      </c>
      <c r="W87" s="36">
        <f t="shared" ref="W87" si="88">IF(W5=0,0,W5*1000000/W25)</f>
        <v>0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437018.10818796413</v>
      </c>
      <c r="C88" s="36">
        <f t="shared" si="84"/>
        <v>428121.90488814499</v>
      </c>
      <c r="D88" s="36">
        <f t="shared" ref="D88:V88" si="89">IF(D6=0,0,D6*1000000/D26)</f>
        <v>384988.83261995966</v>
      </c>
      <c r="E88" s="36">
        <f t="shared" si="89"/>
        <v>374979.37705589767</v>
      </c>
      <c r="F88" s="36">
        <f t="shared" si="89"/>
        <v>389227.85275940271</v>
      </c>
      <c r="G88" s="36">
        <f t="shared" si="89"/>
        <v>389952.90524404065</v>
      </c>
      <c r="H88" s="36">
        <f t="shared" si="89"/>
        <v>393354.38314628351</v>
      </c>
      <c r="I88" s="36">
        <f t="shared" si="89"/>
        <v>379190.03389761283</v>
      </c>
      <c r="J88" s="36">
        <f t="shared" si="89"/>
        <v>380295.48923307663</v>
      </c>
      <c r="K88" s="36">
        <f t="shared" si="89"/>
        <v>358207.30941019033</v>
      </c>
      <c r="L88" s="36">
        <f t="shared" si="89"/>
        <v>353352.52501747507</v>
      </c>
      <c r="M88" s="36">
        <f t="shared" si="89"/>
        <v>368592.77246811282</v>
      </c>
      <c r="N88" s="36">
        <f t="shared" si="89"/>
        <v>362577.82757529325</v>
      </c>
      <c r="O88" s="36">
        <f t="shared" si="89"/>
        <v>389848.11439813272</v>
      </c>
      <c r="P88" s="36">
        <f t="shared" si="89"/>
        <v>386900.85680119583</v>
      </c>
      <c r="Q88" s="36">
        <f t="shared" si="89"/>
        <v>374530.98509062087</v>
      </c>
      <c r="R88" s="36">
        <f t="shared" si="89"/>
        <v>382655.41650945396</v>
      </c>
      <c r="S88" s="36">
        <f t="shared" si="89"/>
        <v>380849.33249003818</v>
      </c>
      <c r="T88" s="36">
        <f t="shared" si="89"/>
        <v>383113.93116412853</v>
      </c>
      <c r="U88" s="36">
        <f t="shared" si="89"/>
        <v>415638.313273179</v>
      </c>
      <c r="V88" s="36">
        <f t="shared" si="89"/>
        <v>252858.23683532447</v>
      </c>
      <c r="W88" s="36">
        <f t="shared" ref="W88" si="90">IF(W6=0,0,W6*1000000/W26)</f>
        <v>270166.31885353988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97664.344955554174</v>
      </c>
      <c r="C89" s="36">
        <f t="shared" si="84"/>
        <v>99521.003480887288</v>
      </c>
      <c r="D89" s="36">
        <f t="shared" ref="D89:V89" si="91">IF(D7=0,0,D7*1000000/D27)</f>
        <v>101407.37691627258</v>
      </c>
      <c r="E89" s="36">
        <f t="shared" si="91"/>
        <v>104162.66522471473</v>
      </c>
      <c r="F89" s="36">
        <f t="shared" si="91"/>
        <v>119325.51789108613</v>
      </c>
      <c r="G89" s="36">
        <f t="shared" si="91"/>
        <v>116815.22167839196</v>
      </c>
      <c r="H89" s="36">
        <f t="shared" si="91"/>
        <v>99919.988864954052</v>
      </c>
      <c r="I89" s="36">
        <f t="shared" si="91"/>
        <v>94416.305502002389</v>
      </c>
      <c r="J89" s="36">
        <f t="shared" si="91"/>
        <v>104213.59988201552</v>
      </c>
      <c r="K89" s="36">
        <f t="shared" si="91"/>
        <v>126965.20408109688</v>
      </c>
      <c r="L89" s="36">
        <f t="shared" si="91"/>
        <v>174205.12368440986</v>
      </c>
      <c r="M89" s="36">
        <f t="shared" si="91"/>
        <v>203328.70347287861</v>
      </c>
      <c r="N89" s="36">
        <f t="shared" si="91"/>
        <v>268166.07410643791</v>
      </c>
      <c r="O89" s="36">
        <f t="shared" si="91"/>
        <v>349870.3755870625</v>
      </c>
      <c r="P89" s="36">
        <f t="shared" si="91"/>
        <v>318725.51396271947</v>
      </c>
      <c r="Q89" s="36">
        <f t="shared" si="91"/>
        <v>311863.35521258373</v>
      </c>
      <c r="R89" s="36">
        <f t="shared" si="91"/>
        <v>309847.99911540508</v>
      </c>
      <c r="S89" s="36">
        <f t="shared" si="91"/>
        <v>299796.19264306588</v>
      </c>
      <c r="T89" s="36">
        <f t="shared" si="91"/>
        <v>302794.60142527591</v>
      </c>
      <c r="U89" s="36">
        <f t="shared" si="91"/>
        <v>304363.1115257534</v>
      </c>
      <c r="V89" s="36">
        <f t="shared" si="91"/>
        <v>131336.5347165681</v>
      </c>
      <c r="W89" s="36">
        <f t="shared" ref="W89" si="92">IF(W7=0,0,W7*1000000/W27)</f>
        <v>290777.01037548756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51468.081840373932</v>
      </c>
      <c r="C90" s="13">
        <f t="shared" si="84"/>
        <v>57871.19743086677</v>
      </c>
      <c r="D90" s="13">
        <f t="shared" ref="D90:V90" si="93">IF(D8=0,0,D8*1000000/D28)</f>
        <v>54645.656727013353</v>
      </c>
      <c r="E90" s="13">
        <f t="shared" si="93"/>
        <v>53282.778456126776</v>
      </c>
      <c r="F90" s="13">
        <f t="shared" si="93"/>
        <v>47992.804354419713</v>
      </c>
      <c r="G90" s="13">
        <f t="shared" si="93"/>
        <v>44906.941798396518</v>
      </c>
      <c r="H90" s="13">
        <f t="shared" si="93"/>
        <v>44214.561999184487</v>
      </c>
      <c r="I90" s="13">
        <f t="shared" si="93"/>
        <v>45157.039589989516</v>
      </c>
      <c r="J90" s="13">
        <f t="shared" si="93"/>
        <v>45244.945229453049</v>
      </c>
      <c r="K90" s="13">
        <f t="shared" si="93"/>
        <v>46687.700946000034</v>
      </c>
      <c r="L90" s="13">
        <f t="shared" si="93"/>
        <v>54177.214245708426</v>
      </c>
      <c r="M90" s="13">
        <f t="shared" si="93"/>
        <v>50881.52477638772</v>
      </c>
      <c r="N90" s="13">
        <f t="shared" si="93"/>
        <v>44515.576556475571</v>
      </c>
      <c r="O90" s="13">
        <f t="shared" si="93"/>
        <v>43987.602690872816</v>
      </c>
      <c r="P90" s="13">
        <f t="shared" si="93"/>
        <v>50398.016277291259</v>
      </c>
      <c r="Q90" s="13">
        <f t="shared" si="93"/>
        <v>46759.215485234752</v>
      </c>
      <c r="R90" s="13">
        <f t="shared" si="93"/>
        <v>50956.477849119285</v>
      </c>
      <c r="S90" s="13">
        <f t="shared" si="93"/>
        <v>42782.653027088061</v>
      </c>
      <c r="T90" s="13">
        <f t="shared" si="93"/>
        <v>43309.947444284495</v>
      </c>
      <c r="U90" s="13">
        <f t="shared" si="93"/>
        <v>52206.708542104599</v>
      </c>
      <c r="V90" s="13">
        <f t="shared" si="93"/>
        <v>35620.160074479674</v>
      </c>
      <c r="W90" s="13">
        <f t="shared" ref="W90" si="94">IF(W8=0,0,W8*1000000/W28)</f>
        <v>39735.147103014642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0</v>
      </c>
      <c r="C91" s="34">
        <f t="shared" si="84"/>
        <v>0</v>
      </c>
      <c r="D91" s="34">
        <f t="shared" ref="D91:V91" si="95">IF(D9=0,0,D9*1000000/D29)</f>
        <v>0</v>
      </c>
      <c r="E91" s="34">
        <f t="shared" si="95"/>
        <v>0</v>
      </c>
      <c r="F91" s="34">
        <f t="shared" si="95"/>
        <v>0</v>
      </c>
      <c r="G91" s="34">
        <f t="shared" si="95"/>
        <v>0</v>
      </c>
      <c r="H91" s="34">
        <f t="shared" si="95"/>
        <v>0</v>
      </c>
      <c r="I91" s="34">
        <f t="shared" si="95"/>
        <v>0</v>
      </c>
      <c r="J91" s="34">
        <f t="shared" si="95"/>
        <v>0</v>
      </c>
      <c r="K91" s="34">
        <f t="shared" si="95"/>
        <v>0</v>
      </c>
      <c r="L91" s="34">
        <f t="shared" si="95"/>
        <v>0</v>
      </c>
      <c r="M91" s="34">
        <f t="shared" si="95"/>
        <v>0</v>
      </c>
      <c r="N91" s="34">
        <f t="shared" si="95"/>
        <v>0</v>
      </c>
      <c r="O91" s="34">
        <f t="shared" si="95"/>
        <v>0</v>
      </c>
      <c r="P91" s="34">
        <f t="shared" si="95"/>
        <v>0</v>
      </c>
      <c r="Q91" s="34">
        <f t="shared" si="95"/>
        <v>0</v>
      </c>
      <c r="R91" s="34">
        <f t="shared" si="95"/>
        <v>0</v>
      </c>
      <c r="S91" s="34">
        <f t="shared" si="95"/>
        <v>0</v>
      </c>
      <c r="T91" s="34">
        <f t="shared" si="95"/>
        <v>0</v>
      </c>
      <c r="U91" s="34">
        <f t="shared" si="95"/>
        <v>0</v>
      </c>
      <c r="V91" s="34">
        <f t="shared" si="95"/>
        <v>0</v>
      </c>
      <c r="W91" s="34">
        <f t="shared" ref="W91" si="96">IF(W9=0,0,W9*1000000/W29)</f>
        <v>0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45873.719915839567</v>
      </c>
      <c r="C92" s="34">
        <f t="shared" si="84"/>
        <v>51870.370199703313</v>
      </c>
      <c r="D92" s="34">
        <f t="shared" ref="D92:V92" si="97">IF(D10=0,0,D10*1000000/D30)</f>
        <v>49155.930441546974</v>
      </c>
      <c r="E92" s="34">
        <f t="shared" si="97"/>
        <v>48693.940631761441</v>
      </c>
      <c r="F92" s="34">
        <f t="shared" si="97"/>
        <v>43450.947974673851</v>
      </c>
      <c r="G92" s="34">
        <f t="shared" si="97"/>
        <v>41389.700225796216</v>
      </c>
      <c r="H92" s="34">
        <f t="shared" si="97"/>
        <v>39236.995301959978</v>
      </c>
      <c r="I92" s="34">
        <f t="shared" si="97"/>
        <v>39297.291742907204</v>
      </c>
      <c r="J92" s="34">
        <f t="shared" si="97"/>
        <v>38128.231779360067</v>
      </c>
      <c r="K92" s="34">
        <f t="shared" si="97"/>
        <v>38014.33264978938</v>
      </c>
      <c r="L92" s="34">
        <f t="shared" si="97"/>
        <v>43913.753614034758</v>
      </c>
      <c r="M92" s="34">
        <f t="shared" si="97"/>
        <v>43925.831905880914</v>
      </c>
      <c r="N92" s="34">
        <f t="shared" si="97"/>
        <v>45117.996626062501</v>
      </c>
      <c r="O92" s="34">
        <f t="shared" si="97"/>
        <v>42222.094449871947</v>
      </c>
      <c r="P92" s="34">
        <f t="shared" si="97"/>
        <v>47600.075108778365</v>
      </c>
      <c r="Q92" s="34">
        <f t="shared" si="97"/>
        <v>44222.102673144807</v>
      </c>
      <c r="R92" s="34">
        <f t="shared" si="97"/>
        <v>48008.871574875688</v>
      </c>
      <c r="S92" s="34">
        <f t="shared" si="97"/>
        <v>43058.949071994197</v>
      </c>
      <c r="T92" s="34">
        <f t="shared" si="97"/>
        <v>40889.770834396331</v>
      </c>
      <c r="U92" s="34">
        <f t="shared" si="97"/>
        <v>36554.441478569192</v>
      </c>
      <c r="V92" s="34">
        <f t="shared" si="97"/>
        <v>29472.718490544794</v>
      </c>
      <c r="W92" s="34">
        <f t="shared" ref="W92" si="98">IF(W10=0,0,W10*1000000/W30)</f>
        <v>29040.105866362854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92877.894848782977</v>
      </c>
      <c r="C93" s="35">
        <f t="shared" si="84"/>
        <v>97295.98708937077</v>
      </c>
      <c r="D93" s="35">
        <f t="shared" ref="D93:V93" si="99">IF(D11=0,0,D11*1000000/D31)</f>
        <v>91888.458913643204</v>
      </c>
      <c r="E93" s="35">
        <f t="shared" si="99"/>
        <v>83505.813782119178</v>
      </c>
      <c r="F93" s="35">
        <f t="shared" si="99"/>
        <v>81057.518798969642</v>
      </c>
      <c r="G93" s="35">
        <f t="shared" si="99"/>
        <v>77903.74418052315</v>
      </c>
      <c r="H93" s="35">
        <f t="shared" si="99"/>
        <v>92064.943739484297</v>
      </c>
      <c r="I93" s="35">
        <f t="shared" si="99"/>
        <v>97504.120357258158</v>
      </c>
      <c r="J93" s="35">
        <f t="shared" si="99"/>
        <v>106435.97248337755</v>
      </c>
      <c r="K93" s="35">
        <f t="shared" si="99"/>
        <v>130530.26114270305</v>
      </c>
      <c r="L93" s="35">
        <f t="shared" si="99"/>
        <v>143088.76645942079</v>
      </c>
      <c r="M93" s="35">
        <f t="shared" si="99"/>
        <v>99484.42870905406</v>
      </c>
      <c r="N93" s="35">
        <f t="shared" si="99"/>
        <v>41429.847088924733</v>
      </c>
      <c r="O93" s="35">
        <f t="shared" si="99"/>
        <v>51621.324037676604</v>
      </c>
      <c r="P93" s="35">
        <f t="shared" si="99"/>
        <v>61860.549451521474</v>
      </c>
      <c r="Q93" s="35">
        <f t="shared" si="99"/>
        <v>56070.419505604877</v>
      </c>
      <c r="R93" s="35">
        <f t="shared" si="99"/>
        <v>62107.663031197444</v>
      </c>
      <c r="S93" s="35">
        <f t="shared" si="99"/>
        <v>41733.348946433318</v>
      </c>
      <c r="T93" s="35">
        <f t="shared" si="99"/>
        <v>51938.403183885806</v>
      </c>
      <c r="U93" s="35">
        <f t="shared" si="99"/>
        <v>100835.11106959326</v>
      </c>
      <c r="V93" s="35">
        <f t="shared" si="99"/>
        <v>53058.820894213328</v>
      </c>
      <c r="W93" s="35">
        <f t="shared" ref="W93" si="100">IF(W11=0,0,W11*1000000/W31)</f>
        <v>75796.632298391822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829.22809868473712</v>
      </c>
      <c r="C95" s="62">
        <f t="shared" si="101"/>
        <v>829.64098706615516</v>
      </c>
      <c r="D95" s="62">
        <f t="shared" ref="D95:V95" si="102">IF(D23=0,0,D23/D43)</f>
        <v>777.75272420822387</v>
      </c>
      <c r="E95" s="62">
        <f t="shared" si="102"/>
        <v>828.52534218053484</v>
      </c>
      <c r="F95" s="62">
        <f t="shared" si="102"/>
        <v>798.93676810038403</v>
      </c>
      <c r="G95" s="62">
        <f t="shared" si="102"/>
        <v>829.63720920851063</v>
      </c>
      <c r="H95" s="62">
        <f t="shared" si="102"/>
        <v>833.91364554121503</v>
      </c>
      <c r="I95" s="62">
        <f t="shared" si="102"/>
        <v>845.61389407372121</v>
      </c>
      <c r="J95" s="62">
        <f t="shared" si="102"/>
        <v>841.28320543421773</v>
      </c>
      <c r="K95" s="62">
        <f t="shared" si="102"/>
        <v>787.97163744871739</v>
      </c>
      <c r="L95" s="62">
        <f t="shared" si="102"/>
        <v>779.96236343589896</v>
      </c>
      <c r="M95" s="62">
        <f t="shared" si="102"/>
        <v>790.91354109659028</v>
      </c>
      <c r="N95" s="62">
        <f t="shared" si="102"/>
        <v>813.335250916517</v>
      </c>
      <c r="O95" s="62">
        <f t="shared" si="102"/>
        <v>751.96930350331093</v>
      </c>
      <c r="P95" s="62">
        <f t="shared" si="102"/>
        <v>769.09312025320196</v>
      </c>
      <c r="Q95" s="62">
        <f t="shared" si="102"/>
        <v>809.34827482671324</v>
      </c>
      <c r="R95" s="62">
        <f t="shared" si="102"/>
        <v>811.27986078467382</v>
      </c>
      <c r="S95" s="62">
        <f t="shared" si="102"/>
        <v>835.4867389304809</v>
      </c>
      <c r="T95" s="62">
        <f t="shared" si="102"/>
        <v>829.28736283760509</v>
      </c>
      <c r="U95" s="62">
        <f t="shared" si="102"/>
        <v>828.44567072364225</v>
      </c>
      <c r="V95" s="62">
        <f t="shared" si="102"/>
        <v>290.89356075871922</v>
      </c>
      <c r="W95" s="62">
        <f t="shared" ref="W95" si="103">IF(W23=0,0,W23/W43)</f>
        <v>525.17805109333801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835.12405427504245</v>
      </c>
      <c r="C96" s="11">
        <f t="shared" si="104"/>
        <v>835.11938374165084</v>
      </c>
      <c r="D96" s="11">
        <f t="shared" ref="D96:V96" si="105">IF(D24=0,0,D24/D44)</f>
        <v>780.60718278670595</v>
      </c>
      <c r="E96" s="11">
        <f t="shared" si="105"/>
        <v>832.60495872983881</v>
      </c>
      <c r="F96" s="11">
        <f t="shared" si="105"/>
        <v>803.37215363702455</v>
      </c>
      <c r="G96" s="11">
        <f t="shared" si="105"/>
        <v>836.34986268379419</v>
      </c>
      <c r="H96" s="11">
        <f t="shared" si="105"/>
        <v>841.86137653361254</v>
      </c>
      <c r="I96" s="11">
        <f t="shared" si="105"/>
        <v>854.06803305830294</v>
      </c>
      <c r="J96" s="11">
        <f t="shared" si="105"/>
        <v>848.28118090058479</v>
      </c>
      <c r="K96" s="11">
        <f t="shared" si="105"/>
        <v>793.18660163353843</v>
      </c>
      <c r="L96" s="11">
        <f t="shared" si="105"/>
        <v>785.97354925487502</v>
      </c>
      <c r="M96" s="11">
        <f t="shared" si="105"/>
        <v>801.06410068564605</v>
      </c>
      <c r="N96" s="11">
        <f t="shared" si="105"/>
        <v>824.67036881767183</v>
      </c>
      <c r="O96" s="11">
        <f t="shared" si="105"/>
        <v>758.48820024852409</v>
      </c>
      <c r="P96" s="11">
        <f t="shared" si="105"/>
        <v>775.72349300694555</v>
      </c>
      <c r="Q96" s="11">
        <f t="shared" si="105"/>
        <v>814.60455110221585</v>
      </c>
      <c r="R96" s="11">
        <f t="shared" si="105"/>
        <v>814.99594067828718</v>
      </c>
      <c r="S96" s="11">
        <f t="shared" si="105"/>
        <v>836.71748678213203</v>
      </c>
      <c r="T96" s="11">
        <f t="shared" si="105"/>
        <v>829.24716438921985</v>
      </c>
      <c r="U96" s="11">
        <f t="shared" si="105"/>
        <v>828.19748455917068</v>
      </c>
      <c r="V96" s="11">
        <f t="shared" si="105"/>
        <v>285.00764667191152</v>
      </c>
      <c r="W96" s="11">
        <f t="shared" ref="W96" si="106">IF(W24=0,0,W24/W44)</f>
        <v>522.22282611909895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0</v>
      </c>
      <c r="C97" s="36">
        <f t="shared" si="104"/>
        <v>0</v>
      </c>
      <c r="D97" s="36">
        <f t="shared" ref="D97:V97" si="107">IF(D25=0,0,D25/D45)</f>
        <v>0</v>
      </c>
      <c r="E97" s="36">
        <f t="shared" si="107"/>
        <v>0</v>
      </c>
      <c r="F97" s="36">
        <f t="shared" si="107"/>
        <v>0</v>
      </c>
      <c r="G97" s="36">
        <f t="shared" si="107"/>
        <v>0</v>
      </c>
      <c r="H97" s="36">
        <f t="shared" si="107"/>
        <v>0</v>
      </c>
      <c r="I97" s="36">
        <f t="shared" si="107"/>
        <v>0</v>
      </c>
      <c r="J97" s="36">
        <f t="shared" si="107"/>
        <v>0</v>
      </c>
      <c r="K97" s="36">
        <f t="shared" si="107"/>
        <v>0</v>
      </c>
      <c r="L97" s="36">
        <f t="shared" si="107"/>
        <v>0</v>
      </c>
      <c r="M97" s="36">
        <f t="shared" si="107"/>
        <v>0</v>
      </c>
      <c r="N97" s="36">
        <f t="shared" si="107"/>
        <v>0</v>
      </c>
      <c r="O97" s="36">
        <f t="shared" si="107"/>
        <v>0</v>
      </c>
      <c r="P97" s="36">
        <f t="shared" si="107"/>
        <v>0</v>
      </c>
      <c r="Q97" s="36">
        <f t="shared" si="107"/>
        <v>0</v>
      </c>
      <c r="R97" s="36">
        <f t="shared" si="107"/>
        <v>0</v>
      </c>
      <c r="S97" s="36">
        <f t="shared" si="107"/>
        <v>0</v>
      </c>
      <c r="T97" s="36">
        <f t="shared" si="107"/>
        <v>0</v>
      </c>
      <c r="U97" s="36">
        <f t="shared" si="107"/>
        <v>0</v>
      </c>
      <c r="V97" s="36">
        <f t="shared" si="107"/>
        <v>0</v>
      </c>
      <c r="W97" s="36">
        <f t="shared" ref="W97" si="108">IF(W25=0,0,W25/W45)</f>
        <v>0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799.1661076747265</v>
      </c>
      <c r="C98" s="36">
        <f t="shared" si="104"/>
        <v>799.16013535533341</v>
      </c>
      <c r="D98" s="36">
        <f t="shared" ref="D98:V98" si="109">IF(D26=0,0,D26/D46)</f>
        <v>721.79138380211373</v>
      </c>
      <c r="E98" s="36">
        <f t="shared" si="109"/>
        <v>789.0253287665987</v>
      </c>
      <c r="F98" s="36">
        <f t="shared" si="109"/>
        <v>805.5645930139425</v>
      </c>
      <c r="G98" s="36">
        <f t="shared" si="109"/>
        <v>833.02694608092895</v>
      </c>
      <c r="H98" s="36">
        <f t="shared" si="109"/>
        <v>826.8665383251714</v>
      </c>
      <c r="I98" s="36">
        <f t="shared" si="109"/>
        <v>840.88818825723922</v>
      </c>
      <c r="J98" s="36">
        <f t="shared" si="109"/>
        <v>842.26497008182696</v>
      </c>
      <c r="K98" s="36">
        <f t="shared" si="109"/>
        <v>845.70463061713201</v>
      </c>
      <c r="L98" s="36">
        <f t="shared" si="109"/>
        <v>846.42753941928333</v>
      </c>
      <c r="M98" s="36">
        <f t="shared" si="109"/>
        <v>838.48195323789105</v>
      </c>
      <c r="N98" s="36">
        <f t="shared" si="109"/>
        <v>851.30723080034056</v>
      </c>
      <c r="O98" s="36">
        <f t="shared" si="109"/>
        <v>765.48081134341351</v>
      </c>
      <c r="P98" s="36">
        <f t="shared" si="109"/>
        <v>804.06951235962811</v>
      </c>
      <c r="Q98" s="36">
        <f t="shared" si="109"/>
        <v>854.02904664741845</v>
      </c>
      <c r="R98" s="36">
        <f t="shared" si="109"/>
        <v>855.87361171571763</v>
      </c>
      <c r="S98" s="36">
        <f t="shared" si="109"/>
        <v>850.82904923389947</v>
      </c>
      <c r="T98" s="36">
        <f t="shared" si="109"/>
        <v>856.73872517961593</v>
      </c>
      <c r="U98" s="36">
        <f t="shared" si="109"/>
        <v>844.08412647387161</v>
      </c>
      <c r="V98" s="36">
        <f t="shared" si="109"/>
        <v>344.26117764563259</v>
      </c>
      <c r="W98" s="36">
        <f t="shared" ref="W98" si="110">IF(W26=0,0,W26/W46)</f>
        <v>544.83813768029438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942</v>
      </c>
      <c r="C99" s="36">
        <f t="shared" si="104"/>
        <v>941.99999999999989</v>
      </c>
      <c r="D99" s="36">
        <f t="shared" ref="D99:V99" si="111">IF(D27=0,0,D27/D47)</f>
        <v>942</v>
      </c>
      <c r="E99" s="36">
        <f t="shared" si="111"/>
        <v>942</v>
      </c>
      <c r="F99" s="36">
        <f t="shared" si="111"/>
        <v>797.66551685768343</v>
      </c>
      <c r="G99" s="36">
        <f t="shared" si="111"/>
        <v>846.03861097620222</v>
      </c>
      <c r="H99" s="36">
        <f t="shared" si="111"/>
        <v>875</v>
      </c>
      <c r="I99" s="36">
        <f t="shared" si="111"/>
        <v>880</v>
      </c>
      <c r="J99" s="36">
        <f t="shared" si="111"/>
        <v>860</v>
      </c>
      <c r="K99" s="36">
        <f t="shared" si="111"/>
        <v>686.17957597636291</v>
      </c>
      <c r="L99" s="36">
        <f t="shared" si="111"/>
        <v>652.7699666164599</v>
      </c>
      <c r="M99" s="36">
        <f t="shared" si="111"/>
        <v>714.60366972851978</v>
      </c>
      <c r="N99" s="36">
        <f t="shared" si="111"/>
        <v>763</v>
      </c>
      <c r="O99" s="36">
        <f t="shared" si="111"/>
        <v>744</v>
      </c>
      <c r="P99" s="36">
        <f t="shared" si="111"/>
        <v>729</v>
      </c>
      <c r="Q99" s="36">
        <f t="shared" si="111"/>
        <v>745.73817212725839</v>
      </c>
      <c r="R99" s="36">
        <f t="shared" si="111"/>
        <v>756.99999999999989</v>
      </c>
      <c r="S99" s="36">
        <f t="shared" si="111"/>
        <v>813.00000000000011</v>
      </c>
      <c r="T99" s="36">
        <f t="shared" si="111"/>
        <v>783</v>
      </c>
      <c r="U99" s="36">
        <f t="shared" si="111"/>
        <v>802</v>
      </c>
      <c r="V99" s="36">
        <f t="shared" si="111"/>
        <v>189.86674697670153</v>
      </c>
      <c r="W99" s="36">
        <f t="shared" ref="W99" si="112">IF(W27=0,0,W27/W47)</f>
        <v>486.95762228033681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674.66373119005721</v>
      </c>
      <c r="C100" s="13">
        <f t="shared" si="104"/>
        <v>643.6154708453015</v>
      </c>
      <c r="D100" s="13">
        <f t="shared" ref="D100:V100" si="113">IF(D28=0,0,D28/D48)</f>
        <v>675.92387896847197</v>
      </c>
      <c r="E100" s="13">
        <f t="shared" si="113"/>
        <v>676.73363962361543</v>
      </c>
      <c r="F100" s="13">
        <f t="shared" si="113"/>
        <v>674.70624463645606</v>
      </c>
      <c r="G100" s="13">
        <f t="shared" si="113"/>
        <v>675.48223214370398</v>
      </c>
      <c r="H100" s="13">
        <f t="shared" si="113"/>
        <v>663.09038380259506</v>
      </c>
      <c r="I100" s="13">
        <f t="shared" si="113"/>
        <v>646.04962212967723</v>
      </c>
      <c r="J100" s="13">
        <f t="shared" si="113"/>
        <v>670.57032511136492</v>
      </c>
      <c r="K100" s="13">
        <f t="shared" si="113"/>
        <v>657.13038839210458</v>
      </c>
      <c r="L100" s="13">
        <f t="shared" si="113"/>
        <v>618.3592021257183</v>
      </c>
      <c r="M100" s="13">
        <f t="shared" si="113"/>
        <v>503.15892716304728</v>
      </c>
      <c r="N100" s="13">
        <f t="shared" si="113"/>
        <v>479.47417491358385</v>
      </c>
      <c r="O100" s="13">
        <f t="shared" si="113"/>
        <v>543.5762247047254</v>
      </c>
      <c r="P100" s="13">
        <f t="shared" si="113"/>
        <v>522.27162843733402</v>
      </c>
      <c r="Q100" s="13">
        <f t="shared" si="113"/>
        <v>590.86981932142714</v>
      </c>
      <c r="R100" s="13">
        <f t="shared" si="113"/>
        <v>592.92731936177722</v>
      </c>
      <c r="S100" s="13">
        <f t="shared" si="113"/>
        <v>743.38035443457807</v>
      </c>
      <c r="T100" s="13">
        <f t="shared" si="113"/>
        <v>832.92405272727444</v>
      </c>
      <c r="U100" s="13">
        <f t="shared" si="113"/>
        <v>850.5872499783668</v>
      </c>
      <c r="V100" s="13">
        <f t="shared" si="113"/>
        <v>859.26161264430038</v>
      </c>
      <c r="W100" s="13">
        <f t="shared" ref="W100" si="114">IF(W28=0,0,W28/W48)</f>
        <v>805.36432671764987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0</v>
      </c>
      <c r="C101" s="34">
        <f t="shared" si="104"/>
        <v>0</v>
      </c>
      <c r="D101" s="34">
        <f t="shared" ref="D101:V101" si="115">IF(D29=0,0,D29/D49)</f>
        <v>0</v>
      </c>
      <c r="E101" s="34">
        <f t="shared" si="115"/>
        <v>0</v>
      </c>
      <c r="F101" s="34">
        <f t="shared" si="115"/>
        <v>0</v>
      </c>
      <c r="G101" s="34">
        <f t="shared" si="115"/>
        <v>0</v>
      </c>
      <c r="H101" s="34">
        <f t="shared" si="115"/>
        <v>0</v>
      </c>
      <c r="I101" s="34">
        <f t="shared" si="115"/>
        <v>0</v>
      </c>
      <c r="J101" s="34">
        <f t="shared" si="115"/>
        <v>0</v>
      </c>
      <c r="K101" s="34">
        <f t="shared" si="115"/>
        <v>0</v>
      </c>
      <c r="L101" s="34">
        <f t="shared" si="115"/>
        <v>0</v>
      </c>
      <c r="M101" s="34">
        <f t="shared" si="115"/>
        <v>0</v>
      </c>
      <c r="N101" s="34">
        <f t="shared" si="115"/>
        <v>0</v>
      </c>
      <c r="O101" s="34">
        <f t="shared" si="115"/>
        <v>0</v>
      </c>
      <c r="P101" s="34">
        <f t="shared" si="115"/>
        <v>0</v>
      </c>
      <c r="Q101" s="34">
        <f t="shared" si="115"/>
        <v>0</v>
      </c>
      <c r="R101" s="34">
        <f t="shared" si="115"/>
        <v>0</v>
      </c>
      <c r="S101" s="34">
        <f t="shared" si="115"/>
        <v>0</v>
      </c>
      <c r="T101" s="34">
        <f t="shared" si="115"/>
        <v>0</v>
      </c>
      <c r="U101" s="34">
        <f t="shared" si="115"/>
        <v>0</v>
      </c>
      <c r="V101" s="34">
        <f t="shared" si="115"/>
        <v>0</v>
      </c>
      <c r="W101" s="34">
        <f t="shared" ref="W101" si="116">IF(W29=0,0,W29/W49)</f>
        <v>0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655.42033153178386</v>
      </c>
      <c r="C102" s="34">
        <f t="shared" si="104"/>
        <v>619.71807887019486</v>
      </c>
      <c r="D102" s="34">
        <f t="shared" ref="D102:V102" si="117">IF(D30=0,0,D30/D50)</f>
        <v>655.07965034911547</v>
      </c>
      <c r="E102" s="34">
        <f t="shared" si="117"/>
        <v>655.34782504722966</v>
      </c>
      <c r="F102" s="34">
        <f t="shared" si="117"/>
        <v>655.15262609077433</v>
      </c>
      <c r="G102" s="34">
        <f t="shared" si="117"/>
        <v>660.82309685285372</v>
      </c>
      <c r="H102" s="34">
        <f t="shared" si="117"/>
        <v>653.57485806332966</v>
      </c>
      <c r="I102" s="34">
        <f t="shared" si="117"/>
        <v>636.83126306620863</v>
      </c>
      <c r="J102" s="34">
        <f t="shared" si="117"/>
        <v>667.5194747015538</v>
      </c>
      <c r="K102" s="34">
        <f t="shared" si="117"/>
        <v>660.84072802642663</v>
      </c>
      <c r="L102" s="34">
        <f t="shared" si="117"/>
        <v>616.38564703418774</v>
      </c>
      <c r="M102" s="34">
        <f t="shared" si="117"/>
        <v>489.79566074785049</v>
      </c>
      <c r="N102" s="34">
        <f t="shared" si="117"/>
        <v>446.81615782374496</v>
      </c>
      <c r="O102" s="34">
        <f t="shared" si="117"/>
        <v>492.30303415906536</v>
      </c>
      <c r="P102" s="34">
        <f t="shared" si="117"/>
        <v>468.83755802949452</v>
      </c>
      <c r="Q102" s="34">
        <f t="shared" si="117"/>
        <v>521.97397771220676</v>
      </c>
      <c r="R102" s="34">
        <f t="shared" si="117"/>
        <v>529.01837302189676</v>
      </c>
      <c r="S102" s="34">
        <f t="shared" si="117"/>
        <v>670.20356132329914</v>
      </c>
      <c r="T102" s="34">
        <f t="shared" si="117"/>
        <v>767.56642884205576</v>
      </c>
      <c r="U102" s="34">
        <f t="shared" si="117"/>
        <v>819.08840092074581</v>
      </c>
      <c r="V102" s="34">
        <f t="shared" si="117"/>
        <v>821.36328535117411</v>
      </c>
      <c r="W102" s="34">
        <f t="shared" ref="W102" si="118">IF(W30=0,0,W30/W50)</f>
        <v>792.67133944757268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862</v>
      </c>
      <c r="C103" s="35">
        <f t="shared" si="104"/>
        <v>862</v>
      </c>
      <c r="D103" s="35">
        <f t="shared" ref="D103:V103" si="119">IF(D31=0,0,D31/D51)</f>
        <v>862</v>
      </c>
      <c r="E103" s="35">
        <f t="shared" si="119"/>
        <v>862</v>
      </c>
      <c r="F103" s="35">
        <f t="shared" si="119"/>
        <v>862</v>
      </c>
      <c r="G103" s="35">
        <f t="shared" si="119"/>
        <v>853</v>
      </c>
      <c r="H103" s="35">
        <f t="shared" si="119"/>
        <v>770.99999999999989</v>
      </c>
      <c r="I103" s="35">
        <f t="shared" si="119"/>
        <v>742</v>
      </c>
      <c r="J103" s="35">
        <f t="shared" si="119"/>
        <v>698</v>
      </c>
      <c r="K103" s="35">
        <f t="shared" si="119"/>
        <v>623.30120057834495</v>
      </c>
      <c r="L103" s="35">
        <f t="shared" si="119"/>
        <v>636</v>
      </c>
      <c r="M103" s="35">
        <f t="shared" si="119"/>
        <v>621.67691016714673</v>
      </c>
      <c r="N103" s="35">
        <f t="shared" si="119"/>
        <v>766.40550733462157</v>
      </c>
      <c r="O103" s="35">
        <f t="shared" si="119"/>
        <v>988.90163956956155</v>
      </c>
      <c r="P103" s="35">
        <f t="shared" si="119"/>
        <v>979.715609939817</v>
      </c>
      <c r="Q103" s="35">
        <f t="shared" si="119"/>
        <v>1146</v>
      </c>
      <c r="R103" s="35">
        <f t="shared" si="119"/>
        <v>1092.0027489285305</v>
      </c>
      <c r="S103" s="35">
        <f t="shared" si="119"/>
        <v>1270</v>
      </c>
      <c r="T103" s="35">
        <f t="shared" si="119"/>
        <v>1196</v>
      </c>
      <c r="U103" s="35">
        <f t="shared" si="119"/>
        <v>966</v>
      </c>
      <c r="V103" s="35">
        <f t="shared" si="119"/>
        <v>988.66739682478146</v>
      </c>
      <c r="W103" s="35">
        <f t="shared" ref="W103" si="120">IF(W31=0,0,W31/W51)</f>
        <v>851.32956886924512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</v>
      </c>
      <c r="C107" s="43">
        <f t="shared" si="124"/>
        <v>0</v>
      </c>
      <c r="D107" s="43">
        <f t="shared" ref="D107:V107" si="125">IF(D5=0,0,D5/D$4)</f>
        <v>0</v>
      </c>
      <c r="E107" s="43">
        <f t="shared" si="125"/>
        <v>0</v>
      </c>
      <c r="F107" s="43">
        <f t="shared" si="125"/>
        <v>0</v>
      </c>
      <c r="G107" s="43">
        <f t="shared" si="125"/>
        <v>0</v>
      </c>
      <c r="H107" s="43">
        <f t="shared" si="125"/>
        <v>0</v>
      </c>
      <c r="I107" s="43">
        <f t="shared" si="125"/>
        <v>0</v>
      </c>
      <c r="J107" s="43">
        <f t="shared" si="125"/>
        <v>0</v>
      </c>
      <c r="K107" s="43">
        <f t="shared" si="125"/>
        <v>0</v>
      </c>
      <c r="L107" s="43">
        <f t="shared" si="125"/>
        <v>0</v>
      </c>
      <c r="M107" s="43">
        <f t="shared" si="125"/>
        <v>0</v>
      </c>
      <c r="N107" s="43">
        <f t="shared" si="125"/>
        <v>0</v>
      </c>
      <c r="O107" s="43">
        <f t="shared" si="125"/>
        <v>0</v>
      </c>
      <c r="P107" s="43">
        <f t="shared" si="125"/>
        <v>0</v>
      </c>
      <c r="Q107" s="43">
        <f t="shared" si="125"/>
        <v>0</v>
      </c>
      <c r="R107" s="43">
        <f t="shared" si="125"/>
        <v>0</v>
      </c>
      <c r="S107" s="43">
        <f t="shared" si="125"/>
        <v>0</v>
      </c>
      <c r="T107" s="43">
        <f t="shared" si="125"/>
        <v>0</v>
      </c>
      <c r="U107" s="43">
        <f t="shared" si="125"/>
        <v>0</v>
      </c>
      <c r="V107" s="43">
        <f t="shared" si="125"/>
        <v>0</v>
      </c>
      <c r="W107" s="43">
        <f t="shared" ref="W107" si="126">IF(W5=0,0,W5/W$4)</f>
        <v>0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0.91858839424618599</v>
      </c>
      <c r="C108" s="43">
        <f t="shared" si="127"/>
        <v>0.9155929922432946</v>
      </c>
      <c r="D108" s="43">
        <f t="shared" ref="D108:V108" si="128">IF(D6=0,0,D6/D$4)</f>
        <v>0.88867028815211857</v>
      </c>
      <c r="E108" s="43">
        <f t="shared" si="128"/>
        <v>0.88330286372074573</v>
      </c>
      <c r="F108" s="43">
        <f t="shared" si="128"/>
        <v>0.89555460431812062</v>
      </c>
      <c r="G108" s="43">
        <f t="shared" si="128"/>
        <v>0.90551441673468491</v>
      </c>
      <c r="H108" s="43">
        <f t="shared" si="128"/>
        <v>0.89155790623071518</v>
      </c>
      <c r="I108" s="43">
        <f t="shared" si="128"/>
        <v>0.8830513283439001</v>
      </c>
      <c r="J108" s="43">
        <f t="shared" si="128"/>
        <v>0.87439680301885547</v>
      </c>
      <c r="K108" s="43">
        <f t="shared" si="128"/>
        <v>0.87631283166599083</v>
      </c>
      <c r="L108" s="43">
        <f t="shared" si="128"/>
        <v>0.85283712392979405</v>
      </c>
      <c r="M108" s="43">
        <f t="shared" si="128"/>
        <v>0.83093558043489568</v>
      </c>
      <c r="N108" s="43">
        <f t="shared" si="128"/>
        <v>0.77741326912387743</v>
      </c>
      <c r="O108" s="43">
        <f t="shared" si="128"/>
        <v>0.70373303254604314</v>
      </c>
      <c r="P108" s="43">
        <f t="shared" si="128"/>
        <v>0.68817707103905024</v>
      </c>
      <c r="Q108" s="43">
        <f t="shared" si="128"/>
        <v>0.7060924269501011</v>
      </c>
      <c r="R108" s="43">
        <f t="shared" si="128"/>
        <v>0.66454205026893021</v>
      </c>
      <c r="S108" s="43">
        <f t="shared" si="128"/>
        <v>0.69082929744015253</v>
      </c>
      <c r="T108" s="43">
        <f t="shared" si="128"/>
        <v>0.69960110934296871</v>
      </c>
      <c r="U108" s="43">
        <f t="shared" si="128"/>
        <v>0.70327085270119594</v>
      </c>
      <c r="V108" s="43">
        <f t="shared" si="128"/>
        <v>0.84860194024649271</v>
      </c>
      <c r="W108" s="43">
        <f t="shared" ref="W108" si="129">IF(W6=0,0,W6/W$4)</f>
        <v>0.61847073214445958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8.1411605753813968E-2</v>
      </c>
      <c r="C109" s="43">
        <f t="shared" si="130"/>
        <v>8.4407007756705288E-2</v>
      </c>
      <c r="D109" s="43">
        <f t="shared" ref="D109:V109" si="131">IF(D7=0,0,D7/D$4)</f>
        <v>0.1113297118478814</v>
      </c>
      <c r="E109" s="43">
        <f t="shared" si="131"/>
        <v>0.11669713627925427</v>
      </c>
      <c r="F109" s="43">
        <f t="shared" si="131"/>
        <v>0.10444539568187934</v>
      </c>
      <c r="G109" s="43">
        <f t="shared" si="131"/>
        <v>9.4485583265315143E-2</v>
      </c>
      <c r="H109" s="43">
        <f t="shared" si="131"/>
        <v>0.10844209376928482</v>
      </c>
      <c r="I109" s="43">
        <f t="shared" si="131"/>
        <v>0.11694867165609993</v>
      </c>
      <c r="J109" s="43">
        <f t="shared" si="131"/>
        <v>0.12560319698114461</v>
      </c>
      <c r="K109" s="43">
        <f t="shared" si="131"/>
        <v>0.12368716833400915</v>
      </c>
      <c r="L109" s="43">
        <f t="shared" si="131"/>
        <v>0.14716287607020592</v>
      </c>
      <c r="M109" s="43">
        <f t="shared" si="131"/>
        <v>0.16906441956510435</v>
      </c>
      <c r="N109" s="43">
        <f t="shared" si="131"/>
        <v>0.22258673087612266</v>
      </c>
      <c r="O109" s="43">
        <f t="shared" si="131"/>
        <v>0.29626696745395686</v>
      </c>
      <c r="P109" s="43">
        <f t="shared" si="131"/>
        <v>0.31182292896094987</v>
      </c>
      <c r="Q109" s="43">
        <f t="shared" si="131"/>
        <v>0.29390757304989895</v>
      </c>
      <c r="R109" s="43">
        <f t="shared" si="131"/>
        <v>0.33545794973106974</v>
      </c>
      <c r="S109" s="43">
        <f t="shared" si="131"/>
        <v>0.30917070255984747</v>
      </c>
      <c r="T109" s="43">
        <f t="shared" si="131"/>
        <v>0.30039889065703118</v>
      </c>
      <c r="U109" s="43">
        <f t="shared" si="131"/>
        <v>0.29672914729880412</v>
      </c>
      <c r="V109" s="43">
        <f t="shared" si="131"/>
        <v>0.15139805975350729</v>
      </c>
      <c r="W109" s="43">
        <f t="shared" ref="W109" si="132">IF(W7=0,0,W7/W$4)</f>
        <v>0.38152926785554042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0</v>
      </c>
      <c r="C111" s="44">
        <f t="shared" si="136"/>
        <v>0</v>
      </c>
      <c r="D111" s="44">
        <f t="shared" ref="D111:V111" si="137">IF(D9=0,0,D9/D$8)</f>
        <v>0</v>
      </c>
      <c r="E111" s="44">
        <f t="shared" si="137"/>
        <v>0</v>
      </c>
      <c r="F111" s="44">
        <f t="shared" si="137"/>
        <v>0</v>
      </c>
      <c r="G111" s="44">
        <f t="shared" si="137"/>
        <v>0</v>
      </c>
      <c r="H111" s="44">
        <f t="shared" si="137"/>
        <v>0</v>
      </c>
      <c r="I111" s="44">
        <f t="shared" si="137"/>
        <v>0</v>
      </c>
      <c r="J111" s="44">
        <f t="shared" si="137"/>
        <v>0</v>
      </c>
      <c r="K111" s="44">
        <f t="shared" si="137"/>
        <v>0</v>
      </c>
      <c r="L111" s="44">
        <f t="shared" si="137"/>
        <v>0</v>
      </c>
      <c r="M111" s="44">
        <f t="shared" si="137"/>
        <v>0</v>
      </c>
      <c r="N111" s="44">
        <f t="shared" si="137"/>
        <v>0</v>
      </c>
      <c r="O111" s="44">
        <f t="shared" si="137"/>
        <v>0</v>
      </c>
      <c r="P111" s="44">
        <f t="shared" si="137"/>
        <v>0</v>
      </c>
      <c r="Q111" s="44">
        <f t="shared" si="137"/>
        <v>0</v>
      </c>
      <c r="R111" s="44">
        <f t="shared" si="137"/>
        <v>0</v>
      </c>
      <c r="S111" s="44">
        <f t="shared" si="137"/>
        <v>0</v>
      </c>
      <c r="T111" s="44">
        <f t="shared" si="137"/>
        <v>0</v>
      </c>
      <c r="U111" s="44">
        <f t="shared" si="137"/>
        <v>0</v>
      </c>
      <c r="V111" s="44">
        <f t="shared" si="137"/>
        <v>0</v>
      </c>
      <c r="W111" s="44">
        <f t="shared" ref="W111" si="138">IF(W9=0,0,W9/W$8)</f>
        <v>0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0.78522263700448591</v>
      </c>
      <c r="C112" s="44">
        <f t="shared" si="139"/>
        <v>0.77790297086726867</v>
      </c>
      <c r="D112" s="44">
        <f t="shared" ref="D112:V112" si="140">IF(D10=0,0,D10/D$8)</f>
        <v>0.78397828037235806</v>
      </c>
      <c r="E112" s="44">
        <f t="shared" si="140"/>
        <v>0.79341196418519544</v>
      </c>
      <c r="F112" s="44">
        <f t="shared" si="140"/>
        <v>0.79602035050485553</v>
      </c>
      <c r="G112" s="44">
        <f t="shared" si="140"/>
        <v>0.83289589659703434</v>
      </c>
      <c r="H112" s="44">
        <f t="shared" si="140"/>
        <v>0.80380754222877815</v>
      </c>
      <c r="I112" s="44">
        <f t="shared" si="140"/>
        <v>0.7826285528944863</v>
      </c>
      <c r="J112" s="44">
        <f t="shared" si="140"/>
        <v>0.7549086837562391</v>
      </c>
      <c r="K112" s="44">
        <f t="shared" si="140"/>
        <v>0.73789217001106511</v>
      </c>
      <c r="L112" s="44">
        <f t="shared" si="140"/>
        <v>0.72667432772519791</v>
      </c>
      <c r="M112" s="44">
        <f t="shared" si="140"/>
        <v>0.75521538311595016</v>
      </c>
      <c r="N112" s="44">
        <f t="shared" si="140"/>
        <v>0.84798297175320669</v>
      </c>
      <c r="O112" s="44">
        <f t="shared" si="140"/>
        <v>0.77956713917712328</v>
      </c>
      <c r="P112" s="44">
        <f t="shared" si="140"/>
        <v>0.75917313204164061</v>
      </c>
      <c r="Q112" s="44">
        <f t="shared" si="140"/>
        <v>0.74322679095087318</v>
      </c>
      <c r="R112" s="44">
        <f t="shared" si="140"/>
        <v>0.745180081739093</v>
      </c>
      <c r="S112" s="44">
        <f t="shared" si="140"/>
        <v>0.79668114475023655</v>
      </c>
      <c r="T112" s="44">
        <f t="shared" si="140"/>
        <v>0.73731245993310834</v>
      </c>
      <c r="U112" s="44">
        <f t="shared" si="140"/>
        <v>0.52969204455390617</v>
      </c>
      <c r="V112" s="44">
        <f t="shared" si="140"/>
        <v>0.61176028585876197</v>
      </c>
      <c r="W112" s="44">
        <f t="shared" ref="W112" si="141">IF(W10=0,0,W10/W$8)</f>
        <v>0.56366976438690508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0.21477736299551412</v>
      </c>
      <c r="C113" s="45">
        <f t="shared" si="142"/>
        <v>0.22209702913273133</v>
      </c>
      <c r="D113" s="45">
        <f t="shared" ref="D113:V113" si="143">IF(D11=0,0,D11/D$8)</f>
        <v>0.21602171962764194</v>
      </c>
      <c r="E113" s="45">
        <f t="shared" si="143"/>
        <v>0.20658803581480464</v>
      </c>
      <c r="F113" s="45">
        <f t="shared" si="143"/>
        <v>0.20397964949514452</v>
      </c>
      <c r="G113" s="45">
        <f t="shared" si="143"/>
        <v>0.16710410340296566</v>
      </c>
      <c r="H113" s="45">
        <f t="shared" si="143"/>
        <v>0.19619245777122193</v>
      </c>
      <c r="I113" s="45">
        <f t="shared" si="143"/>
        <v>0.21737144710551373</v>
      </c>
      <c r="J113" s="45">
        <f t="shared" si="143"/>
        <v>0.24509131624376096</v>
      </c>
      <c r="K113" s="45">
        <f t="shared" si="143"/>
        <v>0.26210782998893489</v>
      </c>
      <c r="L113" s="45">
        <f t="shared" si="143"/>
        <v>0.27332567227480215</v>
      </c>
      <c r="M113" s="45">
        <f t="shared" si="143"/>
        <v>0.24478461688404984</v>
      </c>
      <c r="N113" s="45">
        <f t="shared" si="143"/>
        <v>0.1520170282467932</v>
      </c>
      <c r="O113" s="45">
        <f t="shared" si="143"/>
        <v>0.22043286082287672</v>
      </c>
      <c r="P113" s="45">
        <f t="shared" si="143"/>
        <v>0.24082686795835936</v>
      </c>
      <c r="Q113" s="45">
        <f t="shared" si="143"/>
        <v>0.25677320904912693</v>
      </c>
      <c r="R113" s="45">
        <f t="shared" si="143"/>
        <v>0.25481991826090694</v>
      </c>
      <c r="S113" s="45">
        <f t="shared" si="143"/>
        <v>0.20331885524976354</v>
      </c>
      <c r="T113" s="45">
        <f t="shared" si="143"/>
        <v>0.26268754006689182</v>
      </c>
      <c r="U113" s="45">
        <f t="shared" si="143"/>
        <v>0.47030795544609388</v>
      </c>
      <c r="V113" s="45">
        <f t="shared" si="143"/>
        <v>0.38823971414123815</v>
      </c>
      <c r="W113" s="45">
        <f t="shared" ref="W113" si="144">IF(W11=0,0,W11/W$8)</f>
        <v>0.43633023561309486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</v>
      </c>
      <c r="C117" s="43">
        <f t="shared" si="148"/>
        <v>0</v>
      </c>
      <c r="D117" s="43">
        <f t="shared" ref="D117:V117" si="149">IF(D15=0,0,D15/D$14)</f>
        <v>0</v>
      </c>
      <c r="E117" s="43">
        <f t="shared" si="149"/>
        <v>0</v>
      </c>
      <c r="F117" s="43">
        <f t="shared" si="149"/>
        <v>0</v>
      </c>
      <c r="G117" s="43">
        <f t="shared" si="149"/>
        <v>0</v>
      </c>
      <c r="H117" s="43">
        <f t="shared" si="149"/>
        <v>0</v>
      </c>
      <c r="I117" s="43">
        <f t="shared" si="149"/>
        <v>0</v>
      </c>
      <c r="J117" s="43">
        <f t="shared" si="149"/>
        <v>0</v>
      </c>
      <c r="K117" s="43">
        <f t="shared" si="149"/>
        <v>0</v>
      </c>
      <c r="L117" s="43">
        <f t="shared" si="149"/>
        <v>0</v>
      </c>
      <c r="M117" s="43">
        <f t="shared" si="149"/>
        <v>0</v>
      </c>
      <c r="N117" s="43">
        <f t="shared" si="149"/>
        <v>0</v>
      </c>
      <c r="O117" s="43">
        <f t="shared" si="149"/>
        <v>0</v>
      </c>
      <c r="P117" s="43">
        <f t="shared" si="149"/>
        <v>0</v>
      </c>
      <c r="Q117" s="43">
        <f t="shared" si="149"/>
        <v>0</v>
      </c>
      <c r="R117" s="43">
        <f t="shared" si="149"/>
        <v>0</v>
      </c>
      <c r="S117" s="43">
        <f t="shared" si="149"/>
        <v>0</v>
      </c>
      <c r="T117" s="43">
        <f t="shared" si="149"/>
        <v>0</v>
      </c>
      <c r="U117" s="43">
        <f t="shared" si="149"/>
        <v>0</v>
      </c>
      <c r="V117" s="43">
        <f t="shared" si="149"/>
        <v>0</v>
      </c>
      <c r="W117" s="43">
        <f t="shared" ref="W117" si="150">IF(W15=0,0,W15/W$14)</f>
        <v>0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0.83467123954659239</v>
      </c>
      <c r="C118" s="43">
        <f t="shared" si="151"/>
        <v>0.83467274693267479</v>
      </c>
      <c r="D118" s="43">
        <f t="shared" ref="D118:V118" si="152">IF(D16=0,0,D16/D$14)</f>
        <v>0.79926021776578182</v>
      </c>
      <c r="E118" s="43">
        <f t="shared" si="152"/>
        <v>0.79925945496051387</v>
      </c>
      <c r="F118" s="43">
        <f t="shared" si="152"/>
        <v>0.83001847427986797</v>
      </c>
      <c r="G118" s="43">
        <f t="shared" si="152"/>
        <v>0.84121282331892488</v>
      </c>
      <c r="H118" s="43">
        <f t="shared" si="152"/>
        <v>0.77891283834198477</v>
      </c>
      <c r="I118" s="43">
        <f t="shared" si="152"/>
        <v>0.75726993299045731</v>
      </c>
      <c r="J118" s="43">
        <f t="shared" si="152"/>
        <v>0.7527367711350601</v>
      </c>
      <c r="K118" s="43">
        <f t="shared" si="152"/>
        <v>0.79629912502129252</v>
      </c>
      <c r="L118" s="43">
        <f t="shared" si="152"/>
        <v>0.81399747167685288</v>
      </c>
      <c r="M118" s="43">
        <f t="shared" si="152"/>
        <v>0.78621575937350197</v>
      </c>
      <c r="N118" s="43">
        <f t="shared" si="152"/>
        <v>0.7711515233917382</v>
      </c>
      <c r="O118" s="43">
        <f t="shared" si="152"/>
        <v>0.73459798351801908</v>
      </c>
      <c r="P118" s="43">
        <f t="shared" si="152"/>
        <v>0.69202344213197675</v>
      </c>
      <c r="Q118" s="43">
        <f t="shared" si="152"/>
        <v>0.71633743309074605</v>
      </c>
      <c r="R118" s="43">
        <f t="shared" si="152"/>
        <v>0.6713569537875882</v>
      </c>
      <c r="S118" s="43">
        <f t="shared" si="152"/>
        <v>0.71667341385153105</v>
      </c>
      <c r="T118" s="43">
        <f t="shared" si="152"/>
        <v>0.71223324417097278</v>
      </c>
      <c r="U118" s="43">
        <f t="shared" si="152"/>
        <v>0.71093445063884975</v>
      </c>
      <c r="V118" s="43">
        <f t="shared" si="152"/>
        <v>0.79629338089320012</v>
      </c>
      <c r="W118" s="43">
        <f t="shared" ref="W118" si="153">IF(W16=0,0,W16/W$14)</f>
        <v>0.66901316471150729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0.16532876045340758</v>
      </c>
      <c r="C119" s="43">
        <f t="shared" si="154"/>
        <v>0.16532725306732529</v>
      </c>
      <c r="D119" s="43">
        <f t="shared" ref="D119:V119" si="155">IF(D17=0,0,D17/D$14)</f>
        <v>0.20073978223421821</v>
      </c>
      <c r="E119" s="43">
        <f t="shared" si="155"/>
        <v>0.20074054503948621</v>
      </c>
      <c r="F119" s="43">
        <f t="shared" si="155"/>
        <v>0.16998152572013209</v>
      </c>
      <c r="G119" s="43">
        <f t="shared" si="155"/>
        <v>0.15878717668107509</v>
      </c>
      <c r="H119" s="43">
        <f t="shared" si="155"/>
        <v>0.22108716165801537</v>
      </c>
      <c r="I119" s="43">
        <f t="shared" si="155"/>
        <v>0.24273006700954275</v>
      </c>
      <c r="J119" s="43">
        <f t="shared" si="155"/>
        <v>0.24726322886493995</v>
      </c>
      <c r="K119" s="43">
        <f t="shared" si="155"/>
        <v>0.20370087497870742</v>
      </c>
      <c r="L119" s="43">
        <f t="shared" si="155"/>
        <v>0.18600252832314718</v>
      </c>
      <c r="M119" s="43">
        <f t="shared" si="155"/>
        <v>0.21378424062649798</v>
      </c>
      <c r="N119" s="43">
        <f t="shared" si="155"/>
        <v>0.22884847660826185</v>
      </c>
      <c r="O119" s="43">
        <f t="shared" si="155"/>
        <v>0.26540201648198086</v>
      </c>
      <c r="P119" s="43">
        <f t="shared" si="155"/>
        <v>0.30797655786802319</v>
      </c>
      <c r="Q119" s="43">
        <f t="shared" si="155"/>
        <v>0.28366256690925384</v>
      </c>
      <c r="R119" s="43">
        <f t="shared" si="155"/>
        <v>0.32864304621241175</v>
      </c>
      <c r="S119" s="43">
        <f t="shared" si="155"/>
        <v>0.28332658614846884</v>
      </c>
      <c r="T119" s="43">
        <f t="shared" si="155"/>
        <v>0.28776675582902728</v>
      </c>
      <c r="U119" s="43">
        <f t="shared" si="155"/>
        <v>0.28906554936115025</v>
      </c>
      <c r="V119" s="43">
        <f t="shared" si="155"/>
        <v>0.20370661910679982</v>
      </c>
      <c r="W119" s="43">
        <f t="shared" ref="W119" si="156">IF(W17=0,0,W17/W$14)</f>
        <v>0.33098683528849276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</v>
      </c>
      <c r="C121" s="44">
        <f t="shared" si="160"/>
        <v>0</v>
      </c>
      <c r="D121" s="44">
        <f t="shared" ref="D121:V121" si="161">IF(D19=0,0,D19/D$18)</f>
        <v>0</v>
      </c>
      <c r="E121" s="44">
        <f t="shared" si="161"/>
        <v>0</v>
      </c>
      <c r="F121" s="44">
        <f t="shared" si="161"/>
        <v>0</v>
      </c>
      <c r="G121" s="44">
        <f t="shared" si="161"/>
        <v>0</v>
      </c>
      <c r="H121" s="44">
        <f t="shared" si="161"/>
        <v>0</v>
      </c>
      <c r="I121" s="44">
        <f t="shared" si="161"/>
        <v>0</v>
      </c>
      <c r="J121" s="44">
        <f t="shared" si="161"/>
        <v>0</v>
      </c>
      <c r="K121" s="44">
        <f t="shared" si="161"/>
        <v>0</v>
      </c>
      <c r="L121" s="44">
        <f t="shared" si="161"/>
        <v>0</v>
      </c>
      <c r="M121" s="44">
        <f t="shared" si="161"/>
        <v>0</v>
      </c>
      <c r="N121" s="44">
        <f t="shared" si="161"/>
        <v>0</v>
      </c>
      <c r="O121" s="44">
        <f t="shared" si="161"/>
        <v>0</v>
      </c>
      <c r="P121" s="44">
        <f t="shared" si="161"/>
        <v>0</v>
      </c>
      <c r="Q121" s="44">
        <f t="shared" si="161"/>
        <v>0</v>
      </c>
      <c r="R121" s="44">
        <f t="shared" si="161"/>
        <v>0</v>
      </c>
      <c r="S121" s="44">
        <f t="shared" si="161"/>
        <v>0</v>
      </c>
      <c r="T121" s="44">
        <f t="shared" si="161"/>
        <v>0</v>
      </c>
      <c r="U121" s="44">
        <f t="shared" si="161"/>
        <v>0</v>
      </c>
      <c r="V121" s="44">
        <f t="shared" si="161"/>
        <v>0</v>
      </c>
      <c r="W121" s="44">
        <f t="shared" ref="W121" si="162">IF(W19=0,0,W19/W$18)</f>
        <v>0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0.94129148319809375</v>
      </c>
      <c r="C122" s="44">
        <f t="shared" si="163"/>
        <v>0.93438565750918468</v>
      </c>
      <c r="D122" s="44">
        <f t="shared" ref="D122:V122" si="164">IF(D20=0,0,D20/D$18)</f>
        <v>0.93633451918136146</v>
      </c>
      <c r="E122" s="44">
        <f t="shared" si="164"/>
        <v>0.93450639266803837</v>
      </c>
      <c r="F122" s="44">
        <f t="shared" si="164"/>
        <v>0.94040286118705241</v>
      </c>
      <c r="G122" s="44">
        <f t="shared" si="164"/>
        <v>0.9514523785585256</v>
      </c>
      <c r="H122" s="44">
        <f t="shared" si="164"/>
        <v>0.94369756831951523</v>
      </c>
      <c r="I122" s="44">
        <f t="shared" si="164"/>
        <v>0.93369407922287162</v>
      </c>
      <c r="J122" s="44">
        <f t="shared" si="164"/>
        <v>0.92246611873571471</v>
      </c>
      <c r="K122" s="44">
        <f t="shared" si="164"/>
        <v>0.9241077953440946</v>
      </c>
      <c r="L122" s="44">
        <f t="shared" si="164"/>
        <v>0.91363143704011396</v>
      </c>
      <c r="M122" s="44">
        <f t="shared" si="164"/>
        <v>0.92604662163892693</v>
      </c>
      <c r="N122" s="44">
        <f t="shared" si="164"/>
        <v>0.96039339468488372</v>
      </c>
      <c r="O122" s="44">
        <f t="shared" si="164"/>
        <v>0.94426665731545478</v>
      </c>
      <c r="P122" s="44">
        <f t="shared" si="164"/>
        <v>0.93616152693628463</v>
      </c>
      <c r="Q122" s="44">
        <f t="shared" si="164"/>
        <v>0.9364702225252366</v>
      </c>
      <c r="R122" s="44">
        <f t="shared" si="164"/>
        <v>0.93553253840541473</v>
      </c>
      <c r="S122" s="44">
        <f t="shared" si="164"/>
        <v>0.95471021050139726</v>
      </c>
      <c r="T122" s="44">
        <f t="shared" si="164"/>
        <v>0.934249713736656</v>
      </c>
      <c r="U122" s="44">
        <f t="shared" si="164"/>
        <v>0.83291736705923591</v>
      </c>
      <c r="V122" s="44">
        <f t="shared" si="164"/>
        <v>0.82772769981627348</v>
      </c>
      <c r="W122" s="44">
        <f t="shared" ref="W122" si="165">IF(W20=0,0,W20/W$18)</f>
        <v>0.8288665614915085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5.8708516801906252E-2</v>
      </c>
      <c r="C123" s="45">
        <f t="shared" si="166"/>
        <v>6.5614342490815311E-2</v>
      </c>
      <c r="D123" s="45">
        <f t="shared" ref="D123:V123" si="167">IF(D21=0,0,D21/D$18)</f>
        <v>6.3665480818638542E-2</v>
      </c>
      <c r="E123" s="45">
        <f t="shared" si="167"/>
        <v>6.5493607331961717E-2</v>
      </c>
      <c r="F123" s="45">
        <f t="shared" si="167"/>
        <v>5.9597138812947474E-2</v>
      </c>
      <c r="G123" s="45">
        <f t="shared" si="167"/>
        <v>4.8547621441474446E-2</v>
      </c>
      <c r="H123" s="45">
        <f t="shared" si="167"/>
        <v>5.6302431680484773E-2</v>
      </c>
      <c r="I123" s="45">
        <f t="shared" si="167"/>
        <v>6.6305920777128338E-2</v>
      </c>
      <c r="J123" s="45">
        <f t="shared" si="167"/>
        <v>7.7533881264285273E-2</v>
      </c>
      <c r="K123" s="45">
        <f t="shared" si="167"/>
        <v>7.5892204655905335E-2</v>
      </c>
      <c r="L123" s="45">
        <f t="shared" si="167"/>
        <v>8.6368562959886111E-2</v>
      </c>
      <c r="M123" s="45">
        <f t="shared" si="167"/>
        <v>7.3953378361072977E-2</v>
      </c>
      <c r="N123" s="45">
        <f t="shared" si="167"/>
        <v>3.9606605315116367E-2</v>
      </c>
      <c r="O123" s="45">
        <f t="shared" si="167"/>
        <v>5.5733342684545148E-2</v>
      </c>
      <c r="P123" s="45">
        <f t="shared" si="167"/>
        <v>6.3838473063715373E-2</v>
      </c>
      <c r="Q123" s="45">
        <f t="shared" si="167"/>
        <v>6.3529777474763321E-2</v>
      </c>
      <c r="R123" s="45">
        <f t="shared" si="167"/>
        <v>6.446746159458526E-2</v>
      </c>
      <c r="S123" s="45">
        <f t="shared" si="167"/>
        <v>4.5289789498602795E-2</v>
      </c>
      <c r="T123" s="45">
        <f t="shared" si="167"/>
        <v>6.575028626334406E-2</v>
      </c>
      <c r="U123" s="45">
        <f t="shared" si="167"/>
        <v>0.16708263294076409</v>
      </c>
      <c r="V123" s="45">
        <f t="shared" si="167"/>
        <v>0.17227230018372652</v>
      </c>
      <c r="W123" s="45">
        <f t="shared" ref="W123" si="168">IF(W21=0,0,W21/W$18)</f>
        <v>0.17113343850849155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282.28718830610495</v>
      </c>
      <c r="C3" s="79">
        <f t="shared" si="0"/>
        <v>330.73946689595869</v>
      </c>
      <c r="D3" s="79">
        <f t="shared" ref="D3" si="1">SUM(D4:D5)</f>
        <v>318.09974204643152</v>
      </c>
      <c r="E3" s="79">
        <f t="shared" ref="E3" si="2">SUM(E4:E5)</f>
        <v>340.21926053310403</v>
      </c>
      <c r="F3" s="79">
        <f t="shared" ref="F3" si="3">SUM(F4:F5)</f>
        <v>310.72656921754077</v>
      </c>
      <c r="G3" s="79">
        <f t="shared" ref="G3" si="4">SUM(G4:G5)</f>
        <v>306.51332760103185</v>
      </c>
      <c r="H3" s="79">
        <f t="shared" ref="H3" si="5">SUM(H4:H5)</f>
        <v>315.9931212381772</v>
      </c>
      <c r="I3" s="79">
        <f t="shared" ref="I3" si="6">SUM(I4:I5)</f>
        <v>302.30008598452287</v>
      </c>
      <c r="J3" s="79">
        <f t="shared" ref="J3" si="7">SUM(J4:J5)</f>
        <v>301.24677558039548</v>
      </c>
      <c r="K3" s="79">
        <f t="shared" ref="K3" si="8">SUM(K4:K5)</f>
        <v>279.12725709372302</v>
      </c>
      <c r="L3" s="79">
        <f t="shared" ref="L3" si="9">SUM(L4:L5)</f>
        <v>284.39380911435944</v>
      </c>
      <c r="M3" s="79">
        <f t="shared" ref="M3" si="10">SUM(M4:M5)</f>
        <v>309.67325881341355</v>
      </c>
      <c r="N3" s="79">
        <f t="shared" ref="N3" si="11">SUM(N4:N5)</f>
        <v>278.07394668959591</v>
      </c>
      <c r="O3" s="79">
        <f t="shared" ref="O3" si="12">SUM(O4:O5)</f>
        <v>247.52794496990541</v>
      </c>
      <c r="P3" s="79">
        <f t="shared" ref="P3" si="13">SUM(P4:P5)</f>
        <v>243.31470335339642</v>
      </c>
      <c r="Q3" s="79">
        <f t="shared" ref="Q3" si="14">SUM(Q4:Q5)</f>
        <v>245.42132416165092</v>
      </c>
      <c r="R3" s="79">
        <f t="shared" ref="R3" si="15">SUM(R4:R5)</f>
        <v>277.02063628546858</v>
      </c>
      <c r="S3" s="79">
        <f t="shared" ref="S3" si="16">SUM(S4:S5)</f>
        <v>313.68220120378334</v>
      </c>
      <c r="T3" s="79">
        <f t="shared" ref="T3" si="17">SUM(T4:T5)</f>
        <v>324.6650042992261</v>
      </c>
      <c r="U3" s="79">
        <f t="shared" ref="U3" si="18">SUM(U4:U5)</f>
        <v>310.94780739466887</v>
      </c>
      <c r="V3" s="79">
        <f t="shared" ref="V3:W3" si="19">SUM(V4:V5)</f>
        <v>95.191917454858128</v>
      </c>
      <c r="W3" s="79">
        <f t="shared" si="19"/>
        <v>157.67953568357686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0</v>
      </c>
      <c r="C4" s="96">
        <f t="shared" si="20"/>
        <v>0</v>
      </c>
      <c r="D4" s="96">
        <f t="shared" ref="D4:V4" si="21">SUM(D7,D11)</f>
        <v>0</v>
      </c>
      <c r="E4" s="96">
        <f t="shared" si="21"/>
        <v>0</v>
      </c>
      <c r="F4" s="96">
        <f t="shared" si="21"/>
        <v>0</v>
      </c>
      <c r="G4" s="96">
        <f t="shared" si="21"/>
        <v>0</v>
      </c>
      <c r="H4" s="96">
        <f t="shared" si="21"/>
        <v>0</v>
      </c>
      <c r="I4" s="96">
        <f t="shared" si="21"/>
        <v>0</v>
      </c>
      <c r="J4" s="96">
        <f t="shared" si="21"/>
        <v>0</v>
      </c>
      <c r="K4" s="96">
        <f t="shared" si="21"/>
        <v>0</v>
      </c>
      <c r="L4" s="96">
        <f t="shared" si="21"/>
        <v>0</v>
      </c>
      <c r="M4" s="96">
        <f t="shared" si="21"/>
        <v>0</v>
      </c>
      <c r="N4" s="96">
        <f t="shared" si="21"/>
        <v>0</v>
      </c>
      <c r="O4" s="96">
        <f t="shared" si="21"/>
        <v>0</v>
      </c>
      <c r="P4" s="96">
        <f t="shared" si="21"/>
        <v>0</v>
      </c>
      <c r="Q4" s="96">
        <f t="shared" si="21"/>
        <v>0</v>
      </c>
      <c r="R4" s="96">
        <f t="shared" si="21"/>
        <v>0</v>
      </c>
      <c r="S4" s="96">
        <f t="shared" si="21"/>
        <v>0</v>
      </c>
      <c r="T4" s="96">
        <f t="shared" si="21"/>
        <v>0</v>
      </c>
      <c r="U4" s="96">
        <f t="shared" si="21"/>
        <v>0</v>
      </c>
      <c r="V4" s="96">
        <f t="shared" si="21"/>
        <v>0</v>
      </c>
      <c r="W4" s="96">
        <f t="shared" ref="W4" si="22">SUM(W7,W11)</f>
        <v>0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282.28718830610495</v>
      </c>
      <c r="C5" s="96">
        <f t="shared" si="23"/>
        <v>330.73946689595869</v>
      </c>
      <c r="D5" s="96">
        <f t="shared" ref="D5:V5" si="24">SUM(D8:D9,D12:D13)</f>
        <v>318.09974204643152</v>
      </c>
      <c r="E5" s="96">
        <f t="shared" si="24"/>
        <v>340.21926053310403</v>
      </c>
      <c r="F5" s="96">
        <f t="shared" si="24"/>
        <v>310.72656921754077</v>
      </c>
      <c r="G5" s="96">
        <f t="shared" si="24"/>
        <v>306.51332760103185</v>
      </c>
      <c r="H5" s="96">
        <f t="shared" si="24"/>
        <v>315.9931212381772</v>
      </c>
      <c r="I5" s="96">
        <f t="shared" si="24"/>
        <v>302.30008598452287</v>
      </c>
      <c r="J5" s="96">
        <f t="shared" si="24"/>
        <v>301.24677558039548</v>
      </c>
      <c r="K5" s="96">
        <f t="shared" si="24"/>
        <v>279.12725709372302</v>
      </c>
      <c r="L5" s="96">
        <f t="shared" si="24"/>
        <v>284.39380911435944</v>
      </c>
      <c r="M5" s="96">
        <f t="shared" si="24"/>
        <v>309.67325881341355</v>
      </c>
      <c r="N5" s="96">
        <f t="shared" si="24"/>
        <v>278.07394668959591</v>
      </c>
      <c r="O5" s="96">
        <f t="shared" si="24"/>
        <v>247.52794496990541</v>
      </c>
      <c r="P5" s="96">
        <f t="shared" si="24"/>
        <v>243.31470335339642</v>
      </c>
      <c r="Q5" s="96">
        <f t="shared" si="24"/>
        <v>245.42132416165092</v>
      </c>
      <c r="R5" s="96">
        <f t="shared" si="24"/>
        <v>277.02063628546858</v>
      </c>
      <c r="S5" s="96">
        <f t="shared" si="24"/>
        <v>313.68220120378334</v>
      </c>
      <c r="T5" s="96">
        <f t="shared" si="24"/>
        <v>324.6650042992261</v>
      </c>
      <c r="U5" s="96">
        <f t="shared" si="24"/>
        <v>310.94780739466887</v>
      </c>
      <c r="V5" s="96">
        <f t="shared" si="24"/>
        <v>95.191917454858128</v>
      </c>
      <c r="W5" s="96">
        <f t="shared" ref="W5" si="25">SUM(W8:W9,W12:W13)</f>
        <v>157.67953568357686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272.98439210684074</v>
      </c>
      <c r="C6" s="21">
        <f t="shared" si="26"/>
        <v>322.70691572251678</v>
      </c>
      <c r="D6" s="21">
        <f t="shared" ref="D6:V6" si="27">SUM(D7:D9)</f>
        <v>309.12792337408899</v>
      </c>
      <c r="E6" s="21">
        <f t="shared" si="27"/>
        <v>331.58444151430621</v>
      </c>
      <c r="F6" s="21">
        <f t="shared" si="27"/>
        <v>300.01449403976443</v>
      </c>
      <c r="G6" s="21">
        <f t="shared" si="27"/>
        <v>294.50343848133105</v>
      </c>
      <c r="H6" s="21">
        <f t="shared" si="27"/>
        <v>302.10975875545455</v>
      </c>
      <c r="I6" s="21">
        <f t="shared" si="27"/>
        <v>290.25733460851774</v>
      </c>
      <c r="J6" s="21">
        <f t="shared" si="27"/>
        <v>289.25548919960698</v>
      </c>
      <c r="K6" s="21">
        <f t="shared" si="27"/>
        <v>268.55724297227891</v>
      </c>
      <c r="L6" s="21">
        <f t="shared" si="27"/>
        <v>274.52262193074176</v>
      </c>
      <c r="M6" s="21">
        <f t="shared" si="27"/>
        <v>302.11322538226256</v>
      </c>
      <c r="N6" s="21">
        <f t="shared" si="27"/>
        <v>272.5198848133723</v>
      </c>
      <c r="O6" s="21">
        <f t="shared" si="27"/>
        <v>242.55072359178786</v>
      </c>
      <c r="P6" s="21">
        <f t="shared" si="27"/>
        <v>239.11109036824681</v>
      </c>
      <c r="Q6" s="21">
        <f t="shared" si="27"/>
        <v>241.44884166276478</v>
      </c>
      <c r="R6" s="21">
        <f t="shared" si="27"/>
        <v>273.70205896739998</v>
      </c>
      <c r="S6" s="21">
        <f t="shared" si="27"/>
        <v>310.23327488267608</v>
      </c>
      <c r="T6" s="21">
        <f t="shared" si="27"/>
        <v>321.61729323454995</v>
      </c>
      <c r="U6" s="21">
        <f t="shared" si="27"/>
        <v>308.5967334374817</v>
      </c>
      <c r="V6" s="21">
        <f t="shared" si="27"/>
        <v>93.310508034617456</v>
      </c>
      <c r="W6" s="21">
        <f t="shared" ref="W6" si="28">SUM(W7:W9)</f>
        <v>155.83453437970306</v>
      </c>
      <c r="DA6" s="189" t="s">
        <v>279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DA7" s="171" t="s">
        <v>280</v>
      </c>
    </row>
    <row r="8" spans="1:105" ht="11.45" customHeight="1" x14ac:dyDescent="0.25">
      <c r="A8" s="83" t="s">
        <v>173</v>
      </c>
      <c r="B8" s="96">
        <v>232.4896758264025</v>
      </c>
      <c r="C8" s="96">
        <v>274.83665076107854</v>
      </c>
      <c r="D8" s="96">
        <v>252.53244049705808</v>
      </c>
      <c r="E8" s="96">
        <v>270.87743574951526</v>
      </c>
      <c r="F8" s="96">
        <v>253.48321439286269</v>
      </c>
      <c r="G8" s="96">
        <v>250.84820051824119</v>
      </c>
      <c r="H8" s="96">
        <v>257.5197263021584</v>
      </c>
      <c r="I8" s="96">
        <v>247.61515617411845</v>
      </c>
      <c r="J8" s="96">
        <v>246.28717188676876</v>
      </c>
      <c r="K8" s="96">
        <v>226.5912997093229</v>
      </c>
      <c r="L8" s="96">
        <v>230.18387642304782</v>
      </c>
      <c r="M8" s="96">
        <v>254.05932611313224</v>
      </c>
      <c r="N8" s="96">
        <v>226.52807638633197</v>
      </c>
      <c r="O8" s="96">
        <v>199.81698835193626</v>
      </c>
      <c r="P8" s="96">
        <v>196.54061595249905</v>
      </c>
      <c r="Q8" s="96">
        <v>198.83642668808707</v>
      </c>
      <c r="R8" s="96">
        <v>229.0542590779659</v>
      </c>
      <c r="S8" s="96">
        <v>262.69511902748582</v>
      </c>
      <c r="T8" s="96">
        <v>271.13813345644343</v>
      </c>
      <c r="U8" s="96">
        <v>258.36760167067104</v>
      </c>
      <c r="V8" s="96">
        <v>68.904140733621077</v>
      </c>
      <c r="W8" s="96">
        <v>120.25580563083516</v>
      </c>
      <c r="DA8" s="171" t="s">
        <v>281</v>
      </c>
    </row>
    <row r="9" spans="1:105" ht="11.45" customHeight="1" x14ac:dyDescent="0.25">
      <c r="A9" s="83" t="s">
        <v>174</v>
      </c>
      <c r="B9" s="96">
        <v>40.494716280438226</v>
      </c>
      <c r="C9" s="96">
        <v>47.870264961438231</v>
      </c>
      <c r="D9" s="96">
        <v>56.595482877030904</v>
      </c>
      <c r="E9" s="96">
        <v>60.707005764790928</v>
      </c>
      <c r="F9" s="96">
        <v>46.531279646901723</v>
      </c>
      <c r="G9" s="96">
        <v>43.655237963089867</v>
      </c>
      <c r="H9" s="96">
        <v>44.590032453296118</v>
      </c>
      <c r="I9" s="96">
        <v>42.642178434399263</v>
      </c>
      <c r="J9" s="96">
        <v>42.968317312838224</v>
      </c>
      <c r="K9" s="96">
        <v>41.965943262955996</v>
      </c>
      <c r="L9" s="96">
        <v>44.338745507693964</v>
      </c>
      <c r="M9" s="96">
        <v>48.053899269130319</v>
      </c>
      <c r="N9" s="96">
        <v>45.991808427040333</v>
      </c>
      <c r="O9" s="96">
        <v>42.733735239851597</v>
      </c>
      <c r="P9" s="96">
        <v>42.570474415747761</v>
      </c>
      <c r="Q9" s="96">
        <v>42.612414974677691</v>
      </c>
      <c r="R9" s="96">
        <v>44.64779988943409</v>
      </c>
      <c r="S9" s="96">
        <v>47.538155855190283</v>
      </c>
      <c r="T9" s="96">
        <v>50.479159778106506</v>
      </c>
      <c r="U9" s="96">
        <v>50.229131766810688</v>
      </c>
      <c r="V9" s="96">
        <v>24.406367300996379</v>
      </c>
      <c r="W9" s="96">
        <v>35.57872874886791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9.3027961992642112</v>
      </c>
      <c r="C10" s="22">
        <f t="shared" si="29"/>
        <v>8.0325511734419095</v>
      </c>
      <c r="D10" s="22">
        <f t="shared" ref="D10:V10" si="30">SUM(D11:D13)</f>
        <v>8.9718186723425433</v>
      </c>
      <c r="E10" s="22">
        <f t="shared" si="30"/>
        <v>8.634819018797824</v>
      </c>
      <c r="F10" s="22">
        <f t="shared" si="30"/>
        <v>10.712075177776336</v>
      </c>
      <c r="G10" s="22">
        <f t="shared" si="30"/>
        <v>12.009889119700834</v>
      </c>
      <c r="H10" s="22">
        <f t="shared" si="30"/>
        <v>13.883362482722637</v>
      </c>
      <c r="I10" s="22">
        <f t="shared" si="30"/>
        <v>12.042751376005132</v>
      </c>
      <c r="J10" s="22">
        <f t="shared" si="30"/>
        <v>11.991286380788496</v>
      </c>
      <c r="K10" s="22">
        <f t="shared" si="30"/>
        <v>10.570014121444148</v>
      </c>
      <c r="L10" s="22">
        <f t="shared" si="30"/>
        <v>9.8711871836176357</v>
      </c>
      <c r="M10" s="22">
        <f t="shared" si="30"/>
        <v>7.5600334311510311</v>
      </c>
      <c r="N10" s="22">
        <f t="shared" si="30"/>
        <v>5.5540618762236251</v>
      </c>
      <c r="O10" s="22">
        <f t="shared" si="30"/>
        <v>4.9772213781175472</v>
      </c>
      <c r="P10" s="22">
        <f t="shared" si="30"/>
        <v>4.203612985149606</v>
      </c>
      <c r="Q10" s="22">
        <f t="shared" si="30"/>
        <v>3.9724824988861354</v>
      </c>
      <c r="R10" s="22">
        <f t="shared" si="30"/>
        <v>3.3185773180685638</v>
      </c>
      <c r="S10" s="22">
        <f t="shared" si="30"/>
        <v>3.4489263211072303</v>
      </c>
      <c r="T10" s="22">
        <f t="shared" si="30"/>
        <v>3.0477110646761596</v>
      </c>
      <c r="U10" s="22">
        <f t="shared" si="30"/>
        <v>2.3510739571871642</v>
      </c>
      <c r="V10" s="22">
        <f t="shared" si="30"/>
        <v>1.8814094202406673</v>
      </c>
      <c r="W10" s="22">
        <f t="shared" ref="W10" si="31">SUM(W11:W13)</f>
        <v>1.8450013038738122</v>
      </c>
      <c r="DA10" s="193" t="s">
        <v>283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284</v>
      </c>
    </row>
    <row r="12" spans="1:105" ht="11.45" customHeight="1" x14ac:dyDescent="0.25">
      <c r="A12" s="92" t="s">
        <v>173</v>
      </c>
      <c r="B12" s="97">
        <v>8.8665620361405999</v>
      </c>
      <c r="C12" s="97">
        <v>7.6109896260939705</v>
      </c>
      <c r="D12" s="97">
        <v>8.5151475958443914</v>
      </c>
      <c r="E12" s="97">
        <v>8.1824656684567305</v>
      </c>
      <c r="F12" s="97">
        <v>10.20209904018715</v>
      </c>
      <c r="G12" s="97">
        <v>11.532423625152791</v>
      </c>
      <c r="H12" s="97">
        <v>13.444254650442284</v>
      </c>
      <c r="I12" s="97">
        <v>11.637753083296024</v>
      </c>
      <c r="J12" s="97">
        <v>11.514093921763148</v>
      </c>
      <c r="K12" s="97">
        <v>9.999027411450724</v>
      </c>
      <c r="L12" s="97">
        <v>9.1539784003838101</v>
      </c>
      <c r="M12" s="97">
        <v>7.233174268968213</v>
      </c>
      <c r="N12" s="97">
        <v>5.389059942531758</v>
      </c>
      <c r="O12" s="97">
        <v>4.8019942223543897</v>
      </c>
      <c r="P12" s="97">
        <v>4.0710800290016413</v>
      </c>
      <c r="Q12" s="97">
        <v>3.8235534891353971</v>
      </c>
      <c r="R12" s="97">
        <v>3.2246462185993185</v>
      </c>
      <c r="S12" s="97">
        <v>3.3475171039066147</v>
      </c>
      <c r="T12" s="97">
        <v>2.9386083194598704</v>
      </c>
      <c r="U12" s="97">
        <v>2.1127306023519736</v>
      </c>
      <c r="V12" s="97">
        <v>1.4007135789842791</v>
      </c>
      <c r="W12" s="97">
        <v>1.6201702944916063</v>
      </c>
      <c r="DA12" s="175" t="s">
        <v>285</v>
      </c>
    </row>
    <row r="13" spans="1:105" ht="11.45" customHeight="1" x14ac:dyDescent="0.25">
      <c r="A13" s="85" t="s">
        <v>174</v>
      </c>
      <c r="B13" s="98">
        <v>0.43623416312361074</v>
      </c>
      <c r="C13" s="98">
        <v>0.42156154734793921</v>
      </c>
      <c r="D13" s="98">
        <v>0.45667107649815231</v>
      </c>
      <c r="E13" s="98">
        <v>0.45235335034109331</v>
      </c>
      <c r="F13" s="98">
        <v>0.50997613758918581</v>
      </c>
      <c r="G13" s="98">
        <v>0.47746549454804271</v>
      </c>
      <c r="H13" s="98">
        <v>0.43910783228035311</v>
      </c>
      <c r="I13" s="98">
        <v>0.40499829270910709</v>
      </c>
      <c r="J13" s="98">
        <v>0.47719245902534807</v>
      </c>
      <c r="K13" s="98">
        <v>0.57098670999342394</v>
      </c>
      <c r="L13" s="98">
        <v>0.71720878323382542</v>
      </c>
      <c r="M13" s="98">
        <v>0.32685916218281807</v>
      </c>
      <c r="N13" s="98">
        <v>0.16500193369186705</v>
      </c>
      <c r="O13" s="98">
        <v>0.17522715576315714</v>
      </c>
      <c r="P13" s="98">
        <v>0.13253295614796495</v>
      </c>
      <c r="Q13" s="98">
        <v>0.14892900975073811</v>
      </c>
      <c r="R13" s="98">
        <v>9.3931099469245175E-2</v>
      </c>
      <c r="S13" s="98">
        <v>0.10140921720061544</v>
      </c>
      <c r="T13" s="98">
        <v>0.109102745216289</v>
      </c>
      <c r="U13" s="98">
        <v>0.23834335483519048</v>
      </c>
      <c r="V13" s="98">
        <v>0.48069584125638809</v>
      </c>
      <c r="W13" s="98">
        <v>0.22483100938220599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443.69158149431564</v>
      </c>
      <c r="C17" s="62">
        <f>IF(C3=0,0,C3/TrAvia_act!C13*100)</f>
        <v>447.07901104812589</v>
      </c>
      <c r="D17" s="62">
        <f>IF(D3=0,0,D3/TrAvia_act!D13*100)</f>
        <v>503.82134807117023</v>
      </c>
      <c r="E17" s="62">
        <f>IF(E3=0,0,E3/TrAvia_act!E13*100)</f>
        <v>504.7253686140981</v>
      </c>
      <c r="F17" s="62">
        <f>IF(F3=0,0,F3/TrAvia_act!F13*100)</f>
        <v>495.05607654757046</v>
      </c>
      <c r="G17" s="62">
        <f>IF(G3=0,0,G3/TrAvia_act!G13*100)</f>
        <v>457.92173640368185</v>
      </c>
      <c r="H17" s="62">
        <f>IF(H3=0,0,H3/TrAvia_act!H13*100)</f>
        <v>440.5573720421234</v>
      </c>
      <c r="I17" s="62">
        <f>IF(I3=0,0,I3/TrAvia_act!I13*100)</f>
        <v>412.61940314704464</v>
      </c>
      <c r="J17" s="62">
        <f>IF(J3=0,0,J3/TrAvia_act!J13*100)</f>
        <v>400.05498434888977</v>
      </c>
      <c r="K17" s="62">
        <f>IF(K3=0,0,K3/TrAvia_act!K13*100)</f>
        <v>399.83781068978897</v>
      </c>
      <c r="L17" s="62">
        <f>IF(L3=0,0,L3/TrAvia_act!L13*100)</f>
        <v>412.55841032374371</v>
      </c>
      <c r="M17" s="62">
        <f>IF(M3=0,0,M3/TrAvia_act!M13*100)</f>
        <v>447.94563626555555</v>
      </c>
      <c r="N17" s="62">
        <f>IF(N3=0,0,N3/TrAvia_act!N13*100)</f>
        <v>423.44455892500099</v>
      </c>
      <c r="O17" s="62">
        <f>IF(O3=0,0,O3/TrAvia_act!O13*100)</f>
        <v>411.61068972238138</v>
      </c>
      <c r="P17" s="62">
        <f>IF(P3=0,0,P3/TrAvia_act!P13*100)</f>
        <v>391.90677137176431</v>
      </c>
      <c r="Q17" s="62">
        <f>IF(Q3=0,0,Q3/TrAvia_act!Q13*100)</f>
        <v>398.07125124873835</v>
      </c>
      <c r="R17" s="62">
        <f>IF(R3=0,0,R3/TrAvia_act!R13*100)</f>
        <v>382.16102297749887</v>
      </c>
      <c r="S17" s="62">
        <f>IF(S3=0,0,S3/TrAvia_act!S13*100)</f>
        <v>392.4743969099647</v>
      </c>
      <c r="T17" s="62">
        <f>IF(T3=0,0,T3/TrAvia_act!T13*100)</f>
        <v>382.19992255520555</v>
      </c>
      <c r="U17" s="62">
        <f>IF(U3=0,0,U3/TrAvia_act!U13*100)</f>
        <v>378.7648073142156</v>
      </c>
      <c r="V17" s="62">
        <f>IF(V3=0,0,V3/TrAvia_act!V13*100)</f>
        <v>367.83242575243634</v>
      </c>
      <c r="W17" s="62">
        <f>IF(W3=0,0,W3/TrAvia_act!W13*100)</f>
        <v>352.48195237569121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443.25767511644312</v>
      </c>
      <c r="C18" s="14">
        <f>IF(C6=0,0,C6/TrAvia_act!C14*100)</f>
        <v>446.77142797415604</v>
      </c>
      <c r="D18" s="14">
        <f>IF(D6=0,0,D6/TrAvia_act!D14*100)</f>
        <v>503.18908052004457</v>
      </c>
      <c r="E18" s="14">
        <f>IF(E6=0,0,E6/TrAvia_act!E14*100)</f>
        <v>504.16123302910904</v>
      </c>
      <c r="F18" s="14">
        <f>IF(F6=0,0,F6/TrAvia_act!F14*100)</f>
        <v>494.27572003652136</v>
      </c>
      <c r="G18" s="14">
        <f>IF(G6=0,0,G6/TrAvia_act!G14*100)</f>
        <v>457.1686371592005</v>
      </c>
      <c r="H18" s="14">
        <f>IF(H6=0,0,H6/TrAvia_act!H14*100)</f>
        <v>438.94302461197958</v>
      </c>
      <c r="I18" s="14">
        <f>IF(I6=0,0,I6/TrAvia_act!I14*100)</f>
        <v>410.91200134358115</v>
      </c>
      <c r="J18" s="14">
        <f>IF(J6=0,0,J6/TrAvia_act!J14*100)</f>
        <v>398.24627478138297</v>
      </c>
      <c r="K18" s="14">
        <f>IF(K6=0,0,K6/TrAvia_act!K14*100)</f>
        <v>398.76068202796</v>
      </c>
      <c r="L18" s="14">
        <f>IF(L6=0,0,L6/TrAvia_act!L14*100)</f>
        <v>411.56744871223975</v>
      </c>
      <c r="M18" s="14">
        <f>IF(M6=0,0,M6/TrAvia_act!M14*100)</f>
        <v>447.07055276551239</v>
      </c>
      <c r="N18" s="14">
        <f>IF(N6=0,0,N6/TrAvia_act!N14*100)</f>
        <v>422.51445621003148</v>
      </c>
      <c r="O18" s="14">
        <f>IF(O6=0,0,O6/TrAvia_act!O14*100)</f>
        <v>411.01270581732069</v>
      </c>
      <c r="P18" s="14">
        <f>IF(P6=0,0,P6/TrAvia_act!P14*100)</f>
        <v>391.21683422382273</v>
      </c>
      <c r="Q18" s="14">
        <f>IF(Q6=0,0,Q6/TrAvia_act!Q14*100)</f>
        <v>397.50779780000687</v>
      </c>
      <c r="R18" s="14">
        <f>IF(R6=0,0,R6/TrAvia_act!R14*100)</f>
        <v>381.45707978243303</v>
      </c>
      <c r="S18" s="14">
        <f>IF(S6=0,0,S6/TrAvia_act!S14*100)</f>
        <v>391.88161495320918</v>
      </c>
      <c r="T18" s="14">
        <f>IF(T6=0,0,T6/TrAvia_act!T14*100)</f>
        <v>381.72876265421138</v>
      </c>
      <c r="U18" s="14">
        <f>IF(U6=0,0,U6/TrAvia_act!U14*100)</f>
        <v>378.59704671800375</v>
      </c>
      <c r="V18" s="14">
        <f>IF(V6=0,0,V6/TrAvia_act!V14*100)</f>
        <v>367.62092331763154</v>
      </c>
      <c r="W18" s="14">
        <f>IF(W6=0,0,W6/TrAvia_act!W14*100)</f>
        <v>352.34516801539041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0</v>
      </c>
      <c r="C19" s="87">
        <f>IF(C7=0,0,C7/TrAvia_act!C15*100)</f>
        <v>0</v>
      </c>
      <c r="D19" s="87">
        <f>IF(D7=0,0,D7/TrAvia_act!D15*100)</f>
        <v>0</v>
      </c>
      <c r="E19" s="87">
        <f>IF(E7=0,0,E7/TrAvia_act!E15*100)</f>
        <v>0</v>
      </c>
      <c r="F19" s="87">
        <f>IF(F7=0,0,F7/TrAvia_act!F15*100)</f>
        <v>0</v>
      </c>
      <c r="G19" s="87">
        <f>IF(G7=0,0,G7/TrAvia_act!G15*100)</f>
        <v>0</v>
      </c>
      <c r="H19" s="87">
        <f>IF(H7=0,0,H7/TrAvia_act!H15*100)</f>
        <v>0</v>
      </c>
      <c r="I19" s="87">
        <f>IF(I7=0,0,I7/TrAvia_act!I15*100)</f>
        <v>0</v>
      </c>
      <c r="J19" s="87">
        <f>IF(J7=0,0,J7/TrAvia_act!J15*100)</f>
        <v>0</v>
      </c>
      <c r="K19" s="87">
        <f>IF(K7=0,0,K7/TrAvia_act!K15*100)</f>
        <v>0</v>
      </c>
      <c r="L19" s="87">
        <f>IF(L7=0,0,L7/TrAvia_act!L15*100)</f>
        <v>0</v>
      </c>
      <c r="M19" s="87">
        <f>IF(M7=0,0,M7/TrAvia_act!M15*100)</f>
        <v>0</v>
      </c>
      <c r="N19" s="87">
        <f>IF(N7=0,0,N7/TrAvia_act!N15*100)</f>
        <v>0</v>
      </c>
      <c r="O19" s="87">
        <f>IF(O7=0,0,O7/TrAvia_act!O15*100)</f>
        <v>0</v>
      </c>
      <c r="P19" s="87">
        <f>IF(P7=0,0,P7/TrAvia_act!P15*100)</f>
        <v>0</v>
      </c>
      <c r="Q19" s="87">
        <f>IF(Q7=0,0,Q7/TrAvia_act!Q15*100)</f>
        <v>0</v>
      </c>
      <c r="R19" s="87">
        <f>IF(R7=0,0,R7/TrAvia_act!R15*100)</f>
        <v>0</v>
      </c>
      <c r="S19" s="87">
        <f>IF(S7=0,0,S7/TrAvia_act!S15*100)</f>
        <v>0</v>
      </c>
      <c r="T19" s="87">
        <f>IF(T7=0,0,T7/TrAvia_act!T15*100)</f>
        <v>0</v>
      </c>
      <c r="U19" s="87">
        <f>IF(U7=0,0,U7/TrAvia_act!U15*100)</f>
        <v>0</v>
      </c>
      <c r="V19" s="87">
        <f>IF(V7=0,0,V7/TrAvia_act!V15*100)</f>
        <v>0</v>
      </c>
      <c r="W19" s="87">
        <f>IF(W7=0,0,W7/TrAvia_act!W15*100)</f>
        <v>0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452.27925701905099</v>
      </c>
      <c r="C20" s="87">
        <f>IF(C8=0,0,C8/TrAvia_act!C16*100)</f>
        <v>455.86424739891555</v>
      </c>
      <c r="D20" s="87">
        <f>IF(D8=0,0,D8/TrAvia_act!D16*100)</f>
        <v>514.30642579289702</v>
      </c>
      <c r="E20" s="87">
        <f>IF(E8=0,0,E8/TrAvia_act!E16*100)</f>
        <v>515.30024680295367</v>
      </c>
      <c r="F20" s="87">
        <f>IF(F8=0,0,F8/TrAvia_act!F16*100)</f>
        <v>503.13958569534049</v>
      </c>
      <c r="G20" s="87">
        <f>IF(G8=0,0,G8/TrAvia_act!G16*100)</f>
        <v>462.90424655668875</v>
      </c>
      <c r="H20" s="87">
        <f>IF(H8=0,0,H8/TrAvia_act!H16*100)</f>
        <v>480.35801090324526</v>
      </c>
      <c r="I20" s="87">
        <f>IF(I8=0,0,I8/TrAvia_act!I16*100)</f>
        <v>462.90527823833656</v>
      </c>
      <c r="J20" s="87">
        <f>IF(J8=0,0,J8/TrAvia_act!J16*100)</f>
        <v>450.47300720367491</v>
      </c>
      <c r="K20" s="87">
        <f>IF(K8=0,0,K8/TrAvia_act!K16*100)</f>
        <v>422.51531190049849</v>
      </c>
      <c r="L20" s="87">
        <f>IF(L8=0,0,L8/TrAvia_act!L16*100)</f>
        <v>423.95008251191808</v>
      </c>
      <c r="M20" s="87">
        <f>IF(M8=0,0,M8/TrAvia_act!M16*100)</f>
        <v>478.18915742898815</v>
      </c>
      <c r="N20" s="87">
        <f>IF(N8=0,0,N8/TrAvia_act!N16*100)</f>
        <v>455.43425481920679</v>
      </c>
      <c r="O20" s="87">
        <f>IF(O8=0,0,O8/TrAvia_act!O16*100)</f>
        <v>460.9303976926422</v>
      </c>
      <c r="P20" s="87">
        <f>IF(P8=0,0,P8/TrAvia_act!P16*100)</f>
        <v>464.67501428830207</v>
      </c>
      <c r="Q20" s="87">
        <f>IF(Q8=0,0,Q8/TrAvia_act!Q16*100)</f>
        <v>456.98172186112981</v>
      </c>
      <c r="R20" s="87">
        <f>IF(R8=0,0,R8/TrAvia_act!R16*100)</f>
        <v>475.50216121064528</v>
      </c>
      <c r="S20" s="87">
        <f>IF(S8=0,0,S8/TrAvia_act!S16*100)</f>
        <v>463.01730341922234</v>
      </c>
      <c r="T20" s="87">
        <f>IF(T8=0,0,T8/TrAvia_act!T16*100)</f>
        <v>451.83914486437232</v>
      </c>
      <c r="U20" s="87">
        <f>IF(U8=0,0,U8/TrAvia_act!U16*100)</f>
        <v>445.85576978170013</v>
      </c>
      <c r="V20" s="87">
        <f>IF(V8=0,0,V8/TrAvia_act!V16*100)</f>
        <v>340.91168169519392</v>
      </c>
      <c r="W20" s="87">
        <f>IF(W8=0,0,W8/TrAvia_act!W16*100)</f>
        <v>406.42086953741341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397.71172818821395</v>
      </c>
      <c r="C21" s="87">
        <f>IF(C9=0,0,C9/TrAvia_act!C17*100)</f>
        <v>400.86533308769373</v>
      </c>
      <c r="D21" s="87">
        <f>IF(D9=0,0,D9/TrAvia_act!D17*100)</f>
        <v>458.92455206006059</v>
      </c>
      <c r="E21" s="87">
        <f>IF(E9=0,0,E9/TrAvia_act!E17*100)</f>
        <v>459.81064069645601</v>
      </c>
      <c r="F21" s="87">
        <f>IF(F9=0,0,F9/TrAvia_act!F17*100)</f>
        <v>450.99353263888577</v>
      </c>
      <c r="G21" s="87">
        <f>IF(G9=0,0,G9/TrAvia_act!G17*100)</f>
        <v>426.782882619296</v>
      </c>
      <c r="H21" s="87">
        <f>IF(H9=0,0,H9/TrAvia_act!H17*100)</f>
        <v>293.03376294294173</v>
      </c>
      <c r="I21" s="87">
        <f>IF(I9=0,0,I9/TrAvia_act!I17*100)</f>
        <v>248.70323258607127</v>
      </c>
      <c r="J21" s="87">
        <f>IF(J9=0,0,J9/TrAvia_act!J17*100)</f>
        <v>239.25384347262445</v>
      </c>
      <c r="K21" s="87">
        <f>IF(K9=0,0,K9/TrAvia_act!K17*100)</f>
        <v>305.90005497034741</v>
      </c>
      <c r="L21" s="87">
        <f>IF(L9=0,0,L9/TrAvia_act!L17*100)</f>
        <v>357.37768744121456</v>
      </c>
      <c r="M21" s="87">
        <f>IF(M9=0,0,M9/TrAvia_act!M17*100)</f>
        <v>332.62835943806925</v>
      </c>
      <c r="N21" s="87">
        <f>IF(N9=0,0,N9/TrAvia_act!N17*100)</f>
        <v>311.58449406450984</v>
      </c>
      <c r="O21" s="87">
        <f>IF(O9=0,0,O9/TrAvia_act!O17*100)</f>
        <v>272.84707964931221</v>
      </c>
      <c r="P21" s="87">
        <f>IF(P9=0,0,P9/TrAvia_act!P17*100)</f>
        <v>226.15627580704952</v>
      </c>
      <c r="Q21" s="87">
        <f>IF(Q9=0,0,Q9/TrAvia_act!Q17*100)</f>
        <v>247.31738472584195</v>
      </c>
      <c r="R21" s="87">
        <f>IF(R9=0,0,R9/TrAvia_act!R17*100)</f>
        <v>189.34037409214321</v>
      </c>
      <c r="S21" s="87">
        <f>IF(S9=0,0,S9/TrAvia_act!S17*100)</f>
        <v>211.94418870369552</v>
      </c>
      <c r="T21" s="87">
        <f>IF(T9=0,0,T9/TrAvia_act!T17*100)</f>
        <v>208.2030027805518</v>
      </c>
      <c r="U21" s="87">
        <f>IF(U9=0,0,U9/TrAvia_act!U17*100)</f>
        <v>213.17939858374305</v>
      </c>
      <c r="V21" s="87">
        <f>IF(V9=0,0,V9/TrAvia_act!V17*100)</f>
        <v>472.02790040006784</v>
      </c>
      <c r="W21" s="87">
        <f>IF(W9=0,0,W9/TrAvia_act!W17*100)</f>
        <v>243.04367214861125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456.81367648845566</v>
      </c>
      <c r="C22" s="15">
        <f>IF(C10=0,0,C10/TrAvia_act!C18*100)</f>
        <v>459.796382708208</v>
      </c>
      <c r="D22" s="15">
        <f>IF(D10=0,0,D10/TrAvia_act!D18*100)</f>
        <v>526.6208568388821</v>
      </c>
      <c r="E22" s="15">
        <f>IF(E10=0,0,E10/TrAvia_act!E18*100)</f>
        <v>527.38662934210947</v>
      </c>
      <c r="F22" s="15">
        <f>IF(F10=0,0,F10/TrAvia_act!F18*100)</f>
        <v>517.95882717056872</v>
      </c>
      <c r="G22" s="15">
        <f>IF(G10=0,0,G10/TrAvia_act!G18*100)</f>
        <v>477.19813473911427</v>
      </c>
      <c r="H22" s="15">
        <f>IF(H10=0,0,H10/TrAvia_act!H18*100)</f>
        <v>478.88291239923689</v>
      </c>
      <c r="I22" s="15">
        <f>IF(I10=0,0,I10/TrAvia_act!I18*100)</f>
        <v>458.54165625240108</v>
      </c>
      <c r="J22" s="15">
        <f>IF(J10=0,0,J10/TrAvia_act!J18*100)</f>
        <v>449.275439540001</v>
      </c>
      <c r="K22" s="15">
        <f>IF(K10=0,0,K10/TrAvia_act!K18*100)</f>
        <v>429.30090518854894</v>
      </c>
      <c r="L22" s="15">
        <f>IF(L10=0,0,L10/TrAvia_act!L18*100)</f>
        <v>442.1665008323223</v>
      </c>
      <c r="M22" s="15">
        <f>IF(M10=0,0,M10/TrAvia_act!M18*100)</f>
        <v>485.95736488157195</v>
      </c>
      <c r="N22" s="15">
        <f>IF(N10=0,0,N10/TrAvia_act!N18*100)</f>
        <v>474.72065470786367</v>
      </c>
      <c r="O22" s="15">
        <f>IF(O10=0,0,O10/TrAvia_act!O18*100)</f>
        <v>443.0211518486467</v>
      </c>
      <c r="P22" s="15">
        <f>IF(P10=0,0,P10/TrAvia_act!P18*100)</f>
        <v>435.6047777951992</v>
      </c>
      <c r="Q22" s="15">
        <f>IF(Q10=0,0,Q10/TrAvia_act!Q18*100)</f>
        <v>435.59993464603065</v>
      </c>
      <c r="R22" s="15">
        <f>IF(R10=0,0,R10/TrAvia_act!R18*100)</f>
        <v>450.76853168213324</v>
      </c>
      <c r="S22" s="15">
        <f>IF(S10=0,0,S10/TrAvia_act!S18*100)</f>
        <v>454.2866414198084</v>
      </c>
      <c r="T22" s="15">
        <f>IF(T10=0,0,T10/TrAvia_act!T18*100)</f>
        <v>439.43672858777865</v>
      </c>
      <c r="U22" s="15">
        <f>IF(U10=0,0,U10/TrAvia_act!U18*100)</f>
        <v>402.15485395369893</v>
      </c>
      <c r="V22" s="15">
        <f>IF(V10=0,0,V10/TrAvia_act!V18*100)</f>
        <v>378.63643102516858</v>
      </c>
      <c r="W22" s="15">
        <f>IF(W10=0,0,W10/TrAvia_act!W18*100)</f>
        <v>364.43148856631791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0</v>
      </c>
      <c r="C23" s="101">
        <f>IF(C11=0,0,C11/TrAvia_act!C19*100)</f>
        <v>0</v>
      </c>
      <c r="D23" s="101">
        <f>IF(D11=0,0,D11/TrAvia_act!D19*100)</f>
        <v>0</v>
      </c>
      <c r="E23" s="101">
        <f>IF(E11=0,0,E11/TrAvia_act!E19*100)</f>
        <v>0</v>
      </c>
      <c r="F23" s="101">
        <f>IF(F11=0,0,F11/TrAvia_act!F19*100)</f>
        <v>0</v>
      </c>
      <c r="G23" s="101">
        <f>IF(G11=0,0,G11/TrAvia_act!G19*100)</f>
        <v>0</v>
      </c>
      <c r="H23" s="101">
        <f>IF(H11=0,0,H11/TrAvia_act!H19*100)</f>
        <v>0</v>
      </c>
      <c r="I23" s="101">
        <f>IF(I11=0,0,I11/TrAvia_act!I19*100)</f>
        <v>0</v>
      </c>
      <c r="J23" s="101">
        <f>IF(J11=0,0,J11/TrAvia_act!J19*100)</f>
        <v>0</v>
      </c>
      <c r="K23" s="101">
        <f>IF(K11=0,0,K11/TrAvia_act!K19*100)</f>
        <v>0</v>
      </c>
      <c r="L23" s="101">
        <f>IF(L11=0,0,L11/TrAvia_act!L19*100)</f>
        <v>0</v>
      </c>
      <c r="M23" s="101">
        <f>IF(M11=0,0,M11/TrAvia_act!M19*100)</f>
        <v>0</v>
      </c>
      <c r="N23" s="101">
        <f>IF(N11=0,0,N11/TrAvia_act!N19*100)</f>
        <v>0</v>
      </c>
      <c r="O23" s="101">
        <f>IF(O11=0,0,O11/TrAvia_act!O19*100)</f>
        <v>0</v>
      </c>
      <c r="P23" s="101">
        <f>IF(P11=0,0,P11/TrAvia_act!P19*100)</f>
        <v>0</v>
      </c>
      <c r="Q23" s="101">
        <f>IF(Q11=0,0,Q11/TrAvia_act!Q19*100)</f>
        <v>0</v>
      </c>
      <c r="R23" s="101">
        <f>IF(R11=0,0,R11/TrAvia_act!R19*100)</f>
        <v>0</v>
      </c>
      <c r="S23" s="101">
        <f>IF(S11=0,0,S11/TrAvia_act!S19*100)</f>
        <v>0</v>
      </c>
      <c r="T23" s="101">
        <f>IF(T11=0,0,T11/TrAvia_act!T19*100)</f>
        <v>0</v>
      </c>
      <c r="U23" s="101">
        <f>IF(U11=0,0,U11/TrAvia_act!U19*100)</f>
        <v>0</v>
      </c>
      <c r="V23" s="101">
        <f>IF(V11=0,0,V11/TrAvia_act!V19*100)</f>
        <v>0</v>
      </c>
      <c r="W23" s="101">
        <f>IF(W11=0,0,W11/TrAvia_act!W19*100)</f>
        <v>0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462.54790552885981</v>
      </c>
      <c r="C24" s="101">
        <f>IF(C12=0,0,C12/TrAvia_act!C20*100)</f>
        <v>466.25877218605865</v>
      </c>
      <c r="D24" s="101">
        <f>IF(D12=0,0,D12/TrAvia_act!D20*100)</f>
        <v>533.80017696175184</v>
      </c>
      <c r="E24" s="101">
        <f>IF(E12=0,0,E12/TrAvia_act!E20*100)</f>
        <v>534.78324338687958</v>
      </c>
      <c r="F24" s="101">
        <f>IF(F12=0,0,F12/TrAvia_act!F20*100)</f>
        <v>524.5624757383024</v>
      </c>
      <c r="G24" s="101">
        <f>IF(G12=0,0,G12/TrAvia_act!G20*100)</f>
        <v>481.60753223580332</v>
      </c>
      <c r="H24" s="101">
        <f>IF(H12=0,0,H12/TrAvia_act!H20*100)</f>
        <v>491.40386935329252</v>
      </c>
      <c r="I24" s="101">
        <f>IF(I12=0,0,I12/TrAvia_act!I20*100)</f>
        <v>474.58893522063397</v>
      </c>
      <c r="J24" s="101">
        <f>IF(J12=0,0,J12/TrAvia_act!J20*100)</f>
        <v>467.65571545595418</v>
      </c>
      <c r="K24" s="101">
        <f>IF(K12=0,0,K12/TrAvia_act!K20*100)</f>
        <v>439.46203441159673</v>
      </c>
      <c r="L24" s="101">
        <f>IF(L12=0,0,L12/TrAvia_act!L20*100)</f>
        <v>448.80253153540241</v>
      </c>
      <c r="M24" s="101">
        <f>IF(M12=0,0,M12/TrAvia_act!M20*100)</f>
        <v>502.07723408268015</v>
      </c>
      <c r="N24" s="101">
        <f>IF(N12=0,0,N12/TrAvia_act!N20*100)</f>
        <v>479.61335091529833</v>
      </c>
      <c r="O24" s="101">
        <f>IF(O12=0,0,O12/TrAvia_act!O20*100)</f>
        <v>452.65204058697901</v>
      </c>
      <c r="P24" s="101">
        <f>IF(P12=0,0,P12/TrAvia_act!P20*100)</f>
        <v>450.63898524313106</v>
      </c>
      <c r="Q24" s="101">
        <f>IF(Q12=0,0,Q12/TrAvia_act!Q20*100)</f>
        <v>447.71228463802186</v>
      </c>
      <c r="R24" s="101">
        <f>IF(R12=0,0,R12/TrAvia_act!R20*100)</f>
        <v>468.19290371120428</v>
      </c>
      <c r="S24" s="101">
        <f>IF(S12=0,0,S12/TrAvia_act!S20*100)</f>
        <v>461.84610675197666</v>
      </c>
      <c r="T24" s="101">
        <f>IF(T12=0,0,T12/TrAvia_act!T20*100)</f>
        <v>453.52506212287705</v>
      </c>
      <c r="U24" s="101">
        <f>IF(U12=0,0,U12/TrAvia_act!U20*100)</f>
        <v>433.87959840326334</v>
      </c>
      <c r="V24" s="101">
        <f>IF(V12=0,0,V12/TrAvia_act!V20*100)</f>
        <v>340.56572157989035</v>
      </c>
      <c r="W24" s="101">
        <f>IF(W12=0,0,W12/TrAvia_act!W20*100)</f>
        <v>386.09596530435272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364.87504045286761</v>
      </c>
      <c r="C25" s="88">
        <f>IF(C13=0,0,C13/TrAvia_act!C21*100)</f>
        <v>367.76827098572602</v>
      </c>
      <c r="D25" s="88">
        <f>IF(D13=0,0,D13/TrAvia_act!D21*100)</f>
        <v>421.03388617819257</v>
      </c>
      <c r="E25" s="88">
        <f>IF(E13=0,0,E13/TrAvia_act!E21*100)</f>
        <v>421.84681575540787</v>
      </c>
      <c r="F25" s="88">
        <f>IF(F13=0,0,F13/TrAvia_act!F21*100)</f>
        <v>413.7576837757224</v>
      </c>
      <c r="G25" s="88">
        <f>IF(G13=0,0,G13/TrAvia_act!G21*100)</f>
        <v>390.78130088264163</v>
      </c>
      <c r="H25" s="88">
        <f>IF(H13=0,0,H13/TrAvia_act!H21*100)</f>
        <v>269.01637061945809</v>
      </c>
      <c r="I25" s="88">
        <f>IF(I13=0,0,I13/TrAvia_act!I21*100)</f>
        <v>232.57014142132886</v>
      </c>
      <c r="J25" s="88">
        <f>IF(J13=0,0,J13/TrAvia_act!J21*100)</f>
        <v>230.59450278040865</v>
      </c>
      <c r="K25" s="88">
        <f>IF(K13=0,0,K13/TrAvia_act!K21*100)</f>
        <v>305.5730629537469</v>
      </c>
      <c r="L25" s="88">
        <f>IF(L13=0,0,L13/TrAvia_act!L21*100)</f>
        <v>371.96866426170089</v>
      </c>
      <c r="M25" s="88">
        <f>IF(M13=0,0,M13/TrAvia_act!M21*100)</f>
        <v>284.1038357288711</v>
      </c>
      <c r="N25" s="88">
        <f>IF(N13=0,0,N13/TrAvia_act!N21*100)</f>
        <v>356.08102168618046</v>
      </c>
      <c r="O25" s="88">
        <f>IF(O13=0,0,O13/TrAvia_act!O21*100)</f>
        <v>279.84904197905581</v>
      </c>
      <c r="P25" s="88">
        <f>IF(P13=0,0,P13/TrAvia_act!P21*100)</f>
        <v>215.13511545403691</v>
      </c>
      <c r="Q25" s="88">
        <f>IF(Q13=0,0,Q13/TrAvia_act!Q21*100)</f>
        <v>257.05602117475388</v>
      </c>
      <c r="R25" s="88">
        <f>IF(R13=0,0,R13/TrAvia_act!R21*100)</f>
        <v>197.91125157097844</v>
      </c>
      <c r="S25" s="88">
        <f>IF(S13=0,0,S13/TrAvia_act!S21*100)</f>
        <v>294.93287054889134</v>
      </c>
      <c r="T25" s="88">
        <f>IF(T13=0,0,T13/TrAvia_act!T21*100)</f>
        <v>239.25476254316553</v>
      </c>
      <c r="U25" s="88">
        <f>IF(U13=0,0,U13/TrAvia_act!U21*100)</f>
        <v>244.00502023084587</v>
      </c>
      <c r="V25" s="88">
        <f>IF(V13=0,0,V13/TrAvia_act!V21*100)</f>
        <v>561.55719498958069</v>
      </c>
      <c r="W25" s="88">
        <f>IF(W13=0,0,W13/TrAvia_act!W21*100)</f>
        <v>259.5019055644745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30.300385869403023</v>
      </c>
      <c r="C28" s="14">
        <f>IF(C6=0,0,C6/TrAvia_act!C4*1000)</f>
        <v>31.073825670625482</v>
      </c>
      <c r="D28" s="14">
        <f>IF(D6=0,0,D6/TrAvia_act!D4*1000)</f>
        <v>37.310349795953648</v>
      </c>
      <c r="E28" s="14">
        <f>IF(E6=0,0,E6/TrAvia_act!E4*1000)</f>
        <v>38.148062835227293</v>
      </c>
      <c r="F28" s="14">
        <f>IF(F6=0,0,F6/TrAvia_act!F4*1000)</f>
        <v>34.507504340684505</v>
      </c>
      <c r="G28" s="14">
        <f>IF(G6=0,0,G6/TrAvia_act!G4*1000)</f>
        <v>32.203335894957462</v>
      </c>
      <c r="H28" s="14">
        <f>IF(H6=0,0,H6/TrAvia_act!H4*1000)</f>
        <v>32.985561928914102</v>
      </c>
      <c r="I28" s="14">
        <f>IF(I6=0,0,I6/TrAvia_act!I4*1000)</f>
        <v>31.813732035226124</v>
      </c>
      <c r="J28" s="14">
        <f>IF(J6=0,0,J6/TrAvia_act!J4*1000)</f>
        <v>30.556972595584622</v>
      </c>
      <c r="K28" s="14">
        <f>IF(K6=0,0,K6/TrAvia_act!K4*1000)</f>
        <v>30.577785216778061</v>
      </c>
      <c r="L28" s="14">
        <f>IF(L6=0,0,L6/TrAvia_act!L4*1000)</f>
        <v>30.438097733294544</v>
      </c>
      <c r="M28" s="14">
        <f>IF(M6=0,0,M6/TrAvia_act!M4*1000)</f>
        <v>32.325582159937582</v>
      </c>
      <c r="N28" s="14">
        <f>IF(N6=0,0,N6/TrAvia_act!N4*1000)</f>
        <v>29.037296288346901</v>
      </c>
      <c r="O28" s="14">
        <f>IF(O6=0,0,O6/TrAvia_act!O4*1000)</f>
        <v>25.796243172946802</v>
      </c>
      <c r="P28" s="14">
        <f>IF(P6=0,0,P6/TrAvia_act!P4*1000)</f>
        <v>25.154053933974367</v>
      </c>
      <c r="Q28" s="14">
        <f>IF(Q6=0,0,Q6/TrAvia_act!Q4*1000)</f>
        <v>25.512639471727365</v>
      </c>
      <c r="R28" s="14">
        <f>IF(R6=0,0,R6/TrAvia_act!R4*1000)</f>
        <v>24.065981434196772</v>
      </c>
      <c r="S28" s="14">
        <f>IF(S6=0,0,S6/TrAvia_act!S4*1000)</f>
        <v>24.540473136988204</v>
      </c>
      <c r="T28" s="14">
        <f>IF(T6=0,0,T6/TrAvia_act!T4*1000)</f>
        <v>23.959800055272208</v>
      </c>
      <c r="U28" s="14">
        <f>IF(U6=0,0,U6/TrAvia_act!U4*1000)</f>
        <v>22.398494825641361</v>
      </c>
      <c r="V28" s="14">
        <f>IF(V6=0,0,V6/TrAvia_act!V4*1000)</f>
        <v>34.934587632523922</v>
      </c>
      <c r="W28" s="14">
        <f>IF(W6=0,0,W6/TrAvia_act!W4*1000)</f>
        <v>26.770214174555807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0</v>
      </c>
      <c r="C29" s="87">
        <f>IF(C7=0,0,C7/TrAvia_act!C5*1000)</f>
        <v>0</v>
      </c>
      <c r="D29" s="87">
        <f>IF(D7=0,0,D7/TrAvia_act!D5*1000)</f>
        <v>0</v>
      </c>
      <c r="E29" s="87">
        <f>IF(E7=0,0,E7/TrAvia_act!E5*1000)</f>
        <v>0</v>
      </c>
      <c r="F29" s="87">
        <f>IF(F7=0,0,F7/TrAvia_act!F5*1000)</f>
        <v>0</v>
      </c>
      <c r="G29" s="87">
        <f>IF(G7=0,0,G7/TrAvia_act!G5*1000)</f>
        <v>0</v>
      </c>
      <c r="H29" s="87">
        <f>IF(H7=0,0,H7/TrAvia_act!H5*1000)</f>
        <v>0</v>
      </c>
      <c r="I29" s="87">
        <f>IF(I7=0,0,I7/TrAvia_act!I5*1000)</f>
        <v>0</v>
      </c>
      <c r="J29" s="87">
        <f>IF(J7=0,0,J7/TrAvia_act!J5*1000)</f>
        <v>0</v>
      </c>
      <c r="K29" s="87">
        <f>IF(K7=0,0,K7/TrAvia_act!K5*1000)</f>
        <v>0</v>
      </c>
      <c r="L29" s="87">
        <f>IF(L7=0,0,L7/TrAvia_act!L5*1000)</f>
        <v>0</v>
      </c>
      <c r="M29" s="87">
        <f>IF(M7=0,0,M7/TrAvia_act!M5*1000)</f>
        <v>0</v>
      </c>
      <c r="N29" s="87">
        <f>IF(N7=0,0,N7/TrAvia_act!N5*1000)</f>
        <v>0</v>
      </c>
      <c r="O29" s="87">
        <f>IF(O7=0,0,O7/TrAvia_act!O5*1000)</f>
        <v>0</v>
      </c>
      <c r="P29" s="87">
        <f>IF(P7=0,0,P7/TrAvia_act!P5*1000)</f>
        <v>0</v>
      </c>
      <c r="Q29" s="87">
        <f>IF(Q7=0,0,Q7/TrAvia_act!Q5*1000)</f>
        <v>0</v>
      </c>
      <c r="R29" s="87">
        <f>IF(R7=0,0,R7/TrAvia_act!R5*1000)</f>
        <v>0</v>
      </c>
      <c r="S29" s="87">
        <f>IF(S7=0,0,S7/TrAvia_act!S5*1000)</f>
        <v>0</v>
      </c>
      <c r="T29" s="87">
        <f>IF(T7=0,0,T7/TrAvia_act!T5*1000)</f>
        <v>0</v>
      </c>
      <c r="U29" s="87">
        <f>IF(U7=0,0,U7/TrAvia_act!U5*1000)</f>
        <v>0</v>
      </c>
      <c r="V29" s="87">
        <f>IF(V7=0,0,V7/TrAvia_act!V5*1000)</f>
        <v>0</v>
      </c>
      <c r="W29" s="87">
        <f>IF(W7=0,0,W7/TrAvia_act!W5*1000)</f>
        <v>0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28.092672745725615</v>
      </c>
      <c r="C30" s="87">
        <f>IF(C8=0,0,C8/TrAvia_act!C6*1000)</f>
        <v>28.904046004982252</v>
      </c>
      <c r="D30" s="87">
        <f>IF(D8=0,0,D8/TrAvia_act!D6*1000)</f>
        <v>34.297905537586978</v>
      </c>
      <c r="E30" s="87">
        <f>IF(E8=0,0,E8/TrAvia_act!E6*1000)</f>
        <v>35.281052775607414</v>
      </c>
      <c r="F30" s="87">
        <f>IF(F8=0,0,F8/TrAvia_act!F6*1000)</f>
        <v>32.555805820497383</v>
      </c>
      <c r="G30" s="87">
        <f>IF(G8=0,0,G8/TrAvia_act!G6*1000)</f>
        <v>30.291871996245856</v>
      </c>
      <c r="H30" s="87">
        <f>IF(H8=0,0,H8/TrAvia_act!H6*1000)</f>
        <v>31.536978303716019</v>
      </c>
      <c r="I30" s="87">
        <f>IF(I8=0,0,I8/TrAvia_act!I6*1000)</f>
        <v>30.734255079966466</v>
      </c>
      <c r="J30" s="87">
        <f>IF(J8=0,0,J8/TrAvia_act!J6*1000)</f>
        <v>29.755136444156914</v>
      </c>
      <c r="K30" s="87">
        <f>IF(K8=0,0,K8/TrAvia_act!K6*1000)</f>
        <v>29.441044621584126</v>
      </c>
      <c r="L30" s="87">
        <f>IF(L8=0,0,L8/TrAvia_act!L6*1000)</f>
        <v>29.925965552854844</v>
      </c>
      <c r="M30" s="87">
        <f>IF(M8=0,0,M8/TrAvia_act!M6*1000)</f>
        <v>32.714810088505835</v>
      </c>
      <c r="N30" s="87">
        <f>IF(N8=0,0,N8/TrAvia_act!N6*1000)</f>
        <v>31.047602346522549</v>
      </c>
      <c r="O30" s="87">
        <f>IF(O8=0,0,O8/TrAvia_act!O6*1000)</f>
        <v>30.198012446403233</v>
      </c>
      <c r="P30" s="87">
        <f>IF(P8=0,0,P8/TrAvia_act!P6*1000)</f>
        <v>30.044181860810074</v>
      </c>
      <c r="Q30" s="87">
        <f>IF(Q8=0,0,Q8/TrAvia_act!Q6*1000)</f>
        <v>29.755322513491599</v>
      </c>
      <c r="R30" s="87">
        <f>IF(R8=0,0,R8/TrAvia_act!R6*1000)</f>
        <v>30.306893117991372</v>
      </c>
      <c r="S30" s="87">
        <f>IF(S8=0,0,S8/TrAvia_act!S6*1000)</f>
        <v>30.079859988548783</v>
      </c>
      <c r="T30" s="87">
        <f>IF(T8=0,0,T8/TrAvia_act!T6*1000)</f>
        <v>28.872468056598631</v>
      </c>
      <c r="U30" s="87">
        <f>IF(U8=0,0,U8/TrAvia_act!U6*1000)</f>
        <v>26.665083359195737</v>
      </c>
      <c r="V30" s="87">
        <f>IF(V8=0,0,V8/TrAvia_act!V6*1000)</f>
        <v>30.399494926583483</v>
      </c>
      <c r="W30" s="87">
        <f>IF(W8=0,0,W8/TrAvia_act!W6*1000)</f>
        <v>33.402197366400735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55.210589205369736</v>
      </c>
      <c r="C31" s="87">
        <f>IF(C9=0,0,C9/TrAvia_act!C7*1000)</f>
        <v>54.610201492656962</v>
      </c>
      <c r="D31" s="87">
        <f>IF(D9=0,0,D9/TrAvia_act!D7*1000)</f>
        <v>61.356668273655288</v>
      </c>
      <c r="E31" s="87">
        <f>IF(E9=0,0,E9/TrAvia_act!E7*1000)</f>
        <v>59.849008348734564</v>
      </c>
      <c r="F31" s="87">
        <f>IF(F9=0,0,F9/TrAvia_act!F7*1000)</f>
        <v>51.242110826527686</v>
      </c>
      <c r="G31" s="87">
        <f>IF(G9=0,0,G9/TrAvia_act!G7*1000)</f>
        <v>50.522089481851296</v>
      </c>
      <c r="H31" s="87">
        <f>IF(H9=0,0,H9/TrAvia_act!H7*1000)</f>
        <v>44.895108664791536</v>
      </c>
      <c r="I31" s="87">
        <f>IF(I9=0,0,I9/TrAvia_act!I7*1000)</f>
        <v>39.964603231623741</v>
      </c>
      <c r="J31" s="87">
        <f>IF(J9=0,0,J9/TrAvia_act!J7*1000)</f>
        <v>36.139019742510179</v>
      </c>
      <c r="K31" s="87">
        <f>IF(K9=0,0,K9/TrAvia_act!K7*1000)</f>
        <v>38.631493481438667</v>
      </c>
      <c r="L31" s="87">
        <f>IF(L9=0,0,L9/TrAvia_act!L7*1000)</f>
        <v>33.406002054692351</v>
      </c>
      <c r="M31" s="87">
        <f>IF(M9=0,0,M9/TrAvia_act!M7*1000)</f>
        <v>30.412563823032059</v>
      </c>
      <c r="N31" s="87">
        <f>IF(N9=0,0,N9/TrAvia_act!N7*1000)</f>
        <v>22.016039457473017</v>
      </c>
      <c r="O31" s="87">
        <f>IF(O9=0,0,O9/TrAvia_act!O7*1000)</f>
        <v>15.340570486929595</v>
      </c>
      <c r="P31" s="87">
        <f>IF(P9=0,0,P9/TrAvia_act!P7*1000)</f>
        <v>14.361794606189326</v>
      </c>
      <c r="Q31" s="87">
        <f>IF(Q9=0,0,Q9/TrAvia_act!Q7*1000)</f>
        <v>15.319889640028599</v>
      </c>
      <c r="R31" s="87">
        <f>IF(R9=0,0,R9/TrAvia_act!R7*1000)</f>
        <v>11.702738144773962</v>
      </c>
      <c r="S31" s="87">
        <f>IF(S9=0,0,S9/TrAvia_act!S7*1000)</f>
        <v>12.162939640999701</v>
      </c>
      <c r="T31" s="87">
        <f>IF(T9=0,0,T9/TrAvia_act!T7*1000)</f>
        <v>12.518652666064215</v>
      </c>
      <c r="U31" s="87">
        <f>IF(U9=0,0,U9/TrAvia_act!U7*1000)</f>
        <v>12.286352545609864</v>
      </c>
      <c r="V31" s="87">
        <f>IF(V9=0,0,V9/TrAvia_act!V7*1000)</f>
        <v>60.354255993694053</v>
      </c>
      <c r="W31" s="87">
        <f>IF(W9=0,0,W9/TrAvia_act!W7*1000)</f>
        <v>16.019564497574489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221.77772040406271</v>
      </c>
      <c r="C32" s="15">
        <f>IF(C10=0,0,C10/TrAvia_act!C8*1000)</f>
        <v>197.15980198166966</v>
      </c>
      <c r="D32" s="15">
        <f>IF(D10=0,0,D10/TrAvia_act!D8*1000)</f>
        <v>239.68136337896385</v>
      </c>
      <c r="E32" s="15">
        <f>IF(E10=0,0,E10/TrAvia_act!E8*1000)</f>
        <v>245.54010692522874</v>
      </c>
      <c r="F32" s="15">
        <f>IF(F10=0,0,F10/TrAvia_act!F8*1000)</f>
        <v>269.56726192761653</v>
      </c>
      <c r="G32" s="15">
        <f>IF(G10=0,0,G10/TrAvia_act!G8*1000)</f>
        <v>265.58041612397159</v>
      </c>
      <c r="H32" s="15">
        <f>IF(H10=0,0,H10/TrAvia_act!H8*1000)</f>
        <v>279.11091037239339</v>
      </c>
      <c r="I32" s="15">
        <f>IF(I10=0,0,I10/TrAvia_act!I8*1000)</f>
        <v>255.69129886073222</v>
      </c>
      <c r="J32" s="15">
        <f>IF(J10=0,0,J10/TrAvia_act!J8*1000)</f>
        <v>246.53991620092171</v>
      </c>
      <c r="K32" s="15">
        <f>IF(K10=0,0,K10/TrAvia_act!K8*1000)</f>
        <v>228.22404948007022</v>
      </c>
      <c r="L32" s="15">
        <f>IF(L10=0,0,L10/TrAvia_act!L8*1000)</f>
        <v>211.86258451859683</v>
      </c>
      <c r="M32" s="15">
        <f>IF(M10=0,0,M10/TrAvia_act!M8*1000)</f>
        <v>232.52129894706991</v>
      </c>
      <c r="N32" s="15">
        <f>IF(N10=0,0,N10/TrAvia_act!N8*1000)</f>
        <v>226.43685395595722</v>
      </c>
      <c r="O32" s="15">
        <f>IF(O10=0,0,O10/TrAvia_act!O8*1000)</f>
        <v>202.41600831220637</v>
      </c>
      <c r="P32" s="15">
        <f>IF(P10=0,0,P10/TrAvia_act!P8*1000)</f>
        <v>175.96688283157934</v>
      </c>
      <c r="Q32" s="15">
        <f>IF(Q10=0,0,Q10/TrAvia_act!Q8*1000)</f>
        <v>181.91893125189202</v>
      </c>
      <c r="R32" s="15">
        <f>IF(R10=0,0,R10/TrAvia_act!R8*1000)</f>
        <v>164.0446352293533</v>
      </c>
      <c r="S32" s="15">
        <f>IF(S10=0,0,S10/TrAvia_act!S8*1000)</f>
        <v>188.79406139565751</v>
      </c>
      <c r="T32" s="15">
        <f>IF(T10=0,0,T10/TrAvia_act!T8*1000)</f>
        <v>167.5470727649944</v>
      </c>
      <c r="U32" s="15">
        <f>IF(U10=0,0,U10/TrAvia_act!U8*1000)</f>
        <v>106.46322314981389</v>
      </c>
      <c r="V32" s="15">
        <f>IF(V10=0,0,V10/TrAvia_act!V8*1000)</f>
        <v>140.47518168431404</v>
      </c>
      <c r="W32" s="15">
        <f>IF(W10=0,0,W10/TrAvia_act!W8*1000)</f>
        <v>136.16562169508393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0</v>
      </c>
      <c r="C33" s="101">
        <f>IF(C11=0,0,C11/TrAvia_act!C9*1000)</f>
        <v>0</v>
      </c>
      <c r="D33" s="101">
        <f>IF(D11=0,0,D11/TrAvia_act!D9*1000)</f>
        <v>0</v>
      </c>
      <c r="E33" s="101">
        <f>IF(E11=0,0,E11/TrAvia_act!E9*1000)</f>
        <v>0</v>
      </c>
      <c r="F33" s="101">
        <f>IF(F11=0,0,F11/TrAvia_act!F9*1000)</f>
        <v>0</v>
      </c>
      <c r="G33" s="101">
        <f>IF(G11=0,0,G11/TrAvia_act!G9*1000)</f>
        <v>0</v>
      </c>
      <c r="H33" s="101">
        <f>IF(H11=0,0,H11/TrAvia_act!H9*1000)</f>
        <v>0</v>
      </c>
      <c r="I33" s="101">
        <f>IF(I11=0,0,I11/TrAvia_act!I9*1000)</f>
        <v>0</v>
      </c>
      <c r="J33" s="101">
        <f>IF(J11=0,0,J11/TrAvia_act!J9*1000)</f>
        <v>0</v>
      </c>
      <c r="K33" s="101">
        <f>IF(K11=0,0,K11/TrAvia_act!K9*1000)</f>
        <v>0</v>
      </c>
      <c r="L33" s="101">
        <f>IF(L11=0,0,L11/TrAvia_act!L9*1000)</f>
        <v>0</v>
      </c>
      <c r="M33" s="101">
        <f>IF(M11=0,0,M11/TrAvia_act!M9*1000)</f>
        <v>0</v>
      </c>
      <c r="N33" s="101">
        <f>IF(N11=0,0,N11/TrAvia_act!N9*1000)</f>
        <v>0</v>
      </c>
      <c r="O33" s="101">
        <f>IF(O11=0,0,O11/TrAvia_act!O9*1000)</f>
        <v>0</v>
      </c>
      <c r="P33" s="101">
        <f>IF(P11=0,0,P11/TrAvia_act!P9*1000)</f>
        <v>0</v>
      </c>
      <c r="Q33" s="101">
        <f>IF(Q11=0,0,Q11/TrAvia_act!Q9*1000)</f>
        <v>0</v>
      </c>
      <c r="R33" s="101">
        <f>IF(R11=0,0,R11/TrAvia_act!R9*1000)</f>
        <v>0</v>
      </c>
      <c r="S33" s="101">
        <f>IF(S11=0,0,S11/TrAvia_act!S9*1000)</f>
        <v>0</v>
      </c>
      <c r="T33" s="101">
        <f>IF(T11=0,0,T11/TrAvia_act!T9*1000)</f>
        <v>0</v>
      </c>
      <c r="U33" s="101">
        <f>IF(U11=0,0,U11/TrAvia_act!U9*1000)</f>
        <v>0</v>
      </c>
      <c r="V33" s="101">
        <f>IF(V11=0,0,V11/TrAvia_act!V9*1000)</f>
        <v>0</v>
      </c>
      <c r="W33" s="101">
        <f>IF(W11=0,0,W11/TrAvia_act!W9*1000)</f>
        <v>0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269.19491634507636</v>
      </c>
      <c r="C34" s="101">
        <f>IF(C12=0,0,C12/TrAvia_act!C10*1000)</f>
        <v>240.14888367630573</v>
      </c>
      <c r="D34" s="101">
        <f>IF(D12=0,0,D12/TrAvia_act!D10*1000)</f>
        <v>290.16292999926736</v>
      </c>
      <c r="E34" s="101">
        <f>IF(E12=0,0,E12/TrAvia_act!E10*1000)</f>
        <v>293.26122739990785</v>
      </c>
      <c r="F34" s="101">
        <f>IF(F12=0,0,F12/TrAvia_act!F10*1000)</f>
        <v>322.52167009377138</v>
      </c>
      <c r="G34" s="101">
        <f>IF(G12=0,0,G12/TrAvia_act!G10*1000)</f>
        <v>306.18711721847478</v>
      </c>
      <c r="H34" s="101">
        <f>IF(H12=0,0,H12/TrAvia_act!H10*1000)</f>
        <v>336.25349218855968</v>
      </c>
      <c r="I34" s="101">
        <f>IF(I12=0,0,I12/TrAvia_act!I10*1000)</f>
        <v>315.72115225385789</v>
      </c>
      <c r="J34" s="101">
        <f>IF(J12=0,0,J12/TrAvia_act!J10*1000)</f>
        <v>313.58610838320521</v>
      </c>
      <c r="K34" s="101">
        <f>IF(K12=0,0,K12/TrAvia_act!K10*1000)</f>
        <v>292.58408319996829</v>
      </c>
      <c r="L34" s="101">
        <f>IF(L12=0,0,L12/TrAvia_act!L10*1000)</f>
        <v>270.36778583964133</v>
      </c>
      <c r="M34" s="101">
        <f>IF(M12=0,0,M12/TrAvia_act!M10*1000)</f>
        <v>294.57584049808838</v>
      </c>
      <c r="N34" s="101">
        <f>IF(N12=0,0,N12/TrAvia_act!N10*1000)</f>
        <v>259.0969385521301</v>
      </c>
      <c r="O34" s="101">
        <f>IF(O12=0,0,O12/TrAvia_act!O10*1000)</f>
        <v>250.51054247152922</v>
      </c>
      <c r="P34" s="101">
        <f>IF(P12=0,0,P12/TrAvia_act!P10*1000)</f>
        <v>224.47967562095823</v>
      </c>
      <c r="Q34" s="101">
        <f>IF(Q12=0,0,Q12/TrAvia_act!Q10*1000)</f>
        <v>235.59263915508049</v>
      </c>
      <c r="R34" s="101">
        <f>IF(R12=0,0,R12/TrAvia_act!R10*1000)</f>
        <v>213.90992138957409</v>
      </c>
      <c r="S34" s="101">
        <f>IF(S12=0,0,S12/TrAvia_act!S10*1000)</f>
        <v>230.00786063219823</v>
      </c>
      <c r="T34" s="101">
        <f>IF(T12=0,0,T12/TrAvia_act!T10*1000)</f>
        <v>219.10545162884387</v>
      </c>
      <c r="U34" s="101">
        <f>IF(U12=0,0,U12/TrAvia_act!U10*1000)</f>
        <v>180.61507344382883</v>
      </c>
      <c r="V34" s="101">
        <f>IF(V12=0,0,V12/TrAvia_act!V10*1000)</f>
        <v>170.95599971603258</v>
      </c>
      <c r="W34" s="101">
        <f>IF(W12=0,0,W12/TrAvia_act!W10*1000)</f>
        <v>212.13226127383601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48.421203139536942</v>
      </c>
      <c r="C35" s="88">
        <f>IF(C13=0,0,C13/TrAvia_act!C11*1000)</f>
        <v>46.588970414500686</v>
      </c>
      <c r="D35" s="88">
        <f>IF(D13=0,0,D13/TrAvia_act!D11*1000)</f>
        <v>56.475471593145429</v>
      </c>
      <c r="E35" s="88">
        <f>IF(E13=0,0,E13/TrAvia_act!E11*1000)</f>
        <v>62.26469225951552</v>
      </c>
      <c r="F35" s="88">
        <f>IF(F13=0,0,F13/TrAvia_act!F11*1000)</f>
        <v>62.915340260287905</v>
      </c>
      <c r="G35" s="88">
        <f>IF(G13=0,0,G13/TrAvia_act!G11*1000)</f>
        <v>63.184699757896048</v>
      </c>
      <c r="H35" s="88">
        <f>IF(H13=0,0,H13/TrAvia_act!H11*1000)</f>
        <v>44.995701418642682</v>
      </c>
      <c r="I35" s="88">
        <f>IF(I13=0,0,I13/TrAvia_act!I11*1000)</f>
        <v>39.558601042673466</v>
      </c>
      <c r="J35" s="88">
        <f>IF(J13=0,0,J13/TrAvia_act!J11*1000)</f>
        <v>40.030140714398634</v>
      </c>
      <c r="K35" s="88">
        <f>IF(K13=0,0,K13/TrAvia_act!K11*1000)</f>
        <v>47.036158429406946</v>
      </c>
      <c r="L35" s="88">
        <f>IF(L13=0,0,L13/TrAvia_act!L11*1000)</f>
        <v>56.318366939014744</v>
      </c>
      <c r="M35" s="88">
        <f>IF(M13=0,0,M13/TrAvia_act!M11*1000)</f>
        <v>41.069135947235765</v>
      </c>
      <c r="N35" s="88">
        <f>IF(N13=0,0,N13/TrAvia_act!N11*1000)</f>
        <v>44.252029578178814</v>
      </c>
      <c r="O35" s="88">
        <f>IF(O13=0,0,O13/TrAvia_act!O11*1000)</f>
        <v>32.328307845594779</v>
      </c>
      <c r="P35" s="88">
        <f>IF(P13=0,0,P13/TrAvia_act!P11*1000)</f>
        <v>23.037065829732413</v>
      </c>
      <c r="Q35" s="88">
        <f>IF(Q13=0,0,Q13/TrAvia_act!Q11*1000)</f>
        <v>26.561065721266978</v>
      </c>
      <c r="R35" s="88">
        <f>IF(R13=0,0,R13/TrAvia_act!R11*1000)</f>
        <v>18.221583913677392</v>
      </c>
      <c r="S35" s="88">
        <f>IF(S13=0,0,S13/TrAvia_act!S11*1000)</f>
        <v>27.302611353117104</v>
      </c>
      <c r="T35" s="88">
        <f>IF(T13=0,0,T13/TrAvia_act!T11*1000)</f>
        <v>22.83280447275693</v>
      </c>
      <c r="U35" s="88">
        <f>IF(U13=0,0,U13/TrAvia_act!U11*1000)</f>
        <v>22.948486188929309</v>
      </c>
      <c r="V35" s="88">
        <f>IF(V13=0,0,V13/TrAvia_act!V11*1000)</f>
        <v>92.445695588232994</v>
      </c>
      <c r="W35" s="88">
        <f>IF(W13=0,0,W13/TrAvia_act!W11*1000)</f>
        <v>38.028719097781959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10354.603048422894</v>
      </c>
      <c r="C37" s="62">
        <f>IF(C3=0,0,C3/TrAvia_act!C23*1000000)</f>
        <v>10426.185829895929</v>
      </c>
      <c r="D37" s="62">
        <f>IF(D3=0,0,D3/TrAvia_act!D23*1000000)</f>
        <v>11004.626791892048</v>
      </c>
      <c r="E37" s="62">
        <f>IF(E3=0,0,E3/TrAvia_act!E23*1000000)</f>
        <v>11019.961148353061</v>
      </c>
      <c r="F37" s="62">
        <f>IF(F3=0,0,F3/TrAvia_act!F23*1000000)</f>
        <v>10924.919809350284</v>
      </c>
      <c r="G37" s="62">
        <f>IF(G3=0,0,G3/TrAvia_act!G23*1000000)</f>
        <v>10341.205384650199</v>
      </c>
      <c r="H37" s="62">
        <f>IF(H3=0,0,H3/TrAvia_act!H23*1000000)</f>
        <v>9929.3967206566485</v>
      </c>
      <c r="I37" s="62">
        <f>IF(I3=0,0,I3/TrAvia_act!I23*1000000)</f>
        <v>8999.4369320509322</v>
      </c>
      <c r="J37" s="62">
        <f>IF(J3=0,0,J3/TrAvia_act!J23*1000000)</f>
        <v>8795.7831055036786</v>
      </c>
      <c r="K37" s="62">
        <f>IF(K3=0,0,K3/TrAvia_act!K23*1000000)</f>
        <v>8994.2404167597797</v>
      </c>
      <c r="L37" s="62">
        <f>IF(L3=0,0,L3/TrAvia_act!L23*1000000)</f>
        <v>9402.3807026931408</v>
      </c>
      <c r="M37" s="62">
        <f>IF(M3=0,0,M3/TrAvia_act!M23*1000000)</f>
        <v>10504.876651630433</v>
      </c>
      <c r="N37" s="62">
        <f>IF(N3=0,0,N3/TrAvia_act!N23*1000000)</f>
        <v>9769.3207802696706</v>
      </c>
      <c r="O37" s="62">
        <f>IF(O3=0,0,O3/TrAvia_act!O23*1000000)</f>
        <v>9709.2627665295913</v>
      </c>
      <c r="P37" s="62">
        <f>IF(P3=0,0,P3/TrAvia_act!P23*1000000)</f>
        <v>9119.0579174498325</v>
      </c>
      <c r="Q37" s="62">
        <f>IF(Q3=0,0,Q3/TrAvia_act!Q23*1000000)</f>
        <v>9013.5641311022064</v>
      </c>
      <c r="R37" s="62">
        <f>IF(R3=0,0,R3/TrAvia_act!R23*1000000)</f>
        <v>8533.9526288613597</v>
      </c>
      <c r="S37" s="62">
        <f>IF(S3=0,0,S3/TrAvia_act!S23*1000000)</f>
        <v>8618.8267949933615</v>
      </c>
      <c r="T37" s="62">
        <f>IF(T3=0,0,T3/TrAvia_act!T23*1000000)</f>
        <v>8488.1958822250544</v>
      </c>
      <c r="U37" s="62">
        <f>IF(U3=0,0,U3/TrAvia_act!U23*1000000)</f>
        <v>8366.2336856531019</v>
      </c>
      <c r="V37" s="62">
        <f>IF(V3=0,0,V3/TrAvia_act!V23*1000000)</f>
        <v>7665.0227437682688</v>
      </c>
      <c r="W37" s="62">
        <f>IF(W3=0,0,W3/TrAvia_act!W23*1000000)</f>
        <v>7401.0577650118212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10321.941698749981</v>
      </c>
      <c r="C38" s="14">
        <f>IF(C6=0,0,C6/TrAvia_act!C24*1000000)</f>
        <v>10403.859556467754</v>
      </c>
      <c r="D38" s="14">
        <f>IF(D6=0,0,D6/TrAvia_act!D24*1000000)</f>
        <v>10953.825993908402</v>
      </c>
      <c r="E38" s="14">
        <f>IF(E6=0,0,E6/TrAvia_act!E24*1000000)</f>
        <v>10974.892977006792</v>
      </c>
      <c r="F38" s="14">
        <f>IF(F6=0,0,F6/TrAvia_act!F24*1000000)</f>
        <v>10864.579345251121</v>
      </c>
      <c r="G38" s="14">
        <f>IF(G6=0,0,G6/TrAvia_act!G24*1000000)</f>
        <v>10285.455190910176</v>
      </c>
      <c r="H38" s="14">
        <f>IF(H6=0,0,H6/TrAvia_act!H24*1000000)</f>
        <v>9841.0293089499519</v>
      </c>
      <c r="I38" s="14">
        <f>IF(I6=0,0,I6/TrAvia_act!I24*1000000)</f>
        <v>8917.8239710125872</v>
      </c>
      <c r="J38" s="14">
        <f>IF(J6=0,0,J6/TrAvia_act!J24*1000000)</f>
        <v>8719.3431361791445</v>
      </c>
      <c r="K38" s="14">
        <f>IF(K6=0,0,K6/TrAvia_act!K24*1000000)</f>
        <v>8939.3929489474376</v>
      </c>
      <c r="L38" s="14">
        <f>IF(L6=0,0,L6/TrAvia_act!L24*1000000)</f>
        <v>9341.6348021486283</v>
      </c>
      <c r="M38" s="14">
        <f>IF(M6=0,0,M6/TrAvia_act!M24*1000000)</f>
        <v>10475.493251812155</v>
      </c>
      <c r="N38" s="14">
        <f>IF(N6=0,0,N6/TrAvia_act!N24*1000000)</f>
        <v>9763.1886509286815</v>
      </c>
      <c r="O38" s="14">
        <f>IF(O6=0,0,O6/TrAvia_act!O24*1000000)</f>
        <v>9727.3199756080958</v>
      </c>
      <c r="P38" s="14">
        <f>IF(P6=0,0,P6/TrAvia_act!P24*1000000)</f>
        <v>9123.591665455082</v>
      </c>
      <c r="Q38" s="14">
        <f>IF(Q6=0,0,Q6/TrAvia_act!Q24*1000000)</f>
        <v>9022.4147701044349</v>
      </c>
      <c r="R38" s="14">
        <f>IF(R6=0,0,R6/TrAvia_act!R24*1000000)</f>
        <v>8536.1171085142214</v>
      </c>
      <c r="S38" s="14">
        <f>IF(S6=0,0,S6/TrAvia_act!S24*1000000)</f>
        <v>8625.2578648430845</v>
      </c>
      <c r="T38" s="14">
        <f>IF(T6=0,0,T6/TrAvia_act!T24*1000000)</f>
        <v>8501.8714011618067</v>
      </c>
      <c r="U38" s="14">
        <f>IF(U6=0,0,U6/TrAvia_act!U24*1000000)</f>
        <v>8398.5612191781438</v>
      </c>
      <c r="V38" s="14">
        <f>IF(V6=0,0,V6/TrAvia_act!V24*1000000)</f>
        <v>7748.1116029741306</v>
      </c>
      <c r="W38" s="14">
        <f>IF(W6=0,0,W6/TrAvia_act!W24*1000000)</f>
        <v>7433.4351449963297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0</v>
      </c>
      <c r="C39" s="87">
        <f>IF(C7=0,0,C7/TrAvia_act!C25*1000000)</f>
        <v>0</v>
      </c>
      <c r="D39" s="87">
        <f>IF(D7=0,0,D7/TrAvia_act!D25*1000000)</f>
        <v>0</v>
      </c>
      <c r="E39" s="87">
        <f>IF(E7=0,0,E7/TrAvia_act!E25*1000000)</f>
        <v>0</v>
      </c>
      <c r="F39" s="87">
        <f>IF(F7=0,0,F7/TrAvia_act!F25*1000000)</f>
        <v>0</v>
      </c>
      <c r="G39" s="87">
        <f>IF(G7=0,0,G7/TrAvia_act!G25*1000000)</f>
        <v>0</v>
      </c>
      <c r="H39" s="87">
        <f>IF(H7=0,0,H7/TrAvia_act!H25*1000000)</f>
        <v>0</v>
      </c>
      <c r="I39" s="87">
        <f>IF(I7=0,0,I7/TrAvia_act!I25*1000000)</f>
        <v>0</v>
      </c>
      <c r="J39" s="87">
        <f>IF(J7=0,0,J7/TrAvia_act!J25*1000000)</f>
        <v>0</v>
      </c>
      <c r="K39" s="87">
        <f>IF(K7=0,0,K7/TrAvia_act!K25*1000000)</f>
        <v>0</v>
      </c>
      <c r="L39" s="87">
        <f>IF(L7=0,0,L7/TrAvia_act!L25*1000000)</f>
        <v>0</v>
      </c>
      <c r="M39" s="87">
        <f>IF(M7=0,0,M7/TrAvia_act!M25*1000000)</f>
        <v>0</v>
      </c>
      <c r="N39" s="87">
        <f>IF(N7=0,0,N7/TrAvia_act!N25*1000000)</f>
        <v>0</v>
      </c>
      <c r="O39" s="87">
        <f>IF(O7=0,0,O7/TrAvia_act!O25*1000000)</f>
        <v>0</v>
      </c>
      <c r="P39" s="87">
        <f>IF(P7=0,0,P7/TrAvia_act!P25*1000000)</f>
        <v>0</v>
      </c>
      <c r="Q39" s="87">
        <f>IF(Q7=0,0,Q7/TrAvia_act!Q25*1000000)</f>
        <v>0</v>
      </c>
      <c r="R39" s="87">
        <f>IF(R7=0,0,R7/TrAvia_act!R25*1000000)</f>
        <v>0</v>
      </c>
      <c r="S39" s="87">
        <f>IF(S7=0,0,S7/TrAvia_act!S25*1000000)</f>
        <v>0</v>
      </c>
      <c r="T39" s="87">
        <f>IF(T7=0,0,T7/TrAvia_act!T25*1000000)</f>
        <v>0</v>
      </c>
      <c r="U39" s="87">
        <f>IF(U7=0,0,U7/TrAvia_act!U25*1000000)</f>
        <v>0</v>
      </c>
      <c r="V39" s="87">
        <f>IF(V7=0,0,V7/TrAvia_act!V25*1000000)</f>
        <v>0</v>
      </c>
      <c r="W39" s="87">
        <f>IF(W7=0,0,W7/TrAvia_act!W25*1000000)</f>
        <v>0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12277.006697280589</v>
      </c>
      <c r="C40" s="87">
        <f>IF(C8=0,0,C8/TrAvia_act!C26*1000000)</f>
        <v>12374.45523462758</v>
      </c>
      <c r="D40" s="87">
        <f>IF(D8=0,0,D8/TrAvia_act!D26*1000000)</f>
        <v>13204.31061422526</v>
      </c>
      <c r="E40" s="87">
        <f>IF(E8=0,0,E8/TrAvia_act!E26*1000000)</f>
        <v>13229.667191673516</v>
      </c>
      <c r="F40" s="87">
        <f>IF(F8=0,0,F8/TrAvia_act!F26*1000000)</f>
        <v>12671.626394364263</v>
      </c>
      <c r="G40" s="87">
        <f>IF(G8=0,0,G8/TrAvia_act!G26*1000000)</f>
        <v>11812.403490216668</v>
      </c>
      <c r="H40" s="87">
        <f>IF(H8=0,0,H8/TrAvia_act!H26*1000000)</f>
        <v>12405.208646955944</v>
      </c>
      <c r="I40" s="87">
        <f>IF(I8=0,0,I8/TrAvia_act!I26*1000000)</f>
        <v>11654.123225590363</v>
      </c>
      <c r="J40" s="87">
        <f>IF(J8=0,0,J8/TrAvia_act!J26*1000000)</f>
        <v>11315.744171227603</v>
      </c>
      <c r="K40" s="87">
        <f>IF(K8=0,0,K8/TrAvia_act!K26*1000000)</f>
        <v>10545.997380123006</v>
      </c>
      <c r="L40" s="87">
        <f>IF(L8=0,0,L8/TrAvia_act!L26*1000000)</f>
        <v>10574.415491687239</v>
      </c>
      <c r="M40" s="87">
        <f>IF(M8=0,0,M8/TrAvia_act!M26*1000000)</f>
        <v>12058.442551290153</v>
      </c>
      <c r="N40" s="87">
        <f>IF(N8=0,0,N8/TrAvia_act!N26*1000000)</f>
        <v>11257.172210223724</v>
      </c>
      <c r="O40" s="87">
        <f>IF(O8=0,0,O8/TrAvia_act!O26*1000000)</f>
        <v>11772.638210801642</v>
      </c>
      <c r="P40" s="87">
        <f>IF(P8=0,0,P8/TrAvia_act!P26*1000000)</f>
        <v>11624.119703838363</v>
      </c>
      <c r="Q40" s="87">
        <f>IF(Q8=0,0,Q8/TrAvia_act!Q26*1000000)</f>
        <v>11144.290252667139</v>
      </c>
      <c r="R40" s="87">
        <f>IF(R8=0,0,R8/TrAvia_act!R26*1000000)</f>
        <v>11597.096809172492</v>
      </c>
      <c r="S40" s="87">
        <f>IF(S8=0,0,S8/TrAvia_act!S26*1000000)</f>
        <v>11455.894598032612</v>
      </c>
      <c r="T40" s="87">
        <f>IF(T8=0,0,T8/TrAvia_act!T26*1000000)</f>
        <v>11061.444739574226</v>
      </c>
      <c r="U40" s="87">
        <f>IF(U8=0,0,U8/TrAvia_act!U26*1000000)</f>
        <v>11083.030270704832</v>
      </c>
      <c r="V40" s="87">
        <f>IF(V8=0,0,V8/TrAvia_act!V26*1000000)</f>
        <v>7686.76268782029</v>
      </c>
      <c r="W40" s="87">
        <f>IF(W8=0,0,W8/TrAvia_act!W26*1000000)</f>
        <v>9024.1487040998927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5392.106029352627</v>
      </c>
      <c r="C41" s="87">
        <f>IF(C9=0,0,C9/TrAvia_act!C27*1000000)</f>
        <v>5434.8620528426691</v>
      </c>
      <c r="D41" s="87">
        <f>IF(D9=0,0,D9/TrAvia_act!D27*1000000)</f>
        <v>6222.0187859532653</v>
      </c>
      <c r="E41" s="87">
        <f>IF(E9=0,0,E9/TrAvia_act!E27*1000000)</f>
        <v>6234.0322206603951</v>
      </c>
      <c r="F41" s="87">
        <f>IF(F9=0,0,F9/TrAvia_act!F27*1000000)</f>
        <v>6114.491412207848</v>
      </c>
      <c r="G41" s="87">
        <f>IF(G9=0,0,G9/TrAvia_act!G27*1000000)</f>
        <v>5901.7490824780134</v>
      </c>
      <c r="H41" s="87">
        <f>IF(H9=0,0,H9/TrAvia_act!H27*1000000)</f>
        <v>4485.9187578768733</v>
      </c>
      <c r="I41" s="87">
        <f>IF(I9=0,0,I9/TrAvia_act!I27*1000000)</f>
        <v>3773.3101879832993</v>
      </c>
      <c r="J41" s="87">
        <f>IF(J9=0,0,J9/TrAvia_act!J27*1000000)</f>
        <v>3766.1773435742152</v>
      </c>
      <c r="K41" s="87">
        <f>IF(K9=0,0,K9/TrAvia_act!K27*1000000)</f>
        <v>4904.8554538284243</v>
      </c>
      <c r="L41" s="87">
        <f>IF(L9=0,0,L9/TrAvia_act!L27*1000000)</f>
        <v>5819.4967197393307</v>
      </c>
      <c r="M41" s="87">
        <f>IF(M9=0,0,M9/TrAvia_act!M27*1000000)</f>
        <v>6183.7471714232815</v>
      </c>
      <c r="N41" s="87">
        <f>IF(N9=0,0,N9/TrAvia_act!N27*1000000)</f>
        <v>5903.9548686829694</v>
      </c>
      <c r="O41" s="87">
        <f>IF(O9=0,0,O9/TrAvia_act!O27*1000000)</f>
        <v>5367.2111579818638</v>
      </c>
      <c r="P41" s="87">
        <f>IF(P9=0,0,P9/TrAvia_act!P27*1000000)</f>
        <v>4577.4703672847054</v>
      </c>
      <c r="Q41" s="87">
        <f>IF(Q9=0,0,Q9/TrAvia_act!Q27*1000000)</f>
        <v>4777.7121846258206</v>
      </c>
      <c r="R41" s="87">
        <f>IF(R9=0,0,R9/TrAvia_act!R27*1000000)</f>
        <v>3626.06999832974</v>
      </c>
      <c r="S41" s="87">
        <f>IF(S9=0,0,S9/TrAvia_act!S27*1000000)</f>
        <v>3646.4029957191287</v>
      </c>
      <c r="T41" s="87">
        <f>IF(T9=0,0,T9/TrAvia_act!T27*1000000)</f>
        <v>3790.5804444023806</v>
      </c>
      <c r="U41" s="87">
        <f>IF(U9=0,0,U9/TrAvia_act!U27*1000000)</f>
        <v>3739.5124900841788</v>
      </c>
      <c r="V41" s="87">
        <f>IF(V9=0,0,V9/TrAvia_act!V27*1000000)</f>
        <v>7926.7188376084368</v>
      </c>
      <c r="W41" s="87">
        <f>IF(W9=0,0,W9/TrAvia_act!W27*1000000)</f>
        <v>4658.1210721220104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11414.473864127865</v>
      </c>
      <c r="C42" s="15">
        <f>IF(C10=0,0,C10/TrAvia_act!C28*1000000)</f>
        <v>11409.873825911804</v>
      </c>
      <c r="D42" s="15">
        <f>IF(D10=0,0,D10/TrAvia_act!D28*1000000)</f>
        <v>13097.545507069406</v>
      </c>
      <c r="E42" s="15">
        <f>IF(E10=0,0,E10/TrAvia_act!E28*1000000)</f>
        <v>13083.059119390642</v>
      </c>
      <c r="F42" s="15">
        <f>IF(F10=0,0,F10/TrAvia_act!F28*1000000)</f>
        <v>12937.288862048716</v>
      </c>
      <c r="G42" s="15">
        <f>IF(G10=0,0,G10/TrAvia_act!G28*1000000)</f>
        <v>11926.404289673123</v>
      </c>
      <c r="H42" s="15">
        <f>IF(H10=0,0,H10/TrAvia_act!H28*1000000)</f>
        <v>12340.766651309012</v>
      </c>
      <c r="I42" s="15">
        <f>IF(I10=0,0,I10/TrAvia_act!I28*1000000)</f>
        <v>11546.262105469925</v>
      </c>
      <c r="J42" s="15">
        <f>IF(J10=0,0,J10/TrAvia_act!J28*1000000)</f>
        <v>11154.685005384648</v>
      </c>
      <c r="K42" s="15">
        <f>IF(K10=0,0,K10/TrAvia_act!K28*1000000)</f>
        <v>10655.256170810633</v>
      </c>
      <c r="L42" s="15">
        <f>IF(L10=0,0,L10/TrAvia_act!L28*1000000)</f>
        <v>11478.12463211353</v>
      </c>
      <c r="M42" s="15">
        <f>IF(M10=0,0,M10/TrAvia_act!M28*1000000)</f>
        <v>11831.038233413194</v>
      </c>
      <c r="N42" s="15">
        <f>IF(N10=0,0,N10/TrAvia_act!N28*1000000)</f>
        <v>10079.967107483893</v>
      </c>
      <c r="O42" s="15">
        <f>IF(O10=0,0,O10/TrAvia_act!O28*1000000)</f>
        <v>8903.7949519097456</v>
      </c>
      <c r="P42" s="15">
        <f>IF(P10=0,0,P10/TrAvia_act!P28*1000000)</f>
        <v>8868.3818252101391</v>
      </c>
      <c r="Q42" s="15">
        <f>IF(Q10=0,0,Q10/TrAvia_act!Q28*1000000)</f>
        <v>8506.3865072508252</v>
      </c>
      <c r="R42" s="15">
        <f>IF(R10=0,0,R10/TrAvia_act!R28*1000000)</f>
        <v>8359.1368213313945</v>
      </c>
      <c r="S42" s="15">
        <f>IF(S10=0,0,S10/TrAvia_act!S28*1000000)</f>
        <v>8077.1108222651765</v>
      </c>
      <c r="T42" s="15">
        <f>IF(T10=0,0,T10/TrAvia_act!T28*1000000)</f>
        <v>7256.4549158956179</v>
      </c>
      <c r="U42" s="15">
        <f>IF(U10=0,0,U10/TrAvia_act!U28*1000000)</f>
        <v>5558.0944614353766</v>
      </c>
      <c r="V42" s="15">
        <f>IF(V10=0,0,V10/TrAvia_act!V28*1000000)</f>
        <v>5003.7484580868804</v>
      </c>
      <c r="W42" s="15">
        <f>IF(W10=0,0,W10/TrAvia_act!W28*1000000)</f>
        <v>5410.5610084276022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0</v>
      </c>
      <c r="C43" s="101">
        <f>IF(C11=0,0,C11/TrAvia_act!C29*1000000)</f>
        <v>0</v>
      </c>
      <c r="D43" s="101">
        <f>IF(D11=0,0,D11/TrAvia_act!D29*1000000)</f>
        <v>0</v>
      </c>
      <c r="E43" s="101">
        <f>IF(E11=0,0,E11/TrAvia_act!E29*1000000)</f>
        <v>0</v>
      </c>
      <c r="F43" s="101">
        <f>IF(F11=0,0,F11/TrAvia_act!F29*1000000)</f>
        <v>0</v>
      </c>
      <c r="G43" s="101">
        <f>IF(G11=0,0,G11/TrAvia_act!G29*1000000)</f>
        <v>0</v>
      </c>
      <c r="H43" s="101">
        <f>IF(H11=0,0,H11/TrAvia_act!H29*1000000)</f>
        <v>0</v>
      </c>
      <c r="I43" s="101">
        <f>IF(I11=0,0,I11/TrAvia_act!I29*1000000)</f>
        <v>0</v>
      </c>
      <c r="J43" s="101">
        <f>IF(J11=0,0,J11/TrAvia_act!J29*1000000)</f>
        <v>0</v>
      </c>
      <c r="K43" s="101">
        <f>IF(K11=0,0,K11/TrAvia_act!K29*1000000)</f>
        <v>0</v>
      </c>
      <c r="L43" s="101">
        <f>IF(L11=0,0,L11/TrAvia_act!L29*1000000)</f>
        <v>0</v>
      </c>
      <c r="M43" s="101">
        <f>IF(M11=0,0,M11/TrAvia_act!M29*1000000)</f>
        <v>0</v>
      </c>
      <c r="N43" s="101">
        <f>IF(N11=0,0,N11/TrAvia_act!N29*1000000)</f>
        <v>0</v>
      </c>
      <c r="O43" s="101">
        <f>IF(O11=0,0,O11/TrAvia_act!O29*1000000)</f>
        <v>0</v>
      </c>
      <c r="P43" s="101">
        <f>IF(P11=0,0,P11/TrAvia_act!P29*1000000)</f>
        <v>0</v>
      </c>
      <c r="Q43" s="101">
        <f>IF(Q11=0,0,Q11/TrAvia_act!Q29*1000000)</f>
        <v>0</v>
      </c>
      <c r="R43" s="101">
        <f>IF(R11=0,0,R11/TrAvia_act!R29*1000000)</f>
        <v>0</v>
      </c>
      <c r="S43" s="101">
        <f>IF(S11=0,0,S11/TrAvia_act!S29*1000000)</f>
        <v>0</v>
      </c>
      <c r="T43" s="101">
        <f>IF(T11=0,0,T11/TrAvia_act!T29*1000000)</f>
        <v>0</v>
      </c>
      <c r="U43" s="101">
        <f>IF(U11=0,0,U11/TrAvia_act!U29*1000000)</f>
        <v>0</v>
      </c>
      <c r="V43" s="101">
        <f>IF(V11=0,0,V11/TrAvia_act!V29*1000000)</f>
        <v>0</v>
      </c>
      <c r="W43" s="101">
        <f>IF(W11=0,0,W11/TrAvia_act!W29*1000000)</f>
        <v>0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12348.972195181896</v>
      </c>
      <c r="C44" s="101">
        <f>IF(C12=0,0,C12/TrAvia_act!C30*1000000)</f>
        <v>12456.611499335466</v>
      </c>
      <c r="D44" s="101">
        <f>IF(D12=0,0,D12/TrAvia_act!D30*1000000)</f>
        <v>14263.228803759448</v>
      </c>
      <c r="E44" s="101">
        <f>IF(E12=0,0,E12/TrAvia_act!E30*1000000)</f>
        <v>14280.044796608605</v>
      </c>
      <c r="F44" s="101">
        <f>IF(F12=0,0,F12/TrAvia_act!F30*1000000)</f>
        <v>14013.872307949381</v>
      </c>
      <c r="G44" s="101">
        <f>IF(G12=0,0,G12/TrAvia_act!G30*1000000)</f>
        <v>12672.992994673397</v>
      </c>
      <c r="H44" s="101">
        <f>IF(H12=0,0,H12/TrAvia_act!H30*1000000)</f>
        <v>13193.576693270152</v>
      </c>
      <c r="I44" s="101">
        <f>IF(I12=0,0,I12/TrAvia_act!I30*1000000)</f>
        <v>12406.986229526679</v>
      </c>
      <c r="J44" s="101">
        <f>IF(J12=0,0,J12/TrAvia_act!J30*1000000)</f>
        <v>11956.483823222376</v>
      </c>
      <c r="K44" s="101">
        <f>IF(K12=0,0,K12/TrAvia_act!K30*1000000)</f>
        <v>11122.388666797246</v>
      </c>
      <c r="L44" s="101">
        <f>IF(L12=0,0,L12/TrAvia_act!L30*1000000)</f>
        <v>11872.864332534124</v>
      </c>
      <c r="M44" s="101">
        <f>IF(M12=0,0,M12/TrAvia_act!M30*1000000)</f>
        <v>12939.488853252617</v>
      </c>
      <c r="N44" s="101">
        <f>IF(N12=0,0,N12/TrAvia_act!N30*1000000)</f>
        <v>11689.93479941813</v>
      </c>
      <c r="O44" s="101">
        <f>IF(O12=0,0,O12/TrAvia_act!O30*1000000)</f>
        <v>10577.079784921563</v>
      </c>
      <c r="P44" s="101">
        <f>IF(P12=0,0,P12/TrAvia_act!P30*1000000)</f>
        <v>10685.249419951813</v>
      </c>
      <c r="Q44" s="101">
        <f>IF(Q12=0,0,Q12/TrAvia_act!Q30*1000000)</f>
        <v>10418.401877753126</v>
      </c>
      <c r="R44" s="101">
        <f>IF(R12=0,0,R12/TrAvia_act!R30*1000000)</f>
        <v>10269.573944583817</v>
      </c>
      <c r="S44" s="101">
        <f>IF(S12=0,0,S12/TrAvia_act!S30*1000000)</f>
        <v>9903.8967571201629</v>
      </c>
      <c r="T44" s="101">
        <f>IF(T12=0,0,T12/TrAvia_act!T30*1000000)</f>
        <v>8959.1717056703365</v>
      </c>
      <c r="U44" s="101">
        <f>IF(U12=0,0,U12/TrAvia_act!U30*1000000)</f>
        <v>6602.2831323499177</v>
      </c>
      <c r="V44" s="101">
        <f>IF(V12=0,0,V12/TrAvia_act!V30*1000000)</f>
        <v>5038.5380539002845</v>
      </c>
      <c r="W44" s="101">
        <f>IF(W12=0,0,W12/TrAvia_act!W30*1000000)</f>
        <v>6160.3433250631415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4497.2594136454709</v>
      </c>
      <c r="C45" s="88">
        <f>IF(C13=0,0,C13/TrAvia_act!C31*1000000)</f>
        <v>4532.9198639563356</v>
      </c>
      <c r="D45" s="88">
        <f>IF(D13=0,0,D13/TrAvia_act!D31*1000000)</f>
        <v>5189.4440511153671</v>
      </c>
      <c r="E45" s="88">
        <f>IF(E13=0,0,E13/TrAvia_act!E31*1000000)</f>
        <v>5199.463797024061</v>
      </c>
      <c r="F45" s="88">
        <f>IF(F13=0,0,F13/TrAvia_act!F31*1000000)</f>
        <v>5099.7613758918578</v>
      </c>
      <c r="G45" s="88">
        <f>IF(G13=0,0,G13/TrAvia_act!G31*1000000)</f>
        <v>4922.3246860622958</v>
      </c>
      <c r="H45" s="88">
        <f>IF(H13=0,0,H13/TrAvia_act!H31*1000000)</f>
        <v>4142.5267196259729</v>
      </c>
      <c r="I45" s="88">
        <f>IF(I13=0,0,I13/TrAvia_act!I31*1000000)</f>
        <v>3857.1265972295914</v>
      </c>
      <c r="J45" s="88">
        <f>IF(J13=0,0,J13/TrAvia_act!J31*1000000)</f>
        <v>4260.6469555834647</v>
      </c>
      <c r="K45" s="88">
        <f>IF(K13=0,0,K13/TrAvia_act!K31*1000000)</f>
        <v>6139.6420429400423</v>
      </c>
      <c r="L45" s="88">
        <f>IF(L13=0,0,L13/TrAvia_act!L31*1000000)</f>
        <v>8058.5256543126443</v>
      </c>
      <c r="M45" s="88">
        <f>IF(M13=0,0,M13/TrAvia_act!M31*1000000)</f>
        <v>4085.7395272852254</v>
      </c>
      <c r="N45" s="88">
        <f>IF(N13=0,0,N13/TrAvia_act!N31*1000000)</f>
        <v>1833.3548187985227</v>
      </c>
      <c r="O45" s="88">
        <f>IF(O13=0,0,O13/TrAvia_act!O31*1000000)</f>
        <v>1668.830054887211</v>
      </c>
      <c r="P45" s="88">
        <f>IF(P13=0,0,P13/TrAvia_act!P31*1000000)</f>
        <v>1425.0855499781178</v>
      </c>
      <c r="Q45" s="88">
        <f>IF(Q13=0,0,Q13/TrAvia_act!Q31*1000000)</f>
        <v>1489.2900975073812</v>
      </c>
      <c r="R45" s="88">
        <f>IF(R13=0,0,R13/TrAvia_act!R31*1000000)</f>
        <v>1131.6999936053635</v>
      </c>
      <c r="S45" s="88">
        <f>IF(S13=0,0,S13/TrAvia_act!S31*1000000)</f>
        <v>1139.4294067484882</v>
      </c>
      <c r="T45" s="88">
        <f>IF(T13=0,0,T13/TrAvia_act!T31*1000000)</f>
        <v>1185.8994045248803</v>
      </c>
      <c r="U45" s="88">
        <f>IF(U13=0,0,U13/TrAvia_act!U31*1000000)</f>
        <v>2314.0131537397133</v>
      </c>
      <c r="V45" s="88">
        <f>IF(V13=0,0,V13/TrAvia_act!V31*1000000)</f>
        <v>4905.0596046570217</v>
      </c>
      <c r="W45" s="88">
        <f>IF(W13=0,0,W13/TrAvia_act!W31*1000000)</f>
        <v>2882.4488382334098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0.96704492238883866</v>
      </c>
      <c r="C48" s="16">
        <f t="shared" si="35"/>
        <v>0.97571335755956601</v>
      </c>
      <c r="D48" s="16">
        <f t="shared" ref="D48:V48" si="36">IF(D6=0,0,D6/D$3)</f>
        <v>0.97179558017047074</v>
      </c>
      <c r="E48" s="16">
        <f t="shared" si="36"/>
        <v>0.97461984073074648</v>
      </c>
      <c r="F48" s="16">
        <f t="shared" si="36"/>
        <v>0.96552571862537839</v>
      </c>
      <c r="G48" s="16">
        <f t="shared" si="36"/>
        <v>0.96081772621863515</v>
      </c>
      <c r="H48" s="16">
        <f t="shared" si="36"/>
        <v>0.9560643521975335</v>
      </c>
      <c r="I48" s="16">
        <f t="shared" si="36"/>
        <v>0.96016292441074036</v>
      </c>
      <c r="J48" s="16">
        <f t="shared" si="36"/>
        <v>0.96019447392362778</v>
      </c>
      <c r="K48" s="16">
        <f t="shared" si="36"/>
        <v>0.96213191706356715</v>
      </c>
      <c r="L48" s="16">
        <f t="shared" si="36"/>
        <v>0.96529042873908588</v>
      </c>
      <c r="M48" s="16">
        <f t="shared" si="36"/>
        <v>0.97558706405545292</v>
      </c>
      <c r="N48" s="16">
        <f t="shared" si="36"/>
        <v>0.98002667296831147</v>
      </c>
      <c r="O48" s="16">
        <f t="shared" si="36"/>
        <v>0.97989228497524716</v>
      </c>
      <c r="P48" s="16">
        <f t="shared" si="36"/>
        <v>0.98272355543164946</v>
      </c>
      <c r="Q48" s="16">
        <f t="shared" si="36"/>
        <v>0.98381362127982985</v>
      </c>
      <c r="R48" s="16">
        <f t="shared" si="36"/>
        <v>0.98802046893485285</v>
      </c>
      <c r="S48" s="16">
        <f t="shared" si="36"/>
        <v>0.9890050302252672</v>
      </c>
      <c r="T48" s="16">
        <f t="shared" si="36"/>
        <v>0.99061275153059847</v>
      </c>
      <c r="U48" s="16">
        <f t="shared" si="36"/>
        <v>0.99243900776504568</v>
      </c>
      <c r="V48" s="16">
        <f t="shared" si="36"/>
        <v>0.98023561799631909</v>
      </c>
      <c r="W48" s="16">
        <f t="shared" ref="W48" si="37">IF(W6=0,0,W6/W$3)</f>
        <v>0.98829904403335977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0</v>
      </c>
      <c r="C49" s="103">
        <f t="shared" si="38"/>
        <v>0</v>
      </c>
      <c r="D49" s="103">
        <f t="shared" ref="D49:V49" si="39">IF(D7=0,0,D7/D$3)</f>
        <v>0</v>
      </c>
      <c r="E49" s="103">
        <f t="shared" si="39"/>
        <v>0</v>
      </c>
      <c r="F49" s="103">
        <f t="shared" si="39"/>
        <v>0</v>
      </c>
      <c r="G49" s="103">
        <f t="shared" si="39"/>
        <v>0</v>
      </c>
      <c r="H49" s="103">
        <f t="shared" si="39"/>
        <v>0</v>
      </c>
      <c r="I49" s="103">
        <f t="shared" si="39"/>
        <v>0</v>
      </c>
      <c r="J49" s="103">
        <f t="shared" si="39"/>
        <v>0</v>
      </c>
      <c r="K49" s="103">
        <f t="shared" si="39"/>
        <v>0</v>
      </c>
      <c r="L49" s="103">
        <f t="shared" si="39"/>
        <v>0</v>
      </c>
      <c r="M49" s="103">
        <f t="shared" si="39"/>
        <v>0</v>
      </c>
      <c r="N49" s="103">
        <f t="shared" si="39"/>
        <v>0</v>
      </c>
      <c r="O49" s="103">
        <f t="shared" si="39"/>
        <v>0</v>
      </c>
      <c r="P49" s="103">
        <f t="shared" si="39"/>
        <v>0</v>
      </c>
      <c r="Q49" s="103">
        <f t="shared" si="39"/>
        <v>0</v>
      </c>
      <c r="R49" s="103">
        <f t="shared" si="39"/>
        <v>0</v>
      </c>
      <c r="S49" s="103">
        <f t="shared" si="39"/>
        <v>0</v>
      </c>
      <c r="T49" s="103">
        <f t="shared" si="39"/>
        <v>0</v>
      </c>
      <c r="U49" s="103">
        <f t="shared" si="39"/>
        <v>0</v>
      </c>
      <c r="V49" s="103">
        <f t="shared" si="39"/>
        <v>0</v>
      </c>
      <c r="W49" s="103">
        <f t="shared" ref="W49" si="40">IF(W7=0,0,W7/W$3)</f>
        <v>0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0.82359272916876658</v>
      </c>
      <c r="C50" s="103">
        <f t="shared" si="41"/>
        <v>0.8309762767064458</v>
      </c>
      <c r="D50" s="103">
        <f t="shared" ref="D50:V50" si="42">IF(D8=0,0,D8/D$3)</f>
        <v>0.79387816812563494</v>
      </c>
      <c r="E50" s="103">
        <f t="shared" si="42"/>
        <v>0.79618489360380684</v>
      </c>
      <c r="F50" s="103">
        <f t="shared" si="42"/>
        <v>0.81577579616437046</v>
      </c>
      <c r="G50" s="103">
        <f t="shared" si="42"/>
        <v>0.81839247409415661</v>
      </c>
      <c r="H50" s="103">
        <f t="shared" si="42"/>
        <v>0.81495358282832697</v>
      </c>
      <c r="I50" s="103">
        <f t="shared" si="42"/>
        <v>0.81910382316859753</v>
      </c>
      <c r="J50" s="103">
        <f t="shared" si="42"/>
        <v>0.8175595287692653</v>
      </c>
      <c r="K50" s="103">
        <f t="shared" si="42"/>
        <v>0.81178492587429385</v>
      </c>
      <c r="L50" s="103">
        <f t="shared" si="42"/>
        <v>0.80938427295541826</v>
      </c>
      <c r="M50" s="103">
        <f t="shared" si="42"/>
        <v>0.82041092952817662</v>
      </c>
      <c r="N50" s="103">
        <f t="shared" si="42"/>
        <v>0.8146325072272852</v>
      </c>
      <c r="O50" s="103">
        <f t="shared" si="42"/>
        <v>0.80725022128806556</v>
      </c>
      <c r="P50" s="103">
        <f t="shared" si="42"/>
        <v>0.80776300504552123</v>
      </c>
      <c r="Q50" s="103">
        <f t="shared" si="42"/>
        <v>0.81018398611980469</v>
      </c>
      <c r="R50" s="103">
        <f t="shared" si="42"/>
        <v>0.82684908297563242</v>
      </c>
      <c r="S50" s="103">
        <f t="shared" si="42"/>
        <v>0.83745624718064948</v>
      </c>
      <c r="T50" s="103">
        <f t="shared" si="42"/>
        <v>0.83513199718485875</v>
      </c>
      <c r="U50" s="103">
        <f t="shared" si="42"/>
        <v>0.83090343628871233</v>
      </c>
      <c r="V50" s="103">
        <f t="shared" si="42"/>
        <v>0.72384444578812868</v>
      </c>
      <c r="W50" s="103">
        <f t="shared" ref="W50" si="43">IF(W8=0,0,W8/W$3)</f>
        <v>0.76265956206364216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0.14345219322007202</v>
      </c>
      <c r="C51" s="103">
        <f t="shared" si="44"/>
        <v>0.14473708085312015</v>
      </c>
      <c r="D51" s="103">
        <f t="shared" ref="D51:V51" si="45">IF(D9=0,0,D9/D$3)</f>
        <v>0.17791741204483569</v>
      </c>
      <c r="E51" s="103">
        <f t="shared" si="45"/>
        <v>0.17843494712693966</v>
      </c>
      <c r="F51" s="103">
        <f t="shared" si="45"/>
        <v>0.14974992246100785</v>
      </c>
      <c r="G51" s="103">
        <f t="shared" si="45"/>
        <v>0.1424252521244786</v>
      </c>
      <c r="H51" s="103">
        <f t="shared" si="45"/>
        <v>0.14111076936920647</v>
      </c>
      <c r="I51" s="103">
        <f t="shared" si="45"/>
        <v>0.14105910124214271</v>
      </c>
      <c r="J51" s="103">
        <f t="shared" si="45"/>
        <v>0.1426349451543624</v>
      </c>
      <c r="K51" s="103">
        <f t="shared" si="45"/>
        <v>0.1503469911892733</v>
      </c>
      <c r="L51" s="103">
        <f t="shared" si="45"/>
        <v>0.15590615578366765</v>
      </c>
      <c r="M51" s="103">
        <f t="shared" si="45"/>
        <v>0.15517613452727633</v>
      </c>
      <c r="N51" s="103">
        <f t="shared" si="45"/>
        <v>0.16539416574102628</v>
      </c>
      <c r="O51" s="103">
        <f t="shared" si="45"/>
        <v>0.17264206368718163</v>
      </c>
      <c r="P51" s="103">
        <f t="shared" si="45"/>
        <v>0.17496055038612823</v>
      </c>
      <c r="Q51" s="103">
        <f t="shared" si="45"/>
        <v>0.17362963516002505</v>
      </c>
      <c r="R51" s="103">
        <f t="shared" si="45"/>
        <v>0.16117138595922045</v>
      </c>
      <c r="S51" s="103">
        <f t="shared" si="45"/>
        <v>0.15154878304461772</v>
      </c>
      <c r="T51" s="103">
        <f t="shared" si="45"/>
        <v>0.15548075434573974</v>
      </c>
      <c r="U51" s="103">
        <f t="shared" si="45"/>
        <v>0.16153557147633341</v>
      </c>
      <c r="V51" s="103">
        <f t="shared" si="45"/>
        <v>0.25639117220819041</v>
      </c>
      <c r="W51" s="103">
        <f t="shared" ref="W51" si="46">IF(W9=0,0,W9/W$3)</f>
        <v>0.22563948196971775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3.2955077611161364E-2</v>
      </c>
      <c r="C52" s="17">
        <f t="shared" si="47"/>
        <v>2.4286642440434009E-2</v>
      </c>
      <c r="D52" s="17">
        <f t="shared" ref="D52:V52" si="48">IF(D10=0,0,D10/D$3)</f>
        <v>2.8204419829529346E-2</v>
      </c>
      <c r="E52" s="17">
        <f t="shared" si="48"/>
        <v>2.5380159269253477E-2</v>
      </c>
      <c r="F52" s="17">
        <f t="shared" si="48"/>
        <v>3.4474281374621607E-2</v>
      </c>
      <c r="G52" s="17">
        <f t="shared" si="48"/>
        <v>3.9182273781364942E-2</v>
      </c>
      <c r="H52" s="17">
        <f t="shared" si="48"/>
        <v>4.3935647802466456E-2</v>
      </c>
      <c r="I52" s="17">
        <f t="shared" si="48"/>
        <v>3.9837075589259661E-2</v>
      </c>
      <c r="J52" s="17">
        <f t="shared" si="48"/>
        <v>3.9805526076372263E-2</v>
      </c>
      <c r="K52" s="17">
        <f t="shared" si="48"/>
        <v>3.7868082936432956E-2</v>
      </c>
      <c r="L52" s="17">
        <f t="shared" si="48"/>
        <v>3.4709571260914014E-2</v>
      </c>
      <c r="M52" s="17">
        <f t="shared" si="48"/>
        <v>2.4412935944547132E-2</v>
      </c>
      <c r="N52" s="17">
        <f t="shared" si="48"/>
        <v>1.9973327031688543E-2</v>
      </c>
      <c r="O52" s="17">
        <f t="shared" si="48"/>
        <v>2.0107715024752785E-2</v>
      </c>
      <c r="P52" s="17">
        <f t="shared" si="48"/>
        <v>1.7276444568350528E-2</v>
      </c>
      <c r="Q52" s="17">
        <f t="shared" si="48"/>
        <v>1.6186378720170185E-2</v>
      </c>
      <c r="R52" s="17">
        <f t="shared" si="48"/>
        <v>1.1979531065147016E-2</v>
      </c>
      <c r="S52" s="17">
        <f t="shared" si="48"/>
        <v>1.0994969774732735E-2</v>
      </c>
      <c r="T52" s="17">
        <f t="shared" si="48"/>
        <v>9.3872484694015549E-3</v>
      </c>
      <c r="U52" s="17">
        <f t="shared" si="48"/>
        <v>7.5609922349543241E-3</v>
      </c>
      <c r="V52" s="17">
        <f t="shared" si="48"/>
        <v>1.976438200368081E-2</v>
      </c>
      <c r="W52" s="17">
        <f t="shared" ref="W52" si="49">IF(W10=0,0,W10/W$3)</f>
        <v>1.1700955966640246E-2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0</v>
      </c>
      <c r="C53" s="104">
        <f t="shared" si="50"/>
        <v>0</v>
      </c>
      <c r="D53" s="104">
        <f t="shared" ref="D53:V53" si="51">IF(D11=0,0,D11/D$3)</f>
        <v>0</v>
      </c>
      <c r="E53" s="104">
        <f t="shared" si="51"/>
        <v>0</v>
      </c>
      <c r="F53" s="104">
        <f t="shared" si="51"/>
        <v>0</v>
      </c>
      <c r="G53" s="104">
        <f t="shared" si="51"/>
        <v>0</v>
      </c>
      <c r="H53" s="104">
        <f t="shared" si="51"/>
        <v>0</v>
      </c>
      <c r="I53" s="104">
        <f t="shared" si="51"/>
        <v>0</v>
      </c>
      <c r="J53" s="104">
        <f t="shared" si="51"/>
        <v>0</v>
      </c>
      <c r="K53" s="104">
        <f t="shared" si="51"/>
        <v>0</v>
      </c>
      <c r="L53" s="104">
        <f t="shared" si="51"/>
        <v>0</v>
      </c>
      <c r="M53" s="104">
        <f t="shared" si="51"/>
        <v>0</v>
      </c>
      <c r="N53" s="104">
        <f t="shared" si="51"/>
        <v>0</v>
      </c>
      <c r="O53" s="104">
        <f t="shared" si="51"/>
        <v>0</v>
      </c>
      <c r="P53" s="104">
        <f t="shared" si="51"/>
        <v>0</v>
      </c>
      <c r="Q53" s="104">
        <f t="shared" si="51"/>
        <v>0</v>
      </c>
      <c r="R53" s="104">
        <f t="shared" si="51"/>
        <v>0</v>
      </c>
      <c r="S53" s="104">
        <f t="shared" si="51"/>
        <v>0</v>
      </c>
      <c r="T53" s="104">
        <f t="shared" si="51"/>
        <v>0</v>
      </c>
      <c r="U53" s="104">
        <f t="shared" si="51"/>
        <v>0</v>
      </c>
      <c r="V53" s="104">
        <f t="shared" si="51"/>
        <v>0</v>
      </c>
      <c r="W53" s="104">
        <f t="shared" ref="W53" si="52">IF(W11=0,0,W11/W$3)</f>
        <v>0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3.1409721742404861E-2</v>
      </c>
      <c r="C54" s="104">
        <f t="shared" si="53"/>
        <v>2.3012039347841646E-2</v>
      </c>
      <c r="D54" s="104">
        <f t="shared" ref="D54:V54" si="54">IF(D12=0,0,D12/D$3)</f>
        <v>2.6768797550931291E-2</v>
      </c>
      <c r="E54" s="104">
        <f t="shared" si="54"/>
        <v>2.405056567237045E-2</v>
      </c>
      <c r="F54" s="104">
        <f t="shared" si="54"/>
        <v>3.2833043746074458E-2</v>
      </c>
      <c r="G54" s="104">
        <f t="shared" si="54"/>
        <v>3.7624542186836932E-2</v>
      </c>
      <c r="H54" s="104">
        <f t="shared" si="54"/>
        <v>4.2546035805345231E-2</v>
      </c>
      <c r="I54" s="104">
        <f t="shared" si="54"/>
        <v>3.8497352871715206E-2</v>
      </c>
      <c r="J54" s="104">
        <f t="shared" si="54"/>
        <v>3.8221467763694998E-2</v>
      </c>
      <c r="K54" s="104">
        <f t="shared" si="54"/>
        <v>3.5822468631550856E-2</v>
      </c>
      <c r="L54" s="104">
        <f t="shared" si="54"/>
        <v>3.2187685199233165E-2</v>
      </c>
      <c r="M54" s="104">
        <f t="shared" si="54"/>
        <v>2.3357439052644823E-2</v>
      </c>
      <c r="N54" s="104">
        <f t="shared" si="54"/>
        <v>1.9379952730873326E-2</v>
      </c>
      <c r="O54" s="104">
        <f t="shared" si="54"/>
        <v>1.9399806445846827E-2</v>
      </c>
      <c r="P54" s="104">
        <f t="shared" si="54"/>
        <v>1.6731746881275406E-2</v>
      </c>
      <c r="Q54" s="104">
        <f t="shared" si="54"/>
        <v>1.5579548770655921E-2</v>
      </c>
      <c r="R54" s="104">
        <f t="shared" si="54"/>
        <v>1.164045488393267E-2</v>
      </c>
      <c r="S54" s="104">
        <f t="shared" si="54"/>
        <v>1.0671683286651969E-2</v>
      </c>
      <c r="T54" s="104">
        <f t="shared" si="54"/>
        <v>9.0512013322862316E-3</v>
      </c>
      <c r="U54" s="104">
        <f t="shared" si="54"/>
        <v>6.7944862517406385E-3</v>
      </c>
      <c r="V54" s="104">
        <f t="shared" si="54"/>
        <v>1.4714627212426149E-2</v>
      </c>
      <c r="W54" s="104">
        <f t="shared" ref="W54" si="55">IF(W12=0,0,W12/W$3)</f>
        <v>1.0275082860104817E-2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1.5453558687565008E-3</v>
      </c>
      <c r="C55" s="105">
        <f t="shared" si="56"/>
        <v>1.2746030925923654E-3</v>
      </c>
      <c r="D55" s="105">
        <f t="shared" ref="D55:V55" si="57">IF(D13=0,0,D13/D$3)</f>
        <v>1.4356222785980575E-3</v>
      </c>
      <c r="E55" s="105">
        <f t="shared" si="57"/>
        <v>1.3295935968830265E-3</v>
      </c>
      <c r="F55" s="105">
        <f t="shared" si="57"/>
        <v>1.6412376285471415E-3</v>
      </c>
      <c r="G55" s="105">
        <f t="shared" si="57"/>
        <v>1.5577315945280135E-3</v>
      </c>
      <c r="H55" s="105">
        <f t="shared" si="57"/>
        <v>1.3896119971212261E-3</v>
      </c>
      <c r="I55" s="105">
        <f t="shared" si="57"/>
        <v>1.339722717544454E-3</v>
      </c>
      <c r="J55" s="105">
        <f t="shared" si="57"/>
        <v>1.5840583126772653E-3</v>
      </c>
      <c r="K55" s="105">
        <f t="shared" si="57"/>
        <v>2.0456143048821016E-3</v>
      </c>
      <c r="L55" s="105">
        <f t="shared" si="57"/>
        <v>2.5218860616808433E-3</v>
      </c>
      <c r="M55" s="105">
        <f t="shared" si="57"/>
        <v>1.0554968919023115E-3</v>
      </c>
      <c r="N55" s="105">
        <f t="shared" si="57"/>
        <v>5.933743008152176E-4</v>
      </c>
      <c r="O55" s="105">
        <f t="shared" si="57"/>
        <v>7.079085789059549E-4</v>
      </c>
      <c r="P55" s="105">
        <f t="shared" si="57"/>
        <v>5.4469768707512403E-4</v>
      </c>
      <c r="Q55" s="105">
        <f t="shared" si="57"/>
        <v>6.068299495142626E-4</v>
      </c>
      <c r="R55" s="105">
        <f t="shared" si="57"/>
        <v>3.390761812143467E-4</v>
      </c>
      <c r="S55" s="105">
        <f t="shared" si="57"/>
        <v>3.2328648808076628E-4</v>
      </c>
      <c r="T55" s="105">
        <f t="shared" si="57"/>
        <v>3.3604713711532313E-4</v>
      </c>
      <c r="U55" s="105">
        <f t="shared" si="57"/>
        <v>7.6650598321368582E-4</v>
      </c>
      <c r="V55" s="105">
        <f t="shared" si="57"/>
        <v>5.0497547912546617E-3</v>
      </c>
      <c r="W55" s="105">
        <f t="shared" ref="W55" si="58">IF(W13=0,0,W13/W$3)</f>
        <v>1.4258731065354305E-3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429.48328979268513</v>
      </c>
      <c r="C57" s="62">
        <v>429.28751397372451</v>
      </c>
      <c r="D57" s="62">
        <v>420.14387579430877</v>
      </c>
      <c r="E57" s="62">
        <v>420.05269013609387</v>
      </c>
      <c r="F57" s="62">
        <v>418.96861738669458</v>
      </c>
      <c r="G57" s="62">
        <v>421.6438146337203</v>
      </c>
      <c r="H57" s="62">
        <v>418.23825738159815</v>
      </c>
      <c r="I57" s="62">
        <v>414.18127086064771</v>
      </c>
      <c r="J57" s="62">
        <v>412.74949356743099</v>
      </c>
      <c r="K57" s="62">
        <v>415.66030719105623</v>
      </c>
      <c r="L57" s="62">
        <v>415.19513672313263</v>
      </c>
      <c r="M57" s="62">
        <v>414.69573828569003</v>
      </c>
      <c r="N57" s="62">
        <v>408.69145546986806</v>
      </c>
      <c r="O57" s="62">
        <v>411.88474607814544</v>
      </c>
      <c r="P57" s="62">
        <v>409.88721361989712</v>
      </c>
      <c r="Q57" s="62">
        <v>407.50752814956513</v>
      </c>
      <c r="R57" s="62">
        <v>407.13194690661317</v>
      </c>
      <c r="S57" s="62">
        <v>405.00328146111332</v>
      </c>
      <c r="T57" s="62">
        <v>402.93650878232046</v>
      </c>
      <c r="U57" s="62">
        <v>400.90296428337223</v>
      </c>
      <c r="V57" s="62">
        <v>392.26496086052532</v>
      </c>
      <c r="W57" s="62">
        <v>389.20639147126406</v>
      </c>
      <c r="DA57" s="172" t="s">
        <v>313</v>
      </c>
    </row>
    <row r="58" spans="1:105" ht="11.45" customHeight="1" x14ac:dyDescent="0.25">
      <c r="A58" s="10" t="s">
        <v>33</v>
      </c>
      <c r="B58" s="14">
        <v>428.76564399954395</v>
      </c>
      <c r="C58" s="14">
        <v>428.7674950834799</v>
      </c>
      <c r="D58" s="14">
        <v>419.29022187726156</v>
      </c>
      <c r="E58" s="14">
        <v>419.28829975216001</v>
      </c>
      <c r="F58" s="14">
        <v>417.87116130570331</v>
      </c>
      <c r="G58" s="14">
        <v>420.48719599810636</v>
      </c>
      <c r="H58" s="14">
        <v>416.91611225570341</v>
      </c>
      <c r="I58" s="14">
        <v>412.93274871895318</v>
      </c>
      <c r="J58" s="14">
        <v>411.55426383298857</v>
      </c>
      <c r="K58" s="14">
        <v>414.42533735428316</v>
      </c>
      <c r="L58" s="14">
        <v>413.87582104482948</v>
      </c>
      <c r="M58" s="14">
        <v>413.89840636936924</v>
      </c>
      <c r="N58" s="14">
        <v>407.91407117371904</v>
      </c>
      <c r="O58" s="14">
        <v>411.28804534836758</v>
      </c>
      <c r="P58" s="14">
        <v>409.35485184141129</v>
      </c>
      <c r="Q58" s="14">
        <v>406.91786620778151</v>
      </c>
      <c r="R58" s="14">
        <v>406.74667047598649</v>
      </c>
      <c r="S58" s="14">
        <v>404.6496711835141</v>
      </c>
      <c r="T58" s="14">
        <v>402.74166003591262</v>
      </c>
      <c r="U58" s="14">
        <v>400.8879160966701</v>
      </c>
      <c r="V58" s="14">
        <v>391.80672229217942</v>
      </c>
      <c r="W58" s="14">
        <v>388.9718889572809</v>
      </c>
      <c r="DA58" s="189" t="s">
        <v>314</v>
      </c>
    </row>
    <row r="59" spans="1:105" ht="11.45" customHeight="1" x14ac:dyDescent="0.25">
      <c r="A59" s="83" t="s">
        <v>27</v>
      </c>
      <c r="B59" s="87">
        <v>0</v>
      </c>
      <c r="C59" s="87">
        <v>0</v>
      </c>
      <c r="D59" s="87">
        <v>0</v>
      </c>
      <c r="E59" s="87">
        <v>0</v>
      </c>
      <c r="F59" s="87">
        <v>0</v>
      </c>
      <c r="G59" s="87">
        <v>0</v>
      </c>
      <c r="H59" s="87">
        <v>0</v>
      </c>
      <c r="I59" s="87">
        <v>0</v>
      </c>
      <c r="J59" s="87">
        <v>0</v>
      </c>
      <c r="K59" s="87">
        <v>0</v>
      </c>
      <c r="L59" s="87">
        <v>0</v>
      </c>
      <c r="M59" s="87">
        <v>0</v>
      </c>
      <c r="N59" s="87">
        <v>0</v>
      </c>
      <c r="O59" s="87">
        <v>0</v>
      </c>
      <c r="P59" s="87">
        <v>0</v>
      </c>
      <c r="Q59" s="87">
        <v>0</v>
      </c>
      <c r="R59" s="87">
        <v>0</v>
      </c>
      <c r="S59" s="87">
        <v>0</v>
      </c>
      <c r="T59" s="87">
        <v>0</v>
      </c>
      <c r="U59" s="87">
        <v>0</v>
      </c>
      <c r="V59" s="87">
        <v>0</v>
      </c>
      <c r="W59" s="87">
        <v>0</v>
      </c>
      <c r="DA59" s="171" t="s">
        <v>315</v>
      </c>
    </row>
    <row r="60" spans="1:105" ht="11.45" customHeight="1" x14ac:dyDescent="0.25">
      <c r="A60" s="83" t="s">
        <v>173</v>
      </c>
      <c r="B60" s="87">
        <v>437.92056164825118</v>
      </c>
      <c r="C60" s="87">
        <v>437.92267938112235</v>
      </c>
      <c r="D60" s="87">
        <v>428.51865295692312</v>
      </c>
      <c r="E60" s="87">
        <v>428.51629194971429</v>
      </c>
      <c r="F60" s="87">
        <v>425.10537654228716</v>
      </c>
      <c r="G60" s="87">
        <v>427.80965300139576</v>
      </c>
      <c r="H60" s="87">
        <v>427.65030165081879</v>
      </c>
      <c r="I60" s="87">
        <v>423.89114487296757</v>
      </c>
      <c r="J60" s="87">
        <v>422.45550600952134</v>
      </c>
      <c r="K60" s="87">
        <v>423.69811152087277</v>
      </c>
      <c r="L60" s="87">
        <v>422.06115994852553</v>
      </c>
      <c r="M60" s="87">
        <v>421.57199983749524</v>
      </c>
      <c r="N60" s="87">
        <v>413.69851489488764</v>
      </c>
      <c r="O60" s="87">
        <v>418.17303170688348</v>
      </c>
      <c r="P60" s="87">
        <v>415.44758107676324</v>
      </c>
      <c r="Q60" s="87">
        <v>413.36075709264793</v>
      </c>
      <c r="R60" s="87">
        <v>414.96768621362622</v>
      </c>
      <c r="S60" s="87">
        <v>413.29793818650131</v>
      </c>
      <c r="T60" s="87">
        <v>409.46233124491096</v>
      </c>
      <c r="U60" s="87">
        <v>408.84774772168356</v>
      </c>
      <c r="V60" s="87">
        <v>394.96777038034998</v>
      </c>
      <c r="W60" s="87">
        <v>389.58745177469842</v>
      </c>
      <c r="DA60" s="171" t="s">
        <v>316</v>
      </c>
    </row>
    <row r="61" spans="1:105" ht="11.45" customHeight="1" x14ac:dyDescent="0.25">
      <c r="A61" s="83" t="s">
        <v>174</v>
      </c>
      <c r="B61" s="87">
        <v>382.54654430486676</v>
      </c>
      <c r="C61" s="87">
        <v>382.54654430486676</v>
      </c>
      <c r="D61" s="87">
        <v>382.54654430486681</v>
      </c>
      <c r="E61" s="87">
        <v>382.54654430486681</v>
      </c>
      <c r="F61" s="87">
        <v>382.54654430486676</v>
      </c>
      <c r="G61" s="87">
        <v>381.69473896147571</v>
      </c>
      <c r="H61" s="87">
        <v>379.09845759702671</v>
      </c>
      <c r="I61" s="87">
        <v>378.74471415252629</v>
      </c>
      <c r="J61" s="87">
        <v>378.36790662576004</v>
      </c>
      <c r="K61" s="87">
        <v>378.17658802442804</v>
      </c>
      <c r="L61" s="87">
        <v>378.05455972922385</v>
      </c>
      <c r="M61" s="87">
        <v>385.67789723368099</v>
      </c>
      <c r="N61" s="87">
        <v>388.42221064808143</v>
      </c>
      <c r="O61" s="87">
        <v>392.23130583087323</v>
      </c>
      <c r="P61" s="87">
        <v>395.66448694281684</v>
      </c>
      <c r="Q61" s="87">
        <v>390.64753498841611</v>
      </c>
      <c r="R61" s="87">
        <v>389.95265597828001</v>
      </c>
      <c r="S61" s="87">
        <v>382.77391599518006</v>
      </c>
      <c r="T61" s="87">
        <v>386.10775302187466</v>
      </c>
      <c r="U61" s="87">
        <v>381.31132339645654</v>
      </c>
      <c r="V61" s="87">
        <v>379.45012003579581</v>
      </c>
      <c r="W61" s="87">
        <v>387.72767140947326</v>
      </c>
      <c r="DA61" s="171" t="s">
        <v>317</v>
      </c>
    </row>
    <row r="62" spans="1:105" ht="11.45" customHeight="1" x14ac:dyDescent="0.25">
      <c r="A62" s="12" t="s">
        <v>34</v>
      </c>
      <c r="B62" s="15">
        <v>451.1861656893617</v>
      </c>
      <c r="C62" s="15">
        <v>450.78828582098333</v>
      </c>
      <c r="D62" s="15">
        <v>450.92655621442202</v>
      </c>
      <c r="E62" s="15">
        <v>450.75816280831788</v>
      </c>
      <c r="F62" s="15">
        <v>451.17795066803234</v>
      </c>
      <c r="G62" s="15">
        <v>451.24873285088648</v>
      </c>
      <c r="H62" s="15">
        <v>449.62674627455192</v>
      </c>
      <c r="I62" s="15">
        <v>447.76150351721003</v>
      </c>
      <c r="J62" s="15">
        <v>445.27530790715406</v>
      </c>
      <c r="K62" s="15">
        <v>449.44088911538535</v>
      </c>
      <c r="L62" s="15">
        <v>454.61383625611012</v>
      </c>
      <c r="M62" s="15">
        <v>449.33010679861638</v>
      </c>
      <c r="N62" s="15">
        <v>451.54826148482351</v>
      </c>
      <c r="O62" s="15">
        <v>443.22780650968525</v>
      </c>
      <c r="P62" s="15">
        <v>443.60499281945636</v>
      </c>
      <c r="Q62" s="15">
        <v>446.78182201439665</v>
      </c>
      <c r="R62" s="15">
        <v>444.68164729889935</v>
      </c>
      <c r="S62" s="15">
        <v>441.87593706586159</v>
      </c>
      <c r="T62" s="15">
        <v>426.60685908230175</v>
      </c>
      <c r="U62" s="15">
        <v>403.0010600028109</v>
      </c>
      <c r="V62" s="15">
        <v>415.67278551819476</v>
      </c>
      <c r="W62" s="15">
        <v>409.69262448409717</v>
      </c>
      <c r="DA62" s="193" t="s">
        <v>318</v>
      </c>
    </row>
    <row r="63" spans="1:105" ht="11.45" customHeight="1" x14ac:dyDescent="0.25">
      <c r="A63" s="92" t="s">
        <v>27</v>
      </c>
      <c r="B63" s="101">
        <v>0</v>
      </c>
      <c r="C63" s="101">
        <v>0</v>
      </c>
      <c r="D63" s="101">
        <v>0</v>
      </c>
      <c r="E63" s="101">
        <v>0</v>
      </c>
      <c r="F63" s="101">
        <v>0</v>
      </c>
      <c r="G63" s="101">
        <v>0</v>
      </c>
      <c r="H63" s="101">
        <v>0</v>
      </c>
      <c r="I63" s="101">
        <v>0</v>
      </c>
      <c r="J63" s="101">
        <v>0</v>
      </c>
      <c r="K63" s="101">
        <v>0</v>
      </c>
      <c r="L63" s="101">
        <v>0</v>
      </c>
      <c r="M63" s="101">
        <v>0</v>
      </c>
      <c r="N63" s="101">
        <v>0</v>
      </c>
      <c r="O63" s="101">
        <v>0</v>
      </c>
      <c r="P63" s="101">
        <v>0</v>
      </c>
      <c r="Q63" s="101">
        <v>0</v>
      </c>
      <c r="R63" s="101">
        <v>0</v>
      </c>
      <c r="S63" s="101">
        <v>0</v>
      </c>
      <c r="T63" s="101">
        <v>0</v>
      </c>
      <c r="U63" s="101">
        <v>0</v>
      </c>
      <c r="V63" s="101">
        <v>0</v>
      </c>
      <c r="W63" s="101">
        <v>0</v>
      </c>
      <c r="DA63" s="175" t="s">
        <v>319</v>
      </c>
    </row>
    <row r="64" spans="1:105" ht="11.45" customHeight="1" x14ac:dyDescent="0.25">
      <c r="A64" s="92" t="s">
        <v>173</v>
      </c>
      <c r="B64" s="101">
        <v>455.00499419362706</v>
      </c>
      <c r="C64" s="101">
        <v>455.05992355946495</v>
      </c>
      <c r="D64" s="101">
        <v>455.07209359061881</v>
      </c>
      <c r="E64" s="101">
        <v>455.01927842653362</v>
      </c>
      <c r="F64" s="101">
        <v>455.05772415965879</v>
      </c>
      <c r="G64" s="101">
        <v>454.45916822532377</v>
      </c>
      <c r="H64" s="101">
        <v>453.38124376886901</v>
      </c>
      <c r="I64" s="101">
        <v>451.61281287434338</v>
      </c>
      <c r="J64" s="101">
        <v>448.64426190543435</v>
      </c>
      <c r="K64" s="101">
        <v>451.87949171978499</v>
      </c>
      <c r="L64" s="101">
        <v>456.25900108871906</v>
      </c>
      <c r="M64" s="101">
        <v>455.98350835135045</v>
      </c>
      <c r="N64" s="101">
        <v>449.83000745431008</v>
      </c>
      <c r="O64" s="101">
        <v>443.00535905429388</v>
      </c>
      <c r="P64" s="101">
        <v>445.33719347851297</v>
      </c>
      <c r="Q64" s="101">
        <v>446.48585629403061</v>
      </c>
      <c r="R64" s="101">
        <v>444.11573047780013</v>
      </c>
      <c r="S64" s="101">
        <v>434.76208565529203</v>
      </c>
      <c r="T64" s="101">
        <v>421.93485027241718</v>
      </c>
      <c r="U64" s="101">
        <v>386.56355890579329</v>
      </c>
      <c r="V64" s="101">
        <v>397.79360215412862</v>
      </c>
      <c r="W64" s="101">
        <v>399.30960659703476</v>
      </c>
      <c r="DA64" s="175" t="s">
        <v>320</v>
      </c>
    </row>
    <row r="65" spans="1:105" ht="11.45" customHeight="1" x14ac:dyDescent="0.25">
      <c r="A65" s="85" t="s">
        <v>174</v>
      </c>
      <c r="B65" s="88">
        <v>389.95772827221401</v>
      </c>
      <c r="C65" s="88">
        <v>389.95772827221401</v>
      </c>
      <c r="D65" s="88">
        <v>389.95772827221407</v>
      </c>
      <c r="E65" s="88">
        <v>389.95772827221401</v>
      </c>
      <c r="F65" s="88">
        <v>389.95772827221401</v>
      </c>
      <c r="G65" s="88">
        <v>388.32955612254364</v>
      </c>
      <c r="H65" s="88">
        <v>386.69677948811227</v>
      </c>
      <c r="I65" s="88">
        <v>393.52886935927376</v>
      </c>
      <c r="J65" s="88">
        <v>405.19288370347476</v>
      </c>
      <c r="K65" s="88">
        <v>419.74703996856351</v>
      </c>
      <c r="L65" s="88">
        <v>437.21081067974956</v>
      </c>
      <c r="M65" s="88">
        <v>366.01599503168654</v>
      </c>
      <c r="N65" s="88">
        <v>493.21302442440208</v>
      </c>
      <c r="O65" s="88">
        <v>446.99664047895965</v>
      </c>
      <c r="P65" s="88">
        <v>418.20307550974854</v>
      </c>
      <c r="Q65" s="88">
        <v>451.14454914847397</v>
      </c>
      <c r="R65" s="88">
        <v>452.89406309865217</v>
      </c>
      <c r="S65" s="88">
        <v>591.83615222362982</v>
      </c>
      <c r="T65" s="88">
        <v>492.99170911516245</v>
      </c>
      <c r="U65" s="88">
        <v>484.94303023507968</v>
      </c>
      <c r="V65" s="88">
        <v>501.57803728965661</v>
      </c>
      <c r="W65" s="88">
        <v>459.98166448096032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1.0330822922318792</v>
      </c>
      <c r="C67" s="59">
        <f t="shared" ref="C67:W67" si="60">IF(C3=0,0,C17/C57)</f>
        <v>1.041444245395617</v>
      </c>
      <c r="D67" s="59">
        <f t="shared" si="60"/>
        <v>1.199163850999051</v>
      </c>
      <c r="E67" s="59">
        <f t="shared" si="60"/>
        <v>1.2015763271283204</v>
      </c>
      <c r="F67" s="59">
        <f t="shared" si="60"/>
        <v>1.1816065834130236</v>
      </c>
      <c r="G67" s="59">
        <f t="shared" si="60"/>
        <v>1.0860392599414175</v>
      </c>
      <c r="H67" s="59">
        <f t="shared" si="60"/>
        <v>1.0533645936654747</v>
      </c>
      <c r="I67" s="59">
        <f t="shared" si="60"/>
        <v>0.99622902380313427</v>
      </c>
      <c r="J67" s="59">
        <f t="shared" si="60"/>
        <v>0.96924403441704698</v>
      </c>
      <c r="K67" s="59">
        <f t="shared" si="60"/>
        <v>0.96193406917251179</v>
      </c>
      <c r="L67" s="59">
        <f t="shared" si="60"/>
        <v>0.99364942850680071</v>
      </c>
      <c r="M67" s="59">
        <f t="shared" si="60"/>
        <v>1.0801790202072421</v>
      </c>
      <c r="N67" s="59">
        <f t="shared" si="60"/>
        <v>1.0360983897697873</v>
      </c>
      <c r="O67" s="59">
        <f t="shared" si="60"/>
        <v>0.99933462853778021</v>
      </c>
      <c r="P67" s="59">
        <f t="shared" si="60"/>
        <v>0.95613319554581977</v>
      </c>
      <c r="Q67" s="59">
        <f t="shared" si="60"/>
        <v>0.97684392005302179</v>
      </c>
      <c r="R67" s="59">
        <f t="shared" si="60"/>
        <v>0.93866626257447183</v>
      </c>
      <c r="S67" s="59">
        <f t="shared" si="60"/>
        <v>0.96906473323883036</v>
      </c>
      <c r="T67" s="59">
        <f t="shared" si="60"/>
        <v>0.94853634313311253</v>
      </c>
      <c r="U67" s="59">
        <f t="shared" si="60"/>
        <v>0.94477926345910324</v>
      </c>
      <c r="V67" s="59">
        <f t="shared" si="60"/>
        <v>0.93771420456598908</v>
      </c>
      <c r="W67" s="59">
        <f t="shared" si="60"/>
        <v>0.90564276460941862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1.0337994224110796</v>
      </c>
      <c r="C68" s="23">
        <f t="shared" ref="C68:W68" si="62">IF(C6=0,0,C18/C58)</f>
        <v>1.0419899668167962</v>
      </c>
      <c r="D68" s="23">
        <f t="shared" si="62"/>
        <v>1.200097341328753</v>
      </c>
      <c r="E68" s="23">
        <f t="shared" si="62"/>
        <v>1.2024214206003772</v>
      </c>
      <c r="F68" s="23">
        <f t="shared" si="62"/>
        <v>1.1828423825470036</v>
      </c>
      <c r="G68" s="23">
        <f t="shared" si="62"/>
        <v>1.0872355722366855</v>
      </c>
      <c r="H68" s="23">
        <f t="shared" si="62"/>
        <v>1.0528329601777697</v>
      </c>
      <c r="I68" s="23">
        <f t="shared" si="62"/>
        <v>0.99510635235001099</v>
      </c>
      <c r="J68" s="23">
        <f t="shared" si="62"/>
        <v>0.96766407198005344</v>
      </c>
      <c r="K68" s="23">
        <f t="shared" si="62"/>
        <v>0.96220150190061426</v>
      </c>
      <c r="L68" s="23">
        <f t="shared" si="62"/>
        <v>0.99442254846692357</v>
      </c>
      <c r="M68" s="23">
        <f t="shared" si="62"/>
        <v>1.0801456248336936</v>
      </c>
      <c r="N68" s="23">
        <f t="shared" si="62"/>
        <v>1.0357927957579443</v>
      </c>
      <c r="O68" s="23">
        <f t="shared" si="62"/>
        <v>0.99933054331590487</v>
      </c>
      <c r="P68" s="23">
        <f t="shared" si="62"/>
        <v>0.95569121133901835</v>
      </c>
      <c r="Q68" s="23">
        <f t="shared" si="62"/>
        <v>0.97687477206279838</v>
      </c>
      <c r="R68" s="23">
        <f t="shared" si="62"/>
        <v>0.93782471368736986</v>
      </c>
      <c r="S68" s="23">
        <f t="shared" si="62"/>
        <v>0.96844664128118263</v>
      </c>
      <c r="T68" s="23">
        <f t="shared" si="62"/>
        <v>0.94782536929547467</v>
      </c>
      <c r="U68" s="23">
        <f t="shared" si="62"/>
        <v>0.94439625520343418</v>
      </c>
      <c r="V68" s="23">
        <f t="shared" si="62"/>
        <v>0.93827109746087523</v>
      </c>
      <c r="W68" s="23">
        <f t="shared" si="62"/>
        <v>0.90583710036199294</v>
      </c>
      <c r="DA68" s="189"/>
    </row>
    <row r="69" spans="1:105" ht="11.45" customHeight="1" x14ac:dyDescent="0.25">
      <c r="A69" s="83" t="s">
        <v>27</v>
      </c>
      <c r="B69" s="91">
        <f t="shared" si="61"/>
        <v>0</v>
      </c>
      <c r="C69" s="91">
        <f t="shared" ref="C69:W69" si="63">IF(C7=0,0,C19/C59)</f>
        <v>0</v>
      </c>
      <c r="D69" s="91">
        <f t="shared" si="63"/>
        <v>0</v>
      </c>
      <c r="E69" s="91">
        <f t="shared" si="63"/>
        <v>0</v>
      </c>
      <c r="F69" s="91">
        <f t="shared" si="63"/>
        <v>0</v>
      </c>
      <c r="G69" s="91">
        <f t="shared" si="63"/>
        <v>0</v>
      </c>
      <c r="H69" s="91">
        <f t="shared" si="63"/>
        <v>0</v>
      </c>
      <c r="I69" s="91">
        <f t="shared" si="63"/>
        <v>0</v>
      </c>
      <c r="J69" s="91">
        <f t="shared" si="63"/>
        <v>0</v>
      </c>
      <c r="K69" s="91">
        <f t="shared" si="63"/>
        <v>0</v>
      </c>
      <c r="L69" s="91">
        <f t="shared" si="63"/>
        <v>0</v>
      </c>
      <c r="M69" s="91">
        <f t="shared" si="63"/>
        <v>0</v>
      </c>
      <c r="N69" s="91">
        <f t="shared" si="63"/>
        <v>0</v>
      </c>
      <c r="O69" s="91">
        <f t="shared" si="63"/>
        <v>0</v>
      </c>
      <c r="P69" s="91">
        <f t="shared" si="63"/>
        <v>0</v>
      </c>
      <c r="Q69" s="91">
        <f t="shared" si="63"/>
        <v>0</v>
      </c>
      <c r="R69" s="91">
        <f t="shared" si="63"/>
        <v>0</v>
      </c>
      <c r="S69" s="91">
        <f t="shared" si="63"/>
        <v>0</v>
      </c>
      <c r="T69" s="91">
        <f t="shared" si="63"/>
        <v>0</v>
      </c>
      <c r="U69" s="91">
        <f t="shared" si="63"/>
        <v>0</v>
      </c>
      <c r="V69" s="91">
        <f t="shared" si="63"/>
        <v>0</v>
      </c>
      <c r="W69" s="91">
        <f t="shared" si="63"/>
        <v>0</v>
      </c>
      <c r="DA69" s="171"/>
    </row>
    <row r="70" spans="1:105" ht="11.45" customHeight="1" x14ac:dyDescent="0.25">
      <c r="A70" s="83" t="s">
        <v>173</v>
      </c>
      <c r="B70" s="91">
        <f t="shared" si="61"/>
        <v>1.0327883562186631</v>
      </c>
      <c r="C70" s="91">
        <f t="shared" ref="C70:W70" si="64">IF(C8=0,0,C20/C60)</f>
        <v>1.0409697164877334</v>
      </c>
      <c r="D70" s="91">
        <f t="shared" si="64"/>
        <v>1.2001961227218683</v>
      </c>
      <c r="E70" s="91">
        <f t="shared" si="64"/>
        <v>1.2025219495351727</v>
      </c>
      <c r="F70" s="91">
        <f t="shared" si="64"/>
        <v>1.1835643900525707</v>
      </c>
      <c r="G70" s="91">
        <f t="shared" si="64"/>
        <v>1.0820331970283488</v>
      </c>
      <c r="H70" s="91">
        <f t="shared" si="64"/>
        <v>1.1232495547155323</v>
      </c>
      <c r="I70" s="91">
        <f t="shared" si="64"/>
        <v>1.092038094773272</v>
      </c>
      <c r="J70" s="91">
        <f t="shared" si="64"/>
        <v>1.0663205965967979</v>
      </c>
      <c r="K70" s="91">
        <f t="shared" si="64"/>
        <v>0.99720839062480449</v>
      </c>
      <c r="L70" s="91">
        <f t="shared" si="64"/>
        <v>1.0044754711938499</v>
      </c>
      <c r="M70" s="91">
        <f t="shared" si="64"/>
        <v>1.1343000901704035</v>
      </c>
      <c r="N70" s="91">
        <f t="shared" si="64"/>
        <v>1.1008844325557305</v>
      </c>
      <c r="O70" s="91">
        <f t="shared" si="64"/>
        <v>1.1022480235304348</v>
      </c>
      <c r="P70" s="91">
        <f t="shared" si="64"/>
        <v>1.1184925257813523</v>
      </c>
      <c r="Q70" s="91">
        <f t="shared" si="64"/>
        <v>1.1055275906578257</v>
      </c>
      <c r="R70" s="91">
        <f t="shared" si="64"/>
        <v>1.1458775635022718</v>
      </c>
      <c r="S70" s="91">
        <f t="shared" si="64"/>
        <v>1.1202990884756969</v>
      </c>
      <c r="T70" s="91">
        <f t="shared" si="64"/>
        <v>1.1034938024472747</v>
      </c>
      <c r="U70" s="91">
        <f t="shared" si="64"/>
        <v>1.0905178572371865</v>
      </c>
      <c r="V70" s="91">
        <f t="shared" si="64"/>
        <v>0.86313797545278037</v>
      </c>
      <c r="W70" s="91">
        <f t="shared" si="64"/>
        <v>1.0432083160944565</v>
      </c>
      <c r="DA70" s="171"/>
    </row>
    <row r="71" spans="1:105" ht="11.45" customHeight="1" x14ac:dyDescent="0.25">
      <c r="A71" s="83" t="s">
        <v>174</v>
      </c>
      <c r="B71" s="91">
        <f t="shared" si="61"/>
        <v>1.0396427156619703</v>
      </c>
      <c r="C71" s="91">
        <f t="shared" ref="C71:W71" si="65">IF(C9=0,0,C21/C61)</f>
        <v>1.0478864312213678</v>
      </c>
      <c r="D71" s="91">
        <f t="shared" si="65"/>
        <v>1.1996567709008634</v>
      </c>
      <c r="E71" s="91">
        <f t="shared" si="65"/>
        <v>1.2019730606428229</v>
      </c>
      <c r="F71" s="91">
        <f t="shared" si="65"/>
        <v>1.178924602386346</v>
      </c>
      <c r="G71" s="91">
        <f t="shared" si="65"/>
        <v>1.1181261858114608</v>
      </c>
      <c r="H71" s="91">
        <f t="shared" si="65"/>
        <v>0.77297534999319395</v>
      </c>
      <c r="I71" s="91">
        <f t="shared" si="65"/>
        <v>0.65665136249509393</v>
      </c>
      <c r="J71" s="91">
        <f t="shared" si="65"/>
        <v>0.63233122916333406</v>
      </c>
      <c r="K71" s="91">
        <f t="shared" si="65"/>
        <v>0.80888152428565463</v>
      </c>
      <c r="L71" s="91">
        <f t="shared" si="65"/>
        <v>0.94530717390945163</v>
      </c>
      <c r="M71" s="91">
        <f t="shared" si="65"/>
        <v>0.8624511848459151</v>
      </c>
      <c r="N71" s="91">
        <f t="shared" si="65"/>
        <v>0.80217991021839852</v>
      </c>
      <c r="O71" s="91">
        <f t="shared" si="65"/>
        <v>0.69562800213341847</v>
      </c>
      <c r="P71" s="91">
        <f t="shared" si="65"/>
        <v>0.57158598577924591</v>
      </c>
      <c r="Q71" s="91">
        <f t="shared" si="65"/>
        <v>0.63309598186297444</v>
      </c>
      <c r="R71" s="91">
        <f t="shared" si="65"/>
        <v>0.48554708165057164</v>
      </c>
      <c r="S71" s="91">
        <f t="shared" si="65"/>
        <v>0.55370593409600133</v>
      </c>
      <c r="T71" s="91">
        <f t="shared" si="65"/>
        <v>0.53923548841236613</v>
      </c>
      <c r="U71" s="91">
        <f t="shared" si="65"/>
        <v>0.55906915295588122</v>
      </c>
      <c r="V71" s="91">
        <f t="shared" si="65"/>
        <v>1.2439787879248494</v>
      </c>
      <c r="W71" s="91">
        <f t="shared" si="65"/>
        <v>0.62684118279486056</v>
      </c>
      <c r="DA71" s="171"/>
    </row>
    <row r="72" spans="1:105" ht="11.45" customHeight="1" x14ac:dyDescent="0.25">
      <c r="A72" s="12" t="s">
        <v>34</v>
      </c>
      <c r="B72" s="24">
        <f t="shared" si="61"/>
        <v>1.0124727024608473</v>
      </c>
      <c r="C72" s="24">
        <f t="shared" ref="C72:W72" si="66">IF(C10=0,0,C22/C62)</f>
        <v>1.0199829879581253</v>
      </c>
      <c r="D72" s="24">
        <f t="shared" si="66"/>
        <v>1.1678639228080112</v>
      </c>
      <c r="E72" s="24">
        <f t="shared" si="66"/>
        <v>1.169999065699399</v>
      </c>
      <c r="F72" s="24">
        <f t="shared" si="66"/>
        <v>1.1480144949540596</v>
      </c>
      <c r="G72" s="24">
        <f t="shared" si="66"/>
        <v>1.0575057612334673</v>
      </c>
      <c r="H72" s="24">
        <f t="shared" si="66"/>
        <v>1.0650676730579112</v>
      </c>
      <c r="I72" s="24">
        <f t="shared" si="66"/>
        <v>1.0240756578011105</v>
      </c>
      <c r="J72" s="24">
        <f t="shared" si="66"/>
        <v>1.0089835020307953</v>
      </c>
      <c r="K72" s="24">
        <f t="shared" si="66"/>
        <v>0.95518880365674552</v>
      </c>
      <c r="L72" s="24">
        <f t="shared" si="66"/>
        <v>0.97261998111123149</v>
      </c>
      <c r="M72" s="24">
        <f t="shared" si="66"/>
        <v>1.0815152546619169</v>
      </c>
      <c r="N72" s="24">
        <f t="shared" si="66"/>
        <v>1.0513176446452093</v>
      </c>
      <c r="O72" s="24">
        <f t="shared" si="66"/>
        <v>0.99953375068530581</v>
      </c>
      <c r="P72" s="24">
        <f t="shared" si="66"/>
        <v>0.98196545315369532</v>
      </c>
      <c r="Q72" s="24">
        <f t="shared" si="66"/>
        <v>0.97497237618587429</v>
      </c>
      <c r="R72" s="24">
        <f t="shared" si="66"/>
        <v>1.0136881843903545</v>
      </c>
      <c r="S72" s="24">
        <f t="shared" si="66"/>
        <v>1.0280864000795251</v>
      </c>
      <c r="T72" s="24">
        <f t="shared" si="66"/>
        <v>1.0300742222782726</v>
      </c>
      <c r="U72" s="24">
        <f t="shared" si="66"/>
        <v>0.99790023865171451</v>
      </c>
      <c r="V72" s="24">
        <f t="shared" si="66"/>
        <v>0.91090021819240552</v>
      </c>
      <c r="W72" s="24">
        <f t="shared" si="66"/>
        <v>0.88952416223071129</v>
      </c>
      <c r="DA72" s="193"/>
    </row>
    <row r="73" spans="1:105" ht="11.45" customHeight="1" x14ac:dyDescent="0.25">
      <c r="A73" s="92" t="s">
        <v>27</v>
      </c>
      <c r="B73" s="93">
        <f t="shared" si="61"/>
        <v>0</v>
      </c>
      <c r="C73" s="93">
        <f t="shared" ref="C73:W73" si="67">IF(C11=0,0,C23/C63)</f>
        <v>0</v>
      </c>
      <c r="D73" s="93">
        <f t="shared" si="67"/>
        <v>0</v>
      </c>
      <c r="E73" s="93">
        <f t="shared" si="67"/>
        <v>0</v>
      </c>
      <c r="F73" s="93">
        <f t="shared" si="67"/>
        <v>0</v>
      </c>
      <c r="G73" s="93">
        <f t="shared" si="67"/>
        <v>0</v>
      </c>
      <c r="H73" s="93">
        <f t="shared" si="67"/>
        <v>0</v>
      </c>
      <c r="I73" s="93">
        <f t="shared" si="67"/>
        <v>0</v>
      </c>
      <c r="J73" s="93">
        <f t="shared" si="67"/>
        <v>0</v>
      </c>
      <c r="K73" s="93">
        <f t="shared" si="67"/>
        <v>0</v>
      </c>
      <c r="L73" s="93">
        <f t="shared" si="67"/>
        <v>0</v>
      </c>
      <c r="M73" s="93">
        <f t="shared" si="67"/>
        <v>0</v>
      </c>
      <c r="N73" s="93">
        <f t="shared" si="67"/>
        <v>0</v>
      </c>
      <c r="O73" s="93">
        <f t="shared" si="67"/>
        <v>0</v>
      </c>
      <c r="P73" s="93">
        <f t="shared" si="67"/>
        <v>0</v>
      </c>
      <c r="Q73" s="93">
        <f t="shared" si="67"/>
        <v>0</v>
      </c>
      <c r="R73" s="93">
        <f t="shared" si="67"/>
        <v>0</v>
      </c>
      <c r="S73" s="93">
        <f t="shared" si="67"/>
        <v>0</v>
      </c>
      <c r="T73" s="93">
        <f t="shared" si="67"/>
        <v>0</v>
      </c>
      <c r="U73" s="93">
        <f t="shared" si="67"/>
        <v>0</v>
      </c>
      <c r="V73" s="93">
        <f t="shared" si="67"/>
        <v>0</v>
      </c>
      <c r="W73" s="93">
        <f t="shared" si="67"/>
        <v>0</v>
      </c>
      <c r="DA73" s="175"/>
    </row>
    <row r="74" spans="1:105" ht="11.45" customHeight="1" x14ac:dyDescent="0.25">
      <c r="A74" s="92" t="s">
        <v>173</v>
      </c>
      <c r="B74" s="93">
        <f t="shared" si="61"/>
        <v>1.0165776451500286</v>
      </c>
      <c r="C74" s="93">
        <f t="shared" ref="C74:W74" si="68">IF(C12=0,0,C24/C64)</f>
        <v>1.0246096130351288</v>
      </c>
      <c r="D74" s="93">
        <f t="shared" si="68"/>
        <v>1.1730013430398494</v>
      </c>
      <c r="E74" s="93">
        <f t="shared" si="68"/>
        <v>1.1752979900899396</v>
      </c>
      <c r="F74" s="93">
        <f t="shared" si="68"/>
        <v>1.1527383184342073</v>
      </c>
      <c r="G74" s="93">
        <f t="shared" si="68"/>
        <v>1.0597377408326796</v>
      </c>
      <c r="H74" s="93">
        <f t="shared" si="68"/>
        <v>1.0838645755795915</v>
      </c>
      <c r="I74" s="93">
        <f t="shared" si="68"/>
        <v>1.0508757096594676</v>
      </c>
      <c r="J74" s="93">
        <f t="shared" si="68"/>
        <v>1.0423753409210594</v>
      </c>
      <c r="K74" s="93">
        <f t="shared" si="68"/>
        <v>0.97252042295407282</v>
      </c>
      <c r="L74" s="93">
        <f t="shared" si="68"/>
        <v>0.98365737544788345</v>
      </c>
      <c r="M74" s="93">
        <f t="shared" si="68"/>
        <v>1.1010863877467536</v>
      </c>
      <c r="N74" s="93">
        <f t="shared" si="68"/>
        <v>1.0662102193438339</v>
      </c>
      <c r="O74" s="93">
        <f t="shared" si="68"/>
        <v>1.0217755413913692</v>
      </c>
      <c r="P74" s="93">
        <f t="shared" si="68"/>
        <v>1.0119051178348837</v>
      </c>
      <c r="Q74" s="93">
        <f t="shared" si="68"/>
        <v>1.0027468470203535</v>
      </c>
      <c r="R74" s="93">
        <f t="shared" si="68"/>
        <v>1.0542137366030715</v>
      </c>
      <c r="S74" s="93">
        <f t="shared" si="68"/>
        <v>1.0622961890889415</v>
      </c>
      <c r="T74" s="93">
        <f t="shared" si="68"/>
        <v>1.0748698805753163</v>
      </c>
      <c r="U74" s="93">
        <f t="shared" si="68"/>
        <v>1.1224017070605488</v>
      </c>
      <c r="V74" s="93">
        <f t="shared" si="68"/>
        <v>0.85613674965022479</v>
      </c>
      <c r="W74" s="93">
        <f t="shared" si="68"/>
        <v>0.96690878187156504</v>
      </c>
      <c r="DA74" s="175"/>
    </row>
    <row r="75" spans="1:105" ht="11.45" customHeight="1" x14ac:dyDescent="0.25">
      <c r="A75" s="85" t="s">
        <v>174</v>
      </c>
      <c r="B75" s="94">
        <f t="shared" si="61"/>
        <v>0.93567844409577339</v>
      </c>
      <c r="C75" s="94">
        <f t="shared" ref="C75:W75" si="69">IF(C13=0,0,C25/C65)</f>
        <v>0.94309778809923106</v>
      </c>
      <c r="D75" s="94">
        <f t="shared" si="69"/>
        <v>1.0796910938107771</v>
      </c>
      <c r="E75" s="94">
        <f t="shared" si="69"/>
        <v>1.0817757545785407</v>
      </c>
      <c r="F75" s="94">
        <f t="shared" si="69"/>
        <v>1.0610321421477114</v>
      </c>
      <c r="G75" s="94">
        <f t="shared" si="69"/>
        <v>1.0063135672303147</v>
      </c>
      <c r="H75" s="94">
        <f t="shared" si="69"/>
        <v>0.6956778149938746</v>
      </c>
      <c r="I75" s="94">
        <f t="shared" si="69"/>
        <v>0.59098622624558461</v>
      </c>
      <c r="J75" s="94">
        <f t="shared" si="69"/>
        <v>0.56909810624700063</v>
      </c>
      <c r="K75" s="94">
        <f t="shared" si="69"/>
        <v>0.72799337185708912</v>
      </c>
      <c r="L75" s="94">
        <f t="shared" si="69"/>
        <v>0.85077645651850642</v>
      </c>
      <c r="M75" s="94">
        <f t="shared" si="69"/>
        <v>0.77620606636132339</v>
      </c>
      <c r="N75" s="94">
        <f t="shared" si="69"/>
        <v>0.72196191919655861</v>
      </c>
      <c r="O75" s="94">
        <f t="shared" si="69"/>
        <v>0.62606520192007675</v>
      </c>
      <c r="P75" s="94">
        <f t="shared" si="69"/>
        <v>0.51442738720132153</v>
      </c>
      <c r="Q75" s="94">
        <f t="shared" si="69"/>
        <v>0.56978638367667711</v>
      </c>
      <c r="R75" s="94">
        <f t="shared" si="69"/>
        <v>0.43699237348551462</v>
      </c>
      <c r="S75" s="94">
        <f t="shared" si="69"/>
        <v>0.49833534068640117</v>
      </c>
      <c r="T75" s="94">
        <f t="shared" si="69"/>
        <v>0.48531193957112939</v>
      </c>
      <c r="U75" s="94">
        <f t="shared" si="69"/>
        <v>0.50316223766029311</v>
      </c>
      <c r="V75" s="94">
        <f t="shared" si="69"/>
        <v>1.1195809091323643</v>
      </c>
      <c r="W75" s="94">
        <f t="shared" si="69"/>
        <v>0.56415706451537451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849.77172000000007</v>
      </c>
      <c r="C3" s="79">
        <f t="shared" si="0"/>
        <v>995.62806000000012</v>
      </c>
      <c r="D3" s="79">
        <f t="shared" ref="D3" si="1">SUM(D4:D5)</f>
        <v>957.57857999999999</v>
      </c>
      <c r="E3" s="79">
        <f t="shared" ref="E3" si="2">SUM(E4:E5)</f>
        <v>1024.16517</v>
      </c>
      <c r="F3" s="79">
        <f t="shared" ref="F3" si="3">SUM(F4:F5)</f>
        <v>935.38305000000003</v>
      </c>
      <c r="G3" s="79">
        <f t="shared" ref="G3" si="4">SUM(G4:G5)</f>
        <v>922.69989000000021</v>
      </c>
      <c r="H3" s="79">
        <f t="shared" ref="H3" si="5">SUM(H4:H5)</f>
        <v>951.23699999999974</v>
      </c>
      <c r="I3" s="79">
        <f t="shared" ref="I3" si="6">SUM(I4:I5)</f>
        <v>910.01673000000028</v>
      </c>
      <c r="J3" s="79">
        <f t="shared" ref="J3" si="7">SUM(J4:J5)</f>
        <v>906.84594000000016</v>
      </c>
      <c r="K3" s="79">
        <f t="shared" ref="K3" si="8">SUM(K4:K5)</f>
        <v>840.25934999999981</v>
      </c>
      <c r="L3" s="79">
        <f t="shared" ref="L3" si="9">SUM(L4:L5)</f>
        <v>856.11329999999998</v>
      </c>
      <c r="M3" s="79">
        <f t="shared" ref="M3" si="10">SUM(M4:M5)</f>
        <v>932.21226000000036</v>
      </c>
      <c r="N3" s="79">
        <f t="shared" ref="N3" si="11">SUM(N4:N5)</f>
        <v>837.08856000000026</v>
      </c>
      <c r="O3" s="79">
        <f t="shared" ref="O3" si="12">SUM(O4:O5)</f>
        <v>745.13565000000006</v>
      </c>
      <c r="P3" s="79">
        <f t="shared" ref="P3" si="13">SUM(P4:P5)</f>
        <v>732.45249000000013</v>
      </c>
      <c r="Q3" s="79">
        <f t="shared" ref="Q3" si="14">SUM(Q4:Q5)</f>
        <v>738.79407000000003</v>
      </c>
      <c r="R3" s="79">
        <f t="shared" ref="R3" si="15">SUM(R4:R5)</f>
        <v>833.9177699999999</v>
      </c>
      <c r="S3" s="79">
        <f t="shared" ref="S3" si="16">SUM(S4:S5)</f>
        <v>944.28041615999996</v>
      </c>
      <c r="T3" s="79">
        <f t="shared" ref="T3" si="17">SUM(T4:T5)</f>
        <v>977.34204936000015</v>
      </c>
      <c r="U3" s="79">
        <f t="shared" ref="U3" si="18">SUM(U4:U5)</f>
        <v>936.04904532</v>
      </c>
      <c r="V3" s="79">
        <f t="shared" ref="V3:W3" si="19">SUM(V4:V5)</f>
        <v>286.55710488000005</v>
      </c>
      <c r="W3" s="79">
        <f t="shared" si="19"/>
        <v>474.66415691999993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0</v>
      </c>
      <c r="C4" s="96">
        <f t="shared" si="20"/>
        <v>0</v>
      </c>
      <c r="D4" s="96">
        <f t="shared" ref="D4:V4" si="21">SUM(D7,D11)</f>
        <v>0</v>
      </c>
      <c r="E4" s="96">
        <f t="shared" si="21"/>
        <v>0</v>
      </c>
      <c r="F4" s="96">
        <f t="shared" si="21"/>
        <v>0</v>
      </c>
      <c r="G4" s="96">
        <f t="shared" si="21"/>
        <v>0</v>
      </c>
      <c r="H4" s="96">
        <f t="shared" si="21"/>
        <v>0</v>
      </c>
      <c r="I4" s="96">
        <f t="shared" si="21"/>
        <v>0</v>
      </c>
      <c r="J4" s="96">
        <f t="shared" si="21"/>
        <v>0</v>
      </c>
      <c r="K4" s="96">
        <f t="shared" si="21"/>
        <v>0</v>
      </c>
      <c r="L4" s="96">
        <f t="shared" si="21"/>
        <v>0</v>
      </c>
      <c r="M4" s="96">
        <f t="shared" si="21"/>
        <v>0</v>
      </c>
      <c r="N4" s="96">
        <f t="shared" si="21"/>
        <v>0</v>
      </c>
      <c r="O4" s="96">
        <f t="shared" si="21"/>
        <v>0</v>
      </c>
      <c r="P4" s="96">
        <f t="shared" si="21"/>
        <v>0</v>
      </c>
      <c r="Q4" s="96">
        <f t="shared" si="21"/>
        <v>0</v>
      </c>
      <c r="R4" s="96">
        <f t="shared" si="21"/>
        <v>0</v>
      </c>
      <c r="S4" s="96">
        <f t="shared" si="21"/>
        <v>0</v>
      </c>
      <c r="T4" s="96">
        <f t="shared" si="21"/>
        <v>0</v>
      </c>
      <c r="U4" s="96">
        <f t="shared" si="21"/>
        <v>0</v>
      </c>
      <c r="V4" s="96">
        <f t="shared" si="21"/>
        <v>0</v>
      </c>
      <c r="W4" s="96">
        <f t="shared" ref="W4" si="22">SUM(W7,W11)</f>
        <v>0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849.77172000000007</v>
      </c>
      <c r="C5" s="96">
        <f t="shared" si="23"/>
        <v>995.62806000000012</v>
      </c>
      <c r="D5" s="96">
        <f t="shared" ref="D5:V5" si="24">SUM(D8:D9,D12:D13)</f>
        <v>957.57857999999999</v>
      </c>
      <c r="E5" s="96">
        <f t="shared" si="24"/>
        <v>1024.16517</v>
      </c>
      <c r="F5" s="96">
        <f t="shared" si="24"/>
        <v>935.38305000000003</v>
      </c>
      <c r="G5" s="96">
        <f t="shared" si="24"/>
        <v>922.69989000000021</v>
      </c>
      <c r="H5" s="96">
        <f t="shared" si="24"/>
        <v>951.23699999999974</v>
      </c>
      <c r="I5" s="96">
        <f t="shared" si="24"/>
        <v>910.01673000000028</v>
      </c>
      <c r="J5" s="96">
        <f t="shared" si="24"/>
        <v>906.84594000000016</v>
      </c>
      <c r="K5" s="96">
        <f t="shared" si="24"/>
        <v>840.25934999999981</v>
      </c>
      <c r="L5" s="96">
        <f t="shared" si="24"/>
        <v>856.11329999999998</v>
      </c>
      <c r="M5" s="96">
        <f t="shared" si="24"/>
        <v>932.21226000000036</v>
      </c>
      <c r="N5" s="96">
        <f t="shared" si="24"/>
        <v>837.08856000000026</v>
      </c>
      <c r="O5" s="96">
        <f t="shared" si="24"/>
        <v>745.13565000000006</v>
      </c>
      <c r="P5" s="96">
        <f t="shared" si="24"/>
        <v>732.45249000000013</v>
      </c>
      <c r="Q5" s="96">
        <f t="shared" si="24"/>
        <v>738.79407000000003</v>
      </c>
      <c r="R5" s="96">
        <f t="shared" si="24"/>
        <v>833.9177699999999</v>
      </c>
      <c r="S5" s="96">
        <f t="shared" si="24"/>
        <v>944.28041615999996</v>
      </c>
      <c r="T5" s="96">
        <f t="shared" si="24"/>
        <v>977.34204936000015</v>
      </c>
      <c r="U5" s="96">
        <f t="shared" si="24"/>
        <v>936.04904532</v>
      </c>
      <c r="V5" s="96">
        <f t="shared" si="24"/>
        <v>286.55710488000005</v>
      </c>
      <c r="W5" s="96">
        <f t="shared" ref="W5" si="25">SUM(W8:W9,W12:W13)</f>
        <v>474.66415691999993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821.76742701563001</v>
      </c>
      <c r="C6" s="21">
        <f t="shared" si="26"/>
        <v>971.44759730311705</v>
      </c>
      <c r="D6" s="21">
        <f t="shared" ref="D6:V6" si="27">SUM(D7:D9)</f>
        <v>930.57063170991535</v>
      </c>
      <c r="E6" s="21">
        <f t="shared" si="27"/>
        <v>998.17169486737794</v>
      </c>
      <c r="F6" s="21">
        <f t="shared" si="27"/>
        <v>903.13639154124826</v>
      </c>
      <c r="G6" s="21">
        <f t="shared" si="27"/>
        <v>886.54641029198478</v>
      </c>
      <c r="H6" s="21">
        <f t="shared" si="27"/>
        <v>909.44378619132499</v>
      </c>
      <c r="I6" s="21">
        <f t="shared" si="27"/>
        <v>873.76432473949933</v>
      </c>
      <c r="J6" s="21">
        <f t="shared" si="27"/>
        <v>870.74846028807781</v>
      </c>
      <c r="K6" s="21">
        <f t="shared" si="27"/>
        <v>808.44033924608664</v>
      </c>
      <c r="L6" s="21">
        <f t="shared" si="27"/>
        <v>826.39797440623374</v>
      </c>
      <c r="M6" s="21">
        <f t="shared" si="27"/>
        <v>909.45422180989885</v>
      </c>
      <c r="N6" s="21">
        <f t="shared" si="27"/>
        <v>820.36911643663495</v>
      </c>
      <c r="O6" s="21">
        <f t="shared" si="27"/>
        <v>730.15267469501612</v>
      </c>
      <c r="P6" s="21">
        <f t="shared" si="27"/>
        <v>719.79831515756473</v>
      </c>
      <c r="Q6" s="21">
        <f t="shared" si="27"/>
        <v>726.83566938676404</v>
      </c>
      <c r="R6" s="21">
        <f t="shared" si="27"/>
        <v>823.92782616850684</v>
      </c>
      <c r="S6" s="21">
        <f t="shared" si="27"/>
        <v>933.89808152544879</v>
      </c>
      <c r="T6" s="21">
        <f t="shared" si="27"/>
        <v>968.16749670306365</v>
      </c>
      <c r="U6" s="21">
        <f t="shared" si="27"/>
        <v>928.97158575679907</v>
      </c>
      <c r="V6" s="21">
        <f t="shared" si="27"/>
        <v>280.89348079328289</v>
      </c>
      <c r="W6" s="21">
        <f t="shared" ref="W6" si="28">SUM(W7:W9)</f>
        <v>469.11013252093659</v>
      </c>
      <c r="DA6" s="189" t="s">
        <v>326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DA7" s="171" t="s">
        <v>327</v>
      </c>
    </row>
    <row r="8" spans="1:105" ht="11.45" customHeight="1" x14ac:dyDescent="0.25">
      <c r="A8" s="83" t="s">
        <v>173</v>
      </c>
      <c r="B8" s="96">
        <v>699.86581004523703</v>
      </c>
      <c r="C8" s="96">
        <v>827.3432982832619</v>
      </c>
      <c r="D8" s="96">
        <v>760.20072892674671</v>
      </c>
      <c r="E8" s="96">
        <v>815.4248369091747</v>
      </c>
      <c r="F8" s="96">
        <v>763.06285233240726</v>
      </c>
      <c r="G8" s="96">
        <v>755.13064582350614</v>
      </c>
      <c r="H8" s="96">
        <v>775.21400126886908</v>
      </c>
      <c r="I8" s="96">
        <v>745.39818269038562</v>
      </c>
      <c r="J8" s="96">
        <v>741.4005393727216</v>
      </c>
      <c r="K8" s="96">
        <v>682.10987415493219</v>
      </c>
      <c r="L8" s="96">
        <v>692.92464088796396</v>
      </c>
      <c r="M8" s="96">
        <v>764.79712674416248</v>
      </c>
      <c r="N8" s="96">
        <v>681.91955240407788</v>
      </c>
      <c r="O8" s="96">
        <v>601.51091835212662</v>
      </c>
      <c r="P8" s="96">
        <v>591.64802437547462</v>
      </c>
      <c r="Q8" s="96">
        <v>598.55912455427404</v>
      </c>
      <c r="R8" s="96">
        <v>689.52414340158441</v>
      </c>
      <c r="S8" s="96">
        <v>790.79353360353559</v>
      </c>
      <c r="T8" s="96">
        <v>816.20961761475962</v>
      </c>
      <c r="U8" s="96">
        <v>777.7663682911566</v>
      </c>
      <c r="V8" s="96">
        <v>207.42276876851432</v>
      </c>
      <c r="W8" s="96">
        <v>362.00715804391501</v>
      </c>
      <c r="DA8" s="171" t="s">
        <v>328</v>
      </c>
    </row>
    <row r="9" spans="1:105" ht="11.45" customHeight="1" x14ac:dyDescent="0.25">
      <c r="A9" s="83" t="s">
        <v>174</v>
      </c>
      <c r="B9" s="96">
        <v>121.90161697039295</v>
      </c>
      <c r="C9" s="96">
        <v>144.10429901985515</v>
      </c>
      <c r="D9" s="96">
        <v>170.36990278316864</v>
      </c>
      <c r="E9" s="96">
        <v>182.74685795820321</v>
      </c>
      <c r="F9" s="96">
        <v>140.07353920884105</v>
      </c>
      <c r="G9" s="96">
        <v>131.41576446847867</v>
      </c>
      <c r="H9" s="96">
        <v>134.22978492245585</v>
      </c>
      <c r="I9" s="96">
        <v>128.36614204911368</v>
      </c>
      <c r="J9" s="96">
        <v>129.34792091535621</v>
      </c>
      <c r="K9" s="96">
        <v>126.33046509115445</v>
      </c>
      <c r="L9" s="96">
        <v>133.47333351826981</v>
      </c>
      <c r="M9" s="96">
        <v>144.65709506573631</v>
      </c>
      <c r="N9" s="96">
        <v>138.44956403255705</v>
      </c>
      <c r="O9" s="96">
        <v>128.64175634288949</v>
      </c>
      <c r="P9" s="96">
        <v>128.15029078209011</v>
      </c>
      <c r="Q9" s="96">
        <v>128.27654483249003</v>
      </c>
      <c r="R9" s="96">
        <v>134.40368276692243</v>
      </c>
      <c r="S9" s="96">
        <v>143.10454792191319</v>
      </c>
      <c r="T9" s="96">
        <v>151.957879088304</v>
      </c>
      <c r="U9" s="96">
        <v>151.20521746564251</v>
      </c>
      <c r="V9" s="96">
        <v>73.470712024768574</v>
      </c>
      <c r="W9" s="96">
        <v>107.10297447702159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28.004292984370085</v>
      </c>
      <c r="C10" s="22">
        <f t="shared" si="29"/>
        <v>24.18046269688298</v>
      </c>
      <c r="D10" s="22">
        <f t="shared" ref="D10:V10" si="30">SUM(D11:D13)</f>
        <v>27.007948290084556</v>
      </c>
      <c r="E10" s="22">
        <f t="shared" si="30"/>
        <v>25.99347513262207</v>
      </c>
      <c r="F10" s="22">
        <f t="shared" si="30"/>
        <v>32.246658458751753</v>
      </c>
      <c r="G10" s="22">
        <f t="shared" si="30"/>
        <v>36.153479708015318</v>
      </c>
      <c r="H10" s="22">
        <f t="shared" si="30"/>
        <v>41.793213808674786</v>
      </c>
      <c r="I10" s="22">
        <f t="shared" si="30"/>
        <v>36.2524052605009</v>
      </c>
      <c r="J10" s="22">
        <f t="shared" si="30"/>
        <v>36.097479711922318</v>
      </c>
      <c r="K10" s="22">
        <f t="shared" si="30"/>
        <v>31.81901075391324</v>
      </c>
      <c r="L10" s="22">
        <f t="shared" si="30"/>
        <v>29.715325593766259</v>
      </c>
      <c r="M10" s="22">
        <f t="shared" si="30"/>
        <v>22.758038190101519</v>
      </c>
      <c r="N10" s="22">
        <f t="shared" si="30"/>
        <v>16.719443563365243</v>
      </c>
      <c r="O10" s="22">
        <f t="shared" si="30"/>
        <v>14.982975304983933</v>
      </c>
      <c r="P10" s="22">
        <f t="shared" si="30"/>
        <v>12.654174842435324</v>
      </c>
      <c r="Q10" s="22">
        <f t="shared" si="30"/>
        <v>11.958400613235924</v>
      </c>
      <c r="R10" s="22">
        <f t="shared" si="30"/>
        <v>9.9899438314931235</v>
      </c>
      <c r="S10" s="22">
        <f t="shared" si="30"/>
        <v>10.382334634551251</v>
      </c>
      <c r="T10" s="22">
        <f t="shared" si="30"/>
        <v>9.174552656936438</v>
      </c>
      <c r="U10" s="22">
        <f t="shared" si="30"/>
        <v>7.0774595632009287</v>
      </c>
      <c r="V10" s="22">
        <f t="shared" si="30"/>
        <v>5.6636240867171468</v>
      </c>
      <c r="W10" s="22">
        <f t="shared" ref="W10" si="31">SUM(W11:W13)</f>
        <v>5.5540243990633344</v>
      </c>
      <c r="DA10" s="193" t="s">
        <v>330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331</v>
      </c>
    </row>
    <row r="12" spans="1:105" ht="11.45" customHeight="1" x14ac:dyDescent="0.25">
      <c r="A12" s="92" t="s">
        <v>173</v>
      </c>
      <c r="B12" s="97">
        <v>26.691093269764778</v>
      </c>
      <c r="C12" s="97">
        <v>22.911432092535243</v>
      </c>
      <c r="D12" s="97">
        <v>25.633227147128263</v>
      </c>
      <c r="E12" s="97">
        <v>24.631751680439454</v>
      </c>
      <c r="F12" s="97">
        <v>30.711472599986561</v>
      </c>
      <c r="G12" s="97">
        <v>34.716160937094799</v>
      </c>
      <c r="H12" s="97">
        <v>40.47136346136918</v>
      </c>
      <c r="I12" s="97">
        <v>35.033235173974383</v>
      </c>
      <c r="J12" s="97">
        <v>34.660982862347687</v>
      </c>
      <c r="K12" s="97">
        <v>30.100164207742303</v>
      </c>
      <c r="L12" s="97">
        <v>27.55630539527667</v>
      </c>
      <c r="M12" s="97">
        <v>21.77409104707829</v>
      </c>
      <c r="N12" s="97">
        <v>16.222736724354824</v>
      </c>
      <c r="O12" s="97">
        <v>14.455487385900268</v>
      </c>
      <c r="P12" s="97">
        <v>12.255209665239908</v>
      </c>
      <c r="Q12" s="97">
        <v>11.510078245036388</v>
      </c>
      <c r="R12" s="97">
        <v>9.7071821785947403</v>
      </c>
      <c r="S12" s="97">
        <v>10.07706153504744</v>
      </c>
      <c r="T12" s="97">
        <v>8.8461196592665878</v>
      </c>
      <c r="U12" s="97">
        <v>6.3599723693816905</v>
      </c>
      <c r="V12" s="97">
        <v>4.2165809733813022</v>
      </c>
      <c r="W12" s="97">
        <v>4.8772135430747934</v>
      </c>
      <c r="DA12" s="175" t="s">
        <v>332</v>
      </c>
    </row>
    <row r="13" spans="1:105" ht="11.45" customHeight="1" x14ac:dyDescent="0.25">
      <c r="A13" s="85" t="s">
        <v>174</v>
      </c>
      <c r="B13" s="98">
        <v>1.313199714605306</v>
      </c>
      <c r="C13" s="98">
        <v>1.2690306043477371</v>
      </c>
      <c r="D13" s="98">
        <v>1.3747211429562922</v>
      </c>
      <c r="E13" s="98">
        <v>1.3617234521826165</v>
      </c>
      <c r="F13" s="98">
        <v>1.5351858587651925</v>
      </c>
      <c r="G13" s="98">
        <v>1.4373187709205228</v>
      </c>
      <c r="H13" s="98">
        <v>1.3218503473056038</v>
      </c>
      <c r="I13" s="98">
        <v>1.2191700865265178</v>
      </c>
      <c r="J13" s="98">
        <v>1.4364968495746286</v>
      </c>
      <c r="K13" s="98">
        <v>1.7188465461709364</v>
      </c>
      <c r="L13" s="98">
        <v>2.1590201984895905</v>
      </c>
      <c r="M13" s="98">
        <v>0.98394714302322961</v>
      </c>
      <c r="N13" s="98">
        <v>0.49670683901041729</v>
      </c>
      <c r="O13" s="98">
        <v>0.52748791908366499</v>
      </c>
      <c r="P13" s="98">
        <v>0.39896517719541547</v>
      </c>
      <c r="Q13" s="98">
        <v>0.44832236819953669</v>
      </c>
      <c r="R13" s="98">
        <v>0.2827616528983839</v>
      </c>
      <c r="S13" s="98">
        <v>0.30527309950381093</v>
      </c>
      <c r="T13" s="98">
        <v>0.32843299766985085</v>
      </c>
      <c r="U13" s="98">
        <v>0.71748719381923853</v>
      </c>
      <c r="V13" s="98">
        <v>1.4470431133358448</v>
      </c>
      <c r="W13" s="98">
        <v>0.67681085598854129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0</v>
      </c>
      <c r="C18" s="97">
        <f>IF(C4=0,0,C4/TrAvia_ene!C4)</f>
        <v>0</v>
      </c>
      <c r="D18" s="97">
        <f>IF(D4=0,0,D4/TrAvia_ene!D4)</f>
        <v>0</v>
      </c>
      <c r="E18" s="97">
        <f>IF(E4=0,0,E4/TrAvia_ene!E4)</f>
        <v>0</v>
      </c>
      <c r="F18" s="97">
        <f>IF(F4=0,0,F4/TrAvia_ene!F4)</f>
        <v>0</v>
      </c>
      <c r="G18" s="97">
        <f>IF(G4=0,0,G4/TrAvia_ene!G4)</f>
        <v>0</v>
      </c>
      <c r="H18" s="97">
        <f>IF(H4=0,0,H4/TrAvia_ene!H4)</f>
        <v>0</v>
      </c>
      <c r="I18" s="97">
        <f>IF(I4=0,0,I4/TrAvia_ene!I4)</f>
        <v>0</v>
      </c>
      <c r="J18" s="97">
        <f>IF(J4=0,0,J4/TrAvia_ene!J4)</f>
        <v>0</v>
      </c>
      <c r="K18" s="97">
        <f>IF(K4=0,0,K4/TrAvia_ene!K4)</f>
        <v>0</v>
      </c>
      <c r="L18" s="97">
        <f>IF(L4=0,0,L4/TrAvia_ene!L4)</f>
        <v>0</v>
      </c>
      <c r="M18" s="97">
        <f>IF(M4=0,0,M4/TrAvia_ene!M4)</f>
        <v>0</v>
      </c>
      <c r="N18" s="97">
        <f>IF(N4=0,0,N4/TrAvia_ene!N4)</f>
        <v>0</v>
      </c>
      <c r="O18" s="97">
        <f>IF(O4=0,0,O4/TrAvia_ene!O4)</f>
        <v>0</v>
      </c>
      <c r="P18" s="97">
        <f>IF(P4=0,0,P4/TrAvia_ene!P4)</f>
        <v>0</v>
      </c>
      <c r="Q18" s="97">
        <f>IF(Q4=0,0,Q4/TrAvia_ene!Q4)</f>
        <v>0</v>
      </c>
      <c r="R18" s="97">
        <f>IF(R4=0,0,R4/TrAvia_ene!R4)</f>
        <v>0</v>
      </c>
      <c r="S18" s="97">
        <f>IF(S4=0,0,S4/TrAvia_ene!S4)</f>
        <v>0</v>
      </c>
      <c r="T18" s="97">
        <f>IF(T4=0,0,T4/TrAvia_ene!T4)</f>
        <v>0</v>
      </c>
      <c r="U18" s="97">
        <f>IF(U4=0,0,U4/TrAvia_ene!U4)</f>
        <v>0</v>
      </c>
      <c r="V18" s="97">
        <f>IF(V4=0,0,V4/TrAvia_ene!V4)</f>
        <v>0</v>
      </c>
      <c r="W18" s="97">
        <f>IF(W4=0,0,W4/TrAvia_ene!W4)</f>
        <v>0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3.0103091999999996</v>
      </c>
      <c r="C19" s="98">
        <f>IF(C5=0,0,C5/TrAvia_ene!C5)</f>
        <v>3.0103092000000009</v>
      </c>
      <c r="D19" s="98">
        <f>IF(D5=0,0,D5/TrAvia_ene!D5)</f>
        <v>3.0103092000000014</v>
      </c>
      <c r="E19" s="98">
        <f>IF(E5=0,0,E5/TrAvia_ene!E5)</f>
        <v>3.0103092</v>
      </c>
      <c r="F19" s="98">
        <f>IF(F5=0,0,F5/TrAvia_ene!F5)</f>
        <v>3.0103092000000009</v>
      </c>
      <c r="G19" s="98">
        <f>IF(G5=0,0,G5/TrAvia_ene!G5)</f>
        <v>3.0103092000000005</v>
      </c>
      <c r="H19" s="98">
        <f>IF(H5=0,0,H5/TrAvia_ene!H5)</f>
        <v>3.0103091999999987</v>
      </c>
      <c r="I19" s="98">
        <f>IF(I5=0,0,I5/TrAvia_ene!I5)</f>
        <v>3.0103092</v>
      </c>
      <c r="J19" s="98">
        <f>IF(J5=0,0,J5/TrAvia_ene!J5)</f>
        <v>3.0103092000000009</v>
      </c>
      <c r="K19" s="98">
        <f>IF(K5=0,0,K5/TrAvia_ene!K5)</f>
        <v>3.0103092000000005</v>
      </c>
      <c r="L19" s="98">
        <f>IF(L5=0,0,L5/TrAvia_ene!L5)</f>
        <v>3.0103091999999996</v>
      </c>
      <c r="M19" s="98">
        <f>IF(M5=0,0,M5/TrAvia_ene!M5)</f>
        <v>3.0103092000000014</v>
      </c>
      <c r="N19" s="98">
        <f>IF(N5=0,0,N5/TrAvia_ene!N5)</f>
        <v>3.0103092000000005</v>
      </c>
      <c r="O19" s="98">
        <f>IF(O5=0,0,O5/TrAvia_ene!O5)</f>
        <v>3.0103092000000005</v>
      </c>
      <c r="P19" s="98">
        <f>IF(P5=0,0,P5/TrAvia_ene!P5)</f>
        <v>3.0103092</v>
      </c>
      <c r="Q19" s="98">
        <f>IF(Q5=0,0,Q5/TrAvia_ene!Q5)</f>
        <v>3.0103092</v>
      </c>
      <c r="R19" s="98">
        <f>IF(R5=0,0,R5/TrAvia_ene!R5)</f>
        <v>3.0103092</v>
      </c>
      <c r="S19" s="98">
        <f>IF(S5=0,0,S5/TrAvia_ene!S5)</f>
        <v>3.0103091999999996</v>
      </c>
      <c r="T19" s="98">
        <f>IF(T5=0,0,T5/TrAvia_ene!T5)</f>
        <v>3.0103092000000009</v>
      </c>
      <c r="U19" s="98">
        <f>IF(U5=0,0,U5/TrAvia_ene!U5)</f>
        <v>3.0103092000000009</v>
      </c>
      <c r="V19" s="98">
        <f>IF(V5=0,0,V5/TrAvia_ene!V5)</f>
        <v>3.0103092000000005</v>
      </c>
      <c r="W19" s="98">
        <f>IF(W5=0,0,W5/TrAvia_ene!W5)</f>
        <v>3.0103092000000014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13356.488497348881</v>
      </c>
      <c r="C21" s="54">
        <f>IF(C3=0,0,C3/TrAvia_act!C13*1000)</f>
        <v>13458.460600850754</v>
      </c>
      <c r="D21" s="54">
        <f>IF(D3=0,0,D3/TrAvia_act!D13*1000)</f>
        <v>15166.580392550466</v>
      </c>
      <c r="E21" s="54">
        <f>IF(E3=0,0,E3/TrAvia_act!E13*1000)</f>
        <v>15193.794206124108</v>
      </c>
      <c r="F21" s="54">
        <f>IF(F3=0,0,F3/TrAvia_act!F13*1000)</f>
        <v>14902.718617470558</v>
      </c>
      <c r="G21" s="54">
        <f>IF(G3=0,0,G3/TrAvia_act!G13*1000)</f>
        <v>13784.860159759784</v>
      </c>
      <c r="H21" s="54">
        <f>IF(H3=0,0,H3/TrAvia_act!H13*1000)</f>
        <v>13262.139101862262</v>
      </c>
      <c r="I21" s="54">
        <f>IF(I3=0,0,I3/TrAvia_act!I13*1000)</f>
        <v>12421.119853920576</v>
      </c>
      <c r="J21" s="54">
        <f>IF(J3=0,0,J3/TrAvia_act!J13*1000)</f>
        <v>12042.891998913194</v>
      </c>
      <c r="K21" s="54">
        <f>IF(K3=0,0,K3/TrAvia_act!K13*1000)</f>
        <v>12036.354400273303</v>
      </c>
      <c r="L21" s="54">
        <f>IF(L3=0,0,L3/TrAvia_act!L13*1000)</f>
        <v>12419.283781349404</v>
      </c>
      <c r="M21" s="54">
        <f>IF(M3=0,0,M3/TrAvia_act!M13*1000)</f>
        <v>13484.548699500559</v>
      </c>
      <c r="N21" s="54">
        <f>IF(N3=0,0,N3/TrAvia_act!N13*1000)</f>
        <v>12746.990514218727</v>
      </c>
      <c r="O21" s="54">
        <f>IF(O3=0,0,O3/TrAvia_act!O13*1000)</f>
        <v>12390.754460896302</v>
      </c>
      <c r="P21" s="54">
        <f>IF(P3=0,0,P3/TrAvia_act!P13*1000)</f>
        <v>11797.605594027189</v>
      </c>
      <c r="Q21" s="54">
        <f>IF(Q3=0,0,Q3/TrAvia_act!Q13*1000)</f>
        <v>11983.175498895884</v>
      </c>
      <c r="R21" s="54">
        <f>IF(R3=0,0,R3/TrAvia_act!R13*1000)</f>
        <v>11504.228433505763</v>
      </c>
      <c r="S21" s="54">
        <f>IF(S3=0,0,S3/TrAvia_act!S13*1000)</f>
        <v>11814.692877825182</v>
      </c>
      <c r="T21" s="54">
        <f>IF(T3=0,0,T3/TrAvia_act!T13*1000)</f>
        <v>11505.39943107223</v>
      </c>
      <c r="U21" s="54">
        <f>IF(U3=0,0,U3/TrAvia_act!U13*1000)</f>
        <v>11401.991840942108</v>
      </c>
      <c r="V21" s="54">
        <f>IF(V3=0,0,V3/TrAvia_act!V13*1000)</f>
        <v>11072.89335300876</v>
      </c>
      <c r="W21" s="54">
        <f>IF(W3=0,0,W3/TrAvia_act!W13*1000)</f>
        <v>10610.796640705055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13343.426573736397</v>
      </c>
      <c r="C22" s="11">
        <f>IF(C6=0,0,C6/TrAvia_act!C14*1000)</f>
        <v>13449.201399277395</v>
      </c>
      <c r="D22" s="11">
        <f>IF(D6=0,0,D6/TrAvia_act!D14*1000)</f>
        <v>15147.547184290312</v>
      </c>
      <c r="E22" s="11">
        <f>IF(E6=0,0,E6/TrAvia_act!E14*1000)</f>
        <v>15176.811980708708</v>
      </c>
      <c r="F22" s="11">
        <f>IF(F6=0,0,F6/TrAvia_act!F14*1000)</f>
        <v>14879.227473625651</v>
      </c>
      <c r="G22" s="11">
        <f>IF(G6=0,0,G6/TrAvia_act!G14*1000)</f>
        <v>13762.18954391803</v>
      </c>
      <c r="H22" s="11">
        <f>IF(H6=0,0,H6/TrAvia_act!H14*1000)</f>
        <v>13213.542252652678</v>
      </c>
      <c r="I22" s="11">
        <f>IF(I6=0,0,I6/TrAvia_act!I14*1000)</f>
        <v>12369.721780349946</v>
      </c>
      <c r="J22" s="11">
        <f>IF(J6=0,0,J6/TrAvia_act!J14*1000)</f>
        <v>11988.444248401256</v>
      </c>
      <c r="K22" s="11">
        <f>IF(K6=0,0,K6/TrAvia_act!K14*1000)</f>
        <v>12003.929497070427</v>
      </c>
      <c r="L22" s="11">
        <f>IF(L6=0,0,L6/TrAvia_act!L14*1000)</f>
        <v>12389.452772789837</v>
      </c>
      <c r="M22" s="11">
        <f>IF(M6=0,0,M6/TrAvia_act!M14*1000)</f>
        <v>13458.20598039108</v>
      </c>
      <c r="N22" s="11">
        <f>IF(N6=0,0,N6/TrAvia_act!N14*1000)</f>
        <v>12718.991546620549</v>
      </c>
      <c r="O22" s="11">
        <f>IF(O6=0,0,O6/TrAvia_act!O14*1000)</f>
        <v>12372.753296387742</v>
      </c>
      <c r="P22" s="11">
        <f>IF(P6=0,0,P6/TrAvia_act!P14*1000)</f>
        <v>11776.836352588483</v>
      </c>
      <c r="Q22" s="11">
        <f>IF(Q6=0,0,Q6/TrAvia_act!Q14*1000)</f>
        <v>11966.213807891003</v>
      </c>
      <c r="R22" s="11">
        <f>IF(R6=0,0,R6/TrAvia_act!R14*1000)</f>
        <v>11483.037566741925</v>
      </c>
      <c r="S22" s="11">
        <f>IF(S6=0,0,S6/TrAvia_act!S14*1000)</f>
        <v>11796.848308045031</v>
      </c>
      <c r="T22" s="11">
        <f>IF(T6=0,0,T6/TrAvia_act!T14*1000)</f>
        <v>11491.216061225892</v>
      </c>
      <c r="U22" s="11">
        <f>IF(U6=0,0,U6/TrAvia_act!U14*1000)</f>
        <v>11396.941728280368</v>
      </c>
      <c r="V22" s="11">
        <f>IF(V6=0,0,V6/TrAvia_act!V14*1000)</f>
        <v>11066.526475755609</v>
      </c>
      <c r="W22" s="11">
        <f>IF(W6=0,0,W6/TrAvia_act!W14*1000)</f>
        <v>10606.679008522759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0</v>
      </c>
      <c r="C23" s="84">
        <f>IF(C7=0,0,C7/TrAvia_act!C15*1000)</f>
        <v>0</v>
      </c>
      <c r="D23" s="84">
        <f>IF(D7=0,0,D7/TrAvia_act!D15*1000)</f>
        <v>0</v>
      </c>
      <c r="E23" s="84">
        <f>IF(E7=0,0,E7/TrAvia_act!E15*1000)</f>
        <v>0</v>
      </c>
      <c r="F23" s="84">
        <f>IF(F7=0,0,F7/TrAvia_act!F15*1000)</f>
        <v>0</v>
      </c>
      <c r="G23" s="84">
        <f>IF(G7=0,0,G7/TrAvia_act!G15*1000)</f>
        <v>0</v>
      </c>
      <c r="H23" s="84">
        <f>IF(H7=0,0,H7/TrAvia_act!H15*1000)</f>
        <v>0</v>
      </c>
      <c r="I23" s="84">
        <f>IF(I7=0,0,I7/TrAvia_act!I15*1000)</f>
        <v>0</v>
      </c>
      <c r="J23" s="84">
        <f>IF(J7=0,0,J7/TrAvia_act!J15*1000)</f>
        <v>0</v>
      </c>
      <c r="K23" s="84">
        <f>IF(K7=0,0,K7/TrAvia_act!K15*1000)</f>
        <v>0</v>
      </c>
      <c r="L23" s="84">
        <f>IF(L7=0,0,L7/TrAvia_act!L15*1000)</f>
        <v>0</v>
      </c>
      <c r="M23" s="84">
        <f>IF(M7=0,0,M7/TrAvia_act!M15*1000)</f>
        <v>0</v>
      </c>
      <c r="N23" s="84">
        <f>IF(N7=0,0,N7/TrAvia_act!N15*1000)</f>
        <v>0</v>
      </c>
      <c r="O23" s="84">
        <f>IF(O7=0,0,O7/TrAvia_act!O15*1000)</f>
        <v>0</v>
      </c>
      <c r="P23" s="84">
        <f>IF(P7=0,0,P7/TrAvia_act!P15*1000)</f>
        <v>0</v>
      </c>
      <c r="Q23" s="84">
        <f>IF(Q7=0,0,Q7/TrAvia_act!Q15*1000)</f>
        <v>0</v>
      </c>
      <c r="R23" s="84">
        <f>IF(R7=0,0,R7/TrAvia_act!R15*1000)</f>
        <v>0</v>
      </c>
      <c r="S23" s="84">
        <f>IF(S7=0,0,S7/TrAvia_act!S15*1000)</f>
        <v>0</v>
      </c>
      <c r="T23" s="84">
        <f>IF(T7=0,0,T7/TrAvia_act!T15*1000)</f>
        <v>0</v>
      </c>
      <c r="U23" s="84">
        <f>IF(U7=0,0,U7/TrAvia_act!U15*1000)</f>
        <v>0</v>
      </c>
      <c r="V23" s="84">
        <f>IF(V7=0,0,V7/TrAvia_act!V15*1000)</f>
        <v>0</v>
      </c>
      <c r="W23" s="84">
        <f>IF(W7=0,0,W7/TrAvia_act!W15*1000)</f>
        <v>0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13615.004083736138</v>
      </c>
      <c r="C24" s="84">
        <f>IF(C8=0,0,C8/TrAvia_act!C16*1000)</f>
        <v>13722.923378960317</v>
      </c>
      <c r="D24" s="84">
        <f>IF(D8=0,0,D8/TrAvia_act!D16*1000)</f>
        <v>15482.213651834756</v>
      </c>
      <c r="E24" s="84">
        <f>IF(E8=0,0,E8/TrAvia_act!E16*1000)</f>
        <v>15512.13073713202</v>
      </c>
      <c r="F24" s="84">
        <f>IF(F8=0,0,F8/TrAvia_act!F16*1000)</f>
        <v>15146.057237028725</v>
      </c>
      <c r="G24" s="84">
        <f>IF(G8=0,0,G8/TrAvia_act!G16*1000)</f>
        <v>13934.849121286683</v>
      </c>
      <c r="H24" s="84">
        <f>IF(H8=0,0,H8/TrAvia_act!H16*1000)</f>
        <v>14460.261395157388</v>
      </c>
      <c r="I24" s="84">
        <f>IF(I8=0,0,I8/TrAvia_act!I16*1000)</f>
        <v>13934.880178094245</v>
      </c>
      <c r="J24" s="84">
        <f>IF(J8=0,0,J8/TrAvia_act!J16*1000)</f>
        <v>13560.630379368893</v>
      </c>
      <c r="K24" s="84">
        <f>IF(K8=0,0,K8/TrAvia_act!K16*1000)</f>
        <v>12719.017305549405</v>
      </c>
      <c r="L24" s="84">
        <f>IF(L8=0,0,L8/TrAvia_act!L16*1000)</f>
        <v>12762.208337263861</v>
      </c>
      <c r="M24" s="84">
        <f>IF(M8=0,0,M8/TrAvia_act!M16*1000)</f>
        <v>14394.972199487318</v>
      </c>
      <c r="N24" s="84">
        <f>IF(N8=0,0,N8/TrAvia_act!N16*1000)</f>
        <v>13709.979272774024</v>
      </c>
      <c r="O24" s="84">
        <f>IF(O8=0,0,O8/TrAvia_act!O16*1000)</f>
        <v>13875.430167338198</v>
      </c>
      <c r="P24" s="84">
        <f>IF(P8=0,0,P8/TrAvia_act!P16*1000)</f>
        <v>13988.154705222072</v>
      </c>
      <c r="Q24" s="84">
        <f>IF(Q8=0,0,Q8/TrAvia_act!Q16*1000)</f>
        <v>13756.562815504003</v>
      </c>
      <c r="R24" s="84">
        <f>IF(R8=0,0,R8/TrAvia_act!R16*1000)</f>
        <v>14314.08530512289</v>
      </c>
      <c r="S24" s="84">
        <f>IF(S8=0,0,S8/TrAvia_act!S16*1000)</f>
        <v>13938.252482420765</v>
      </c>
      <c r="T24" s="84">
        <f>IF(T8=0,0,T8/TrAvia_act!T16*1000)</f>
        <v>13601.755347053529</v>
      </c>
      <c r="U24" s="84">
        <f>IF(U8=0,0,U8/TrAvia_act!U16*1000)</f>
        <v>13421.637256469345</v>
      </c>
      <c r="V24" s="84">
        <f>IF(V8=0,0,V8/TrAvia_act!V16*1000)</f>
        <v>10262.495717945141</v>
      </c>
      <c r="W24" s="84">
        <f>IF(W8=0,0,W8/TrAvia_act!W16*1000)</f>
        <v>12234.524826404759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11972.352743128797</v>
      </c>
      <c r="C25" s="84">
        <f>IF(C9=0,0,C9/TrAvia_act!C17*1000)</f>
        <v>12067.286001549488</v>
      </c>
      <c r="D25" s="84">
        <f>IF(D9=0,0,D9/TrAvia_act!D17*1000)</f>
        <v>13815.048011722798</v>
      </c>
      <c r="E25" s="84">
        <f>IF(E9=0,0,E9/TrAvia_act!E17*1000)</f>
        <v>13841.722019464365</v>
      </c>
      <c r="F25" s="84">
        <f>IF(F9=0,0,F9/TrAvia_act!F17*1000)</f>
        <v>13576.299804433385</v>
      </c>
      <c r="G25" s="84">
        <f>IF(G9=0,0,G9/TrAvia_act!G17*1000)</f>
        <v>12847.484379513868</v>
      </c>
      <c r="H25" s="84">
        <f>IF(H9=0,0,H9/TrAvia_act!H17*1000)</f>
        <v>8821.2223249775634</v>
      </c>
      <c r="I25" s="84">
        <f>IF(I9=0,0,I9/TrAvia_act!I17*1000)</f>
        <v>7486.7362912359004</v>
      </c>
      <c r="J25" s="84">
        <f>IF(J9=0,0,J9/TrAvia_act!J17*1000)</f>
        <v>7202.2804614100141</v>
      </c>
      <c r="K25" s="84">
        <f>IF(K9=0,0,K9/TrAvia_act!K17*1000)</f>
        <v>9208.5374975774266</v>
      </c>
      <c r="L25" s="84">
        <f>IF(L9=0,0,L9/TrAvia_act!L17*1000)</f>
        <v>10758.173403790126</v>
      </c>
      <c r="M25" s="84">
        <f>IF(M9=0,0,M9/TrAvia_act!M17*1000)</f>
        <v>10013.142105973267</v>
      </c>
      <c r="N25" s="84">
        <f>IF(N9=0,0,N9/TrAvia_act!N17*1000)</f>
        <v>9379.6566905973941</v>
      </c>
      <c r="O25" s="84">
        <f>IF(O9=0,0,O9/TrAvia_act!O17*1000)</f>
        <v>8213.540740614575</v>
      </c>
      <c r="P25" s="84">
        <f>IF(P9=0,0,P9/TrAvia_act!P17*1000)</f>
        <v>6808.0031769969873</v>
      </c>
      <c r="Q25" s="84">
        <f>IF(Q9=0,0,Q9/TrAvia_act!Q17*1000)</f>
        <v>7445.0179856014156</v>
      </c>
      <c r="R25" s="84">
        <f>IF(R9=0,0,R9/TrAvia_act!R17*1000)</f>
        <v>5699.7307006102046</v>
      </c>
      <c r="S25" s="84">
        <f>IF(S9=0,0,S9/TrAvia_act!S17*1000)</f>
        <v>6380.1754114127079</v>
      </c>
      <c r="T25" s="84">
        <f>IF(T9=0,0,T9/TrAvia_act!T17*1000)</f>
        <v>6267.5541473792073</v>
      </c>
      <c r="U25" s="84">
        <f>IF(U9=0,0,U9/TrAvia_act!U17*1000)</f>
        <v>6417.3590480710882</v>
      </c>
      <c r="V25" s="84">
        <f>IF(V9=0,0,V9/TrAvia_act!V17*1000)</f>
        <v>14209.499312310079</v>
      </c>
      <c r="W25" s="84">
        <f>IF(W9=0,0,W9/TrAvia_act!W17*1000)</f>
        <v>7316.3660227074843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13751.504130190215</v>
      </c>
      <c r="C26" s="13">
        <f>IF(C10=0,0,C10/TrAvia_act!C18*1000)</f>
        <v>13841.292809932398</v>
      </c>
      <c r="D26" s="13">
        <f>IF(D10=0,0,D10/TrAvia_act!D18*1000)</f>
        <v>15852.916102539704</v>
      </c>
      <c r="E26" s="13">
        <f>IF(E10=0,0,E10/TrAvia_act!E18*1000)</f>
        <v>15875.968222655423</v>
      </c>
      <c r="F26" s="13">
        <f>IF(F10=0,0,F10/TrAvia_act!F18*1000)</f>
        <v>15592.162226527736</v>
      </c>
      <c r="G26" s="13">
        <f>IF(G10=0,0,G10/TrAvia_act!G18*1000)</f>
        <v>14365.139352279952</v>
      </c>
      <c r="H26" s="13">
        <f>IF(H10=0,0,H10/TrAvia_act!H18*1000)</f>
        <v>14415.856369182166</v>
      </c>
      <c r="I26" s="13">
        <f>IF(I10=0,0,I10/TrAvia_act!I18*1000)</f>
        <v>13803.521663998403</v>
      </c>
      <c r="J26" s="13">
        <f>IF(J10=0,0,J10/TrAvia_act!J18*1000)</f>
        <v>13524.579889813089</v>
      </c>
      <c r="K26" s="13">
        <f>IF(K10=0,0,K10/TrAvia_act!K18*1000)</f>
        <v>12923.284644574167</v>
      </c>
      <c r="L26" s="13">
        <f>IF(L10=0,0,L10/TrAvia_act!L18*1000)</f>
        <v>13310.578853873474</v>
      </c>
      <c r="M26" s="13">
        <f>IF(M10=0,0,M10/TrAvia_act!M18*1000)</f>
        <v>14628.819263107533</v>
      </c>
      <c r="N26" s="13">
        <f>IF(N10=0,0,N10/TrAvia_act!N18*1000)</f>
        <v>14290.559542971057</v>
      </c>
      <c r="O26" s="13">
        <f>IF(O10=0,0,O10/TrAvia_act!O18*1000)</f>
        <v>13336.306492045782</v>
      </c>
      <c r="P26" s="13">
        <f>IF(P10=0,0,P10/TrAvia_act!P18*1000)</f>
        <v>13113.050701608441</v>
      </c>
      <c r="Q26" s="13">
        <f>IF(Q10=0,0,Q10/TrAvia_act!Q18*1000)</f>
        <v>13112.904907843449</v>
      </c>
      <c r="R26" s="13">
        <f>IF(R10=0,0,R10/TrAvia_act!R18*1000)</f>
        <v>13569.526579932171</v>
      </c>
      <c r="S26" s="13">
        <f>IF(S10=0,0,S10/TrAvia_act!S18*1000)</f>
        <v>13675.432561031505</v>
      </c>
      <c r="T26" s="13">
        <f>IF(T10=0,0,T10/TrAvia_act!T18*1000)</f>
        <v>13228.40426885693</v>
      </c>
      <c r="U26" s="13">
        <f>IF(U10=0,0,U10/TrAvia_act!U18*1000)</f>
        <v>12106.104566814765</v>
      </c>
      <c r="V26" s="13">
        <f>IF(V10=0,0,V10/TrAvia_act!V18*1000)</f>
        <v>11398.127317702305</v>
      </c>
      <c r="W26" s="13">
        <f>IF(W10=0,0,W10/TrAvia_act!W18*1000)</f>
        <v>10970.514628008821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0</v>
      </c>
      <c r="C27" s="102">
        <f>IF(C11=0,0,C11/TrAvia_act!C19*1000)</f>
        <v>0</v>
      </c>
      <c r="D27" s="102">
        <f>IF(D11=0,0,D11/TrAvia_act!D19*1000)</f>
        <v>0</v>
      </c>
      <c r="E27" s="102">
        <f>IF(E11=0,0,E11/TrAvia_act!E19*1000)</f>
        <v>0</v>
      </c>
      <c r="F27" s="102">
        <f>IF(F11=0,0,F11/TrAvia_act!F19*1000)</f>
        <v>0</v>
      </c>
      <c r="G27" s="102">
        <f>IF(G11=0,0,G11/TrAvia_act!G19*1000)</f>
        <v>0</v>
      </c>
      <c r="H27" s="102">
        <f>IF(H11=0,0,H11/TrAvia_act!H19*1000)</f>
        <v>0</v>
      </c>
      <c r="I27" s="102">
        <f>IF(I11=0,0,I11/TrAvia_act!I19*1000)</f>
        <v>0</v>
      </c>
      <c r="J27" s="102">
        <f>IF(J11=0,0,J11/TrAvia_act!J19*1000)</f>
        <v>0</v>
      </c>
      <c r="K27" s="102">
        <f>IF(K11=0,0,K11/TrAvia_act!K19*1000)</f>
        <v>0</v>
      </c>
      <c r="L27" s="102">
        <f>IF(L11=0,0,L11/TrAvia_act!L19*1000)</f>
        <v>0</v>
      </c>
      <c r="M27" s="102">
        <f>IF(M11=0,0,M11/TrAvia_act!M19*1000)</f>
        <v>0</v>
      </c>
      <c r="N27" s="102">
        <f>IF(N11=0,0,N11/TrAvia_act!N19*1000)</f>
        <v>0</v>
      </c>
      <c r="O27" s="102">
        <f>IF(O11=0,0,O11/TrAvia_act!O19*1000)</f>
        <v>0</v>
      </c>
      <c r="P27" s="102">
        <f>IF(P11=0,0,P11/TrAvia_act!P19*1000)</f>
        <v>0</v>
      </c>
      <c r="Q27" s="102">
        <f>IF(Q11=0,0,Q11/TrAvia_act!Q19*1000)</f>
        <v>0</v>
      </c>
      <c r="R27" s="102">
        <f>IF(R11=0,0,R11/TrAvia_act!R19*1000)</f>
        <v>0</v>
      </c>
      <c r="S27" s="102">
        <f>IF(S11=0,0,S11/TrAvia_act!S19*1000)</f>
        <v>0</v>
      </c>
      <c r="T27" s="102">
        <f>IF(T11=0,0,T11/TrAvia_act!T19*1000)</f>
        <v>0</v>
      </c>
      <c r="U27" s="102">
        <f>IF(U11=0,0,U11/TrAvia_act!U19*1000)</f>
        <v>0</v>
      </c>
      <c r="V27" s="102">
        <f>IF(V11=0,0,V11/TrAvia_act!V19*1000)</f>
        <v>0</v>
      </c>
      <c r="W27" s="102">
        <f>IF(W11=0,0,W11/TrAvia_act!W19*1000)</f>
        <v>0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13924.122154542574</v>
      </c>
      <c r="C28" s="102">
        <f>IF(C12=0,0,C12/TrAvia_act!C20*1000)</f>
        <v>14035.830714923968</v>
      </c>
      <c r="D28" s="102">
        <f>IF(D12=0,0,D12/TrAvia_act!D20*1000)</f>
        <v>16069.035836695903</v>
      </c>
      <c r="E28" s="102">
        <f>IF(E12=0,0,E12/TrAvia_act!E20*1000)</f>
        <v>16098.629175733631</v>
      </c>
      <c r="F28" s="102">
        <f>IF(F12=0,0,F12/TrAvia_act!F20*1000)</f>
        <v>15790.952466897892</v>
      </c>
      <c r="G28" s="102">
        <f>IF(G12=0,0,G12/TrAvia_act!G20*1000)</f>
        <v>14497.875850787352</v>
      </c>
      <c r="H28" s="102">
        <f>IF(H12=0,0,H12/TrAvia_act!H20*1000)</f>
        <v>14792.77588829814</v>
      </c>
      <c r="I28" s="102">
        <f>IF(I12=0,0,I12/TrAvia_act!I20*1000)</f>
        <v>14286.594379128783</v>
      </c>
      <c r="J28" s="102">
        <f>IF(J12=0,0,J12/TrAvia_act!J20*1000)</f>
        <v>14077.883026696412</v>
      </c>
      <c r="K28" s="102">
        <f>IF(K12=0,0,K12/TrAvia_act!K20*1000)</f>
        <v>13229.166052399465</v>
      </c>
      <c r="L28" s="102">
        <f>IF(L12=0,0,L12/TrAvia_act!L20*1000)</f>
        <v>13510.343896643122</v>
      </c>
      <c r="M28" s="102">
        <f>IF(M12=0,0,M12/TrAvia_act!M20*1000)</f>
        <v>15114.077168696458</v>
      </c>
      <c r="N28" s="102">
        <f>IF(N12=0,0,N12/TrAvia_act!N20*1000)</f>
        <v>14437.844827031511</v>
      </c>
      <c r="O28" s="102">
        <f>IF(O12=0,0,O12/TrAvia_act!O20*1000)</f>
        <v>13626.226021777567</v>
      </c>
      <c r="P28" s="102">
        <f>IF(P12=0,0,P12/TrAvia_act!P20*1000)</f>
        <v>13565.626831560618</v>
      </c>
      <c r="Q28" s="102">
        <f>IF(Q12=0,0,Q12/TrAvia_act!Q20*1000)</f>
        <v>13477.524093988563</v>
      </c>
      <c r="R28" s="102">
        <f>IF(R12=0,0,R12/TrAvia_act!R20*1000)</f>
        <v>14094.054054165523</v>
      </c>
      <c r="S28" s="102">
        <f>IF(S12=0,0,S12/TrAvia_act!S20*1000)</f>
        <v>13902.995841396576</v>
      </c>
      <c r="T28" s="102">
        <f>IF(T12=0,0,T12/TrAvia_act!T20*1000)</f>
        <v>13652.506669390685</v>
      </c>
      <c r="U28" s="102">
        <f>IF(U12=0,0,U12/TrAvia_act!U20*1000)</f>
        <v>13061.117467656497</v>
      </c>
      <c r="V28" s="102">
        <f>IF(V12=0,0,V12/TrAvia_act!V20*1000)</f>
        <v>10252.081248765826</v>
      </c>
      <c r="W28" s="102">
        <f>IF(W12=0,0,W12/TrAvia_act!W20*1000)</f>
        <v>11622.682364385742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10983.866911256395</v>
      </c>
      <c r="C29" s="86">
        <f>IF(C13=0,0,C13/TrAvia_act!C21*1000)</f>
        <v>11070.962096164243</v>
      </c>
      <c r="D29" s="86">
        <f>IF(D13=0,0,D13/TrAvia_act!D21*1000)</f>
        <v>12674.421810739666</v>
      </c>
      <c r="E29" s="86">
        <f>IF(E13=0,0,E13/TrAvia_act!E21*1000)</f>
        <v>12698.893504592093</v>
      </c>
      <c r="F29" s="86">
        <f>IF(F13=0,0,F13/TrAvia_act!F21*1000)</f>
        <v>12455.385620407484</v>
      </c>
      <c r="G29" s="86">
        <f>IF(G13=0,0,G13/TrAvia_act!G21*1000)</f>
        <v>11763.725452349841</v>
      </c>
      <c r="H29" s="86">
        <f>IF(H13=0,0,H13/TrAvia_act!H21*1000)</f>
        <v>8098.2245542636447</v>
      </c>
      <c r="I29" s="86">
        <f>IF(I13=0,0,I13/TrAvia_act!I21*1000)</f>
        <v>7001.0803636592736</v>
      </c>
      <c r="J29" s="86">
        <f>IF(J13=0,0,J13/TrAvia_act!J21*1000)</f>
        <v>6941.6075318928979</v>
      </c>
      <c r="K29" s="86">
        <f>IF(K13=0,0,K13/TrAvia_act!K21*1000)</f>
        <v>9198.6940268184353</v>
      </c>
      <c r="L29" s="86">
        <f>IF(L13=0,0,L13/TrAvia_act!L21*1000)</f>
        <v>11197.406921387093</v>
      </c>
      <c r="M29" s="86">
        <f>IF(M13=0,0,M13/TrAvia_act!M21*1000)</f>
        <v>8552.4039044990968</v>
      </c>
      <c r="N29" s="86">
        <f>IF(N13=0,0,N13/TrAvia_act!N21*1000)</f>
        <v>10719.139755273083</v>
      </c>
      <c r="O29" s="86">
        <f>IF(O13=0,0,O13/TrAvia_act!O21*1000)</f>
        <v>8424.3214568073781</v>
      </c>
      <c r="P29" s="86">
        <f>IF(P13=0,0,P13/TrAvia_act!P21*1000)</f>
        <v>6476.2321729434943</v>
      </c>
      <c r="Q29" s="86">
        <f>IF(Q13=0,0,Q13/TrAvia_act!Q21*1000)</f>
        <v>7738.1810545775643</v>
      </c>
      <c r="R29" s="86">
        <f>IF(R13=0,0,R13/TrAvia_act!R21*1000)</f>
        <v>5957.740613876309</v>
      </c>
      <c r="S29" s="86">
        <f>IF(S13=0,0,S13/TrAvia_act!S21*1000)</f>
        <v>8878.3913359573671</v>
      </c>
      <c r="T29" s="86">
        <f>IF(T13=0,0,T13/TrAvia_act!T21*1000)</f>
        <v>7202.3081282750672</v>
      </c>
      <c r="U29" s="86">
        <f>IF(U13=0,0,U13/TrAvia_act!U21*1000)</f>
        <v>7345.3055724710148</v>
      </c>
      <c r="V29" s="86">
        <f>IF(V13=0,0,V13/TrAvia_act!V21*1000)</f>
        <v>16904.607904033288</v>
      </c>
      <c r="W29" s="86">
        <f>IF(W13=0,0,W13/TrAvia_act!W21*1000)</f>
        <v>7811.8097373826913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91.213530346213915</v>
      </c>
      <c r="C32" s="14">
        <f>IF(C6=0,0,C6/TrAvia_act!C4*1000)</f>
        <v>93.541823295480086</v>
      </c>
      <c r="D32" s="14">
        <f>IF(D6=0,0,D6/TrAvia_act!D4*1000)</f>
        <v>112.31568924597742</v>
      </c>
      <c r="E32" s="14">
        <f>IF(E6=0,0,E6/TrAvia_act!E4*1000)</f>
        <v>114.83746451506281</v>
      </c>
      <c r="F32" s="14">
        <f>IF(F6=0,0,F6/TrAvia_act!F4*1000)</f>
        <v>103.87825778580252</v>
      </c>
      <c r="G32" s="14">
        <f>IF(G6=0,0,G6/TrAvia_act!G4*1000)</f>
        <v>96.941998315280685</v>
      </c>
      <c r="H32" s="14">
        <f>IF(H6=0,0,H6/TrAvia_act!H4*1000)</f>
        <v>99.29674054177984</v>
      </c>
      <c r="I32" s="14">
        <f>IF(I6=0,0,I6/TrAvia_act!I4*1000)</f>
        <v>95.76917023197592</v>
      </c>
      <c r="J32" s="14">
        <f>IF(J6=0,0,J6/TrAvia_act!J4*1000)</f>
        <v>91.985935728636292</v>
      </c>
      <c r="K32" s="14">
        <f>IF(K6=0,0,K6/TrAvia_act!K4*1000)</f>
        <v>92.048588153690986</v>
      </c>
      <c r="L32" s="14">
        <f>IF(L6=0,0,L6/TrAvia_act!L4*1000)</f>
        <v>91.62808563703571</v>
      </c>
      <c r="M32" s="14">
        <f>IF(M6=0,0,M6/TrAvia_act!M4*1000)</f>
        <v>97.309997371416017</v>
      </c>
      <c r="N32" s="14">
        <f>IF(N6=0,0,N6/TrAvia_act!N4*1000)</f>
        <v>87.41124015993654</v>
      </c>
      <c r="O32" s="14">
        <f>IF(O6=0,0,O6/TrAvia_act!O4*1000)</f>
        <v>77.654668148958962</v>
      </c>
      <c r="P32" s="14">
        <f>IF(P6=0,0,P6/TrAvia_act!P4*1000)</f>
        <v>75.721479974739225</v>
      </c>
      <c r="Q32" s="14">
        <f>IF(Q6=0,0,Q6/TrAvia_act!Q4*1000)</f>
        <v>76.800933318024022</v>
      </c>
      <c r="R32" s="14">
        <f>IF(R6=0,0,R6/TrAvia_act!R4*1000)</f>
        <v>72.446045318391754</v>
      </c>
      <c r="S32" s="14">
        <f>IF(S6=0,0,S6/TrAvia_act!S4*1000)</f>
        <v>73.874412056628458</v>
      </c>
      <c r="T32" s="14">
        <f>IF(T6=0,0,T6/TrAvia_act!T4*1000)</f>
        <v>72.126406536546455</v>
      </c>
      <c r="U32" s="14">
        <f>IF(U6=0,0,U6/TrAvia_act!U4*1000)</f>
        <v>67.426395039780616</v>
      </c>
      <c r="V32" s="14">
        <f>IF(V6=0,0,V6/TrAvia_act!V4*1000)</f>
        <v>105.16391054839299</v>
      </c>
      <c r="W32" s="14">
        <f>IF(W6=0,0,W6/TrAvia_act!W4*1000)</f>
        <v>80.586622015635783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0</v>
      </c>
      <c r="C33" s="87">
        <f>IF(C7=0,0,C7/TrAvia_act!C5*1000)</f>
        <v>0</v>
      </c>
      <c r="D33" s="87">
        <f>IF(D7=0,0,D7/TrAvia_act!D5*1000)</f>
        <v>0</v>
      </c>
      <c r="E33" s="87">
        <f>IF(E7=0,0,E7/TrAvia_act!E5*1000)</f>
        <v>0</v>
      </c>
      <c r="F33" s="87">
        <f>IF(F7=0,0,F7/TrAvia_act!F5*1000)</f>
        <v>0</v>
      </c>
      <c r="G33" s="87">
        <f>IF(G7=0,0,G7/TrAvia_act!G5*1000)</f>
        <v>0</v>
      </c>
      <c r="H33" s="87">
        <f>IF(H7=0,0,H7/TrAvia_act!H5*1000)</f>
        <v>0</v>
      </c>
      <c r="I33" s="87">
        <f>IF(I7=0,0,I7/TrAvia_act!I5*1000)</f>
        <v>0</v>
      </c>
      <c r="J33" s="87">
        <f>IF(J7=0,0,J7/TrAvia_act!J5*1000)</f>
        <v>0</v>
      </c>
      <c r="K33" s="87">
        <f>IF(K7=0,0,K7/TrAvia_act!K5*1000)</f>
        <v>0</v>
      </c>
      <c r="L33" s="87">
        <f>IF(L7=0,0,L7/TrAvia_act!L5*1000)</f>
        <v>0</v>
      </c>
      <c r="M33" s="87">
        <f>IF(M7=0,0,M7/TrAvia_act!M5*1000)</f>
        <v>0</v>
      </c>
      <c r="N33" s="87">
        <f>IF(N7=0,0,N7/TrAvia_act!N5*1000)</f>
        <v>0</v>
      </c>
      <c r="O33" s="87">
        <f>IF(O7=0,0,O7/TrAvia_act!O5*1000)</f>
        <v>0</v>
      </c>
      <c r="P33" s="87">
        <f>IF(P7=0,0,P7/TrAvia_act!P5*1000)</f>
        <v>0</v>
      </c>
      <c r="Q33" s="87">
        <f>IF(Q7=0,0,Q7/TrAvia_act!Q5*1000)</f>
        <v>0</v>
      </c>
      <c r="R33" s="87">
        <f>IF(R7=0,0,R7/TrAvia_act!R5*1000)</f>
        <v>0</v>
      </c>
      <c r="S33" s="87">
        <f>IF(S7=0,0,S7/TrAvia_act!S5*1000)</f>
        <v>0</v>
      </c>
      <c r="T33" s="87">
        <f>IF(T7=0,0,T7/TrAvia_act!T5*1000)</f>
        <v>0</v>
      </c>
      <c r="U33" s="87">
        <f>IF(U7=0,0,U7/TrAvia_act!U5*1000)</f>
        <v>0</v>
      </c>
      <c r="V33" s="87">
        <f>IF(V7=0,0,V7/TrAvia_act!V5*1000)</f>
        <v>0</v>
      </c>
      <c r="W33" s="87">
        <f>IF(W7=0,0,W7/TrAvia_act!W5*1000)</f>
        <v>0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84.567631219047072</v>
      </c>
      <c r="C34" s="87">
        <f>IF(C8=0,0,C8/TrAvia_act!C6*1000)</f>
        <v>87.010115606021344</v>
      </c>
      <c r="D34" s="87">
        <f>IF(D8=0,0,D8/TrAvia_act!D6*1000)</f>
        <v>103.24730058052904</v>
      </c>
      <c r="E34" s="87">
        <f>IF(E8=0,0,E8/TrAvia_act!E6*1000)</f>
        <v>106.20687775609652</v>
      </c>
      <c r="F34" s="87">
        <f>IF(F8=0,0,F8/TrAvia_act!F6*1000)</f>
        <v>98.003041774856868</v>
      </c>
      <c r="G34" s="87">
        <f>IF(G8=0,0,G8/TrAvia_act!G6*1000)</f>
        <v>91.187900955521258</v>
      </c>
      <c r="H34" s="87">
        <f>IF(H8=0,0,H8/TrAvia_act!H6*1000)</f>
        <v>94.93605592787668</v>
      </c>
      <c r="I34" s="87">
        <f>IF(I8=0,0,I8/TrAvia_act!I6*1000)</f>
        <v>92.519610822369785</v>
      </c>
      <c r="J34" s="87">
        <f>IF(J8=0,0,J8/TrAvia_act!J6*1000)</f>
        <v>89.572160985100879</v>
      </c>
      <c r="K34" s="87">
        <f>IF(K8=0,0,K8/TrAvia_act!K6*1000)</f>
        <v>88.626647481965236</v>
      </c>
      <c r="L34" s="87">
        <f>IF(L8=0,0,L8/TrAvia_act!L6*1000)</f>
        <v>90.086409422642021</v>
      </c>
      <c r="M34" s="87">
        <f>IF(M8=0,0,M8/TrAvia_act!M6*1000)</f>
        <v>98.481693785681955</v>
      </c>
      <c r="N34" s="87">
        <f>IF(N8=0,0,N8/TrAvia_act!N6*1000)</f>
        <v>93.462882981678419</v>
      </c>
      <c r="O34" s="87">
        <f>IF(O8=0,0,O8/TrAvia_act!O6*1000)</f>
        <v>90.905354689122163</v>
      </c>
      <c r="P34" s="87">
        <f>IF(P8=0,0,P8/TrAvia_act!P6*1000)</f>
        <v>90.442277062069678</v>
      </c>
      <c r="Q34" s="87">
        <f>IF(Q8=0,0,Q8/TrAvia_act!Q6*1000)</f>
        <v>89.572721111330878</v>
      </c>
      <c r="R34" s="87">
        <f>IF(R8=0,0,R8/TrAvia_act!R6*1000)</f>
        <v>91.233119176506136</v>
      </c>
      <c r="S34" s="87">
        <f>IF(S8=0,0,S8/TrAvia_act!S6*1000)</f>
        <v>90.549679258240303</v>
      </c>
      <c r="T34" s="87">
        <f>IF(T8=0,0,T8/TrAvia_act!T6*1000)</f>
        <v>86.915056217484988</v>
      </c>
      <c r="U34" s="87">
        <f>IF(U8=0,0,U8/TrAvia_act!U6*1000)</f>
        <v>80.270145754953859</v>
      </c>
      <c r="V34" s="87">
        <f>IF(V8=0,0,V8/TrAvia_act!V6*1000)</f>
        <v>91.511879252847592</v>
      </c>
      <c r="W34" s="87">
        <f>IF(W8=0,0,W8/TrAvia_act!W6*1000)</f>
        <v>100.55094203229196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166.20094462234519</v>
      </c>
      <c r="C35" s="87">
        <f>IF(C9=0,0,C9/TrAvia_act!C7*1000)</f>
        <v>164.393591967199</v>
      </c>
      <c r="D35" s="87">
        <f>IF(D9=0,0,D9/TrAvia_act!D7*1000)</f>
        <v>184.70254298553269</v>
      </c>
      <c r="E35" s="87">
        <f>IF(E9=0,0,E9/TrAvia_act!E7*1000)</f>
        <v>180.1640204430725</v>
      </c>
      <c r="F35" s="87">
        <f>IF(F9=0,0,F9/TrAvia_act!F7*1000)</f>
        <v>154.25459764851595</v>
      </c>
      <c r="G35" s="87">
        <f>IF(G9=0,0,G9/TrAvia_act!G7*1000)</f>
        <v>152.08711077044015</v>
      </c>
      <c r="H35" s="87">
        <f>IF(H9=0,0,H9/TrAvia_act!H7*1000)</f>
        <v>135.14815864862169</v>
      </c>
      <c r="I35" s="87">
        <f>IF(I9=0,0,I9/TrAvia_act!I7*1000)</f>
        <v>120.30581278250665</v>
      </c>
      <c r="J35" s="87">
        <f>IF(J9=0,0,J9/TrAvia_act!J7*1000)</f>
        <v>108.78962360986006</v>
      </c>
      <c r="K35" s="87">
        <f>IF(K9=0,0,K9/TrAvia_act!K7*1000)</f>
        <v>116.29274023691484</v>
      </c>
      <c r="L35" s="87">
        <f>IF(L9=0,0,L9/TrAvia_act!L7*1000)</f>
        <v>100.5623953204593</v>
      </c>
      <c r="M35" s="87">
        <f>IF(M9=0,0,M9/TrAvia_act!M7*1000)</f>
        <v>91.551220672060609</v>
      </c>
      <c r="N35" s="87">
        <f>IF(N9=0,0,N9/TrAvia_act!N7*1000)</f>
        <v>66.275086126394029</v>
      </c>
      <c r="O35" s="87">
        <f>IF(O9=0,0,O9/TrAvia_act!O7*1000)</f>
        <v>46.179860470052645</v>
      </c>
      <c r="P35" s="87">
        <f>IF(P9=0,0,P9/TrAvia_act!P7*1000)</f>
        <v>43.233442431522114</v>
      </c>
      <c r="Q35" s="87">
        <f>IF(Q9=0,0,Q9/TrAvia_act!Q7*1000)</f>
        <v>46.117604726362785</v>
      </c>
      <c r="R35" s="87">
        <f>IF(R9=0,0,R9/TrAvia_act!R7*1000)</f>
        <v>35.228860302403994</v>
      </c>
      <c r="S35" s="87">
        <f>IF(S9=0,0,S9/TrAvia_act!S7*1000)</f>
        <v>36.614209100346102</v>
      </c>
      <c r="T35" s="87">
        <f>IF(T9=0,0,T9/TrAvia_act!T7*1000)</f>
        <v>37.685015292257638</v>
      </c>
      <c r="U35" s="87">
        <f>IF(U9=0,0,U9/TrAvia_act!U7*1000)</f>
        <v>36.985720102492799</v>
      </c>
      <c r="V35" s="87">
        <f>IF(V9=0,0,V9/TrAvia_act!V7*1000)</f>
        <v>181.68497207697237</v>
      </c>
      <c r="W35" s="87">
        <f>IF(W9=0,0,W9/TrAvia_act!W7*1000)</f>
        <v>48.223842387041877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667.61951208737753</v>
      </c>
      <c r="C36" s="15">
        <f>IF(C10=0,0,C10/TrAvia_act!C8*1000)</f>
        <v>593.51196577559847</v>
      </c>
      <c r="D36" s="15">
        <f>IF(D10=0,0,D10/TrAvia_act!D8*1000)</f>
        <v>721.51501324823835</v>
      </c>
      <c r="E36" s="15">
        <f>IF(E10=0,0,E10/TrAvia_act!E8*1000)</f>
        <v>739.15164284599996</v>
      </c>
      <c r="F36" s="15">
        <f>IF(F10=0,0,F10/TrAvia_act!F8*1000)</f>
        <v>811.48080859951415</v>
      </c>
      <c r="G36" s="15">
        <f>IF(G10=0,0,G10/TrAvia_act!G8*1000)</f>
        <v>799.47916999782001</v>
      </c>
      <c r="H36" s="15">
        <f>IF(H10=0,0,H10/TrAvia_act!H8*1000)</f>
        <v>840.21014131439097</v>
      </c>
      <c r="I36" s="15">
        <f>IF(I10=0,0,I10/TrAvia_act!I8*1000)</f>
        <v>769.70986932041149</v>
      </c>
      <c r="J36" s="15">
        <f>IF(J10=0,0,J10/TrAvia_act!J8*1000)</f>
        <v>742.16137790686378</v>
      </c>
      <c r="K36" s="15">
        <f>IF(K10=0,0,K10/TrAvia_act!K8*1000)</f>
        <v>687.02495581111066</v>
      </c>
      <c r="L36" s="15">
        <f>IF(L10=0,0,L10/TrAvia_act!L8*1000)</f>
        <v>637.7718873121097</v>
      </c>
      <c r="M36" s="15">
        <f>IF(M10=0,0,M10/TrAvia_act!M8*1000)</f>
        <v>699.96100541631506</v>
      </c>
      <c r="N36" s="15">
        <f>IF(N10=0,0,N10/TrAvia_act!N8*1000)</f>
        <v>681.64494468267458</v>
      </c>
      <c r="O36" s="15">
        <f>IF(O10=0,0,O10/TrAvia_act!O8*1000)</f>
        <v>609.33477204951146</v>
      </c>
      <c r="P36" s="15">
        <f>IF(P10=0,0,P10/TrAvia_act!P8*1000)</f>
        <v>529.71472628322545</v>
      </c>
      <c r="Q36" s="15">
        <f>IF(Q10=0,0,Q10/TrAvia_act!Q8*1000)</f>
        <v>547.63223240173807</v>
      </c>
      <c r="R36" s="15">
        <f>IF(R10=0,0,R10/TrAvia_act!R8*1000)</f>
        <v>493.82507464156635</v>
      </c>
      <c r="S36" s="15">
        <f>IF(S10=0,0,S10/TrAvia_act!S8*1000)</f>
        <v>568.32849992471267</v>
      </c>
      <c r="T36" s="15">
        <f>IF(T10=0,0,T10/TrAvia_act!T8*1000)</f>
        <v>504.36849457753209</v>
      </c>
      <c r="U36" s="15">
        <f>IF(U10=0,0,U10/TrAvia_act!U8*1000)</f>
        <v>320.48722010953776</v>
      </c>
      <c r="V36" s="15">
        <f>IF(V10=0,0,V10/TrAvia_act!V8*1000)</f>
        <v>422.87373179596199</v>
      </c>
      <c r="W36" s="15">
        <f>IF(W10=0,0,W10/TrAvia_act!W8*1000)</f>
        <v>409.90062371243084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0</v>
      </c>
      <c r="C37" s="101">
        <f>IF(C11=0,0,C11/TrAvia_act!C9*1000)</f>
        <v>0</v>
      </c>
      <c r="D37" s="101">
        <f>IF(D11=0,0,D11/TrAvia_act!D9*1000)</f>
        <v>0</v>
      </c>
      <c r="E37" s="101">
        <f>IF(E11=0,0,E11/TrAvia_act!E9*1000)</f>
        <v>0</v>
      </c>
      <c r="F37" s="101">
        <f>IF(F11=0,0,F11/TrAvia_act!F9*1000)</f>
        <v>0</v>
      </c>
      <c r="G37" s="101">
        <f>IF(G11=0,0,G11/TrAvia_act!G9*1000)</f>
        <v>0</v>
      </c>
      <c r="H37" s="101">
        <f>IF(H11=0,0,H11/TrAvia_act!H9*1000)</f>
        <v>0</v>
      </c>
      <c r="I37" s="101">
        <f>IF(I11=0,0,I11/TrAvia_act!I9*1000)</f>
        <v>0</v>
      </c>
      <c r="J37" s="101">
        <f>IF(J11=0,0,J11/TrAvia_act!J9*1000)</f>
        <v>0</v>
      </c>
      <c r="K37" s="101">
        <f>IF(K11=0,0,K11/TrAvia_act!K9*1000)</f>
        <v>0</v>
      </c>
      <c r="L37" s="101">
        <f>IF(L11=0,0,L11/TrAvia_act!L9*1000)</f>
        <v>0</v>
      </c>
      <c r="M37" s="101">
        <f>IF(M11=0,0,M11/TrAvia_act!M9*1000)</f>
        <v>0</v>
      </c>
      <c r="N37" s="101">
        <f>IF(N11=0,0,N11/TrAvia_act!N9*1000)</f>
        <v>0</v>
      </c>
      <c r="O37" s="101">
        <f>IF(O11=0,0,O11/TrAvia_act!O9*1000)</f>
        <v>0</v>
      </c>
      <c r="P37" s="101">
        <f>IF(P11=0,0,P11/TrAvia_act!P9*1000)</f>
        <v>0</v>
      </c>
      <c r="Q37" s="101">
        <f>IF(Q11=0,0,Q11/TrAvia_act!Q9*1000)</f>
        <v>0</v>
      </c>
      <c r="R37" s="101">
        <f>IF(R11=0,0,R11/TrAvia_act!R9*1000)</f>
        <v>0</v>
      </c>
      <c r="S37" s="101">
        <f>IF(S11=0,0,S11/TrAvia_act!S9*1000)</f>
        <v>0</v>
      </c>
      <c r="T37" s="101">
        <f>IF(T11=0,0,T11/TrAvia_act!T9*1000)</f>
        <v>0</v>
      </c>
      <c r="U37" s="101">
        <f>IF(U11=0,0,U11/TrAvia_act!U9*1000)</f>
        <v>0</v>
      </c>
      <c r="V37" s="101">
        <f>IF(V11=0,0,V11/TrAvia_act!V9*1000)</f>
        <v>0</v>
      </c>
      <c r="W37" s="101">
        <f>IF(W11=0,0,W11/TrAvia_act!W9*1000)</f>
        <v>0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810.35993326681364</v>
      </c>
      <c r="C38" s="101">
        <f>IF(C12=0,0,C12/TrAvia_act!C10*1000)</f>
        <v>722.92239390051316</v>
      </c>
      <c r="D38" s="101">
        <f>IF(D12=0,0,D12/TrAvia_act!D10*1000)</f>
        <v>873.48013767575083</v>
      </c>
      <c r="E38" s="101">
        <f>IF(E12=0,0,E12/TrAvia_act!E10*1000)</f>
        <v>882.80697084523513</v>
      </c>
      <c r="F38" s="101">
        <f>IF(F12=0,0,F12/TrAvia_act!F10*1000)</f>
        <v>970.88995068264512</v>
      </c>
      <c r="G38" s="101">
        <f>IF(G12=0,0,G12/TrAvia_act!G10*1000)</f>
        <v>921.71789588425304</v>
      </c>
      <c r="H38" s="101">
        <f>IF(H12=0,0,H12/TrAvia_act!H10*1000)</f>
        <v>1012.226981067349</v>
      </c>
      <c r="I38" s="101">
        <f>IF(I12=0,0,I12/TrAvia_act!I10*1000)</f>
        <v>950.41828926438882</v>
      </c>
      <c r="J38" s="101">
        <f>IF(J12=0,0,J12/TrAvia_act!J10*1000)</f>
        <v>943.99114705815987</v>
      </c>
      <c r="K38" s="101">
        <f>IF(K12=0,0,K12/TrAvia_act!K10*1000)</f>
        <v>880.76855743043018</v>
      </c>
      <c r="L38" s="101">
        <f>IF(L12=0,0,L12/TrAvia_act!L10*1000)</f>
        <v>813.89063309670212</v>
      </c>
      <c r="M38" s="101">
        <f>IF(M12=0,0,M12/TrAvia_act!M10*1000)</f>
        <v>886.76436274912817</v>
      </c>
      <c r="N38" s="101">
        <f>IF(N12=0,0,N12/TrAvia_act!N10*1000)</f>
        <v>779.961897815312</v>
      </c>
      <c r="O38" s="101">
        <f>IF(O12=0,0,O12/TrAvia_act!O10*1000)</f>
        <v>754.11419069903525</v>
      </c>
      <c r="P38" s="101">
        <f>IF(P12=0,0,P12/TrAvia_act!P10*1000)</f>
        <v>675.75323273478625</v>
      </c>
      <c r="Q38" s="101">
        <f>IF(Q12=0,0,Q12/TrAvia_act!Q10*1000)</f>
        <v>709.20668910081918</v>
      </c>
      <c r="R38" s="101">
        <f>IF(R12=0,0,R12/TrAvia_act!R10*1000)</f>
        <v>643.9350043303117</v>
      </c>
      <c r="S38" s="101">
        <f>IF(S12=0,0,S12/TrAvia_act!S10*1000)</f>
        <v>692.39477893342428</v>
      </c>
      <c r="T38" s="101">
        <f>IF(T12=0,0,T12/TrAvia_act!T10*1000)</f>
        <v>659.57515680846382</v>
      </c>
      <c r="U38" s="101">
        <f>IF(U12=0,0,U12/TrAvia_act!U10*1000)</f>
        <v>543.70721724663383</v>
      </c>
      <c r="V38" s="101">
        <f>IF(V12=0,0,V12/TrAvia_act!V10*1000)</f>
        <v>514.63041874037026</v>
      </c>
      <c r="W38" s="101">
        <f>IF(W12=0,0,W12/TrAvia_act!W10*1000)</f>
        <v>638.5836977294324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145.76279328601692</v>
      </c>
      <c r="C39" s="88">
        <f>IF(C13=0,0,C13/TrAvia_act!C11*1000)</f>
        <v>140.24720625729921</v>
      </c>
      <c r="D39" s="88">
        <f>IF(D13=0,0,D13/TrAvia_act!D11*1000)</f>
        <v>170.00863171118442</v>
      </c>
      <c r="E39" s="88">
        <f>IF(E13=0,0,E13/TrAvia_act!E11*1000)</f>
        <v>187.43597594398838</v>
      </c>
      <c r="F39" s="88">
        <f>IF(F13=0,0,F13/TrAvia_act!F11*1000)</f>
        <v>189.39462760667516</v>
      </c>
      <c r="G39" s="88">
        <f>IF(G13=0,0,G13/TrAvia_act!G11*1000)</f>
        <v>190.20548298043224</v>
      </c>
      <c r="H39" s="88">
        <f>IF(H13=0,0,H13/TrAvia_act!H11*1000)</f>
        <v>135.45097394099312</v>
      </c>
      <c r="I39" s="88">
        <f>IF(I13=0,0,I13/TrAvia_act!I11*1000)</f>
        <v>119.08362065788951</v>
      </c>
      <c r="J39" s="88">
        <f>IF(J13=0,0,J13/TrAvia_act!J11*1000)</f>
        <v>120.50310086984882</v>
      </c>
      <c r="K39" s="88">
        <f>IF(K13=0,0,K13/TrAvia_act!K11*1000)</f>
        <v>141.59338045270133</v>
      </c>
      <c r="L39" s="88">
        <f>IF(L13=0,0,L13/TrAvia_act!L11*1000)</f>
        <v>169.53569812549193</v>
      </c>
      <c r="M39" s="88">
        <f>IF(M13=0,0,M13/TrAvia_act!M11*1000)</f>
        <v>123.63079777801457</v>
      </c>
      <c r="N39" s="88">
        <f>IF(N13=0,0,N13/TrAvia_act!N11*1000)</f>
        <v>133.2122917578638</v>
      </c>
      <c r="O39" s="88">
        <f>IF(O13=0,0,O13/TrAvia_act!O11*1000)</f>
        <v>97.318202528026148</v>
      </c>
      <c r="P39" s="88">
        <f>IF(P13=0,0,P13/TrAvia_act!P11*1000)</f>
        <v>69.348691208249122</v>
      </c>
      <c r="Q39" s="88">
        <f>IF(Q13=0,0,Q13/TrAvia_act!Q11*1000)</f>
        <v>79.957020502534633</v>
      </c>
      <c r="R39" s="88">
        <f>IF(R13=0,0,R13/TrAvia_act!R11*1000)</f>
        <v>54.852601693915069</v>
      </c>
      <c r="S39" s="88">
        <f>IF(S13=0,0,S13/TrAvia_act!S11*1000)</f>
        <v>82.189302140312876</v>
      </c>
      <c r="T39" s="88">
        <f>IF(T13=0,0,T13/TrAvia_act!T11*1000)</f>
        <v>68.733801366141336</v>
      </c>
      <c r="U39" s="88">
        <f>IF(U13=0,0,U13/TrAvia_act!U11*1000)</f>
        <v>69.082039100606849</v>
      </c>
      <c r="V39" s="88">
        <f>IF(V13=0,0,V13/TrAvia_act!V11*1000)</f>
        <v>278.29012792965722</v>
      </c>
      <c r="W39" s="88">
        <f>IF(W13=0,0,W13/TrAvia_act!W11*1000)</f>
        <v>114.47820296426877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31170.556819015481</v>
      </c>
      <c r="C41" s="54">
        <f>IF(C3=0,0,C3/TrAvia_act!C23*1000000)</f>
        <v>31386.043124645359</v>
      </c>
      <c r="D41" s="54">
        <f>IF(D3=0,0,D3/TrAvia_act!D23*1000000)</f>
        <v>33127.329274199124</v>
      </c>
      <c r="E41" s="54">
        <f>IF(E3=0,0,E3/TrAvia_act!E23*1000000)</f>
        <v>33173.490428529782</v>
      </c>
      <c r="F41" s="54">
        <f>IF(F3=0,0,F3/TrAvia_act!F23*1000000)</f>
        <v>32887.386611349415</v>
      </c>
      <c r="G41" s="54">
        <f>IF(G3=0,0,G3/TrAvia_act!G23*1000000)</f>
        <v>31130.225708502032</v>
      </c>
      <c r="H41" s="54">
        <f>IF(H3=0,0,H3/TrAvia_act!H23*1000000)</f>
        <v>29890.554298642528</v>
      </c>
      <c r="I41" s="54">
        <f>IF(I3=0,0,I3/TrAvia_act!I23*1000000)</f>
        <v>27091.087791372698</v>
      </c>
      <c r="J41" s="54">
        <f>IF(J3=0,0,J3/TrAvia_act!J23*1000000)</f>
        <v>26478.026803702302</v>
      </c>
      <c r="K41" s="54">
        <f>IF(K3=0,0,K3/TrAvia_act!K23*1000000)</f>
        <v>27075.444673583803</v>
      </c>
      <c r="L41" s="54">
        <f>IF(L3=0,0,L3/TrAvia_act!L23*1000000)</f>
        <v>28304.073131219626</v>
      </c>
      <c r="M41" s="54">
        <f>IF(M3=0,0,M3/TrAvia_act!M23*1000000)</f>
        <v>31622.926829268301</v>
      </c>
      <c r="N41" s="54">
        <f>IF(N3=0,0,N3/TrAvia_act!N23*1000000)</f>
        <v>29408.676222596972</v>
      </c>
      <c r="O41" s="54">
        <f>IF(O3=0,0,O3/TrAvia_act!O23*1000000)</f>
        <v>29227.883031301484</v>
      </c>
      <c r="P41" s="54">
        <f>IF(P3=0,0,P3/TrAvia_act!P23*1000000)</f>
        <v>27451.183944232071</v>
      </c>
      <c r="Q41" s="54">
        <f>IF(Q3=0,0,Q3/TrAvia_act!Q23*1000000)</f>
        <v>27133.615028646986</v>
      </c>
      <c r="R41" s="54">
        <f>IF(R3=0,0,R3/TrAvia_act!R23*1000000)</f>
        <v>25689.836111025536</v>
      </c>
      <c r="S41" s="54">
        <f>IF(S3=0,0,S3/TrAvia_act!S23*1000000)</f>
        <v>25945.333594175023</v>
      </c>
      <c r="T41" s="54">
        <f>IF(T3=0,0,T3/TrAvia_act!T23*1000000)</f>
        <v>25552.094155664203</v>
      </c>
      <c r="U41" s="54">
        <f>IF(U3=0,0,U3/TrAvia_act!U23*1000000)</f>
        <v>25184.950233271451</v>
      </c>
      <c r="V41" s="54">
        <f>IF(V3=0,0,V3/TrAvia_act!V23*1000000)</f>
        <v>23074.088483774867</v>
      </c>
      <c r="W41" s="54">
        <f>IF(W3=0,0,W3/TrAvia_act!W23*1000000)</f>
        <v>22279.472279746537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31072.236057610695</v>
      </c>
      <c r="C42" s="11">
        <f>IF(C6=0,0,C6/TrAvia_act!C24*1000000)</f>
        <v>31318.834138342798</v>
      </c>
      <c r="D42" s="11">
        <f>IF(D6=0,0,D6/TrAvia_act!D24*1000000)</f>
        <v>32974.403164661613</v>
      </c>
      <c r="E42" s="11">
        <f>IF(E6=0,0,E6/TrAvia_act!E24*1000000)</f>
        <v>33037.821297698938</v>
      </c>
      <c r="F42" s="11">
        <f>IF(F6=0,0,F6/TrAvia_act!F24*1000000)</f>
        <v>32705.74315713943</v>
      </c>
      <c r="G42" s="11">
        <f>IF(G6=0,0,G6/TrAvia_act!G24*1000000)</f>
        <v>30962.400387384652</v>
      </c>
      <c r="H42" s="11">
        <f>IF(H6=0,0,H6/TrAvia_act!H24*1000000)</f>
        <v>29624.541066201666</v>
      </c>
      <c r="I42" s="11">
        <f>IF(I6=0,0,I6/TrAvia_act!I24*1000000)</f>
        <v>26845.40754391973</v>
      </c>
      <c r="J42" s="11">
        <f>IF(J6=0,0,J6/TrAvia_act!J24*1000000)</f>
        <v>26247.918860796945</v>
      </c>
      <c r="K42" s="11">
        <f>IF(K6=0,0,K6/TrAvia_act!K24*1000000)</f>
        <v>26910.336836631603</v>
      </c>
      <c r="L42" s="11">
        <f>IF(L6=0,0,L6/TrAvia_act!L24*1000000)</f>
        <v>28121.2091879482</v>
      </c>
      <c r="M42" s="11">
        <f>IF(M6=0,0,M6/TrAvia_act!M24*1000000)</f>
        <v>31534.473710468061</v>
      </c>
      <c r="N42" s="11">
        <f>IF(N6=0,0,N6/TrAvia_act!N24*1000000)</f>
        <v>29390.2166172262</v>
      </c>
      <c r="O42" s="11">
        <f>IF(O6=0,0,O6/TrAvia_act!O24*1000000)</f>
        <v>29282.240813916826</v>
      </c>
      <c r="P42" s="11">
        <f>IF(P6=0,0,P6/TrAvia_act!P24*1000000)</f>
        <v>27464.831927562758</v>
      </c>
      <c r="Q42" s="11">
        <f>IF(Q6=0,0,Q6/TrAvia_act!Q24*1000000)</f>
        <v>27160.258188661264</v>
      </c>
      <c r="R42" s="11">
        <f>IF(R6=0,0,R6/TrAvia_act!R24*1000000)</f>
        <v>25696.351864037762</v>
      </c>
      <c r="S42" s="11">
        <f>IF(S6=0,0,S6/TrAvia_act!S24*1000000)</f>
        <v>25964.693102909496</v>
      </c>
      <c r="T42" s="11">
        <f>IF(T6=0,0,T6/TrAvia_act!T24*1000000)</f>
        <v>25593.261696134279</v>
      </c>
      <c r="U42" s="11">
        <f>IF(U6=0,0,U6/TrAvia_act!U24*1000000)</f>
        <v>25282.266104855189</v>
      </c>
      <c r="V42" s="11">
        <f>IF(V6=0,0,V6/TrAvia_act!V24*1000000)</f>
        <v>23324.211641059777</v>
      </c>
      <c r="W42" s="11">
        <f>IF(W6=0,0,W6/TrAvia_act!W24*1000000)</f>
        <v>22376.938204585796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0</v>
      </c>
      <c r="C43" s="84">
        <f>IF(C7=0,0,C7/TrAvia_act!C25*1000000)</f>
        <v>0</v>
      </c>
      <c r="D43" s="84">
        <f>IF(D7=0,0,D7/TrAvia_act!D25*1000000)</f>
        <v>0</v>
      </c>
      <c r="E43" s="84">
        <f>IF(E7=0,0,E7/TrAvia_act!E25*1000000)</f>
        <v>0</v>
      </c>
      <c r="F43" s="84">
        <f>IF(F7=0,0,F7/TrAvia_act!F25*1000000)</f>
        <v>0</v>
      </c>
      <c r="G43" s="84">
        <f>IF(G7=0,0,G7/TrAvia_act!G25*1000000)</f>
        <v>0</v>
      </c>
      <c r="H43" s="84">
        <f>IF(H7=0,0,H7/TrAvia_act!H25*1000000)</f>
        <v>0</v>
      </c>
      <c r="I43" s="84">
        <f>IF(I7=0,0,I7/TrAvia_act!I25*1000000)</f>
        <v>0</v>
      </c>
      <c r="J43" s="84">
        <f>IF(J7=0,0,J7/TrAvia_act!J25*1000000)</f>
        <v>0</v>
      </c>
      <c r="K43" s="84">
        <f>IF(K7=0,0,K7/TrAvia_act!K25*1000000)</f>
        <v>0</v>
      </c>
      <c r="L43" s="84">
        <f>IF(L7=0,0,L7/TrAvia_act!L25*1000000)</f>
        <v>0</v>
      </c>
      <c r="M43" s="84">
        <f>IF(M7=0,0,M7/TrAvia_act!M25*1000000)</f>
        <v>0</v>
      </c>
      <c r="N43" s="84">
        <f>IF(N7=0,0,N7/TrAvia_act!N25*1000000)</f>
        <v>0</v>
      </c>
      <c r="O43" s="84">
        <f>IF(O7=0,0,O7/TrAvia_act!O25*1000000)</f>
        <v>0</v>
      </c>
      <c r="P43" s="84">
        <f>IF(P7=0,0,P7/TrAvia_act!P25*1000000)</f>
        <v>0</v>
      </c>
      <c r="Q43" s="84">
        <f>IF(Q7=0,0,Q7/TrAvia_act!Q25*1000000)</f>
        <v>0</v>
      </c>
      <c r="R43" s="84">
        <f>IF(R7=0,0,R7/TrAvia_act!R25*1000000)</f>
        <v>0</v>
      </c>
      <c r="S43" s="84">
        <f>IF(S7=0,0,S7/TrAvia_act!S25*1000000)</f>
        <v>0</v>
      </c>
      <c r="T43" s="84">
        <f>IF(T7=0,0,T7/TrAvia_act!T25*1000000)</f>
        <v>0</v>
      </c>
      <c r="U43" s="84">
        <f>IF(U7=0,0,U7/TrAvia_act!U25*1000000)</f>
        <v>0</v>
      </c>
      <c r="V43" s="84">
        <f>IF(V7=0,0,V7/TrAvia_act!V25*1000000)</f>
        <v>0</v>
      </c>
      <c r="W43" s="84">
        <f>IF(W7=0,0,W7/TrAvia_act!W25*1000000)</f>
        <v>0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36957.586209285364</v>
      </c>
      <c r="C44" s="84">
        <f>IF(C8=0,0,C8/TrAvia_act!C26*1000000)</f>
        <v>37250.936437787568</v>
      </c>
      <c r="D44" s="84">
        <f>IF(D8=0,0,D8/TrAvia_act!D26*1000000)</f>
        <v>39749.057721659956</v>
      </c>
      <c r="E44" s="84">
        <f>IF(E8=0,0,E8/TrAvia_act!E26*1000000)</f>
        <v>39825.388860032952</v>
      </c>
      <c r="F44" s="84">
        <f>IF(F8=0,0,F8/TrAvia_act!F26*1000000)</f>
        <v>38145.513513917584</v>
      </c>
      <c r="G44" s="84">
        <f>IF(G8=0,0,G8/TrAvia_act!G26*1000000)</f>
        <v>35558.986900711345</v>
      </c>
      <c r="H44" s="84">
        <f>IF(H8=0,0,H8/TrAvia_act!H26*1000000)</f>
        <v>37343.513717851012</v>
      </c>
      <c r="I44" s="84">
        <f>IF(I8=0,0,I8/TrAvia_act!I26*1000000)</f>
        <v>35082.514363928349</v>
      </c>
      <c r="J44" s="84">
        <f>IF(J8=0,0,J8/TrAvia_act!J26*1000000)</f>
        <v>34063.888783492832</v>
      </c>
      <c r="K44" s="84">
        <f>IF(K8=0,0,K8/TrAvia_act!K26*1000000)</f>
        <v>31746.712936560187</v>
      </c>
      <c r="L44" s="84">
        <f>IF(L8=0,0,L8/TrAvia_act!L26*1000000)</f>
        <v>31832.260239248622</v>
      </c>
      <c r="M44" s="84">
        <f>IF(M8=0,0,M8/TrAvia_act!M26*1000000)</f>
        <v>36299.640549820229</v>
      </c>
      <c r="N44" s="84">
        <f>IF(N8=0,0,N8/TrAvia_act!N26*1000000)</f>
        <v>33887.56907042081</v>
      </c>
      <c r="O44" s="84">
        <f>IF(O8=0,0,O8/TrAvia_act!O26*1000000)</f>
        <v>35439.281114247722</v>
      </c>
      <c r="P44" s="84">
        <f>IF(P8=0,0,P8/TrAvia_act!P26*1000000)</f>
        <v>34992.194486365894</v>
      </c>
      <c r="Q44" s="84">
        <f>IF(Q8=0,0,Q8/TrAvia_act!Q26*1000000)</f>
        <v>33547.759475074206</v>
      </c>
      <c r="R44" s="84">
        <f>IF(R8=0,0,R8/TrAvia_act!R26*1000000)</f>
        <v>34910.847217942603</v>
      </c>
      <c r="S44" s="84">
        <f>IF(S8=0,0,S8/TrAvia_act!S26*1000000)</f>
        <v>34485.784902687876</v>
      </c>
      <c r="T44" s="84">
        <f>IF(T8=0,0,T8/TrAvia_act!T26*1000000)</f>
        <v>33298.3688648319</v>
      </c>
      <c r="U44" s="84">
        <f>IF(U8=0,0,U8/TrAvia_act!U26*1000000)</f>
        <v>33363.347987781257</v>
      </c>
      <c r="V44" s="84">
        <f>IF(V8=0,0,V8/TrAvia_act!V26*1000000)</f>
        <v>23139.532437362152</v>
      </c>
      <c r="W44" s="84">
        <f>IF(W8=0,0,W8/TrAvia_act!W26*1000000)</f>
        <v>27165.477866119993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16231.906387535679</v>
      </c>
      <c r="C45" s="84">
        <f>IF(C9=0,0,C9/TrAvia_act!C27*1000000)</f>
        <v>16360.615238403174</v>
      </c>
      <c r="D45" s="84">
        <f>IF(D9=0,0,D9/TrAvia_act!D27*1000000)</f>
        <v>18730.200393927953</v>
      </c>
      <c r="E45" s="84">
        <f>IF(E9=0,0,E9/TrAvia_act!E27*1000000)</f>
        <v>18766.364546950423</v>
      </c>
      <c r="F45" s="84">
        <f>IF(F9=0,0,F9/TrAvia_act!F27*1000000)</f>
        <v>18406.509751490285</v>
      </c>
      <c r="G45" s="84">
        <f>IF(G9=0,0,G9/TrAvia_act!G27*1000000)</f>
        <v>17766.089559075121</v>
      </c>
      <c r="H45" s="84">
        <f>IF(H9=0,0,H9/TrAvia_act!H27*1000000)</f>
        <v>13504.00250728932</v>
      </c>
      <c r="I45" s="84">
        <f>IF(I9=0,0,I9/TrAvia_act!I27*1000000)</f>
        <v>11358.830373339852</v>
      </c>
      <c r="J45" s="84">
        <f>IF(J9=0,0,J9/TrAvia_act!J27*1000000)</f>
        <v>11337.358306193024</v>
      </c>
      <c r="K45" s="84">
        <f>IF(K9=0,0,K9/TrAvia_act!K27*1000000)</f>
        <v>14765.131497329879</v>
      </c>
      <c r="L45" s="84">
        <f>IF(L9=0,0,L9/TrAvia_act!L27*1000000)</f>
        <v>17518.48451480113</v>
      </c>
      <c r="M45" s="84">
        <f>IF(M9=0,0,M9/TrAvia_act!M27*1000000)</f>
        <v>18614.991000609487</v>
      </c>
      <c r="N45" s="84">
        <f>IF(N9=0,0,N9/TrAvia_act!N27*1000000)</f>
        <v>17772.729657581138</v>
      </c>
      <c r="O45" s="84">
        <f>IF(O9=0,0,O9/TrAvia_act!O27*1000000)</f>
        <v>16156.965127215459</v>
      </c>
      <c r="P45" s="84">
        <f>IF(P9=0,0,P9/TrAvia_act!P27*1000000)</f>
        <v>13779.601159364527</v>
      </c>
      <c r="Q45" s="84">
        <f>IF(Q9=0,0,Q9/TrAvia_act!Q27*1000000)</f>
        <v>14382.390944331208</v>
      </c>
      <c r="R45" s="84">
        <f>IF(R9=0,0,R9/TrAvia_act!R27*1000000)</f>
        <v>10915.591875816002</v>
      </c>
      <c r="S45" s="84">
        <f>IF(S9=0,0,S9/TrAvia_act!S27*1000000)</f>
        <v>10976.800484920856</v>
      </c>
      <c r="T45" s="84">
        <f>IF(T9=0,0,T9/TrAvia_act!T27*1000000)</f>
        <v>11410.819185124577</v>
      </c>
      <c r="U45" s="84">
        <f>IF(U9=0,0,U9/TrAvia_act!U27*1000000)</f>
        <v>11257.088852415314</v>
      </c>
      <c r="V45" s="84">
        <f>IF(V9=0,0,V9/TrAvia_act!V27*1000000)</f>
        <v>23861.874642665989</v>
      </c>
      <c r="W45" s="84">
        <f>IF(W9=0,0,W9/TrAvia_act!W27*1000000)</f>
        <v>14022.384718122752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34361.095686343666</v>
      </c>
      <c r="C46" s="13">
        <f>IF(C10=0,0,C10/TrAvia_act!C28*1000000)</f>
        <v>34347.248148981504</v>
      </c>
      <c r="D46" s="13">
        <f>IF(D10=0,0,D10/TrAvia_act!D28*1000000)</f>
        <v>39427.661737349721</v>
      </c>
      <c r="E46" s="13">
        <f>IF(E10=0,0,E10/TrAvia_act!E28*1000000)</f>
        <v>39384.053231245562</v>
      </c>
      <c r="F46" s="13">
        <f>IF(F10=0,0,F10/TrAvia_act!F28*1000000)</f>
        <v>38945.239684482796</v>
      </c>
      <c r="G46" s="13">
        <f>IF(G10=0,0,G10/TrAvia_act!G28*1000000)</f>
        <v>35902.164556122458</v>
      </c>
      <c r="H46" s="13">
        <f>IF(H10=0,0,H10/TrAvia_act!H28*1000000)</f>
        <v>37149.523385488697</v>
      </c>
      <c r="I46" s="13">
        <f>IF(I10=0,0,I10/TrAvia_act!I28*1000000)</f>
        <v>34757.81904170748</v>
      </c>
      <c r="J46" s="13">
        <f>IF(J10=0,0,J10/TrAvia_act!J28*1000000)</f>
        <v>33579.050894811458</v>
      </c>
      <c r="K46" s="13">
        <f>IF(K10=0,0,K10/TrAvia_act!K28*1000000)</f>
        <v>32075.615679348022</v>
      </c>
      <c r="L46" s="13">
        <f>IF(L10=0,0,L10/TrAvia_act!L28*1000000)</f>
        <v>34552.704178797976</v>
      </c>
      <c r="M46" s="13">
        <f>IF(M10=0,0,M10/TrAvia_act!M28*1000000)</f>
        <v>35615.083239595493</v>
      </c>
      <c r="N46" s="13">
        <f>IF(N10=0,0,N10/TrAvia_act!N28*1000000)</f>
        <v>30343.817719356157</v>
      </c>
      <c r="O46" s="13">
        <f>IF(O10=0,0,O10/TrAvia_act!O28*1000000)</f>
        <v>26803.175858647464</v>
      </c>
      <c r="P46" s="13">
        <f>IF(P10=0,0,P10/TrAvia_act!P28*1000000)</f>
        <v>26696.571397542881</v>
      </c>
      <c r="Q46" s="13">
        <f>IF(Q10=0,0,Q10/TrAvia_act!Q28*1000000)</f>
        <v>25606.853561533026</v>
      </c>
      <c r="R46" s="13">
        <f>IF(R10=0,0,R10/TrAvia_act!R28*1000000)</f>
        <v>25163.586477312652</v>
      </c>
      <c r="S46" s="13">
        <f>IF(S10=0,0,S10/TrAvia_act!S28*1000000)</f>
        <v>24314.601017684428</v>
      </c>
      <c r="T46" s="13">
        <f>IF(T10=0,0,T10/TrAvia_act!T28*1000000)</f>
        <v>21844.172992705804</v>
      </c>
      <c r="U46" s="13">
        <f>IF(U10=0,0,U10/TrAvia_act!U28*1000000)</f>
        <v>16731.582891727965</v>
      </c>
      <c r="V46" s="13">
        <f>IF(V10=0,0,V10/TrAvia_act!V28*1000000)</f>
        <v>15062.830017864753</v>
      </c>
      <c r="W46" s="13">
        <f>IF(W10=0,0,W10/TrAvia_act!W28*1000000)</f>
        <v>16287.461580830894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0</v>
      </c>
      <c r="C47" s="102">
        <f>IF(C11=0,0,C11/TrAvia_act!C29*1000000)</f>
        <v>0</v>
      </c>
      <c r="D47" s="102">
        <f>IF(D11=0,0,D11/TrAvia_act!D29*1000000)</f>
        <v>0</v>
      </c>
      <c r="E47" s="102">
        <f>IF(E11=0,0,E11/TrAvia_act!E29*1000000)</f>
        <v>0</v>
      </c>
      <c r="F47" s="102">
        <f>IF(F11=0,0,F11/TrAvia_act!F29*1000000)</f>
        <v>0</v>
      </c>
      <c r="G47" s="102">
        <f>IF(G11=0,0,G11/TrAvia_act!G29*1000000)</f>
        <v>0</v>
      </c>
      <c r="H47" s="102">
        <f>IF(H11=0,0,H11/TrAvia_act!H29*1000000)</f>
        <v>0</v>
      </c>
      <c r="I47" s="102">
        <f>IF(I11=0,0,I11/TrAvia_act!I29*1000000)</f>
        <v>0</v>
      </c>
      <c r="J47" s="102">
        <f>IF(J11=0,0,J11/TrAvia_act!J29*1000000)</f>
        <v>0</v>
      </c>
      <c r="K47" s="102">
        <f>IF(K11=0,0,K11/TrAvia_act!K29*1000000)</f>
        <v>0</v>
      </c>
      <c r="L47" s="102">
        <f>IF(L11=0,0,L11/TrAvia_act!L29*1000000)</f>
        <v>0</v>
      </c>
      <c r="M47" s="102">
        <f>IF(M11=0,0,M11/TrAvia_act!M29*1000000)</f>
        <v>0</v>
      </c>
      <c r="N47" s="102">
        <f>IF(N11=0,0,N11/TrAvia_act!N29*1000000)</f>
        <v>0</v>
      </c>
      <c r="O47" s="102">
        <f>IF(O11=0,0,O11/TrAvia_act!O29*1000000)</f>
        <v>0</v>
      </c>
      <c r="P47" s="102">
        <f>IF(P11=0,0,P11/TrAvia_act!P29*1000000)</f>
        <v>0</v>
      </c>
      <c r="Q47" s="102">
        <f>IF(Q11=0,0,Q11/TrAvia_act!Q29*1000000)</f>
        <v>0</v>
      </c>
      <c r="R47" s="102">
        <f>IF(R11=0,0,R11/TrAvia_act!R29*1000000)</f>
        <v>0</v>
      </c>
      <c r="S47" s="102">
        <f>IF(S11=0,0,S11/TrAvia_act!S29*1000000)</f>
        <v>0</v>
      </c>
      <c r="T47" s="102">
        <f>IF(T11=0,0,T11/TrAvia_act!T29*1000000)</f>
        <v>0</v>
      </c>
      <c r="U47" s="102">
        <f>IF(U11=0,0,U11/TrAvia_act!U29*1000000)</f>
        <v>0</v>
      </c>
      <c r="V47" s="102">
        <f>IF(V11=0,0,V11/TrAvia_act!V29*1000000)</f>
        <v>0</v>
      </c>
      <c r="W47" s="102">
        <f>IF(W11=0,0,W11/TrAvia_act!W29*1000000)</f>
        <v>0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37174.22460970025</v>
      </c>
      <c r="C48" s="102">
        <f>IF(C12=0,0,C12/TrAvia_act!C30*1000000)</f>
        <v>37498.25219727536</v>
      </c>
      <c r="D48" s="102">
        <f>IF(D12=0,0,D12/TrAvia_act!D30*1000000)</f>
        <v>42936.728889662081</v>
      </c>
      <c r="E48" s="102">
        <f>IF(E12=0,0,E12/TrAvia_act!E30*1000000)</f>
        <v>42987.350227643023</v>
      </c>
      <c r="F48" s="102">
        <f>IF(F12=0,0,F12/TrAvia_act!F30*1000000)</f>
        <v>42186.088736245278</v>
      </c>
      <c r="G48" s="102">
        <f>IF(G12=0,0,G12/TrAvia_act!G30*1000000)</f>
        <v>38149.627403400882</v>
      </c>
      <c r="H48" s="102">
        <f>IF(H12=0,0,H12/TrAvia_act!H30*1000000)</f>
        <v>39716.745300656708</v>
      </c>
      <c r="I48" s="102">
        <f>IF(I12=0,0,I12/TrAvia_act!I30*1000000)</f>
        <v>37348.864791017462</v>
      </c>
      <c r="J48" s="102">
        <f>IF(J12=0,0,J12/TrAvia_act!J30*1000000)</f>
        <v>35992.713252697497</v>
      </c>
      <c r="K48" s="102">
        <f>IF(K12=0,0,K12/TrAvia_act!K30*1000000)</f>
        <v>33481.828929635485</v>
      </c>
      <c r="L48" s="102">
        <f>IF(L12=0,0,L12/TrAvia_act!L30*1000000)</f>
        <v>35740.992730579339</v>
      </c>
      <c r="M48" s="102">
        <f>IF(M12=0,0,M12/TrAvia_act!M30*1000000)</f>
        <v>38951.862338243809</v>
      </c>
      <c r="N48" s="102">
        <f>IF(N12=0,0,N12/TrAvia_act!N30*1000000)</f>
        <v>35190.318274088553</v>
      </c>
      <c r="O48" s="102">
        <f>IF(O12=0,0,O12/TrAvia_act!O30*1000000)</f>
        <v>31840.280585683409</v>
      </c>
      <c r="P48" s="102">
        <f>IF(P12=0,0,P12/TrAvia_act!P30*1000000)</f>
        <v>32165.904633175611</v>
      </c>
      <c r="Q48" s="102">
        <f>IF(Q12=0,0,Q12/TrAvia_act!Q30*1000000)</f>
        <v>31362.611021897515</v>
      </c>
      <c r="R48" s="102">
        <f>IF(R12=0,0,R12/TrAvia_act!R30*1000000)</f>
        <v>30914.592925460955</v>
      </c>
      <c r="S48" s="102">
        <f>IF(S12=0,0,S12/TrAvia_act!S30*1000000)</f>
        <v>29813.791523808992</v>
      </c>
      <c r="T48" s="102">
        <f>IF(T12=0,0,T12/TrAvia_act!T30*1000000)</f>
        <v>26969.877009959109</v>
      </c>
      <c r="U48" s="102">
        <f>IF(U12=0,0,U12/TrAvia_act!U30*1000000)</f>
        <v>19874.913654317781</v>
      </c>
      <c r="V48" s="102">
        <f>IF(V12=0,0,V12/TrAvia_act!V30*1000000)</f>
        <v>15167.557458206122</v>
      </c>
      <c r="W48" s="102">
        <f>IF(W12=0,0,W12/TrAvia_act!W30*1000000)</f>
        <v>18544.538186596172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13538.141387683567</v>
      </c>
      <c r="C49" s="86">
        <f>IF(C13=0,0,C13/TrAvia_act!C31*1000000)</f>
        <v>13645.490369330508</v>
      </c>
      <c r="D49" s="86">
        <f>IF(D13=0,0,D13/TrAvia_act!D31*1000000)</f>
        <v>15621.831169957866</v>
      </c>
      <c r="E49" s="86">
        <f>IF(E13=0,0,E13/TrAvia_act!E31*1000000)</f>
        <v>15651.993703248467</v>
      </c>
      <c r="F49" s="86">
        <f>IF(F13=0,0,F13/TrAvia_act!F31*1000000)</f>
        <v>15351.858587651925</v>
      </c>
      <c r="G49" s="86">
        <f>IF(G13=0,0,G13/TrAvia_act!G31*1000000)</f>
        <v>14817.719287840442</v>
      </c>
      <c r="H49" s="86">
        <f>IF(H13=0,0,H13/TrAvia_act!H31*1000000)</f>
        <v>12470.286295335885</v>
      </c>
      <c r="I49" s="86">
        <f>IF(I13=0,0,I13/TrAvia_act!I31*1000000)</f>
        <v>11611.143681204932</v>
      </c>
      <c r="J49" s="86">
        <f>IF(J13=0,0,J13/TrAvia_act!J31*1000000)</f>
        <v>12825.864728344899</v>
      </c>
      <c r="K49" s="86">
        <f>IF(K13=0,0,K13/TrAvia_act!K31*1000000)</f>
        <v>18482.220926569207</v>
      </c>
      <c r="L49" s="86">
        <f>IF(L13=0,0,L13/TrAvia_act!L31*1000000)</f>
        <v>24258.653915613373</v>
      </c>
      <c r="M49" s="86">
        <f>IF(M13=0,0,M13/TrAvia_act!M31*1000000)</f>
        <v>12299.339287790372</v>
      </c>
      <c r="N49" s="86">
        <f>IF(N13=0,0,N13/TrAvia_act!N31*1000000)</f>
        <v>5518.9648778935252</v>
      </c>
      <c r="O49" s="86">
        <f>IF(O13=0,0,O13/TrAvia_act!O31*1000000)</f>
        <v>5023.694467463476</v>
      </c>
      <c r="P49" s="86">
        <f>IF(P13=0,0,P13/TrAvia_act!P31*1000000)</f>
        <v>4289.9481418861878</v>
      </c>
      <c r="Q49" s="86">
        <f>IF(Q13=0,0,Q13/TrAvia_act!Q31*1000000)</f>
        <v>4483.2236819953669</v>
      </c>
      <c r="R49" s="86">
        <f>IF(R13=0,0,R13/TrAvia_act!R31*1000000)</f>
        <v>3406.7669023901672</v>
      </c>
      <c r="S49" s="86">
        <f>IF(S13=0,0,S13/TrAvia_act!S31*1000000)</f>
        <v>3430.0348258855161</v>
      </c>
      <c r="T49" s="86">
        <f>IF(T13=0,0,T13/TrAvia_act!T31*1000000)</f>
        <v>3569.9238877157704</v>
      </c>
      <c r="U49" s="86">
        <f>IF(U13=0,0,U13/TrAvia_act!U31*1000000)</f>
        <v>6965.8950856236752</v>
      </c>
      <c r="V49" s="86">
        <f>IF(V13=0,0,V13/TrAvia_act!V31*1000000)</f>
        <v>14765.746054447396</v>
      </c>
      <c r="W49" s="86">
        <f>IF(W13=0,0,W13/TrAvia_act!W31*1000000)</f>
        <v>8677.0622562633507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0.96704492238883866</v>
      </c>
      <c r="C52" s="16">
        <f t="shared" si="35"/>
        <v>0.9757133575595659</v>
      </c>
      <c r="D52" s="16">
        <f t="shared" ref="D52:V52" si="36">IF(D6=0,0,D6/D$3)</f>
        <v>0.97179558017047052</v>
      </c>
      <c r="E52" s="16">
        <f t="shared" si="36"/>
        <v>0.97461984073074648</v>
      </c>
      <c r="F52" s="16">
        <f t="shared" si="36"/>
        <v>0.96552571862537839</v>
      </c>
      <c r="G52" s="16">
        <f t="shared" si="36"/>
        <v>0.96081772621863493</v>
      </c>
      <c r="H52" s="16">
        <f t="shared" si="36"/>
        <v>0.95606435219753361</v>
      </c>
      <c r="I52" s="16">
        <f t="shared" si="36"/>
        <v>0.96016292441074025</v>
      </c>
      <c r="J52" s="16">
        <f t="shared" si="36"/>
        <v>0.96019447392362767</v>
      </c>
      <c r="K52" s="16">
        <f t="shared" si="36"/>
        <v>0.96213191706356715</v>
      </c>
      <c r="L52" s="16">
        <f t="shared" si="36"/>
        <v>0.96529042873908599</v>
      </c>
      <c r="M52" s="16">
        <f t="shared" si="36"/>
        <v>0.97558706405545292</v>
      </c>
      <c r="N52" s="16">
        <f t="shared" si="36"/>
        <v>0.98002667296831136</v>
      </c>
      <c r="O52" s="16">
        <f t="shared" si="36"/>
        <v>0.97989228497524716</v>
      </c>
      <c r="P52" s="16">
        <f t="shared" si="36"/>
        <v>0.98272355543164935</v>
      </c>
      <c r="Q52" s="16">
        <f t="shared" si="36"/>
        <v>0.98381362127982974</v>
      </c>
      <c r="R52" s="16">
        <f t="shared" si="36"/>
        <v>0.98802046893485307</v>
      </c>
      <c r="S52" s="16">
        <f t="shared" si="36"/>
        <v>0.98900503022526731</v>
      </c>
      <c r="T52" s="16">
        <f t="shared" si="36"/>
        <v>0.99061275153059836</v>
      </c>
      <c r="U52" s="16">
        <f t="shared" si="36"/>
        <v>0.99243900776504568</v>
      </c>
      <c r="V52" s="16">
        <f t="shared" si="36"/>
        <v>0.98023561799631909</v>
      </c>
      <c r="W52" s="16">
        <f t="shared" ref="W52" si="37">IF(W6=0,0,W6/W$3)</f>
        <v>0.98829904403335977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0</v>
      </c>
      <c r="C53" s="103">
        <f t="shared" si="38"/>
        <v>0</v>
      </c>
      <c r="D53" s="103">
        <f t="shared" ref="D53:V53" si="39">IF(D7=0,0,D7/D$3)</f>
        <v>0</v>
      </c>
      <c r="E53" s="103">
        <f t="shared" si="39"/>
        <v>0</v>
      </c>
      <c r="F53" s="103">
        <f t="shared" si="39"/>
        <v>0</v>
      </c>
      <c r="G53" s="103">
        <f t="shared" si="39"/>
        <v>0</v>
      </c>
      <c r="H53" s="103">
        <f t="shared" si="39"/>
        <v>0</v>
      </c>
      <c r="I53" s="103">
        <f t="shared" si="39"/>
        <v>0</v>
      </c>
      <c r="J53" s="103">
        <f t="shared" si="39"/>
        <v>0</v>
      </c>
      <c r="K53" s="103">
        <f t="shared" si="39"/>
        <v>0</v>
      </c>
      <c r="L53" s="103">
        <f t="shared" si="39"/>
        <v>0</v>
      </c>
      <c r="M53" s="103">
        <f t="shared" si="39"/>
        <v>0</v>
      </c>
      <c r="N53" s="103">
        <f t="shared" si="39"/>
        <v>0</v>
      </c>
      <c r="O53" s="103">
        <f t="shared" si="39"/>
        <v>0</v>
      </c>
      <c r="P53" s="103">
        <f t="shared" si="39"/>
        <v>0</v>
      </c>
      <c r="Q53" s="103">
        <f t="shared" si="39"/>
        <v>0</v>
      </c>
      <c r="R53" s="103">
        <f t="shared" si="39"/>
        <v>0</v>
      </c>
      <c r="S53" s="103">
        <f t="shared" si="39"/>
        <v>0</v>
      </c>
      <c r="T53" s="103">
        <f t="shared" si="39"/>
        <v>0</v>
      </c>
      <c r="U53" s="103">
        <f t="shared" si="39"/>
        <v>0</v>
      </c>
      <c r="V53" s="103">
        <f t="shared" si="39"/>
        <v>0</v>
      </c>
      <c r="W53" s="103">
        <f t="shared" ref="W53" si="40">IF(W7=0,0,W7/W$3)</f>
        <v>0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0.82359272916876658</v>
      </c>
      <c r="C54" s="103">
        <f t="shared" si="41"/>
        <v>0.8309762767064458</v>
      </c>
      <c r="D54" s="103">
        <f t="shared" ref="D54:V54" si="42">IF(D8=0,0,D8/D$3)</f>
        <v>0.79387816812563483</v>
      </c>
      <c r="E54" s="103">
        <f t="shared" si="42"/>
        <v>0.79618489360380684</v>
      </c>
      <c r="F54" s="103">
        <f t="shared" si="42"/>
        <v>0.81577579616437057</v>
      </c>
      <c r="G54" s="103">
        <f t="shared" si="42"/>
        <v>0.81839247409415639</v>
      </c>
      <c r="H54" s="103">
        <f t="shared" si="42"/>
        <v>0.81495358282832697</v>
      </c>
      <c r="I54" s="103">
        <f t="shared" si="42"/>
        <v>0.81910382316859753</v>
      </c>
      <c r="J54" s="103">
        <f t="shared" si="42"/>
        <v>0.8175595287692653</v>
      </c>
      <c r="K54" s="103">
        <f t="shared" si="42"/>
        <v>0.81178492587429385</v>
      </c>
      <c r="L54" s="103">
        <f t="shared" si="42"/>
        <v>0.80938427295541837</v>
      </c>
      <c r="M54" s="103">
        <f t="shared" si="42"/>
        <v>0.82041092952817651</v>
      </c>
      <c r="N54" s="103">
        <f t="shared" si="42"/>
        <v>0.81463250722728509</v>
      </c>
      <c r="O54" s="103">
        <f t="shared" si="42"/>
        <v>0.80725022128806556</v>
      </c>
      <c r="P54" s="103">
        <f t="shared" si="42"/>
        <v>0.80776300504552112</v>
      </c>
      <c r="Q54" s="103">
        <f t="shared" si="42"/>
        <v>0.81018398611980469</v>
      </c>
      <c r="R54" s="103">
        <f t="shared" si="42"/>
        <v>0.82684908297563253</v>
      </c>
      <c r="S54" s="103">
        <f t="shared" si="42"/>
        <v>0.83745624718064959</v>
      </c>
      <c r="T54" s="103">
        <f t="shared" si="42"/>
        <v>0.83513199718485864</v>
      </c>
      <c r="U54" s="103">
        <f t="shared" si="42"/>
        <v>0.83090343628871233</v>
      </c>
      <c r="V54" s="103">
        <f t="shared" si="42"/>
        <v>0.72384444578812868</v>
      </c>
      <c r="W54" s="103">
        <f t="shared" ref="W54" si="43">IF(W8=0,0,W8/W$3)</f>
        <v>0.76265956206364205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0.14345219322007202</v>
      </c>
      <c r="C55" s="103">
        <f t="shared" si="44"/>
        <v>0.14473708085312012</v>
      </c>
      <c r="D55" s="103">
        <f t="shared" ref="D55:V55" si="45">IF(D9=0,0,D9/D$3)</f>
        <v>0.17791741204483569</v>
      </c>
      <c r="E55" s="103">
        <f t="shared" si="45"/>
        <v>0.17843494712693969</v>
      </c>
      <c r="F55" s="103">
        <f t="shared" si="45"/>
        <v>0.14974992246100788</v>
      </c>
      <c r="G55" s="103">
        <f t="shared" si="45"/>
        <v>0.14242525212447857</v>
      </c>
      <c r="H55" s="103">
        <f t="shared" si="45"/>
        <v>0.1411107693692065</v>
      </c>
      <c r="I55" s="103">
        <f t="shared" si="45"/>
        <v>0.14105910124214269</v>
      </c>
      <c r="J55" s="103">
        <f t="shared" si="45"/>
        <v>0.14263494515436237</v>
      </c>
      <c r="K55" s="103">
        <f t="shared" si="45"/>
        <v>0.15034699118927328</v>
      </c>
      <c r="L55" s="103">
        <f t="shared" si="45"/>
        <v>0.15590615578366768</v>
      </c>
      <c r="M55" s="103">
        <f t="shared" si="45"/>
        <v>0.1551761345272763</v>
      </c>
      <c r="N55" s="103">
        <f t="shared" si="45"/>
        <v>0.16539416574102625</v>
      </c>
      <c r="O55" s="103">
        <f t="shared" si="45"/>
        <v>0.17264206368718163</v>
      </c>
      <c r="P55" s="103">
        <f t="shared" si="45"/>
        <v>0.17496055038612823</v>
      </c>
      <c r="Q55" s="103">
        <f t="shared" si="45"/>
        <v>0.17362963516002508</v>
      </c>
      <c r="R55" s="103">
        <f t="shared" si="45"/>
        <v>0.16117138595922048</v>
      </c>
      <c r="S55" s="103">
        <f t="shared" si="45"/>
        <v>0.15154878304461775</v>
      </c>
      <c r="T55" s="103">
        <f t="shared" si="45"/>
        <v>0.15548075434573971</v>
      </c>
      <c r="U55" s="103">
        <f t="shared" si="45"/>
        <v>0.16153557147633341</v>
      </c>
      <c r="V55" s="103">
        <f t="shared" si="45"/>
        <v>0.25639117220819041</v>
      </c>
      <c r="W55" s="103">
        <f t="shared" ref="W55" si="46">IF(W9=0,0,W9/W$3)</f>
        <v>0.22563948196971773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3.2955077611161364E-2</v>
      </c>
      <c r="C56" s="17">
        <f t="shared" si="47"/>
        <v>2.4286642440434009E-2</v>
      </c>
      <c r="D56" s="17">
        <f t="shared" ref="D56:V56" si="48">IF(D10=0,0,D10/D$3)</f>
        <v>2.8204419829529349E-2</v>
      </c>
      <c r="E56" s="17">
        <f t="shared" si="48"/>
        <v>2.5380159269253483E-2</v>
      </c>
      <c r="F56" s="17">
        <f t="shared" si="48"/>
        <v>3.4474281374621607E-2</v>
      </c>
      <c r="G56" s="17">
        <f t="shared" si="48"/>
        <v>3.9182273781364935E-2</v>
      </c>
      <c r="H56" s="17">
        <f t="shared" si="48"/>
        <v>4.393564780246647E-2</v>
      </c>
      <c r="I56" s="17">
        <f t="shared" si="48"/>
        <v>3.9837075589259648E-2</v>
      </c>
      <c r="J56" s="17">
        <f t="shared" si="48"/>
        <v>3.9805526076372257E-2</v>
      </c>
      <c r="K56" s="17">
        <f t="shared" si="48"/>
        <v>3.7868082936432956E-2</v>
      </c>
      <c r="L56" s="17">
        <f t="shared" si="48"/>
        <v>3.4709571260914014E-2</v>
      </c>
      <c r="M56" s="17">
        <f t="shared" si="48"/>
        <v>2.4412935944547125E-2</v>
      </c>
      <c r="N56" s="17">
        <f t="shared" si="48"/>
        <v>1.9973327031688543E-2</v>
      </c>
      <c r="O56" s="17">
        <f t="shared" si="48"/>
        <v>2.0107715024752785E-2</v>
      </c>
      <c r="P56" s="17">
        <f t="shared" si="48"/>
        <v>1.7276444568350532E-2</v>
      </c>
      <c r="Q56" s="17">
        <f t="shared" si="48"/>
        <v>1.6186378720170185E-2</v>
      </c>
      <c r="R56" s="17">
        <f t="shared" si="48"/>
        <v>1.1979531065147016E-2</v>
      </c>
      <c r="S56" s="17">
        <f t="shared" si="48"/>
        <v>1.0994969774732738E-2</v>
      </c>
      <c r="T56" s="17">
        <f t="shared" si="48"/>
        <v>9.3872484694015532E-3</v>
      </c>
      <c r="U56" s="17">
        <f t="shared" si="48"/>
        <v>7.560992234954325E-3</v>
      </c>
      <c r="V56" s="17">
        <f t="shared" si="48"/>
        <v>1.9764382003680806E-2</v>
      </c>
      <c r="W56" s="17">
        <f t="shared" ref="W56" si="49">IF(W10=0,0,W10/W$3)</f>
        <v>1.1700955966640244E-2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0</v>
      </c>
      <c r="C57" s="104">
        <f t="shared" si="50"/>
        <v>0</v>
      </c>
      <c r="D57" s="104">
        <f t="shared" ref="D57:V57" si="51">IF(D11=0,0,D11/D$3)</f>
        <v>0</v>
      </c>
      <c r="E57" s="104">
        <f t="shared" si="51"/>
        <v>0</v>
      </c>
      <c r="F57" s="104">
        <f t="shared" si="51"/>
        <v>0</v>
      </c>
      <c r="G57" s="104">
        <f t="shared" si="51"/>
        <v>0</v>
      </c>
      <c r="H57" s="104">
        <f t="shared" si="51"/>
        <v>0</v>
      </c>
      <c r="I57" s="104">
        <f t="shared" si="51"/>
        <v>0</v>
      </c>
      <c r="J57" s="104">
        <f t="shared" si="51"/>
        <v>0</v>
      </c>
      <c r="K57" s="104">
        <f t="shared" si="51"/>
        <v>0</v>
      </c>
      <c r="L57" s="104">
        <f t="shared" si="51"/>
        <v>0</v>
      </c>
      <c r="M57" s="104">
        <f t="shared" si="51"/>
        <v>0</v>
      </c>
      <c r="N57" s="104">
        <f t="shared" si="51"/>
        <v>0</v>
      </c>
      <c r="O57" s="104">
        <f t="shared" si="51"/>
        <v>0</v>
      </c>
      <c r="P57" s="104">
        <f t="shared" si="51"/>
        <v>0</v>
      </c>
      <c r="Q57" s="104">
        <f t="shared" si="51"/>
        <v>0</v>
      </c>
      <c r="R57" s="104">
        <f t="shared" si="51"/>
        <v>0</v>
      </c>
      <c r="S57" s="104">
        <f t="shared" si="51"/>
        <v>0</v>
      </c>
      <c r="T57" s="104">
        <f t="shared" si="51"/>
        <v>0</v>
      </c>
      <c r="U57" s="104">
        <f t="shared" si="51"/>
        <v>0</v>
      </c>
      <c r="V57" s="104">
        <f t="shared" si="51"/>
        <v>0</v>
      </c>
      <c r="W57" s="104">
        <f t="shared" ref="W57" si="52">IF(W11=0,0,W11/W$3)</f>
        <v>0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3.1409721742404861E-2</v>
      </c>
      <c r="C58" s="104">
        <f t="shared" si="53"/>
        <v>2.3012039347841642E-2</v>
      </c>
      <c r="D58" s="104">
        <f t="shared" ref="D58:V58" si="54">IF(D12=0,0,D12/D$3)</f>
        <v>2.6768797550931291E-2</v>
      </c>
      <c r="E58" s="104">
        <f t="shared" si="54"/>
        <v>2.4050565672370457E-2</v>
      </c>
      <c r="F58" s="104">
        <f t="shared" si="54"/>
        <v>3.2833043746074465E-2</v>
      </c>
      <c r="G58" s="104">
        <f t="shared" si="54"/>
        <v>3.7624542186836925E-2</v>
      </c>
      <c r="H58" s="104">
        <f t="shared" si="54"/>
        <v>4.2546035805345238E-2</v>
      </c>
      <c r="I58" s="104">
        <f t="shared" si="54"/>
        <v>3.8497352871715199E-2</v>
      </c>
      <c r="J58" s="104">
        <f t="shared" si="54"/>
        <v>3.8221467763694991E-2</v>
      </c>
      <c r="K58" s="104">
        <f t="shared" si="54"/>
        <v>3.5822468631550856E-2</v>
      </c>
      <c r="L58" s="104">
        <f t="shared" si="54"/>
        <v>3.2187685199233172E-2</v>
      </c>
      <c r="M58" s="104">
        <f t="shared" si="54"/>
        <v>2.3357439052644816E-2</v>
      </c>
      <c r="N58" s="104">
        <f t="shared" si="54"/>
        <v>1.9379952730873326E-2</v>
      </c>
      <c r="O58" s="104">
        <f t="shared" si="54"/>
        <v>1.939980644584683E-2</v>
      </c>
      <c r="P58" s="104">
        <f t="shared" si="54"/>
        <v>1.6731746881275406E-2</v>
      </c>
      <c r="Q58" s="104">
        <f t="shared" si="54"/>
        <v>1.5579548770655925E-2</v>
      </c>
      <c r="R58" s="104">
        <f t="shared" si="54"/>
        <v>1.164045488393267E-2</v>
      </c>
      <c r="S58" s="104">
        <f t="shared" si="54"/>
        <v>1.0671683286651971E-2</v>
      </c>
      <c r="T58" s="104">
        <f t="shared" si="54"/>
        <v>9.0512013322862298E-3</v>
      </c>
      <c r="U58" s="104">
        <f t="shared" si="54"/>
        <v>6.7944862517406394E-3</v>
      </c>
      <c r="V58" s="104">
        <f t="shared" si="54"/>
        <v>1.4714627212426147E-2</v>
      </c>
      <c r="W58" s="104">
        <f t="shared" ref="W58" si="55">IF(W12=0,0,W12/W$3)</f>
        <v>1.0275082860104815E-2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1.5453558687565008E-3</v>
      </c>
      <c r="C59" s="105">
        <f t="shared" si="56"/>
        <v>1.2746030925923652E-3</v>
      </c>
      <c r="D59" s="105">
        <f t="shared" ref="D59:V59" si="57">IF(D13=0,0,D13/D$3)</f>
        <v>1.4356222785980575E-3</v>
      </c>
      <c r="E59" s="105">
        <f t="shared" si="57"/>
        <v>1.3295935968830267E-3</v>
      </c>
      <c r="F59" s="105">
        <f t="shared" si="57"/>
        <v>1.6412376285471417E-3</v>
      </c>
      <c r="G59" s="105">
        <f t="shared" si="57"/>
        <v>1.5577315945280133E-3</v>
      </c>
      <c r="H59" s="105">
        <f t="shared" si="57"/>
        <v>1.3896119971212265E-3</v>
      </c>
      <c r="I59" s="105">
        <f t="shared" si="57"/>
        <v>1.3397227175444538E-3</v>
      </c>
      <c r="J59" s="105">
        <f t="shared" si="57"/>
        <v>1.5840583126772651E-3</v>
      </c>
      <c r="K59" s="105">
        <f t="shared" si="57"/>
        <v>2.0456143048821021E-3</v>
      </c>
      <c r="L59" s="105">
        <f t="shared" si="57"/>
        <v>2.5218860616808437E-3</v>
      </c>
      <c r="M59" s="105">
        <f t="shared" si="57"/>
        <v>1.0554968919023113E-3</v>
      </c>
      <c r="N59" s="105">
        <f t="shared" si="57"/>
        <v>5.9337430081521738E-4</v>
      </c>
      <c r="O59" s="105">
        <f t="shared" si="57"/>
        <v>7.079085789059549E-4</v>
      </c>
      <c r="P59" s="105">
        <f t="shared" si="57"/>
        <v>5.4469768707512403E-4</v>
      </c>
      <c r="Q59" s="105">
        <f t="shared" si="57"/>
        <v>6.0682994951426271E-4</v>
      </c>
      <c r="R59" s="105">
        <f t="shared" si="57"/>
        <v>3.3907618121434676E-4</v>
      </c>
      <c r="S59" s="105">
        <f t="shared" si="57"/>
        <v>3.2328648808076639E-4</v>
      </c>
      <c r="T59" s="105">
        <f t="shared" si="57"/>
        <v>3.3604713711532307E-4</v>
      </c>
      <c r="U59" s="105">
        <f t="shared" si="57"/>
        <v>7.6650598321368582E-4</v>
      </c>
      <c r="V59" s="105">
        <f t="shared" si="57"/>
        <v>5.0497547912546617E-3</v>
      </c>
      <c r="W59" s="105">
        <f t="shared" ref="W59" si="58">IF(W13=0,0,W13/W$3)</f>
        <v>1.4258731065354305E-3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4372527</v>
      </c>
      <c r="C4" s="11">
        <f t="shared" si="0"/>
        <v>5124064</v>
      </c>
      <c r="D4" s="11">
        <f t="shared" ref="D4" si="1">SUM(D5:D7)</f>
        <v>4447899</v>
      </c>
      <c r="E4" s="11">
        <f t="shared" ref="E4" si="2">SUM(E5:E7)</f>
        <v>4782931</v>
      </c>
      <c r="F4" s="11">
        <f t="shared" ref="F4" si="3">SUM(F5:F7)</f>
        <v>4212289</v>
      </c>
      <c r="G4" s="11">
        <f t="shared" ref="G4" si="4">SUM(G5:G7)</f>
        <v>4731224</v>
      </c>
      <c r="H4" s="11">
        <f t="shared" ref="H4" si="5">SUM(H5:H7)</f>
        <v>4674614</v>
      </c>
      <c r="I4" s="11">
        <f t="shared" ref="I4" si="6">SUM(I5:I7)</f>
        <v>4797533</v>
      </c>
      <c r="J4" s="11">
        <f t="shared" ref="J4" si="7">SUM(J5:J7)</f>
        <v>5038218</v>
      </c>
      <c r="K4" s="11">
        <f t="shared" ref="K4" si="8">SUM(K5:K7)</f>
        <v>4744691</v>
      </c>
      <c r="L4" s="11">
        <f t="shared" ref="L4" si="9">SUM(L5:L7)</f>
        <v>4814891</v>
      </c>
      <c r="M4" s="11">
        <f t="shared" ref="M4" si="10">SUM(M5:M7)</f>
        <v>4754700</v>
      </c>
      <c r="N4" s="11">
        <f t="shared" ref="N4" si="11">SUM(N5:N7)</f>
        <v>4766232</v>
      </c>
      <c r="O4" s="11">
        <f t="shared" ref="O4" si="12">SUM(O5:O7)</f>
        <v>4394630</v>
      </c>
      <c r="P4" s="11">
        <f t="shared" ref="P4" si="13">SUM(P5:P7)</f>
        <v>4596308</v>
      </c>
      <c r="Q4" s="11">
        <f t="shared" ref="Q4" si="14">SUM(Q5:Q7)</f>
        <v>4661291</v>
      </c>
      <c r="R4" s="11">
        <f t="shared" ref="R4" si="15">SUM(R5:R7)</f>
        <v>5486138</v>
      </c>
      <c r="S4" s="11">
        <f t="shared" ref="S4" si="16">SUM(S5:S7)</f>
        <v>6289085</v>
      </c>
      <c r="T4" s="11">
        <f t="shared" ref="T4" si="17">SUM(T5:T7)</f>
        <v>6657059</v>
      </c>
      <c r="U4" s="11">
        <f t="shared" ref="U4" si="18">SUM(U5:U7)</f>
        <v>6644306</v>
      </c>
      <c r="V4" s="11">
        <f t="shared" ref="V4:W4" si="19">SUM(V5:V7)</f>
        <v>1941160</v>
      </c>
      <c r="W4" s="11">
        <f t="shared" si="19"/>
        <v>3678722</v>
      </c>
      <c r="DA4" s="189" t="s">
        <v>361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DA5" s="171" t="s">
        <v>362</v>
      </c>
    </row>
    <row r="6" spans="1:105" ht="11.45" customHeight="1" x14ac:dyDescent="0.25">
      <c r="A6" s="83" t="s">
        <v>173</v>
      </c>
      <c r="B6" s="84">
        <v>3437578</v>
      </c>
      <c r="C6" s="84">
        <v>4020044</v>
      </c>
      <c r="D6" s="84">
        <v>3301574</v>
      </c>
      <c r="E6" s="84">
        <v>3537469</v>
      </c>
      <c r="F6" s="84">
        <v>3487599</v>
      </c>
      <c r="G6" s="84">
        <v>3804221</v>
      </c>
      <c r="H6" s="84">
        <v>3731020</v>
      </c>
      <c r="I6" s="84">
        <v>3805777</v>
      </c>
      <c r="J6" s="84">
        <v>3967653</v>
      </c>
      <c r="K6" s="84">
        <v>3781631</v>
      </c>
      <c r="L6" s="84">
        <v>3738558</v>
      </c>
      <c r="M6" s="84">
        <v>3673698</v>
      </c>
      <c r="N6" s="84">
        <v>3578663</v>
      </c>
      <c r="O6" s="84">
        <v>3047208</v>
      </c>
      <c r="P6" s="84">
        <v>3058570</v>
      </c>
      <c r="Q6" s="84">
        <v>3252408</v>
      </c>
      <c r="R6" s="84">
        <v>3596021</v>
      </c>
      <c r="S6" s="84">
        <v>4158647</v>
      </c>
      <c r="T6" s="84">
        <v>4463370</v>
      </c>
      <c r="U6" s="84">
        <v>4352085</v>
      </c>
      <c r="V6" s="84">
        <v>1512903</v>
      </c>
      <c r="W6" s="84">
        <v>2301751</v>
      </c>
      <c r="DA6" s="171" t="s">
        <v>363</v>
      </c>
    </row>
    <row r="7" spans="1:105" ht="11.45" customHeight="1" x14ac:dyDescent="0.25">
      <c r="A7" s="85" t="s">
        <v>174</v>
      </c>
      <c r="B7" s="86">
        <v>934949</v>
      </c>
      <c r="C7" s="86">
        <v>1104020</v>
      </c>
      <c r="D7" s="86">
        <v>1146325</v>
      </c>
      <c r="E7" s="86">
        <v>1245462</v>
      </c>
      <c r="F7" s="86">
        <v>724690</v>
      </c>
      <c r="G7" s="86">
        <v>927003</v>
      </c>
      <c r="H7" s="86">
        <v>943594</v>
      </c>
      <c r="I7" s="86">
        <v>991756</v>
      </c>
      <c r="J7" s="86">
        <v>1070565</v>
      </c>
      <c r="K7" s="86">
        <v>963060</v>
      </c>
      <c r="L7" s="86">
        <v>1076333</v>
      </c>
      <c r="M7" s="86">
        <v>1081002</v>
      </c>
      <c r="N7" s="86">
        <v>1187569</v>
      </c>
      <c r="O7" s="86">
        <v>1347422</v>
      </c>
      <c r="P7" s="86">
        <v>1537738</v>
      </c>
      <c r="Q7" s="86">
        <v>1408883</v>
      </c>
      <c r="R7" s="86">
        <v>1890117</v>
      </c>
      <c r="S7" s="86">
        <v>2130438</v>
      </c>
      <c r="T7" s="86">
        <v>2193689</v>
      </c>
      <c r="U7" s="86">
        <v>2292221</v>
      </c>
      <c r="V7" s="86">
        <v>428257</v>
      </c>
      <c r="W7" s="86">
        <v>1376971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165.33168223238931</v>
      </c>
      <c r="C12" s="14">
        <f>IF(C4=0,0,C4/TrAvia_act!C24)</f>
        <v>165.19646656779935</v>
      </c>
      <c r="D12" s="14">
        <f>IF(D4=0,0,D4/TrAvia_act!D24)</f>
        <v>157.60954608270436</v>
      </c>
      <c r="E12" s="14">
        <f>IF(E4=0,0,E4/TrAvia_act!E24)</f>
        <v>158.30705325522126</v>
      </c>
      <c r="F12" s="14">
        <f>IF(F4=0,0,F4/TrAvia_act!F24)</f>
        <v>152.54179039617586</v>
      </c>
      <c r="G12" s="14">
        <f>IF(G4=0,0,G4/TrAvia_act!G24)</f>
        <v>165.23675479342018</v>
      </c>
      <c r="H12" s="14">
        <f>IF(H4=0,0,H4/TrAvia_act!H24)</f>
        <v>152.27251702009838</v>
      </c>
      <c r="I12" s="14">
        <f>IF(I4=0,0,I4/TrAvia_act!I24)</f>
        <v>147.39870345336118</v>
      </c>
      <c r="J12" s="14">
        <f>IF(J4=0,0,J4/TrAvia_act!J24)</f>
        <v>151.87249050461205</v>
      </c>
      <c r="K12" s="14">
        <f>IF(K4=0,0,K4/TrAvia_act!K24)</f>
        <v>157.93525730643765</v>
      </c>
      <c r="L12" s="14">
        <f>IF(L4=0,0,L4/TrAvia_act!L24)</f>
        <v>163.84425085922348</v>
      </c>
      <c r="M12" s="14">
        <f>IF(M4=0,0,M4/TrAvia_act!M24)</f>
        <v>164.86477115117893</v>
      </c>
      <c r="N12" s="14">
        <f>IF(N4=0,0,N4/TrAvia_act!N24)</f>
        <v>170.75312578368502</v>
      </c>
      <c r="O12" s="14">
        <f>IF(O4=0,0,O4/TrAvia_act!O24)</f>
        <v>176.24343292560658</v>
      </c>
      <c r="P12" s="14">
        <f>IF(P4=0,0,P4/TrAvia_act!P24)</f>
        <v>175.37805250305252</v>
      </c>
      <c r="Q12" s="14">
        <f>IF(Q4=0,0,Q4/TrAvia_act!Q24)</f>
        <v>174.18224281603827</v>
      </c>
      <c r="R12" s="14">
        <f>IF(R4=0,0,R4/TrAvia_act!R24)</f>
        <v>171.09961327345309</v>
      </c>
      <c r="S12" s="14">
        <f>IF(S4=0,0,S4/TrAvia_act!S24)</f>
        <v>174.85222975978647</v>
      </c>
      <c r="T12" s="14">
        <f>IF(T4=0,0,T4/TrAvia_act!T24)</f>
        <v>175.97766263977371</v>
      </c>
      <c r="U12" s="14">
        <f>IF(U4=0,0,U4/TrAvia_act!U24)</f>
        <v>180.82696494665797</v>
      </c>
      <c r="V12" s="14">
        <f>IF(V4=0,0,V4/TrAvia_act!V24)</f>
        <v>161.1857510587063</v>
      </c>
      <c r="W12" s="14">
        <f>IF(W4=0,0,W4/TrAvia_act!W24)</f>
        <v>175.47805762259111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0</v>
      </c>
      <c r="C13" s="87">
        <f>IF(C5=0,0,C5/TrAvia_act!C25)</f>
        <v>0</v>
      </c>
      <c r="D13" s="87">
        <f>IF(D5=0,0,D5/TrAvia_act!D25)</f>
        <v>0</v>
      </c>
      <c r="E13" s="87">
        <f>IF(E5=0,0,E5/TrAvia_act!E25)</f>
        <v>0</v>
      </c>
      <c r="F13" s="87">
        <f>IF(F5=0,0,F5/TrAvia_act!F25)</f>
        <v>0</v>
      </c>
      <c r="G13" s="87">
        <f>IF(G5=0,0,G5/TrAvia_act!G25)</f>
        <v>0</v>
      </c>
      <c r="H13" s="87">
        <f>IF(H5=0,0,H5/TrAvia_act!H25)</f>
        <v>0</v>
      </c>
      <c r="I13" s="87">
        <f>IF(I5=0,0,I5/TrAvia_act!I25)</f>
        <v>0</v>
      </c>
      <c r="J13" s="87">
        <f>IF(J5=0,0,J5/TrAvia_act!J25)</f>
        <v>0</v>
      </c>
      <c r="K13" s="87">
        <f>IF(K5=0,0,K5/TrAvia_act!K25)</f>
        <v>0</v>
      </c>
      <c r="L13" s="87">
        <f>IF(L5=0,0,L5/TrAvia_act!L25)</f>
        <v>0</v>
      </c>
      <c r="M13" s="87">
        <f>IF(M5=0,0,M5/TrAvia_act!M25)</f>
        <v>0</v>
      </c>
      <c r="N13" s="87">
        <f>IF(N5=0,0,N5/TrAvia_act!N25)</f>
        <v>0</v>
      </c>
      <c r="O13" s="87">
        <f>IF(O5=0,0,O5/TrAvia_act!O25)</f>
        <v>0</v>
      </c>
      <c r="P13" s="87">
        <f>IF(P5=0,0,P5/TrAvia_act!P25)</f>
        <v>0</v>
      </c>
      <c r="Q13" s="87">
        <f>IF(Q5=0,0,Q5/TrAvia_act!Q25)</f>
        <v>0</v>
      </c>
      <c r="R13" s="87">
        <f>IF(R5=0,0,R5/TrAvia_act!R25)</f>
        <v>0</v>
      </c>
      <c r="S13" s="87">
        <f>IF(S5=0,0,S5/TrAvia_act!S25)</f>
        <v>0</v>
      </c>
      <c r="T13" s="87">
        <f>IF(T5=0,0,T5/TrAvia_act!T25)</f>
        <v>0</v>
      </c>
      <c r="U13" s="87">
        <f>IF(U5=0,0,U5/TrAvia_act!U25)</f>
        <v>0</v>
      </c>
      <c r="V13" s="87">
        <f>IF(V5=0,0,V5/TrAvia_act!V25)</f>
        <v>0</v>
      </c>
      <c r="W13" s="87">
        <f>IF(W5=0,0,W5/TrAvia_act!W25)</f>
        <v>0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181.5270634208164</v>
      </c>
      <c r="C14" s="87">
        <f>IF(C6=0,0,C6/TrAvia_act!C26)</f>
        <v>181.00153084196307</v>
      </c>
      <c r="D14" s="87">
        <f>IF(D6=0,0,D6/TrAvia_act!D26)</f>
        <v>172.63132026143791</v>
      </c>
      <c r="E14" s="87">
        <f>IF(E6=0,0,E6/TrAvia_act!E26)</f>
        <v>172.77015873015873</v>
      </c>
      <c r="F14" s="87">
        <f>IF(F6=0,0,F6/TrAvia_act!F26)</f>
        <v>174.34508098380323</v>
      </c>
      <c r="G14" s="87">
        <f>IF(G6=0,0,G6/TrAvia_act!G26)</f>
        <v>179.14018647579582</v>
      </c>
      <c r="H14" s="87">
        <f>IF(H6=0,0,H6/TrAvia_act!H26)</f>
        <v>179.73023748735488</v>
      </c>
      <c r="I14" s="87">
        <f>IF(I6=0,0,I6/TrAvia_act!I26)</f>
        <v>179.12067586012142</v>
      </c>
      <c r="J14" s="87">
        <f>IF(J6=0,0,J6/TrAvia_act!J26)</f>
        <v>182.29510682288077</v>
      </c>
      <c r="K14" s="87">
        <f>IF(K6=0,0,K6/TrAvia_act!K26)</f>
        <v>176.00442148375686</v>
      </c>
      <c r="L14" s="87">
        <f>IF(L6=0,0,L6/TrAvia_act!L26)</f>
        <v>171.74558985667034</v>
      </c>
      <c r="M14" s="87">
        <f>IF(M6=0,0,M6/TrAvia_act!M26)</f>
        <v>174.36508614552184</v>
      </c>
      <c r="N14" s="87">
        <f>IF(N6=0,0,N6/TrAvia_act!N26)</f>
        <v>177.83943745962333</v>
      </c>
      <c r="O14" s="87">
        <f>IF(O6=0,0,O6/TrAvia_act!O26)</f>
        <v>179.5326695339657</v>
      </c>
      <c r="P14" s="87">
        <f>IF(P6=0,0,P6/TrAvia_act!P26)</f>
        <v>180.89484267802223</v>
      </c>
      <c r="Q14" s="87">
        <f>IF(Q6=0,0,Q6/TrAvia_act!Q26)</f>
        <v>182.28942943616187</v>
      </c>
      <c r="R14" s="87">
        <f>IF(R6=0,0,R6/TrAvia_act!R26)</f>
        <v>182.06779403574504</v>
      </c>
      <c r="S14" s="87">
        <f>IF(S6=0,0,S6/TrAvia_act!S26)</f>
        <v>181.35480354105795</v>
      </c>
      <c r="T14" s="87">
        <f>IF(T6=0,0,T6/TrAvia_act!T26)</f>
        <v>182.08918080939947</v>
      </c>
      <c r="U14" s="87">
        <f>IF(U6=0,0,U6/TrAvia_act!U26)</f>
        <v>186.6886153054221</v>
      </c>
      <c r="V14" s="87">
        <f>IF(V6=0,0,V6/TrAvia_act!V26)</f>
        <v>168.77543507362785</v>
      </c>
      <c r="W14" s="87">
        <f>IF(W6=0,0,W6/TrAvia_act!W26)</f>
        <v>172.72632447846314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124.49387483355525</v>
      </c>
      <c r="C15" s="88">
        <f>IF(C7=0,0,C7/TrAvia_act!C27)</f>
        <v>125.34287011807447</v>
      </c>
      <c r="D15" s="88">
        <f>IF(D7=0,0,D7/TrAvia_act!D27)</f>
        <v>126.02517590149516</v>
      </c>
      <c r="E15" s="88">
        <f>IF(E7=0,0,E7/TrAvia_act!E27)</f>
        <v>127.89710412815774</v>
      </c>
      <c r="F15" s="88">
        <f>IF(F7=0,0,F7/TrAvia_act!F27)</f>
        <v>95.228646517739818</v>
      </c>
      <c r="G15" s="88">
        <f>IF(G7=0,0,G7/TrAvia_act!G27)</f>
        <v>125.32148168176288</v>
      </c>
      <c r="H15" s="88">
        <f>IF(H7=0,0,H7/TrAvia_act!H27)</f>
        <v>94.928973843058344</v>
      </c>
      <c r="I15" s="88">
        <f>IF(I7=0,0,I7/TrAvia_act!I27)</f>
        <v>87.758251482169726</v>
      </c>
      <c r="J15" s="88">
        <f>IF(J7=0,0,J7/TrAvia_act!J27)</f>
        <v>93.835130160399686</v>
      </c>
      <c r="K15" s="88">
        <f>IF(K7=0,0,K7/TrAvia_act!K27)</f>
        <v>112.55960729312763</v>
      </c>
      <c r="L15" s="88">
        <f>IF(L7=0,0,L7/TrAvia_act!L27)</f>
        <v>141.26958918493241</v>
      </c>
      <c r="M15" s="88">
        <f>IF(M7=0,0,M7/TrAvia_act!M27)</f>
        <v>139.10719341140137</v>
      </c>
      <c r="N15" s="88">
        <f>IF(N7=0,0,N7/TrAvia_act!N27)</f>
        <v>152.44788189987162</v>
      </c>
      <c r="O15" s="88">
        <f>IF(O7=0,0,O7/TrAvia_act!O27)</f>
        <v>169.23160010047727</v>
      </c>
      <c r="P15" s="88">
        <f>IF(P7=0,0,P7/TrAvia_act!P27)</f>
        <v>165.34817204301075</v>
      </c>
      <c r="Q15" s="88">
        <f>IF(Q7=0,0,Q7/TrAvia_act!Q27)</f>
        <v>157.9642336584819</v>
      </c>
      <c r="R15" s="88">
        <f>IF(R7=0,0,R7/TrAvia_act!R27)</f>
        <v>153.50580687078698</v>
      </c>
      <c r="S15" s="88">
        <f>IF(S7=0,0,S7/TrAvia_act!S27)</f>
        <v>163.41474265551892</v>
      </c>
      <c r="T15" s="88">
        <f>IF(T7=0,0,T7/TrAvia_act!T27)</f>
        <v>164.72846737253136</v>
      </c>
      <c r="U15" s="88">
        <f>IF(U7=0,0,U7/TrAvia_act!U27)</f>
        <v>170.65373734365693</v>
      </c>
      <c r="V15" s="88">
        <f>IF(V7=0,0,V7/TrAvia_act!V27)</f>
        <v>139.08963949334199</v>
      </c>
      <c r="W15" s="88">
        <f>IF(W7=0,0,W7/TrAvia_act!W27)</f>
        <v>180.27899973815136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0.70381154879089369</v>
      </c>
      <c r="C18" s="25">
        <f>IF(TrAvia_act!C34=0,0,(TrAvia_act!C34/TrAvia_act!C24)/TrAvia_png!C12)</f>
        <v>0.70713753770444709</v>
      </c>
      <c r="D18" s="25">
        <f>IF(TrAvia_act!D34=0,0,(TrAvia_act!D34/TrAvia_act!D24)/TrAvia_png!D12)</f>
        <v>0.69521362782743046</v>
      </c>
      <c r="E18" s="25">
        <f>IF(TrAvia_act!E34=0,0,(TrAvia_act!E34/TrAvia_act!E24)/TrAvia_png!E12)</f>
        <v>0.69752605672128654</v>
      </c>
      <c r="F18" s="25">
        <f>IF(TrAvia_act!F34=0,0,(TrAvia_act!F34/TrAvia_act!F24)/TrAvia_png!F12)</f>
        <v>0.79716348996946795</v>
      </c>
      <c r="G18" s="25">
        <f>IF(TrAvia_act!G34=0,0,(TrAvia_act!G34/TrAvia_act!G24)/TrAvia_png!G12)</f>
        <v>0.7395130731497811</v>
      </c>
      <c r="H18" s="25">
        <f>IF(TrAvia_act!H34=0,0,(TrAvia_act!H34/TrAvia_act!H24)/TrAvia_png!H12)</f>
        <v>0.74829130276852807</v>
      </c>
      <c r="I18" s="25">
        <f>IF(TrAvia_act!I34=0,0,(TrAvia_act!I34/TrAvia_act!I24)/TrAvia_png!I12)</f>
        <v>0.75262661038496248</v>
      </c>
      <c r="J18" s="25">
        <f>IF(TrAvia_act!J34=0,0,(TrAvia_act!J34/TrAvia_act!J24)/TrAvia_png!J12)</f>
        <v>0.74291426055799892</v>
      </c>
      <c r="K18" s="25">
        <f>IF(TrAvia_act!K34=0,0,(TrAvia_act!K34/TrAvia_act!K24)/TrAvia_png!K12)</f>
        <v>0.73160970861959196</v>
      </c>
      <c r="L18" s="25">
        <f>IF(TrAvia_act!L34=0,0,(TrAvia_act!L34/TrAvia_act!L24)/TrAvia_png!L12)</f>
        <v>0.74647276542708851</v>
      </c>
      <c r="M18" s="25">
        <f>IF(TrAvia_act!M34=0,0,(TrAvia_act!M34/TrAvia_act!M24)/TrAvia_png!M12)</f>
        <v>0.75853366142974321</v>
      </c>
      <c r="N18" s="25">
        <f>IF(TrAvia_act!N34=0,0,(TrAvia_act!N34/TrAvia_act!N24)/TrAvia_png!N12)</f>
        <v>0.76951457671384871</v>
      </c>
      <c r="O18" s="25">
        <f>IF(TrAvia_act!O34=0,0,(TrAvia_act!O34/TrAvia_act!O24)/TrAvia_png!O12)</f>
        <v>0.81522881334719866</v>
      </c>
      <c r="P18" s="25">
        <f>IF(TrAvia_act!P34=0,0,(TrAvia_act!P34/TrAvia_act!P24)/TrAvia_png!P12)</f>
        <v>0.80843603170196587</v>
      </c>
      <c r="Q18" s="25">
        <f>IF(TrAvia_act!Q34=0,0,(TrAvia_act!Q34/TrAvia_act!Q24)/TrAvia_png!Q12)</f>
        <v>0.83079623220262366</v>
      </c>
      <c r="R18" s="25">
        <f>IF(TrAvia_act!R34=0,0,(TrAvia_act!R34/TrAvia_act!R24)/TrAvia_png!R12)</f>
        <v>0.82726154537126129</v>
      </c>
      <c r="S18" s="25">
        <f>IF(TrAvia_act!S34=0,0,(TrAvia_act!S34/TrAvia_act!S24)/TrAvia_png!S12)</f>
        <v>0.82830427637724724</v>
      </c>
      <c r="T18" s="25">
        <f>IF(TrAvia_act!T34=0,0,(TrAvia_act!T34/TrAvia_act!T24)/TrAvia_png!T12)</f>
        <v>0.83218460284038343</v>
      </c>
      <c r="U18" s="25">
        <f>IF(TrAvia_act!U34=0,0,(TrAvia_act!U34/TrAvia_act!U24)/TrAvia_png!U12)</f>
        <v>0.85777822394092029</v>
      </c>
      <c r="V18" s="25">
        <f>IF(TrAvia_act!V34=0,0,(TrAvia_act!V34/TrAvia_act!V24)/TrAvia_png!V12)</f>
        <v>0.59966823960930582</v>
      </c>
      <c r="W18" s="25">
        <f>IF(TrAvia_act!W34=0,0,(TrAvia_act!W34/TrAvia_act!W24)/TrAvia_png!W12)</f>
        <v>0.69394833314395599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</v>
      </c>
      <c r="C19" s="89">
        <f>IF(TrAvia_act!C35=0,0,(TrAvia_act!C35/TrAvia_act!C25)/TrAvia_png!C13)</f>
        <v>0</v>
      </c>
      <c r="D19" s="89">
        <f>IF(TrAvia_act!D35=0,0,(TrAvia_act!D35/TrAvia_act!D25)/TrAvia_png!D13)</f>
        <v>0</v>
      </c>
      <c r="E19" s="89">
        <f>IF(TrAvia_act!E35=0,0,(TrAvia_act!E35/TrAvia_act!E25)/TrAvia_png!E13)</f>
        <v>0</v>
      </c>
      <c r="F19" s="89">
        <f>IF(TrAvia_act!F35=0,0,(TrAvia_act!F35/TrAvia_act!F25)/TrAvia_png!F13)</f>
        <v>0</v>
      </c>
      <c r="G19" s="89">
        <f>IF(TrAvia_act!G35=0,0,(TrAvia_act!G35/TrAvia_act!G25)/TrAvia_png!G13)</f>
        <v>0</v>
      </c>
      <c r="H19" s="89">
        <f>IF(TrAvia_act!H35=0,0,(TrAvia_act!H35/TrAvia_act!H25)/TrAvia_png!H13)</f>
        <v>0</v>
      </c>
      <c r="I19" s="89">
        <f>IF(TrAvia_act!I35=0,0,(TrAvia_act!I35/TrAvia_act!I25)/TrAvia_png!I13)</f>
        <v>0</v>
      </c>
      <c r="J19" s="89">
        <f>IF(TrAvia_act!J35=0,0,(TrAvia_act!J35/TrAvia_act!J25)/TrAvia_png!J13)</f>
        <v>0</v>
      </c>
      <c r="K19" s="89">
        <f>IF(TrAvia_act!K35=0,0,(TrAvia_act!K35/TrAvia_act!K25)/TrAvia_png!K13)</f>
        <v>0</v>
      </c>
      <c r="L19" s="89">
        <f>IF(TrAvia_act!L35=0,0,(TrAvia_act!L35/TrAvia_act!L25)/TrAvia_png!L13)</f>
        <v>0</v>
      </c>
      <c r="M19" s="89">
        <f>IF(TrAvia_act!M35=0,0,(TrAvia_act!M35/TrAvia_act!M25)/TrAvia_png!M13)</f>
        <v>0</v>
      </c>
      <c r="N19" s="89">
        <f>IF(TrAvia_act!N35=0,0,(TrAvia_act!N35/TrAvia_act!N25)/TrAvia_png!N13)</f>
        <v>0</v>
      </c>
      <c r="O19" s="89">
        <f>IF(TrAvia_act!O35=0,0,(TrAvia_act!O35/TrAvia_act!O25)/TrAvia_png!O13)</f>
        <v>0</v>
      </c>
      <c r="P19" s="89">
        <f>IF(TrAvia_act!P35=0,0,(TrAvia_act!P35/TrAvia_act!P25)/TrAvia_png!P13)</f>
        <v>0</v>
      </c>
      <c r="Q19" s="89">
        <f>IF(TrAvia_act!Q35=0,0,(TrAvia_act!Q35/TrAvia_act!Q25)/TrAvia_png!Q13)</f>
        <v>0</v>
      </c>
      <c r="R19" s="89">
        <f>IF(TrAvia_act!R35=0,0,(TrAvia_act!R35/TrAvia_act!R25)/TrAvia_png!R13)</f>
        <v>0</v>
      </c>
      <c r="S19" s="89">
        <f>IF(TrAvia_act!S35=0,0,(TrAvia_act!S35/TrAvia_act!S25)/TrAvia_png!S13)</f>
        <v>0</v>
      </c>
      <c r="T19" s="89">
        <f>IF(TrAvia_act!T35=0,0,(TrAvia_act!T35/TrAvia_act!T25)/TrAvia_png!T13)</f>
        <v>0</v>
      </c>
      <c r="U19" s="89">
        <f>IF(TrAvia_act!U35=0,0,(TrAvia_act!U35/TrAvia_act!U25)/TrAvia_png!U13)</f>
        <v>0</v>
      </c>
      <c r="V19" s="89">
        <f>IF(TrAvia_act!V35=0,0,(TrAvia_act!V35/TrAvia_act!V25)/TrAvia_png!V13)</f>
        <v>0</v>
      </c>
      <c r="W19" s="89">
        <f>IF(TrAvia_act!W35=0,0,(TrAvia_act!W35/TrAvia_act!W25)/TrAvia_png!W13)</f>
        <v>0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0.75930437069355217</v>
      </c>
      <c r="C20" s="89">
        <f>IF(TrAvia_act!C36=0,0,(TrAvia_act!C36/TrAvia_act!C26)/TrAvia_png!C14)</f>
        <v>0.76242250084824947</v>
      </c>
      <c r="D20" s="89">
        <f>IF(TrAvia_act!D36=0,0,(TrAvia_act!D36/TrAvia_act!D26)/TrAvia_png!D14)</f>
        <v>0.75860877266418991</v>
      </c>
      <c r="E20" s="89">
        <f>IF(TrAvia_act!E36=0,0,(TrAvia_act!E36/TrAvia_act!E26)/TrAvia_png!E14)</f>
        <v>0.7604343670573509</v>
      </c>
      <c r="F20" s="89">
        <f>IF(TrAvia_act!F36=0,0,(TrAvia_act!F36/TrAvia_act!F26)/TrAvia_png!F14)</f>
        <v>0.79693164265731242</v>
      </c>
      <c r="G20" s="89">
        <f>IF(TrAvia_act!G36=0,0,(TrAvia_act!G36/TrAvia_act!G26)/TrAvia_png!G14)</f>
        <v>0.77784439968130148</v>
      </c>
      <c r="H20" s="89">
        <f>IF(TrAvia_act!H36=0,0,(TrAvia_act!H36/TrAvia_act!H26)/TrAvia_png!H14)</f>
        <v>0.78734260336315542</v>
      </c>
      <c r="I20" s="89">
        <f>IF(TrAvia_act!I36=0,0,(TrAvia_act!I36/TrAvia_act!I26)/TrAvia_png!I14)</f>
        <v>0.78914581700399156</v>
      </c>
      <c r="J20" s="89">
        <f>IF(TrAvia_act!J36=0,0,(TrAvia_act!J36/TrAvia_act!J26)/TrAvia_png!J14)</f>
        <v>0.77894185807075367</v>
      </c>
      <c r="K20" s="89">
        <f>IF(TrAvia_act!K36=0,0,(TrAvia_act!K36/TrAvia_act!K26)/TrAvia_png!K14)</f>
        <v>0.7631849855260866</v>
      </c>
      <c r="L20" s="89">
        <f>IF(TrAvia_act!L36=0,0,(TrAvia_act!L36/TrAvia_act!L26)/TrAvia_png!L14)</f>
        <v>0.77307159605387965</v>
      </c>
      <c r="M20" s="89">
        <f>IF(TrAvia_act!M36=0,0,(TrAvia_act!M36/TrAvia_act!M26)/TrAvia_png!M14)</f>
        <v>0.78279052878053679</v>
      </c>
      <c r="N20" s="89">
        <f>IF(TrAvia_act!N36=0,0,(TrAvia_act!N36/TrAvia_act!N26)/TrAvia_png!N14)</f>
        <v>0.77795059216249185</v>
      </c>
      <c r="O20" s="89">
        <f>IF(TrAvia_act!O36=0,0,(TrAvia_act!O36/TrAvia_act!O26)/TrAvia_png!O14)</f>
        <v>0.82690909186376516</v>
      </c>
      <c r="P20" s="89">
        <f>IF(TrAvia_act!P36=0,0,(TrAvia_act!P36/TrAvia_act!P26)/TrAvia_png!P14)</f>
        <v>0.83128847794884542</v>
      </c>
      <c r="Q20" s="89">
        <f>IF(TrAvia_act!Q36=0,0,(TrAvia_act!Q36/TrAvia_act!Q26)/TrAvia_png!Q14)</f>
        <v>0.84911733091297281</v>
      </c>
      <c r="R20" s="89">
        <f>IF(TrAvia_act!R36=0,0,(TrAvia_act!R36/TrAvia_act!R26)/TrAvia_png!R14)</f>
        <v>0.84793776232118778</v>
      </c>
      <c r="S20" s="89">
        <f>IF(TrAvia_act!S36=0,0,(TrAvia_act!S36/TrAvia_act!S26)/TrAvia_png!S14)</f>
        <v>0.84425944303519884</v>
      </c>
      <c r="T20" s="89">
        <f>IF(TrAvia_act!T36=0,0,(TrAvia_act!T36/TrAvia_act!T26)/TrAvia_png!T14)</f>
        <v>0.85197843781716509</v>
      </c>
      <c r="U20" s="89">
        <f>IF(TrAvia_act!U36=0,0,(TrAvia_act!U36/TrAvia_act!U26)/TrAvia_png!U14)</f>
        <v>0.87790105202448943</v>
      </c>
      <c r="V20" s="89">
        <f>IF(TrAvia_act!V36=0,0,(TrAvia_act!V36/TrAvia_act!V26)/TrAvia_png!V14)</f>
        <v>0.62463356870863496</v>
      </c>
      <c r="W20" s="89">
        <f>IF(TrAvia_act!W36=0,0,(TrAvia_act!W36/TrAvia_act!W26)/TrAvia_png!W14)</f>
        <v>0.69963432187061081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0.49977806276064257</v>
      </c>
      <c r="C21" s="90">
        <f>IF(TrAvia_act!C37=0,0,(TrAvia_act!C37/TrAvia_act!C27)/TrAvia_png!C15)</f>
        <v>0.50582960453614967</v>
      </c>
      <c r="D21" s="90">
        <f>IF(TrAvia_act!D37=0,0,(TrAvia_act!D37/TrAvia_act!D27)/TrAvia_png!D15)</f>
        <v>0.5126268728327481</v>
      </c>
      <c r="E21" s="90">
        <f>IF(TrAvia_act!E37=0,0,(TrAvia_act!E37/TrAvia_act!E27)/TrAvia_png!E15)</f>
        <v>0.5188484273305809</v>
      </c>
      <c r="F21" s="90">
        <f>IF(TrAvia_act!F37=0,0,(TrAvia_act!F37/TrAvia_act!F27)/TrAvia_png!F15)</f>
        <v>0.79827926423712214</v>
      </c>
      <c r="G21" s="90">
        <f>IF(TrAvia_act!G37=0,0,(TrAvia_act!G37/TrAvia_act!G27)/TrAvia_png!G15)</f>
        <v>0.58220955056240375</v>
      </c>
      <c r="H21" s="90">
        <f>IF(TrAvia_act!H37=0,0,(TrAvia_act!H37/TrAvia_act!H27)/TrAvia_png!H15)</f>
        <v>0.59388041890898002</v>
      </c>
      <c r="I21" s="90">
        <f>IF(TrAvia_act!I37=0,0,(TrAvia_act!I37/TrAvia_act!I27)/TrAvia_png!I15)</f>
        <v>0.61248734567776753</v>
      </c>
      <c r="J21" s="90">
        <f>IF(TrAvia_act!J37=0,0,(TrAvia_act!J37/TrAvia_act!J27)/TrAvia_png!J15)</f>
        <v>0.60939130272332831</v>
      </c>
      <c r="K21" s="90">
        <f>IF(TrAvia_act!K37=0,0,(TrAvia_act!K37/TrAvia_act!K27)/TrAvia_png!K15)</f>
        <v>0.6076236163894253</v>
      </c>
      <c r="L21" s="90">
        <f>IF(TrAvia_act!L37=0,0,(TrAvia_act!L37/TrAvia_act!L27)/TrAvia_png!L15)</f>
        <v>0.65408381978439745</v>
      </c>
      <c r="M21" s="90">
        <f>IF(TrAvia_act!M37=0,0,(TrAvia_act!M37/TrAvia_act!M27)/TrAvia_png!M15)</f>
        <v>0.67609865661673152</v>
      </c>
      <c r="N21" s="90">
        <f>IF(TrAvia_act!N37=0,0,(TrAvia_act!N37/TrAvia_act!N27)/TrAvia_png!N15)</f>
        <v>0.74409318532228452</v>
      </c>
      <c r="O21" s="90">
        <f>IF(TrAvia_act!O37=0,0,(TrAvia_act!O37/TrAvia_act!O27)/TrAvia_png!O15)</f>
        <v>0.78881374951574201</v>
      </c>
      <c r="P21" s="90">
        <f>IF(TrAvia_act!P37=0,0,(TrAvia_act!P37/TrAvia_act!P27)/TrAvia_png!P15)</f>
        <v>0.76298238061360257</v>
      </c>
      <c r="Q21" s="90">
        <f>IF(TrAvia_act!Q37=0,0,(TrAvia_act!Q37/TrAvia_act!Q27)/TrAvia_png!Q15)</f>
        <v>0.78850195509492271</v>
      </c>
      <c r="R21" s="90">
        <f>IF(TrAvia_act!R37=0,0,(TrAvia_act!R37/TrAvia_act!R27)/TrAvia_png!R15)</f>
        <v>0.78792423961056368</v>
      </c>
      <c r="S21" s="90">
        <f>IF(TrAvia_act!S37=0,0,(TrAvia_act!S37/TrAvia_act!S27)/TrAvia_png!S15)</f>
        <v>0.79715955122843274</v>
      </c>
      <c r="T21" s="90">
        <f>IF(TrAvia_act!T37=0,0,(TrAvia_act!T37/TrAvia_act!T27)/TrAvia_png!T15)</f>
        <v>0.79191125086555103</v>
      </c>
      <c r="U21" s="90">
        <f>IF(TrAvia_act!U37=0,0,(TrAvia_act!U37/TrAvia_act!U27)/TrAvia_png!U15)</f>
        <v>0.81957237107591296</v>
      </c>
      <c r="V21" s="90">
        <f>IF(TrAvia_act!V37=0,0,(TrAvia_act!V37/TrAvia_act!V27)/TrAvia_png!V15)</f>
        <v>0.51147325087505868</v>
      </c>
      <c r="W21" s="90">
        <f>IF(TrAvia_act!W37=0,0,(TrAvia_act!W37/TrAvia_act!W27)/TrAvia_png!W15)</f>
        <v>0.68444360847105712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2.6810207767280957E-2</v>
      </c>
      <c r="C24" s="23">
        <f>IF(TrAvia_ene!C6=0,0,TrAvia_ene!C6/(C12*TrAvia_act!C14))</f>
        <v>2.7044853758466665E-2</v>
      </c>
      <c r="D24" s="23">
        <f>IF(TrAvia_ene!D6=0,0,TrAvia_ene!D6/(D12*TrAvia_act!D14))</f>
        <v>3.1926307322527284E-2</v>
      </c>
      <c r="E24" s="23">
        <f>IF(TrAvia_ene!E6=0,0,TrAvia_ene!E6/(E12*TrAvia_act!E14))</f>
        <v>3.1847048041271073E-2</v>
      </c>
      <c r="F24" s="23">
        <f>IF(TrAvia_ene!F6=0,0,TrAvia_ene!F6/(F12*TrAvia_act!F14))</f>
        <v>3.2402643154561574E-2</v>
      </c>
      <c r="G24" s="23">
        <f>IF(TrAvia_ene!G6=0,0,TrAvia_ene!G6/(G12*TrAvia_act!G14))</f>
        <v>2.7667490670024057E-2</v>
      </c>
      <c r="H24" s="23">
        <f>IF(TrAvia_ene!H6=0,0,TrAvia_ene!H6/(H12*TrAvia_act!H14))</f>
        <v>2.8826148881090845E-2</v>
      </c>
      <c r="I24" s="23">
        <f>IF(TrAvia_ene!I6=0,0,TrAvia_ene!I6/(I12*TrAvia_act!I14))</f>
        <v>2.7877585875346517E-2</v>
      </c>
      <c r="J24" s="23">
        <f>IF(TrAvia_ene!J6=0,0,TrAvia_ene!J6/(J12*TrAvia_act!J14))</f>
        <v>2.6222410224403948E-2</v>
      </c>
      <c r="K24" s="23">
        <f>IF(TrAvia_ene!K6=0,0,TrAvia_ene!K6/(K12*TrAvia_act!K14))</f>
        <v>2.5248363717434864E-2</v>
      </c>
      <c r="L24" s="23">
        <f>IF(TrAvia_ene!L6=0,0,TrAvia_ene!L6/(L12*TrAvia_act!L14))</f>
        <v>2.5119431811242644E-2</v>
      </c>
      <c r="M24" s="23">
        <f>IF(TrAvia_ene!M6=0,0,TrAvia_ene!M6/(M12*TrAvia_act!M14))</f>
        <v>2.7117409598412891E-2</v>
      </c>
      <c r="N24" s="23">
        <f>IF(TrAvia_ene!N6=0,0,TrAvia_ene!N6/(N12*TrAvia_act!N14))</f>
        <v>2.4744171110828446E-2</v>
      </c>
      <c r="O24" s="23">
        <f>IF(TrAvia_ene!O6=0,0,TrAvia_ene!O6/(O12*TrAvia_act!O14))</f>
        <v>2.3320738764252946E-2</v>
      </c>
      <c r="P24" s="23">
        <f>IF(TrAvia_ene!P6=0,0,TrAvia_ene!P6/(P12*TrAvia_act!P14))</f>
        <v>2.2307057732723623E-2</v>
      </c>
      <c r="Q24" s="23">
        <f>IF(TrAvia_ene!Q6=0,0,TrAvia_ene!Q6/(Q12*TrAvia_act!Q14))</f>
        <v>2.2821373256735063E-2</v>
      </c>
      <c r="R24" s="23">
        <f>IF(TrAvia_ene!R6=0,0,TrAvia_ene!R6/(R12*TrAvia_act!R14))</f>
        <v>2.2294444299694856E-2</v>
      </c>
      <c r="S24" s="23">
        <f>IF(TrAvia_ene!S6=0,0,TrAvia_ene!S6/(S12*TrAvia_act!S14))</f>
        <v>2.2412159998850434E-2</v>
      </c>
      <c r="T24" s="23">
        <f>IF(TrAvia_ene!T6=0,0,TrAvia_ene!T6/(T12*TrAvia_act!T14))</f>
        <v>2.1691887307061817E-2</v>
      </c>
      <c r="U24" s="23">
        <f>IF(TrAvia_ene!U6=0,0,TrAvia_ene!U6/(U12*TrAvia_act!U14))</f>
        <v>2.0936979550018209E-2</v>
      </c>
      <c r="V24" s="23">
        <f>IF(TrAvia_ene!V6=0,0,TrAvia_ene!V6/(V12*TrAvia_act!V14))</f>
        <v>2.2807284198696844E-2</v>
      </c>
      <c r="W24" s="23">
        <f>IF(TrAvia_ene!W6=0,0,TrAvia_ene!W6/(W12*TrAvia_act!W14))</f>
        <v>2.0079158202970064E-2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0</v>
      </c>
      <c r="C25" s="91">
        <f>IF(TrAvia_ene!C7=0,0,TrAvia_ene!C7/(C13*TrAvia_act!C15))</f>
        <v>0</v>
      </c>
      <c r="D25" s="91">
        <f>IF(TrAvia_ene!D7=0,0,TrAvia_ene!D7/(D13*TrAvia_act!D15))</f>
        <v>0</v>
      </c>
      <c r="E25" s="91">
        <f>IF(TrAvia_ene!E7=0,0,TrAvia_ene!E7/(E13*TrAvia_act!E15))</f>
        <v>0</v>
      </c>
      <c r="F25" s="91">
        <f>IF(TrAvia_ene!F7=0,0,TrAvia_ene!F7/(F13*TrAvia_act!F15))</f>
        <v>0</v>
      </c>
      <c r="G25" s="91">
        <f>IF(TrAvia_ene!G7=0,0,TrAvia_ene!G7/(G13*TrAvia_act!G15))</f>
        <v>0</v>
      </c>
      <c r="H25" s="91">
        <f>IF(TrAvia_ene!H7=0,0,TrAvia_ene!H7/(H13*TrAvia_act!H15))</f>
        <v>0</v>
      </c>
      <c r="I25" s="91">
        <f>IF(TrAvia_ene!I7=0,0,TrAvia_ene!I7/(I13*TrAvia_act!I15))</f>
        <v>0</v>
      </c>
      <c r="J25" s="91">
        <f>IF(TrAvia_ene!J7=0,0,TrAvia_ene!J7/(J13*TrAvia_act!J15))</f>
        <v>0</v>
      </c>
      <c r="K25" s="91">
        <f>IF(TrAvia_ene!K7=0,0,TrAvia_ene!K7/(K13*TrAvia_act!K15))</f>
        <v>0</v>
      </c>
      <c r="L25" s="91">
        <f>IF(TrAvia_ene!L7=0,0,TrAvia_ene!L7/(L13*TrAvia_act!L15))</f>
        <v>0</v>
      </c>
      <c r="M25" s="91">
        <f>IF(TrAvia_ene!M7=0,0,TrAvia_ene!M7/(M13*TrAvia_act!M15))</f>
        <v>0</v>
      </c>
      <c r="N25" s="91">
        <f>IF(TrAvia_ene!N7=0,0,TrAvia_ene!N7/(N13*TrAvia_act!N15))</f>
        <v>0</v>
      </c>
      <c r="O25" s="91">
        <f>IF(TrAvia_ene!O7=0,0,TrAvia_ene!O7/(O13*TrAvia_act!O15))</f>
        <v>0</v>
      </c>
      <c r="P25" s="91">
        <f>IF(TrAvia_ene!P7=0,0,TrAvia_ene!P7/(P13*TrAvia_act!P15))</f>
        <v>0</v>
      </c>
      <c r="Q25" s="91">
        <f>IF(TrAvia_ene!Q7=0,0,TrAvia_ene!Q7/(Q13*TrAvia_act!Q15))</f>
        <v>0</v>
      </c>
      <c r="R25" s="91">
        <f>IF(TrAvia_ene!R7=0,0,TrAvia_ene!R7/(R13*TrAvia_act!R15))</f>
        <v>0</v>
      </c>
      <c r="S25" s="91">
        <f>IF(TrAvia_ene!S7=0,0,TrAvia_ene!S7/(S13*TrAvia_act!S15))</f>
        <v>0</v>
      </c>
      <c r="T25" s="91">
        <f>IF(TrAvia_ene!T7=0,0,TrAvia_ene!T7/(T13*TrAvia_act!T15))</f>
        <v>0</v>
      </c>
      <c r="U25" s="91">
        <f>IF(TrAvia_ene!U7=0,0,TrAvia_ene!U7/(U13*TrAvia_act!U15))</f>
        <v>0</v>
      </c>
      <c r="V25" s="91">
        <f>IF(TrAvia_ene!V7=0,0,TrAvia_ene!V7/(V13*TrAvia_act!V15))</f>
        <v>0</v>
      </c>
      <c r="W25" s="91">
        <f>IF(TrAvia_ene!W7=0,0,TrAvia_ene!W7/(W13*TrAvia_act!W15))</f>
        <v>0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2.4915252221679823E-2</v>
      </c>
      <c r="C26" s="93">
        <f>IF(TrAvia_ene!C8=0,0,TrAvia_ene!C8/(C14*TrAvia_act!C16))</f>
        <v>2.518565700954993E-2</v>
      </c>
      <c r="D26" s="93">
        <f>IF(TrAvia_ene!D8=0,0,TrAvia_ene!D8/(D14*TrAvia_act!D16))</f>
        <v>2.9792185161650647E-2</v>
      </c>
      <c r="E26" s="93">
        <f>IF(TrAvia_ene!E8=0,0,TrAvia_ene!E8/(E14*TrAvia_act!E16))</f>
        <v>2.9825766821675259E-2</v>
      </c>
      <c r="F26" s="93">
        <f>IF(TrAvia_ene!F8=0,0,TrAvia_ene!F8/(F14*TrAvia_act!F16))</f>
        <v>2.8858834608708143E-2</v>
      </c>
      <c r="G26" s="93">
        <f>IF(TrAvia_ene!G8=0,0,TrAvia_ene!G8/(G14*TrAvia_act!G16))</f>
        <v>2.5840335195767655E-2</v>
      </c>
      <c r="H26" s="93">
        <f>IF(TrAvia_ene!H8=0,0,TrAvia_ene!H8/(H14*TrAvia_act!H16))</f>
        <v>2.6726610815113478E-2</v>
      </c>
      <c r="I26" s="93">
        <f>IF(TrAvia_ene!I8=0,0,TrAvia_ene!I8/(I14*TrAvia_act!I16))</f>
        <v>2.5843207436299965E-2</v>
      </c>
      <c r="J26" s="93">
        <f>IF(TrAvia_ene!J8=0,0,TrAvia_ene!J8/(J14*TrAvia_act!J16))</f>
        <v>2.4711195766837436E-2</v>
      </c>
      <c r="K26" s="93">
        <f>IF(TrAvia_ene!K8=0,0,TrAvia_ene!K8/(K14*TrAvia_act!K16))</f>
        <v>2.4005948733480637E-2</v>
      </c>
      <c r="L26" s="93">
        <f>IF(TrAvia_ene!L8=0,0,TrAvia_ene!L8/(L14*TrAvia_act!L16))</f>
        <v>2.4684772567710418E-2</v>
      </c>
      <c r="M26" s="93">
        <f>IF(TrAvia_ene!M8=0,0,TrAvia_ene!M8/(M14*TrAvia_act!M16))</f>
        <v>2.7424593305904164E-2</v>
      </c>
      <c r="N26" s="93">
        <f>IF(TrAvia_ene!N8=0,0,TrAvia_ene!N8/(N14*TrAvia_act!N16))</f>
        <v>2.5609294615689986E-2</v>
      </c>
      <c r="O26" s="93">
        <f>IF(TrAvia_ene!O8=0,0,TrAvia_ene!O8/(O14*TrAvia_act!O16))</f>
        <v>2.5673900961264269E-2</v>
      </c>
      <c r="P26" s="93">
        <f>IF(TrAvia_ene!P8=0,0,TrAvia_ene!P8/(P14*TrAvia_act!P16))</f>
        <v>2.5687576683177473E-2</v>
      </c>
      <c r="Q26" s="93">
        <f>IF(TrAvia_ene!Q8=0,0,TrAvia_ene!Q8/(Q14*TrAvia_act!Q16))</f>
        <v>2.5069019266482799E-2</v>
      </c>
      <c r="R26" s="93">
        <f>IF(TrAvia_ene!R8=0,0,TrAvia_ene!R8/(R14*TrAvia_act!R16))</f>
        <v>2.6116764017983914E-2</v>
      </c>
      <c r="S26" s="93">
        <f>IF(TrAvia_ene!S8=0,0,TrAvia_ene!S8/(S14*TrAvia_act!S16))</f>
        <v>2.5531019547237813E-2</v>
      </c>
      <c r="T26" s="93">
        <f>IF(TrAvia_ene!T8=0,0,TrAvia_ene!T8/(T14*TrAvia_act!T16))</f>
        <v>2.4814167588426445E-2</v>
      </c>
      <c r="U26" s="93">
        <f>IF(TrAvia_ene!U8=0,0,TrAvia_ene!U8/(U14*TrAvia_act!U16))</f>
        <v>2.3882322392947276E-2</v>
      </c>
      <c r="V26" s="93">
        <f>IF(TrAvia_ene!V8=0,0,TrAvia_ene!V8/(V14*TrAvia_act!V16))</f>
        <v>2.0199129188822541E-2</v>
      </c>
      <c r="W26" s="93">
        <f>IF(TrAvia_ene!W8=0,0,TrAvia_ene!W8/(W14*TrAvia_act!W16))</f>
        <v>2.3529758464123932E-2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3.1946288821031808E-2</v>
      </c>
      <c r="C27" s="94">
        <f>IF(TrAvia_ene!C9=0,0,TrAvia_ene!C9/(C15*TrAvia_act!C17))</f>
        <v>3.198150263434002E-2</v>
      </c>
      <c r="D27" s="94">
        <f>IF(TrAvia_ene!D9=0,0,TrAvia_ene!D9/(D15*TrAvia_act!D17))</f>
        <v>3.6415307400068146E-2</v>
      </c>
      <c r="E27" s="94">
        <f>IF(TrAvia_ene!E9=0,0,TrAvia_ene!E9/(E15*TrAvia_act!E17))</f>
        <v>3.5951606866384433E-2</v>
      </c>
      <c r="F27" s="94">
        <f>IF(TrAvia_ene!F9=0,0,TrAvia_ene!F9/(F15*TrAvia_act!F17))</f>
        <v>4.7359019489463368E-2</v>
      </c>
      <c r="G27" s="94">
        <f>IF(TrAvia_ene!G9=0,0,TrAvia_ene!G9/(G15*TrAvia_act!G17))</f>
        <v>3.4055046021802871E-2</v>
      </c>
      <c r="H27" s="94">
        <f>IF(TrAvia_ene!H9=0,0,TrAvia_ene!H9/(H15*TrAvia_act!H17))</f>
        <v>3.0868738076469761E-2</v>
      </c>
      <c r="I27" s="94">
        <f>IF(TrAvia_ene!I9=0,0,TrAvia_ene!I9/(I15*TrAvia_act!I17))</f>
        <v>2.8339583843759869E-2</v>
      </c>
      <c r="J27" s="94">
        <f>IF(TrAvia_ene!J9=0,0,TrAvia_ene!J9/(J15*TrAvia_act!J17))</f>
        <v>2.5497257057527305E-2</v>
      </c>
      <c r="K27" s="94">
        <f>IF(TrAvia_ene!K9=0,0,TrAvia_ene!K9/(K15*TrAvia_act!K17))</f>
        <v>2.7176716615021832E-2</v>
      </c>
      <c r="L27" s="94">
        <f>IF(TrAvia_ene!L9=0,0,TrAvia_ene!L9/(L15*TrAvia_act!L17))</f>
        <v>2.5297566836793201E-2</v>
      </c>
      <c r="M27" s="94">
        <f>IF(TrAvia_ene!M9=0,0,TrAvia_ene!M9/(M15*TrAvia_act!M17))</f>
        <v>2.3911657713799193E-2</v>
      </c>
      <c r="N27" s="94">
        <f>IF(TrAvia_ene!N9=0,0,TrAvia_ene!N9/(N15*TrAvia_act!N17))</f>
        <v>2.0438755211381669E-2</v>
      </c>
      <c r="O27" s="94">
        <f>IF(TrAvia_ene!O9=0,0,TrAvia_ene!O9/(O15*TrAvia_act!O17))</f>
        <v>1.6122702821891165E-2</v>
      </c>
      <c r="P27" s="94">
        <f>IF(TrAvia_ene!P9=0,0,TrAvia_ene!P9/(P15*TrAvia_act!P17))</f>
        <v>1.3677579438145905E-2</v>
      </c>
      <c r="Q27" s="94">
        <f>IF(TrAvia_ene!Q9=0,0,TrAvia_ene!Q9/(Q15*TrAvia_act!Q17))</f>
        <v>1.5656543193223172E-2</v>
      </c>
      <c r="R27" s="94">
        <f>IF(TrAvia_ene!R9=0,0,TrAvia_ene!R9/(R15*TrAvia_act!R17))</f>
        <v>1.2334411182993218E-2</v>
      </c>
      <c r="S27" s="94">
        <f>IF(TrAvia_ene!S9=0,0,TrAvia_ene!S9/(S15*TrAvia_act!S17))</f>
        <v>1.2969710398190785E-2</v>
      </c>
      <c r="T27" s="94">
        <f>IF(TrAvia_ene!T9=0,0,TrAvia_ene!T9/(T15*TrAvia_act!T17))</f>
        <v>1.2639163473166015E-2</v>
      </c>
      <c r="U27" s="94">
        <f>IF(TrAvia_ene!U9=0,0,TrAvia_ene!U9/(U15*TrAvia_act!U17))</f>
        <v>1.2491926746054751E-2</v>
      </c>
      <c r="V27" s="94">
        <f>IF(TrAvia_ene!V9=0,0,TrAvia_ene!V9/(V15*TrAvia_act!V17))</f>
        <v>3.3936956204610985E-2</v>
      </c>
      <c r="W27" s="94">
        <f>IF(TrAvia_ene!W9=0,0,TrAvia_ene!W9/(W15*TrAvia_act!W17))</f>
        <v>1.3481529878778075E-2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0</v>
      </c>
      <c r="C3" s="54">
        <f t="shared" si="0"/>
        <v>0</v>
      </c>
      <c r="D3" s="54">
        <f t="shared" si="0"/>
        <v>0</v>
      </c>
      <c r="E3" s="54">
        <f t="shared" si="0"/>
        <v>0</v>
      </c>
      <c r="F3" s="54">
        <f t="shared" si="0"/>
        <v>0</v>
      </c>
      <c r="G3" s="54">
        <f t="shared" si="0"/>
        <v>0</v>
      </c>
      <c r="H3" s="54">
        <f t="shared" si="0"/>
        <v>0</v>
      </c>
      <c r="I3" s="54">
        <f t="shared" si="0"/>
        <v>0</v>
      </c>
      <c r="J3" s="54">
        <f t="shared" si="0"/>
        <v>0</v>
      </c>
      <c r="K3" s="54">
        <f t="shared" si="0"/>
        <v>0</v>
      </c>
      <c r="L3" s="54">
        <f t="shared" si="0"/>
        <v>0</v>
      </c>
      <c r="M3" s="54">
        <f t="shared" si="0"/>
        <v>0</v>
      </c>
      <c r="N3" s="54">
        <f t="shared" si="0"/>
        <v>0</v>
      </c>
      <c r="O3" s="54">
        <f t="shared" si="0"/>
        <v>0</v>
      </c>
      <c r="P3" s="54">
        <f t="shared" si="0"/>
        <v>0</v>
      </c>
      <c r="Q3" s="54">
        <f t="shared" si="0"/>
        <v>0</v>
      </c>
      <c r="R3" s="54">
        <f t="shared" ref="R3:V3" si="1">SUM(R4:R5)</f>
        <v>0</v>
      </c>
      <c r="S3" s="54">
        <f t="shared" si="1"/>
        <v>9.2010000000000005</v>
      </c>
      <c r="T3" s="54">
        <f t="shared" si="1"/>
        <v>9.6850000000000005</v>
      </c>
      <c r="U3" s="54">
        <f t="shared" si="1"/>
        <v>12.295999999999999</v>
      </c>
      <c r="V3" s="54">
        <f t="shared" si="1"/>
        <v>5.8979999999999997</v>
      </c>
      <c r="W3" s="54">
        <f t="shared" ref="W3" si="2">SUM(W4:W5)</f>
        <v>12.448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9.2010000000000005</v>
      </c>
      <c r="T4" s="56">
        <v>9.6850000000000005</v>
      </c>
      <c r="U4" s="56">
        <v>12.295999999999999</v>
      </c>
      <c r="V4" s="56">
        <v>5.8979999999999997</v>
      </c>
      <c r="W4" s="56">
        <v>12.448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0</v>
      </c>
      <c r="C7" s="59">
        <f t="shared" si="3"/>
        <v>0</v>
      </c>
      <c r="D7" s="59">
        <f t="shared" si="3"/>
        <v>0</v>
      </c>
      <c r="E7" s="59">
        <f t="shared" si="3"/>
        <v>0</v>
      </c>
      <c r="F7" s="59">
        <f t="shared" si="3"/>
        <v>0</v>
      </c>
      <c r="G7" s="59">
        <f t="shared" si="3"/>
        <v>0</v>
      </c>
      <c r="H7" s="59">
        <f t="shared" si="3"/>
        <v>0</v>
      </c>
      <c r="I7" s="59">
        <f t="shared" si="3"/>
        <v>0</v>
      </c>
      <c r="J7" s="59">
        <f t="shared" si="3"/>
        <v>0</v>
      </c>
      <c r="K7" s="59">
        <f t="shared" si="3"/>
        <v>0</v>
      </c>
      <c r="L7" s="59">
        <f t="shared" si="3"/>
        <v>0</v>
      </c>
      <c r="M7" s="59">
        <f t="shared" si="3"/>
        <v>0</v>
      </c>
      <c r="N7" s="59">
        <f t="shared" si="3"/>
        <v>0</v>
      </c>
      <c r="O7" s="59">
        <f t="shared" si="3"/>
        <v>0</v>
      </c>
      <c r="P7" s="59">
        <f t="shared" si="3"/>
        <v>0</v>
      </c>
      <c r="Q7" s="59">
        <f t="shared" si="3"/>
        <v>0</v>
      </c>
      <c r="R7" s="59">
        <f t="shared" ref="R7:V7" si="4">SUM(R8:R9)</f>
        <v>0</v>
      </c>
      <c r="S7" s="59">
        <f t="shared" si="4"/>
        <v>1.2E-2</v>
      </c>
      <c r="T7" s="59">
        <f t="shared" si="4"/>
        <v>1.2999999999999999E-2</v>
      </c>
      <c r="U7" s="59">
        <f t="shared" si="4"/>
        <v>1.6E-2</v>
      </c>
      <c r="V7" s="59">
        <f t="shared" si="4"/>
        <v>8.0000000000000002E-3</v>
      </c>
      <c r="W7" s="59">
        <f t="shared" ref="W7" si="5">SUM(W8:W9)</f>
        <v>1.6E-2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0</v>
      </c>
      <c r="M8" s="60">
        <v>0</v>
      </c>
      <c r="N8" s="60">
        <v>0</v>
      </c>
      <c r="O8" s="60">
        <v>0</v>
      </c>
      <c r="P8" s="60">
        <v>0</v>
      </c>
      <c r="Q8" s="60">
        <v>0</v>
      </c>
      <c r="R8" s="60">
        <v>0</v>
      </c>
      <c r="S8" s="60">
        <v>1.2E-2</v>
      </c>
      <c r="T8" s="60">
        <v>1.2999999999999999E-2</v>
      </c>
      <c r="U8" s="60">
        <v>1.6E-2</v>
      </c>
      <c r="V8" s="60">
        <v>8.0000000000000002E-3</v>
      </c>
      <c r="W8" s="60">
        <v>1.6E-2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0</v>
      </c>
      <c r="C13" s="62">
        <f t="shared" si="6"/>
        <v>0</v>
      </c>
      <c r="D13" s="62">
        <f t="shared" si="6"/>
        <v>0</v>
      </c>
      <c r="E13" s="62">
        <f t="shared" si="6"/>
        <v>0</v>
      </c>
      <c r="F13" s="62">
        <f t="shared" ref="F13:V13" si="7">IF(F3=0,0,F3/F7)</f>
        <v>0</v>
      </c>
      <c r="G13" s="62">
        <f t="shared" si="7"/>
        <v>0</v>
      </c>
      <c r="H13" s="62">
        <f t="shared" si="7"/>
        <v>0</v>
      </c>
      <c r="I13" s="62">
        <f t="shared" si="7"/>
        <v>0</v>
      </c>
      <c r="J13" s="62">
        <f t="shared" si="7"/>
        <v>0</v>
      </c>
      <c r="K13" s="62">
        <f t="shared" si="7"/>
        <v>0</v>
      </c>
      <c r="L13" s="62">
        <f t="shared" si="7"/>
        <v>0</v>
      </c>
      <c r="M13" s="62">
        <f t="shared" si="7"/>
        <v>0</v>
      </c>
      <c r="N13" s="62">
        <f t="shared" si="7"/>
        <v>0</v>
      </c>
      <c r="O13" s="62">
        <f t="shared" si="7"/>
        <v>0</v>
      </c>
      <c r="P13" s="62">
        <f t="shared" si="7"/>
        <v>0</v>
      </c>
      <c r="Q13" s="62">
        <f t="shared" si="7"/>
        <v>0</v>
      </c>
      <c r="R13" s="62">
        <f t="shared" si="7"/>
        <v>0</v>
      </c>
      <c r="S13" s="62">
        <f t="shared" si="7"/>
        <v>766.75</v>
      </c>
      <c r="T13" s="62">
        <f t="shared" si="7"/>
        <v>745.00000000000011</v>
      </c>
      <c r="U13" s="62">
        <f t="shared" si="7"/>
        <v>768.5</v>
      </c>
      <c r="V13" s="62">
        <f t="shared" si="7"/>
        <v>737.25</v>
      </c>
      <c r="W13" s="62">
        <f t="shared" ref="W13" si="8">IF(W3=0,0,W3/W7)</f>
        <v>778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0</v>
      </c>
      <c r="C14" s="63">
        <f t="shared" si="6"/>
        <v>0</v>
      </c>
      <c r="D14" s="63">
        <f t="shared" si="6"/>
        <v>0</v>
      </c>
      <c r="E14" s="63">
        <f t="shared" si="6"/>
        <v>0</v>
      </c>
      <c r="F14" s="63">
        <f t="shared" ref="F14:V14" si="9">IF(F4=0,0,F4/F8)</f>
        <v>0</v>
      </c>
      <c r="G14" s="63">
        <f t="shared" si="9"/>
        <v>0</v>
      </c>
      <c r="H14" s="63">
        <f t="shared" si="9"/>
        <v>0</v>
      </c>
      <c r="I14" s="63">
        <f t="shared" si="9"/>
        <v>0</v>
      </c>
      <c r="J14" s="63">
        <f t="shared" si="9"/>
        <v>0</v>
      </c>
      <c r="K14" s="63">
        <f t="shared" si="9"/>
        <v>0</v>
      </c>
      <c r="L14" s="63">
        <f t="shared" si="9"/>
        <v>0</v>
      </c>
      <c r="M14" s="63">
        <f t="shared" si="9"/>
        <v>0</v>
      </c>
      <c r="N14" s="63">
        <f t="shared" si="9"/>
        <v>0</v>
      </c>
      <c r="O14" s="63">
        <f t="shared" si="9"/>
        <v>0</v>
      </c>
      <c r="P14" s="63">
        <f t="shared" si="9"/>
        <v>0</v>
      </c>
      <c r="Q14" s="63">
        <f t="shared" si="9"/>
        <v>0</v>
      </c>
      <c r="R14" s="63">
        <f t="shared" si="9"/>
        <v>0</v>
      </c>
      <c r="S14" s="63">
        <f t="shared" si="9"/>
        <v>766.75</v>
      </c>
      <c r="T14" s="63">
        <f t="shared" si="9"/>
        <v>745.00000000000011</v>
      </c>
      <c r="U14" s="63">
        <f t="shared" si="9"/>
        <v>768.5</v>
      </c>
      <c r="V14" s="63">
        <f t="shared" si="9"/>
        <v>737.25</v>
      </c>
      <c r="W14" s="63">
        <f t="shared" ref="W14" si="10">IF(W4=0,0,W4/W8)</f>
        <v>778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0</v>
      </c>
      <c r="C15" s="64">
        <f t="shared" si="6"/>
        <v>0</v>
      </c>
      <c r="D15" s="64">
        <f t="shared" si="6"/>
        <v>0</v>
      </c>
      <c r="E15" s="64">
        <f t="shared" si="6"/>
        <v>0</v>
      </c>
      <c r="F15" s="64">
        <f t="shared" ref="F15:V15" si="11">IF(F5=0,0,F5/F9)</f>
        <v>0</v>
      </c>
      <c r="G15" s="64">
        <f t="shared" si="11"/>
        <v>0</v>
      </c>
      <c r="H15" s="64">
        <f t="shared" si="11"/>
        <v>0</v>
      </c>
      <c r="I15" s="64">
        <f t="shared" si="11"/>
        <v>0</v>
      </c>
      <c r="J15" s="64">
        <f t="shared" si="11"/>
        <v>0</v>
      </c>
      <c r="K15" s="64">
        <f t="shared" si="11"/>
        <v>0</v>
      </c>
      <c r="L15" s="64">
        <f t="shared" si="11"/>
        <v>0</v>
      </c>
      <c r="M15" s="64">
        <f t="shared" si="11"/>
        <v>0</v>
      </c>
      <c r="N15" s="64">
        <f t="shared" si="11"/>
        <v>0</v>
      </c>
      <c r="O15" s="64">
        <f t="shared" si="11"/>
        <v>0</v>
      </c>
      <c r="P15" s="64">
        <f t="shared" si="11"/>
        <v>0</v>
      </c>
      <c r="Q15" s="64">
        <f t="shared" si="11"/>
        <v>0</v>
      </c>
      <c r="R15" s="64">
        <f t="shared" si="11"/>
        <v>0</v>
      </c>
      <c r="S15" s="64">
        <f t="shared" si="11"/>
        <v>0</v>
      </c>
      <c r="T15" s="64">
        <f t="shared" si="11"/>
        <v>0</v>
      </c>
      <c r="U15" s="64">
        <f t="shared" si="11"/>
        <v>0</v>
      </c>
      <c r="V15" s="64">
        <f t="shared" si="11"/>
        <v>0</v>
      </c>
      <c r="W15" s="64">
        <f t="shared" ref="W15" si="12">IF(W5=0,0,W5/W9)</f>
        <v>0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0</v>
      </c>
      <c r="C17" s="65">
        <f t="shared" si="13"/>
        <v>0</v>
      </c>
      <c r="D17" s="65">
        <f t="shared" si="13"/>
        <v>0</v>
      </c>
      <c r="E17" s="65">
        <f t="shared" si="13"/>
        <v>0</v>
      </c>
      <c r="F17" s="65">
        <f t="shared" ref="F17:V17" si="14">IF(F3=0,0,F3/F$3)</f>
        <v>0</v>
      </c>
      <c r="G17" s="65">
        <f t="shared" si="14"/>
        <v>0</v>
      </c>
      <c r="H17" s="65">
        <f t="shared" si="14"/>
        <v>0</v>
      </c>
      <c r="I17" s="65">
        <f t="shared" si="14"/>
        <v>0</v>
      </c>
      <c r="J17" s="65">
        <f t="shared" si="14"/>
        <v>0</v>
      </c>
      <c r="K17" s="65">
        <f t="shared" si="14"/>
        <v>0</v>
      </c>
      <c r="L17" s="65">
        <f t="shared" si="14"/>
        <v>0</v>
      </c>
      <c r="M17" s="65">
        <f t="shared" si="14"/>
        <v>0</v>
      </c>
      <c r="N17" s="65">
        <f t="shared" si="14"/>
        <v>0</v>
      </c>
      <c r="O17" s="65">
        <f t="shared" si="14"/>
        <v>0</v>
      </c>
      <c r="P17" s="65">
        <f t="shared" si="14"/>
        <v>0</v>
      </c>
      <c r="Q17" s="65">
        <f t="shared" si="14"/>
        <v>0</v>
      </c>
      <c r="R17" s="65">
        <f t="shared" si="14"/>
        <v>0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" si="15">IF(W3=0,0,W3/W$3)</f>
        <v>1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0</v>
      </c>
      <c r="C18" s="66">
        <f t="shared" si="16"/>
        <v>0</v>
      </c>
      <c r="D18" s="66">
        <f t="shared" si="16"/>
        <v>0</v>
      </c>
      <c r="E18" s="66">
        <f t="shared" si="16"/>
        <v>0</v>
      </c>
      <c r="F18" s="66">
        <f t="shared" ref="F18:V18" si="17">IF(F4=0,0,F4/F$3)</f>
        <v>0</v>
      </c>
      <c r="G18" s="66">
        <f t="shared" si="17"/>
        <v>0</v>
      </c>
      <c r="H18" s="66">
        <f t="shared" si="17"/>
        <v>0</v>
      </c>
      <c r="I18" s="66">
        <f t="shared" si="17"/>
        <v>0</v>
      </c>
      <c r="J18" s="66">
        <f t="shared" si="17"/>
        <v>0</v>
      </c>
      <c r="K18" s="66">
        <f t="shared" si="17"/>
        <v>0</v>
      </c>
      <c r="L18" s="66">
        <f t="shared" si="17"/>
        <v>0</v>
      </c>
      <c r="M18" s="66">
        <f t="shared" si="17"/>
        <v>0</v>
      </c>
      <c r="N18" s="66">
        <f t="shared" si="17"/>
        <v>0</v>
      </c>
      <c r="O18" s="66">
        <f t="shared" si="17"/>
        <v>0</v>
      </c>
      <c r="P18" s="66">
        <f t="shared" si="17"/>
        <v>0</v>
      </c>
      <c r="Q18" s="66">
        <f t="shared" si="17"/>
        <v>0</v>
      </c>
      <c r="R18" s="66">
        <f t="shared" si="17"/>
        <v>0</v>
      </c>
      <c r="S18" s="66">
        <f t="shared" si="17"/>
        <v>1</v>
      </c>
      <c r="T18" s="66">
        <f t="shared" si="17"/>
        <v>1</v>
      </c>
      <c r="U18" s="66">
        <f t="shared" si="17"/>
        <v>1</v>
      </c>
      <c r="V18" s="66">
        <f t="shared" si="17"/>
        <v>1</v>
      </c>
      <c r="W18" s="66">
        <f t="shared" ref="W18" si="18">IF(W4=0,0,W4/W$3)</f>
        <v>1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</v>
      </c>
      <c r="C19" s="67">
        <f t="shared" si="19"/>
        <v>0</v>
      </c>
      <c r="D19" s="67">
        <f t="shared" si="19"/>
        <v>0</v>
      </c>
      <c r="E19" s="67">
        <f t="shared" si="19"/>
        <v>0</v>
      </c>
      <c r="F19" s="67">
        <f t="shared" ref="F19:V19" si="20">IF(F5=0,0,F5/F$3)</f>
        <v>0</v>
      </c>
      <c r="G19" s="67">
        <f t="shared" si="20"/>
        <v>0</v>
      </c>
      <c r="H19" s="67">
        <f t="shared" si="20"/>
        <v>0</v>
      </c>
      <c r="I19" s="67">
        <f t="shared" si="20"/>
        <v>0</v>
      </c>
      <c r="J19" s="67">
        <f t="shared" si="20"/>
        <v>0</v>
      </c>
      <c r="K19" s="67">
        <f t="shared" si="20"/>
        <v>0</v>
      </c>
      <c r="L19" s="67">
        <f t="shared" si="20"/>
        <v>0</v>
      </c>
      <c r="M19" s="67">
        <f t="shared" si="20"/>
        <v>0</v>
      </c>
      <c r="N19" s="67">
        <f t="shared" si="20"/>
        <v>0</v>
      </c>
      <c r="O19" s="67">
        <f t="shared" si="20"/>
        <v>0</v>
      </c>
      <c r="P19" s="67">
        <f t="shared" si="20"/>
        <v>0</v>
      </c>
      <c r="Q19" s="67">
        <f t="shared" si="20"/>
        <v>0</v>
      </c>
      <c r="R19" s="67">
        <f t="shared" si="20"/>
        <v>0</v>
      </c>
      <c r="S19" s="67">
        <f t="shared" si="20"/>
        <v>0</v>
      </c>
      <c r="T19" s="67">
        <f t="shared" si="20"/>
        <v>0</v>
      </c>
      <c r="U19" s="67">
        <f t="shared" si="20"/>
        <v>0</v>
      </c>
      <c r="V19" s="67">
        <f t="shared" si="20"/>
        <v>0</v>
      </c>
      <c r="W19" s="67">
        <f t="shared" ref="W19" si="21">IF(W5=0,0,W5/W$3)</f>
        <v>0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0</v>
      </c>
      <c r="C21" s="65">
        <f t="shared" si="22"/>
        <v>0</v>
      </c>
      <c r="D21" s="65">
        <f t="shared" si="22"/>
        <v>0</v>
      </c>
      <c r="E21" s="65">
        <f t="shared" si="22"/>
        <v>0</v>
      </c>
      <c r="F21" s="65">
        <f t="shared" ref="F21:V21" si="23">IF(F7=0,0,F7/F$7)</f>
        <v>0</v>
      </c>
      <c r="G21" s="65">
        <f t="shared" si="23"/>
        <v>0</v>
      </c>
      <c r="H21" s="65">
        <f t="shared" si="23"/>
        <v>0</v>
      </c>
      <c r="I21" s="65">
        <f t="shared" si="23"/>
        <v>0</v>
      </c>
      <c r="J21" s="65">
        <f t="shared" si="23"/>
        <v>0</v>
      </c>
      <c r="K21" s="65">
        <f t="shared" si="23"/>
        <v>0</v>
      </c>
      <c r="L21" s="65">
        <f t="shared" si="23"/>
        <v>0</v>
      </c>
      <c r="M21" s="65">
        <f t="shared" si="23"/>
        <v>0</v>
      </c>
      <c r="N21" s="65">
        <f t="shared" si="23"/>
        <v>0</v>
      </c>
      <c r="O21" s="65">
        <f t="shared" si="23"/>
        <v>0</v>
      </c>
      <c r="P21" s="65">
        <f t="shared" si="23"/>
        <v>0</v>
      </c>
      <c r="Q21" s="65">
        <f t="shared" si="23"/>
        <v>0</v>
      </c>
      <c r="R21" s="65">
        <f t="shared" si="23"/>
        <v>0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" si="24">IF(W7=0,0,W7/W$7)</f>
        <v>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0</v>
      </c>
      <c r="C22" s="66">
        <f t="shared" si="25"/>
        <v>0</v>
      </c>
      <c r="D22" s="66">
        <f t="shared" si="25"/>
        <v>0</v>
      </c>
      <c r="E22" s="66">
        <f t="shared" si="25"/>
        <v>0</v>
      </c>
      <c r="F22" s="66">
        <f t="shared" ref="F22:V22" si="26">IF(F8=0,0,F8/F$7)</f>
        <v>0</v>
      </c>
      <c r="G22" s="66">
        <f t="shared" si="26"/>
        <v>0</v>
      </c>
      <c r="H22" s="66">
        <f t="shared" si="26"/>
        <v>0</v>
      </c>
      <c r="I22" s="66">
        <f t="shared" si="26"/>
        <v>0</v>
      </c>
      <c r="J22" s="66">
        <f t="shared" si="26"/>
        <v>0</v>
      </c>
      <c r="K22" s="66">
        <f t="shared" si="26"/>
        <v>0</v>
      </c>
      <c r="L22" s="66">
        <f t="shared" si="26"/>
        <v>0</v>
      </c>
      <c r="M22" s="66">
        <f t="shared" si="26"/>
        <v>0</v>
      </c>
      <c r="N22" s="66">
        <f t="shared" si="26"/>
        <v>0</v>
      </c>
      <c r="O22" s="66">
        <f t="shared" si="26"/>
        <v>0</v>
      </c>
      <c r="P22" s="66">
        <f t="shared" si="26"/>
        <v>0</v>
      </c>
      <c r="Q22" s="66">
        <f t="shared" si="26"/>
        <v>0</v>
      </c>
      <c r="R22" s="66">
        <f t="shared" si="26"/>
        <v>0</v>
      </c>
      <c r="S22" s="66">
        <f t="shared" si="26"/>
        <v>1</v>
      </c>
      <c r="T22" s="66">
        <f t="shared" si="26"/>
        <v>1</v>
      </c>
      <c r="U22" s="66">
        <f t="shared" si="26"/>
        <v>1</v>
      </c>
      <c r="V22" s="66">
        <f t="shared" si="26"/>
        <v>1</v>
      </c>
      <c r="W22" s="66">
        <f t="shared" ref="W22" si="27">IF(W8=0,0,W8/W$7)</f>
        <v>1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</v>
      </c>
      <c r="C23" s="67">
        <f t="shared" si="28"/>
        <v>0</v>
      </c>
      <c r="D23" s="67">
        <f t="shared" si="28"/>
        <v>0</v>
      </c>
      <c r="E23" s="67">
        <f t="shared" si="28"/>
        <v>0</v>
      </c>
      <c r="F23" s="67">
        <f t="shared" ref="F23:V23" si="29">IF(F9=0,0,F9/F$7)</f>
        <v>0</v>
      </c>
      <c r="G23" s="67">
        <f t="shared" si="29"/>
        <v>0</v>
      </c>
      <c r="H23" s="67">
        <f t="shared" si="29"/>
        <v>0</v>
      </c>
      <c r="I23" s="67">
        <f t="shared" si="29"/>
        <v>0</v>
      </c>
      <c r="J23" s="67">
        <f t="shared" si="29"/>
        <v>0</v>
      </c>
      <c r="K23" s="67">
        <f t="shared" si="29"/>
        <v>0</v>
      </c>
      <c r="L23" s="67">
        <f t="shared" si="29"/>
        <v>0</v>
      </c>
      <c r="M23" s="67">
        <f t="shared" si="29"/>
        <v>0</v>
      </c>
      <c r="N23" s="67">
        <f t="shared" si="29"/>
        <v>0</v>
      </c>
      <c r="O23" s="67">
        <f t="shared" si="29"/>
        <v>0</v>
      </c>
      <c r="P23" s="67">
        <f t="shared" si="29"/>
        <v>0</v>
      </c>
      <c r="Q23" s="67">
        <f t="shared" si="29"/>
        <v>0</v>
      </c>
      <c r="R23" s="67">
        <f t="shared" si="29"/>
        <v>0</v>
      </c>
      <c r="S23" s="67">
        <f t="shared" si="29"/>
        <v>0</v>
      </c>
      <c r="T23" s="67">
        <f t="shared" si="29"/>
        <v>0</v>
      </c>
      <c r="U23" s="67">
        <f t="shared" si="29"/>
        <v>0</v>
      </c>
      <c r="V23" s="67">
        <f t="shared" si="29"/>
        <v>0</v>
      </c>
      <c r="W23" s="67">
        <f t="shared" ref="W23" si="30">IF(W9=0,0,W9/W$7)</f>
        <v>0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0</v>
      </c>
      <c r="C3" s="62">
        <f t="shared" ref="C3:V3" si="0">SUM(C4,C10)</f>
        <v>0</v>
      </c>
      <c r="D3" s="62">
        <f t="shared" si="0"/>
        <v>0</v>
      </c>
      <c r="E3" s="62">
        <f t="shared" si="0"/>
        <v>0</v>
      </c>
      <c r="F3" s="62">
        <f t="shared" si="0"/>
        <v>0</v>
      </c>
      <c r="G3" s="62">
        <f t="shared" si="0"/>
        <v>0</v>
      </c>
      <c r="H3" s="62">
        <f t="shared" si="0"/>
        <v>0</v>
      </c>
      <c r="I3" s="62">
        <f t="shared" si="0"/>
        <v>0</v>
      </c>
      <c r="J3" s="62">
        <f t="shared" si="0"/>
        <v>0</v>
      </c>
      <c r="K3" s="62">
        <f t="shared" si="0"/>
        <v>0</v>
      </c>
      <c r="L3" s="62">
        <f t="shared" si="0"/>
        <v>0</v>
      </c>
      <c r="M3" s="62">
        <f t="shared" si="0"/>
        <v>0</v>
      </c>
      <c r="N3" s="62">
        <f t="shared" si="0"/>
        <v>0</v>
      </c>
      <c r="O3" s="62">
        <f t="shared" si="0"/>
        <v>0</v>
      </c>
      <c r="P3" s="62">
        <f t="shared" si="0"/>
        <v>0</v>
      </c>
      <c r="Q3" s="62">
        <f t="shared" si="0"/>
        <v>0</v>
      </c>
      <c r="R3" s="62">
        <f t="shared" si="0"/>
        <v>0</v>
      </c>
      <c r="S3" s="62">
        <f t="shared" si="0"/>
        <v>0.66053310404127252</v>
      </c>
      <c r="T3" s="62">
        <f t="shared" si="0"/>
        <v>0.68916595012897675</v>
      </c>
      <c r="U3" s="62">
        <f t="shared" si="0"/>
        <v>0.89845227858985377</v>
      </c>
      <c r="V3" s="62">
        <f t="shared" si="0"/>
        <v>0.3971625107480653</v>
      </c>
      <c r="W3" s="62">
        <f t="shared" ref="W3" si="1">SUM(W4,W10)</f>
        <v>0.91083404987102301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0</v>
      </c>
      <c r="C4" s="71">
        <f t="shared" ref="C4:V4" si="2">SUM(C5:C9)</f>
        <v>0</v>
      </c>
      <c r="D4" s="71">
        <f t="shared" si="2"/>
        <v>0</v>
      </c>
      <c r="E4" s="71">
        <f t="shared" si="2"/>
        <v>0</v>
      </c>
      <c r="F4" s="71">
        <f t="shared" si="2"/>
        <v>0</v>
      </c>
      <c r="G4" s="71">
        <f t="shared" si="2"/>
        <v>0</v>
      </c>
      <c r="H4" s="71">
        <f t="shared" si="2"/>
        <v>0</v>
      </c>
      <c r="I4" s="71">
        <f t="shared" si="2"/>
        <v>0</v>
      </c>
      <c r="J4" s="71">
        <f t="shared" si="2"/>
        <v>0</v>
      </c>
      <c r="K4" s="71">
        <f t="shared" si="2"/>
        <v>0</v>
      </c>
      <c r="L4" s="71">
        <f t="shared" si="2"/>
        <v>0</v>
      </c>
      <c r="M4" s="71">
        <f t="shared" si="2"/>
        <v>0</v>
      </c>
      <c r="N4" s="71">
        <f t="shared" si="2"/>
        <v>0</v>
      </c>
      <c r="O4" s="71">
        <f t="shared" si="2"/>
        <v>0</v>
      </c>
      <c r="P4" s="71">
        <f t="shared" si="2"/>
        <v>0</v>
      </c>
      <c r="Q4" s="71">
        <f t="shared" si="2"/>
        <v>0</v>
      </c>
      <c r="R4" s="71">
        <f t="shared" si="2"/>
        <v>0</v>
      </c>
      <c r="S4" s="71">
        <f t="shared" si="2"/>
        <v>0.66053310404127252</v>
      </c>
      <c r="T4" s="71">
        <f t="shared" si="2"/>
        <v>0.68916595012897675</v>
      </c>
      <c r="U4" s="71">
        <f t="shared" si="2"/>
        <v>0.89845227858985377</v>
      </c>
      <c r="V4" s="71">
        <f t="shared" si="2"/>
        <v>0.3971625107480653</v>
      </c>
      <c r="W4" s="71">
        <f t="shared" ref="W4" si="3">SUM(W5:W9)</f>
        <v>0.91083404987102301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0</v>
      </c>
      <c r="J5" s="73">
        <v>0</v>
      </c>
      <c r="K5" s="73">
        <v>0</v>
      </c>
      <c r="L5" s="73">
        <v>0</v>
      </c>
      <c r="M5" s="73">
        <v>0</v>
      </c>
      <c r="N5" s="73">
        <v>0</v>
      </c>
      <c r="O5" s="73">
        <v>0</v>
      </c>
      <c r="P5" s="73">
        <v>0</v>
      </c>
      <c r="Q5" s="73">
        <v>0</v>
      </c>
      <c r="R5" s="73">
        <v>0</v>
      </c>
      <c r="S5" s="73">
        <v>0.66053310404127252</v>
      </c>
      <c r="T5" s="73">
        <v>0.68916595012897675</v>
      </c>
      <c r="U5" s="73">
        <v>0.89845227858985377</v>
      </c>
      <c r="V5" s="73">
        <v>0.3671539122957867</v>
      </c>
      <c r="W5" s="73">
        <v>0.84453998280309528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3.000859845227859E-2</v>
      </c>
      <c r="W7" s="73">
        <v>6.6294067067927773E-2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0</v>
      </c>
      <c r="C10" s="71">
        <f t="shared" ref="C10:V10" si="4">SUM(C11:C15)</f>
        <v>0</v>
      </c>
      <c r="D10" s="71">
        <f t="shared" si="4"/>
        <v>0</v>
      </c>
      <c r="E10" s="71">
        <f t="shared" si="4"/>
        <v>0</v>
      </c>
      <c r="F10" s="71">
        <f t="shared" si="4"/>
        <v>0</v>
      </c>
      <c r="G10" s="71">
        <f t="shared" si="4"/>
        <v>0</v>
      </c>
      <c r="H10" s="71">
        <f t="shared" si="4"/>
        <v>0</v>
      </c>
      <c r="I10" s="71">
        <f t="shared" si="4"/>
        <v>0</v>
      </c>
      <c r="J10" s="71">
        <f t="shared" si="4"/>
        <v>0</v>
      </c>
      <c r="K10" s="71">
        <f t="shared" si="4"/>
        <v>0</v>
      </c>
      <c r="L10" s="71">
        <f t="shared" si="4"/>
        <v>0</v>
      </c>
      <c r="M10" s="71">
        <f t="shared" si="4"/>
        <v>0</v>
      </c>
      <c r="N10" s="71">
        <f t="shared" si="4"/>
        <v>0</v>
      </c>
      <c r="O10" s="71">
        <f t="shared" si="4"/>
        <v>0</v>
      </c>
      <c r="P10" s="71">
        <f t="shared" si="4"/>
        <v>0</v>
      </c>
      <c r="Q10" s="71">
        <f t="shared" si="4"/>
        <v>0</v>
      </c>
      <c r="R10" s="71">
        <f t="shared" si="4"/>
        <v>0</v>
      </c>
      <c r="S10" s="71">
        <f t="shared" si="4"/>
        <v>0</v>
      </c>
      <c r="T10" s="71">
        <f t="shared" si="4"/>
        <v>0</v>
      </c>
      <c r="U10" s="71">
        <f t="shared" si="4"/>
        <v>0</v>
      </c>
      <c r="V10" s="71">
        <f t="shared" si="4"/>
        <v>0</v>
      </c>
      <c r="W10" s="71">
        <f t="shared" ref="W10" si="5">SUM(W11:W15)</f>
        <v>0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0</v>
      </c>
      <c r="C19" s="62">
        <f>IF(C3=0,0,C3/TrNavi_act!C7*100)</f>
        <v>0</v>
      </c>
      <c r="D19" s="62">
        <f>IF(D3=0,0,D3/TrNavi_act!D7*100)</f>
        <v>0</v>
      </c>
      <c r="E19" s="62">
        <f>IF(E3=0,0,E3/TrNavi_act!E7*100)</f>
        <v>0</v>
      </c>
      <c r="F19" s="62">
        <f>IF(F3=0,0,F3/TrNavi_act!F7*100)</f>
        <v>0</v>
      </c>
      <c r="G19" s="62">
        <f>IF(G3=0,0,G3/TrNavi_act!G7*100)</f>
        <v>0</v>
      </c>
      <c r="H19" s="62">
        <f>IF(H3=0,0,H3/TrNavi_act!H7*100)</f>
        <v>0</v>
      </c>
      <c r="I19" s="62">
        <f>IF(I3=0,0,I3/TrNavi_act!I7*100)</f>
        <v>0</v>
      </c>
      <c r="J19" s="62">
        <f>IF(J3=0,0,J3/TrNavi_act!J7*100)</f>
        <v>0</v>
      </c>
      <c r="K19" s="62">
        <f>IF(K3=0,0,K3/TrNavi_act!K7*100)</f>
        <v>0</v>
      </c>
      <c r="L19" s="62">
        <f>IF(L3=0,0,L3/TrNavi_act!L7*100)</f>
        <v>0</v>
      </c>
      <c r="M19" s="62">
        <f>IF(M3=0,0,M3/TrNavi_act!M7*100)</f>
        <v>0</v>
      </c>
      <c r="N19" s="62">
        <f>IF(N3=0,0,N3/TrNavi_act!N7*100)</f>
        <v>0</v>
      </c>
      <c r="O19" s="62">
        <f>IF(O3=0,0,O3/TrNavi_act!O7*100)</f>
        <v>0</v>
      </c>
      <c r="P19" s="62">
        <f>IF(P3=0,0,P3/TrNavi_act!P7*100)</f>
        <v>0</v>
      </c>
      <c r="Q19" s="62">
        <f>IF(Q3=0,0,Q3/TrNavi_act!Q7*100)</f>
        <v>0</v>
      </c>
      <c r="R19" s="62">
        <f>IF(R3=0,0,R3/TrNavi_act!R7*100)</f>
        <v>0</v>
      </c>
      <c r="S19" s="62">
        <f>IF(S3=0,0,S3/TrNavi_act!S7*100)</f>
        <v>5504.4425336772711</v>
      </c>
      <c r="T19" s="62">
        <f>IF(T3=0,0,T3/TrNavi_act!T7*100)</f>
        <v>5301.2765394536673</v>
      </c>
      <c r="U19" s="62">
        <f>IF(U3=0,0,U3/TrNavi_act!U7*100)</f>
        <v>5615.3267411865863</v>
      </c>
      <c r="V19" s="62">
        <f>IF(V3=0,0,V3/TrNavi_act!V7*100)</f>
        <v>4964.5313843508166</v>
      </c>
      <c r="W19" s="62">
        <f>IF(W3=0,0,W3/TrNavi_act!W7*100)</f>
        <v>5692.7128116938939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0</v>
      </c>
      <c r="C20" s="63">
        <f>IF(C4=0,0,C4/TrNavi_act!C8*100)</f>
        <v>0</v>
      </c>
      <c r="D20" s="63">
        <f>IF(D4=0,0,D4/TrNavi_act!D8*100)</f>
        <v>0</v>
      </c>
      <c r="E20" s="63">
        <f>IF(E4=0,0,E4/TrNavi_act!E8*100)</f>
        <v>0</v>
      </c>
      <c r="F20" s="63">
        <f>IF(F4=0,0,F4/TrNavi_act!F8*100)</f>
        <v>0</v>
      </c>
      <c r="G20" s="63">
        <f>IF(G4=0,0,G4/TrNavi_act!G8*100)</f>
        <v>0</v>
      </c>
      <c r="H20" s="63">
        <f>IF(H4=0,0,H4/TrNavi_act!H8*100)</f>
        <v>0</v>
      </c>
      <c r="I20" s="63">
        <f>IF(I4=0,0,I4/TrNavi_act!I8*100)</f>
        <v>0</v>
      </c>
      <c r="J20" s="63">
        <f>IF(J4=0,0,J4/TrNavi_act!J8*100)</f>
        <v>0</v>
      </c>
      <c r="K20" s="63">
        <f>IF(K4=0,0,K4/TrNavi_act!K8*100)</f>
        <v>0</v>
      </c>
      <c r="L20" s="63">
        <f>IF(L4=0,0,L4/TrNavi_act!L8*100)</f>
        <v>0</v>
      </c>
      <c r="M20" s="63">
        <f>IF(M4=0,0,M4/TrNavi_act!M8*100)</f>
        <v>0</v>
      </c>
      <c r="N20" s="63">
        <f>IF(N4=0,0,N4/TrNavi_act!N8*100)</f>
        <v>0</v>
      </c>
      <c r="O20" s="63">
        <f>IF(O4=0,0,O4/TrNavi_act!O8*100)</f>
        <v>0</v>
      </c>
      <c r="P20" s="63">
        <f>IF(P4=0,0,P4/TrNavi_act!P8*100)</f>
        <v>0</v>
      </c>
      <c r="Q20" s="63">
        <f>IF(Q4=0,0,Q4/TrNavi_act!Q8*100)</f>
        <v>0</v>
      </c>
      <c r="R20" s="63">
        <f>IF(R4=0,0,R4/TrNavi_act!R8*100)</f>
        <v>0</v>
      </c>
      <c r="S20" s="63">
        <f>IF(S4=0,0,S4/TrNavi_act!S8*100)</f>
        <v>5504.4425336772711</v>
      </c>
      <c r="T20" s="63">
        <f>IF(T4=0,0,T4/TrNavi_act!T8*100)</f>
        <v>5301.2765394536673</v>
      </c>
      <c r="U20" s="63">
        <f>IF(U4=0,0,U4/TrNavi_act!U8*100)</f>
        <v>5615.3267411865863</v>
      </c>
      <c r="V20" s="63">
        <f>IF(V4=0,0,V4/TrNavi_act!V8*100)</f>
        <v>4964.5313843508166</v>
      </c>
      <c r="W20" s="63">
        <f>IF(W4=0,0,W4/TrNavi_act!W8*100)</f>
        <v>5692.7128116938939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0</v>
      </c>
      <c r="C21" s="64">
        <f>IF(C10=0,0,C10/TrNavi_act!C9*100)</f>
        <v>0</v>
      </c>
      <c r="D21" s="64">
        <f>IF(D10=0,0,D10/TrNavi_act!D9*100)</f>
        <v>0</v>
      </c>
      <c r="E21" s="64">
        <f>IF(E10=0,0,E10/TrNavi_act!E9*100)</f>
        <v>0</v>
      </c>
      <c r="F21" s="64">
        <f>IF(F10=0,0,F10/TrNavi_act!F9*100)</f>
        <v>0</v>
      </c>
      <c r="G21" s="64">
        <f>IF(G10=0,0,G10/TrNavi_act!G9*100)</f>
        <v>0</v>
      </c>
      <c r="H21" s="64">
        <f>IF(H10=0,0,H10/TrNavi_act!H9*100)</f>
        <v>0</v>
      </c>
      <c r="I21" s="64">
        <f>IF(I10=0,0,I10/TrNavi_act!I9*100)</f>
        <v>0</v>
      </c>
      <c r="J21" s="64">
        <f>IF(J10=0,0,J10/TrNavi_act!J9*100)</f>
        <v>0</v>
      </c>
      <c r="K21" s="64">
        <f>IF(K10=0,0,K10/TrNavi_act!K9*100)</f>
        <v>0</v>
      </c>
      <c r="L21" s="64">
        <f>IF(L10=0,0,L10/TrNavi_act!L9*100)</f>
        <v>0</v>
      </c>
      <c r="M21" s="64">
        <f>IF(M10=0,0,M10/TrNavi_act!M9*100)</f>
        <v>0</v>
      </c>
      <c r="N21" s="64">
        <f>IF(N10=0,0,N10/TrNavi_act!N9*100)</f>
        <v>0</v>
      </c>
      <c r="O21" s="64">
        <f>IF(O10=0,0,O10/TrNavi_act!O9*100)</f>
        <v>0</v>
      </c>
      <c r="P21" s="64">
        <f>IF(P10=0,0,P10/TrNavi_act!P9*100)</f>
        <v>0</v>
      </c>
      <c r="Q21" s="64">
        <f>IF(Q10=0,0,Q10/TrNavi_act!Q9*100)</f>
        <v>0</v>
      </c>
      <c r="R21" s="64">
        <f>IF(R10=0,0,R10/TrNavi_act!R9*100)</f>
        <v>0</v>
      </c>
      <c r="S21" s="64">
        <f>IF(S10=0,0,S10/TrNavi_act!S9*100)</f>
        <v>0</v>
      </c>
      <c r="T21" s="64">
        <f>IF(T10=0,0,T10/TrNavi_act!T9*100)</f>
        <v>0</v>
      </c>
      <c r="U21" s="64">
        <f>IF(U10=0,0,U10/TrNavi_act!U9*100)</f>
        <v>0</v>
      </c>
      <c r="V21" s="64">
        <f>IF(V10=0,0,V10/TrNavi_act!V9*100)</f>
        <v>0</v>
      </c>
      <c r="W21" s="64">
        <f>IF(W10=0,0,W10/TrNavi_act!W9*100)</f>
        <v>0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0</v>
      </c>
      <c r="C23" s="62">
        <f>IF(C3=0,0,C3/TrNavi_act!C3*1000)</f>
        <v>0</v>
      </c>
      <c r="D23" s="62">
        <f>IF(D3=0,0,D3/TrNavi_act!D3*1000)</f>
        <v>0</v>
      </c>
      <c r="E23" s="62">
        <f>IF(E3=0,0,E3/TrNavi_act!E3*1000)</f>
        <v>0</v>
      </c>
      <c r="F23" s="62">
        <f>IF(F3=0,0,F3/TrNavi_act!F3*1000)</f>
        <v>0</v>
      </c>
      <c r="G23" s="62">
        <f>IF(G3=0,0,G3/TrNavi_act!G3*1000)</f>
        <v>0</v>
      </c>
      <c r="H23" s="62">
        <f>IF(H3=0,0,H3/TrNavi_act!H3*1000)</f>
        <v>0</v>
      </c>
      <c r="I23" s="62">
        <f>IF(I3=0,0,I3/TrNavi_act!I3*1000)</f>
        <v>0</v>
      </c>
      <c r="J23" s="62">
        <f>IF(J3=0,0,J3/TrNavi_act!J3*1000)</f>
        <v>0</v>
      </c>
      <c r="K23" s="62">
        <f>IF(K3=0,0,K3/TrNavi_act!K3*1000)</f>
        <v>0</v>
      </c>
      <c r="L23" s="62">
        <f>IF(L3=0,0,L3/TrNavi_act!L3*1000)</f>
        <v>0</v>
      </c>
      <c r="M23" s="62">
        <f>IF(M3=0,0,M3/TrNavi_act!M3*1000)</f>
        <v>0</v>
      </c>
      <c r="N23" s="62">
        <f>IF(N3=0,0,N3/TrNavi_act!N3*1000)</f>
        <v>0</v>
      </c>
      <c r="O23" s="62">
        <f>IF(O3=0,0,O3/TrNavi_act!O3*1000)</f>
        <v>0</v>
      </c>
      <c r="P23" s="62">
        <f>IF(P3=0,0,P3/TrNavi_act!P3*1000)</f>
        <v>0</v>
      </c>
      <c r="Q23" s="62">
        <f>IF(Q3=0,0,Q3/TrNavi_act!Q3*1000)</f>
        <v>0</v>
      </c>
      <c r="R23" s="62">
        <f>IF(R3=0,0,R3/TrNavi_act!R3*1000)</f>
        <v>0</v>
      </c>
      <c r="S23" s="62">
        <f>IF(S3=0,0,S3/TrNavi_act!S3*1000)</f>
        <v>71.789273344340018</v>
      </c>
      <c r="T23" s="62">
        <f>IF(T3=0,0,T3/TrNavi_act!T3*1000)</f>
        <v>71.158074355082789</v>
      </c>
      <c r="U23" s="62">
        <f>IF(U3=0,0,U3/TrNavi_act!U3*1000)</f>
        <v>73.068662865147516</v>
      </c>
      <c r="V23" s="62">
        <f>IF(V3=0,0,V3/TrNavi_act!V3*1000)</f>
        <v>67.338506400146713</v>
      </c>
      <c r="W23" s="62">
        <f>IF(W3=0,0,W3/TrNavi_act!W3*1000)</f>
        <v>73.171115831541059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0</v>
      </c>
      <c r="C24" s="63">
        <f>IF(C4=0,0,C4/TrNavi_act!C4*1000)</f>
        <v>0</v>
      </c>
      <c r="D24" s="63">
        <f>IF(D4=0,0,D4/TrNavi_act!D4*1000)</f>
        <v>0</v>
      </c>
      <c r="E24" s="63">
        <f>IF(E4=0,0,E4/TrNavi_act!E4*1000)</f>
        <v>0</v>
      </c>
      <c r="F24" s="63">
        <f>IF(F4=0,0,F4/TrNavi_act!F4*1000)</f>
        <v>0</v>
      </c>
      <c r="G24" s="63">
        <f>IF(G4=0,0,G4/TrNavi_act!G4*1000)</f>
        <v>0</v>
      </c>
      <c r="H24" s="63">
        <f>IF(H4=0,0,H4/TrNavi_act!H4*1000)</f>
        <v>0</v>
      </c>
      <c r="I24" s="63">
        <f>IF(I4=0,0,I4/TrNavi_act!I4*1000)</f>
        <v>0</v>
      </c>
      <c r="J24" s="63">
        <f>IF(J4=0,0,J4/TrNavi_act!J4*1000)</f>
        <v>0</v>
      </c>
      <c r="K24" s="63">
        <f>IF(K4=0,0,K4/TrNavi_act!K4*1000)</f>
        <v>0</v>
      </c>
      <c r="L24" s="63">
        <f>IF(L4=0,0,L4/TrNavi_act!L4*1000)</f>
        <v>0</v>
      </c>
      <c r="M24" s="63">
        <f>IF(M4=0,0,M4/TrNavi_act!M4*1000)</f>
        <v>0</v>
      </c>
      <c r="N24" s="63">
        <f>IF(N4=0,0,N4/TrNavi_act!N4*1000)</f>
        <v>0</v>
      </c>
      <c r="O24" s="63">
        <f>IF(O4=0,0,O4/TrNavi_act!O4*1000)</f>
        <v>0</v>
      </c>
      <c r="P24" s="63">
        <f>IF(P4=0,0,P4/TrNavi_act!P4*1000)</f>
        <v>0</v>
      </c>
      <c r="Q24" s="63">
        <f>IF(Q4=0,0,Q4/TrNavi_act!Q4*1000)</f>
        <v>0</v>
      </c>
      <c r="R24" s="63">
        <f>IF(R4=0,0,R4/TrNavi_act!R4*1000)</f>
        <v>0</v>
      </c>
      <c r="S24" s="63">
        <f>IF(S4=0,0,S4/TrNavi_act!S4*1000)</f>
        <v>71.789273344340018</v>
      </c>
      <c r="T24" s="63">
        <f>IF(T4=0,0,T4/TrNavi_act!T4*1000)</f>
        <v>71.158074355082789</v>
      </c>
      <c r="U24" s="63">
        <f>IF(U4=0,0,U4/TrNavi_act!U4*1000)</f>
        <v>73.068662865147516</v>
      </c>
      <c r="V24" s="63">
        <f>IF(V4=0,0,V4/TrNavi_act!V4*1000)</f>
        <v>67.338506400146713</v>
      </c>
      <c r="W24" s="63">
        <f>IF(W4=0,0,W4/TrNavi_act!W4*1000)</f>
        <v>73.171115831541059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0</v>
      </c>
      <c r="C25" s="64">
        <f>IF(C10=0,0,C10/TrNavi_act!C5*1000)</f>
        <v>0</v>
      </c>
      <c r="D25" s="64">
        <f>IF(D10=0,0,D10/TrNavi_act!D5*1000)</f>
        <v>0</v>
      </c>
      <c r="E25" s="64">
        <f>IF(E10=0,0,E10/TrNavi_act!E5*1000)</f>
        <v>0</v>
      </c>
      <c r="F25" s="64">
        <f>IF(F10=0,0,F10/TrNavi_act!F5*1000)</f>
        <v>0</v>
      </c>
      <c r="G25" s="64">
        <f>IF(G10=0,0,G10/TrNavi_act!G5*1000)</f>
        <v>0</v>
      </c>
      <c r="H25" s="64">
        <f>IF(H10=0,0,H10/TrNavi_act!H5*1000)</f>
        <v>0</v>
      </c>
      <c r="I25" s="64">
        <f>IF(I10=0,0,I10/TrNavi_act!I5*1000)</f>
        <v>0</v>
      </c>
      <c r="J25" s="64">
        <f>IF(J10=0,0,J10/TrNavi_act!J5*1000)</f>
        <v>0</v>
      </c>
      <c r="K25" s="64">
        <f>IF(K10=0,0,K10/TrNavi_act!K5*1000)</f>
        <v>0</v>
      </c>
      <c r="L25" s="64">
        <f>IF(L10=0,0,L10/TrNavi_act!L5*1000)</f>
        <v>0</v>
      </c>
      <c r="M25" s="64">
        <f>IF(M10=0,0,M10/TrNavi_act!M5*1000)</f>
        <v>0</v>
      </c>
      <c r="N25" s="64">
        <f>IF(N10=0,0,N10/TrNavi_act!N5*1000)</f>
        <v>0</v>
      </c>
      <c r="O25" s="64">
        <f>IF(O10=0,0,O10/TrNavi_act!O5*1000)</f>
        <v>0</v>
      </c>
      <c r="P25" s="64">
        <f>IF(P10=0,0,P10/TrNavi_act!P5*1000)</f>
        <v>0</v>
      </c>
      <c r="Q25" s="64">
        <f>IF(Q10=0,0,Q10/TrNavi_act!Q5*1000)</f>
        <v>0</v>
      </c>
      <c r="R25" s="64">
        <f>IF(R10=0,0,R10/TrNavi_act!R5*1000)</f>
        <v>0</v>
      </c>
      <c r="S25" s="64">
        <f>IF(S10=0,0,S10/TrNavi_act!S5*1000)</f>
        <v>0</v>
      </c>
      <c r="T25" s="64">
        <f>IF(T10=0,0,T10/TrNavi_act!T5*1000)</f>
        <v>0</v>
      </c>
      <c r="U25" s="64">
        <f>IF(U10=0,0,U10/TrNavi_act!U5*1000)</f>
        <v>0</v>
      </c>
      <c r="V25" s="64">
        <f>IF(V10=0,0,V10/TrNavi_act!V5*1000)</f>
        <v>0</v>
      </c>
      <c r="W25" s="64">
        <f>IF(W10=0,0,W10/TrNavi_act!W5*1000)</f>
        <v>0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0</v>
      </c>
      <c r="C27" s="76">
        <f t="shared" si="6"/>
        <v>0</v>
      </c>
      <c r="D27" s="76">
        <f t="shared" si="6"/>
        <v>0</v>
      </c>
      <c r="E27" s="76">
        <f t="shared" si="6"/>
        <v>0</v>
      </c>
      <c r="F27" s="76">
        <f t="shared" si="6"/>
        <v>0</v>
      </c>
      <c r="G27" s="76">
        <f t="shared" si="6"/>
        <v>0</v>
      </c>
      <c r="H27" s="76">
        <f t="shared" si="6"/>
        <v>0</v>
      </c>
      <c r="I27" s="76">
        <f t="shared" si="6"/>
        <v>0</v>
      </c>
      <c r="J27" s="76">
        <f t="shared" si="6"/>
        <v>0</v>
      </c>
      <c r="K27" s="76">
        <f t="shared" si="6"/>
        <v>0</v>
      </c>
      <c r="L27" s="76">
        <f t="shared" si="6"/>
        <v>0</v>
      </c>
      <c r="M27" s="76">
        <f t="shared" si="6"/>
        <v>0</v>
      </c>
      <c r="N27" s="76">
        <f t="shared" si="6"/>
        <v>0</v>
      </c>
      <c r="O27" s="76">
        <f t="shared" si="6"/>
        <v>0</v>
      </c>
      <c r="P27" s="76">
        <f t="shared" si="6"/>
        <v>0</v>
      </c>
      <c r="Q27" s="76">
        <f t="shared" si="6"/>
        <v>0</v>
      </c>
      <c r="R27" s="76">
        <f t="shared" si="6"/>
        <v>0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0</v>
      </c>
      <c r="C28" s="77">
        <f t="shared" si="8"/>
        <v>0</v>
      </c>
      <c r="D28" s="77">
        <f t="shared" si="8"/>
        <v>0</v>
      </c>
      <c r="E28" s="77">
        <f t="shared" si="8"/>
        <v>0</v>
      </c>
      <c r="F28" s="77">
        <f t="shared" si="8"/>
        <v>0</v>
      </c>
      <c r="G28" s="77">
        <f t="shared" si="8"/>
        <v>0</v>
      </c>
      <c r="H28" s="77">
        <f t="shared" si="8"/>
        <v>0</v>
      </c>
      <c r="I28" s="77">
        <f t="shared" si="8"/>
        <v>0</v>
      </c>
      <c r="J28" s="77">
        <f t="shared" si="8"/>
        <v>0</v>
      </c>
      <c r="K28" s="77">
        <f t="shared" si="8"/>
        <v>0</v>
      </c>
      <c r="L28" s="77">
        <f t="shared" si="8"/>
        <v>0</v>
      </c>
      <c r="M28" s="77">
        <f t="shared" si="8"/>
        <v>0</v>
      </c>
      <c r="N28" s="77">
        <f t="shared" si="8"/>
        <v>0</v>
      </c>
      <c r="O28" s="77">
        <f t="shared" si="8"/>
        <v>0</v>
      </c>
      <c r="P28" s="77">
        <f t="shared" si="8"/>
        <v>0</v>
      </c>
      <c r="Q28" s="77">
        <f t="shared" si="8"/>
        <v>0</v>
      </c>
      <c r="R28" s="77">
        <f t="shared" si="8"/>
        <v>0</v>
      </c>
      <c r="S28" s="77">
        <f t="shared" si="8"/>
        <v>1</v>
      </c>
      <c r="T28" s="77">
        <f t="shared" si="8"/>
        <v>1</v>
      </c>
      <c r="U28" s="77">
        <f t="shared" si="8"/>
        <v>1</v>
      </c>
      <c r="V28" s="77">
        <f t="shared" ref="V28:W28" si="9">IF(V4=0,0,V4/V$3)</f>
        <v>1</v>
      </c>
      <c r="W28" s="77">
        <f t="shared" si="9"/>
        <v>1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0</v>
      </c>
      <c r="C29" s="78">
        <f t="shared" si="10"/>
        <v>0</v>
      </c>
      <c r="D29" s="78">
        <f t="shared" si="10"/>
        <v>0</v>
      </c>
      <c r="E29" s="78">
        <f t="shared" si="10"/>
        <v>0</v>
      </c>
      <c r="F29" s="78">
        <f t="shared" si="10"/>
        <v>0</v>
      </c>
      <c r="G29" s="78">
        <f t="shared" si="10"/>
        <v>0</v>
      </c>
      <c r="H29" s="78">
        <f t="shared" si="10"/>
        <v>0</v>
      </c>
      <c r="I29" s="78">
        <f t="shared" si="10"/>
        <v>0</v>
      </c>
      <c r="J29" s="78">
        <f t="shared" si="10"/>
        <v>0</v>
      </c>
      <c r="K29" s="78">
        <f t="shared" si="10"/>
        <v>0</v>
      </c>
      <c r="L29" s="78">
        <f t="shared" si="10"/>
        <v>0</v>
      </c>
      <c r="M29" s="78">
        <f t="shared" si="10"/>
        <v>0</v>
      </c>
      <c r="N29" s="78">
        <f t="shared" si="10"/>
        <v>0</v>
      </c>
      <c r="O29" s="78">
        <f t="shared" si="10"/>
        <v>0</v>
      </c>
      <c r="P29" s="78">
        <f t="shared" si="10"/>
        <v>0</v>
      </c>
      <c r="Q29" s="78">
        <f t="shared" si="10"/>
        <v>0</v>
      </c>
      <c r="R29" s="78">
        <f t="shared" si="10"/>
        <v>0</v>
      </c>
      <c r="S29" s="78">
        <f t="shared" si="10"/>
        <v>0</v>
      </c>
      <c r="T29" s="78">
        <f t="shared" si="10"/>
        <v>0</v>
      </c>
      <c r="U29" s="78">
        <f t="shared" si="10"/>
        <v>0</v>
      </c>
      <c r="V29" s="78">
        <f t="shared" ref="V29:W29" si="11">IF(V10=0,0,V10/V$3)</f>
        <v>0</v>
      </c>
      <c r="W29" s="78">
        <f t="shared" si="11"/>
        <v>0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0</v>
      </c>
      <c r="C3" s="54">
        <f t="shared" ref="C3:V3" si="1">SUM(C4:C5)</f>
        <v>0</v>
      </c>
      <c r="D3" s="54">
        <f t="shared" si="1"/>
        <v>0</v>
      </c>
      <c r="E3" s="54">
        <f t="shared" si="1"/>
        <v>0</v>
      </c>
      <c r="F3" s="54">
        <f t="shared" si="1"/>
        <v>0</v>
      </c>
      <c r="G3" s="54">
        <f t="shared" si="1"/>
        <v>0</v>
      </c>
      <c r="H3" s="54">
        <f t="shared" si="1"/>
        <v>0</v>
      </c>
      <c r="I3" s="54">
        <f t="shared" si="1"/>
        <v>0</v>
      </c>
      <c r="J3" s="54">
        <f t="shared" si="1"/>
        <v>0</v>
      </c>
      <c r="K3" s="54">
        <f t="shared" si="1"/>
        <v>0</v>
      </c>
      <c r="L3" s="54">
        <f t="shared" si="1"/>
        <v>0</v>
      </c>
      <c r="M3" s="54">
        <f t="shared" si="1"/>
        <v>0</v>
      </c>
      <c r="N3" s="54">
        <f t="shared" si="1"/>
        <v>0</v>
      </c>
      <c r="O3" s="54">
        <f t="shared" si="1"/>
        <v>0</v>
      </c>
      <c r="P3" s="54">
        <f t="shared" si="1"/>
        <v>0</v>
      </c>
      <c r="Q3" s="54">
        <f t="shared" si="1"/>
        <v>0</v>
      </c>
      <c r="R3" s="54">
        <f t="shared" si="1"/>
        <v>0</v>
      </c>
      <c r="S3" s="54">
        <f t="shared" si="1"/>
        <v>2.0492503200000001</v>
      </c>
      <c r="T3" s="54">
        <f t="shared" si="1"/>
        <v>2.1380813999999999</v>
      </c>
      <c r="U3" s="54">
        <f t="shared" si="1"/>
        <v>2.7873752399999998</v>
      </c>
      <c r="V3" s="54">
        <f t="shared" si="1"/>
        <v>1.1390651999999999</v>
      </c>
      <c r="W3" s="54">
        <f t="shared" ref="W3" si="2">SUM(W4:W5)</f>
        <v>2.6201167199999995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2.0492503200000001</v>
      </c>
      <c r="T4" s="56">
        <v>2.1380813999999999</v>
      </c>
      <c r="U4" s="56">
        <v>2.7873752399999998</v>
      </c>
      <c r="V4" s="56">
        <v>1.1390651999999999</v>
      </c>
      <c r="W4" s="56">
        <v>2.6201167199999995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0</v>
      </c>
      <c r="C9" s="79">
        <f>IF(C3=0,0,C3/TrNavi_ene!C3)</f>
        <v>0</v>
      </c>
      <c r="D9" s="79">
        <f>IF(D3=0,0,D3/TrNavi_ene!D3)</f>
        <v>0</v>
      </c>
      <c r="E9" s="79">
        <f>IF(E3=0,0,E3/TrNavi_ene!E3)</f>
        <v>0</v>
      </c>
      <c r="F9" s="79">
        <f>IF(F3=0,0,F3/TrNavi_ene!F3)</f>
        <v>0</v>
      </c>
      <c r="G9" s="79">
        <f>IF(G3=0,0,G3/TrNavi_ene!G3)</f>
        <v>0</v>
      </c>
      <c r="H9" s="79">
        <f>IF(H3=0,0,H3/TrNavi_ene!H3)</f>
        <v>0</v>
      </c>
      <c r="I9" s="79">
        <f>IF(I3=0,0,I3/TrNavi_ene!I3)</f>
        <v>0</v>
      </c>
      <c r="J9" s="79">
        <f>IF(J3=0,0,J3/TrNavi_ene!J3)</f>
        <v>0</v>
      </c>
      <c r="K9" s="79">
        <f>IF(K3=0,0,K3/TrNavi_ene!K3)</f>
        <v>0</v>
      </c>
      <c r="L9" s="79">
        <f>IF(L3=0,0,L3/TrNavi_ene!L3)</f>
        <v>0</v>
      </c>
      <c r="M9" s="79">
        <f>IF(M3=0,0,M3/TrNavi_ene!M3)</f>
        <v>0</v>
      </c>
      <c r="N9" s="79">
        <f>IF(N3=0,0,N3/TrNavi_ene!N3)</f>
        <v>0</v>
      </c>
      <c r="O9" s="79">
        <f>IF(O3=0,0,O3/TrNavi_ene!O3)</f>
        <v>0</v>
      </c>
      <c r="P9" s="79">
        <f>IF(P3=0,0,P3/TrNavi_ene!P3)</f>
        <v>0</v>
      </c>
      <c r="Q9" s="79">
        <f>IF(Q3=0,0,Q3/TrNavi_ene!Q3)</f>
        <v>0</v>
      </c>
      <c r="R9" s="79">
        <f>IF(R3=0,0,R3/TrNavi_ene!R3)</f>
        <v>0</v>
      </c>
      <c r="S9" s="79">
        <f>IF(S3=0,0,S3/TrNavi_ene!S3)</f>
        <v>3.1024188000000001</v>
      </c>
      <c r="T9" s="79">
        <f>IF(T3=0,0,T3/TrNavi_ene!T3)</f>
        <v>3.1024188000000001</v>
      </c>
      <c r="U9" s="79">
        <f>IF(U3=0,0,U3/TrNavi_ene!U3)</f>
        <v>3.1024188000000001</v>
      </c>
      <c r="V9" s="79">
        <f>IF(V3=0,0,V3/TrNavi_ene!V3)</f>
        <v>2.8680078536479758</v>
      </c>
      <c r="W9" s="79">
        <f>IF(W3=0,0,W3/TrNavi_ene!W3)</f>
        <v>2.876612617162277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0</v>
      </c>
      <c r="C10" s="80">
        <f>IF(C4=0,0,C4/TrNavi_ene!C4)</f>
        <v>0</v>
      </c>
      <c r="D10" s="80">
        <f>IF(D4=0,0,D4/TrNavi_ene!D4)</f>
        <v>0</v>
      </c>
      <c r="E10" s="80">
        <f>IF(E4=0,0,E4/TrNavi_ene!E4)</f>
        <v>0</v>
      </c>
      <c r="F10" s="80">
        <f>IF(F4=0,0,F4/TrNavi_ene!F4)</f>
        <v>0</v>
      </c>
      <c r="G10" s="80">
        <f>IF(G4=0,0,G4/TrNavi_ene!G4)</f>
        <v>0</v>
      </c>
      <c r="H10" s="80">
        <f>IF(H4=0,0,H4/TrNavi_ene!H4)</f>
        <v>0</v>
      </c>
      <c r="I10" s="80">
        <f>IF(I4=0,0,I4/TrNavi_ene!I4)</f>
        <v>0</v>
      </c>
      <c r="J10" s="80">
        <f>IF(J4=0,0,J4/TrNavi_ene!J4)</f>
        <v>0</v>
      </c>
      <c r="K10" s="80">
        <f>IF(K4=0,0,K4/TrNavi_ene!K4)</f>
        <v>0</v>
      </c>
      <c r="L10" s="80">
        <f>IF(L4=0,0,L4/TrNavi_ene!L4)</f>
        <v>0</v>
      </c>
      <c r="M10" s="80">
        <f>IF(M4=0,0,M4/TrNavi_ene!M4)</f>
        <v>0</v>
      </c>
      <c r="N10" s="80">
        <f>IF(N4=0,0,N4/TrNavi_ene!N4)</f>
        <v>0</v>
      </c>
      <c r="O10" s="80">
        <f>IF(O4=0,0,O4/TrNavi_ene!O4)</f>
        <v>0</v>
      </c>
      <c r="P10" s="80">
        <f>IF(P4=0,0,P4/TrNavi_ene!P4)</f>
        <v>0</v>
      </c>
      <c r="Q10" s="80">
        <f>IF(Q4=0,0,Q4/TrNavi_ene!Q4)</f>
        <v>0</v>
      </c>
      <c r="R10" s="80">
        <f>IF(R4=0,0,R4/TrNavi_ene!R4)</f>
        <v>0</v>
      </c>
      <c r="S10" s="80">
        <f>IF(S4=0,0,S4/TrNavi_ene!S4)</f>
        <v>3.1024188000000001</v>
      </c>
      <c r="T10" s="80">
        <f>IF(T4=0,0,T4/TrNavi_ene!T4)</f>
        <v>3.1024188000000001</v>
      </c>
      <c r="U10" s="80">
        <f>IF(U4=0,0,U4/TrNavi_ene!U4)</f>
        <v>3.1024188000000001</v>
      </c>
      <c r="V10" s="80">
        <f>IF(V4=0,0,V4/TrNavi_ene!V4)</f>
        <v>2.8680078536479758</v>
      </c>
      <c r="W10" s="80">
        <f>IF(W4=0,0,W4/TrNavi_ene!W4)</f>
        <v>2.876612617162277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0</v>
      </c>
      <c r="C11" s="81">
        <f>IF(C5=0,0,C5/TrNavi_ene!C10)</f>
        <v>0</v>
      </c>
      <c r="D11" s="81">
        <f>IF(D5=0,0,D5/TrNavi_ene!D10)</f>
        <v>0</v>
      </c>
      <c r="E11" s="81">
        <f>IF(E5=0,0,E5/TrNavi_ene!E10)</f>
        <v>0</v>
      </c>
      <c r="F11" s="81">
        <f>IF(F5=0,0,F5/TrNavi_ene!F10)</f>
        <v>0</v>
      </c>
      <c r="G11" s="81">
        <f>IF(G5=0,0,G5/TrNavi_ene!G10)</f>
        <v>0</v>
      </c>
      <c r="H11" s="81">
        <f>IF(H5=0,0,H5/TrNavi_ene!H10)</f>
        <v>0</v>
      </c>
      <c r="I11" s="81">
        <f>IF(I5=0,0,I5/TrNavi_ene!I10)</f>
        <v>0</v>
      </c>
      <c r="J11" s="81">
        <f>IF(J5=0,0,J5/TrNavi_ene!J10)</f>
        <v>0</v>
      </c>
      <c r="K11" s="81">
        <f>IF(K5=0,0,K5/TrNavi_ene!K10)</f>
        <v>0</v>
      </c>
      <c r="L11" s="81">
        <f>IF(L5=0,0,L5/TrNavi_ene!L10)</f>
        <v>0</v>
      </c>
      <c r="M11" s="81">
        <f>IF(M5=0,0,M5/TrNavi_ene!M10)</f>
        <v>0</v>
      </c>
      <c r="N11" s="81">
        <f>IF(N5=0,0,N5/TrNavi_ene!N10)</f>
        <v>0</v>
      </c>
      <c r="O11" s="81">
        <f>IF(O5=0,0,O5/TrNavi_ene!O10)</f>
        <v>0</v>
      </c>
      <c r="P11" s="81">
        <f>IF(P5=0,0,P5/TrNavi_ene!P10)</f>
        <v>0</v>
      </c>
      <c r="Q11" s="81">
        <f>IF(Q5=0,0,Q5/TrNavi_ene!Q10)</f>
        <v>0</v>
      </c>
      <c r="R11" s="81">
        <f>IF(R5=0,0,R5/TrNavi_ene!R10)</f>
        <v>0</v>
      </c>
      <c r="S11" s="81">
        <f>IF(S5=0,0,S5/TrNavi_ene!S10)</f>
        <v>0</v>
      </c>
      <c r="T11" s="81">
        <f>IF(T5=0,0,T5/TrNavi_ene!T10)</f>
        <v>0</v>
      </c>
      <c r="U11" s="81">
        <f>IF(U5=0,0,U5/TrNavi_ene!U10)</f>
        <v>0</v>
      </c>
      <c r="V11" s="81">
        <f>IF(V5=0,0,V5/TrNavi_ene!V10)</f>
        <v>0</v>
      </c>
      <c r="W11" s="81">
        <f>IF(W5=0,0,W5/TrNavi_ene!W10)</f>
        <v>0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0</v>
      </c>
      <c r="C13" s="54">
        <f>IF(C3=0,0,C3/TrNavi_act!C7*1000)</f>
        <v>0</v>
      </c>
      <c r="D13" s="54">
        <f>IF(D3=0,0,D3/TrNavi_act!D7*1000)</f>
        <v>0</v>
      </c>
      <c r="E13" s="54">
        <f>IF(E3=0,0,E3/TrNavi_act!E7*1000)</f>
        <v>0</v>
      </c>
      <c r="F13" s="54">
        <f>IF(F3=0,0,F3/TrNavi_act!F7*1000)</f>
        <v>0</v>
      </c>
      <c r="G13" s="54">
        <f>IF(G3=0,0,G3/TrNavi_act!G7*1000)</f>
        <v>0</v>
      </c>
      <c r="H13" s="54">
        <f>IF(H3=0,0,H3/TrNavi_act!H7*1000)</f>
        <v>0</v>
      </c>
      <c r="I13" s="54">
        <f>IF(I3=0,0,I3/TrNavi_act!I7*1000)</f>
        <v>0</v>
      </c>
      <c r="J13" s="54">
        <f>IF(J3=0,0,J3/TrNavi_act!J7*1000)</f>
        <v>0</v>
      </c>
      <c r="K13" s="54">
        <f>IF(K3=0,0,K3/TrNavi_act!K7*1000)</f>
        <v>0</v>
      </c>
      <c r="L13" s="54">
        <f>IF(L3=0,0,L3/TrNavi_act!L7*1000)</f>
        <v>0</v>
      </c>
      <c r="M13" s="54">
        <f>IF(M3=0,0,M3/TrNavi_act!M7*1000)</f>
        <v>0</v>
      </c>
      <c r="N13" s="54">
        <f>IF(N3=0,0,N3/TrNavi_act!N7*1000)</f>
        <v>0</v>
      </c>
      <c r="O13" s="54">
        <f>IF(O3=0,0,O3/TrNavi_act!O7*1000)</f>
        <v>0</v>
      </c>
      <c r="P13" s="54">
        <f>IF(P3=0,0,P3/TrNavi_act!P7*1000)</f>
        <v>0</v>
      </c>
      <c r="Q13" s="54">
        <f>IF(Q3=0,0,Q3/TrNavi_act!Q7*1000)</f>
        <v>0</v>
      </c>
      <c r="R13" s="54">
        <f>IF(R3=0,0,R3/TrNavi_act!R7*1000)</f>
        <v>0</v>
      </c>
      <c r="S13" s="54">
        <f>IF(S3=0,0,S3/TrNavi_act!S7*1000)</f>
        <v>170770.86</v>
      </c>
      <c r="T13" s="54">
        <f>IF(T3=0,0,T3/TrNavi_act!T7*1000)</f>
        <v>164467.80000000002</v>
      </c>
      <c r="U13" s="54">
        <f>IF(U3=0,0,U3/TrNavi_act!U7*1000)</f>
        <v>174210.95249999998</v>
      </c>
      <c r="V13" s="54">
        <f>IF(V3=0,0,V3/TrNavi_act!V7*1000)</f>
        <v>142383.14999999997</v>
      </c>
      <c r="W13" s="54">
        <f>IF(W3=0,0,W3/TrNavi_act!W7*1000)</f>
        <v>163757.29499999998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0</v>
      </c>
      <c r="C14" s="56">
        <f>IF(C4=0,0,C4/TrNavi_act!C8*1000)</f>
        <v>0</v>
      </c>
      <c r="D14" s="56">
        <f>IF(D4=0,0,D4/TrNavi_act!D8*1000)</f>
        <v>0</v>
      </c>
      <c r="E14" s="56">
        <f>IF(E4=0,0,E4/TrNavi_act!E8*1000)</f>
        <v>0</v>
      </c>
      <c r="F14" s="56">
        <f>IF(F4=0,0,F4/TrNavi_act!F8*1000)</f>
        <v>0</v>
      </c>
      <c r="G14" s="56">
        <f>IF(G4=0,0,G4/TrNavi_act!G8*1000)</f>
        <v>0</v>
      </c>
      <c r="H14" s="56">
        <f>IF(H4=0,0,H4/TrNavi_act!H8*1000)</f>
        <v>0</v>
      </c>
      <c r="I14" s="56">
        <f>IF(I4=0,0,I4/TrNavi_act!I8*1000)</f>
        <v>0</v>
      </c>
      <c r="J14" s="56">
        <f>IF(J4=0,0,J4/TrNavi_act!J8*1000)</f>
        <v>0</v>
      </c>
      <c r="K14" s="56">
        <f>IF(K4=0,0,K4/TrNavi_act!K8*1000)</f>
        <v>0</v>
      </c>
      <c r="L14" s="56">
        <f>IF(L4=0,0,L4/TrNavi_act!L8*1000)</f>
        <v>0</v>
      </c>
      <c r="M14" s="56">
        <f>IF(M4=0,0,M4/TrNavi_act!M8*1000)</f>
        <v>0</v>
      </c>
      <c r="N14" s="56">
        <f>IF(N4=0,0,N4/TrNavi_act!N8*1000)</f>
        <v>0</v>
      </c>
      <c r="O14" s="56">
        <f>IF(O4=0,0,O4/TrNavi_act!O8*1000)</f>
        <v>0</v>
      </c>
      <c r="P14" s="56">
        <f>IF(P4=0,0,P4/TrNavi_act!P8*1000)</f>
        <v>0</v>
      </c>
      <c r="Q14" s="56">
        <f>IF(Q4=0,0,Q4/TrNavi_act!Q8*1000)</f>
        <v>0</v>
      </c>
      <c r="R14" s="56">
        <f>IF(R4=0,0,R4/TrNavi_act!R8*1000)</f>
        <v>0</v>
      </c>
      <c r="S14" s="56">
        <f>IF(S4=0,0,S4/TrNavi_act!S8*1000)</f>
        <v>170770.86</v>
      </c>
      <c r="T14" s="56">
        <f>IF(T4=0,0,T4/TrNavi_act!T8*1000)</f>
        <v>164467.80000000002</v>
      </c>
      <c r="U14" s="56">
        <f>IF(U4=0,0,U4/TrNavi_act!U8*1000)</f>
        <v>174210.95249999998</v>
      </c>
      <c r="V14" s="56">
        <f>IF(V4=0,0,V4/TrNavi_act!V8*1000)</f>
        <v>142383.14999999997</v>
      </c>
      <c r="W14" s="56">
        <f>IF(W4=0,0,W4/TrNavi_act!W8*1000)</f>
        <v>163757.29499999998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0</v>
      </c>
      <c r="C15" s="58">
        <f>IF(C5=0,0,C5/TrNavi_act!C9*1000)</f>
        <v>0</v>
      </c>
      <c r="D15" s="58">
        <f>IF(D5=0,0,D5/TrNavi_act!D9*1000)</f>
        <v>0</v>
      </c>
      <c r="E15" s="58">
        <f>IF(E5=0,0,E5/TrNavi_act!E9*1000)</f>
        <v>0</v>
      </c>
      <c r="F15" s="58">
        <f>IF(F5=0,0,F5/TrNavi_act!F9*1000)</f>
        <v>0</v>
      </c>
      <c r="G15" s="58">
        <f>IF(G5=0,0,G5/TrNavi_act!G9*1000)</f>
        <v>0</v>
      </c>
      <c r="H15" s="58">
        <f>IF(H5=0,0,H5/TrNavi_act!H9*1000)</f>
        <v>0</v>
      </c>
      <c r="I15" s="58">
        <f>IF(I5=0,0,I5/TrNavi_act!I9*1000)</f>
        <v>0</v>
      </c>
      <c r="J15" s="58">
        <f>IF(J5=0,0,J5/TrNavi_act!J9*1000)</f>
        <v>0</v>
      </c>
      <c r="K15" s="58">
        <f>IF(K5=0,0,K5/TrNavi_act!K9*1000)</f>
        <v>0</v>
      </c>
      <c r="L15" s="58">
        <f>IF(L5=0,0,L5/TrNavi_act!L9*1000)</f>
        <v>0</v>
      </c>
      <c r="M15" s="58">
        <f>IF(M5=0,0,M5/TrNavi_act!M9*1000)</f>
        <v>0</v>
      </c>
      <c r="N15" s="58">
        <f>IF(N5=0,0,N5/TrNavi_act!N9*1000)</f>
        <v>0</v>
      </c>
      <c r="O15" s="58">
        <f>IF(O5=0,0,O5/TrNavi_act!O9*1000)</f>
        <v>0</v>
      </c>
      <c r="P15" s="58">
        <f>IF(P5=0,0,P5/TrNavi_act!P9*1000)</f>
        <v>0</v>
      </c>
      <c r="Q15" s="58">
        <f>IF(Q5=0,0,Q5/TrNavi_act!Q9*1000)</f>
        <v>0</v>
      </c>
      <c r="R15" s="58">
        <f>IF(R5=0,0,R5/TrNavi_act!R9*1000)</f>
        <v>0</v>
      </c>
      <c r="S15" s="58">
        <f>IF(S5=0,0,S5/TrNavi_act!S9*1000)</f>
        <v>0</v>
      </c>
      <c r="T15" s="58">
        <f>IF(T5=0,0,T5/TrNavi_act!T9*1000)</f>
        <v>0</v>
      </c>
      <c r="U15" s="58">
        <f>IF(U5=0,0,U5/TrNavi_act!U9*1000)</f>
        <v>0</v>
      </c>
      <c r="V15" s="58">
        <f>IF(V5=0,0,V5/TrNavi_act!V9*1000)</f>
        <v>0</v>
      </c>
      <c r="W15" s="58">
        <f>IF(W5=0,0,W5/TrNavi_act!W9*1000)</f>
        <v>0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0</v>
      </c>
      <c r="C17" s="62">
        <f>IF(C3=0,0,C3/TrNavi_act!C3*1000)</f>
        <v>0</v>
      </c>
      <c r="D17" s="62">
        <f>IF(D3=0,0,D3/TrNavi_act!D3*1000)</f>
        <v>0</v>
      </c>
      <c r="E17" s="62">
        <f>IF(E3=0,0,E3/TrNavi_act!E3*1000)</f>
        <v>0</v>
      </c>
      <c r="F17" s="62">
        <f>IF(F3=0,0,F3/TrNavi_act!F3*1000)</f>
        <v>0</v>
      </c>
      <c r="G17" s="62">
        <f>IF(G3=0,0,G3/TrNavi_act!G3*1000)</f>
        <v>0</v>
      </c>
      <c r="H17" s="62">
        <f>IF(H3=0,0,H3/TrNavi_act!H3*1000)</f>
        <v>0</v>
      </c>
      <c r="I17" s="62">
        <f>IF(I3=0,0,I3/TrNavi_act!I3*1000)</f>
        <v>0</v>
      </c>
      <c r="J17" s="62">
        <f>IF(J3=0,0,J3/TrNavi_act!J3*1000)</f>
        <v>0</v>
      </c>
      <c r="K17" s="62">
        <f>IF(K3=0,0,K3/TrNavi_act!K3*1000)</f>
        <v>0</v>
      </c>
      <c r="L17" s="62">
        <f>IF(L3=0,0,L3/TrNavi_act!L3*1000)</f>
        <v>0</v>
      </c>
      <c r="M17" s="62">
        <f>IF(M3=0,0,M3/TrNavi_act!M3*1000)</f>
        <v>0</v>
      </c>
      <c r="N17" s="62">
        <f>IF(N3=0,0,N3/TrNavi_act!N3*1000)</f>
        <v>0</v>
      </c>
      <c r="O17" s="62">
        <f>IF(O3=0,0,O3/TrNavi_act!O3*1000)</f>
        <v>0</v>
      </c>
      <c r="P17" s="62">
        <f>IF(P3=0,0,P3/TrNavi_act!P3*1000)</f>
        <v>0</v>
      </c>
      <c r="Q17" s="62">
        <f>IF(Q3=0,0,Q3/TrNavi_act!Q3*1000)</f>
        <v>0</v>
      </c>
      <c r="R17" s="62">
        <f>IF(R3=0,0,R3/TrNavi_act!R3*1000)</f>
        <v>0</v>
      </c>
      <c r="S17" s="62">
        <f>IF(S3=0,0,S3/TrNavi_act!S3*1000)</f>
        <v>222.72039126181937</v>
      </c>
      <c r="T17" s="62">
        <f>IF(T3=0,0,T3/TrNavi_act!T3*1000)</f>
        <v>220.76214765100667</v>
      </c>
      <c r="U17" s="62">
        <f>IF(U3=0,0,U3/TrNavi_act!U3*1000)</f>
        <v>226.68959336369551</v>
      </c>
      <c r="V17" s="62">
        <f>IF(V3=0,0,V3/TrNavi_act!V3*1000)</f>
        <v>193.12736520854526</v>
      </c>
      <c r="W17" s="62">
        <f>IF(W3=0,0,W3/TrNavi_act!W3*1000)</f>
        <v>210.48495501285342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0</v>
      </c>
      <c r="C18" s="63">
        <f>IF(C4=0,0,C4/TrNavi_act!C4*1000)</f>
        <v>0</v>
      </c>
      <c r="D18" s="63">
        <f>IF(D4=0,0,D4/TrNavi_act!D4*1000)</f>
        <v>0</v>
      </c>
      <c r="E18" s="63">
        <f>IF(E4=0,0,E4/TrNavi_act!E4*1000)</f>
        <v>0</v>
      </c>
      <c r="F18" s="63">
        <f>IF(F4=0,0,F4/TrNavi_act!F4*1000)</f>
        <v>0</v>
      </c>
      <c r="G18" s="63">
        <f>IF(G4=0,0,G4/TrNavi_act!G4*1000)</f>
        <v>0</v>
      </c>
      <c r="H18" s="63">
        <f>IF(H4=0,0,H4/TrNavi_act!H4*1000)</f>
        <v>0</v>
      </c>
      <c r="I18" s="63">
        <f>IF(I4=0,0,I4/TrNavi_act!I4*1000)</f>
        <v>0</v>
      </c>
      <c r="J18" s="63">
        <f>IF(J4=0,0,J4/TrNavi_act!J4*1000)</f>
        <v>0</v>
      </c>
      <c r="K18" s="63">
        <f>IF(K4=0,0,K4/TrNavi_act!K4*1000)</f>
        <v>0</v>
      </c>
      <c r="L18" s="63">
        <f>IF(L4=0,0,L4/TrNavi_act!L4*1000)</f>
        <v>0</v>
      </c>
      <c r="M18" s="63">
        <f>IF(M4=0,0,M4/TrNavi_act!M4*1000)</f>
        <v>0</v>
      </c>
      <c r="N18" s="63">
        <f>IF(N4=0,0,N4/TrNavi_act!N4*1000)</f>
        <v>0</v>
      </c>
      <c r="O18" s="63">
        <f>IF(O4=0,0,O4/TrNavi_act!O4*1000)</f>
        <v>0</v>
      </c>
      <c r="P18" s="63">
        <f>IF(P4=0,0,P4/TrNavi_act!P4*1000)</f>
        <v>0</v>
      </c>
      <c r="Q18" s="63">
        <f>IF(Q4=0,0,Q4/TrNavi_act!Q4*1000)</f>
        <v>0</v>
      </c>
      <c r="R18" s="63">
        <f>IF(R4=0,0,R4/TrNavi_act!R4*1000)</f>
        <v>0</v>
      </c>
      <c r="S18" s="63">
        <f>IF(S4=0,0,S4/TrNavi_act!S4*1000)</f>
        <v>222.72039126181937</v>
      </c>
      <c r="T18" s="63">
        <f>IF(T4=0,0,T4/TrNavi_act!T4*1000)</f>
        <v>220.76214765100667</v>
      </c>
      <c r="U18" s="63">
        <f>IF(U4=0,0,U4/TrNavi_act!U4*1000)</f>
        <v>226.68959336369551</v>
      </c>
      <c r="V18" s="63">
        <f>IF(V4=0,0,V4/TrNavi_act!V4*1000)</f>
        <v>193.12736520854526</v>
      </c>
      <c r="W18" s="63">
        <f>IF(W4=0,0,W4/TrNavi_act!W4*1000)</f>
        <v>210.48495501285342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0</v>
      </c>
      <c r="C19" s="64">
        <f>IF(C5=0,0,C5/TrNavi_act!C5*1000)</f>
        <v>0</v>
      </c>
      <c r="D19" s="64">
        <f>IF(D5=0,0,D5/TrNavi_act!D5*1000)</f>
        <v>0</v>
      </c>
      <c r="E19" s="64">
        <f>IF(E5=0,0,E5/TrNavi_act!E5*1000)</f>
        <v>0</v>
      </c>
      <c r="F19" s="64">
        <f>IF(F5=0,0,F5/TrNavi_act!F5*1000)</f>
        <v>0</v>
      </c>
      <c r="G19" s="64">
        <f>IF(G5=0,0,G5/TrNavi_act!G5*1000)</f>
        <v>0</v>
      </c>
      <c r="H19" s="64">
        <f>IF(H5=0,0,H5/TrNavi_act!H5*1000)</f>
        <v>0</v>
      </c>
      <c r="I19" s="64">
        <f>IF(I5=0,0,I5/TrNavi_act!I5*1000)</f>
        <v>0</v>
      </c>
      <c r="J19" s="64">
        <f>IF(J5=0,0,J5/TrNavi_act!J5*1000)</f>
        <v>0</v>
      </c>
      <c r="K19" s="64">
        <f>IF(K5=0,0,K5/TrNavi_act!K5*1000)</f>
        <v>0</v>
      </c>
      <c r="L19" s="64">
        <f>IF(L5=0,0,L5/TrNavi_act!L5*1000)</f>
        <v>0</v>
      </c>
      <c r="M19" s="64">
        <f>IF(M5=0,0,M5/TrNavi_act!M5*1000)</f>
        <v>0</v>
      </c>
      <c r="N19" s="64">
        <f>IF(N5=0,0,N5/TrNavi_act!N5*1000)</f>
        <v>0</v>
      </c>
      <c r="O19" s="64">
        <f>IF(O5=0,0,O5/TrNavi_act!O5*1000)</f>
        <v>0</v>
      </c>
      <c r="P19" s="64">
        <f>IF(P5=0,0,P5/TrNavi_act!P5*1000)</f>
        <v>0</v>
      </c>
      <c r="Q19" s="64">
        <f>IF(Q5=0,0,Q5/TrNavi_act!Q5*1000)</f>
        <v>0</v>
      </c>
      <c r="R19" s="64">
        <f>IF(R5=0,0,R5/TrNavi_act!R5*1000)</f>
        <v>0</v>
      </c>
      <c r="S19" s="64">
        <f>IF(S5=0,0,S5/TrNavi_act!S5*1000)</f>
        <v>0</v>
      </c>
      <c r="T19" s="64">
        <f>IF(T5=0,0,T5/TrNavi_act!T5*1000)</f>
        <v>0</v>
      </c>
      <c r="U19" s="64">
        <f>IF(U5=0,0,U5/TrNavi_act!U5*1000)</f>
        <v>0</v>
      </c>
      <c r="V19" s="64">
        <f>IF(V5=0,0,V5/TrNavi_act!V5*1000)</f>
        <v>0</v>
      </c>
      <c r="W19" s="64">
        <f>IF(W5=0,0,W5/TrNavi_act!W5*1000)</f>
        <v>0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0</v>
      </c>
      <c r="C21" s="76">
        <f t="shared" si="3"/>
        <v>0</v>
      </c>
      <c r="D21" s="76">
        <f t="shared" si="3"/>
        <v>0</v>
      </c>
      <c r="E21" s="76">
        <f t="shared" si="3"/>
        <v>0</v>
      </c>
      <c r="F21" s="76">
        <f t="shared" si="3"/>
        <v>0</v>
      </c>
      <c r="G21" s="76">
        <f t="shared" si="3"/>
        <v>0</v>
      </c>
      <c r="H21" s="76">
        <f t="shared" si="3"/>
        <v>0</v>
      </c>
      <c r="I21" s="76">
        <f t="shared" si="3"/>
        <v>0</v>
      </c>
      <c r="J21" s="76">
        <f t="shared" si="3"/>
        <v>0</v>
      </c>
      <c r="K21" s="76">
        <f t="shared" si="3"/>
        <v>0</v>
      </c>
      <c r="L21" s="76">
        <f t="shared" si="3"/>
        <v>0</v>
      </c>
      <c r="M21" s="76">
        <f t="shared" si="3"/>
        <v>0</v>
      </c>
      <c r="N21" s="76">
        <f t="shared" si="3"/>
        <v>0</v>
      </c>
      <c r="O21" s="76">
        <f t="shared" si="3"/>
        <v>0</v>
      </c>
      <c r="P21" s="76">
        <f t="shared" si="3"/>
        <v>0</v>
      </c>
      <c r="Q21" s="76">
        <f t="shared" si="3"/>
        <v>0</v>
      </c>
      <c r="R21" s="76">
        <f t="shared" si="3"/>
        <v>0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0</v>
      </c>
      <c r="C22" s="77">
        <f t="shared" si="5"/>
        <v>0</v>
      </c>
      <c r="D22" s="77">
        <f t="shared" si="5"/>
        <v>0</v>
      </c>
      <c r="E22" s="77">
        <f t="shared" si="5"/>
        <v>0</v>
      </c>
      <c r="F22" s="77">
        <f t="shared" si="5"/>
        <v>0</v>
      </c>
      <c r="G22" s="77">
        <f t="shared" si="5"/>
        <v>0</v>
      </c>
      <c r="H22" s="77">
        <f t="shared" si="5"/>
        <v>0</v>
      </c>
      <c r="I22" s="77">
        <f t="shared" si="5"/>
        <v>0</v>
      </c>
      <c r="J22" s="77">
        <f t="shared" si="5"/>
        <v>0</v>
      </c>
      <c r="K22" s="77">
        <f t="shared" si="5"/>
        <v>0</v>
      </c>
      <c r="L22" s="77">
        <f t="shared" si="5"/>
        <v>0</v>
      </c>
      <c r="M22" s="77">
        <f t="shared" si="5"/>
        <v>0</v>
      </c>
      <c r="N22" s="77">
        <f t="shared" si="5"/>
        <v>0</v>
      </c>
      <c r="O22" s="77">
        <f t="shared" si="5"/>
        <v>0</v>
      </c>
      <c r="P22" s="77">
        <f t="shared" si="5"/>
        <v>0</v>
      </c>
      <c r="Q22" s="77">
        <f t="shared" si="5"/>
        <v>0</v>
      </c>
      <c r="R22" s="77">
        <f t="shared" si="5"/>
        <v>0</v>
      </c>
      <c r="S22" s="77">
        <f t="shared" si="5"/>
        <v>1</v>
      </c>
      <c r="T22" s="77">
        <f t="shared" si="5"/>
        <v>1</v>
      </c>
      <c r="U22" s="77">
        <f t="shared" si="5"/>
        <v>1</v>
      </c>
      <c r="V22" s="77">
        <f t="shared" ref="V22:W22" si="6">IF(V4=0,0,V4/V$3)</f>
        <v>1</v>
      </c>
      <c r="W22" s="77">
        <f t="shared" si="6"/>
        <v>1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0</v>
      </c>
      <c r="C23" s="78">
        <f t="shared" si="7"/>
        <v>0</v>
      </c>
      <c r="D23" s="78">
        <f t="shared" si="7"/>
        <v>0</v>
      </c>
      <c r="E23" s="78">
        <f t="shared" si="7"/>
        <v>0</v>
      </c>
      <c r="F23" s="78">
        <f t="shared" si="7"/>
        <v>0</v>
      </c>
      <c r="G23" s="78">
        <f t="shared" si="7"/>
        <v>0</v>
      </c>
      <c r="H23" s="78">
        <f t="shared" si="7"/>
        <v>0</v>
      </c>
      <c r="I23" s="78">
        <f t="shared" si="7"/>
        <v>0</v>
      </c>
      <c r="J23" s="78">
        <f t="shared" si="7"/>
        <v>0</v>
      </c>
      <c r="K23" s="78">
        <f t="shared" si="7"/>
        <v>0</v>
      </c>
      <c r="L23" s="78">
        <f t="shared" si="7"/>
        <v>0</v>
      </c>
      <c r="M23" s="78">
        <f t="shared" si="7"/>
        <v>0</v>
      </c>
      <c r="N23" s="78">
        <f t="shared" si="7"/>
        <v>0</v>
      </c>
      <c r="O23" s="78">
        <f t="shared" si="7"/>
        <v>0</v>
      </c>
      <c r="P23" s="78">
        <f t="shared" si="7"/>
        <v>0</v>
      </c>
      <c r="Q23" s="78">
        <f t="shared" si="7"/>
        <v>0</v>
      </c>
      <c r="R23" s="78">
        <f t="shared" si="7"/>
        <v>0</v>
      </c>
      <c r="S23" s="78">
        <f t="shared" si="7"/>
        <v>0</v>
      </c>
      <c r="T23" s="78">
        <f t="shared" si="7"/>
        <v>0</v>
      </c>
      <c r="U23" s="78">
        <f t="shared" si="7"/>
        <v>0</v>
      </c>
      <c r="V23" s="78">
        <f t="shared" ref="V23:W23" si="8">IF(V5=0,0,V5/V$3)</f>
        <v>0</v>
      </c>
      <c r="W23" s="78">
        <f t="shared" si="8"/>
        <v>0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4642.6260259999999</v>
      </c>
      <c r="C3" s="54">
        <f t="shared" si="0"/>
        <v>4482.4564840000003</v>
      </c>
      <c r="D3" s="54">
        <f t="shared" si="0"/>
        <v>3250.4747100000004</v>
      </c>
      <c r="E3" s="54">
        <f t="shared" si="0"/>
        <v>2529.8710769999998</v>
      </c>
      <c r="F3" s="54">
        <f t="shared" si="0"/>
        <v>3287.5057969999998</v>
      </c>
      <c r="G3" s="54">
        <f t="shared" si="0"/>
        <v>4280.4795960000001</v>
      </c>
      <c r="H3" s="54">
        <f t="shared" si="0"/>
        <v>4529.4411209999998</v>
      </c>
      <c r="I3" s="54">
        <f t="shared" si="0"/>
        <v>6994.2827719999987</v>
      </c>
      <c r="J3" s="54">
        <f t="shared" si="0"/>
        <v>6894.2891739999995</v>
      </c>
      <c r="K3" s="54">
        <f t="shared" si="0"/>
        <v>4637.2199079999991</v>
      </c>
      <c r="L3" s="54">
        <f t="shared" si="0"/>
        <v>4784.6846289999994</v>
      </c>
      <c r="M3" s="54">
        <f t="shared" si="0"/>
        <v>8192.423573</v>
      </c>
      <c r="N3" s="54">
        <f t="shared" si="0"/>
        <v>10105.108783</v>
      </c>
      <c r="O3" s="54">
        <f t="shared" si="0"/>
        <v>9480.6817100000007</v>
      </c>
      <c r="P3" s="54">
        <f t="shared" si="0"/>
        <v>10049.629362</v>
      </c>
      <c r="Q3" s="54">
        <f t="shared" si="0"/>
        <v>10392.268427999999</v>
      </c>
      <c r="R3" s="54">
        <f t="shared" ref="R3:W3" si="1">SUM(R4:R5)</f>
        <v>14080.607716</v>
      </c>
      <c r="S3" s="54">
        <f t="shared" si="1"/>
        <v>11538.9848</v>
      </c>
      <c r="T3" s="54">
        <f t="shared" si="1"/>
        <v>11125.668151000002</v>
      </c>
      <c r="U3" s="54">
        <f t="shared" si="1"/>
        <v>11322.110576999999</v>
      </c>
      <c r="V3" s="54">
        <f t="shared" si="1"/>
        <v>11084.122561</v>
      </c>
      <c r="W3" s="54">
        <f t="shared" si="1"/>
        <v>10766.477731000001</v>
      </c>
      <c r="DA3" s="172" t="s">
        <v>387</v>
      </c>
    </row>
    <row r="4" spans="1:105" ht="11.45" customHeight="1" x14ac:dyDescent="0.25">
      <c r="A4" s="55" t="s">
        <v>170</v>
      </c>
      <c r="B4" s="56">
        <v>3338.106131</v>
      </c>
      <c r="C4" s="56">
        <v>3224.0436759999998</v>
      </c>
      <c r="D4" s="56">
        <v>2328.7379110000002</v>
      </c>
      <c r="E4" s="56">
        <v>1914.9399249999999</v>
      </c>
      <c r="F4" s="56">
        <v>2625.6528779999999</v>
      </c>
      <c r="G4" s="56">
        <v>2236.5014610000003</v>
      </c>
      <c r="H4" s="56">
        <v>2536.3532989999999</v>
      </c>
      <c r="I4" s="56">
        <v>2114.1158879999998</v>
      </c>
      <c r="J4" s="56">
        <v>3241.7815500000002</v>
      </c>
      <c r="K4" s="56">
        <v>2457.9579089999997</v>
      </c>
      <c r="L4" s="56">
        <v>2299.7618759999996</v>
      </c>
      <c r="M4" s="56">
        <v>5243.4848320000001</v>
      </c>
      <c r="N4" s="56">
        <v>6530.9141319999999</v>
      </c>
      <c r="O4" s="56">
        <v>6052.1713589999999</v>
      </c>
      <c r="P4" s="56">
        <v>6137.8556769999996</v>
      </c>
      <c r="Q4" s="56">
        <v>6242.5369109999992</v>
      </c>
      <c r="R4" s="56">
        <v>8325.9792770000004</v>
      </c>
      <c r="S4" s="56">
        <v>6229.7108109999999</v>
      </c>
      <c r="T4" s="56">
        <v>5417.6609130000006</v>
      </c>
      <c r="U4" s="56">
        <v>6600.7601629999999</v>
      </c>
      <c r="V4" s="56">
        <v>6622.1301169999997</v>
      </c>
      <c r="W4" s="56">
        <v>6771.7388690000007</v>
      </c>
      <c r="DA4" s="181" t="s">
        <v>388</v>
      </c>
    </row>
    <row r="5" spans="1:105" ht="11.45" customHeight="1" x14ac:dyDescent="0.25">
      <c r="A5" s="57" t="s">
        <v>171</v>
      </c>
      <c r="B5" s="58">
        <v>1304.5198949999999</v>
      </c>
      <c r="C5" s="58">
        <v>1258.412808</v>
      </c>
      <c r="D5" s="58">
        <v>921.73679900000002</v>
      </c>
      <c r="E5" s="58">
        <v>614.931152</v>
      </c>
      <c r="F5" s="58">
        <v>661.85291899999993</v>
      </c>
      <c r="G5" s="58">
        <v>2043.9781349999998</v>
      </c>
      <c r="H5" s="58">
        <v>1993.087822</v>
      </c>
      <c r="I5" s="58">
        <v>4880.1668839999993</v>
      </c>
      <c r="J5" s="58">
        <v>3652.5076239999999</v>
      </c>
      <c r="K5" s="58">
        <v>2179.2619989999998</v>
      </c>
      <c r="L5" s="58">
        <v>2484.9227529999998</v>
      </c>
      <c r="M5" s="58">
        <v>2948.9387409999999</v>
      </c>
      <c r="N5" s="58">
        <v>3574.1946510000002</v>
      </c>
      <c r="O5" s="58">
        <v>3428.5103509999999</v>
      </c>
      <c r="P5" s="58">
        <v>3911.7736850000001</v>
      </c>
      <c r="Q5" s="58">
        <v>4149.7315170000002</v>
      </c>
      <c r="R5" s="58">
        <v>5754.6284390000001</v>
      </c>
      <c r="S5" s="58">
        <v>5309.2739890000003</v>
      </c>
      <c r="T5" s="58">
        <v>5708.0072380000001</v>
      </c>
      <c r="U5" s="58">
        <v>4721.3504140000005</v>
      </c>
      <c r="V5" s="58">
        <v>4461.9924439999995</v>
      </c>
      <c r="W5" s="58">
        <v>3994.7388620000002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0.72475099999999992</v>
      </c>
      <c r="C7" s="59">
        <f t="shared" si="2"/>
        <v>0.68944799999999995</v>
      </c>
      <c r="D7" s="59">
        <f t="shared" si="2"/>
        <v>0.49239499999999997</v>
      </c>
      <c r="E7" s="59">
        <f t="shared" si="2"/>
        <v>0.38080900000000001</v>
      </c>
      <c r="F7" s="59">
        <f t="shared" si="2"/>
        <v>0.51492700000000002</v>
      </c>
      <c r="G7" s="59">
        <f t="shared" si="2"/>
        <v>0.49243000000000003</v>
      </c>
      <c r="H7" s="59">
        <f t="shared" si="2"/>
        <v>0.526729</v>
      </c>
      <c r="I7" s="59">
        <f t="shared" si="2"/>
        <v>0.560006</v>
      </c>
      <c r="J7" s="59">
        <f t="shared" si="2"/>
        <v>0.65272399999999997</v>
      </c>
      <c r="K7" s="59">
        <f t="shared" si="2"/>
        <v>0.48469899999999999</v>
      </c>
      <c r="L7" s="59">
        <f t="shared" si="2"/>
        <v>0.43706</v>
      </c>
      <c r="M7" s="59">
        <f t="shared" si="2"/>
        <v>0.89723900000000012</v>
      </c>
      <c r="N7" s="59">
        <f t="shared" si="2"/>
        <v>1.052656</v>
      </c>
      <c r="O7" s="59">
        <f t="shared" si="2"/>
        <v>0.97244600000000003</v>
      </c>
      <c r="P7" s="59">
        <f t="shared" si="2"/>
        <v>1.0204309999999999</v>
      </c>
      <c r="Q7" s="59">
        <f t="shared" si="2"/>
        <v>0.97460899999999995</v>
      </c>
      <c r="R7" s="59">
        <f t="shared" si="2"/>
        <v>1.3025410000000002</v>
      </c>
      <c r="S7" s="59">
        <f t="shared" si="2"/>
        <v>0.99715700000000007</v>
      </c>
      <c r="T7" s="59">
        <f t="shared" si="2"/>
        <v>0.95426699999999998</v>
      </c>
      <c r="U7" s="59">
        <f t="shared" si="2"/>
        <v>1.0983740000000002</v>
      </c>
      <c r="V7" s="59">
        <f t="shared" si="2"/>
        <v>0.951492</v>
      </c>
      <c r="W7" s="59">
        <f t="shared" si="2"/>
        <v>1.0002260000000001</v>
      </c>
      <c r="DA7" s="172" t="s">
        <v>961</v>
      </c>
    </row>
    <row r="8" spans="1:105" ht="11.45" customHeight="1" x14ac:dyDescent="0.25">
      <c r="A8" s="55" t="s">
        <v>170</v>
      </c>
      <c r="B8" s="60">
        <v>0.54850999999999994</v>
      </c>
      <c r="C8" s="60">
        <v>0.52285099999999995</v>
      </c>
      <c r="D8" s="60">
        <v>0.37178099999999997</v>
      </c>
      <c r="E8" s="60">
        <v>0.30392400000000003</v>
      </c>
      <c r="F8" s="60">
        <v>0.423765</v>
      </c>
      <c r="G8" s="60">
        <v>0.356574</v>
      </c>
      <c r="H8" s="60">
        <v>0.39236599999999999</v>
      </c>
      <c r="I8" s="60">
        <v>0.31922200000000001</v>
      </c>
      <c r="J8" s="60">
        <v>0.463476</v>
      </c>
      <c r="K8" s="60">
        <v>0.33163099999999995</v>
      </c>
      <c r="L8" s="60">
        <v>0.30624700000000005</v>
      </c>
      <c r="M8" s="60">
        <v>0.68903500000000006</v>
      </c>
      <c r="N8" s="60">
        <v>0.84565600000000007</v>
      </c>
      <c r="O8" s="60">
        <v>0.78477300000000005</v>
      </c>
      <c r="P8" s="60">
        <v>0.79968899999999998</v>
      </c>
      <c r="Q8" s="60">
        <v>0.77003299999999997</v>
      </c>
      <c r="R8" s="60">
        <v>1.013592</v>
      </c>
      <c r="S8" s="60">
        <v>0.74328100000000008</v>
      </c>
      <c r="T8" s="60">
        <v>0.67497099999999999</v>
      </c>
      <c r="U8" s="60">
        <v>0.84421200000000007</v>
      </c>
      <c r="V8" s="60">
        <v>0.73524</v>
      </c>
      <c r="W8" s="60">
        <v>0.79590700000000003</v>
      </c>
      <c r="DA8" s="181" t="s">
        <v>962</v>
      </c>
    </row>
    <row r="9" spans="1:105" ht="11.45" customHeight="1" x14ac:dyDescent="0.25">
      <c r="A9" s="57" t="s">
        <v>171</v>
      </c>
      <c r="B9" s="61">
        <v>0.17624100000000001</v>
      </c>
      <c r="C9" s="61">
        <v>0.166597</v>
      </c>
      <c r="D9" s="61">
        <v>0.120614</v>
      </c>
      <c r="E9" s="61">
        <v>7.6884999999999995E-2</v>
      </c>
      <c r="F9" s="61">
        <v>9.1162000000000007E-2</v>
      </c>
      <c r="G9" s="61">
        <v>0.135856</v>
      </c>
      <c r="H9" s="61">
        <v>0.13436300000000001</v>
      </c>
      <c r="I9" s="61">
        <v>0.240784</v>
      </c>
      <c r="J9" s="61">
        <v>0.189248</v>
      </c>
      <c r="K9" s="61">
        <v>0.15306800000000001</v>
      </c>
      <c r="L9" s="61">
        <v>0.13081299999999998</v>
      </c>
      <c r="M9" s="61">
        <v>0.208204</v>
      </c>
      <c r="N9" s="61">
        <v>0.20700000000000002</v>
      </c>
      <c r="O9" s="61">
        <v>0.18767299999999998</v>
      </c>
      <c r="P9" s="61">
        <v>0.22074199999999999</v>
      </c>
      <c r="Q9" s="61">
        <v>0.20457599999999998</v>
      </c>
      <c r="R9" s="61">
        <v>0.28894900000000001</v>
      </c>
      <c r="S9" s="61">
        <v>0.25387599999999999</v>
      </c>
      <c r="T9" s="61">
        <v>0.27929599999999999</v>
      </c>
      <c r="U9" s="61">
        <v>0.254162</v>
      </c>
      <c r="V9" s="61">
        <v>0.216252</v>
      </c>
      <c r="W9" s="61">
        <v>0.204319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6405.8221734085228</v>
      </c>
      <c r="C13" s="62">
        <f t="shared" si="3"/>
        <v>6501.5149568930519</v>
      </c>
      <c r="D13" s="62">
        <f t="shared" si="3"/>
        <v>6601.3560454513154</v>
      </c>
      <c r="E13" s="62">
        <f t="shared" si="3"/>
        <v>6643.4119913132299</v>
      </c>
      <c r="F13" s="62">
        <f t="shared" si="3"/>
        <v>6384.4113767582585</v>
      </c>
      <c r="G13" s="62">
        <f t="shared" si="3"/>
        <v>8692.5646203521301</v>
      </c>
      <c r="H13" s="62">
        <f t="shared" si="3"/>
        <v>8599.1869082583253</v>
      </c>
      <c r="I13" s="62">
        <f t="shared" si="3"/>
        <v>12489.656846533784</v>
      </c>
      <c r="J13" s="62">
        <f t="shared" si="3"/>
        <v>10562.334423125241</v>
      </c>
      <c r="K13" s="62">
        <f t="shared" si="3"/>
        <v>9567.2157524566774</v>
      </c>
      <c r="L13" s="62">
        <f t="shared" si="3"/>
        <v>10947.431997895024</v>
      </c>
      <c r="M13" s="62">
        <f t="shared" si="3"/>
        <v>9130.7038291915524</v>
      </c>
      <c r="N13" s="62">
        <f t="shared" si="3"/>
        <v>9599.6306324193265</v>
      </c>
      <c r="O13" s="62">
        <f t="shared" si="3"/>
        <v>9749.3143166818518</v>
      </c>
      <c r="P13" s="62">
        <f t="shared" si="3"/>
        <v>9848.4163672017039</v>
      </c>
      <c r="Q13" s="62">
        <f t="shared" si="3"/>
        <v>10663.01299085069</v>
      </c>
      <c r="R13" s="62">
        <f t="shared" si="3"/>
        <v>10810.107102962593</v>
      </c>
      <c r="S13" s="62">
        <f t="shared" si="3"/>
        <v>11571.883665260335</v>
      </c>
      <c r="T13" s="62">
        <f t="shared" si="3"/>
        <v>11658.862929347868</v>
      </c>
      <c r="U13" s="62">
        <f t="shared" si="3"/>
        <v>10308.064991523832</v>
      </c>
      <c r="V13" s="62">
        <f t="shared" si="3"/>
        <v>11649.202054247435</v>
      </c>
      <c r="W13" s="62">
        <f t="shared" si="3"/>
        <v>10764.04505681716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6085.7707808426467</v>
      </c>
      <c r="C14" s="63">
        <f t="shared" si="3"/>
        <v>6166.2761972340113</v>
      </c>
      <c r="D14" s="63">
        <f t="shared" si="3"/>
        <v>6263.7356696549859</v>
      </c>
      <c r="E14" s="63">
        <f t="shared" si="3"/>
        <v>6300.7196700490904</v>
      </c>
      <c r="F14" s="63">
        <f t="shared" si="3"/>
        <v>6196.0116526848606</v>
      </c>
      <c r="G14" s="63">
        <f t="shared" si="3"/>
        <v>6272.1944421073895</v>
      </c>
      <c r="H14" s="63">
        <f t="shared" si="3"/>
        <v>6464.2535260445602</v>
      </c>
      <c r="I14" s="63">
        <f t="shared" si="3"/>
        <v>6622.7136224946898</v>
      </c>
      <c r="J14" s="63">
        <f t="shared" si="3"/>
        <v>6994.4971260647808</v>
      </c>
      <c r="K14" s="63">
        <f t="shared" si="3"/>
        <v>7411.7254086620369</v>
      </c>
      <c r="L14" s="63">
        <f t="shared" si="3"/>
        <v>7509.5000963274715</v>
      </c>
      <c r="M14" s="63">
        <f t="shared" si="3"/>
        <v>7609.8962055628517</v>
      </c>
      <c r="N14" s="63">
        <f t="shared" si="3"/>
        <v>7722.8969368159151</v>
      </c>
      <c r="O14" s="63">
        <f t="shared" si="3"/>
        <v>7712.0025268453419</v>
      </c>
      <c r="P14" s="63">
        <f t="shared" si="3"/>
        <v>7675.3033704352565</v>
      </c>
      <c r="Q14" s="63">
        <f t="shared" si="3"/>
        <v>8106.8433573626062</v>
      </c>
      <c r="R14" s="63">
        <f t="shared" si="3"/>
        <v>8214.3301022502146</v>
      </c>
      <c r="S14" s="63">
        <f t="shared" si="3"/>
        <v>8381.3669540860046</v>
      </c>
      <c r="T14" s="63">
        <f t="shared" si="3"/>
        <v>8026.5091581712413</v>
      </c>
      <c r="U14" s="63">
        <f t="shared" si="3"/>
        <v>7818.8419058246027</v>
      </c>
      <c r="V14" s="63">
        <f t="shared" si="3"/>
        <v>9006.759856645449</v>
      </c>
      <c r="W14" s="63">
        <f t="shared" si="3"/>
        <v>8508.2036833449147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7401.909288984969</v>
      </c>
      <c r="C15" s="64">
        <f t="shared" si="3"/>
        <v>7553.634267123658</v>
      </c>
      <c r="D15" s="64">
        <f t="shared" si="3"/>
        <v>7642.0382293929397</v>
      </c>
      <c r="E15" s="64">
        <f t="shared" si="3"/>
        <v>7998.0640176887564</v>
      </c>
      <c r="F15" s="64">
        <f t="shared" si="3"/>
        <v>7260.1842763432114</v>
      </c>
      <c r="G15" s="64">
        <f t="shared" si="3"/>
        <v>15045.181184489458</v>
      </c>
      <c r="H15" s="64">
        <f t="shared" si="3"/>
        <v>14833.60614157171</v>
      </c>
      <c r="I15" s="64">
        <f t="shared" si="3"/>
        <v>20267.820469798655</v>
      </c>
      <c r="J15" s="64">
        <f t="shared" si="3"/>
        <v>19300.11214913764</v>
      </c>
      <c r="K15" s="64">
        <f t="shared" si="3"/>
        <v>14237.214826090363</v>
      </c>
      <c r="L15" s="64">
        <f t="shared" si="3"/>
        <v>18995.992393722336</v>
      </c>
      <c r="M15" s="64">
        <f t="shared" si="3"/>
        <v>14163.698781003246</v>
      </c>
      <c r="N15" s="64">
        <f t="shared" si="3"/>
        <v>17266.640826086958</v>
      </c>
      <c r="O15" s="64">
        <f t="shared" si="3"/>
        <v>18268.53277242864</v>
      </c>
      <c r="P15" s="64">
        <f t="shared" si="3"/>
        <v>17721.021305415372</v>
      </c>
      <c r="Q15" s="64">
        <f t="shared" si="3"/>
        <v>20284.547146292822</v>
      </c>
      <c r="R15" s="64">
        <f t="shared" si="3"/>
        <v>19915.723670959236</v>
      </c>
      <c r="S15" s="64">
        <f t="shared" si="3"/>
        <v>20912.862929146515</v>
      </c>
      <c r="T15" s="64">
        <f t="shared" si="3"/>
        <v>20437.124906908801</v>
      </c>
      <c r="U15" s="64">
        <f t="shared" si="3"/>
        <v>18576.145977762215</v>
      </c>
      <c r="V15" s="64">
        <f t="shared" si="3"/>
        <v>20633.300242309895</v>
      </c>
      <c r="W15" s="64">
        <f t="shared" si="3"/>
        <v>19551.480097298834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1</v>
      </c>
      <c r="C17" s="65">
        <f t="shared" si="4"/>
        <v>1</v>
      </c>
      <c r="D17" s="65">
        <f t="shared" si="4"/>
        <v>1</v>
      </c>
      <c r="E17" s="65">
        <f t="shared" si="4"/>
        <v>1</v>
      </c>
      <c r="F17" s="65">
        <f t="shared" si="4"/>
        <v>1</v>
      </c>
      <c r="G17" s="65">
        <f t="shared" si="4"/>
        <v>1</v>
      </c>
      <c r="H17" s="65">
        <f t="shared" si="4"/>
        <v>1</v>
      </c>
      <c r="I17" s="65">
        <f t="shared" si="4"/>
        <v>1</v>
      </c>
      <c r="J17" s="65">
        <f t="shared" si="4"/>
        <v>1</v>
      </c>
      <c r="K17" s="65">
        <f t="shared" si="4"/>
        <v>1</v>
      </c>
      <c r="L17" s="65">
        <f t="shared" si="4"/>
        <v>1</v>
      </c>
      <c r="M17" s="65">
        <f t="shared" si="4"/>
        <v>1</v>
      </c>
      <c r="N17" s="65">
        <f t="shared" si="4"/>
        <v>1</v>
      </c>
      <c r="O17" s="65">
        <f t="shared" si="4"/>
        <v>1</v>
      </c>
      <c r="P17" s="65">
        <f t="shared" si="4"/>
        <v>1</v>
      </c>
      <c r="Q17" s="65">
        <f t="shared" si="4"/>
        <v>1</v>
      </c>
      <c r="R17" s="65">
        <f t="shared" si="4"/>
        <v>1</v>
      </c>
      <c r="S17" s="65">
        <f t="shared" si="4"/>
        <v>1</v>
      </c>
      <c r="T17" s="65">
        <f t="shared" si="4"/>
        <v>1</v>
      </c>
      <c r="U17" s="65">
        <f t="shared" si="4"/>
        <v>1</v>
      </c>
      <c r="V17" s="65">
        <f t="shared" si="4"/>
        <v>1</v>
      </c>
      <c r="W17" s="65">
        <f t="shared" si="4"/>
        <v>1</v>
      </c>
      <c r="DA17" s="172"/>
    </row>
    <row r="18" spans="1:105" ht="11.45" customHeight="1" x14ac:dyDescent="0.25">
      <c r="A18" s="55" t="s">
        <v>170</v>
      </c>
      <c r="B18" s="66">
        <f t="shared" si="4"/>
        <v>0.71901249687260516</v>
      </c>
      <c r="C18" s="66">
        <f t="shared" si="4"/>
        <v>0.7192582209126025</v>
      </c>
      <c r="D18" s="66">
        <f t="shared" si="4"/>
        <v>0.71643009675962066</v>
      </c>
      <c r="E18" s="66">
        <f t="shared" si="4"/>
        <v>0.75693182249855817</v>
      </c>
      <c r="F18" s="66">
        <f t="shared" si="4"/>
        <v>0.79867627317829493</v>
      </c>
      <c r="G18" s="66">
        <f t="shared" si="4"/>
        <v>0.52248852280243419</v>
      </c>
      <c r="H18" s="66">
        <f t="shared" si="4"/>
        <v>0.5599704756599263</v>
      </c>
      <c r="I18" s="66">
        <f t="shared" si="4"/>
        <v>0.30226342813352874</v>
      </c>
      <c r="J18" s="66">
        <f t="shared" si="4"/>
        <v>0.47021258728536186</v>
      </c>
      <c r="K18" s="66">
        <f t="shared" si="4"/>
        <v>0.53004989147907366</v>
      </c>
      <c r="L18" s="66">
        <f t="shared" si="4"/>
        <v>0.48065067069648237</v>
      </c>
      <c r="M18" s="66">
        <f t="shared" si="4"/>
        <v>0.64004073828422403</v>
      </c>
      <c r="N18" s="66">
        <f t="shared" si="4"/>
        <v>0.6462982509388786</v>
      </c>
      <c r="O18" s="66">
        <f t="shared" si="4"/>
        <v>0.63836879500092403</v>
      </c>
      <c r="P18" s="66">
        <f t="shared" si="4"/>
        <v>0.61075443241804206</v>
      </c>
      <c r="Q18" s="66">
        <f t="shared" si="4"/>
        <v>0.60069049931203333</v>
      </c>
      <c r="R18" s="66">
        <f t="shared" si="4"/>
        <v>0.59130823363107177</v>
      </c>
      <c r="S18" s="66">
        <f t="shared" si="4"/>
        <v>0.53988378691685246</v>
      </c>
      <c r="T18" s="66">
        <f t="shared" si="4"/>
        <v>0.48695151063921033</v>
      </c>
      <c r="U18" s="66">
        <f t="shared" si="4"/>
        <v>0.5829973235210173</v>
      </c>
      <c r="V18" s="66">
        <f t="shared" si="4"/>
        <v>0.59744288107209065</v>
      </c>
      <c r="W18" s="66">
        <f t="shared" si="4"/>
        <v>0.62896511172842362</v>
      </c>
      <c r="DA18" s="181"/>
    </row>
    <row r="19" spans="1:105" ht="11.45" customHeight="1" x14ac:dyDescent="0.25">
      <c r="A19" s="57" t="s">
        <v>171</v>
      </c>
      <c r="B19" s="67">
        <f t="shared" si="4"/>
        <v>0.2809875031273949</v>
      </c>
      <c r="C19" s="67">
        <f t="shared" si="4"/>
        <v>0.28074177908739739</v>
      </c>
      <c r="D19" s="67">
        <f t="shared" si="4"/>
        <v>0.28356990324037928</v>
      </c>
      <c r="E19" s="67">
        <f t="shared" si="4"/>
        <v>0.24306817750144191</v>
      </c>
      <c r="F19" s="67">
        <f t="shared" si="4"/>
        <v>0.20132372682170513</v>
      </c>
      <c r="G19" s="67">
        <f t="shared" si="4"/>
        <v>0.47751147719756581</v>
      </c>
      <c r="H19" s="67">
        <f t="shared" si="4"/>
        <v>0.44002952434007364</v>
      </c>
      <c r="I19" s="67">
        <f t="shared" si="4"/>
        <v>0.69773657186647131</v>
      </c>
      <c r="J19" s="67">
        <f t="shared" si="4"/>
        <v>0.52978741271463825</v>
      </c>
      <c r="K19" s="67">
        <f t="shared" si="4"/>
        <v>0.46995010852092639</v>
      </c>
      <c r="L19" s="67">
        <f t="shared" si="4"/>
        <v>0.51934932930351763</v>
      </c>
      <c r="M19" s="67">
        <f t="shared" si="4"/>
        <v>0.35995926171577602</v>
      </c>
      <c r="N19" s="67">
        <f t="shared" si="4"/>
        <v>0.35370174906112145</v>
      </c>
      <c r="O19" s="67">
        <f t="shared" si="4"/>
        <v>0.36163120499907592</v>
      </c>
      <c r="P19" s="67">
        <f t="shared" si="4"/>
        <v>0.389245567581958</v>
      </c>
      <c r="Q19" s="67">
        <f t="shared" si="4"/>
        <v>0.39930950068796667</v>
      </c>
      <c r="R19" s="67">
        <f t="shared" si="4"/>
        <v>0.40869176636892823</v>
      </c>
      <c r="S19" s="67">
        <f t="shared" si="4"/>
        <v>0.46011621308314749</v>
      </c>
      <c r="T19" s="67">
        <f t="shared" si="4"/>
        <v>0.51304848936078962</v>
      </c>
      <c r="U19" s="67">
        <f t="shared" si="4"/>
        <v>0.41700267647898281</v>
      </c>
      <c r="V19" s="67">
        <f t="shared" si="4"/>
        <v>0.4025571189279093</v>
      </c>
      <c r="W19" s="67">
        <f t="shared" si="4"/>
        <v>0.37103488827157632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1</v>
      </c>
      <c r="C21" s="65">
        <f t="shared" si="5"/>
        <v>1</v>
      </c>
      <c r="D21" s="65">
        <f t="shared" si="5"/>
        <v>1</v>
      </c>
      <c r="E21" s="65">
        <f t="shared" si="5"/>
        <v>1</v>
      </c>
      <c r="F21" s="65">
        <f t="shared" si="5"/>
        <v>1</v>
      </c>
      <c r="G21" s="65">
        <f t="shared" si="5"/>
        <v>1</v>
      </c>
      <c r="H21" s="65">
        <f t="shared" si="5"/>
        <v>1</v>
      </c>
      <c r="I21" s="65">
        <f t="shared" si="5"/>
        <v>1</v>
      </c>
      <c r="J21" s="65">
        <f t="shared" si="5"/>
        <v>1</v>
      </c>
      <c r="K21" s="65">
        <f t="shared" si="5"/>
        <v>1</v>
      </c>
      <c r="L21" s="65">
        <f t="shared" si="5"/>
        <v>1</v>
      </c>
      <c r="M21" s="65">
        <f t="shared" si="5"/>
        <v>1</v>
      </c>
      <c r="N21" s="65">
        <f t="shared" si="5"/>
        <v>1</v>
      </c>
      <c r="O21" s="65">
        <f t="shared" si="5"/>
        <v>1</v>
      </c>
      <c r="P21" s="65">
        <f t="shared" si="5"/>
        <v>1</v>
      </c>
      <c r="Q21" s="65">
        <f t="shared" si="5"/>
        <v>1</v>
      </c>
      <c r="R21" s="65">
        <f t="shared" si="5"/>
        <v>1</v>
      </c>
      <c r="S21" s="65">
        <f t="shared" si="5"/>
        <v>1</v>
      </c>
      <c r="T21" s="65">
        <f t="shared" si="5"/>
        <v>1</v>
      </c>
      <c r="U21" s="65">
        <f t="shared" si="5"/>
        <v>1</v>
      </c>
      <c r="V21" s="65">
        <f t="shared" si="5"/>
        <v>1</v>
      </c>
      <c r="W21" s="65">
        <f t="shared" si="5"/>
        <v>1</v>
      </c>
      <c r="DA21" s="172"/>
    </row>
    <row r="22" spans="1:105" ht="11.45" customHeight="1" x14ac:dyDescent="0.25">
      <c r="A22" s="55" t="s">
        <v>170</v>
      </c>
      <c r="B22" s="66">
        <f t="shared" si="5"/>
        <v>0.75682544763649862</v>
      </c>
      <c r="C22" s="66">
        <f t="shared" si="5"/>
        <v>0.75836176187326676</v>
      </c>
      <c r="D22" s="66">
        <f t="shared" si="5"/>
        <v>0.75504625351597798</v>
      </c>
      <c r="E22" s="66">
        <f t="shared" si="5"/>
        <v>0.79810088522067502</v>
      </c>
      <c r="F22" s="66">
        <f t="shared" si="5"/>
        <v>0.82296131296280828</v>
      </c>
      <c r="G22" s="66">
        <f t="shared" si="5"/>
        <v>0.72411104116321101</v>
      </c>
      <c r="H22" s="66">
        <f t="shared" si="5"/>
        <v>0.74491057071093481</v>
      </c>
      <c r="I22" s="66">
        <f t="shared" si="5"/>
        <v>0.57003317821594768</v>
      </c>
      <c r="J22" s="66">
        <f t="shared" si="5"/>
        <v>0.71006428444488023</v>
      </c>
      <c r="K22" s="66">
        <f t="shared" si="5"/>
        <v>0.684199884877006</v>
      </c>
      <c r="L22" s="66">
        <f t="shared" si="5"/>
        <v>0.70069784468951646</v>
      </c>
      <c r="M22" s="66">
        <f t="shared" si="5"/>
        <v>0.7679503454486486</v>
      </c>
      <c r="N22" s="66">
        <f t="shared" si="5"/>
        <v>0.80335456217415757</v>
      </c>
      <c r="O22" s="66">
        <f t="shared" si="5"/>
        <v>0.807009335222727</v>
      </c>
      <c r="P22" s="66">
        <f t="shared" si="5"/>
        <v>0.78367768129349269</v>
      </c>
      <c r="Q22" s="66">
        <f t="shared" si="5"/>
        <v>0.79009428396413328</v>
      </c>
      <c r="R22" s="66">
        <f t="shared" si="5"/>
        <v>0.77816514029116923</v>
      </c>
      <c r="S22" s="66">
        <f t="shared" si="5"/>
        <v>0.74540017269096048</v>
      </c>
      <c r="T22" s="66">
        <f t="shared" si="5"/>
        <v>0.70731881119225537</v>
      </c>
      <c r="U22" s="66">
        <f t="shared" si="5"/>
        <v>0.76860158743743012</v>
      </c>
      <c r="V22" s="66">
        <f t="shared" si="5"/>
        <v>0.77272325989078205</v>
      </c>
      <c r="W22" s="66">
        <f t="shared" si="5"/>
        <v>0.79572716566056068</v>
      </c>
      <c r="DA22" s="181"/>
    </row>
    <row r="23" spans="1:105" ht="11.45" customHeight="1" x14ac:dyDescent="0.25">
      <c r="A23" s="57" t="s">
        <v>171</v>
      </c>
      <c r="B23" s="67">
        <f t="shared" si="5"/>
        <v>0.24317455236350144</v>
      </c>
      <c r="C23" s="67">
        <f t="shared" si="5"/>
        <v>0.24163823812673327</v>
      </c>
      <c r="D23" s="67">
        <f t="shared" si="5"/>
        <v>0.24495374648402199</v>
      </c>
      <c r="E23" s="67">
        <f t="shared" si="5"/>
        <v>0.20189911477932504</v>
      </c>
      <c r="F23" s="67">
        <f t="shared" si="5"/>
        <v>0.17703868703719169</v>
      </c>
      <c r="G23" s="67">
        <f t="shared" si="5"/>
        <v>0.27588895883678899</v>
      </c>
      <c r="H23" s="67">
        <f t="shared" si="5"/>
        <v>0.25508942928906519</v>
      </c>
      <c r="I23" s="67">
        <f t="shared" si="5"/>
        <v>0.42996682178405232</v>
      </c>
      <c r="J23" s="67">
        <f t="shared" si="5"/>
        <v>0.28993571555511977</v>
      </c>
      <c r="K23" s="67">
        <f t="shared" si="5"/>
        <v>0.31580011512299389</v>
      </c>
      <c r="L23" s="67">
        <f t="shared" si="5"/>
        <v>0.29930215531048365</v>
      </c>
      <c r="M23" s="67">
        <f t="shared" si="5"/>
        <v>0.2320496545513514</v>
      </c>
      <c r="N23" s="67">
        <f t="shared" si="5"/>
        <v>0.19664543782584246</v>
      </c>
      <c r="O23" s="67">
        <f t="shared" si="5"/>
        <v>0.19299066477727295</v>
      </c>
      <c r="P23" s="67">
        <f t="shared" si="5"/>
        <v>0.21632231870650737</v>
      </c>
      <c r="Q23" s="67">
        <f t="shared" si="5"/>
        <v>0.20990571603586669</v>
      </c>
      <c r="R23" s="67">
        <f t="shared" si="5"/>
        <v>0.22183485970883063</v>
      </c>
      <c r="S23" s="67">
        <f t="shared" si="5"/>
        <v>0.25459982730903957</v>
      </c>
      <c r="T23" s="67">
        <f t="shared" si="5"/>
        <v>0.29268118880774457</v>
      </c>
      <c r="U23" s="67">
        <f t="shared" si="5"/>
        <v>0.23139841256256971</v>
      </c>
      <c r="V23" s="67">
        <f t="shared" si="5"/>
        <v>0.22727674010921795</v>
      </c>
      <c r="W23" s="67">
        <f t="shared" si="5"/>
        <v>0.20427283433943927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190.30490111779869</v>
      </c>
      <c r="C3" s="62">
        <f t="shared" ref="C3:W3" si="0">SUM(C4,C10)</f>
        <v>189.15726569217543</v>
      </c>
      <c r="D3" s="62">
        <f t="shared" si="0"/>
        <v>136.17841788478069</v>
      </c>
      <c r="E3" s="62">
        <f t="shared" si="0"/>
        <v>122.85219260533103</v>
      </c>
      <c r="F3" s="62">
        <f t="shared" si="0"/>
        <v>54.745485812553738</v>
      </c>
      <c r="G3" s="62">
        <f t="shared" si="0"/>
        <v>286.88804815133273</v>
      </c>
      <c r="H3" s="62">
        <f t="shared" si="0"/>
        <v>293.16878761822869</v>
      </c>
      <c r="I3" s="62">
        <f t="shared" si="0"/>
        <v>272.89071367153906</v>
      </c>
      <c r="J3" s="62">
        <f t="shared" si="0"/>
        <v>251.53310404127257</v>
      </c>
      <c r="K3" s="62">
        <f t="shared" si="0"/>
        <v>217.0680997420464</v>
      </c>
      <c r="L3" s="62">
        <f t="shared" si="0"/>
        <v>184.45047291487532</v>
      </c>
      <c r="M3" s="62">
        <f t="shared" si="0"/>
        <v>196.64135855546004</v>
      </c>
      <c r="N3" s="62">
        <f t="shared" si="0"/>
        <v>195.30060189165948</v>
      </c>
      <c r="O3" s="62">
        <f t="shared" si="0"/>
        <v>236.93490971625107</v>
      </c>
      <c r="P3" s="62">
        <f t="shared" si="0"/>
        <v>230.4600171969046</v>
      </c>
      <c r="Q3" s="62">
        <f t="shared" si="0"/>
        <v>241.89724849527079</v>
      </c>
      <c r="R3" s="62">
        <f t="shared" si="0"/>
        <v>284.72622527944969</v>
      </c>
      <c r="S3" s="62">
        <f t="shared" si="0"/>
        <v>253.2782459157352</v>
      </c>
      <c r="T3" s="62">
        <f t="shared" si="0"/>
        <v>269.36887360275148</v>
      </c>
      <c r="U3" s="62">
        <f t="shared" si="0"/>
        <v>277.39097162510751</v>
      </c>
      <c r="V3" s="62">
        <f t="shared" si="0"/>
        <v>275.59157351676697</v>
      </c>
      <c r="W3" s="62">
        <f t="shared" si="0"/>
        <v>252.59294926913151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101.17443463118097</v>
      </c>
      <c r="C4" s="71">
        <f t="shared" ref="C4:W4" si="1">SUM(C5:C9)</f>
        <v>100.78172040143693</v>
      </c>
      <c r="D4" s="71">
        <f t="shared" si="1"/>
        <v>72.236427711370069</v>
      </c>
      <c r="E4" s="71">
        <f t="shared" si="1"/>
        <v>68.924006328694531</v>
      </c>
      <c r="F4" s="71">
        <f t="shared" si="1"/>
        <v>31.543317246708185</v>
      </c>
      <c r="G4" s="71">
        <f t="shared" si="1"/>
        <v>154.2811918932708</v>
      </c>
      <c r="H4" s="71">
        <f t="shared" si="1"/>
        <v>160.37404062368583</v>
      </c>
      <c r="I4" s="71">
        <f t="shared" si="1"/>
        <v>124.68100156422287</v>
      </c>
      <c r="J4" s="71">
        <f t="shared" si="1"/>
        <v>134.50869427385544</v>
      </c>
      <c r="K4" s="71">
        <f t="shared" si="1"/>
        <v>107.88318192142842</v>
      </c>
      <c r="L4" s="71">
        <f t="shared" si="1"/>
        <v>95.932731983089766</v>
      </c>
      <c r="M4" s="71">
        <f t="shared" si="1"/>
        <v>108.04868632371196</v>
      </c>
      <c r="N4" s="71">
        <f t="shared" si="1"/>
        <v>112.49144421695175</v>
      </c>
      <c r="O4" s="71">
        <f t="shared" si="1"/>
        <v>137.25885135066432</v>
      </c>
      <c r="P4" s="71">
        <f t="shared" si="1"/>
        <v>129.84051278650855</v>
      </c>
      <c r="Q4" s="71">
        <f t="shared" si="1"/>
        <v>137.80255239897994</v>
      </c>
      <c r="R4" s="71">
        <f t="shared" si="1"/>
        <v>159.84708633326625</v>
      </c>
      <c r="S4" s="71">
        <f t="shared" si="1"/>
        <v>137.28122792507838</v>
      </c>
      <c r="T4" s="71">
        <f t="shared" si="1"/>
        <v>138.89302920429276</v>
      </c>
      <c r="U4" s="71">
        <f t="shared" si="1"/>
        <v>152.95767149124191</v>
      </c>
      <c r="V4" s="71">
        <f t="shared" si="1"/>
        <v>144.83588359970577</v>
      </c>
      <c r="W4" s="71">
        <f t="shared" si="1"/>
        <v>132.23177357615972</v>
      </c>
      <c r="DA4" s="186" t="s">
        <v>969</v>
      </c>
    </row>
    <row r="5" spans="1:105" ht="11.45" customHeight="1" x14ac:dyDescent="0.25">
      <c r="A5" s="72" t="s">
        <v>145</v>
      </c>
      <c r="B5" s="73">
        <v>43.699603711442563</v>
      </c>
      <c r="C5" s="73">
        <v>41.107830051963205</v>
      </c>
      <c r="D5" s="73">
        <v>28.821400246619337</v>
      </c>
      <c r="E5" s="73">
        <v>32.022877917098164</v>
      </c>
      <c r="F5" s="73">
        <v>24.211961945560734</v>
      </c>
      <c r="G5" s="73">
        <v>58.847877343000711</v>
      </c>
      <c r="H5" s="73">
        <v>93.519120334067154</v>
      </c>
      <c r="I5" s="73">
        <v>87.587644920741468</v>
      </c>
      <c r="J5" s="73">
        <v>77.879546194696729</v>
      </c>
      <c r="K5" s="73">
        <v>62.282206613114468</v>
      </c>
      <c r="L5" s="73">
        <v>45.951470750209104</v>
      </c>
      <c r="M5" s="73">
        <v>51.334757393526708</v>
      </c>
      <c r="N5" s="73">
        <v>61.860502574127182</v>
      </c>
      <c r="O5" s="73">
        <v>74.286202122236688</v>
      </c>
      <c r="P5" s="73">
        <v>70.824809043324336</v>
      </c>
      <c r="Q5" s="73">
        <v>68.194622191163802</v>
      </c>
      <c r="R5" s="73">
        <v>84.248891299919578</v>
      </c>
      <c r="S5" s="73">
        <v>88.759309410231339</v>
      </c>
      <c r="T5" s="73">
        <v>101.5668020791621</v>
      </c>
      <c r="U5" s="73">
        <v>108.98816835906523</v>
      </c>
      <c r="V5" s="73">
        <v>103.20423520283782</v>
      </c>
      <c r="W5" s="73">
        <v>98.192002647938835</v>
      </c>
      <c r="DA5" s="187" t="s">
        <v>970</v>
      </c>
    </row>
    <row r="6" spans="1:105" ht="11.45" customHeight="1" x14ac:dyDescent="0.25">
      <c r="A6" s="72" t="s">
        <v>146</v>
      </c>
      <c r="B6" s="73">
        <v>57.474830919738409</v>
      </c>
      <c r="C6" s="73">
        <v>59.67389034947373</v>
      </c>
      <c r="D6" s="73">
        <v>43.415027464750736</v>
      </c>
      <c r="E6" s="73">
        <v>36.901128411596368</v>
      </c>
      <c r="F6" s="73">
        <v>7.3313553011474513</v>
      </c>
      <c r="G6" s="73">
        <v>95.433314550270083</v>
      </c>
      <c r="H6" s="73">
        <v>66.854920289618676</v>
      </c>
      <c r="I6" s="73">
        <v>37.0933566434814</v>
      </c>
      <c r="J6" s="73">
        <v>56.629148079158703</v>
      </c>
      <c r="K6" s="73">
        <v>45.600975308313949</v>
      </c>
      <c r="L6" s="73">
        <v>49.981261232880662</v>
      </c>
      <c r="M6" s="73">
        <v>56.713928930185261</v>
      </c>
      <c r="N6" s="73">
        <v>50.630941642824574</v>
      </c>
      <c r="O6" s="73">
        <v>62.972649228427628</v>
      </c>
      <c r="P6" s="73">
        <v>59.015703743184204</v>
      </c>
      <c r="Q6" s="73">
        <v>69.607930207816139</v>
      </c>
      <c r="R6" s="73">
        <v>75.598195033346656</v>
      </c>
      <c r="S6" s="73">
        <v>48.52191851484703</v>
      </c>
      <c r="T6" s="73">
        <v>37.326227125130657</v>
      </c>
      <c r="U6" s="73">
        <v>43.969503132176676</v>
      </c>
      <c r="V6" s="73">
        <v>41.631648396867959</v>
      </c>
      <c r="W6" s="73">
        <v>34.039770928220896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89.130466486617735</v>
      </c>
      <c r="C10" s="71">
        <f t="shared" ref="C10:W10" si="2">SUM(C11:C15)</f>
        <v>88.375545290738501</v>
      </c>
      <c r="D10" s="71">
        <f t="shared" si="2"/>
        <v>63.94199017341063</v>
      </c>
      <c r="E10" s="71">
        <f t="shared" si="2"/>
        <v>53.928186276636502</v>
      </c>
      <c r="F10" s="71">
        <f t="shared" si="2"/>
        <v>23.202168565845554</v>
      </c>
      <c r="G10" s="71">
        <f t="shared" si="2"/>
        <v>132.60685625806192</v>
      </c>
      <c r="H10" s="71">
        <f t="shared" si="2"/>
        <v>132.79474699454286</v>
      </c>
      <c r="I10" s="71">
        <f t="shared" si="2"/>
        <v>148.20971210731622</v>
      </c>
      <c r="J10" s="71">
        <f t="shared" si="2"/>
        <v>117.02440976741711</v>
      </c>
      <c r="K10" s="71">
        <f t="shared" si="2"/>
        <v>109.18491782061797</v>
      </c>
      <c r="L10" s="71">
        <f t="shared" si="2"/>
        <v>88.517740931785568</v>
      </c>
      <c r="M10" s="71">
        <f t="shared" si="2"/>
        <v>88.592672231748068</v>
      </c>
      <c r="N10" s="71">
        <f t="shared" si="2"/>
        <v>82.80915767470772</v>
      </c>
      <c r="O10" s="71">
        <f t="shared" si="2"/>
        <v>99.676058365586755</v>
      </c>
      <c r="P10" s="71">
        <f t="shared" si="2"/>
        <v>100.61950441039605</v>
      </c>
      <c r="Q10" s="71">
        <f t="shared" si="2"/>
        <v>104.09469609629085</v>
      </c>
      <c r="R10" s="71">
        <f t="shared" si="2"/>
        <v>124.87913894618345</v>
      </c>
      <c r="S10" s="71">
        <f t="shared" si="2"/>
        <v>115.99701799065681</v>
      </c>
      <c r="T10" s="71">
        <f t="shared" si="2"/>
        <v>130.47584439845872</v>
      </c>
      <c r="U10" s="71">
        <f t="shared" si="2"/>
        <v>124.4333001338656</v>
      </c>
      <c r="V10" s="71">
        <f t="shared" si="2"/>
        <v>130.7556899170612</v>
      </c>
      <c r="W10" s="71">
        <f t="shared" si="2"/>
        <v>120.3611756929718</v>
      </c>
      <c r="DA10" s="186" t="s">
        <v>975</v>
      </c>
    </row>
    <row r="11" spans="1:105" ht="11.45" customHeight="1" x14ac:dyDescent="0.25">
      <c r="A11" s="72" t="s">
        <v>145</v>
      </c>
      <c r="B11" s="73">
        <v>7.6522449557973315</v>
      </c>
      <c r="C11" s="73">
        <v>7.1629352102895849</v>
      </c>
      <c r="D11" s="73">
        <v>5.0708611463299338</v>
      </c>
      <c r="E11" s="73">
        <v>4.9504668808382037</v>
      </c>
      <c r="F11" s="73">
        <v>3.5180466528915453</v>
      </c>
      <c r="G11" s="73">
        <v>9.9636445830525915</v>
      </c>
      <c r="H11" s="73">
        <v>15.346829794909654</v>
      </c>
      <c r="I11" s="73">
        <v>19.224220943403022</v>
      </c>
      <c r="J11" s="73">
        <v>12.461898345286075</v>
      </c>
      <c r="K11" s="73">
        <v>12.59388968955105</v>
      </c>
      <c r="L11" s="73">
        <v>8.4612549591632078</v>
      </c>
      <c r="M11" s="73">
        <v>8.1558702934896186</v>
      </c>
      <c r="N11" s="73">
        <v>8.7694200398023128</v>
      </c>
      <c r="O11" s="73">
        <v>10.381037774581863</v>
      </c>
      <c r="P11" s="73">
        <v>10.965560690123633</v>
      </c>
      <c r="Q11" s="73">
        <v>8.7310871811491779</v>
      </c>
      <c r="R11" s="73">
        <v>13.142682216847387</v>
      </c>
      <c r="S11" s="73">
        <v>14.971988956062765</v>
      </c>
      <c r="T11" s="73">
        <v>19.035519502953086</v>
      </c>
      <c r="U11" s="73">
        <v>17.65645760826067</v>
      </c>
      <c r="V11" s="73">
        <v>18.600064023301488</v>
      </c>
      <c r="W11" s="73">
        <v>17.816509819816972</v>
      </c>
      <c r="DA11" s="187" t="s">
        <v>976</v>
      </c>
    </row>
    <row r="12" spans="1:105" ht="11.45" customHeight="1" x14ac:dyDescent="0.25">
      <c r="A12" s="72" t="s">
        <v>146</v>
      </c>
      <c r="B12" s="73">
        <v>81.478221530820406</v>
      </c>
      <c r="C12" s="73">
        <v>81.212610080448911</v>
      </c>
      <c r="D12" s="73">
        <v>58.871129027080698</v>
      </c>
      <c r="E12" s="73">
        <v>48.977719395798296</v>
      </c>
      <c r="F12" s="73">
        <v>19.684121912954009</v>
      </c>
      <c r="G12" s="73">
        <v>122.64321167500934</v>
      </c>
      <c r="H12" s="73">
        <v>117.44791719963321</v>
      </c>
      <c r="I12" s="73">
        <v>128.9854911639132</v>
      </c>
      <c r="J12" s="73">
        <v>104.56251142213104</v>
      </c>
      <c r="K12" s="73">
        <v>96.591028131066921</v>
      </c>
      <c r="L12" s="73">
        <v>80.056485972622355</v>
      </c>
      <c r="M12" s="73">
        <v>80.436801938258455</v>
      </c>
      <c r="N12" s="73">
        <v>74.039737634905407</v>
      </c>
      <c r="O12" s="73">
        <v>89.295020591004885</v>
      </c>
      <c r="P12" s="73">
        <v>89.653943720272409</v>
      </c>
      <c r="Q12" s="73">
        <v>95.363608915141668</v>
      </c>
      <c r="R12" s="73">
        <v>111.73645672933606</v>
      </c>
      <c r="S12" s="73">
        <v>101.02502903459406</v>
      </c>
      <c r="T12" s="73">
        <v>111.44032489550563</v>
      </c>
      <c r="U12" s="73">
        <v>106.77684252560493</v>
      </c>
      <c r="V12" s="73">
        <v>112.15562589375971</v>
      </c>
      <c r="W12" s="73">
        <v>102.54466587315483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26257.97013288684</v>
      </c>
      <c r="C19" s="62">
        <f>IF(C3=0,0,C3/MBunk_act!C7*100)</f>
        <v>27436.045313377577</v>
      </c>
      <c r="D19" s="62">
        <f>IF(D3=0,0,D3/MBunk_act!D7*100)</f>
        <v>27656.336454427987</v>
      </c>
      <c r="E19" s="62">
        <f>IF(E3=0,0,E3/MBunk_act!E7*100)</f>
        <v>32260.842733583246</v>
      </c>
      <c r="F19" s="62">
        <f>IF(F3=0,0,F3/MBunk_act!F7*100)</f>
        <v>10631.698437361751</v>
      </c>
      <c r="G19" s="62">
        <f>IF(G3=0,0,G3/MBunk_act!G7*100)</f>
        <v>58259.660896235553</v>
      </c>
      <c r="H19" s="62">
        <f>IF(H3=0,0,H3/MBunk_act!H7*100)</f>
        <v>55658.372259402597</v>
      </c>
      <c r="I19" s="62">
        <f>IF(I3=0,0,I3/MBunk_act!I7*100)</f>
        <v>48729.96247746257</v>
      </c>
      <c r="J19" s="62">
        <f>IF(J3=0,0,J3/MBunk_act!J7*100)</f>
        <v>38535.905534540259</v>
      </c>
      <c r="K19" s="62">
        <f>IF(K3=0,0,K3/MBunk_act!K7*100)</f>
        <v>44784.103070575016</v>
      </c>
      <c r="L19" s="62">
        <f>IF(L3=0,0,L3/MBunk_act!L7*100)</f>
        <v>42202.551804071598</v>
      </c>
      <c r="M19" s="62">
        <f>IF(M3=0,0,M3/MBunk_act!M7*100)</f>
        <v>21916.274098145535</v>
      </c>
      <c r="N19" s="62">
        <f>IF(N3=0,0,N3/MBunk_act!N7*100)</f>
        <v>18553.126747167116</v>
      </c>
      <c r="O19" s="62">
        <f>IF(O3=0,0,O3/MBunk_act!O7*100)</f>
        <v>24364.839766552701</v>
      </c>
      <c r="P19" s="62">
        <f>IF(P3=0,0,P3/MBunk_act!P7*100)</f>
        <v>22584.576242480347</v>
      </c>
      <c r="Q19" s="62">
        <f>IF(Q3=0,0,Q3/MBunk_act!Q7*100)</f>
        <v>24819.927632032006</v>
      </c>
      <c r="R19" s="62">
        <f>IF(R3=0,0,R3/MBunk_act!R7*100)</f>
        <v>21859.290823048923</v>
      </c>
      <c r="S19" s="62">
        <f>IF(S3=0,0,S3/MBunk_act!S7*100)</f>
        <v>25400.036896470185</v>
      </c>
      <c r="T19" s="62">
        <f>IF(T3=0,0,T3/MBunk_act!T7*100)</f>
        <v>28227.830743675666</v>
      </c>
      <c r="U19" s="62">
        <f>IF(U3=0,0,U3/MBunk_act!U7*100)</f>
        <v>25254.692083489543</v>
      </c>
      <c r="V19" s="62">
        <f>IF(V3=0,0,V3/MBunk_act!V7*100)</f>
        <v>28964.150357203947</v>
      </c>
      <c r="W19" s="62">
        <f>IF(W3=0,0,W3/MBunk_act!W7*100)</f>
        <v>25253.587616111909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18445.321804740295</v>
      </c>
      <c r="C20" s="63">
        <f>IF(C4=0,0,C4/MBunk_act!C8*100)</f>
        <v>19275.418886343705</v>
      </c>
      <c r="D20" s="63">
        <f>IF(D4=0,0,D4/MBunk_act!D8*100)</f>
        <v>19429.833076830197</v>
      </c>
      <c r="E20" s="63">
        <f>IF(E4=0,0,E4/MBunk_act!E8*100)</f>
        <v>22678.040012863257</v>
      </c>
      <c r="F20" s="63">
        <f>IF(F4=0,0,F4/MBunk_act!F8*100)</f>
        <v>7443.5871878772869</v>
      </c>
      <c r="G20" s="63">
        <f>IF(G4=0,0,G4/MBunk_act!G8*100)</f>
        <v>43267.650443742619</v>
      </c>
      <c r="H20" s="63">
        <f>IF(H4=0,0,H4/MBunk_act!H8*100)</f>
        <v>40873.582477504635</v>
      </c>
      <c r="I20" s="63">
        <f>IF(I4=0,0,I4/MBunk_act!I8*100)</f>
        <v>39057.772197474755</v>
      </c>
      <c r="J20" s="63">
        <f>IF(J4=0,0,J4/MBunk_act!J8*100)</f>
        <v>29021.717256957305</v>
      </c>
      <c r="K20" s="63">
        <f>IF(K4=0,0,K4/MBunk_act!K8*100)</f>
        <v>32531.090857437466</v>
      </c>
      <c r="L20" s="63">
        <f>IF(L4=0,0,L4/MBunk_act!L8*100)</f>
        <v>31325.280568655286</v>
      </c>
      <c r="M20" s="63">
        <f>IF(M4=0,0,M4/MBunk_act!M8*100)</f>
        <v>15681.160800788342</v>
      </c>
      <c r="N20" s="63">
        <f>IF(N4=0,0,N4/MBunk_act!N8*100)</f>
        <v>13302.269979394901</v>
      </c>
      <c r="O20" s="63">
        <f>IF(O4=0,0,O4/MBunk_act!O8*100)</f>
        <v>17490.261687222202</v>
      </c>
      <c r="P20" s="63">
        <f>IF(P4=0,0,P4/MBunk_act!P8*100)</f>
        <v>16236.37598947948</v>
      </c>
      <c r="Q20" s="63">
        <f>IF(Q4=0,0,Q4/MBunk_act!Q8*100)</f>
        <v>17895.668419272934</v>
      </c>
      <c r="R20" s="63">
        <f>IF(R4=0,0,R4/MBunk_act!R8*100)</f>
        <v>15770.357928364298</v>
      </c>
      <c r="S20" s="63">
        <f>IF(S4=0,0,S4/MBunk_act!S8*100)</f>
        <v>18469.62695468852</v>
      </c>
      <c r="T20" s="63">
        <f>IF(T4=0,0,T4/MBunk_act!T8*100)</f>
        <v>20577.629143221377</v>
      </c>
      <c r="U20" s="63">
        <f>IF(U4=0,0,U4/MBunk_act!U8*100)</f>
        <v>18118.395792910062</v>
      </c>
      <c r="V20" s="63">
        <f>IF(V4=0,0,V4/MBunk_act!V8*100)</f>
        <v>19699.130025529863</v>
      </c>
      <c r="W20" s="63">
        <f>IF(W4=0,0,W4/MBunk_act!W8*100)</f>
        <v>16613.972936054051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50573.059893337944</v>
      </c>
      <c r="C21" s="64">
        <f>IF(C10=0,0,C10/MBunk_act!C9*100)</f>
        <v>53047.501029873594</v>
      </c>
      <c r="D21" s="64">
        <f>IF(D10=0,0,D10/MBunk_act!D9*100)</f>
        <v>53013.738184133377</v>
      </c>
      <c r="E21" s="64">
        <f>IF(E10=0,0,E10/MBunk_act!E9*100)</f>
        <v>70141.362133883726</v>
      </c>
      <c r="F21" s="64">
        <f>IF(F10=0,0,F10/MBunk_act!F9*100)</f>
        <v>25451.579129292415</v>
      </c>
      <c r="G21" s="64">
        <f>IF(G10=0,0,G10/MBunk_act!G9*100)</f>
        <v>97608.391427733717</v>
      </c>
      <c r="H21" s="64">
        <f>IF(H10=0,0,H10/MBunk_act!H9*100)</f>
        <v>98832.82376438666</v>
      </c>
      <c r="I21" s="64">
        <f>IF(I10=0,0,I10/MBunk_act!I9*100)</f>
        <v>61552.973664079102</v>
      </c>
      <c r="J21" s="64">
        <f>IF(J10=0,0,J10/MBunk_act!J9*100)</f>
        <v>61836.537119238834</v>
      </c>
      <c r="K21" s="64">
        <f>IF(K10=0,0,K10/MBunk_act!K9*100)</f>
        <v>71330.988724369541</v>
      </c>
      <c r="L21" s="64">
        <f>IF(L10=0,0,L10/MBunk_act!L9*100)</f>
        <v>67667.388510152348</v>
      </c>
      <c r="M21" s="64">
        <f>IF(M10=0,0,M10/MBunk_act!M9*100)</f>
        <v>42550.898268884397</v>
      </c>
      <c r="N21" s="64">
        <f>IF(N10=0,0,N10/MBunk_act!N9*100)</f>
        <v>40004.423997443344</v>
      </c>
      <c r="O21" s="64">
        <f>IF(O10=0,0,O10/MBunk_act!O9*100)</f>
        <v>53111.560195439277</v>
      </c>
      <c r="P21" s="64">
        <f>IF(P10=0,0,P10/MBunk_act!P9*100)</f>
        <v>45582.401360138101</v>
      </c>
      <c r="Q21" s="64">
        <f>IF(Q10=0,0,Q10/MBunk_act!Q9*100)</f>
        <v>50883.141764572021</v>
      </c>
      <c r="R21" s="64">
        <f>IF(R10=0,0,R10/MBunk_act!R9*100)</f>
        <v>43218.401498597828</v>
      </c>
      <c r="S21" s="64">
        <f>IF(S10=0,0,S10/MBunk_act!S9*100)</f>
        <v>45690.422879932259</v>
      </c>
      <c r="T21" s="64">
        <f>IF(T10=0,0,T10/MBunk_act!T9*100)</f>
        <v>46715.973160538895</v>
      </c>
      <c r="U21" s="64">
        <f>IF(U10=0,0,U10/MBunk_act!U9*100)</f>
        <v>48958.262892905157</v>
      </c>
      <c r="V21" s="64">
        <f>IF(V10=0,0,V10/MBunk_act!V9*100)</f>
        <v>60464.499711938479</v>
      </c>
      <c r="W21" s="64">
        <f>IF(W10=0,0,W10/MBunk_act!W9*100)</f>
        <v>58908.459660125496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40.990788414151432</v>
      </c>
      <c r="C23" s="62">
        <f>IF(C3=0,0,C3/MBunk_act!C3*1000)</f>
        <v>42.199465040512237</v>
      </c>
      <c r="D23" s="62">
        <f>IF(D3=0,0,D3/MBunk_act!D3*1000)</f>
        <v>41.894932289684135</v>
      </c>
      <c r="E23" s="62">
        <f>IF(E3=0,0,E3/MBunk_act!E3*1000)</f>
        <v>48.560653434961992</v>
      </c>
      <c r="F23" s="62">
        <f>IF(F3=0,0,F3/MBunk_act!F3*1000)</f>
        <v>16.652589894293577</v>
      </c>
      <c r="G23" s="62">
        <f>IF(G3=0,0,G3/MBunk_act!G3*1000)</f>
        <v>67.022407587089617</v>
      </c>
      <c r="H23" s="62">
        <f>IF(H3=0,0,H3/MBunk_act!H3*1000)</f>
        <v>64.725156986587251</v>
      </c>
      <c r="I23" s="62">
        <f>IF(I3=0,0,I3/MBunk_act!I3*1000)</f>
        <v>39.016254070252096</v>
      </c>
      <c r="J23" s="62">
        <f>IF(J3=0,0,J3/MBunk_act!J3*1000)</f>
        <v>36.484269471878775</v>
      </c>
      <c r="K23" s="62">
        <f>IF(K3=0,0,K3/MBunk_act!K3*1000)</f>
        <v>46.809964601326485</v>
      </c>
      <c r="L23" s="62">
        <f>IF(L3=0,0,L3/MBunk_act!L3*1000)</f>
        <v>38.550184017755321</v>
      </c>
      <c r="M23" s="62">
        <f>IF(M3=0,0,M3/MBunk_act!M3*1000)</f>
        <v>24.002831006386984</v>
      </c>
      <c r="N23" s="62">
        <f>IF(N3=0,0,N3/MBunk_act!N3*1000)</f>
        <v>19.326917313370942</v>
      </c>
      <c r="O23" s="62">
        <f>IF(O3=0,0,O3/MBunk_act!O3*1000)</f>
        <v>24.99133680084816</v>
      </c>
      <c r="P23" s="62">
        <f>IF(P3=0,0,P3/MBunk_act!P3*1000)</f>
        <v>22.932190720219779</v>
      </c>
      <c r="Q23" s="62">
        <f>IF(Q3=0,0,Q3/MBunk_act!Q3*1000)</f>
        <v>23.276655156782176</v>
      </c>
      <c r="R23" s="62">
        <f>IF(R3=0,0,R3/MBunk_act!R3*1000)</f>
        <v>20.221160266819389</v>
      </c>
      <c r="S23" s="62">
        <f>IF(S3=0,0,S3/MBunk_act!S3*1000)</f>
        <v>21.949785904539471</v>
      </c>
      <c r="T23" s="62">
        <f>IF(T3=0,0,T3/MBunk_act!T3*1000)</f>
        <v>24.211478353193552</v>
      </c>
      <c r="U23" s="62">
        <f>IF(U3=0,0,U3/MBunk_act!U3*1000)</f>
        <v>24.499934860961879</v>
      </c>
      <c r="V23" s="62">
        <f>IF(V3=0,0,V3/MBunk_act!V3*1000)</f>
        <v>24.863634626925609</v>
      </c>
      <c r="W23" s="62">
        <f>IF(W3=0,0,W3/MBunk_act!W3*1000)</f>
        <v>23.461057142378024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30.30893286813264</v>
      </c>
      <c r="C24" s="63">
        <f>IF(C4=0,0,C4/MBunk_act!C4*1000)</f>
        <v>31.2594153583163</v>
      </c>
      <c r="D24" s="63">
        <f>IF(D4=0,0,D4/MBunk_act!D4*1000)</f>
        <v>31.019561012063612</v>
      </c>
      <c r="E24" s="63">
        <f>IF(E4=0,0,E4/MBunk_act!E4*1000)</f>
        <v>35.9927773340955</v>
      </c>
      <c r="F24" s="63">
        <f>IF(F4=0,0,F4/MBunk_act!F4*1000)</f>
        <v>12.013513862020945</v>
      </c>
      <c r="G24" s="63">
        <f>IF(G4=0,0,G4/MBunk_act!G4*1000)</f>
        <v>68.98327346689392</v>
      </c>
      <c r="H24" s="63">
        <f>IF(H4=0,0,H4/MBunk_act!H4*1000)</f>
        <v>63.230166194479295</v>
      </c>
      <c r="I24" s="63">
        <f>IF(I4=0,0,I4/MBunk_act!I4*1000)</f>
        <v>58.975481084990967</v>
      </c>
      <c r="J24" s="63">
        <f>IF(J4=0,0,J4/MBunk_act!J4*1000)</f>
        <v>41.492214141898437</v>
      </c>
      <c r="K24" s="63">
        <f>IF(K4=0,0,K4/MBunk_act!K4*1000)</f>
        <v>43.891387043856994</v>
      </c>
      <c r="L24" s="63">
        <f>IF(L4=0,0,L4/MBunk_act!L4*1000)</f>
        <v>41.714202232948828</v>
      </c>
      <c r="M24" s="63">
        <f>IF(M4=0,0,M4/MBunk_act!M4*1000)</f>
        <v>20.606274221355839</v>
      </c>
      <c r="N24" s="63">
        <f>IF(N4=0,0,N4/MBunk_act!N4*1000)</f>
        <v>17.22445617004351</v>
      </c>
      <c r="O24" s="63">
        <f>IF(O4=0,0,O4/MBunk_act!O4*1000)</f>
        <v>22.679273802542099</v>
      </c>
      <c r="P24" s="63">
        <f>IF(P4=0,0,P4/MBunk_act!P4*1000)</f>
        <v>21.154051124572991</v>
      </c>
      <c r="Q24" s="63">
        <f>IF(Q4=0,0,Q4/MBunk_act!Q4*1000)</f>
        <v>22.074767736840691</v>
      </c>
      <c r="R24" s="63">
        <f>IF(R4=0,0,R4/MBunk_act!R4*1000)</f>
        <v>19.198592864005061</v>
      </c>
      <c r="S24" s="63">
        <f>IF(S4=0,0,S4/MBunk_act!S4*1000)</f>
        <v>22.036533009313452</v>
      </c>
      <c r="T24" s="63">
        <f>IF(T4=0,0,T4/MBunk_act!T4*1000)</f>
        <v>25.637084238884469</v>
      </c>
      <c r="U24" s="63">
        <f>IF(U4=0,0,U4/MBunk_act!U4*1000)</f>
        <v>23.172735823463658</v>
      </c>
      <c r="V24" s="63">
        <f>IF(V4=0,0,V4/MBunk_act!V4*1000)</f>
        <v>21.87149467629613</v>
      </c>
      <c r="W24" s="63">
        <f>IF(W4=0,0,W4/MBunk_act!W4*1000)</f>
        <v>19.527004235425679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68.324344326398901</v>
      </c>
      <c r="C25" s="64">
        <f>IF(C10=0,0,C10/MBunk_act!C5*1000)</f>
        <v>70.227785929161101</v>
      </c>
      <c r="D25" s="64">
        <f>IF(D10=0,0,D10/MBunk_act!D5*1000)</f>
        <v>69.37120254153011</v>
      </c>
      <c r="E25" s="64">
        <f>IF(E10=0,0,E10/MBunk_act!E5*1000)</f>
        <v>87.69792537138612</v>
      </c>
      <c r="F25" s="64">
        <f>IF(F10=0,0,F10/MBunk_act!F5*1000)</f>
        <v>35.056381712272177</v>
      </c>
      <c r="G25" s="64">
        <f>IF(G10=0,0,G10/MBunk_act!G5*1000)</f>
        <v>64.87684676629965</v>
      </c>
      <c r="H25" s="64">
        <f>IF(H10=0,0,H10/MBunk_act!H5*1000)</f>
        <v>66.627644566754498</v>
      </c>
      <c r="I25" s="64">
        <f>IF(I10=0,0,I10/MBunk_act!I5*1000)</f>
        <v>30.369804072322427</v>
      </c>
      <c r="J25" s="64">
        <f>IF(J10=0,0,J10/MBunk_act!J5*1000)</f>
        <v>32.039470362353207</v>
      </c>
      <c r="K25" s="64">
        <f>IF(K10=0,0,K10/MBunk_act!K5*1000)</f>
        <v>50.101785774596976</v>
      </c>
      <c r="L25" s="64">
        <f>IF(L10=0,0,L10/MBunk_act!L5*1000)</f>
        <v>35.621928619277917</v>
      </c>
      <c r="M25" s="64">
        <f>IF(M10=0,0,M10/MBunk_act!M5*1000)</f>
        <v>30.042221969557037</v>
      </c>
      <c r="N25" s="64">
        <f>IF(N10=0,0,N10/MBunk_act!N5*1000)</f>
        <v>23.168619999903779</v>
      </c>
      <c r="O25" s="64">
        <f>IF(O10=0,0,O10/MBunk_act!O5*1000)</f>
        <v>29.072701599548637</v>
      </c>
      <c r="P25" s="64">
        <f>IF(P10=0,0,P10/MBunk_act!P5*1000)</f>
        <v>25.722220279825837</v>
      </c>
      <c r="Q25" s="64">
        <f>IF(Q10=0,0,Q10/MBunk_act!Q5*1000)</f>
        <v>25.084682146266871</v>
      </c>
      <c r="R25" s="64">
        <f>IF(R10=0,0,R10/MBunk_act!R5*1000)</f>
        <v>21.70064327695918</v>
      </c>
      <c r="S25" s="64">
        <f>IF(S10=0,0,S10/MBunk_act!S5*1000)</f>
        <v>21.847999977206829</v>
      </c>
      <c r="T25" s="64">
        <f>IF(T10=0,0,T10/MBunk_act!T5*1000)</f>
        <v>22.85838804300036</v>
      </c>
      <c r="U25" s="64">
        <f>IF(U10=0,0,U10/MBunk_act!U5*1000)</f>
        <v>26.355446900295586</v>
      </c>
      <c r="V25" s="64">
        <f>IF(V10=0,0,V10/MBunk_act!V5*1000)</f>
        <v>29.304327956199742</v>
      </c>
      <c r="W25" s="64">
        <f>IF(W10=0,0,W10/MBunk_act!W5*1000)</f>
        <v>30.129923344404034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3">IF(C3=0,0,C3/C$3)</f>
        <v>1</v>
      </c>
      <c r="D27" s="76">
        <f t="shared" si="3"/>
        <v>1</v>
      </c>
      <c r="E27" s="76">
        <f t="shared" si="3"/>
        <v>1</v>
      </c>
      <c r="F27" s="76">
        <f t="shared" si="3"/>
        <v>1</v>
      </c>
      <c r="G27" s="76">
        <f t="shared" si="3"/>
        <v>1</v>
      </c>
      <c r="H27" s="76">
        <f t="shared" si="3"/>
        <v>1</v>
      </c>
      <c r="I27" s="76">
        <f t="shared" si="3"/>
        <v>1</v>
      </c>
      <c r="J27" s="76">
        <f t="shared" si="3"/>
        <v>1</v>
      </c>
      <c r="K27" s="76">
        <f t="shared" si="3"/>
        <v>1</v>
      </c>
      <c r="L27" s="76">
        <f t="shared" si="3"/>
        <v>1</v>
      </c>
      <c r="M27" s="76">
        <f t="shared" si="3"/>
        <v>1</v>
      </c>
      <c r="N27" s="76">
        <f t="shared" si="3"/>
        <v>1</v>
      </c>
      <c r="O27" s="76">
        <f t="shared" si="3"/>
        <v>1</v>
      </c>
      <c r="P27" s="76">
        <f t="shared" si="3"/>
        <v>1</v>
      </c>
      <c r="Q27" s="76">
        <f t="shared" si="3"/>
        <v>1</v>
      </c>
      <c r="R27" s="76">
        <f t="shared" si="3"/>
        <v>1</v>
      </c>
      <c r="S27" s="76">
        <f t="shared" si="3"/>
        <v>1</v>
      </c>
      <c r="T27" s="76">
        <f t="shared" si="3"/>
        <v>1</v>
      </c>
      <c r="U27" s="76">
        <f t="shared" si="3"/>
        <v>1</v>
      </c>
      <c r="V27" s="76">
        <f t="shared" si="3"/>
        <v>1</v>
      </c>
      <c r="W27" s="76">
        <f t="shared" si="3"/>
        <v>1</v>
      </c>
      <c r="DA27" s="183"/>
    </row>
    <row r="28" spans="1:105" ht="11.45" customHeight="1" x14ac:dyDescent="0.25">
      <c r="A28" s="55" t="s">
        <v>170</v>
      </c>
      <c r="B28" s="77">
        <f>IF(B4=0,0,B4/B$3)</f>
        <v>0.53164387273743419</v>
      </c>
      <c r="C28" s="77">
        <f t="shared" si="3"/>
        <v>0.53279328199554221</v>
      </c>
      <c r="D28" s="77">
        <f t="shared" si="3"/>
        <v>0.5304543027698313</v>
      </c>
      <c r="E28" s="77">
        <f t="shared" si="3"/>
        <v>0.56103195935718009</v>
      </c>
      <c r="F28" s="77">
        <f t="shared" si="3"/>
        <v>0.57618115500355938</v>
      </c>
      <c r="G28" s="77">
        <f t="shared" si="3"/>
        <v>0.53777490169924358</v>
      </c>
      <c r="H28" s="77">
        <f t="shared" si="3"/>
        <v>0.54703654480615682</v>
      </c>
      <c r="I28" s="77">
        <f t="shared" si="3"/>
        <v>0.45688986586144276</v>
      </c>
      <c r="J28" s="77">
        <f t="shared" si="3"/>
        <v>0.53475543422620309</v>
      </c>
      <c r="K28" s="77">
        <f t="shared" si="3"/>
        <v>0.49700154951202757</v>
      </c>
      <c r="L28" s="77">
        <f t="shared" si="3"/>
        <v>0.52010022239066378</v>
      </c>
      <c r="M28" s="77">
        <f t="shared" si="3"/>
        <v>0.54947080877311116</v>
      </c>
      <c r="N28" s="77">
        <f t="shared" si="3"/>
        <v>0.57599128280902556</v>
      </c>
      <c r="O28" s="77">
        <f t="shared" si="3"/>
        <v>0.57931037479889735</v>
      </c>
      <c r="P28" s="77">
        <f t="shared" si="3"/>
        <v>0.56339713224777321</v>
      </c>
      <c r="Q28" s="77">
        <f t="shared" si="3"/>
        <v>0.56967391425981451</v>
      </c>
      <c r="R28" s="77">
        <f t="shared" si="3"/>
        <v>0.56140626377630454</v>
      </c>
      <c r="S28" s="77">
        <f t="shared" si="3"/>
        <v>0.54201744578865796</v>
      </c>
      <c r="T28" s="77">
        <f t="shared" si="3"/>
        <v>0.51562390021767546</v>
      </c>
      <c r="U28" s="77">
        <f t="shared" si="3"/>
        <v>0.55141546458823987</v>
      </c>
      <c r="V28" s="77">
        <f t="shared" si="3"/>
        <v>0.52554539948912471</v>
      </c>
      <c r="W28" s="77">
        <f t="shared" si="3"/>
        <v>0.52349748462404644</v>
      </c>
      <c r="DA28" s="184"/>
    </row>
    <row r="29" spans="1:105" ht="11.45" customHeight="1" x14ac:dyDescent="0.25">
      <c r="A29" s="57" t="s">
        <v>171</v>
      </c>
      <c r="B29" s="78">
        <f>IF(B10=0,0,B10/B$3)</f>
        <v>0.46835612726256587</v>
      </c>
      <c r="C29" s="78">
        <f t="shared" ref="C29:W29" si="4">IF(C10=0,0,C10/C$3)</f>
        <v>0.46720671800445779</v>
      </c>
      <c r="D29" s="78">
        <f t="shared" si="4"/>
        <v>0.46954569723016876</v>
      </c>
      <c r="E29" s="78">
        <f t="shared" si="4"/>
        <v>0.43896804064282002</v>
      </c>
      <c r="F29" s="78">
        <f t="shared" si="4"/>
        <v>0.42381884499644068</v>
      </c>
      <c r="G29" s="78">
        <f t="shared" si="4"/>
        <v>0.46222509830075648</v>
      </c>
      <c r="H29" s="78">
        <f t="shared" si="4"/>
        <v>0.45296345519384318</v>
      </c>
      <c r="I29" s="78">
        <f t="shared" si="4"/>
        <v>0.54311013413855735</v>
      </c>
      <c r="J29" s="78">
        <f t="shared" si="4"/>
        <v>0.4652445657737968</v>
      </c>
      <c r="K29" s="78">
        <f t="shared" si="4"/>
        <v>0.50299845048797232</v>
      </c>
      <c r="L29" s="78">
        <f t="shared" si="4"/>
        <v>0.47989977760933628</v>
      </c>
      <c r="M29" s="78">
        <f t="shared" si="4"/>
        <v>0.45052919122688884</v>
      </c>
      <c r="N29" s="78">
        <f t="shared" si="4"/>
        <v>0.42400871719097438</v>
      </c>
      <c r="O29" s="78">
        <f t="shared" si="4"/>
        <v>0.42068962520110265</v>
      </c>
      <c r="P29" s="78">
        <f t="shared" si="4"/>
        <v>0.43660286775222679</v>
      </c>
      <c r="Q29" s="78">
        <f t="shared" si="4"/>
        <v>0.43032608574018544</v>
      </c>
      <c r="R29" s="78">
        <f t="shared" si="4"/>
        <v>0.43859373622369546</v>
      </c>
      <c r="S29" s="78">
        <f t="shared" si="4"/>
        <v>0.45798255421134204</v>
      </c>
      <c r="T29" s="78">
        <f t="shared" si="4"/>
        <v>0.48437609978232454</v>
      </c>
      <c r="U29" s="78">
        <f t="shared" si="4"/>
        <v>0.44858453541176019</v>
      </c>
      <c r="V29" s="78">
        <f t="shared" si="4"/>
        <v>0.47445460051087535</v>
      </c>
      <c r="W29" s="78">
        <f t="shared" si="4"/>
        <v>0.47650251537595356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609.43904315999976</v>
      </c>
      <c r="C3" s="62">
        <f t="shared" ref="C3:W3" si="1">SUM(C4:C5)</f>
        <v>606.14573112000016</v>
      </c>
      <c r="D3" s="62">
        <f t="shared" si="1"/>
        <v>436.44996431999982</v>
      </c>
      <c r="E3" s="62">
        <f t="shared" si="1"/>
        <v>392.83952651999994</v>
      </c>
      <c r="F3" s="62">
        <f t="shared" si="1"/>
        <v>173.41117668000001</v>
      </c>
      <c r="G3" s="62">
        <f t="shared" si="1"/>
        <v>920.01246156000013</v>
      </c>
      <c r="H3" s="62">
        <f t="shared" si="1"/>
        <v>934.8316243200004</v>
      </c>
      <c r="I3" s="62">
        <f t="shared" si="1"/>
        <v>869.40263988000004</v>
      </c>
      <c r="J3" s="62">
        <f t="shared" si="1"/>
        <v>802.46715480000012</v>
      </c>
      <c r="K3" s="62">
        <f t="shared" si="1"/>
        <v>693.0820263600001</v>
      </c>
      <c r="L3" s="62">
        <f t="shared" si="1"/>
        <v>590.2092021599999</v>
      </c>
      <c r="M3" s="62">
        <f t="shared" si="1"/>
        <v>629.01319608000017</v>
      </c>
      <c r="N3" s="62">
        <f t="shared" si="1"/>
        <v>623.12930856000003</v>
      </c>
      <c r="O3" s="62">
        <f t="shared" si="1"/>
        <v>756.10928952000017</v>
      </c>
      <c r="P3" s="62">
        <f t="shared" si="1"/>
        <v>735.52434264000021</v>
      </c>
      <c r="Q3" s="62">
        <f t="shared" si="1"/>
        <v>773.25976512</v>
      </c>
      <c r="R3" s="62">
        <f t="shared" si="1"/>
        <v>909.22297392000019</v>
      </c>
      <c r="S3" s="62">
        <f t="shared" si="1"/>
        <v>806.43725604000019</v>
      </c>
      <c r="T3" s="62">
        <f t="shared" si="1"/>
        <v>856.24929900000006</v>
      </c>
      <c r="U3" s="62">
        <f t="shared" si="1"/>
        <v>881.41074372000003</v>
      </c>
      <c r="V3" s="62">
        <f t="shared" si="1"/>
        <v>876.24840528000027</v>
      </c>
      <c r="W3" s="62">
        <f t="shared" si="1"/>
        <v>802.52022131999991</v>
      </c>
      <c r="DA3" s="172" t="s">
        <v>985</v>
      </c>
    </row>
    <row r="4" spans="1:105" ht="11.45" customHeight="1" x14ac:dyDescent="0.25">
      <c r="A4" s="55" t="s">
        <v>170</v>
      </c>
      <c r="B4" s="63">
        <v>321.75826745639188</v>
      </c>
      <c r="C4" s="63">
        <v>320.84209807750148</v>
      </c>
      <c r="D4" s="63">
        <v>230.0361031943896</v>
      </c>
      <c r="E4" s="63">
        <v>218.85873194689478</v>
      </c>
      <c r="F4" s="63">
        <v>98.828783200172253</v>
      </c>
      <c r="G4" s="63">
        <v>491.75822718835082</v>
      </c>
      <c r="H4" s="63">
        <v>506.72461920731922</v>
      </c>
      <c r="I4" s="63">
        <v>391.90085132576655</v>
      </c>
      <c r="J4" s="63">
        <v>425.06852857627939</v>
      </c>
      <c r="K4" s="63">
        <v>340.99924318974774</v>
      </c>
      <c r="L4" s="63">
        <v>304.52914220918314</v>
      </c>
      <c r="M4" s="63">
        <v>343.0481217282686</v>
      </c>
      <c r="N4" s="63">
        <v>355.99096505133832</v>
      </c>
      <c r="O4" s="63">
        <v>434.53501919376265</v>
      </c>
      <c r="P4" s="63">
        <v>410.97351716875937</v>
      </c>
      <c r="Q4" s="63">
        <v>437.13856716298534</v>
      </c>
      <c r="R4" s="63">
        <v>506.35758502341361</v>
      </c>
      <c r="S4" s="63">
        <v>432.60786416030089</v>
      </c>
      <c r="T4" s="63">
        <v>436.06150076735435</v>
      </c>
      <c r="U4" s="63">
        <v>480.61377565720824</v>
      </c>
      <c r="V4" s="63">
        <v>455.09357991610318</v>
      </c>
      <c r="W4" s="63">
        <v>414.94142482645628</v>
      </c>
      <c r="DA4" s="181" t="s">
        <v>986</v>
      </c>
    </row>
    <row r="5" spans="1:105" ht="11.45" customHeight="1" x14ac:dyDescent="0.25">
      <c r="A5" s="57" t="s">
        <v>171</v>
      </c>
      <c r="B5" s="64">
        <v>287.68077570360788</v>
      </c>
      <c r="C5" s="64">
        <v>285.30363304249863</v>
      </c>
      <c r="D5" s="64">
        <v>206.41386112561025</v>
      </c>
      <c r="E5" s="64">
        <v>173.98079457310519</v>
      </c>
      <c r="F5" s="64">
        <v>74.582393479827758</v>
      </c>
      <c r="G5" s="64">
        <v>428.25423437164932</v>
      </c>
      <c r="H5" s="64">
        <v>428.10700511268112</v>
      </c>
      <c r="I5" s="64">
        <v>477.50178855423349</v>
      </c>
      <c r="J5" s="64">
        <v>377.39862622372067</v>
      </c>
      <c r="K5" s="64">
        <v>352.08278317025241</v>
      </c>
      <c r="L5" s="64">
        <v>285.68005995081683</v>
      </c>
      <c r="M5" s="64">
        <v>285.96507435173157</v>
      </c>
      <c r="N5" s="64">
        <v>267.13834350866171</v>
      </c>
      <c r="O5" s="64">
        <v>321.57427032623747</v>
      </c>
      <c r="P5" s="64">
        <v>324.55082547124084</v>
      </c>
      <c r="Q5" s="64">
        <v>336.12119795701466</v>
      </c>
      <c r="R5" s="64">
        <v>402.86538889658652</v>
      </c>
      <c r="S5" s="64">
        <v>373.8293918796993</v>
      </c>
      <c r="T5" s="64">
        <v>420.18779823264572</v>
      </c>
      <c r="U5" s="64">
        <v>400.79696806279185</v>
      </c>
      <c r="V5" s="64">
        <v>421.15482536389709</v>
      </c>
      <c r="W5" s="64">
        <v>387.57879649354362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3.2024348273760808</v>
      </c>
      <c r="C9" s="79">
        <f>IF(C3=0,0,C3/MBunk_ene!C3)</f>
        <v>3.2044538648936163</v>
      </c>
      <c r="D9" s="79">
        <f>IF(D3=0,0,D3/MBunk_ene!D3)</f>
        <v>3.2049863047261731</v>
      </c>
      <c r="E9" s="79">
        <f>IF(E3=0,0,E3/MBunk_ene!E3)</f>
        <v>3.1976598723151572</v>
      </c>
      <c r="F9" s="79">
        <f>IF(F3=0,0,F3/MBunk_ene!F3)</f>
        <v>3.1675885985148193</v>
      </c>
      <c r="G9" s="79">
        <f>IF(G3=0,0,G3/MBunk_ene!G3)</f>
        <v>3.2068692561033281</v>
      </c>
      <c r="H9" s="79">
        <f>IF(H3=0,0,H3/MBunk_ene!H3)</f>
        <v>3.1887147056642338</v>
      </c>
      <c r="I9" s="79">
        <f>IF(I3=0,0,I3/MBunk_ene!I3)</f>
        <v>3.1859004221244547</v>
      </c>
      <c r="J9" s="79">
        <f>IF(J3=0,0,J3/MBunk_ene!J3)</f>
        <v>3.1903043452615609</v>
      </c>
      <c r="K9" s="79">
        <f>IF(K3=0,0,K3/MBunk_ene!K3)</f>
        <v>3.1929243734276316</v>
      </c>
      <c r="L9" s="79">
        <f>IF(L3=0,0,L3/MBunk_ene!L3)</f>
        <v>3.1998248246963508</v>
      </c>
      <c r="M9" s="79">
        <f>IF(M3=0,0,M3/MBunk_ene!M3)</f>
        <v>3.1987838199490239</v>
      </c>
      <c r="N9" s="79">
        <f>IF(N3=0,0,N3/MBunk_ene!N3)</f>
        <v>3.1906164268027859</v>
      </c>
      <c r="O9" s="79">
        <f>IF(O3=0,0,O3/MBunk_ene!O3)</f>
        <v>3.19121099725449</v>
      </c>
      <c r="P9" s="79">
        <f>IF(P3=0,0,P3/MBunk_ene!P3)</f>
        <v>3.1915485887149337</v>
      </c>
      <c r="Q9" s="79">
        <f>IF(Q3=0,0,Q3/MBunk_ene!Q3)</f>
        <v>3.1966455589308516</v>
      </c>
      <c r="R9" s="79">
        <f>IF(R3=0,0,R3/MBunk_ene!R3)</f>
        <v>3.1933235971769967</v>
      </c>
      <c r="S9" s="79">
        <f>IF(S3=0,0,S3/MBunk_ene!S3)</f>
        <v>3.1839973193287952</v>
      </c>
      <c r="T9" s="79">
        <f>IF(T3=0,0,T3/MBunk_ene!T3)</f>
        <v>3.1787239837619228</v>
      </c>
      <c r="U9" s="79">
        <f>IF(U3=0,0,U3/MBunk_ene!U3)</f>
        <v>3.177503357647927</v>
      </c>
      <c r="V9" s="79">
        <f>IF(V3=0,0,V3/MBunk_ene!V3)</f>
        <v>3.1795181329326434</v>
      </c>
      <c r="W9" s="79">
        <f>IF(W3=0,0,W3/MBunk_ene!W3)</f>
        <v>3.1771283546989846</v>
      </c>
      <c r="DA9" s="172"/>
    </row>
    <row r="10" spans="1:105" ht="11.45" customHeight="1" x14ac:dyDescent="0.25">
      <c r="A10" s="55" t="s">
        <v>170</v>
      </c>
      <c r="B10" s="80">
        <f>IF(B4=0,0,B4/MBunk_ene!B4)</f>
        <v>3.1802329178247675</v>
      </c>
      <c r="C10" s="80">
        <f>IF(C4=0,0,C4/MBunk_ene!C4)</f>
        <v>3.1835346409995098</v>
      </c>
      <c r="D10" s="80">
        <f>IF(D4=0,0,D4/MBunk_ene!D4)</f>
        <v>3.1844889134541425</v>
      </c>
      <c r="E10" s="80">
        <f>IF(E4=0,0,E4/MBunk_ene!E4)</f>
        <v>3.1753628902993589</v>
      </c>
      <c r="F10" s="80">
        <f>IF(F4=0,0,F4/MBunk_ene!F4)</f>
        <v>3.1331131861372596</v>
      </c>
      <c r="G10" s="80">
        <f>IF(G4=0,0,G4/MBunk_ene!G4)</f>
        <v>3.1874152717755844</v>
      </c>
      <c r="H10" s="80">
        <f>IF(H4=0,0,H4/MBunk_ene!H4)</f>
        <v>3.1596424037000941</v>
      </c>
      <c r="I10" s="80">
        <f>IF(I4=0,0,I4/MBunk_ene!I4)</f>
        <v>3.1432282898681994</v>
      </c>
      <c r="J10" s="80">
        <f>IF(J4=0,0,J4/MBunk_ene!J4)</f>
        <v>3.160156530185724</v>
      </c>
      <c r="K10" s="80">
        <f>IF(K4=0,0,K4/MBunk_ene!K4)</f>
        <v>3.1608192965433513</v>
      </c>
      <c r="L10" s="80">
        <f>IF(L4=0,0,L4/MBunk_ene!L4)</f>
        <v>3.1744028958006014</v>
      </c>
      <c r="M10" s="80">
        <f>IF(M4=0,0,M4/MBunk_ene!M4)</f>
        <v>3.1749402366679633</v>
      </c>
      <c r="N10" s="80">
        <f>IF(N4=0,0,N4/MBunk_ene!N4)</f>
        <v>3.1646048064310719</v>
      </c>
      <c r="O10" s="80">
        <f>IF(O4=0,0,O4/MBunk_ene!O4)</f>
        <v>3.1658069036555401</v>
      </c>
      <c r="P10" s="80">
        <f>IF(P4=0,0,P4/MBunk_ene!P4)</f>
        <v>3.1652179150316999</v>
      </c>
      <c r="Q10" s="80">
        <f>IF(Q4=0,0,Q4/MBunk_ene!Q4)</f>
        <v>3.1722095095694409</v>
      </c>
      <c r="R10" s="80">
        <f>IF(R4=0,0,R4/MBunk_ene!R4)</f>
        <v>3.1677623698920936</v>
      </c>
      <c r="S10" s="80">
        <f>IF(S4=0,0,S4/MBunk_ene!S4)</f>
        <v>3.1512528748387787</v>
      </c>
      <c r="T10" s="80">
        <f>IF(T4=0,0,T4/MBunk_ene!T4)</f>
        <v>3.1395492147123321</v>
      </c>
      <c r="U10" s="80">
        <f>IF(U4=0,0,U4/MBunk_ene!U4)</f>
        <v>3.1421358011763885</v>
      </c>
      <c r="V10" s="80">
        <f>IF(V4=0,0,V4/MBunk_ene!V4)</f>
        <v>3.1421327961369077</v>
      </c>
      <c r="W10" s="80">
        <f>IF(W4=0,0,W4/MBunk_ene!W4)</f>
        <v>3.1379857775821796</v>
      </c>
      <c r="DA10" s="181"/>
    </row>
    <row r="11" spans="1:105" ht="11.45" customHeight="1" x14ac:dyDescent="0.25">
      <c r="A11" s="57" t="s">
        <v>171</v>
      </c>
      <c r="B11" s="81">
        <f>IF(B5=0,0,B5/MBunk_ene!B10)</f>
        <v>3.2276368232270047</v>
      </c>
      <c r="C11" s="81">
        <f>IF(C5=0,0,C5/MBunk_ene!C10)</f>
        <v>3.2283097332401707</v>
      </c>
      <c r="D11" s="81">
        <f>IF(D5=0,0,D5/MBunk_ene!D10)</f>
        <v>3.2281425799512342</v>
      </c>
      <c r="E11" s="81">
        <f>IF(E5=0,0,E5/MBunk_ene!E10)</f>
        <v>3.2261569799628047</v>
      </c>
      <c r="F11" s="81">
        <f>IF(F5=0,0,F5/MBunk_ene!F10)</f>
        <v>3.2144578757011439</v>
      </c>
      <c r="G11" s="81">
        <f>IF(G5=0,0,G5/MBunk_ene!G10)</f>
        <v>3.2295029567569085</v>
      </c>
      <c r="H11" s="81">
        <f>IF(H5=0,0,H5/MBunk_ene!H10)</f>
        <v>3.2238248485105663</v>
      </c>
      <c r="I11" s="81">
        <f>IF(I5=0,0,I5/MBunk_ene!I10)</f>
        <v>3.2217982328208175</v>
      </c>
      <c r="J11" s="81">
        <f>IF(J5=0,0,J5/MBunk_ene!J10)</f>
        <v>3.2249564597146043</v>
      </c>
      <c r="K11" s="81">
        <f>IF(K5=0,0,K5/MBunk_ene!K10)</f>
        <v>3.2246466837910348</v>
      </c>
      <c r="L11" s="81">
        <f>IF(L5=0,0,L5/MBunk_ene!L10)</f>
        <v>3.227376308337675</v>
      </c>
      <c r="M11" s="81">
        <f>IF(M5=0,0,M5/MBunk_ene!M10)</f>
        <v>3.2278637402840764</v>
      </c>
      <c r="N11" s="81">
        <f>IF(N5=0,0,N5/MBunk_ene!N10)</f>
        <v>3.2259517064288818</v>
      </c>
      <c r="O11" s="81">
        <f>IF(O5=0,0,O5/MBunk_ene!O10)</f>
        <v>3.2261936878240487</v>
      </c>
      <c r="P11" s="81">
        <f>IF(P5=0,0,P5/MBunk_ene!P10)</f>
        <v>3.2255259790139466</v>
      </c>
      <c r="Q11" s="81">
        <f>IF(Q5=0,0,Q5/MBunk_ene!Q10)</f>
        <v>3.2289944690946792</v>
      </c>
      <c r="R11" s="81">
        <f>IF(R5=0,0,R5/MBunk_ene!R10)</f>
        <v>3.2260423341820208</v>
      </c>
      <c r="S11" s="81">
        <f>IF(S5=0,0,S5/MBunk_ene!S10)</f>
        <v>3.2227500185376323</v>
      </c>
      <c r="T11" s="81">
        <f>IF(T5=0,0,T5/MBunk_ene!T10)</f>
        <v>3.2204259736341609</v>
      </c>
      <c r="U11" s="81">
        <f>IF(U5=0,0,U5/MBunk_ene!U10)</f>
        <v>3.2209783685847251</v>
      </c>
      <c r="V11" s="81">
        <f>IF(V5=0,0,V5/MBunk_ene!V10)</f>
        <v>3.2209292431636212</v>
      </c>
      <c r="W11" s="81">
        <f>IF(W5=0,0,W5/MBunk_ene!W10)</f>
        <v>3.2201313609815077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84089.438049757751</v>
      </c>
      <c r="C13" s="62">
        <f>IF(C3=0,0,C3/MBunk_act!C7*100)</f>
        <v>87917.541441849171</v>
      </c>
      <c r="D13" s="62">
        <f>IF(D3=0,0,D3/MBunk_act!D7*100)</f>
        <v>88638.17957534091</v>
      </c>
      <c r="E13" s="62">
        <f>IF(E3=0,0,E3/MBunk_act!E7*100)</f>
        <v>103159.20225624918</v>
      </c>
      <c r="F13" s="62">
        <f>IF(F3=0,0,F3/MBunk_act!F7*100)</f>
        <v>33676.846753034901</v>
      </c>
      <c r="G13" s="62">
        <f>IF(G3=0,0,G3/MBunk_act!G7*100)</f>
        <v>186831.11539914305</v>
      </c>
      <c r="H13" s="62">
        <f>IF(H3=0,0,H3/MBunk_act!H7*100)</f>
        <v>177478.6701168913</v>
      </c>
      <c r="I13" s="62">
        <f>IF(I3=0,0,I3/MBunk_act!I7*100)</f>
        <v>155248.80802705686</v>
      </c>
      <c r="J13" s="62">
        <f>IF(J3=0,0,J3/MBunk_act!J7*100)</f>
        <v>122941.26687543282</v>
      </c>
      <c r="K13" s="62">
        <f>IF(K3=0,0,K3/MBunk_act!K7*100)</f>
        <v>142992.25423613421</v>
      </c>
      <c r="L13" s="62">
        <f>IF(L3=0,0,L3/MBunk_act!L7*100)</f>
        <v>135040.77292820206</v>
      </c>
      <c r="M13" s="62">
        <f>IF(M3=0,0,M3/MBunk_act!M7*100)</f>
        <v>70105.422978715826</v>
      </c>
      <c r="N13" s="62">
        <f>IF(N3=0,0,N3/MBunk_act!N7*100)</f>
        <v>59195.910968065538</v>
      </c>
      <c r="O13" s="62">
        <f>IF(O3=0,0,O3/MBunk_act!O7*100)</f>
        <v>77753.344609366497</v>
      </c>
      <c r="P13" s="62">
        <f>IF(P3=0,0,P3/MBunk_act!P7*100)</f>
        <v>72079.772433412974</v>
      </c>
      <c r="Q13" s="62">
        <f>IF(Q3=0,0,Q3/MBunk_act!Q7*100)</f>
        <v>79340.511437920242</v>
      </c>
      <c r="R13" s="62">
        <f>IF(R3=0,0,R3/MBunk_act!R7*100)</f>
        <v>69803.789202796688</v>
      </c>
      <c r="S13" s="62">
        <f>IF(S3=0,0,S3/MBunk_act!S7*100)</f>
        <v>80873.649389213548</v>
      </c>
      <c r="T13" s="62">
        <f>IF(T3=0,0,T3/MBunk_act!T7*100)</f>
        <v>89728.482594494009</v>
      </c>
      <c r="U13" s="62">
        <f>IF(U3=0,0,U3/MBunk_act!U7*100)</f>
        <v>80246.868891652557</v>
      </c>
      <c r="V13" s="62">
        <f>IF(V3=0,0,V3/MBunk_act!V7*100)</f>
        <v>92092.041265717446</v>
      </c>
      <c r="W13" s="62">
        <f>IF(W3=0,0,W3/MBunk_act!W7*100)</f>
        <v>80233.889273024281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58660.419583306029</v>
      </c>
      <c r="C14" s="63">
        <f>IF(C4=0,0,C4/MBunk_act!C8*100)</f>
        <v>61363.963744451379</v>
      </c>
      <c r="D14" s="63">
        <f>IF(D4=0,0,D4/MBunk_act!D8*100)</f>
        <v>61874.088023430355</v>
      </c>
      <c r="E14" s="63">
        <f>IF(E4=0,0,E4/MBunk_act!E8*100)</f>
        <v>72011.006681569983</v>
      </c>
      <c r="F14" s="63">
        <f>IF(F4=0,0,F4/MBunk_act!F8*100)</f>
        <v>23321.601170500689</v>
      </c>
      <c r="G14" s="63">
        <f>IF(G4=0,0,G4/MBunk_act!G8*100)</f>
        <v>137911.96979823284</v>
      </c>
      <c r="H14" s="63">
        <f>IF(H4=0,0,H4/MBunk_act!H8*100)</f>
        <v>129145.9043870568</v>
      </c>
      <c r="I14" s="63">
        <f>IF(I4=0,0,I4/MBunk_act!I8*100)</f>
        <v>122767.49451033029</v>
      </c>
      <c r="J14" s="63">
        <f>IF(J4=0,0,J4/MBunk_act!J8*100)</f>
        <v>91713.169306777359</v>
      </c>
      <c r="K14" s="63">
        <f>IF(K4=0,0,K4/MBunk_act!K8*100)</f>
        <v>102824.89971979332</v>
      </c>
      <c r="L14" s="63">
        <f>IF(L4=0,0,L4/MBunk_act!L8*100)</f>
        <v>99439.061348905641</v>
      </c>
      <c r="M14" s="63">
        <f>IF(M4=0,0,M4/MBunk_act!M8*100)</f>
        <v>49786.74838408333</v>
      </c>
      <c r="N14" s="63">
        <f>IF(N4=0,0,N4/MBunk_act!N8*100)</f>
        <v>42096.427513236857</v>
      </c>
      <c r="O14" s="63">
        <f>IF(O4=0,0,O4/MBunk_act!O8*100)</f>
        <v>55370.79119615005</v>
      </c>
      <c r="P14" s="63">
        <f>IF(P4=0,0,P4/MBunk_act!P8*100)</f>
        <v>51391.668157090986</v>
      </c>
      <c r="Q14" s="63">
        <f>IF(Q4=0,0,Q4/MBunk_act!Q8*100)</f>
        <v>56768.809539719121</v>
      </c>
      <c r="R14" s="63">
        <f>IF(R4=0,0,R4/MBunk_act!R8*100)</f>
        <v>49956.746405201855</v>
      </c>
      <c r="S14" s="63">
        <f>IF(S4=0,0,S4/MBunk_act!S8*100)</f>
        <v>58202.465038161994</v>
      </c>
      <c r="T14" s="63">
        <f>IF(T4=0,0,T4/MBunk_act!T8*100)</f>
        <v>64604.47941724227</v>
      </c>
      <c r="U14" s="63">
        <f>IF(U4=0,0,U4/MBunk_act!U8*100)</f>
        <v>56930.460080786361</v>
      </c>
      <c r="V14" s="63">
        <f>IF(V4=0,0,V4/MBunk_act!V8*100)</f>
        <v>61897.28250858267</v>
      </c>
      <c r="W14" s="63">
        <f>IF(W4=0,0,W4/MBunk_act!W8*100)</f>
        <v>52134.410782472856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163231.47037500233</v>
      </c>
      <c r="C15" s="64">
        <f>IF(C5=0,0,C5/MBunk_act!C9*100)</f>
        <v>171253.76389880889</v>
      </c>
      <c r="D15" s="64">
        <f>IF(D5=0,0,D5/MBunk_act!D9*100)</f>
        <v>171135.90555458757</v>
      </c>
      <c r="E15" s="64">
        <f>IF(E5=0,0,E5/MBunk_act!E9*100)</f>
        <v>226287.04503232776</v>
      </c>
      <c r="F15" s="64">
        <f>IF(F5=0,0,F5/MBunk_act!F9*100)</f>
        <v>81813.028981184863</v>
      </c>
      <c r="G15" s="64">
        <f>IF(G5=0,0,G5/MBunk_act!G9*100)</f>
        <v>315226.58872015175</v>
      </c>
      <c r="H15" s="64">
        <f>IF(H5=0,0,H5/MBunk_act!H9*100)</f>
        <v>318619.71310009534</v>
      </c>
      <c r="I15" s="64">
        <f>IF(I5=0,0,I5/MBunk_act!I9*100)</f>
        <v>198311.26177579636</v>
      </c>
      <c r="J15" s="64">
        <f>IF(J5=0,0,J5/MBunk_act!J9*100)</f>
        <v>199420.13982907118</v>
      </c>
      <c r="K15" s="64">
        <f>IF(K5=0,0,K5/MBunk_act!K9*100)</f>
        <v>230017.23624157393</v>
      </c>
      <c r="L15" s="64">
        <f>IF(L5=0,0,L5/MBunk_act!L9*100)</f>
        <v>218388.12652474668</v>
      </c>
      <c r="M15" s="64">
        <f>IF(M5=0,0,M5/MBunk_act!M9*100)</f>
        <v>137348.50163864842</v>
      </c>
      <c r="N15" s="64">
        <f>IF(N5=0,0,N5/MBunk_act!N9*100)</f>
        <v>129052.33985925686</v>
      </c>
      <c r="O15" s="64">
        <f>IF(O5=0,0,O5/MBunk_act!O9*100)</f>
        <v>171348.18025301321</v>
      </c>
      <c r="P15" s="64">
        <f>IF(P5=0,0,P5/MBunk_act!P9*100)</f>
        <v>147027.21977296611</v>
      </c>
      <c r="Q15" s="64">
        <f>IF(Q5=0,0,Q5/MBunk_act!Q9*100)</f>
        <v>164301.38332796356</v>
      </c>
      <c r="R15" s="64">
        <f>IF(R5=0,0,R5/MBunk_act!R9*100)</f>
        <v>139424.39285015228</v>
      </c>
      <c r="S15" s="64">
        <f>IF(S5=0,0,S5/MBunk_act!S9*100)</f>
        <v>147248.81118329393</v>
      </c>
      <c r="T15" s="64">
        <f>IF(T5=0,0,T5/MBunk_act!T9*100)</f>
        <v>150445.33334979584</v>
      </c>
      <c r="U15" s="64">
        <f>IF(U5=0,0,U5/MBunk_act!U9*100)</f>
        <v>157693.50574153173</v>
      </c>
      <c r="V15" s="64">
        <f>IF(V5=0,0,V5/MBunk_act!V9*100)</f>
        <v>194751.87529544102</v>
      </c>
      <c r="W15" s="64">
        <f>IF(W5=0,0,W5/MBunk_act!W9*100)</f>
        <v>189692.97837868411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131.27032841908249</v>
      </c>
      <c r="C17" s="62">
        <f>IF(C3=0,0,C3/MBunk_act!C3*1000)</f>
        <v>135.22623884551248</v>
      </c>
      <c r="D17" s="62">
        <f>IF(D3=0,0,D3/MBunk_act!D3*1000)</f>
        <v>134.27268422586798</v>
      </c>
      <c r="E17" s="62">
        <f>IF(E3=0,0,E3/MBunk_act!E3*1000)</f>
        <v>155.28045286238114</v>
      </c>
      <c r="F17" s="62">
        <f>IF(F3=0,0,F3/MBunk_act!F3*1000)</f>
        <v>52.748553884907423</v>
      </c>
      <c r="G17" s="62">
        <f>IF(G3=0,0,G3/MBunk_act!G3*1000)</f>
        <v>214.93209836106413</v>
      </c>
      <c r="H17" s="62">
        <f>IF(H3=0,0,H3/MBunk_act!H3*1000)</f>
        <v>206.39005990955687</v>
      </c>
      <c r="I17" s="62">
        <f>IF(I3=0,0,I3/MBunk_act!I3*1000)</f>
        <v>124.30190031213114</v>
      </c>
      <c r="J17" s="62">
        <f>IF(J3=0,0,J3/MBunk_act!J3*1000)</f>
        <v>116.39592342982858</v>
      </c>
      <c r="K17" s="62">
        <f>IF(K3=0,0,K3/MBunk_act!K3*1000)</f>
        <v>149.46067689485994</v>
      </c>
      <c r="L17" s="62">
        <f>IF(L3=0,0,L3/MBunk_act!L3*1000)</f>
        <v>123.35383581662599</v>
      </c>
      <c r="M17" s="62">
        <f>IF(M3=0,0,M3/MBunk_act!M3*1000)</f>
        <v>76.779867456201444</v>
      </c>
      <c r="N17" s="62">
        <f>IF(N3=0,0,N3/MBunk_act!N3*1000)</f>
        <v>61.664779859500499</v>
      </c>
      <c r="O17" s="62">
        <f>IF(O3=0,0,O3/MBunk_act!O3*1000)</f>
        <v>79.752628834957491</v>
      </c>
      <c r="P17" s="62">
        <f>IF(P3=0,0,P3/MBunk_act!P3*1000)</f>
        <v>73.18920092925913</v>
      </c>
      <c r="Q17" s="62">
        <f>IF(Q3=0,0,Q3/MBunk_act!Q3*1000)</f>
        <v>74.407216333692659</v>
      </c>
      <c r="R17" s="62">
        <f>IF(R3=0,0,R3/MBunk_act!R3*1000)</f>
        <v>64.57270824233224</v>
      </c>
      <c r="S17" s="62">
        <f>IF(S3=0,0,S3/MBunk_act!S3*1000)</f>
        <v>69.888059479894636</v>
      </c>
      <c r="T17" s="62">
        <f>IF(T3=0,0,T3/MBunk_act!T3*1000)</f>
        <v>76.961606923628963</v>
      </c>
      <c r="U17" s="62">
        <f>IF(U3=0,0,U3/MBunk_act!U3*1000)</f>
        <v>77.848625282861875</v>
      </c>
      <c r="V17" s="62">
        <f>IF(V3=0,0,V3/MBunk_act!V3*1000)</f>
        <v>79.054377146921937</v>
      </c>
      <c r="W17" s="62">
        <f>IF(W3=0,0,W3/MBunk_act!W3*1000)</f>
        <v>74.538789878262364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96.389466011376456</v>
      </c>
      <c r="C18" s="63">
        <f>IF(C4=0,0,C4/MBunk_act!C4*1000)</f>
        <v>99.515431650592035</v>
      </c>
      <c r="D18" s="63">
        <f>IF(D4=0,0,D4/MBunk_act!D4*1000)</f>
        <v>98.781448143130945</v>
      </c>
      <c r="E18" s="63">
        <f>IF(E4=0,0,E4/MBunk_act!E4*1000)</f>
        <v>114.29012946549474</v>
      </c>
      <c r="F18" s="63">
        <f>IF(F4=0,0,F4/MBunk_act!F4*1000)</f>
        <v>37.63969869294057</v>
      </c>
      <c r="G18" s="63">
        <f>IF(G4=0,0,G4/MBunk_act!G4*1000)</f>
        <v>219.87833934544912</v>
      </c>
      <c r="H18" s="63">
        <f>IF(H4=0,0,H4/MBunk_act!H4*1000)</f>
        <v>199.78471430108098</v>
      </c>
      <c r="I18" s="63">
        <f>IF(I4=0,0,I4/MBunk_act!I4*1000)</f>
        <v>185.3734005549305</v>
      </c>
      <c r="J18" s="63">
        <f>IF(J4=0,0,J4/MBunk_act!J4*1000)</f>
        <v>131.12189147238479</v>
      </c>
      <c r="K18" s="63">
        <f>IF(K4=0,0,K4/MBunk_act!K4*1000)</f>
        <v>138.73274312027604</v>
      </c>
      <c r="L18" s="63">
        <f>IF(L4=0,0,L4/MBunk_act!L4*1000)</f>
        <v>132.41768436428467</v>
      </c>
      <c r="M18" s="63">
        <f>IF(M4=0,0,M4/MBunk_act!M4*1000)</f>
        <v>65.423689153196463</v>
      </c>
      <c r="N18" s="63">
        <f>IF(N4=0,0,N4/MBunk_act!N4*1000)</f>
        <v>54.508596783881025</v>
      </c>
      <c r="O18" s="63">
        <f>IF(O4=0,0,O4/MBunk_act!O4*1000)</f>
        <v>71.798201573982013</v>
      </c>
      <c r="P18" s="63">
        <f>IF(P4=0,0,P4/MBunk_act!P4*1000)</f>
        <v>66.957181594994907</v>
      </c>
      <c r="Q18" s="63">
        <f>IF(Q4=0,0,Q4/MBunk_act!Q4*1000)</f>
        <v>70.02578813634274</v>
      </c>
      <c r="R18" s="63">
        <f>IF(R4=0,0,R4/MBunk_act!R4*1000)</f>
        <v>60.816580029474117</v>
      </c>
      <c r="S18" s="63">
        <f>IF(S4=0,0,S4/MBunk_act!S4*1000)</f>
        <v>69.442687997078664</v>
      </c>
      <c r="T18" s="63">
        <f>IF(T4=0,0,T4/MBunk_act!T4*1000)</f>
        <v>80.488887689703631</v>
      </c>
      <c r="U18" s="63">
        <f>IF(U4=0,0,U4/MBunk_act!U4*1000)</f>
        <v>72.811882842107778</v>
      </c>
      <c r="V18" s="63">
        <f>IF(V4=0,0,V4/MBunk_act!V4*1000)</f>
        <v>68.723140722923844</v>
      </c>
      <c r="W18" s="63">
        <f>IF(W4=0,0,W4/MBunk_act!W4*1000)</f>
        <v>61.275461569552768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220.5261696707262</v>
      </c>
      <c r="C19" s="64">
        <f>IF(C5=0,0,C5/MBunk_act!C5*1000)</f>
        <v>226.71704485901788</v>
      </c>
      <c r="D19" s="64">
        <f>IF(D5=0,0,D5/MBunk_act!D5*1000)</f>
        <v>223.94013274673463</v>
      </c>
      <c r="E19" s="64">
        <f>IF(E5=0,0,E5/MBunk_act!E5*1000)</f>
        <v>282.92727406515451</v>
      </c>
      <c r="F19" s="64">
        <f>IF(F5=0,0,F5/MBunk_act!F5*1000)</f>
        <v>112.68726228859884</v>
      </c>
      <c r="G19" s="64">
        <f>IF(G5=0,0,G5/MBunk_act!G5*1000)</f>
        <v>209.51996845682959</v>
      </c>
      <c r="H19" s="64">
        <f>IF(H5=0,0,H5/MBunk_act!H5*1000)</f>
        <v>214.7958561520332</v>
      </c>
      <c r="I19" s="64">
        <f>IF(I5=0,0,I5/MBunk_act!I5*1000)</f>
        <v>97.845381091322849</v>
      </c>
      <c r="J19" s="64">
        <f>IF(J5=0,0,J5/MBunk_act!J5*1000)</f>
        <v>103.32589691090558</v>
      </c>
      <c r="K19" s="64">
        <f>IF(K5=0,0,K5/MBunk_act!K5*1000)</f>
        <v>161.56055735006299</v>
      </c>
      <c r="L19" s="64">
        <f>IF(L5=0,0,L5/MBunk_act!L5*1000)</f>
        <v>114.96536848315336</v>
      </c>
      <c r="M19" s="64">
        <f>IF(M5=0,0,M5/MBunk_act!M5*1000)</f>
        <v>96.972198973098827</v>
      </c>
      <c r="N19" s="64">
        <f>IF(N5=0,0,N5/MBunk_act!N5*1000)</f>
        <v>74.740849224291921</v>
      </c>
      <c r="O19" s="64">
        <f>IF(O5=0,0,O5/MBunk_act!O5*1000)</f>
        <v>93.794166388455949</v>
      </c>
      <c r="P19" s="64">
        <f>IF(P5=0,0,P5/MBunk_act!P5*1000)</f>
        <v>82.967689750497627</v>
      </c>
      <c r="Q19" s="64">
        <f>IF(Q5=0,0,Q5/MBunk_act!Q5*1000)</f>
        <v>80.998299909293777</v>
      </c>
      <c r="R19" s="64">
        <f>IF(R5=0,0,R5/MBunk_act!R5*1000)</f>
        <v>70.007193890452768</v>
      </c>
      <c r="S19" s="64">
        <f>IF(S5=0,0,S5/MBunk_act!S5*1000)</f>
        <v>70.41064233155349</v>
      </c>
      <c r="T19" s="64">
        <f>IF(T5=0,0,T5/MBunk_act!T5*1000)</f>
        <v>73.613746569086899</v>
      </c>
      <c r="U19" s="64">
        <f>IF(U5=0,0,U5/MBunk_act!U5*1000)</f>
        <v>84.890324360235425</v>
      </c>
      <c r="V19" s="64">
        <f>IF(V5=0,0,V5/MBunk_act!V5*1000)</f>
        <v>94.387166865380991</v>
      </c>
      <c r="W19" s="64">
        <f>IF(W5=0,0,W5/MBunk_act!W5*1000)</f>
        <v>97.022311065284256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1</v>
      </c>
      <c r="C21" s="76">
        <f t="shared" si="2"/>
        <v>1</v>
      </c>
      <c r="D21" s="76">
        <f t="shared" si="2"/>
        <v>1</v>
      </c>
      <c r="E21" s="76">
        <f t="shared" si="2"/>
        <v>1</v>
      </c>
      <c r="F21" s="76">
        <f t="shared" si="2"/>
        <v>1</v>
      </c>
      <c r="G21" s="76">
        <f t="shared" si="2"/>
        <v>1</v>
      </c>
      <c r="H21" s="76">
        <f t="shared" si="2"/>
        <v>1</v>
      </c>
      <c r="I21" s="76">
        <f t="shared" si="2"/>
        <v>1</v>
      </c>
      <c r="J21" s="76">
        <f t="shared" si="2"/>
        <v>1</v>
      </c>
      <c r="K21" s="76">
        <f t="shared" si="2"/>
        <v>1</v>
      </c>
      <c r="L21" s="76">
        <f t="shared" si="2"/>
        <v>1</v>
      </c>
      <c r="M21" s="76">
        <f t="shared" si="2"/>
        <v>1</v>
      </c>
      <c r="N21" s="76">
        <f t="shared" si="2"/>
        <v>1</v>
      </c>
      <c r="O21" s="76">
        <f t="shared" si="2"/>
        <v>1</v>
      </c>
      <c r="P21" s="76">
        <f t="shared" si="2"/>
        <v>1</v>
      </c>
      <c r="Q21" s="76">
        <f t="shared" si="2"/>
        <v>1</v>
      </c>
      <c r="R21" s="76">
        <f t="shared" si="2"/>
        <v>1</v>
      </c>
      <c r="S21" s="76">
        <f t="shared" si="2"/>
        <v>1</v>
      </c>
      <c r="T21" s="76">
        <f t="shared" si="2"/>
        <v>1</v>
      </c>
      <c r="U21" s="76">
        <f t="shared" si="2"/>
        <v>1</v>
      </c>
      <c r="V21" s="76">
        <f t="shared" si="2"/>
        <v>1</v>
      </c>
      <c r="W21" s="76">
        <f t="shared" si="2"/>
        <v>1</v>
      </c>
      <c r="DA21" s="183"/>
    </row>
    <row r="22" spans="1:105" ht="11.45" customHeight="1" x14ac:dyDescent="0.25">
      <c r="A22" s="55" t="s">
        <v>170</v>
      </c>
      <c r="B22" s="77">
        <f t="shared" si="2"/>
        <v>0.52795808057856697</v>
      </c>
      <c r="C22" s="77">
        <f t="shared" si="2"/>
        <v>0.52931511615972027</v>
      </c>
      <c r="D22" s="77">
        <f t="shared" si="2"/>
        <v>0.5270617986022561</v>
      </c>
      <c r="E22" s="77">
        <f t="shared" si="2"/>
        <v>0.55711993618786837</v>
      </c>
      <c r="F22" s="77">
        <f t="shared" si="2"/>
        <v>0.56991011244069623</v>
      </c>
      <c r="G22" s="77">
        <f t="shared" si="2"/>
        <v>0.53451257209550307</v>
      </c>
      <c r="H22" s="77">
        <f t="shared" si="2"/>
        <v>0.54204907710082273</v>
      </c>
      <c r="I22" s="77">
        <f t="shared" si="2"/>
        <v>0.45077025689714834</v>
      </c>
      <c r="J22" s="77">
        <f t="shared" si="2"/>
        <v>0.5297020894047928</v>
      </c>
      <c r="K22" s="77">
        <f t="shared" si="2"/>
        <v>0.49200416432762345</v>
      </c>
      <c r="L22" s="77">
        <f t="shared" si="2"/>
        <v>0.51596813654326634</v>
      </c>
      <c r="M22" s="77">
        <f t="shared" si="2"/>
        <v>0.54537507935626595</v>
      </c>
      <c r="N22" s="77">
        <f t="shared" si="2"/>
        <v>0.57129549222135578</v>
      </c>
      <c r="O22" s="77">
        <f t="shared" si="2"/>
        <v>0.57469869133550511</v>
      </c>
      <c r="P22" s="77">
        <f t="shared" si="2"/>
        <v>0.55874903567931122</v>
      </c>
      <c r="Q22" s="77">
        <f t="shared" si="2"/>
        <v>0.56531916812605276</v>
      </c>
      <c r="R22" s="77">
        <f t="shared" si="2"/>
        <v>0.55691244012490881</v>
      </c>
      <c r="S22" s="77">
        <f t="shared" si="2"/>
        <v>0.53644330159622866</v>
      </c>
      <c r="T22" s="77">
        <f t="shared" si="2"/>
        <v>0.50926932293740113</v>
      </c>
      <c r="U22" s="77">
        <f t="shared" si="2"/>
        <v>0.54527787309328057</v>
      </c>
      <c r="V22" s="77">
        <f t="shared" si="2"/>
        <v>0.5193659436911392</v>
      </c>
      <c r="W22" s="77">
        <f t="shared" si="2"/>
        <v>0.51704793699023943</v>
      </c>
      <c r="DA22" s="184"/>
    </row>
    <row r="23" spans="1:105" ht="11.45" customHeight="1" x14ac:dyDescent="0.25">
      <c r="A23" s="57" t="s">
        <v>171</v>
      </c>
      <c r="B23" s="78">
        <f t="shared" si="2"/>
        <v>0.47204191942143309</v>
      </c>
      <c r="C23" s="78">
        <f t="shared" si="2"/>
        <v>0.47068488384027962</v>
      </c>
      <c r="D23" s="78">
        <f t="shared" si="2"/>
        <v>0.47293820139774401</v>
      </c>
      <c r="E23" s="78">
        <f t="shared" si="2"/>
        <v>0.44288006381213174</v>
      </c>
      <c r="F23" s="78">
        <f t="shared" si="2"/>
        <v>0.43008988755930372</v>
      </c>
      <c r="G23" s="78">
        <f t="shared" si="2"/>
        <v>0.46548742790449693</v>
      </c>
      <c r="H23" s="78">
        <f t="shared" si="2"/>
        <v>0.45795092289917722</v>
      </c>
      <c r="I23" s="78">
        <f t="shared" si="2"/>
        <v>0.54922974310285166</v>
      </c>
      <c r="J23" s="78">
        <f t="shared" si="2"/>
        <v>0.47029791059520709</v>
      </c>
      <c r="K23" s="78">
        <f t="shared" si="2"/>
        <v>0.50799583567237661</v>
      </c>
      <c r="L23" s="78">
        <f t="shared" si="2"/>
        <v>0.48403186345673371</v>
      </c>
      <c r="M23" s="78">
        <f t="shared" si="2"/>
        <v>0.454624920643734</v>
      </c>
      <c r="N23" s="78">
        <f t="shared" si="2"/>
        <v>0.42870450777864416</v>
      </c>
      <c r="O23" s="78">
        <f t="shared" si="2"/>
        <v>0.42530130866449484</v>
      </c>
      <c r="P23" s="78">
        <f t="shared" si="2"/>
        <v>0.44125096432068883</v>
      </c>
      <c r="Q23" s="78">
        <f t="shared" si="2"/>
        <v>0.43468083187394724</v>
      </c>
      <c r="R23" s="78">
        <f t="shared" si="2"/>
        <v>0.44308755987509113</v>
      </c>
      <c r="S23" s="78">
        <f t="shared" si="2"/>
        <v>0.46355669840377134</v>
      </c>
      <c r="T23" s="78">
        <f t="shared" si="2"/>
        <v>0.49073067706259887</v>
      </c>
      <c r="U23" s="78">
        <f t="shared" si="2"/>
        <v>0.45472212690671948</v>
      </c>
      <c r="V23" s="78">
        <f t="shared" si="2"/>
        <v>0.48063405630886075</v>
      </c>
      <c r="W23" s="78">
        <f t="shared" si="2"/>
        <v>0.48295206300976062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2024-05-20T16:47:13Z</dcterms:created>
  <dcterms:modified xsi:type="dcterms:W3CDTF">2024-05-20T16:47:13Z</dcterms:modified>
</cp:coreProperties>
</file>