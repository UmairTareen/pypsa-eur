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W84" i="59"/>
  <c r="U116" i="59"/>
  <c r="V115" i="59"/>
  <c r="U113" i="59"/>
  <c r="Y80" i="59"/>
  <c r="W80" i="59"/>
  <c r="Y111" i="59"/>
  <c r="Y75" i="59"/>
  <c r="Y107" i="59"/>
  <c r="W75" i="59"/>
  <c r="O106" i="59"/>
  <c r="M106" i="59"/>
  <c r="G106" i="59"/>
  <c r="Y73" i="59"/>
  <c r="W72" i="59"/>
  <c r="W104" i="59"/>
  <c r="Y71" i="59"/>
  <c r="V103" i="59"/>
  <c r="U103" i="59"/>
  <c r="V101" i="59"/>
  <c r="U101" i="59"/>
  <c r="U100" i="59"/>
  <c r="Y82" i="59"/>
  <c r="W74" i="59"/>
  <c r="U115" i="59"/>
  <c r="V113" i="59"/>
  <c r="T112" i="59"/>
  <c r="V111" i="59"/>
  <c r="X110" i="59"/>
  <c r="T80" i="59"/>
  <c r="Y122" i="59"/>
  <c r="W122" i="59"/>
  <c r="Y120" i="59"/>
  <c r="T118" i="59"/>
  <c r="Y84" i="59"/>
  <c r="T83" i="59"/>
  <c r="Y114" i="59"/>
  <c r="W113" i="59"/>
  <c r="W110" i="59"/>
  <c r="Y77" i="59"/>
  <c r="U109" i="59"/>
  <c r="U108" i="59"/>
  <c r="W105" i="59"/>
  <c r="Y72" i="59"/>
  <c r="Y102" i="59"/>
  <c r="W101" i="59"/>
  <c r="Y99" i="59"/>
  <c r="W98" i="59"/>
  <c r="Y65" i="59"/>
  <c r="X20" i="59"/>
  <c r="U20" i="59"/>
  <c r="X13" i="59"/>
  <c r="W5" i="59"/>
  <c r="T5" i="59"/>
  <c r="Y5" i="59"/>
  <c r="U5" i="59"/>
  <c r="W67" i="59" l="1"/>
  <c r="W73" i="59"/>
  <c r="T71" i="59"/>
  <c r="W90" i="59"/>
  <c r="U71" i="59"/>
  <c r="Y69" i="59"/>
  <c r="V94" i="59"/>
  <c r="Y70" i="59"/>
  <c r="Y67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69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8" i="59"/>
  <c r="W8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6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<sst xmlns="http://schemas.openxmlformats.org/spreadsheetml/2006/main" count="722" uniqueCount="281">
  <si>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</si>
  <si>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</si>
  <si>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</si>
  <si>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</si>
  <si>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</si>
  <si>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</si>
  <si>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</si>
  <si>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</si>
  <si>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</si>
  <si>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</si>
  <si>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</si>
  <si>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</si>
  <si>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</si>
  <si>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</si>
  <si>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</si>
  <si>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</si>
  <si>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</si>
  <si>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</si>
  <si>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</si>
  <si>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</si>
  <si>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</si>
  <si>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</si>
  <si>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</si>
  <si>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</si>
  <si>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</si>
  <si>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</si>
  <si>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</si>
  <si>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</si>
  <si>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</si>
  <si>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</si>
  <si>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</si>
  <si>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</si>
  <si>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</si>
  <si>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</si>
  <si>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</si>
  <si>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</si>
  <si>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</si>
  <si>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</si>
  <si>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</si>
  <si>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</si>
  <si>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</si>
  <si>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</si>
  <si>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</si>
  <si>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</si>
  <si>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</si>
  <si>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</si>
  <si>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</si>
  <si>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</si>
  <si>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</si>
  <si>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</si>
  <si>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</si>
  <si>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</si>
  <si>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</si>
  <si>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</si>
  <si>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</si>
  <si>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</si>
  <si>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</si>
  <si>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</si>
  <si>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</si>
  <si>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</si>
  <si>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</si>
  <si>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</si>
  <si>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</si>
  <si>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</si>
  <si>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</si>
  <si>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</si>
  <si>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</si>
  <si>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</si>
  <si>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</si>
  <si>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</si>
  <si>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</si>
  <si>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</si>
  <si>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</si>
  <si>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</si>
  <si>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</si>
  <si>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</si>
  <si>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</si>
  <si>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</si>
  <si>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</si>
  <si>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</si>
  <si>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</si>
  <si>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</si>
  <si>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</si>
  <si>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</si>
  <si>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</si>
  <si>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</si>
  <si>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</si>
  <si>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</si>
  <si>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</si>
  <si>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</si>
  <si>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</si>
  <si>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</si>
  <si>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</si>
  <si>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</si>
  <si>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</si>
  <si>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</si>
  <si>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</si>
  <si>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</si>
  <si>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</si>
  <si>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</si>
  <si>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</si>
  <si>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</si>
  <si>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</si>
  <si>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</si>
  <si>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</si>
  <si>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</si>
  <si>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</si>
  <si>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</si>
  <si>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</si>
  <si>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</si>
  <si>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</si>
  <si>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</si>
  <si>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</si>
  <si>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</si>
  <si>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</si>
  <si>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</si>
  <si>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</si>
  <si>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</si>
  <si>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</si>
  <si>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</si>
  <si>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</si>
  <si>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</si>
  <si>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</si>
  <si>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</si>
  <si>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</si>
  <si>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</si>
  <si>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</si>
  <si>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</si>
  <si>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</si>
  <si>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</si>
  <si>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</si>
  <si>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</si>
  <si>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</si>
  <si>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</si>
  <si>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</si>
  <si>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</si>
  <si>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</si>
  <si>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</si>
  <si>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</si>
  <si>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</si>
  <si>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</si>
  <si>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</si>
  <si>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</si>
  <si>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</si>
  <si>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</si>
  <si>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</si>
  <si>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</si>
  <si>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</si>
  <si>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</si>
  <si>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</si>
  <si>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</si>
  <si>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</si>
  <si>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</si>
  <si>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</si>
  <si>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</si>
  <si>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</si>
  <si>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</si>
  <si>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</si>
  <si>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</si>
  <si>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</si>
  <si>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</si>
  <si>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</si>
  <si>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</si>
  <si>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</si>
  <si>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</si>
  <si>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</si>
  <si>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</si>
  <si>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</si>
  <si>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</si>
  <si>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</si>
  <si>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</si>
  <si>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</si>
  <si>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</si>
  <si>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</si>
  <si>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</si>
  <si>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</si>
  <si>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</si>
  <si>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</si>
  <si>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</si>
  <si>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</si>
  <si>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</si>
  <si>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</si>
  <si>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</si>
  <si>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</si>
  <si>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</si>
  <si>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</si>
  <si>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</si>
  <si>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</si>
  <si>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</si>
  <si>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</si>
  <si>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</si>
  <si>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</si>
  <si>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</si>
  <si>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</si>
  <si>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</si>
  <si>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</si>
  <si>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</si>
  <si>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</si>
  <si>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</si>
  <si>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</si>
  <si>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</si>
  <si>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</si>
  <si>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</si>
  <si>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</si>
  <si>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</si>
  <si>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</si>
  <si>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</si>
  <si>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</si>
  <si>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</si>
  <si>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</si>
  <si>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</si>
  <si>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</si>
  <si>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</si>
  <si>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</si>
  <si>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</si>
  <si>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</si>
  <si>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</si>
  <si>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</si>
  <si>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</si>
  <si>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</si>
  <si>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</si>
  <si>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</si>
  <si>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</si>
  <si>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</si>
  <si>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</si>
  <si>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</si>
  <si>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</si>
  <si>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</si>
  <si>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</si>
  <si>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</si>
  <si>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</si>
  <si>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</si>
  <si>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</si>
  <si>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</si>
  <si>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</si>
  <si>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</si>
  <si>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</si>
  <si>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</si>
  <si>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</si>
  <si>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</si>
  <si>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</si>
  <si>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</si>
  <si>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</si>
  <si>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</si>
  <si>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</si>
  <si>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</si>
  <si>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</si>
  <si>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</si>
  <si>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</si>
  <si>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</si>
  <si>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</si>
  <si>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</si>
  <si>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</si>
  <si>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</si>
  <si>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</si>
  <si>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</si>
  <si>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</si>
  <si>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</si>
  <si>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</si>
  <si>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</si>
  <si>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</si>
  <si>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</si>
  <si>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</si>
  <si>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</si>
  <si>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</si>
  <si>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</si>
  <si>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</si>
  <si>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</si>
  <si>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</si>
  <si>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</si>
  <si>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</si>
  <si>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</si>
  <si>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</si>
  <si>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</si>
  <si>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</si>
  <si>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</si>
  <si>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</si>
  <si>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</si>
  <si>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</si>
  <si>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CY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</si>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</sst>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45432.782604166663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10828.542703487243</v>
      </c>
      <c r="E2" s="19">
        <v>11628.662228104065</v>
      </c>
      <c r="F2" s="19">
        <v>12109.772359938028</v>
      </c>
      <c r="G2" s="19">
        <v>12899.806833255097</v>
      </c>
      <c r="H2" s="19">
        <v>13968.916201639075</v>
      </c>
      <c r="I2" s="19">
        <v>15072.56939046387</v>
      </c>
      <c r="J2" s="19">
        <v>16299.888181468665</v>
      </c>
      <c r="K2" s="19">
        <v>17630.054810165766</v>
      </c>
      <c r="L2" s="19">
        <v>19051.83058149058</v>
      </c>
      <c r="M2" s="19">
        <v>18716.879493960405</v>
      </c>
      <c r="N2" s="19">
        <v>19504.204291484177</v>
      </c>
      <c r="O2" s="19">
        <v>19902.167742699054</v>
      </c>
      <c r="P2" s="19">
        <v>19538.705041079418</v>
      </c>
      <c r="Q2" s="19">
        <v>18080.221938370851</v>
      </c>
      <c r="R2" s="19">
        <v>17521.666089718143</v>
      </c>
      <c r="S2" s="19">
        <v>17984.036123999998</v>
      </c>
      <c r="T2" s="19">
        <v>19056.063513200905</v>
      </c>
      <c r="U2" s="19">
        <v>20357.491036871867</v>
      </c>
      <c r="V2" s="19">
        <v>21723.164825309221</v>
      </c>
      <c r="W2" s="19">
        <v>23229.302737167702</v>
      </c>
      <c r="X2" s="19">
        <v>22135.606311325868</v>
      </c>
      <c r="Y2" s="19">
        <v>24982.899442038237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6829.270040253019</v>
      </c>
      <c r="E3" s="23">
        <v>7297.9660877905962</v>
      </c>
      <c r="F3" s="23">
        <v>7619.5592578285614</v>
      </c>
      <c r="G3" s="23">
        <v>8002.7756701541502</v>
      </c>
      <c r="H3" s="23">
        <v>8748.8785237343673</v>
      </c>
      <c r="I3" s="23">
        <v>9454.7977727453126</v>
      </c>
      <c r="J3" s="23">
        <v>10201.470111298484</v>
      </c>
      <c r="K3" s="23">
        <v>11482.884248602431</v>
      </c>
      <c r="L3" s="23">
        <v>12956.863815741064</v>
      </c>
      <c r="M3" s="23">
        <v>12145.784846483641</v>
      </c>
      <c r="N3" s="23">
        <v>13074.802426024626</v>
      </c>
      <c r="O3" s="23">
        <v>13341.704048157404</v>
      </c>
      <c r="P3" s="23">
        <v>13310.603877414926</v>
      </c>
      <c r="Q3" s="23">
        <v>12347.680220120912</v>
      </c>
      <c r="R3" s="23">
        <v>12260.0384163708</v>
      </c>
      <c r="S3" s="23">
        <v>12332.446110000001</v>
      </c>
      <c r="T3" s="23">
        <v>12718.72740154751</v>
      </c>
      <c r="U3" s="23">
        <v>13465.264322703732</v>
      </c>
      <c r="V3" s="23">
        <v>14334.957477348165</v>
      </c>
      <c r="W3" s="23">
        <v>14930.175351846699</v>
      </c>
      <c r="X3" s="23">
        <v>13772.441340333477</v>
      </c>
      <c r="Y3" s="23">
        <v>14661.089021828933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9844.7000000000025</v>
      </c>
      <c r="E4" s="27">
        <v>10511.1</v>
      </c>
      <c r="F4" s="27">
        <v>10889.4</v>
      </c>
      <c r="G4" s="27">
        <v>11419.7</v>
      </c>
      <c r="H4" s="27">
        <v>12261.9</v>
      </c>
      <c r="I4" s="27">
        <v>13139.3</v>
      </c>
      <c r="J4" s="27">
        <v>14165.6</v>
      </c>
      <c r="K4" s="27">
        <v>15184.6</v>
      </c>
      <c r="L4" s="27">
        <v>16416.5</v>
      </c>
      <c r="M4" s="27">
        <v>16419.500000000004</v>
      </c>
      <c r="N4" s="27">
        <v>17160.5</v>
      </c>
      <c r="O4" s="27">
        <v>17649.099999999995</v>
      </c>
      <c r="P4" s="27">
        <v>17293.900000000001</v>
      </c>
      <c r="Q4" s="27">
        <v>16037.8</v>
      </c>
      <c r="R4" s="27">
        <v>15322.8</v>
      </c>
      <c r="S4" s="27">
        <v>15714.9</v>
      </c>
      <c r="T4" s="27">
        <v>16646.5</v>
      </c>
      <c r="U4" s="27">
        <v>17740.5</v>
      </c>
      <c r="V4" s="27">
        <v>18891.900000000001</v>
      </c>
      <c r="W4" s="27">
        <v>20327.7</v>
      </c>
      <c r="X4" s="27">
        <v>19670.8</v>
      </c>
      <c r="Y4" s="27">
        <v>22056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394.1</v>
      </c>
      <c r="E6" s="19">
        <v>448</v>
      </c>
      <c r="F6" s="19">
        <v>457.7</v>
      </c>
      <c r="G6" s="19">
        <v>431.6</v>
      </c>
      <c r="H6" s="19">
        <v>429.8</v>
      </c>
      <c r="I6" s="19">
        <v>411.9</v>
      </c>
      <c r="J6" s="19">
        <v>370.2</v>
      </c>
      <c r="K6" s="19">
        <v>356</v>
      </c>
      <c r="L6" s="19">
        <v>397.9</v>
      </c>
      <c r="M6" s="19">
        <v>371.4</v>
      </c>
      <c r="N6" s="19">
        <v>400.4</v>
      </c>
      <c r="O6" s="19">
        <v>426</v>
      </c>
      <c r="P6" s="19">
        <v>390.2</v>
      </c>
      <c r="Q6" s="19">
        <v>367.4</v>
      </c>
      <c r="R6" s="19">
        <v>322.49999999999994</v>
      </c>
      <c r="S6" s="19">
        <v>335.2</v>
      </c>
      <c r="T6" s="19">
        <v>407.6</v>
      </c>
      <c r="U6" s="19">
        <v>376.2</v>
      </c>
      <c r="V6" s="19">
        <v>374.7</v>
      </c>
      <c r="W6" s="19">
        <v>409.1</v>
      </c>
      <c r="X6" s="19">
        <v>408.4</v>
      </c>
      <c r="Y6" s="19">
        <v>405.1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1099.700000000003</v>
      </c>
      <c r="E7" s="23">
        <v>1146.2000000000005</v>
      </c>
      <c r="F7" s="23">
        <v>1198.3999999999985</v>
      </c>
      <c r="G7" s="23">
        <v>1236.9999999999995</v>
      </c>
      <c r="H7" s="23">
        <v>1311.6999999999982</v>
      </c>
      <c r="I7" s="23">
        <v>1330.5</v>
      </c>
      <c r="J7" s="23">
        <v>1327.299999999999</v>
      </c>
      <c r="K7" s="23">
        <v>1382.0000000000018</v>
      </c>
      <c r="L7" s="23">
        <v>1387.299999999999</v>
      </c>
      <c r="M7" s="23">
        <v>1395.4000000000012</v>
      </c>
      <c r="N7" s="23">
        <v>1395.2000000000003</v>
      </c>
      <c r="O7" s="23">
        <v>1297.8999999999976</v>
      </c>
      <c r="P7" s="23">
        <v>1262.1000000000024</v>
      </c>
      <c r="Q7" s="23">
        <v>1157.3000000000015</v>
      </c>
      <c r="R7" s="23">
        <v>1090.2000000000007</v>
      </c>
      <c r="S7" s="23">
        <v>1193.8000000000011</v>
      </c>
      <c r="T7" s="23">
        <v>1301.3999999999994</v>
      </c>
      <c r="U7" s="23">
        <v>1381.8999999999987</v>
      </c>
      <c r="V7" s="23">
        <v>1545.9000000000035</v>
      </c>
      <c r="W7" s="23">
        <v>1702.5999999999979</v>
      </c>
      <c r="X7" s="23">
        <v>1660.7000000000023</v>
      </c>
      <c r="Y7" s="23">
        <v>1717.699999999998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811.2</v>
      </c>
      <c r="E8" s="23">
        <v>871.99999999999989</v>
      </c>
      <c r="F8" s="23">
        <v>968.09999999999991</v>
      </c>
      <c r="G8" s="23">
        <v>1081.5999999999999</v>
      </c>
      <c r="H8" s="23">
        <v>1206.4000000000001</v>
      </c>
      <c r="I8" s="23">
        <v>1360.1</v>
      </c>
      <c r="J8" s="23">
        <v>1572.4</v>
      </c>
      <c r="K8" s="23">
        <v>1818.9</v>
      </c>
      <c r="L8" s="23">
        <v>2014.7</v>
      </c>
      <c r="M8" s="23">
        <v>1584.1</v>
      </c>
      <c r="N8" s="23">
        <v>1422.6</v>
      </c>
      <c r="O8" s="23">
        <v>1233.0000000000002</v>
      </c>
      <c r="P8" s="23">
        <v>1030.0999999999999</v>
      </c>
      <c r="Q8" s="23">
        <v>781.9</v>
      </c>
      <c r="R8" s="23">
        <v>653.4</v>
      </c>
      <c r="S8" s="23">
        <v>634.79999999999995</v>
      </c>
      <c r="T8" s="23">
        <v>759.2</v>
      </c>
      <c r="U8" s="23">
        <v>922.2</v>
      </c>
      <c r="V8" s="23">
        <v>1091.5999999999997</v>
      </c>
      <c r="W8" s="23">
        <v>1299.7</v>
      </c>
      <c r="X8" s="23">
        <v>1220.4000000000003</v>
      </c>
      <c r="Y8" s="23">
        <v>1251.9000000000001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2931.3</v>
      </c>
      <c r="E9" s="23">
        <v>3011.4</v>
      </c>
      <c r="F9" s="23">
        <v>2972.6</v>
      </c>
      <c r="G9" s="23">
        <v>2935.5</v>
      </c>
      <c r="H9" s="23">
        <v>3105.5</v>
      </c>
      <c r="I9" s="23">
        <v>3264.5</v>
      </c>
      <c r="J9" s="23">
        <v>3531.7</v>
      </c>
      <c r="K9" s="23">
        <v>3734.7</v>
      </c>
      <c r="L9" s="23">
        <v>3957.9000000000005</v>
      </c>
      <c r="M9" s="23">
        <v>3902.1</v>
      </c>
      <c r="N9" s="23">
        <v>4128.3</v>
      </c>
      <c r="O9" s="23">
        <v>4328.3999999999996</v>
      </c>
      <c r="P9" s="23">
        <v>4154.2</v>
      </c>
      <c r="Q9" s="23">
        <v>3821.6</v>
      </c>
      <c r="R9" s="23">
        <v>3791.4</v>
      </c>
      <c r="S9" s="23">
        <v>3901</v>
      </c>
      <c r="T9" s="23">
        <v>4156</v>
      </c>
      <c r="U9" s="23">
        <v>4509.8999999999996</v>
      </c>
      <c r="V9" s="23">
        <v>4918.3</v>
      </c>
      <c r="W9" s="23">
        <v>5093.3</v>
      </c>
      <c r="X9" s="23">
        <v>3712.5</v>
      </c>
      <c r="Y9" s="23">
        <v>4773.1000000000004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392.3</v>
      </c>
      <c r="E10" s="23">
        <v>453.6</v>
      </c>
      <c r="F10" s="23">
        <v>456.8</v>
      </c>
      <c r="G10" s="23">
        <v>453.29999999999995</v>
      </c>
      <c r="H10" s="23">
        <v>495.2</v>
      </c>
      <c r="I10" s="23">
        <v>512.20000000000005</v>
      </c>
      <c r="J10" s="23">
        <v>479.7</v>
      </c>
      <c r="K10" s="23">
        <v>525.4</v>
      </c>
      <c r="L10" s="23">
        <v>556.79999999999995</v>
      </c>
      <c r="M10" s="23">
        <v>556.90000000000009</v>
      </c>
      <c r="N10" s="23">
        <v>622.6</v>
      </c>
      <c r="O10" s="23">
        <v>642.6</v>
      </c>
      <c r="P10" s="23">
        <v>619.4</v>
      </c>
      <c r="Q10" s="23">
        <v>688.9</v>
      </c>
      <c r="R10" s="23">
        <v>737.6</v>
      </c>
      <c r="S10" s="23">
        <v>756.3</v>
      </c>
      <c r="T10" s="23">
        <v>969.2</v>
      </c>
      <c r="U10" s="23">
        <v>1154.5</v>
      </c>
      <c r="V10" s="23">
        <v>1237.9000000000003</v>
      </c>
      <c r="W10" s="23">
        <v>1440.2</v>
      </c>
      <c r="X10" s="23">
        <v>1713.2</v>
      </c>
      <c r="Y10" s="23">
        <v>2007.2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669.3</v>
      </c>
      <c r="E11" s="23">
        <v>736</v>
      </c>
      <c r="F11" s="23">
        <v>709.4</v>
      </c>
      <c r="G11" s="23">
        <v>727.9</v>
      </c>
      <c r="H11" s="23">
        <v>825.9</v>
      </c>
      <c r="I11" s="23">
        <v>938.7</v>
      </c>
      <c r="J11" s="23">
        <v>1108.9000000000003</v>
      </c>
      <c r="K11" s="23">
        <v>1267.2</v>
      </c>
      <c r="L11" s="23">
        <v>1303.2</v>
      </c>
      <c r="M11" s="23">
        <v>1420.5</v>
      </c>
      <c r="N11" s="23">
        <v>1531.7</v>
      </c>
      <c r="O11" s="23">
        <v>1707.1</v>
      </c>
      <c r="P11" s="23">
        <v>1857</v>
      </c>
      <c r="Q11" s="23">
        <v>1922.4</v>
      </c>
      <c r="R11" s="23">
        <v>1898.5</v>
      </c>
      <c r="S11" s="23">
        <v>2025.6</v>
      </c>
      <c r="T11" s="23">
        <v>1925</v>
      </c>
      <c r="U11" s="23">
        <v>1820.7</v>
      </c>
      <c r="V11" s="23">
        <v>1585.1</v>
      </c>
      <c r="W11" s="23">
        <v>1544.5</v>
      </c>
      <c r="X11" s="23">
        <v>2025.5</v>
      </c>
      <c r="Y11" s="23">
        <v>2346.4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622.79999999999995</v>
      </c>
      <c r="E12" s="23">
        <v>657.7</v>
      </c>
      <c r="F12" s="23">
        <v>714.9</v>
      </c>
      <c r="G12" s="23">
        <v>784.6</v>
      </c>
      <c r="H12" s="23">
        <v>896.3</v>
      </c>
      <c r="I12" s="23">
        <v>1034.7</v>
      </c>
      <c r="J12" s="23">
        <v>1155.8</v>
      </c>
      <c r="K12" s="23">
        <v>1251.5999999999999</v>
      </c>
      <c r="L12" s="23">
        <v>1366.5</v>
      </c>
      <c r="M12" s="23">
        <v>1521</v>
      </c>
      <c r="N12" s="23">
        <v>1612.1</v>
      </c>
      <c r="O12" s="23">
        <v>1751.6</v>
      </c>
      <c r="P12" s="23">
        <v>1815.3</v>
      </c>
      <c r="Q12" s="23">
        <v>1663.9</v>
      </c>
      <c r="R12" s="23">
        <v>1463.9</v>
      </c>
      <c r="S12" s="23">
        <v>1483.9</v>
      </c>
      <c r="T12" s="23">
        <v>1573.1</v>
      </c>
      <c r="U12" s="23">
        <v>1599.5</v>
      </c>
      <c r="V12" s="23">
        <v>1713.6</v>
      </c>
      <c r="W12" s="23">
        <v>1883.5</v>
      </c>
      <c r="X12" s="23">
        <v>1909.6</v>
      </c>
      <c r="Y12" s="23">
        <v>2008.6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763.4</v>
      </c>
      <c r="E13" s="23">
        <v>896.1</v>
      </c>
      <c r="F13" s="23">
        <v>942.2</v>
      </c>
      <c r="G13" s="23">
        <v>939.5</v>
      </c>
      <c r="H13" s="23">
        <v>965.4</v>
      </c>
      <c r="I13" s="23">
        <v>1037.5000000000002</v>
      </c>
      <c r="J13" s="23">
        <v>1129</v>
      </c>
      <c r="K13" s="23">
        <v>1232.9000000000001</v>
      </c>
      <c r="L13" s="23">
        <v>1388.6</v>
      </c>
      <c r="M13" s="23">
        <v>1381</v>
      </c>
      <c r="N13" s="23">
        <v>1555.4</v>
      </c>
      <c r="O13" s="23">
        <v>1633.7</v>
      </c>
      <c r="P13" s="23">
        <v>1560.5</v>
      </c>
      <c r="Q13" s="23">
        <v>1443.6</v>
      </c>
      <c r="R13" s="23">
        <v>1480.8</v>
      </c>
      <c r="S13" s="23">
        <v>1567.4</v>
      </c>
      <c r="T13" s="23">
        <v>1682.1</v>
      </c>
      <c r="U13" s="23">
        <v>1901.8</v>
      </c>
      <c r="V13" s="23">
        <v>2132.5000000000005</v>
      </c>
      <c r="W13" s="23">
        <v>2291.6999999999998</v>
      </c>
      <c r="X13" s="23">
        <v>2233.4</v>
      </c>
      <c r="Y13" s="23">
        <v>2434.8000000000002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1800.6</v>
      </c>
      <c r="E14" s="23">
        <v>1892.6</v>
      </c>
      <c r="F14" s="23">
        <v>2045.3</v>
      </c>
      <c r="G14" s="23">
        <v>2376.6999999999994</v>
      </c>
      <c r="H14" s="23">
        <v>2536.9</v>
      </c>
      <c r="I14" s="23">
        <v>2718</v>
      </c>
      <c r="J14" s="23">
        <v>2896.7</v>
      </c>
      <c r="K14" s="23">
        <v>2984.7</v>
      </c>
      <c r="L14" s="23">
        <v>3298.8</v>
      </c>
      <c r="M14" s="23">
        <v>3529.9</v>
      </c>
      <c r="N14" s="23">
        <v>3659.1</v>
      </c>
      <c r="O14" s="23">
        <v>3756.4</v>
      </c>
      <c r="P14" s="23">
        <v>3759.1</v>
      </c>
      <c r="Q14" s="23">
        <v>3493.7</v>
      </c>
      <c r="R14" s="23">
        <v>3207.4</v>
      </c>
      <c r="S14" s="23">
        <v>3134.9</v>
      </c>
      <c r="T14" s="23">
        <v>3162.1</v>
      </c>
      <c r="U14" s="23">
        <v>3330.1</v>
      </c>
      <c r="V14" s="23">
        <v>3517.4</v>
      </c>
      <c r="W14" s="23">
        <v>3830.3</v>
      </c>
      <c r="X14" s="23">
        <v>4110.3</v>
      </c>
      <c r="Y14" s="23">
        <v>4345.7999999999993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360</v>
      </c>
      <c r="E15" s="23">
        <v>397.5</v>
      </c>
      <c r="F15" s="23">
        <v>424</v>
      </c>
      <c r="G15" s="23">
        <v>452</v>
      </c>
      <c r="H15" s="23">
        <v>488.80000000000007</v>
      </c>
      <c r="I15" s="23">
        <v>531.20000000000016</v>
      </c>
      <c r="J15" s="23">
        <v>593.90000000000009</v>
      </c>
      <c r="K15" s="23">
        <v>631.20000000000005</v>
      </c>
      <c r="L15" s="23">
        <v>744.8</v>
      </c>
      <c r="M15" s="23">
        <v>757.2</v>
      </c>
      <c r="N15" s="23">
        <v>833.1</v>
      </c>
      <c r="O15" s="23">
        <v>872.4</v>
      </c>
      <c r="P15" s="23">
        <v>846</v>
      </c>
      <c r="Q15" s="23">
        <v>697.1</v>
      </c>
      <c r="R15" s="23">
        <v>677.1</v>
      </c>
      <c r="S15" s="23">
        <v>682</v>
      </c>
      <c r="T15" s="23">
        <v>710.8</v>
      </c>
      <c r="U15" s="23">
        <v>743.7</v>
      </c>
      <c r="V15" s="23">
        <v>774.9</v>
      </c>
      <c r="W15" s="23">
        <v>832.8</v>
      </c>
      <c r="X15" s="23">
        <v>676.8</v>
      </c>
      <c r="Y15" s="23">
        <v>765.4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9844.7000000000025</v>
      </c>
      <c r="E16" s="30">
        <f t="shared" ref="E16:S16" si="0">SUM(E6:E15)</f>
        <v>10511.1</v>
      </c>
      <c r="F16" s="30">
        <f t="shared" si="0"/>
        <v>10889.399999999998</v>
      </c>
      <c r="G16" s="30">
        <f t="shared" si="0"/>
        <v>11419.699999999999</v>
      </c>
      <c r="H16" s="30">
        <f t="shared" si="0"/>
        <v>12261.899999999996</v>
      </c>
      <c r="I16" s="30">
        <f t="shared" si="0"/>
        <v>13139.300000000001</v>
      </c>
      <c r="J16" s="30">
        <f t="shared" si="0"/>
        <v>14165.599999999997</v>
      </c>
      <c r="K16" s="30">
        <f t="shared" si="0"/>
        <v>15184.600000000002</v>
      </c>
      <c r="L16" s="30">
        <f t="shared" si="0"/>
        <v>16416.5</v>
      </c>
      <c r="M16" s="30">
        <f t="shared" si="0"/>
        <v>16419.5</v>
      </c>
      <c r="N16" s="30">
        <f t="shared" si="0"/>
        <v>17160.5</v>
      </c>
      <c r="O16" s="30">
        <f t="shared" si="0"/>
        <v>17649.100000000002</v>
      </c>
      <c r="P16" s="30">
        <f t="shared" si="0"/>
        <v>17293.900000000001</v>
      </c>
      <c r="Q16" s="30">
        <f t="shared" si="0"/>
        <v>16037.800000000001</v>
      </c>
      <c r="R16" s="30">
        <f t="shared" si="0"/>
        <v>15322.800000000001</v>
      </c>
      <c r="S16" s="30">
        <f t="shared" si="0"/>
        <v>15714.9</v>
      </c>
      <c r="T16" s="30">
        <f t="shared" ref="T16:Y16" si="1">SUM(T6:T15)</f>
        <v>16646.5</v>
      </c>
      <c r="U16" s="30">
        <f t="shared" si="1"/>
        <v>17740.5</v>
      </c>
      <c r="V16" s="30">
        <f t="shared" si="1"/>
        <v>18891.900000000005</v>
      </c>
      <c r="W16" s="30">
        <f t="shared" si="1"/>
        <v>20327.699999999997</v>
      </c>
      <c r="X16" s="30">
        <f t="shared" si="1"/>
        <v>19670.800000000003</v>
      </c>
      <c r="Y16" s="30">
        <f t="shared" si="1"/>
        <v>22056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394.1</v>
      </c>
      <c r="E18" s="19">
        <v>448</v>
      </c>
      <c r="F18" s="19">
        <v>457.7</v>
      </c>
      <c r="G18" s="19">
        <v>431.6</v>
      </c>
      <c r="H18" s="19">
        <v>429.8</v>
      </c>
      <c r="I18" s="19">
        <v>411.9</v>
      </c>
      <c r="J18" s="19">
        <v>370.2</v>
      </c>
      <c r="K18" s="19">
        <v>356</v>
      </c>
      <c r="L18" s="19">
        <v>397.9</v>
      </c>
      <c r="M18" s="19">
        <v>371.4</v>
      </c>
      <c r="N18" s="19">
        <v>400.4</v>
      </c>
      <c r="O18" s="19">
        <v>426</v>
      </c>
      <c r="P18" s="19">
        <v>390.2</v>
      </c>
      <c r="Q18" s="19">
        <v>367.4</v>
      </c>
      <c r="R18" s="19">
        <v>322.49999999999994</v>
      </c>
      <c r="S18" s="19">
        <v>335.2</v>
      </c>
      <c r="T18" s="19">
        <v>407.6</v>
      </c>
      <c r="U18" s="19">
        <v>376.2</v>
      </c>
      <c r="V18" s="19">
        <v>374.7</v>
      </c>
      <c r="W18" s="19">
        <v>409.1</v>
      </c>
      <c r="X18" s="19">
        <v>408.4</v>
      </c>
      <c r="Y18" s="19">
        <v>405.1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28.8</v>
      </c>
      <c r="E19" s="23">
        <v>26.4</v>
      </c>
      <c r="F19" s="23">
        <v>30.6</v>
      </c>
      <c r="G19" s="23">
        <v>35.200000000000003</v>
      </c>
      <c r="H19" s="23">
        <v>41.8</v>
      </c>
      <c r="I19" s="23">
        <v>45</v>
      </c>
      <c r="J19" s="23">
        <v>46.9</v>
      </c>
      <c r="K19" s="23">
        <v>50.9</v>
      </c>
      <c r="L19" s="23">
        <v>63.500000000000007</v>
      </c>
      <c r="M19" s="23">
        <v>47.8</v>
      </c>
      <c r="N19" s="23">
        <v>48</v>
      </c>
      <c r="O19" s="23">
        <v>36.499999999999993</v>
      </c>
      <c r="P19" s="23">
        <v>18.3</v>
      </c>
      <c r="Q19" s="23">
        <v>19.2</v>
      </c>
      <c r="R19" s="23">
        <v>20.8</v>
      </c>
      <c r="S19" s="23">
        <v>25.7</v>
      </c>
      <c r="T19" s="23">
        <v>18.5</v>
      </c>
      <c r="U19" s="23">
        <v>17.700000000000003</v>
      </c>
      <c r="V19" s="23">
        <v>24.3</v>
      </c>
      <c r="W19" s="23">
        <v>27</v>
      </c>
      <c r="X19" s="23">
        <v>25.4</v>
      </c>
      <c r="Y19" s="23">
        <v>30.4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880.40000000000282</v>
      </c>
      <c r="E20" s="23">
        <v>898.80000000000041</v>
      </c>
      <c r="F20" s="23">
        <v>934.3999999999985</v>
      </c>
      <c r="G20" s="23">
        <v>944.79999999999961</v>
      </c>
      <c r="H20" s="23">
        <v>1004.7999999999981</v>
      </c>
      <c r="I20" s="23">
        <v>1023.1</v>
      </c>
      <c r="J20" s="23">
        <v>996.89999999999918</v>
      </c>
      <c r="K20" s="23">
        <v>1010.2000000000018</v>
      </c>
      <c r="L20" s="23">
        <v>1040.6999999999991</v>
      </c>
      <c r="M20" s="23">
        <v>1004.3000000000012</v>
      </c>
      <c r="N20" s="23">
        <v>983.40000000000043</v>
      </c>
      <c r="O20" s="23">
        <v>913.39999999999782</v>
      </c>
      <c r="P20" s="23">
        <v>816.70000000000243</v>
      </c>
      <c r="Q20" s="23">
        <v>700.80000000000143</v>
      </c>
      <c r="R20" s="23">
        <v>713.00000000000068</v>
      </c>
      <c r="S20" s="23">
        <v>764.400000000001</v>
      </c>
      <c r="T20" s="23">
        <v>869.19999999999936</v>
      </c>
      <c r="U20" s="23">
        <v>993.39999999999918</v>
      </c>
      <c r="V20" s="23">
        <v>1155.0000000000032</v>
      </c>
      <c r="W20" s="23">
        <v>1264.1999999999978</v>
      </c>
      <c r="X20" s="23">
        <v>1258.6000000000024</v>
      </c>
      <c r="Y20" s="23">
        <v>1288.2999999999981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132.5</v>
      </c>
      <c r="E21" s="23">
        <v>156.9</v>
      </c>
      <c r="F21" s="23">
        <v>164.3</v>
      </c>
      <c r="G21" s="23">
        <v>180.4</v>
      </c>
      <c r="H21" s="23">
        <v>179.4</v>
      </c>
      <c r="I21" s="23">
        <v>169.5</v>
      </c>
      <c r="J21" s="23">
        <v>173.7</v>
      </c>
      <c r="K21" s="23">
        <v>203.8</v>
      </c>
      <c r="L21" s="23">
        <v>181.7</v>
      </c>
      <c r="M21" s="23">
        <v>236.3</v>
      </c>
      <c r="N21" s="23">
        <v>256.3</v>
      </c>
      <c r="O21" s="23">
        <v>230.1</v>
      </c>
      <c r="P21" s="23">
        <v>295.10000000000002</v>
      </c>
      <c r="Q21" s="23">
        <v>300.89999999999998</v>
      </c>
      <c r="R21" s="23">
        <v>224</v>
      </c>
      <c r="S21" s="23">
        <v>270.89999999999998</v>
      </c>
      <c r="T21" s="23">
        <v>275.39999999999998</v>
      </c>
      <c r="U21" s="23">
        <v>222.9</v>
      </c>
      <c r="V21" s="23">
        <v>218.8</v>
      </c>
      <c r="W21" s="23">
        <v>256</v>
      </c>
      <c r="X21" s="23">
        <v>217.8</v>
      </c>
      <c r="Y21" s="23">
        <v>226.2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58</v>
      </c>
      <c r="E22" s="23">
        <v>64.099999999999994</v>
      </c>
      <c r="F22" s="23">
        <v>69.099999999999994</v>
      </c>
      <c r="G22" s="23">
        <v>76.599999999999994</v>
      </c>
      <c r="H22" s="23">
        <v>85.7</v>
      </c>
      <c r="I22" s="23">
        <v>92.9</v>
      </c>
      <c r="J22" s="23">
        <v>109.8</v>
      </c>
      <c r="K22" s="23">
        <v>117.1</v>
      </c>
      <c r="L22" s="23">
        <v>101.4</v>
      </c>
      <c r="M22" s="23">
        <v>107</v>
      </c>
      <c r="N22" s="23">
        <v>107.5</v>
      </c>
      <c r="O22" s="23">
        <v>117.9</v>
      </c>
      <c r="P22" s="23">
        <v>132</v>
      </c>
      <c r="Q22" s="23">
        <v>136.4</v>
      </c>
      <c r="R22" s="23">
        <v>132.39999999999998</v>
      </c>
      <c r="S22" s="23">
        <v>132.80000000000001</v>
      </c>
      <c r="T22" s="23">
        <v>138.30000000000001</v>
      </c>
      <c r="U22" s="23">
        <v>147.9</v>
      </c>
      <c r="V22" s="23">
        <v>147.80000000000001</v>
      </c>
      <c r="W22" s="23">
        <v>155.4</v>
      </c>
      <c r="X22" s="23">
        <v>158.89999999999998</v>
      </c>
      <c r="Y22" s="23">
        <v>172.8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811.2</v>
      </c>
      <c r="E23" s="23">
        <v>871.99999999999989</v>
      </c>
      <c r="F23" s="23">
        <v>968.09999999999991</v>
      </c>
      <c r="G23" s="23">
        <v>1081.5999999999999</v>
      </c>
      <c r="H23" s="23">
        <v>1206.4000000000001</v>
      </c>
      <c r="I23" s="23">
        <v>1360.1</v>
      </c>
      <c r="J23" s="23">
        <v>1572.4</v>
      </c>
      <c r="K23" s="23">
        <v>1818.9</v>
      </c>
      <c r="L23" s="23">
        <v>2014.7</v>
      </c>
      <c r="M23" s="23">
        <v>1584.1</v>
      </c>
      <c r="N23" s="23">
        <v>1422.6</v>
      </c>
      <c r="O23" s="23">
        <v>1233.0000000000002</v>
      </c>
      <c r="P23" s="23">
        <v>1030.0999999999999</v>
      </c>
      <c r="Q23" s="23">
        <v>781.9</v>
      </c>
      <c r="R23" s="23">
        <v>653.4</v>
      </c>
      <c r="S23" s="23">
        <v>634.79999999999995</v>
      </c>
      <c r="T23" s="23">
        <v>759.2</v>
      </c>
      <c r="U23" s="23">
        <v>922.2</v>
      </c>
      <c r="V23" s="23">
        <v>1091.5999999999997</v>
      </c>
      <c r="W23" s="23">
        <v>1299.7</v>
      </c>
      <c r="X23" s="23">
        <v>1220.4000000000003</v>
      </c>
      <c r="Y23" s="23">
        <v>1251.9000000000001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1217.3000000000002</v>
      </c>
      <c r="E24" s="23">
        <v>1280.0000000000002</v>
      </c>
      <c r="F24" s="23">
        <v>1298.0999999999999</v>
      </c>
      <c r="G24" s="23">
        <v>1279.3000000000002</v>
      </c>
      <c r="H24" s="23">
        <v>1435.8</v>
      </c>
      <c r="I24" s="23">
        <v>1552.6000000000004</v>
      </c>
      <c r="J24" s="23">
        <v>1688.5999999999997</v>
      </c>
      <c r="K24" s="23">
        <v>1819.1</v>
      </c>
      <c r="L24" s="23">
        <v>1959.3000000000002</v>
      </c>
      <c r="M24" s="23">
        <v>1878.2000000000003</v>
      </c>
      <c r="N24" s="23">
        <v>1949.0999999999995</v>
      </c>
      <c r="O24" s="23">
        <v>1910.8999999999996</v>
      </c>
      <c r="P24" s="23">
        <v>1858.5000000000002</v>
      </c>
      <c r="Q24" s="23">
        <v>1615.7999999999997</v>
      </c>
      <c r="R24" s="23">
        <v>1616.3000000000002</v>
      </c>
      <c r="S24" s="23">
        <v>1640.9999999999998</v>
      </c>
      <c r="T24" s="23">
        <v>1770.3</v>
      </c>
      <c r="U24" s="23">
        <v>1996.2</v>
      </c>
      <c r="V24" s="23">
        <v>2145.1</v>
      </c>
      <c r="W24" s="23">
        <v>2235.5</v>
      </c>
      <c r="X24" s="23">
        <v>2160.4</v>
      </c>
      <c r="Y24" s="23">
        <v>2604.7000000000007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887.8</v>
      </c>
      <c r="E25" s="23">
        <v>850.20000000000016</v>
      </c>
      <c r="F25" s="23">
        <v>862.1</v>
      </c>
      <c r="G25" s="23">
        <v>878.2</v>
      </c>
      <c r="H25" s="23">
        <v>884.2</v>
      </c>
      <c r="I25" s="23">
        <v>896.6</v>
      </c>
      <c r="J25" s="23">
        <v>959.1</v>
      </c>
      <c r="K25" s="23">
        <v>979.3</v>
      </c>
      <c r="L25" s="23">
        <v>1056.4000000000001</v>
      </c>
      <c r="M25" s="23">
        <v>1151.5999999999999</v>
      </c>
      <c r="N25" s="23">
        <v>1288.9000000000001</v>
      </c>
      <c r="O25" s="23">
        <v>1413.5</v>
      </c>
      <c r="P25" s="23">
        <v>1253.5999999999999</v>
      </c>
      <c r="Q25" s="23">
        <v>1219</v>
      </c>
      <c r="R25" s="23">
        <v>1163.5999999999997</v>
      </c>
      <c r="S25" s="23">
        <v>1239.8</v>
      </c>
      <c r="T25" s="23">
        <v>1211.2</v>
      </c>
      <c r="U25" s="23">
        <v>1243</v>
      </c>
      <c r="V25" s="23">
        <v>1382</v>
      </c>
      <c r="W25" s="23">
        <v>1422</v>
      </c>
      <c r="X25" s="23">
        <v>1108.0999999999999</v>
      </c>
      <c r="Y25" s="23">
        <v>1203.0999999999999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826.2</v>
      </c>
      <c r="E26" s="23">
        <v>881.2</v>
      </c>
      <c r="F26" s="23">
        <v>812.4</v>
      </c>
      <c r="G26" s="23">
        <v>778</v>
      </c>
      <c r="H26" s="23">
        <v>785.5</v>
      </c>
      <c r="I26" s="23">
        <v>815.3</v>
      </c>
      <c r="J26" s="23">
        <v>884</v>
      </c>
      <c r="K26" s="23">
        <v>936.3</v>
      </c>
      <c r="L26" s="23">
        <v>942.2</v>
      </c>
      <c r="M26" s="23">
        <v>872.3</v>
      </c>
      <c r="N26" s="23">
        <v>890.3</v>
      </c>
      <c r="O26" s="23">
        <v>1004</v>
      </c>
      <c r="P26" s="23">
        <v>1042.0999999999999</v>
      </c>
      <c r="Q26" s="23">
        <v>986.8</v>
      </c>
      <c r="R26" s="23">
        <v>1011.5</v>
      </c>
      <c r="S26" s="23">
        <v>1020.2</v>
      </c>
      <c r="T26" s="23">
        <v>1174.5</v>
      </c>
      <c r="U26" s="23">
        <v>1270.6999999999998</v>
      </c>
      <c r="V26" s="23">
        <v>1391.2</v>
      </c>
      <c r="W26" s="23">
        <v>1435.8</v>
      </c>
      <c r="X26" s="23">
        <v>444</v>
      </c>
      <c r="Y26" s="23">
        <v>965.3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392.3</v>
      </c>
      <c r="E27" s="23">
        <v>453.6</v>
      </c>
      <c r="F27" s="23">
        <v>456.8</v>
      </c>
      <c r="G27" s="23">
        <v>453.29999999999995</v>
      </c>
      <c r="H27" s="23">
        <v>495.2</v>
      </c>
      <c r="I27" s="23">
        <v>512.20000000000005</v>
      </c>
      <c r="J27" s="23">
        <v>479.7</v>
      </c>
      <c r="K27" s="23">
        <v>525.4</v>
      </c>
      <c r="L27" s="23">
        <v>556.79999999999995</v>
      </c>
      <c r="M27" s="23">
        <v>556.90000000000009</v>
      </c>
      <c r="N27" s="23">
        <v>622.6</v>
      </c>
      <c r="O27" s="23">
        <v>642.6</v>
      </c>
      <c r="P27" s="23">
        <v>619.4</v>
      </c>
      <c r="Q27" s="23">
        <v>688.9</v>
      </c>
      <c r="R27" s="23">
        <v>737.6</v>
      </c>
      <c r="S27" s="23">
        <v>756.3</v>
      </c>
      <c r="T27" s="23">
        <v>969.2</v>
      </c>
      <c r="U27" s="23">
        <v>1154.5</v>
      </c>
      <c r="V27" s="23">
        <v>1237.9000000000003</v>
      </c>
      <c r="W27" s="23">
        <v>1440.2</v>
      </c>
      <c r="X27" s="23">
        <v>1713.2</v>
      </c>
      <c r="Y27" s="23">
        <v>2007.2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669.3</v>
      </c>
      <c r="E28" s="23">
        <v>736</v>
      </c>
      <c r="F28" s="23">
        <v>709.4</v>
      </c>
      <c r="G28" s="23">
        <v>727.9</v>
      </c>
      <c r="H28" s="23">
        <v>825.9</v>
      </c>
      <c r="I28" s="23">
        <v>938.7</v>
      </c>
      <c r="J28" s="23">
        <v>1108.9000000000003</v>
      </c>
      <c r="K28" s="23">
        <v>1267.2</v>
      </c>
      <c r="L28" s="23">
        <v>1303.2</v>
      </c>
      <c r="M28" s="23">
        <v>1420.5</v>
      </c>
      <c r="N28" s="23">
        <v>1531.7</v>
      </c>
      <c r="O28" s="23">
        <v>1707.1</v>
      </c>
      <c r="P28" s="23">
        <v>1857</v>
      </c>
      <c r="Q28" s="23">
        <v>1922.4</v>
      </c>
      <c r="R28" s="23">
        <v>1898.5</v>
      </c>
      <c r="S28" s="23">
        <v>2025.6</v>
      </c>
      <c r="T28" s="23">
        <v>1925</v>
      </c>
      <c r="U28" s="23">
        <v>1820.7</v>
      </c>
      <c r="V28" s="23">
        <v>1585.1</v>
      </c>
      <c r="W28" s="23">
        <v>1544.5</v>
      </c>
      <c r="X28" s="23">
        <v>2025.5</v>
      </c>
      <c r="Y28" s="23">
        <v>2346.4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622.79999999999995</v>
      </c>
      <c r="E29" s="23">
        <v>657.7</v>
      </c>
      <c r="F29" s="23">
        <v>714.9</v>
      </c>
      <c r="G29" s="23">
        <v>784.6</v>
      </c>
      <c r="H29" s="23">
        <v>896.3</v>
      </c>
      <c r="I29" s="23">
        <v>1034.7</v>
      </c>
      <c r="J29" s="23">
        <v>1155.8</v>
      </c>
      <c r="K29" s="23">
        <v>1251.5999999999999</v>
      </c>
      <c r="L29" s="23">
        <v>1366.5</v>
      </c>
      <c r="M29" s="23">
        <v>1521</v>
      </c>
      <c r="N29" s="23">
        <v>1612.1</v>
      </c>
      <c r="O29" s="23">
        <v>1751.6</v>
      </c>
      <c r="P29" s="23">
        <v>1815.3</v>
      </c>
      <c r="Q29" s="23">
        <v>1663.9</v>
      </c>
      <c r="R29" s="23">
        <v>1463.9</v>
      </c>
      <c r="S29" s="23">
        <v>1483.9</v>
      </c>
      <c r="T29" s="23">
        <v>1573.1</v>
      </c>
      <c r="U29" s="23">
        <v>1599.5</v>
      </c>
      <c r="V29" s="23">
        <v>1713.6</v>
      </c>
      <c r="W29" s="23">
        <v>1883.5</v>
      </c>
      <c r="X29" s="23">
        <v>1909.6</v>
      </c>
      <c r="Y29" s="23">
        <v>2008.6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611.70000000000005</v>
      </c>
      <c r="E30" s="23">
        <v>729.60000000000014</v>
      </c>
      <c r="F30" s="23">
        <v>774.8</v>
      </c>
      <c r="G30" s="23">
        <v>768.8</v>
      </c>
      <c r="H30" s="23">
        <v>793.2</v>
      </c>
      <c r="I30" s="23">
        <v>844.30000000000018</v>
      </c>
      <c r="J30" s="23">
        <v>909.1</v>
      </c>
      <c r="K30" s="23">
        <v>993.70000000000027</v>
      </c>
      <c r="L30" s="23">
        <v>1137.5999999999999</v>
      </c>
      <c r="M30" s="23">
        <v>1131</v>
      </c>
      <c r="N30" s="23">
        <v>1281.7</v>
      </c>
      <c r="O30" s="23">
        <v>1362.1</v>
      </c>
      <c r="P30" s="23">
        <v>1297.7</v>
      </c>
      <c r="Q30" s="23">
        <v>1199.5000000000002</v>
      </c>
      <c r="R30" s="23">
        <v>1222.1000000000001</v>
      </c>
      <c r="S30" s="23">
        <v>1297.4000000000001</v>
      </c>
      <c r="T30" s="23">
        <v>1393.8</v>
      </c>
      <c r="U30" s="23">
        <v>1572.8000000000002</v>
      </c>
      <c r="V30" s="23">
        <v>1692.0000000000002</v>
      </c>
      <c r="W30" s="23">
        <v>1796.7</v>
      </c>
      <c r="X30" s="23">
        <v>1796.5999999999997</v>
      </c>
      <c r="Y30" s="23">
        <v>1900.6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151.69999999999999</v>
      </c>
      <c r="E31" s="23">
        <v>166.5</v>
      </c>
      <c r="F31" s="23">
        <v>167.4</v>
      </c>
      <c r="G31" s="23">
        <v>170.7</v>
      </c>
      <c r="H31" s="23">
        <v>172.2</v>
      </c>
      <c r="I31" s="23">
        <v>193.2</v>
      </c>
      <c r="J31" s="23">
        <v>219.9</v>
      </c>
      <c r="K31" s="23">
        <v>239.2</v>
      </c>
      <c r="L31" s="23">
        <v>251</v>
      </c>
      <c r="M31" s="23">
        <v>250</v>
      </c>
      <c r="N31" s="23">
        <v>273.7</v>
      </c>
      <c r="O31" s="23">
        <v>271.60000000000002</v>
      </c>
      <c r="P31" s="23">
        <v>262.8</v>
      </c>
      <c r="Q31" s="23">
        <v>244.1</v>
      </c>
      <c r="R31" s="23">
        <v>258.70000000000005</v>
      </c>
      <c r="S31" s="23">
        <v>270</v>
      </c>
      <c r="T31" s="23">
        <v>288.3</v>
      </c>
      <c r="U31" s="23">
        <v>329</v>
      </c>
      <c r="V31" s="23">
        <v>440.5</v>
      </c>
      <c r="W31" s="23">
        <v>495</v>
      </c>
      <c r="X31" s="23">
        <v>436.8</v>
      </c>
      <c r="Y31" s="23">
        <v>534.20000000000005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939.90000000000009</v>
      </c>
      <c r="E32" s="23">
        <v>965.7</v>
      </c>
      <c r="F32" s="23">
        <v>1048.0999999999997</v>
      </c>
      <c r="G32" s="23">
        <v>1258.1999999999996</v>
      </c>
      <c r="H32" s="23">
        <v>1367.8000000000002</v>
      </c>
      <c r="I32" s="23">
        <v>1466.6</v>
      </c>
      <c r="J32" s="23">
        <v>1570.1999999999998</v>
      </c>
      <c r="K32" s="23">
        <v>1608.3999999999996</v>
      </c>
      <c r="L32" s="23">
        <v>1741.8</v>
      </c>
      <c r="M32" s="23">
        <v>1858.5000000000002</v>
      </c>
      <c r="N32" s="23">
        <v>1865.0999999999997</v>
      </c>
      <c r="O32" s="23">
        <v>1999.8999999999996</v>
      </c>
      <c r="P32" s="23">
        <v>2027.2000000000003</v>
      </c>
      <c r="Q32" s="23">
        <v>1794.1999999999998</v>
      </c>
      <c r="R32" s="23">
        <v>1547.6000000000004</v>
      </c>
      <c r="S32" s="23">
        <v>1511</v>
      </c>
      <c r="T32" s="23">
        <v>1478.4000000000003</v>
      </c>
      <c r="U32" s="23">
        <v>1558.6999999999998</v>
      </c>
      <c r="V32" s="23">
        <v>1586.7</v>
      </c>
      <c r="W32" s="23">
        <v>1774.8000000000002</v>
      </c>
      <c r="X32" s="23">
        <v>1866.2999999999997</v>
      </c>
      <c r="Y32" s="23">
        <v>1910.3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529.1</v>
      </c>
      <c r="E33" s="23">
        <v>571.99999999999989</v>
      </c>
      <c r="F33" s="23">
        <v>614.70000000000005</v>
      </c>
      <c r="G33" s="23">
        <v>697</v>
      </c>
      <c r="H33" s="23">
        <v>726.9</v>
      </c>
      <c r="I33" s="23">
        <v>778.3</v>
      </c>
      <c r="J33" s="23">
        <v>828.3</v>
      </c>
      <c r="K33" s="23">
        <v>859.7</v>
      </c>
      <c r="L33" s="23">
        <v>972</v>
      </c>
      <c r="M33" s="23">
        <v>1052.5999999999999</v>
      </c>
      <c r="N33" s="23">
        <v>1127.4000000000001</v>
      </c>
      <c r="O33" s="23">
        <v>1074.9000000000001</v>
      </c>
      <c r="P33" s="23">
        <v>1045.5999999999999</v>
      </c>
      <c r="Q33" s="23">
        <v>1035.9000000000001</v>
      </c>
      <c r="R33" s="23">
        <v>1014.4</v>
      </c>
      <c r="S33" s="23">
        <v>995.4</v>
      </c>
      <c r="T33" s="23">
        <v>1029.5</v>
      </c>
      <c r="U33" s="23">
        <v>1078.3</v>
      </c>
      <c r="V33" s="23">
        <v>1183.4999999999998</v>
      </c>
      <c r="W33" s="23">
        <v>1237.7</v>
      </c>
      <c r="X33" s="23">
        <v>1304.2</v>
      </c>
      <c r="Y33" s="23">
        <v>1375.4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331.6</v>
      </c>
      <c r="E34" s="23">
        <v>354.9</v>
      </c>
      <c r="F34" s="23">
        <v>382.5</v>
      </c>
      <c r="G34" s="23">
        <v>421.5</v>
      </c>
      <c r="H34" s="23">
        <v>442.2</v>
      </c>
      <c r="I34" s="23">
        <v>473.1</v>
      </c>
      <c r="J34" s="23">
        <v>498.2</v>
      </c>
      <c r="K34" s="23">
        <v>516.6</v>
      </c>
      <c r="L34" s="23">
        <v>585</v>
      </c>
      <c r="M34" s="23">
        <v>618.79999999999995</v>
      </c>
      <c r="N34" s="23">
        <v>666.6</v>
      </c>
      <c r="O34" s="23">
        <v>681.6</v>
      </c>
      <c r="P34" s="23">
        <v>686.3</v>
      </c>
      <c r="Q34" s="23">
        <v>663.6</v>
      </c>
      <c r="R34" s="23">
        <v>645.40000000000009</v>
      </c>
      <c r="S34" s="23">
        <v>628.5</v>
      </c>
      <c r="T34" s="23">
        <v>654.20000000000005</v>
      </c>
      <c r="U34" s="23">
        <v>693.1</v>
      </c>
      <c r="V34" s="23">
        <v>747.2</v>
      </c>
      <c r="W34" s="23">
        <v>817.8</v>
      </c>
      <c r="X34" s="23">
        <v>939.8</v>
      </c>
      <c r="Y34" s="23">
        <v>1060.0999999999999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116.79999999999997</v>
      </c>
      <c r="E35" s="23">
        <v>138.69999999999999</v>
      </c>
      <c r="F35" s="23">
        <v>154.39999999999998</v>
      </c>
      <c r="G35" s="23">
        <v>159.6</v>
      </c>
      <c r="H35" s="23">
        <v>162.80000000000007</v>
      </c>
      <c r="I35" s="23">
        <v>179.60000000000011</v>
      </c>
      <c r="J35" s="23">
        <v>195.50000000000009</v>
      </c>
      <c r="K35" s="23">
        <v>217.00000000000011</v>
      </c>
      <c r="L35" s="23">
        <v>232.89999999999998</v>
      </c>
      <c r="M35" s="23">
        <v>246.00000000000009</v>
      </c>
      <c r="N35" s="23">
        <v>294.00000000000006</v>
      </c>
      <c r="O35" s="23">
        <v>346.7</v>
      </c>
      <c r="P35" s="23">
        <v>345.7</v>
      </c>
      <c r="Q35" s="23">
        <v>269.60000000000002</v>
      </c>
      <c r="R35" s="23">
        <v>260.79999999999995</v>
      </c>
      <c r="S35" s="23">
        <v>263</v>
      </c>
      <c r="T35" s="23">
        <v>273.20000000000005</v>
      </c>
      <c r="U35" s="23">
        <v>289.7</v>
      </c>
      <c r="V35" s="23">
        <v>308.10000000000002</v>
      </c>
      <c r="W35" s="23">
        <v>340.3</v>
      </c>
      <c r="X35" s="23">
        <v>247.50000000000003</v>
      </c>
      <c r="Y35" s="23">
        <v>313.60000000000002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195.2</v>
      </c>
      <c r="E36" s="23">
        <v>201.1</v>
      </c>
      <c r="F36" s="23">
        <v>203.7</v>
      </c>
      <c r="G36" s="23">
        <v>217.1</v>
      </c>
      <c r="H36" s="23">
        <v>238.1</v>
      </c>
      <c r="I36" s="23">
        <v>253.5</v>
      </c>
      <c r="J36" s="23">
        <v>271.2</v>
      </c>
      <c r="K36" s="23">
        <v>280.89999999999992</v>
      </c>
      <c r="L36" s="23">
        <v>347</v>
      </c>
      <c r="M36" s="23">
        <v>322.39999999999998</v>
      </c>
      <c r="N36" s="23">
        <v>328.3</v>
      </c>
      <c r="O36" s="23">
        <v>294.99999999999994</v>
      </c>
      <c r="P36" s="23">
        <v>282.60000000000002</v>
      </c>
      <c r="Q36" s="23">
        <v>247.8</v>
      </c>
      <c r="R36" s="23">
        <v>248</v>
      </c>
      <c r="S36" s="23">
        <v>259.7</v>
      </c>
      <c r="T36" s="23">
        <v>274.8</v>
      </c>
      <c r="U36" s="23">
        <v>287.89999999999998</v>
      </c>
      <c r="V36" s="23">
        <v>294.5</v>
      </c>
      <c r="W36" s="23">
        <v>303.5</v>
      </c>
      <c r="X36" s="23">
        <v>245.7</v>
      </c>
      <c r="Y36" s="23">
        <v>268.3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48</v>
      </c>
      <c r="E37" s="23">
        <v>57.7</v>
      </c>
      <c r="F37" s="23">
        <v>65.900000000000006</v>
      </c>
      <c r="G37" s="23">
        <v>75.3</v>
      </c>
      <c r="H37" s="23">
        <v>87.9</v>
      </c>
      <c r="I37" s="23">
        <v>98.1</v>
      </c>
      <c r="J37" s="23">
        <v>127.19999999999999</v>
      </c>
      <c r="K37" s="23">
        <v>133.30000000000001</v>
      </c>
      <c r="L37" s="23">
        <v>164.9</v>
      </c>
      <c r="M37" s="23">
        <v>188.8</v>
      </c>
      <c r="N37" s="23">
        <v>210.8</v>
      </c>
      <c r="O37" s="23">
        <v>230.7</v>
      </c>
      <c r="P37" s="23">
        <v>217.7</v>
      </c>
      <c r="Q37" s="23">
        <v>179.7</v>
      </c>
      <c r="R37" s="23">
        <v>168.3</v>
      </c>
      <c r="S37" s="23">
        <v>159.30000000000001</v>
      </c>
      <c r="T37" s="23">
        <v>162.80000000000001</v>
      </c>
      <c r="U37" s="23">
        <v>166.1</v>
      </c>
      <c r="V37" s="23">
        <v>172.3</v>
      </c>
      <c r="W37" s="23">
        <v>189</v>
      </c>
      <c r="X37" s="23">
        <v>183.6</v>
      </c>
      <c r="Y37" s="23">
        <v>183.5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9844.7000000000044</v>
      </c>
      <c r="E39" s="30">
        <f t="shared" ref="E39:S39" si="2">SUM(E18:E38)</f>
        <v>10511.100000000002</v>
      </c>
      <c r="F39" s="30">
        <f t="shared" si="2"/>
        <v>10889.399999999998</v>
      </c>
      <c r="G39" s="30">
        <f t="shared" si="2"/>
        <v>11419.699999999999</v>
      </c>
      <c r="H39" s="30">
        <f t="shared" si="2"/>
        <v>12261.9</v>
      </c>
      <c r="I39" s="30">
        <f t="shared" si="2"/>
        <v>13139.300000000003</v>
      </c>
      <c r="J39" s="30">
        <f t="shared" si="2"/>
        <v>14165.599999999999</v>
      </c>
      <c r="K39" s="30">
        <f t="shared" si="2"/>
        <v>15184.600000000004</v>
      </c>
      <c r="L39" s="30">
        <f t="shared" si="2"/>
        <v>16416.5</v>
      </c>
      <c r="M39" s="30">
        <f t="shared" si="2"/>
        <v>16419.5</v>
      </c>
      <c r="N39" s="30">
        <f t="shared" si="2"/>
        <v>17160.5</v>
      </c>
      <c r="O39" s="30">
        <f t="shared" si="2"/>
        <v>17649.099999999999</v>
      </c>
      <c r="P39" s="30">
        <f t="shared" si="2"/>
        <v>17293.900000000001</v>
      </c>
      <c r="Q39" s="30">
        <f t="shared" si="2"/>
        <v>16037.800000000001</v>
      </c>
      <c r="R39" s="30">
        <f t="shared" si="2"/>
        <v>15322.800000000001</v>
      </c>
      <c r="S39" s="30">
        <f t="shared" si="2"/>
        <v>15714.9</v>
      </c>
      <c r="T39" s="30">
        <f t="shared" ref="T39:Y39" si="3">SUM(T18:T38)</f>
        <v>16646.499999999996</v>
      </c>
      <c r="U39" s="30">
        <f t="shared" si="3"/>
        <v>17740.5</v>
      </c>
      <c r="V39" s="30">
        <f t="shared" si="3"/>
        <v>18891.900000000001</v>
      </c>
      <c r="W39" s="30">
        <f t="shared" si="3"/>
        <v>20327.699999999997</v>
      </c>
      <c r="X39" s="30">
        <f t="shared" si="3"/>
        <v>19670.800000000003</v>
      </c>
      <c r="Y39" s="30">
        <f t="shared" si="3"/>
        <v>22055.999999999996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331.7</v>
      </c>
      <c r="E41" s="19">
        <v>350.9</v>
      </c>
      <c r="F41" s="19">
        <v>366.5</v>
      </c>
      <c r="G41" s="19">
        <v>370</v>
      </c>
      <c r="H41" s="19">
        <v>389.1</v>
      </c>
      <c r="I41" s="19">
        <v>394.1</v>
      </c>
      <c r="J41" s="19">
        <v>323.7</v>
      </c>
      <c r="K41" s="19">
        <v>301.7</v>
      </c>
      <c r="L41" s="19">
        <v>317.39999999999992</v>
      </c>
      <c r="M41" s="19">
        <v>356</v>
      </c>
      <c r="N41" s="19">
        <v>327.8</v>
      </c>
      <c r="O41" s="19">
        <v>304.5</v>
      </c>
      <c r="P41" s="19">
        <v>283.89999999999998</v>
      </c>
      <c r="Q41" s="19">
        <v>257</v>
      </c>
      <c r="R41" s="19">
        <v>253.2</v>
      </c>
      <c r="S41" s="19">
        <v>255</v>
      </c>
      <c r="T41" s="19">
        <v>302.7</v>
      </c>
      <c r="U41" s="19">
        <v>321.10000000000002</v>
      </c>
      <c r="V41" s="19">
        <v>363</v>
      </c>
      <c r="W41" s="19">
        <v>385.1</v>
      </c>
      <c r="X41" s="19">
        <v>368.5</v>
      </c>
      <c r="Y41" s="19">
        <v>378.4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66.400000000000006</v>
      </c>
      <c r="E42" s="23">
        <v>59.1</v>
      </c>
      <c r="F42" s="23">
        <v>55.20000000000001</v>
      </c>
      <c r="G42" s="23">
        <v>46</v>
      </c>
      <c r="H42" s="23">
        <v>37.5</v>
      </c>
      <c r="I42" s="23">
        <v>36.200000000000003</v>
      </c>
      <c r="J42" s="23">
        <v>35.6</v>
      </c>
      <c r="K42" s="23">
        <v>34.500000000000007</v>
      </c>
      <c r="L42" s="23">
        <v>29.3</v>
      </c>
      <c r="M42" s="23">
        <v>25.1</v>
      </c>
      <c r="N42" s="23">
        <v>21.1</v>
      </c>
      <c r="O42" s="23">
        <v>19.899999999999995</v>
      </c>
      <c r="P42" s="23">
        <v>15.3</v>
      </c>
      <c r="Q42" s="23">
        <v>11.4</v>
      </c>
      <c r="R42" s="23">
        <v>11.6</v>
      </c>
      <c r="S42" s="23">
        <v>12.5</v>
      </c>
      <c r="T42" s="23">
        <v>13.5</v>
      </c>
      <c r="U42" s="23">
        <v>15</v>
      </c>
      <c r="V42" s="23">
        <v>17.7</v>
      </c>
      <c r="W42" s="23">
        <v>18.7</v>
      </c>
      <c r="X42" s="23">
        <v>15.3</v>
      </c>
      <c r="Y42" s="23">
        <v>16.7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107.99999999999999</v>
      </c>
      <c r="E43" s="23">
        <v>109.79999999999998</v>
      </c>
      <c r="F43" s="23">
        <v>114.50000000000001</v>
      </c>
      <c r="G43" s="23">
        <v>119</v>
      </c>
      <c r="H43" s="23">
        <v>126.6</v>
      </c>
      <c r="I43" s="23">
        <v>127.2</v>
      </c>
      <c r="J43" s="23">
        <v>132.4</v>
      </c>
      <c r="K43" s="23">
        <v>141.9</v>
      </c>
      <c r="L43" s="23">
        <v>146.39999999999998</v>
      </c>
      <c r="M43" s="23">
        <v>130.69999999999999</v>
      </c>
      <c r="N43" s="23">
        <v>126</v>
      </c>
      <c r="O43" s="23">
        <v>115.4</v>
      </c>
      <c r="P43" s="23">
        <v>99.1</v>
      </c>
      <c r="Q43" s="23">
        <v>71.3</v>
      </c>
      <c r="R43" s="23">
        <v>66.999999999999986</v>
      </c>
      <c r="S43" s="23">
        <v>70.099999999999994</v>
      </c>
      <c r="T43" s="23">
        <v>78.599999999999994</v>
      </c>
      <c r="U43" s="23">
        <v>88.6</v>
      </c>
      <c r="V43" s="23">
        <v>98.1</v>
      </c>
      <c r="W43" s="23">
        <v>107.8</v>
      </c>
      <c r="X43" s="23">
        <v>94</v>
      </c>
      <c r="Y43" s="23">
        <v>96.4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8.6</v>
      </c>
      <c r="E44" s="23">
        <v>9</v>
      </c>
      <c r="F44" s="23">
        <v>9.1</v>
      </c>
      <c r="G44" s="23">
        <v>11.5</v>
      </c>
      <c r="H44" s="23">
        <v>4.9000000000000012</v>
      </c>
      <c r="I44" s="23">
        <v>0.5</v>
      </c>
      <c r="J44" s="23">
        <v>0.4</v>
      </c>
      <c r="K44" s="23">
        <v>0.3</v>
      </c>
      <c r="L44" s="23">
        <v>0.4</v>
      </c>
      <c r="M44" s="23">
        <v>0.6</v>
      </c>
      <c r="N44" s="23">
        <v>0.3</v>
      </c>
      <c r="O44" s="23">
        <v>0.3</v>
      </c>
      <c r="P44" s="23">
        <v>0.4</v>
      </c>
      <c r="Q44" s="23">
        <v>0.4</v>
      </c>
      <c r="R44" s="23">
        <v>0.6</v>
      </c>
      <c r="S44" s="23">
        <v>1.2</v>
      </c>
      <c r="T44" s="23">
        <v>1.3</v>
      </c>
      <c r="U44" s="23">
        <v>1.2</v>
      </c>
      <c r="V44" s="23">
        <v>2.4</v>
      </c>
      <c r="W44" s="23">
        <v>2.2999999999999998</v>
      </c>
      <c r="X44" s="23">
        <v>1.8</v>
      </c>
      <c r="Y44" s="23">
        <v>2.1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28.9</v>
      </c>
      <c r="E45" s="23">
        <v>26.2</v>
      </c>
      <c r="F45" s="23">
        <v>26</v>
      </c>
      <c r="G45" s="23">
        <v>25.1</v>
      </c>
      <c r="H45" s="23">
        <v>28.4</v>
      </c>
      <c r="I45" s="23">
        <v>23</v>
      </c>
      <c r="J45" s="23">
        <v>25.8</v>
      </c>
      <c r="K45" s="23">
        <v>26.3</v>
      </c>
      <c r="L45" s="23">
        <v>23.7</v>
      </c>
      <c r="M45" s="23">
        <v>23.8</v>
      </c>
      <c r="N45" s="23">
        <v>28.9</v>
      </c>
      <c r="O45" s="23">
        <v>24.4</v>
      </c>
      <c r="P45" s="23">
        <v>20.9</v>
      </c>
      <c r="Q45" s="23">
        <v>18.600000000000001</v>
      </c>
      <c r="R45" s="23">
        <v>17.3</v>
      </c>
      <c r="S45" s="23">
        <v>19.3</v>
      </c>
      <c r="T45" s="23">
        <v>21.6</v>
      </c>
      <c r="U45" s="23">
        <v>23.3</v>
      </c>
      <c r="V45" s="23">
        <v>27.2</v>
      </c>
      <c r="W45" s="23">
        <v>27.7</v>
      </c>
      <c r="X45" s="23">
        <v>29.4</v>
      </c>
      <c r="Y45" s="23">
        <v>28.9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28.1</v>
      </c>
      <c r="E46" s="23">
        <v>29.6</v>
      </c>
      <c r="F46" s="23">
        <v>29.9</v>
      </c>
      <c r="G46" s="23">
        <v>29.600000000000005</v>
      </c>
      <c r="H46" s="23">
        <v>32.799999999999997</v>
      </c>
      <c r="I46" s="23">
        <v>40</v>
      </c>
      <c r="J46" s="23">
        <v>41.6</v>
      </c>
      <c r="K46" s="23">
        <v>40.299999999999997</v>
      </c>
      <c r="L46" s="23">
        <v>44.8</v>
      </c>
      <c r="M46" s="23">
        <v>45.7</v>
      </c>
      <c r="N46" s="23">
        <v>55.3</v>
      </c>
      <c r="O46" s="23">
        <v>57.1</v>
      </c>
      <c r="P46" s="23">
        <v>61.2</v>
      </c>
      <c r="Q46" s="23">
        <v>68</v>
      </c>
      <c r="R46" s="23">
        <v>74.000000000000014</v>
      </c>
      <c r="S46" s="23">
        <v>88.5</v>
      </c>
      <c r="T46" s="23">
        <v>99.5</v>
      </c>
      <c r="U46" s="23">
        <v>125.3</v>
      </c>
      <c r="V46" s="23">
        <v>138.30000000000001</v>
      </c>
      <c r="W46" s="23">
        <v>155.5</v>
      </c>
      <c r="X46" s="23">
        <v>200.3</v>
      </c>
      <c r="Y46" s="23">
        <v>160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128.6</v>
      </c>
      <c r="E47" s="23">
        <v>131.69999999999999</v>
      </c>
      <c r="F47" s="23">
        <v>147.80000000000001</v>
      </c>
      <c r="G47" s="23">
        <v>156.5</v>
      </c>
      <c r="H47" s="23">
        <v>177.8</v>
      </c>
      <c r="I47" s="23">
        <v>191.6</v>
      </c>
      <c r="J47" s="23">
        <v>205.2</v>
      </c>
      <c r="K47" s="23">
        <v>211.9</v>
      </c>
      <c r="L47" s="23">
        <v>218.5</v>
      </c>
      <c r="M47" s="23">
        <v>190.3</v>
      </c>
      <c r="N47" s="23">
        <v>177.7</v>
      </c>
      <c r="O47" s="23">
        <v>159.30000000000001</v>
      </c>
      <c r="P47" s="23">
        <v>115.5</v>
      </c>
      <c r="Q47" s="23">
        <v>84.1</v>
      </c>
      <c r="R47" s="23">
        <v>93.8</v>
      </c>
      <c r="S47" s="23">
        <v>107.4</v>
      </c>
      <c r="T47" s="23">
        <v>129.69999999999999</v>
      </c>
      <c r="U47" s="23">
        <v>136</v>
      </c>
      <c r="V47" s="23">
        <v>152.80000000000004</v>
      </c>
      <c r="W47" s="23">
        <v>172.6</v>
      </c>
      <c r="X47" s="23">
        <v>187.9</v>
      </c>
      <c r="Y47" s="23">
        <v>181.3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77.8</v>
      </c>
      <c r="E48" s="23">
        <v>77.599999999999994</v>
      </c>
      <c r="F48" s="23">
        <v>81.2</v>
      </c>
      <c r="G48" s="23">
        <v>92.9</v>
      </c>
      <c r="H48" s="23">
        <v>108.4</v>
      </c>
      <c r="I48" s="23">
        <v>115.9</v>
      </c>
      <c r="J48" s="23">
        <v>127.4</v>
      </c>
      <c r="K48" s="23">
        <v>141.19999999999996</v>
      </c>
      <c r="L48" s="23">
        <v>143.1</v>
      </c>
      <c r="M48" s="23">
        <v>124.2</v>
      </c>
      <c r="N48" s="23">
        <v>132.19999999999999</v>
      </c>
      <c r="O48" s="23">
        <v>124.7</v>
      </c>
      <c r="P48" s="23">
        <v>117.9</v>
      </c>
      <c r="Q48" s="23">
        <v>86.6</v>
      </c>
      <c r="R48" s="23">
        <v>80.099999999999994</v>
      </c>
      <c r="S48" s="23">
        <v>73.3</v>
      </c>
      <c r="T48" s="23">
        <v>84.2</v>
      </c>
      <c r="U48" s="23">
        <v>101.7</v>
      </c>
      <c r="V48" s="23">
        <v>131.1</v>
      </c>
      <c r="W48" s="23">
        <v>145.69999999999999</v>
      </c>
      <c r="X48" s="23">
        <v>148</v>
      </c>
      <c r="Y48" s="23">
        <v>166.7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3.5</v>
      </c>
      <c r="E49" s="23">
        <v>3.6</v>
      </c>
      <c r="F49" s="23">
        <v>3.7</v>
      </c>
      <c r="G49" s="23">
        <v>4</v>
      </c>
      <c r="H49" s="23">
        <v>4.8</v>
      </c>
      <c r="I49" s="23">
        <v>5.7</v>
      </c>
      <c r="J49" s="23">
        <v>10.9</v>
      </c>
      <c r="K49" s="23">
        <v>11.7</v>
      </c>
      <c r="L49" s="23">
        <v>11.9</v>
      </c>
      <c r="M49" s="23">
        <v>9</v>
      </c>
      <c r="N49" s="23">
        <v>4.8</v>
      </c>
      <c r="O49" s="23">
        <v>2.2000000000000002</v>
      </c>
      <c r="P49" s="23">
        <v>2.2000000000000002</v>
      </c>
      <c r="Q49" s="23">
        <v>12.7</v>
      </c>
      <c r="R49" s="23">
        <v>19.899999999999999</v>
      </c>
      <c r="S49" s="23">
        <v>26.9</v>
      </c>
      <c r="T49" s="23">
        <v>8.9</v>
      </c>
      <c r="U49" s="23">
        <v>15.3</v>
      </c>
      <c r="V49" s="23">
        <v>35.000000000000007</v>
      </c>
      <c r="W49" s="23">
        <v>37.799999999999997</v>
      </c>
      <c r="X49" s="23">
        <v>33.900000000000006</v>
      </c>
      <c r="Y49" s="23">
        <v>51.2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8.3000000000000007</v>
      </c>
      <c r="E50" s="23">
        <v>6.9</v>
      </c>
      <c r="F50" s="23">
        <v>7.2</v>
      </c>
      <c r="G50" s="23">
        <v>6.3</v>
      </c>
      <c r="H50" s="23">
        <v>6.3</v>
      </c>
      <c r="I50" s="23">
        <v>6.9</v>
      </c>
      <c r="J50" s="23">
        <v>7.9</v>
      </c>
      <c r="K50" s="23">
        <v>10.4</v>
      </c>
      <c r="L50" s="23">
        <v>12.2</v>
      </c>
      <c r="M50" s="23">
        <v>15.1</v>
      </c>
      <c r="N50" s="23">
        <v>17.600000000000001</v>
      </c>
      <c r="O50" s="23">
        <v>15.9</v>
      </c>
      <c r="P50" s="23">
        <v>12.2</v>
      </c>
      <c r="Q50" s="23">
        <v>9.6</v>
      </c>
      <c r="R50" s="23">
        <v>9.1</v>
      </c>
      <c r="S50" s="23">
        <v>8.8000000000000007</v>
      </c>
      <c r="T50" s="23">
        <v>9.3000000000000007</v>
      </c>
      <c r="U50" s="23">
        <v>10.3</v>
      </c>
      <c r="V50" s="23">
        <v>12.5</v>
      </c>
      <c r="W50" s="23">
        <v>13.5</v>
      </c>
      <c r="X50" s="23">
        <v>16.399999999999999</v>
      </c>
      <c r="Y50" s="23">
        <v>16.2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17.899999999999999</v>
      </c>
      <c r="E51" s="23">
        <v>19.8</v>
      </c>
      <c r="F51" s="23">
        <v>20.6</v>
      </c>
      <c r="G51" s="23">
        <v>21.1</v>
      </c>
      <c r="H51" s="23">
        <v>22.6</v>
      </c>
      <c r="I51" s="23">
        <v>20.9</v>
      </c>
      <c r="J51" s="23">
        <v>22.5</v>
      </c>
      <c r="K51" s="23">
        <v>24.4</v>
      </c>
      <c r="L51" s="23">
        <v>26.1</v>
      </c>
      <c r="M51" s="23">
        <v>17.3</v>
      </c>
      <c r="N51" s="23">
        <v>22.7</v>
      </c>
      <c r="O51" s="23">
        <v>25.7</v>
      </c>
      <c r="P51" s="23">
        <v>24.3</v>
      </c>
      <c r="Q51" s="23">
        <v>18.100000000000001</v>
      </c>
      <c r="R51" s="23">
        <v>16.8</v>
      </c>
      <c r="S51" s="23">
        <v>18.7</v>
      </c>
      <c r="T51" s="23">
        <v>19.7</v>
      </c>
      <c r="U51" s="23">
        <v>23.8</v>
      </c>
      <c r="V51" s="23">
        <v>24.6</v>
      </c>
      <c r="W51" s="23">
        <v>27.4</v>
      </c>
      <c r="X51" s="23">
        <v>25.3</v>
      </c>
      <c r="Y51" s="23">
        <v>28.2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6.6</v>
      </c>
      <c r="E52" s="23">
        <v>7.3</v>
      </c>
      <c r="F52" s="23">
        <v>7.8</v>
      </c>
      <c r="G52" s="23">
        <v>7</v>
      </c>
      <c r="H52" s="23">
        <v>6.6</v>
      </c>
      <c r="I52" s="23">
        <v>6.4</v>
      </c>
      <c r="J52" s="23">
        <v>6.8</v>
      </c>
      <c r="K52" s="23">
        <v>7.8000000000000007</v>
      </c>
      <c r="L52" s="23">
        <v>7</v>
      </c>
      <c r="M52" s="23">
        <v>7.4</v>
      </c>
      <c r="N52" s="23">
        <v>6.3</v>
      </c>
      <c r="O52" s="23">
        <v>5.3</v>
      </c>
      <c r="P52" s="23">
        <v>3.1</v>
      </c>
      <c r="Q52" s="23">
        <v>2.9</v>
      </c>
      <c r="R52" s="23">
        <v>3.1</v>
      </c>
      <c r="S52" s="23">
        <v>4.4000000000000004</v>
      </c>
      <c r="T52" s="23">
        <v>5.4</v>
      </c>
      <c r="U52" s="23">
        <v>5.7</v>
      </c>
      <c r="V52" s="23">
        <v>6.4</v>
      </c>
      <c r="W52" s="23">
        <v>6.6</v>
      </c>
      <c r="X52" s="23">
        <v>6.6</v>
      </c>
      <c r="Y52" s="23">
        <v>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66.000000000002615</v>
      </c>
      <c r="E53" s="23">
        <v>67.300000000000551</v>
      </c>
      <c r="F53" s="23">
        <v>64.89999999999867</v>
      </c>
      <c r="G53" s="23">
        <v>55.799999999999592</v>
      </c>
      <c r="H53" s="23">
        <v>58.999999999998096</v>
      </c>
      <c r="I53" s="23">
        <v>54.699999999999875</v>
      </c>
      <c r="J53" s="23">
        <v>56.699999999999292</v>
      </c>
      <c r="K53" s="23">
        <v>57.800000000001738</v>
      </c>
      <c r="L53" s="23">
        <v>59.899999999999153</v>
      </c>
      <c r="M53" s="23">
        <v>59.100000000001309</v>
      </c>
      <c r="N53" s="23">
        <v>62.700000000000443</v>
      </c>
      <c r="O53" s="23">
        <v>58.699999999997779</v>
      </c>
      <c r="P53" s="23">
        <v>60.700000000002461</v>
      </c>
      <c r="Q53" s="23">
        <v>60.100000000001373</v>
      </c>
      <c r="R53" s="23">
        <v>66.500000000000938</v>
      </c>
      <c r="S53" s="23">
        <v>78.300000000001091</v>
      </c>
      <c r="T53" s="23">
        <v>94.799999999999514</v>
      </c>
      <c r="U53" s="23">
        <v>126.09999999999921</v>
      </c>
      <c r="V53" s="23">
        <v>145.90000000000305</v>
      </c>
      <c r="W53" s="23">
        <v>163.49999999999787</v>
      </c>
      <c r="X53" s="23">
        <v>131.20000000000218</v>
      </c>
      <c r="Y53" s="23">
        <v>154.19999999999817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880.40000000000259</v>
      </c>
      <c r="E54" s="30">
        <f t="shared" ref="E54:S54" si="4">SUM(E41:E53)</f>
        <v>898.80000000000041</v>
      </c>
      <c r="F54" s="30">
        <f t="shared" si="4"/>
        <v>934.39999999999873</v>
      </c>
      <c r="G54" s="30">
        <f t="shared" si="4"/>
        <v>944.79999999999961</v>
      </c>
      <c r="H54" s="30">
        <f t="shared" si="4"/>
        <v>1004.7999999999979</v>
      </c>
      <c r="I54" s="30">
        <f t="shared" si="4"/>
        <v>1023.0999999999999</v>
      </c>
      <c r="J54" s="30">
        <f t="shared" si="4"/>
        <v>996.89999999999918</v>
      </c>
      <c r="K54" s="30">
        <f t="shared" si="4"/>
        <v>1010.2000000000016</v>
      </c>
      <c r="L54" s="30">
        <f t="shared" si="4"/>
        <v>1040.6999999999991</v>
      </c>
      <c r="M54" s="30">
        <f t="shared" si="4"/>
        <v>1004.3000000000013</v>
      </c>
      <c r="N54" s="30">
        <f t="shared" si="4"/>
        <v>983.40000000000032</v>
      </c>
      <c r="O54" s="30">
        <f t="shared" si="4"/>
        <v>913.3999999999977</v>
      </c>
      <c r="P54" s="30">
        <f t="shared" si="4"/>
        <v>816.70000000000243</v>
      </c>
      <c r="Q54" s="30">
        <f t="shared" si="4"/>
        <v>700.80000000000143</v>
      </c>
      <c r="R54" s="30">
        <f t="shared" si="4"/>
        <v>713.00000000000091</v>
      </c>
      <c r="S54" s="30">
        <f t="shared" si="4"/>
        <v>764.400000000001</v>
      </c>
      <c r="T54" s="30">
        <f t="shared" ref="T54:Y54" si="5">SUM(T41:T53)</f>
        <v>869.19999999999959</v>
      </c>
      <c r="U54" s="30">
        <f t="shared" si="5"/>
        <v>993.39999999999918</v>
      </c>
      <c r="V54" s="30">
        <f t="shared" si="5"/>
        <v>1155.0000000000032</v>
      </c>
      <c r="W54" s="30">
        <f t="shared" si="5"/>
        <v>1264.199999999998</v>
      </c>
      <c r="X54" s="30">
        <f t="shared" si="5"/>
        <v>1258.600000000002</v>
      </c>
      <c r="Y54" s="30">
        <f t="shared" si="5"/>
        <v>1288.2999999999984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331.7</v>
      </c>
      <c r="E56" s="19">
        <v>350.9</v>
      </c>
      <c r="F56" s="19">
        <v>366.5</v>
      </c>
      <c r="G56" s="19">
        <v>370</v>
      </c>
      <c r="H56" s="19">
        <v>389.1</v>
      </c>
      <c r="I56" s="19">
        <v>394.1</v>
      </c>
      <c r="J56" s="19">
        <v>323.7</v>
      </c>
      <c r="K56" s="19">
        <v>301.7</v>
      </c>
      <c r="L56" s="19">
        <v>317.39999999999992</v>
      </c>
      <c r="M56" s="19">
        <v>356</v>
      </c>
      <c r="N56" s="19">
        <v>327.8</v>
      </c>
      <c r="O56" s="19">
        <v>304.5</v>
      </c>
      <c r="P56" s="19">
        <v>283.89999999999998</v>
      </c>
      <c r="Q56" s="19">
        <v>257</v>
      </c>
      <c r="R56" s="19">
        <v>253.2</v>
      </c>
      <c r="S56" s="19">
        <v>255</v>
      </c>
      <c r="T56" s="19">
        <v>302.7</v>
      </c>
      <c r="U56" s="19">
        <v>321.10000000000002</v>
      </c>
      <c r="V56" s="19">
        <v>363</v>
      </c>
      <c r="W56" s="19">
        <v>385.1</v>
      </c>
      <c r="X56" s="19">
        <v>368.5</v>
      </c>
      <c r="Y56" s="19">
        <v>378.4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66.400000000000006</v>
      </c>
      <c r="E57" s="23">
        <v>59.1</v>
      </c>
      <c r="F57" s="23">
        <v>55.20000000000001</v>
      </c>
      <c r="G57" s="23">
        <v>46</v>
      </c>
      <c r="H57" s="23">
        <v>37.5</v>
      </c>
      <c r="I57" s="23">
        <v>36.200000000000003</v>
      </c>
      <c r="J57" s="23">
        <v>35.6</v>
      </c>
      <c r="K57" s="23">
        <v>34.500000000000007</v>
      </c>
      <c r="L57" s="23">
        <v>29.3</v>
      </c>
      <c r="M57" s="23">
        <v>25.1</v>
      </c>
      <c r="N57" s="23">
        <v>21.1</v>
      </c>
      <c r="O57" s="23">
        <v>19.899999999999995</v>
      </c>
      <c r="P57" s="23">
        <v>15.3</v>
      </c>
      <c r="Q57" s="23">
        <v>11.4</v>
      </c>
      <c r="R57" s="23">
        <v>11.6</v>
      </c>
      <c r="S57" s="23">
        <v>12.5</v>
      </c>
      <c r="T57" s="23">
        <v>13.5</v>
      </c>
      <c r="U57" s="23">
        <v>15</v>
      </c>
      <c r="V57" s="23">
        <v>17.7</v>
      </c>
      <c r="W57" s="23">
        <v>18.7</v>
      </c>
      <c r="X57" s="23">
        <v>15.3</v>
      </c>
      <c r="Y57" s="23">
        <v>16.7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54.8</v>
      </c>
      <c r="E58" s="23">
        <v>52.6</v>
      </c>
      <c r="F58" s="23">
        <v>55.3</v>
      </c>
      <c r="G58" s="23">
        <v>61.5</v>
      </c>
      <c r="H58" s="23">
        <v>67.5</v>
      </c>
      <c r="I58" s="23">
        <v>68.900000000000006</v>
      </c>
      <c r="J58" s="23">
        <v>72.8</v>
      </c>
      <c r="K58" s="23">
        <v>79.099999999999994</v>
      </c>
      <c r="L58" s="23">
        <v>79</v>
      </c>
      <c r="M58" s="23">
        <v>71.8</v>
      </c>
      <c r="N58" s="23">
        <v>66.699999999999989</v>
      </c>
      <c r="O58" s="23">
        <v>59.4</v>
      </c>
      <c r="P58" s="23">
        <v>51.3</v>
      </c>
      <c r="Q58" s="23">
        <v>31.4</v>
      </c>
      <c r="R58" s="23">
        <v>28</v>
      </c>
      <c r="S58" s="23">
        <v>33.299999999999997</v>
      </c>
      <c r="T58" s="23">
        <v>36.9</v>
      </c>
      <c r="U58" s="23">
        <v>45.5</v>
      </c>
      <c r="V58" s="23">
        <v>54.9</v>
      </c>
      <c r="W58" s="23">
        <v>62.2</v>
      </c>
      <c r="X58" s="23">
        <v>56.1</v>
      </c>
      <c r="Y58" s="23">
        <v>58.5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53.199999999999989</v>
      </c>
      <c r="E60" s="23">
        <v>57.199999999999989</v>
      </c>
      <c r="F60" s="23">
        <v>59.20000000000001</v>
      </c>
      <c r="G60" s="23">
        <v>57.500000000000007</v>
      </c>
      <c r="H60" s="23">
        <v>59.100000000000009</v>
      </c>
      <c r="I60" s="23">
        <v>58.29999999999999</v>
      </c>
      <c r="J60" s="23">
        <v>59.6</v>
      </c>
      <c r="K60" s="23">
        <v>62.8</v>
      </c>
      <c r="L60" s="23">
        <v>67.399999999999991</v>
      </c>
      <c r="M60" s="23">
        <v>58.899999999999991</v>
      </c>
      <c r="N60" s="23">
        <v>59.300000000000011</v>
      </c>
      <c r="O60" s="23">
        <v>56</v>
      </c>
      <c r="P60" s="23">
        <v>47.79999999999999</v>
      </c>
      <c r="Q60" s="23">
        <v>39.9</v>
      </c>
      <c r="R60" s="23">
        <v>38.999999999999993</v>
      </c>
      <c r="S60" s="23">
        <v>36.799999999999997</v>
      </c>
      <c r="T60" s="23">
        <v>41.699999999999989</v>
      </c>
      <c r="U60" s="23">
        <v>43.1</v>
      </c>
      <c r="V60" s="23">
        <v>43.2</v>
      </c>
      <c r="W60" s="23">
        <v>45.6</v>
      </c>
      <c r="X60" s="23">
        <v>37.9</v>
      </c>
      <c r="Y60" s="23">
        <v>37.9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8.6</v>
      </c>
      <c r="E61" s="23">
        <v>9</v>
      </c>
      <c r="F61" s="23">
        <v>9.1</v>
      </c>
      <c r="G61" s="23">
        <v>11.5</v>
      </c>
      <c r="H61" s="23">
        <v>4.9000000000000012</v>
      </c>
      <c r="I61" s="23">
        <v>0.5</v>
      </c>
      <c r="J61" s="23">
        <v>0.4</v>
      </c>
      <c r="K61" s="23">
        <v>0.3</v>
      </c>
      <c r="L61" s="23">
        <v>0.4</v>
      </c>
      <c r="M61" s="23">
        <v>0.6</v>
      </c>
      <c r="N61" s="23">
        <v>0.3</v>
      </c>
      <c r="O61" s="23">
        <v>0.3</v>
      </c>
      <c r="P61" s="23">
        <v>0.4</v>
      </c>
      <c r="Q61" s="23">
        <v>0.4</v>
      </c>
      <c r="R61" s="23">
        <v>0.6</v>
      </c>
      <c r="S61" s="23">
        <v>1.2</v>
      </c>
      <c r="T61" s="23">
        <v>1.3</v>
      </c>
      <c r="U61" s="23">
        <v>1.2</v>
      </c>
      <c r="V61" s="23">
        <v>2.4</v>
      </c>
      <c r="W61" s="23">
        <v>2.2999999999999998</v>
      </c>
      <c r="X61" s="23">
        <v>1.8</v>
      </c>
      <c r="Y61" s="23">
        <v>2.1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28.9</v>
      </c>
      <c r="E62" s="23">
        <v>26.2</v>
      </c>
      <c r="F62" s="23">
        <v>26</v>
      </c>
      <c r="G62" s="23">
        <v>25.1</v>
      </c>
      <c r="H62" s="23">
        <v>28.4</v>
      </c>
      <c r="I62" s="23">
        <v>23</v>
      </c>
      <c r="J62" s="23">
        <v>25.8</v>
      </c>
      <c r="K62" s="23">
        <v>26.3</v>
      </c>
      <c r="L62" s="23">
        <v>23.7</v>
      </c>
      <c r="M62" s="23">
        <v>23.8</v>
      </c>
      <c r="N62" s="23">
        <v>28.9</v>
      </c>
      <c r="O62" s="23">
        <v>24.4</v>
      </c>
      <c r="P62" s="23">
        <v>20.9</v>
      </c>
      <c r="Q62" s="23">
        <v>18.600000000000001</v>
      </c>
      <c r="R62" s="23">
        <v>17.3</v>
      </c>
      <c r="S62" s="23">
        <v>19.3</v>
      </c>
      <c r="T62" s="23">
        <v>21.6</v>
      </c>
      <c r="U62" s="23">
        <v>23.3</v>
      </c>
      <c r="V62" s="23">
        <v>27.2</v>
      </c>
      <c r="W62" s="23">
        <v>27.7</v>
      </c>
      <c r="X62" s="23">
        <v>29.4</v>
      </c>
      <c r="Y62" s="23">
        <v>28.9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28.1</v>
      </c>
      <c r="E63" s="23">
        <v>29.6</v>
      </c>
      <c r="F63" s="23">
        <v>29.9</v>
      </c>
      <c r="G63" s="23">
        <v>29.600000000000005</v>
      </c>
      <c r="H63" s="23">
        <v>32.799999999999997</v>
      </c>
      <c r="I63" s="23">
        <v>40</v>
      </c>
      <c r="J63" s="23">
        <v>41.6</v>
      </c>
      <c r="K63" s="23">
        <v>40.299999999999997</v>
      </c>
      <c r="L63" s="23">
        <v>44.8</v>
      </c>
      <c r="M63" s="23">
        <v>45.7</v>
      </c>
      <c r="N63" s="23">
        <v>55.3</v>
      </c>
      <c r="O63" s="23">
        <v>57.1</v>
      </c>
      <c r="P63" s="23">
        <v>61.2</v>
      </c>
      <c r="Q63" s="23">
        <v>68</v>
      </c>
      <c r="R63" s="23">
        <v>74.000000000000014</v>
      </c>
      <c r="S63" s="23">
        <v>88.5</v>
      </c>
      <c r="T63" s="23">
        <v>99.5</v>
      </c>
      <c r="U63" s="23">
        <v>125.3</v>
      </c>
      <c r="V63" s="23">
        <v>138.30000000000001</v>
      </c>
      <c r="W63" s="23">
        <v>155.5</v>
      </c>
      <c r="X63" s="23">
        <v>200.3</v>
      </c>
      <c r="Y63" s="23">
        <v>160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25.2</v>
      </c>
      <c r="E64" s="23">
        <v>24.7</v>
      </c>
      <c r="F64" s="23">
        <v>26.8</v>
      </c>
      <c r="G64" s="23">
        <v>27.2</v>
      </c>
      <c r="H64" s="23">
        <v>29</v>
      </c>
      <c r="I64" s="23">
        <v>29.9</v>
      </c>
      <c r="J64" s="23">
        <v>30.8</v>
      </c>
      <c r="K64" s="23">
        <v>32.299999999999997</v>
      </c>
      <c r="L64" s="23">
        <v>36.799999999999997</v>
      </c>
      <c r="M64" s="23">
        <v>36.700000000000003</v>
      </c>
      <c r="N64" s="23">
        <v>37.5</v>
      </c>
      <c r="O64" s="23">
        <v>29.9</v>
      </c>
      <c r="P64" s="23">
        <v>22.8</v>
      </c>
      <c r="Q64" s="23">
        <v>21.7</v>
      </c>
      <c r="R64" s="23">
        <v>21.8</v>
      </c>
      <c r="S64" s="23">
        <v>21.7</v>
      </c>
      <c r="T64" s="23">
        <v>26.4</v>
      </c>
      <c r="U64" s="23">
        <v>26.9</v>
      </c>
      <c r="V64" s="23">
        <v>29.6</v>
      </c>
      <c r="W64" s="23">
        <v>32.1</v>
      </c>
      <c r="X64" s="23">
        <v>36.6</v>
      </c>
      <c r="Y64" s="23">
        <v>37.9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103.4</v>
      </c>
      <c r="E65" s="23">
        <v>106.99999999999996</v>
      </c>
      <c r="F65" s="23">
        <v>121.00000000000001</v>
      </c>
      <c r="G65" s="23">
        <v>129.30000000000001</v>
      </c>
      <c r="H65" s="23">
        <v>148.79999999999998</v>
      </c>
      <c r="I65" s="23">
        <v>161.69999999999999</v>
      </c>
      <c r="J65" s="23">
        <v>174.4</v>
      </c>
      <c r="K65" s="23">
        <v>179.6</v>
      </c>
      <c r="L65" s="23">
        <v>181.7</v>
      </c>
      <c r="M65" s="23">
        <v>153.6</v>
      </c>
      <c r="N65" s="23">
        <v>140.19999999999999</v>
      </c>
      <c r="O65" s="23">
        <v>129.4</v>
      </c>
      <c r="P65" s="23">
        <v>92.7</v>
      </c>
      <c r="Q65" s="23">
        <v>62.4</v>
      </c>
      <c r="R65" s="23">
        <v>72</v>
      </c>
      <c r="S65" s="23">
        <v>85.7</v>
      </c>
      <c r="T65" s="23">
        <v>103.29999999999998</v>
      </c>
      <c r="U65" s="23">
        <v>109.1</v>
      </c>
      <c r="V65" s="23">
        <v>123.20000000000003</v>
      </c>
      <c r="W65" s="23">
        <v>140.49999999999997</v>
      </c>
      <c r="X65" s="23">
        <v>151.29999999999998</v>
      </c>
      <c r="Y65" s="23">
        <v>143.4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12.7</v>
      </c>
      <c r="E66" s="23">
        <v>13.2</v>
      </c>
      <c r="F66" s="23">
        <v>12.1</v>
      </c>
      <c r="G66" s="23">
        <v>14.800000000000002</v>
      </c>
      <c r="H66" s="23">
        <v>18.100000000000001</v>
      </c>
      <c r="I66" s="23">
        <v>18.999999999999996</v>
      </c>
      <c r="J66" s="23">
        <v>23</v>
      </c>
      <c r="K66" s="23">
        <v>30.7</v>
      </c>
      <c r="L66" s="23">
        <v>23.9</v>
      </c>
      <c r="M66" s="23">
        <v>20.5</v>
      </c>
      <c r="N66" s="23">
        <v>25.9</v>
      </c>
      <c r="O66" s="23">
        <v>28.4</v>
      </c>
      <c r="P66" s="23">
        <v>28.4</v>
      </c>
      <c r="Q66" s="23">
        <v>22</v>
      </c>
      <c r="R66" s="23">
        <v>16</v>
      </c>
      <c r="S66" s="23">
        <v>12.5</v>
      </c>
      <c r="T66" s="23">
        <v>15.9</v>
      </c>
      <c r="U66" s="23">
        <v>17.3</v>
      </c>
      <c r="V66" s="23">
        <v>22.8</v>
      </c>
      <c r="W66" s="23">
        <v>23.6</v>
      </c>
      <c r="X66" s="23">
        <v>26.5</v>
      </c>
      <c r="Y66" s="23">
        <v>37.099999999999994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65.099999999999994</v>
      </c>
      <c r="E67" s="23">
        <v>64.400000000000006</v>
      </c>
      <c r="F67" s="23">
        <v>69.099999999999994</v>
      </c>
      <c r="G67" s="23">
        <v>78.099999999999994</v>
      </c>
      <c r="H67" s="23">
        <v>90.3</v>
      </c>
      <c r="I67" s="23">
        <v>96.9</v>
      </c>
      <c r="J67" s="23">
        <v>104.4</v>
      </c>
      <c r="K67" s="23">
        <v>110.49999999999996</v>
      </c>
      <c r="L67" s="23">
        <v>119.2</v>
      </c>
      <c r="M67" s="23">
        <v>103.7</v>
      </c>
      <c r="N67" s="23">
        <v>106.29999999999998</v>
      </c>
      <c r="O67" s="23">
        <v>96.3</v>
      </c>
      <c r="P67" s="23">
        <v>89.5</v>
      </c>
      <c r="Q67" s="23">
        <v>64.600000000000009</v>
      </c>
      <c r="R67" s="23">
        <v>64.099999999999994</v>
      </c>
      <c r="S67" s="23">
        <v>60.8</v>
      </c>
      <c r="T67" s="23">
        <v>68.300000000000011</v>
      </c>
      <c r="U67" s="23">
        <v>84.4</v>
      </c>
      <c r="V67" s="23">
        <v>108.3</v>
      </c>
      <c r="W67" s="23">
        <v>122.09999999999998</v>
      </c>
      <c r="X67" s="23">
        <v>121.5</v>
      </c>
      <c r="Y67" s="23">
        <v>129.60000000000002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3.5</v>
      </c>
      <c r="E68" s="23">
        <v>3.6</v>
      </c>
      <c r="F68" s="23">
        <v>3.7</v>
      </c>
      <c r="G68" s="23">
        <v>4</v>
      </c>
      <c r="H68" s="23">
        <v>4.8</v>
      </c>
      <c r="I68" s="23">
        <v>5.7</v>
      </c>
      <c r="J68" s="23">
        <v>10.9</v>
      </c>
      <c r="K68" s="23">
        <v>11.7</v>
      </c>
      <c r="L68" s="23">
        <v>11.9</v>
      </c>
      <c r="M68" s="23">
        <v>9</v>
      </c>
      <c r="N68" s="23">
        <v>4.8</v>
      </c>
      <c r="O68" s="23">
        <v>2.2000000000000002</v>
      </c>
      <c r="P68" s="23">
        <v>2.2000000000000002</v>
      </c>
      <c r="Q68" s="23">
        <v>12.7</v>
      </c>
      <c r="R68" s="23">
        <v>19.899999999999999</v>
      </c>
      <c r="S68" s="23">
        <v>26.9</v>
      </c>
      <c r="T68" s="23">
        <v>8.9</v>
      </c>
      <c r="U68" s="23">
        <v>15.3</v>
      </c>
      <c r="V68" s="23">
        <v>35.000000000000007</v>
      </c>
      <c r="W68" s="23">
        <v>37.799999999999997</v>
      </c>
      <c r="X68" s="23">
        <v>33.900000000000006</v>
      </c>
      <c r="Y68" s="23">
        <v>51.2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8.3000000000000007</v>
      </c>
      <c r="E69" s="23">
        <v>6.9</v>
      </c>
      <c r="F69" s="23">
        <v>7.2</v>
      </c>
      <c r="G69" s="23">
        <v>6.3</v>
      </c>
      <c r="H69" s="23">
        <v>6.3</v>
      </c>
      <c r="I69" s="23">
        <v>6.9</v>
      </c>
      <c r="J69" s="23">
        <v>7.9</v>
      </c>
      <c r="K69" s="23">
        <v>10.4</v>
      </c>
      <c r="L69" s="23">
        <v>12.2</v>
      </c>
      <c r="M69" s="23">
        <v>15.1</v>
      </c>
      <c r="N69" s="23">
        <v>17.600000000000001</v>
      </c>
      <c r="O69" s="23">
        <v>15.9</v>
      </c>
      <c r="P69" s="23">
        <v>12.2</v>
      </c>
      <c r="Q69" s="23">
        <v>9.6</v>
      </c>
      <c r="R69" s="23">
        <v>9.1</v>
      </c>
      <c r="S69" s="23">
        <v>8.8000000000000007</v>
      </c>
      <c r="T69" s="23">
        <v>9.3000000000000007</v>
      </c>
      <c r="U69" s="23">
        <v>10.3</v>
      </c>
      <c r="V69" s="23">
        <v>12.5</v>
      </c>
      <c r="W69" s="23">
        <v>13.5</v>
      </c>
      <c r="X69" s="23">
        <v>16.399999999999999</v>
      </c>
      <c r="Y69" s="23">
        <v>16.2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17.899999999999999</v>
      </c>
      <c r="E70" s="23">
        <v>19.8</v>
      </c>
      <c r="F70" s="23">
        <v>20.6</v>
      </c>
      <c r="G70" s="23">
        <v>21.1</v>
      </c>
      <c r="H70" s="23">
        <v>22.6</v>
      </c>
      <c r="I70" s="23">
        <v>20.9</v>
      </c>
      <c r="J70" s="23">
        <v>22.5</v>
      </c>
      <c r="K70" s="23">
        <v>24.4</v>
      </c>
      <c r="L70" s="23">
        <v>26.1</v>
      </c>
      <c r="M70" s="23">
        <v>17.3</v>
      </c>
      <c r="N70" s="23">
        <v>22.7</v>
      </c>
      <c r="O70" s="23">
        <v>25.7</v>
      </c>
      <c r="P70" s="23">
        <v>24.3</v>
      </c>
      <c r="Q70" s="23">
        <v>18.100000000000001</v>
      </c>
      <c r="R70" s="23">
        <v>16.8</v>
      </c>
      <c r="S70" s="23">
        <v>18.7</v>
      </c>
      <c r="T70" s="23">
        <v>19.7</v>
      </c>
      <c r="U70" s="23">
        <v>23.8</v>
      </c>
      <c r="V70" s="23">
        <v>24.6</v>
      </c>
      <c r="W70" s="23">
        <v>27.4</v>
      </c>
      <c r="X70" s="23">
        <v>25.3</v>
      </c>
      <c r="Y70" s="23">
        <v>28.2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5.8</v>
      </c>
      <c r="E71" s="23">
        <v>6.2</v>
      </c>
      <c r="F71" s="23">
        <v>6.6</v>
      </c>
      <c r="G71" s="23">
        <v>5.8</v>
      </c>
      <c r="H71" s="23">
        <v>5.2</v>
      </c>
      <c r="I71" s="23">
        <v>5.0999999999999996</v>
      </c>
      <c r="J71" s="23">
        <v>5.4</v>
      </c>
      <c r="K71" s="23">
        <v>6.3</v>
      </c>
      <c r="L71" s="23">
        <v>6.2</v>
      </c>
      <c r="M71" s="23">
        <v>6.9</v>
      </c>
      <c r="N71" s="23">
        <v>5.3</v>
      </c>
      <c r="O71" s="23">
        <v>4.5999999999999988</v>
      </c>
      <c r="P71" s="23">
        <v>2.2999999999999998</v>
      </c>
      <c r="Q71" s="23">
        <v>2.2999999999999998</v>
      </c>
      <c r="R71" s="23">
        <v>2.2999999999999998</v>
      </c>
      <c r="S71" s="23">
        <v>3.6</v>
      </c>
      <c r="T71" s="23">
        <v>4.4000000000000004</v>
      </c>
      <c r="U71" s="23">
        <v>4.0999999999999988</v>
      </c>
      <c r="V71" s="23">
        <v>4.8</v>
      </c>
      <c r="W71" s="23">
        <v>4.8</v>
      </c>
      <c r="X71" s="23">
        <v>4.7</v>
      </c>
      <c r="Y71" s="23">
        <v>5.2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0.79999999999999938</v>
      </c>
      <c r="E72" s="23">
        <v>1.1000000000000008</v>
      </c>
      <c r="F72" s="23">
        <v>1.1999999999999997</v>
      </c>
      <c r="G72" s="23">
        <v>1.2000000000000006</v>
      </c>
      <c r="H72" s="23">
        <v>1.4</v>
      </c>
      <c r="I72" s="23">
        <v>1.3000000000000005</v>
      </c>
      <c r="J72" s="23">
        <v>1.4000000000000006</v>
      </c>
      <c r="K72" s="23">
        <v>1.5000000000000002</v>
      </c>
      <c r="L72" s="23">
        <v>0.8</v>
      </c>
      <c r="M72" s="23">
        <v>0.49999999999999994</v>
      </c>
      <c r="N72" s="23">
        <v>0.99999999999999967</v>
      </c>
      <c r="O72" s="23">
        <v>0.70000000000000118</v>
      </c>
      <c r="P72" s="23">
        <v>0.80000000000000016</v>
      </c>
      <c r="Q72" s="23">
        <v>0.60000000000000053</v>
      </c>
      <c r="R72" s="23">
        <v>0.79999999999999982</v>
      </c>
      <c r="S72" s="23">
        <v>0.80000000000000027</v>
      </c>
      <c r="T72" s="23">
        <v>0.99999999999999911</v>
      </c>
      <c r="U72" s="23">
        <v>1.6000000000000008</v>
      </c>
      <c r="V72" s="23">
        <v>1.6</v>
      </c>
      <c r="W72" s="23">
        <v>1.8</v>
      </c>
      <c r="X72" s="23">
        <v>1.9</v>
      </c>
      <c r="Y72" s="23">
        <v>2.8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55.3</v>
      </c>
      <c r="E73" s="23">
        <v>53.6</v>
      </c>
      <c r="F73" s="23">
        <v>52.6</v>
      </c>
      <c r="G73" s="23">
        <v>45.4</v>
      </c>
      <c r="H73" s="23">
        <v>48.2</v>
      </c>
      <c r="I73" s="23">
        <v>45.2</v>
      </c>
      <c r="J73" s="23">
        <v>47.1</v>
      </c>
      <c r="K73" s="23">
        <v>47.6</v>
      </c>
      <c r="L73" s="23">
        <v>48</v>
      </c>
      <c r="M73" s="23">
        <v>44.1</v>
      </c>
      <c r="N73" s="23">
        <v>45.8</v>
      </c>
      <c r="O73" s="23">
        <v>40.4</v>
      </c>
      <c r="P73" s="23">
        <v>33.9</v>
      </c>
      <c r="Q73" s="23">
        <v>31.7</v>
      </c>
      <c r="R73" s="23">
        <v>30.4</v>
      </c>
      <c r="S73" s="23">
        <v>29.1</v>
      </c>
      <c r="T73" s="23">
        <v>33.200000000000003</v>
      </c>
      <c r="U73" s="23">
        <v>36.500000000000007</v>
      </c>
      <c r="V73" s="23">
        <v>39.700000000000003</v>
      </c>
      <c r="W73" s="23">
        <v>40.500000000000007</v>
      </c>
      <c r="X73" s="23">
        <v>33.900000000000006</v>
      </c>
      <c r="Y73" s="23">
        <v>42.6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10.700000000002619</v>
      </c>
      <c r="E74" s="23">
        <v>13.700000000000541</v>
      </c>
      <c r="F74" s="23">
        <v>12.299999999998661</v>
      </c>
      <c r="G74" s="23">
        <v>10.399999999999586</v>
      </c>
      <c r="H74" s="23">
        <v>10.799999999998104</v>
      </c>
      <c r="I74" s="23">
        <v>9.4999999999998774</v>
      </c>
      <c r="J74" s="23">
        <v>9.5999999999992891</v>
      </c>
      <c r="K74" s="23">
        <v>10.20000000000174</v>
      </c>
      <c r="L74" s="23">
        <v>11.899999999999158</v>
      </c>
      <c r="M74" s="23">
        <v>15.000000000001307</v>
      </c>
      <c r="N74" s="23">
        <v>16.900000000000446</v>
      </c>
      <c r="O74" s="23">
        <v>18.29999999999778</v>
      </c>
      <c r="P74" s="23">
        <v>26.800000000002459</v>
      </c>
      <c r="Q74" s="23">
        <v>28.400000000001377</v>
      </c>
      <c r="R74" s="23">
        <v>36.100000000000932</v>
      </c>
      <c r="S74" s="23">
        <v>49.20000000000109</v>
      </c>
      <c r="T74" s="23">
        <v>61.599999999999497</v>
      </c>
      <c r="U74" s="23">
        <v>89.599999999999199</v>
      </c>
      <c r="V74" s="23">
        <v>106.20000000000302</v>
      </c>
      <c r="W74" s="23">
        <v>122.99999999999787</v>
      </c>
      <c r="X74" s="23">
        <v>97.300000000002186</v>
      </c>
      <c r="Y74" s="23">
        <v>111.5999999999982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880.40000000000259</v>
      </c>
      <c r="E75" s="30">
        <f t="shared" ref="E75:S75" si="6">SUM(E56:E74)</f>
        <v>898.80000000000064</v>
      </c>
      <c r="F75" s="30">
        <f t="shared" si="6"/>
        <v>934.39999999999895</v>
      </c>
      <c r="G75" s="30">
        <f t="shared" si="6"/>
        <v>944.79999999999961</v>
      </c>
      <c r="H75" s="30">
        <f t="shared" si="6"/>
        <v>1004.799999999998</v>
      </c>
      <c r="I75" s="30">
        <f t="shared" si="6"/>
        <v>1023.0999999999998</v>
      </c>
      <c r="J75" s="30">
        <f t="shared" si="6"/>
        <v>996.89999999999918</v>
      </c>
      <c r="K75" s="30">
        <f t="shared" si="6"/>
        <v>1010.2000000000018</v>
      </c>
      <c r="L75" s="30">
        <f t="shared" si="6"/>
        <v>1040.6999999999989</v>
      </c>
      <c r="M75" s="30">
        <f t="shared" si="6"/>
        <v>1004.3000000000013</v>
      </c>
      <c r="N75" s="30">
        <f t="shared" si="6"/>
        <v>983.4000000000002</v>
      </c>
      <c r="O75" s="30">
        <f t="shared" si="6"/>
        <v>913.3999999999977</v>
      </c>
      <c r="P75" s="30">
        <f t="shared" si="6"/>
        <v>816.70000000000232</v>
      </c>
      <c r="Q75" s="30">
        <f t="shared" si="6"/>
        <v>700.80000000000143</v>
      </c>
      <c r="R75" s="30">
        <f t="shared" si="6"/>
        <v>713.0000000000008</v>
      </c>
      <c r="S75" s="30">
        <f t="shared" si="6"/>
        <v>764.400000000001</v>
      </c>
      <c r="T75" s="30">
        <f t="shared" ref="T75:Y75" si="7">SUM(T56:T74)</f>
        <v>869.19999999999936</v>
      </c>
      <c r="U75" s="30">
        <f t="shared" si="7"/>
        <v>993.39999999999907</v>
      </c>
      <c r="V75" s="30">
        <f t="shared" si="7"/>
        <v>1155.000000000003</v>
      </c>
      <c r="W75" s="30">
        <f t="shared" si="7"/>
        <v>1264.199999999998</v>
      </c>
      <c r="X75" s="30">
        <f t="shared" si="7"/>
        <v>1258.6000000000024</v>
      </c>
      <c r="Y75" s="30">
        <f t="shared" si="7"/>
        <v>1288.2999999999984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14001.580986691202</v>
      </c>
      <c r="E2" s="19">
        <v>14554.931132241149</v>
      </c>
      <c r="F2" s="19">
        <v>15096.831425858363</v>
      </c>
      <c r="G2" s="19">
        <v>15492.844160377474</v>
      </c>
      <c r="H2" s="19">
        <v>16271.685073198067</v>
      </c>
      <c r="I2" s="19">
        <v>17061.225878909572</v>
      </c>
      <c r="J2" s="19">
        <v>17865.436370626681</v>
      </c>
      <c r="K2" s="19">
        <v>18776.351041233043</v>
      </c>
      <c r="L2" s="19">
        <v>19461.097461097459</v>
      </c>
      <c r="M2" s="19">
        <v>19068.891225992222</v>
      </c>
      <c r="N2" s="19">
        <v>19504.204291484177</v>
      </c>
      <c r="O2" s="19">
        <v>19585.663421802721</v>
      </c>
      <c r="P2" s="19">
        <v>18910.498287953596</v>
      </c>
      <c r="Q2" s="19">
        <v>17664.574500376981</v>
      </c>
      <c r="R2" s="19">
        <v>17350.932909884876</v>
      </c>
      <c r="S2" s="19">
        <v>17944.2</v>
      </c>
      <c r="T2" s="19">
        <v>19123.76162936887</v>
      </c>
      <c r="U2" s="19">
        <v>20220.195906665605</v>
      </c>
      <c r="V2" s="19">
        <v>21362.144581875524</v>
      </c>
      <c r="W2" s="19">
        <v>22545.060161273064</v>
      </c>
      <c r="X2" s="19">
        <v>21780.582811498447</v>
      </c>
      <c r="Y2" s="19">
        <v>23939.152397506936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8547.0576959938662</v>
      </c>
      <c r="E3" s="23">
        <v>9020.7486685008971</v>
      </c>
      <c r="F3" s="23">
        <v>9298.9495458000511</v>
      </c>
      <c r="G3" s="23">
        <v>9704.4511855382898</v>
      </c>
      <c r="H3" s="23">
        <v>10402.452349156245</v>
      </c>
      <c r="I3" s="23">
        <v>10809.189176569467</v>
      </c>
      <c r="J3" s="23">
        <v>11232.377740303542</v>
      </c>
      <c r="K3" s="23">
        <v>12327.304614710072</v>
      </c>
      <c r="L3" s="23">
        <v>13339.850936116982</v>
      </c>
      <c r="M3" s="23">
        <v>12469.364864723209</v>
      </c>
      <c r="N3" s="23">
        <v>13074.802426024627</v>
      </c>
      <c r="O3" s="23">
        <v>12958.268872228173</v>
      </c>
      <c r="P3" s="23">
        <v>12598.892443293289</v>
      </c>
      <c r="Q3" s="23">
        <v>11716.400558053016</v>
      </c>
      <c r="R3" s="23">
        <v>11711.696773438414</v>
      </c>
      <c r="S3" s="23">
        <v>12078.2</v>
      </c>
      <c r="T3" s="23">
        <v>12698.66351319666</v>
      </c>
      <c r="U3" s="23">
        <v>13312.437539747432</v>
      </c>
      <c r="V3" s="23">
        <v>13994.198738076015</v>
      </c>
      <c r="W3" s="23">
        <v>14533.554645569118</v>
      </c>
      <c r="X3" s="23">
        <v>13540.359577180601</v>
      </c>
      <c r="Y3" s="23">
        <v>14292.625145575985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12276.717795236316</v>
      </c>
      <c r="E4" s="27">
        <v>12761.764848720313</v>
      </c>
      <c r="F4" s="27">
        <v>13236.978058712697</v>
      </c>
      <c r="G4" s="27">
        <v>13584.207646373088</v>
      </c>
      <c r="H4" s="27">
        <v>14266.981593093338</v>
      </c>
      <c r="I4" s="27">
        <v>14959.41161067025</v>
      </c>
      <c r="J4" s="27">
        <v>15664.539814886488</v>
      </c>
      <c r="K4" s="27">
        <v>16463.126395906067</v>
      </c>
      <c r="L4" s="27">
        <v>17063.549808747714</v>
      </c>
      <c r="M4" s="27">
        <v>16719.617127437505</v>
      </c>
      <c r="N4" s="27">
        <v>17107.466852756454</v>
      </c>
      <c r="O4" s="27">
        <v>17178.745936265059</v>
      </c>
      <c r="P4" s="27">
        <v>16586.645438502266</v>
      </c>
      <c r="Q4" s="27">
        <v>15493.961936044825</v>
      </c>
      <c r="R4" s="27">
        <v>15218.704064200867</v>
      </c>
      <c r="S4" s="27">
        <v>15714.9</v>
      </c>
      <c r="T4" s="27">
        <v>16747.992836589732</v>
      </c>
      <c r="U4" s="27">
        <v>17710.922758992481</v>
      </c>
      <c r="V4" s="27">
        <v>18715.04284511368</v>
      </c>
      <c r="W4" s="27">
        <v>19778.067504062114</v>
      </c>
      <c r="X4" s="27">
        <v>19107.510587869605</v>
      </c>
      <c r="Y4" s="27">
        <v>21001.314010397818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491.45778775408405</v>
      </c>
      <c r="E6" s="19">
        <v>543.92695837987469</v>
      </c>
      <c r="F6" s="19">
        <v>556.37269798820887</v>
      </c>
      <c r="G6" s="19">
        <v>513.40613327623532</v>
      </c>
      <c r="H6" s="19">
        <v>500.08144648965629</v>
      </c>
      <c r="I6" s="19">
        <v>468.95813646351598</v>
      </c>
      <c r="J6" s="19">
        <v>409.37289203923433</v>
      </c>
      <c r="K6" s="19">
        <v>385.97480321790232</v>
      </c>
      <c r="L6" s="19">
        <v>413.58307001496757</v>
      </c>
      <c r="M6" s="19">
        <v>378.18848327478236</v>
      </c>
      <c r="N6" s="19">
        <v>399.16259595254712</v>
      </c>
      <c r="O6" s="19">
        <v>414.64696606902999</v>
      </c>
      <c r="P6" s="19">
        <v>374.24230798741655</v>
      </c>
      <c r="Q6" s="19">
        <v>354.94155154091391</v>
      </c>
      <c r="R6" s="19">
        <v>320.30908585276705</v>
      </c>
      <c r="S6" s="19">
        <v>335.2</v>
      </c>
      <c r="T6" s="19">
        <v>410.08511580175866</v>
      </c>
      <c r="U6" s="19">
        <v>375.57279343496361</v>
      </c>
      <c r="V6" s="19">
        <v>371.19223339442271</v>
      </c>
      <c r="W6" s="19">
        <v>398.03850981231574</v>
      </c>
      <c r="X6" s="19">
        <v>396.70513268834753</v>
      </c>
      <c r="Y6" s="19">
        <v>385.72870446192223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1371.3680009976342</v>
      </c>
      <c r="E7" s="23">
        <v>1391.6274100335104</v>
      </c>
      <c r="F7" s="23">
        <v>1456.7556068802023</v>
      </c>
      <c r="G7" s="23">
        <v>1471.4628981990336</v>
      </c>
      <c r="H7" s="23">
        <v>1526.1908640309011</v>
      </c>
      <c r="I7" s="23">
        <v>1514.8065078045838</v>
      </c>
      <c r="J7" s="23">
        <v>1467.7488914199766</v>
      </c>
      <c r="K7" s="23">
        <v>1498.3628596829822</v>
      </c>
      <c r="L7" s="23">
        <v>1441.9798769333102</v>
      </c>
      <c r="M7" s="23">
        <v>1420.9052492235642</v>
      </c>
      <c r="N7" s="23">
        <v>1390.8882464360486</v>
      </c>
      <c r="O7" s="23">
        <v>1263.3105569506879</v>
      </c>
      <c r="P7" s="23">
        <v>1210.4849228880557</v>
      </c>
      <c r="Q7" s="23">
        <v>1118.056226451552</v>
      </c>
      <c r="R7" s="23">
        <v>1082.7936911525176</v>
      </c>
      <c r="S7" s="23">
        <v>1193.8000000000011</v>
      </c>
      <c r="T7" s="23">
        <v>1309.3345674789216</v>
      </c>
      <c r="U7" s="23">
        <v>1379.5960745554912</v>
      </c>
      <c r="V7" s="23">
        <v>1531.4280053494513</v>
      </c>
      <c r="W7" s="23">
        <v>1656.5640841027816</v>
      </c>
      <c r="X7" s="23">
        <v>1613.1445001359934</v>
      </c>
      <c r="Y7" s="23">
        <v>1635.5620727085734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1011.5974560419005</v>
      </c>
      <c r="E8" s="23">
        <v>1058.7149725608274</v>
      </c>
      <c r="F8" s="23">
        <v>1176.8066613991368</v>
      </c>
      <c r="G8" s="23">
        <v>1286.6081412223728</v>
      </c>
      <c r="H8" s="23">
        <v>1403.6720731622183</v>
      </c>
      <c r="I8" s="23">
        <v>1548.506825452848</v>
      </c>
      <c r="J8" s="23">
        <v>1738.7842664572991</v>
      </c>
      <c r="K8" s="23">
        <v>1972.0493527332656</v>
      </c>
      <c r="L8" s="23">
        <v>2094.1085980375851</v>
      </c>
      <c r="M8" s="23">
        <v>1613.0543251361946</v>
      </c>
      <c r="N8" s="23">
        <v>1418.2035689362974</v>
      </c>
      <c r="O8" s="23">
        <v>1200.1401623547276</v>
      </c>
      <c r="P8" s="23">
        <v>987.97283818000449</v>
      </c>
      <c r="Q8" s="23">
        <v>755.3859530480147</v>
      </c>
      <c r="R8" s="23">
        <v>648.96110603472255</v>
      </c>
      <c r="S8" s="23">
        <v>634.79999999999995</v>
      </c>
      <c r="T8" s="23">
        <v>763.82880254341308</v>
      </c>
      <c r="U8" s="23">
        <v>920.66249363562849</v>
      </c>
      <c r="V8" s="23">
        <v>1081.3809500222892</v>
      </c>
      <c r="W8" s="23">
        <v>1264.5579349867191</v>
      </c>
      <c r="X8" s="23">
        <v>1185.4528499825158</v>
      </c>
      <c r="Y8" s="23">
        <v>1192.0359543714651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3655.4433221099889</v>
      </c>
      <c r="E9" s="23">
        <v>3656.20902335972</v>
      </c>
      <c r="F9" s="23">
        <v>3613.4443566522823</v>
      </c>
      <c r="G9" s="23">
        <v>3491.8992220398259</v>
      </c>
      <c r="H9" s="23">
        <v>3613.3153375375236</v>
      </c>
      <c r="I9" s="23">
        <v>3716.7123973905027</v>
      </c>
      <c r="J9" s="23">
        <v>3905.4085435304264</v>
      </c>
      <c r="K9" s="23">
        <v>4049.1575774660105</v>
      </c>
      <c r="L9" s="23">
        <v>4113.8990520538837</v>
      </c>
      <c r="M9" s="23">
        <v>3973.4229418054069</v>
      </c>
      <c r="N9" s="23">
        <v>4115.5418203568934</v>
      </c>
      <c r="O9" s="23">
        <v>4213.04677918589</v>
      </c>
      <c r="P9" s="23">
        <v>3984.3090616128293</v>
      </c>
      <c r="Q9" s="23">
        <v>3692.0104337745142</v>
      </c>
      <c r="R9" s="23">
        <v>3765.6430018672281</v>
      </c>
      <c r="S9" s="23">
        <v>3901</v>
      </c>
      <c r="T9" s="23">
        <v>4181.3389138177354</v>
      </c>
      <c r="U9" s="23">
        <v>4502.3810236904365</v>
      </c>
      <c r="V9" s="23">
        <v>4872.2571697459016</v>
      </c>
      <c r="W9" s="23">
        <v>4955.5843119703441</v>
      </c>
      <c r="X9" s="23">
        <v>3606.1895325795549</v>
      </c>
      <c r="Y9" s="23">
        <v>4544.8572680009902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489.21311884274849</v>
      </c>
      <c r="E10" s="23">
        <v>550.72604535962307</v>
      </c>
      <c r="F10" s="23">
        <v>555.27867258250774</v>
      </c>
      <c r="G10" s="23">
        <v>539.2191849261294</v>
      </c>
      <c r="H10" s="23">
        <v>576.17573825425268</v>
      </c>
      <c r="I10" s="23">
        <v>583.15211822435765</v>
      </c>
      <c r="J10" s="23">
        <v>530.45968749654435</v>
      </c>
      <c r="K10" s="23">
        <v>569.63809441203898</v>
      </c>
      <c r="L10" s="23">
        <v>578.74605022451351</v>
      </c>
      <c r="M10" s="23">
        <v>567.0790692938242</v>
      </c>
      <c r="N10" s="23">
        <v>620.67590469544416</v>
      </c>
      <c r="O10" s="23">
        <v>625.47450797173394</v>
      </c>
      <c r="P10" s="23">
        <v>594.06890201795443</v>
      </c>
      <c r="Q10" s="23">
        <v>665.5395613950343</v>
      </c>
      <c r="R10" s="23">
        <v>732.58909062015812</v>
      </c>
      <c r="S10" s="23">
        <v>756.3</v>
      </c>
      <c r="T10" s="23">
        <v>975.10916151880394</v>
      </c>
      <c r="U10" s="23">
        <v>1152.5751994169736</v>
      </c>
      <c r="V10" s="23">
        <v>1226.3113576700187</v>
      </c>
      <c r="W10" s="23">
        <v>1401.2590120549919</v>
      </c>
      <c r="X10" s="23">
        <v>1664.1411197886312</v>
      </c>
      <c r="Y10" s="23">
        <v>1911.2186018167622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834.64272353161243</v>
      </c>
      <c r="E11" s="23">
        <v>893.59428876693698</v>
      </c>
      <c r="F11" s="23">
        <v>862.33513644927973</v>
      </c>
      <c r="G11" s="23">
        <v>865.86729474460537</v>
      </c>
      <c r="H11" s="23">
        <v>960.95222581621022</v>
      </c>
      <c r="I11" s="23">
        <v>1068.732708663031</v>
      </c>
      <c r="J11" s="23">
        <v>1226.238789795535</v>
      </c>
      <c r="K11" s="23">
        <v>1373.8968276340613</v>
      </c>
      <c r="L11" s="23">
        <v>1354.5651089306502</v>
      </c>
      <c r="M11" s="23">
        <v>1446.464029326409</v>
      </c>
      <c r="N11" s="23">
        <v>1526.9664041471437</v>
      </c>
      <c r="O11" s="23">
        <v>1661.6052483015048</v>
      </c>
      <c r="P11" s="23">
        <v>1781.0557814777871</v>
      </c>
      <c r="Q11" s="23">
        <v>1857.211863588059</v>
      </c>
      <c r="R11" s="23">
        <v>1885.6024790433435</v>
      </c>
      <c r="S11" s="23">
        <v>2025.6</v>
      </c>
      <c r="T11" s="23">
        <v>1936.7366239410828</v>
      </c>
      <c r="U11" s="23">
        <v>1817.6645002845248</v>
      </c>
      <c r="V11" s="23">
        <v>1570.2610332359206</v>
      </c>
      <c r="W11" s="23">
        <v>1502.7388863483786</v>
      </c>
      <c r="X11" s="23">
        <v>1967.4981544080508</v>
      </c>
      <c r="Y11" s="23">
        <v>2234.1985488754735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776.65544332210993</v>
      </c>
      <c r="E12" s="23">
        <v>798.5284833179544</v>
      </c>
      <c r="F12" s="23">
        <v>869.02084726189753</v>
      </c>
      <c r="G12" s="23">
        <v>933.31430066852238</v>
      </c>
      <c r="H12" s="23">
        <v>1042.8641239848278</v>
      </c>
      <c r="I12" s="23">
        <v>1178.0310361709153</v>
      </c>
      <c r="J12" s="23">
        <v>1278.1015359777068</v>
      </c>
      <c r="K12" s="23">
        <v>1356.9833250211418</v>
      </c>
      <c r="L12" s="23">
        <v>1420.3600532180276</v>
      </c>
      <c r="M12" s="23">
        <v>1548.8009775469682</v>
      </c>
      <c r="N12" s="23">
        <v>1607.1179344033496</v>
      </c>
      <c r="O12" s="23">
        <v>1704.919309311063</v>
      </c>
      <c r="P12" s="23">
        <v>1741.0611524591422</v>
      </c>
      <c r="Q12" s="23">
        <v>1607.4775384020866</v>
      </c>
      <c r="R12" s="23">
        <v>1453.9549481546223</v>
      </c>
      <c r="S12" s="23">
        <v>1483.9</v>
      </c>
      <c r="T12" s="23">
        <v>1582.6911081151779</v>
      </c>
      <c r="U12" s="23">
        <v>1596.8332884083579</v>
      </c>
      <c r="V12" s="23">
        <v>1697.5580761800982</v>
      </c>
      <c r="W12" s="23">
        <v>1832.5728018369512</v>
      </c>
      <c r="X12" s="23">
        <v>1854.9170454986986</v>
      </c>
      <c r="Y12" s="23">
        <v>1912.5516558435374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951.98902606310014</v>
      </c>
      <c r="E13" s="23">
        <v>1087.9753290272449</v>
      </c>
      <c r="F13" s="23">
        <v>1145.3230413906278</v>
      </c>
      <c r="G13" s="23">
        <v>1117.5742868698403</v>
      </c>
      <c r="H13" s="23">
        <v>1123.2634444883997</v>
      </c>
      <c r="I13" s="23">
        <v>1181.218904056562</v>
      </c>
      <c r="J13" s="23">
        <v>1248.4656810164656</v>
      </c>
      <c r="K13" s="23">
        <v>1336.7088058633478</v>
      </c>
      <c r="L13" s="23">
        <v>1443.3311159155164</v>
      </c>
      <c r="M13" s="23">
        <v>1406.2420447024083</v>
      </c>
      <c r="N13" s="23">
        <v>1550.5931612002792</v>
      </c>
      <c r="O13" s="23">
        <v>1590.1613813778738</v>
      </c>
      <c r="P13" s="23">
        <v>1496.6815008056474</v>
      </c>
      <c r="Q13" s="23">
        <v>1394.6478601101342</v>
      </c>
      <c r="R13" s="23">
        <v>1470.7401374597753</v>
      </c>
      <c r="S13" s="23">
        <v>1567.4</v>
      </c>
      <c r="T13" s="23">
        <v>1692.3556753928808</v>
      </c>
      <c r="U13" s="23">
        <v>1898.6292890872244</v>
      </c>
      <c r="V13" s="23">
        <v>2112.5365297934522</v>
      </c>
      <c r="W13" s="23">
        <v>2229.7356463869078</v>
      </c>
      <c r="X13" s="23">
        <v>2169.4447682325058</v>
      </c>
      <c r="Y13" s="23">
        <v>2318.3713888518596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2245.4171343060234</v>
      </c>
      <c r="E14" s="23">
        <v>2297.8485746199794</v>
      </c>
      <c r="F14" s="23">
        <v>2486.2335136449278</v>
      </c>
      <c r="G14" s="23">
        <v>2827.1834035162842</v>
      </c>
      <c r="H14" s="23">
        <v>2951.7371372722409</v>
      </c>
      <c r="I14" s="23">
        <v>3094.5088975669737</v>
      </c>
      <c r="J14" s="23">
        <v>3203.2157114263914</v>
      </c>
      <c r="K14" s="23">
        <v>3236.0084133833511</v>
      </c>
      <c r="L14" s="23">
        <v>3428.8208880758357</v>
      </c>
      <c r="M14" s="23">
        <v>3594.4198360572273</v>
      </c>
      <c r="N14" s="23">
        <v>3647.791845279633</v>
      </c>
      <c r="O14" s="23">
        <v>3656.2907590180848</v>
      </c>
      <c r="P14" s="23">
        <v>3605.3671449397684</v>
      </c>
      <c r="Q14" s="23">
        <v>3375.2294464302963</v>
      </c>
      <c r="R14" s="23">
        <v>3185.6104246950858</v>
      </c>
      <c r="S14" s="23">
        <v>3134.9</v>
      </c>
      <c r="T14" s="23">
        <v>3181.3791576956355</v>
      </c>
      <c r="U14" s="23">
        <v>3324.5480048319305</v>
      </c>
      <c r="V14" s="23">
        <v>3484.4717420377438</v>
      </c>
      <c r="W14" s="23">
        <v>3726.7340604598216</v>
      </c>
      <c r="X14" s="23">
        <v>3992.5982049189884</v>
      </c>
      <c r="Y14" s="23">
        <v>4137.9901354002013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448.93378226711559</v>
      </c>
      <c r="E15" s="23">
        <v>482.61376329464326</v>
      </c>
      <c r="F15" s="23">
        <v>515.40752446362364</v>
      </c>
      <c r="G15" s="23">
        <v>537.67278091023718</v>
      </c>
      <c r="H15" s="23">
        <v>568.72920205710568</v>
      </c>
      <c r="I15" s="23">
        <v>604.78407887695982</v>
      </c>
      <c r="J15" s="23">
        <v>656.74381572690788</v>
      </c>
      <c r="K15" s="23">
        <v>684.34633649196621</v>
      </c>
      <c r="L15" s="23">
        <v>774.15599534342255</v>
      </c>
      <c r="M15" s="23">
        <v>771.04017107071945</v>
      </c>
      <c r="N15" s="23">
        <v>830.52537134881868</v>
      </c>
      <c r="O15" s="23">
        <v>849.15026572446413</v>
      </c>
      <c r="P15" s="23">
        <v>811.40182613366073</v>
      </c>
      <c r="Q15" s="23">
        <v>673.46150130422177</v>
      </c>
      <c r="R15" s="23">
        <v>672.50009932064677</v>
      </c>
      <c r="S15" s="23">
        <v>682</v>
      </c>
      <c r="T15" s="23">
        <v>715.133710284323</v>
      </c>
      <c r="U15" s="23">
        <v>742.46009164694954</v>
      </c>
      <c r="V15" s="23">
        <v>767.64574768438263</v>
      </c>
      <c r="W15" s="23">
        <v>810.28225610290042</v>
      </c>
      <c r="X15" s="23">
        <v>657.41927963632133</v>
      </c>
      <c r="Y15" s="23">
        <v>728.79968006703359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12276.717795236316</v>
      </c>
      <c r="E16" s="30">
        <f t="shared" ref="E16:S16" si="0">SUM(E6:E15)</f>
        <v>12761.764848720313</v>
      </c>
      <c r="F16" s="30">
        <f t="shared" si="0"/>
        <v>13236.978058712695</v>
      </c>
      <c r="G16" s="30">
        <f t="shared" si="0"/>
        <v>13584.207646373088</v>
      </c>
      <c r="H16" s="30">
        <f t="shared" si="0"/>
        <v>14266.981593093338</v>
      </c>
      <c r="I16" s="30">
        <f t="shared" si="0"/>
        <v>14959.411610670248</v>
      </c>
      <c r="J16" s="30">
        <f t="shared" si="0"/>
        <v>15664.539814886488</v>
      </c>
      <c r="K16" s="30">
        <f t="shared" si="0"/>
        <v>16463.126395906067</v>
      </c>
      <c r="L16" s="30">
        <f t="shared" si="0"/>
        <v>17063.549808747714</v>
      </c>
      <c r="M16" s="30">
        <f t="shared" si="0"/>
        <v>16719.617127437505</v>
      </c>
      <c r="N16" s="30">
        <f t="shared" si="0"/>
        <v>17107.466852756454</v>
      </c>
      <c r="O16" s="30">
        <f t="shared" si="0"/>
        <v>17178.745936265059</v>
      </c>
      <c r="P16" s="30">
        <f t="shared" si="0"/>
        <v>16586.645438502266</v>
      </c>
      <c r="Q16" s="30">
        <f t="shared" si="0"/>
        <v>15493.961936044827</v>
      </c>
      <c r="R16" s="30">
        <f t="shared" si="0"/>
        <v>15218.704064200867</v>
      </c>
      <c r="S16" s="30">
        <f t="shared" si="0"/>
        <v>15714.9</v>
      </c>
      <c r="T16" s="30">
        <f t="shared" ref="T16:Y16" si="1">SUM(T6:T15)</f>
        <v>16747.992836589732</v>
      </c>
      <c r="U16" s="30">
        <f t="shared" si="1"/>
        <v>17710.922758992481</v>
      </c>
      <c r="V16" s="30">
        <f t="shared" si="1"/>
        <v>18715.04284511368</v>
      </c>
      <c r="W16" s="30">
        <f t="shared" si="1"/>
        <v>19778.067504062114</v>
      </c>
      <c r="X16" s="30">
        <f t="shared" si="1"/>
        <v>19107.510587869609</v>
      </c>
      <c r="Y16" s="30">
        <f t="shared" si="1"/>
        <v>21001.314010397818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491.45778775408405</v>
      </c>
      <c r="E18" s="19">
        <v>543.92695837987469</v>
      </c>
      <c r="F18" s="19">
        <v>556.37269798820887</v>
      </c>
      <c r="G18" s="19">
        <v>513.40613327623532</v>
      </c>
      <c r="H18" s="19">
        <v>500.08144648965629</v>
      </c>
      <c r="I18" s="19">
        <v>468.95813646351598</v>
      </c>
      <c r="J18" s="19">
        <v>409.37289203923433</v>
      </c>
      <c r="K18" s="19">
        <v>385.97480321790232</v>
      </c>
      <c r="L18" s="19">
        <v>413.58307001496757</v>
      </c>
      <c r="M18" s="19">
        <v>378.18848327478236</v>
      </c>
      <c r="N18" s="19">
        <v>399.16259595254712</v>
      </c>
      <c r="O18" s="19">
        <v>414.64696606902999</v>
      </c>
      <c r="P18" s="19">
        <v>374.24230798741655</v>
      </c>
      <c r="Q18" s="19">
        <v>354.94155154091391</v>
      </c>
      <c r="R18" s="19">
        <v>320.30908585276705</v>
      </c>
      <c r="S18" s="19">
        <v>335.2</v>
      </c>
      <c r="T18" s="19">
        <v>410.08511580175866</v>
      </c>
      <c r="U18" s="19">
        <v>375.57279343496361</v>
      </c>
      <c r="V18" s="19">
        <v>371.19223339442271</v>
      </c>
      <c r="W18" s="19">
        <v>398.03850981231574</v>
      </c>
      <c r="X18" s="19">
        <v>396.70513268834753</v>
      </c>
      <c r="Y18" s="19">
        <v>385.72870446192223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35.914702581369248</v>
      </c>
      <c r="E19" s="23">
        <v>32.052838618814043</v>
      </c>
      <c r="F19" s="23">
        <v>37.196863793836989</v>
      </c>
      <c r="G19" s="23">
        <v>41.87186258416007</v>
      </c>
      <c r="H19" s="23">
        <v>48.635189537616647</v>
      </c>
      <c r="I19" s="23">
        <v>51.233591019320755</v>
      </c>
      <c r="J19" s="23">
        <v>51.862746182172046</v>
      </c>
      <c r="K19" s="23">
        <v>55.185723269076483</v>
      </c>
      <c r="L19" s="23">
        <v>66.002827207716621</v>
      </c>
      <c r="M19" s="23">
        <v>48.673692785499718</v>
      </c>
      <c r="N19" s="23">
        <v>47.851659854451199</v>
      </c>
      <c r="O19" s="23">
        <v>35.527263524693879</v>
      </c>
      <c r="P19" s="23">
        <v>17.551599785160747</v>
      </c>
      <c r="Q19" s="23">
        <v>18.548932470292723</v>
      </c>
      <c r="R19" s="23">
        <v>20.658694529418778</v>
      </c>
      <c r="S19" s="23">
        <v>25.7</v>
      </c>
      <c r="T19" s="23">
        <v>18.612793528784433</v>
      </c>
      <c r="U19" s="23">
        <v>17.670490281230347</v>
      </c>
      <c r="V19" s="23">
        <v>24.072514735747191</v>
      </c>
      <c r="W19" s="23">
        <v>26.269957870771268</v>
      </c>
      <c r="X19" s="23">
        <v>24.672650270039245</v>
      </c>
      <c r="Y19" s="23">
        <v>28.946316009978862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1097.8925052999161</v>
      </c>
      <c r="E20" s="23">
        <v>1091.2534602496241</v>
      </c>
      <c r="F20" s="23">
        <v>1135.84148787455</v>
      </c>
      <c r="G20" s="23">
        <v>1123.8788570884776</v>
      </c>
      <c r="H20" s="23">
        <v>1169.1061829520841</v>
      </c>
      <c r="I20" s="23">
        <v>1164.8241549303793</v>
      </c>
      <c r="J20" s="23">
        <v>1102.3874556291528</v>
      </c>
      <c r="K20" s="23">
        <v>1095.2577140750718</v>
      </c>
      <c r="L20" s="23">
        <v>1081.7187759853641</v>
      </c>
      <c r="M20" s="23">
        <v>1022.6566875413687</v>
      </c>
      <c r="N20" s="23">
        <v>980.36088126806942</v>
      </c>
      <c r="O20" s="23">
        <v>889.05760283439213</v>
      </c>
      <c r="P20" s="23">
        <v>783.30008440113795</v>
      </c>
      <c r="Q20" s="23">
        <v>677.03603516568592</v>
      </c>
      <c r="R20" s="23">
        <v>708.15621151325013</v>
      </c>
      <c r="S20" s="23">
        <v>764.400000000001</v>
      </c>
      <c r="T20" s="23">
        <v>874.49946676861725</v>
      </c>
      <c r="U20" s="23">
        <v>991.74378787424905</v>
      </c>
      <c r="V20" s="23">
        <v>1144.1874287978635</v>
      </c>
      <c r="W20" s="23">
        <v>1230.0178051936657</v>
      </c>
      <c r="X20" s="23">
        <v>1222.5589618059628</v>
      </c>
      <c r="Y20" s="23">
        <v>1226.6953590676221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165.23257263998005</v>
      </c>
      <c r="E21" s="23">
        <v>190.49584770045163</v>
      </c>
      <c r="F21" s="23">
        <v>199.72041572965418</v>
      </c>
      <c r="G21" s="23">
        <v>214.59329574382033</v>
      </c>
      <c r="H21" s="23">
        <v>208.73571777627814</v>
      </c>
      <c r="I21" s="23">
        <v>192.9798595061082</v>
      </c>
      <c r="J21" s="23">
        <v>192.08014950625341</v>
      </c>
      <c r="K21" s="23">
        <v>220.95973285339463</v>
      </c>
      <c r="L21" s="23">
        <v>188.86163312822219</v>
      </c>
      <c r="M21" s="23">
        <v>240.6191130797821</v>
      </c>
      <c r="N21" s="23">
        <v>255.50792543116339</v>
      </c>
      <c r="O21" s="23">
        <v>223.96776265841265</v>
      </c>
      <c r="P21" s="23">
        <v>283.03153533338451</v>
      </c>
      <c r="Q21" s="23">
        <v>290.69655105786876</v>
      </c>
      <c r="R21" s="23">
        <v>222.47824877835606</v>
      </c>
      <c r="S21" s="23">
        <v>270.89999999999998</v>
      </c>
      <c r="T21" s="23">
        <v>277.07909934201257</v>
      </c>
      <c r="U21" s="23">
        <v>222.52837760939232</v>
      </c>
      <c r="V21" s="23">
        <v>216.75169646837389</v>
      </c>
      <c r="W21" s="23">
        <v>249.07811907101646</v>
      </c>
      <c r="X21" s="23">
        <v>211.56311924466723</v>
      </c>
      <c r="Y21" s="23">
        <v>215.38344346898745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72.328220476368628</v>
      </c>
      <c r="E22" s="23">
        <v>77.825263464620448</v>
      </c>
      <c r="F22" s="23">
        <v>83.996839482161292</v>
      </c>
      <c r="G22" s="23">
        <v>91.118882782575582</v>
      </c>
      <c r="H22" s="23">
        <v>99.713773764922166</v>
      </c>
      <c r="I22" s="23">
        <v>105.76890234877551</v>
      </c>
      <c r="J22" s="23">
        <v>121.41854010239852</v>
      </c>
      <c r="K22" s="23">
        <v>126.95968948543921</v>
      </c>
      <c r="L22" s="23">
        <v>105.39664061200732</v>
      </c>
      <c r="M22" s="23">
        <v>108.95575581691359</v>
      </c>
      <c r="N22" s="23">
        <v>107.16777988236467</v>
      </c>
      <c r="O22" s="23">
        <v>114.75792793318928</v>
      </c>
      <c r="P22" s="23">
        <v>126.6017033683726</v>
      </c>
      <c r="Q22" s="23">
        <v>131.77470775770456</v>
      </c>
      <c r="R22" s="23">
        <v>131.50053633149258</v>
      </c>
      <c r="S22" s="23">
        <v>132.80000000000001</v>
      </c>
      <c r="T22" s="23">
        <v>139.14320783950743</v>
      </c>
      <c r="U22" s="23">
        <v>147.65341879061967</v>
      </c>
      <c r="V22" s="23">
        <v>146.41636534746647</v>
      </c>
      <c r="W22" s="23">
        <v>151.19820196732798</v>
      </c>
      <c r="X22" s="23">
        <v>154.34976881532424</v>
      </c>
      <c r="Y22" s="23">
        <v>164.53695416198511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1011.5974560419005</v>
      </c>
      <c r="E23" s="23">
        <v>1058.7149725608274</v>
      </c>
      <c r="F23" s="23">
        <v>1176.8066613991368</v>
      </c>
      <c r="G23" s="23">
        <v>1286.6081412223728</v>
      </c>
      <c r="H23" s="23">
        <v>1403.6720731622183</v>
      </c>
      <c r="I23" s="23">
        <v>1548.506825452848</v>
      </c>
      <c r="J23" s="23">
        <v>1738.7842664572991</v>
      </c>
      <c r="K23" s="23">
        <v>1972.0493527332656</v>
      </c>
      <c r="L23" s="23">
        <v>2094.1085980375851</v>
      </c>
      <c r="M23" s="23">
        <v>1613.0543251361946</v>
      </c>
      <c r="N23" s="23">
        <v>1418.2035689362974</v>
      </c>
      <c r="O23" s="23">
        <v>1200.1401623547276</v>
      </c>
      <c r="P23" s="23">
        <v>987.97283818000449</v>
      </c>
      <c r="Q23" s="23">
        <v>755.3859530480147</v>
      </c>
      <c r="R23" s="23">
        <v>648.96110603472255</v>
      </c>
      <c r="S23" s="23">
        <v>634.79999999999995</v>
      </c>
      <c r="T23" s="23">
        <v>763.82880254341308</v>
      </c>
      <c r="U23" s="23">
        <v>920.66249363562849</v>
      </c>
      <c r="V23" s="23">
        <v>1081.3809500222892</v>
      </c>
      <c r="W23" s="23">
        <v>1264.5579349867191</v>
      </c>
      <c r="X23" s="23">
        <v>1185.4528499825158</v>
      </c>
      <c r="Y23" s="23">
        <v>1192.0359543714651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1518.0197032048889</v>
      </c>
      <c r="E24" s="23">
        <v>1554.0770239424992</v>
      </c>
      <c r="F24" s="23">
        <v>1577.9493101562025</v>
      </c>
      <c r="G24" s="23">
        <v>1521.7805057930677</v>
      </c>
      <c r="H24" s="23">
        <v>1670.5838549787077</v>
      </c>
      <c r="I24" s="23">
        <v>1767.6727425910537</v>
      </c>
      <c r="J24" s="23">
        <v>1867.280025654919</v>
      </c>
      <c r="K24" s="23">
        <v>1972.2661925103541</v>
      </c>
      <c r="L24" s="23">
        <v>2036.5250291036091</v>
      </c>
      <c r="M24" s="23">
        <v>1912.5299119189453</v>
      </c>
      <c r="N24" s="23">
        <v>1943.0764629648083</v>
      </c>
      <c r="O24" s="23">
        <v>1859.9739142284254</v>
      </c>
      <c r="P24" s="23">
        <v>1782.4944371978827</v>
      </c>
      <c r="Q24" s="23">
        <v>1561.0085982030719</v>
      </c>
      <c r="R24" s="23">
        <v>1605.3196138413257</v>
      </c>
      <c r="S24" s="23">
        <v>1640.9999999999998</v>
      </c>
      <c r="T24" s="23">
        <v>1781.0934261625448</v>
      </c>
      <c r="U24" s="23">
        <v>1992.8719039204527</v>
      </c>
      <c r="V24" s="23">
        <v>2125.0185744712467</v>
      </c>
      <c r="W24" s="23">
        <v>2175.0552155595988</v>
      </c>
      <c r="X24" s="23">
        <v>2098.5351828107396</v>
      </c>
      <c r="Y24" s="23">
        <v>2480.1470168155247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1107.12058860207</v>
      </c>
      <c r="E25" s="23">
        <v>1032.2470982468069</v>
      </c>
      <c r="F25" s="23">
        <v>1047.954780283231</v>
      </c>
      <c r="G25" s="23">
        <v>1044.6553898127661</v>
      </c>
      <c r="H25" s="23">
        <v>1028.7855164870966</v>
      </c>
      <c r="I25" s="23">
        <v>1020.8008379538443</v>
      </c>
      <c r="J25" s="23">
        <v>1060.5876303480002</v>
      </c>
      <c r="K25" s="23">
        <v>1061.7559685148644</v>
      </c>
      <c r="L25" s="23">
        <v>1098.0375852319976</v>
      </c>
      <c r="M25" s="23">
        <v>1172.6490504556793</v>
      </c>
      <c r="N25" s="23">
        <v>1284.916758050045</v>
      </c>
      <c r="O25" s="23">
        <v>1375.8297806069809</v>
      </c>
      <c r="P25" s="23">
        <v>1202.3325404741809</v>
      </c>
      <c r="Q25" s="23">
        <v>1177.6639938170224</v>
      </c>
      <c r="R25" s="23">
        <v>1155.6950458861386</v>
      </c>
      <c r="S25" s="23">
        <v>1239.8</v>
      </c>
      <c r="T25" s="23">
        <v>1218.5846228142543</v>
      </c>
      <c r="U25" s="23">
        <v>1240.9276508231253</v>
      </c>
      <c r="V25" s="23">
        <v>1369.0623606914658</v>
      </c>
      <c r="W25" s="23">
        <v>1383.5511145272867</v>
      </c>
      <c r="X25" s="23">
        <v>1076.3686521350585</v>
      </c>
      <c r="Y25" s="23">
        <v>1145.5694997238672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1030.3030303030303</v>
      </c>
      <c r="E26" s="23">
        <v>1069.8849011704142</v>
      </c>
      <c r="F26" s="23">
        <v>987.54026621284868</v>
      </c>
      <c r="G26" s="23">
        <v>925.46332643399228</v>
      </c>
      <c r="H26" s="23">
        <v>913.94596607171945</v>
      </c>
      <c r="I26" s="23">
        <v>928.23881684560479</v>
      </c>
      <c r="J26" s="23">
        <v>977.54088752750715</v>
      </c>
      <c r="K26" s="23">
        <v>1015.1354164407919</v>
      </c>
      <c r="L26" s="23">
        <v>979.33643771827712</v>
      </c>
      <c r="M26" s="23">
        <v>888.24397943078259</v>
      </c>
      <c r="N26" s="23">
        <v>887.54859934203967</v>
      </c>
      <c r="O26" s="23">
        <v>977.24308435048374</v>
      </c>
      <c r="P26" s="23">
        <v>999.48208394076562</v>
      </c>
      <c r="Q26" s="23">
        <v>953.33784175441986</v>
      </c>
      <c r="R26" s="23">
        <v>1004.6283421397641</v>
      </c>
      <c r="S26" s="23">
        <v>1020.2</v>
      </c>
      <c r="T26" s="23">
        <v>1181.660864840936</v>
      </c>
      <c r="U26" s="23">
        <v>1268.5814689468586</v>
      </c>
      <c r="V26" s="23">
        <v>1378.1762345831889</v>
      </c>
      <c r="W26" s="23">
        <v>1396.9779818834588</v>
      </c>
      <c r="X26" s="23">
        <v>431.28569763375685</v>
      </c>
      <c r="Y26" s="23">
        <v>919.14075146159848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489.21311884274849</v>
      </c>
      <c r="E27" s="23">
        <v>550.72604535962307</v>
      </c>
      <c r="F27" s="23">
        <v>555.27867258250774</v>
      </c>
      <c r="G27" s="23">
        <v>539.2191849261294</v>
      </c>
      <c r="H27" s="23">
        <v>576.17573825425268</v>
      </c>
      <c r="I27" s="23">
        <v>583.15211822435765</v>
      </c>
      <c r="J27" s="23">
        <v>530.45968749654435</v>
      </c>
      <c r="K27" s="23">
        <v>569.63809441203898</v>
      </c>
      <c r="L27" s="23">
        <v>578.74605022451351</v>
      </c>
      <c r="M27" s="23">
        <v>567.0790692938242</v>
      </c>
      <c r="N27" s="23">
        <v>620.67590469544416</v>
      </c>
      <c r="O27" s="23">
        <v>625.47450797173394</v>
      </c>
      <c r="P27" s="23">
        <v>594.06890201795443</v>
      </c>
      <c r="Q27" s="23">
        <v>665.5395613950343</v>
      </c>
      <c r="R27" s="23">
        <v>732.58909062015812</v>
      </c>
      <c r="S27" s="23">
        <v>756.3</v>
      </c>
      <c r="T27" s="23">
        <v>975.10916151880394</v>
      </c>
      <c r="U27" s="23">
        <v>1152.5751994169736</v>
      </c>
      <c r="V27" s="23">
        <v>1226.3113576700187</v>
      </c>
      <c r="W27" s="23">
        <v>1401.2590120549919</v>
      </c>
      <c r="X27" s="23">
        <v>1664.1411197886312</v>
      </c>
      <c r="Y27" s="23">
        <v>1911.2186018167622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834.64272353161243</v>
      </c>
      <c r="E28" s="23">
        <v>893.59428876693698</v>
      </c>
      <c r="F28" s="23">
        <v>862.33513644927973</v>
      </c>
      <c r="G28" s="23">
        <v>865.86729474460537</v>
      </c>
      <c r="H28" s="23">
        <v>960.95222581621022</v>
      </c>
      <c r="I28" s="23">
        <v>1068.732708663031</v>
      </c>
      <c r="J28" s="23">
        <v>1226.238789795535</v>
      </c>
      <c r="K28" s="23">
        <v>1373.8968276340613</v>
      </c>
      <c r="L28" s="23">
        <v>1354.5651089306502</v>
      </c>
      <c r="M28" s="23">
        <v>1446.464029326409</v>
      </c>
      <c r="N28" s="23">
        <v>1526.9664041471437</v>
      </c>
      <c r="O28" s="23">
        <v>1661.6052483015048</v>
      </c>
      <c r="P28" s="23">
        <v>1781.0557814777871</v>
      </c>
      <c r="Q28" s="23">
        <v>1857.211863588059</v>
      </c>
      <c r="R28" s="23">
        <v>1885.6024790433435</v>
      </c>
      <c r="S28" s="23">
        <v>2025.6</v>
      </c>
      <c r="T28" s="23">
        <v>1936.7366239410828</v>
      </c>
      <c r="U28" s="23">
        <v>1817.6645002845248</v>
      </c>
      <c r="V28" s="23">
        <v>1570.2610332359206</v>
      </c>
      <c r="W28" s="23">
        <v>1502.7388863483786</v>
      </c>
      <c r="X28" s="23">
        <v>1967.4981544080508</v>
      </c>
      <c r="Y28" s="23">
        <v>2234.1985488754735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776.65544332210993</v>
      </c>
      <c r="E29" s="23">
        <v>798.5284833179544</v>
      </c>
      <c r="F29" s="23">
        <v>869.02084726189753</v>
      </c>
      <c r="G29" s="23">
        <v>933.31430066852238</v>
      </c>
      <c r="H29" s="23">
        <v>1042.8641239848278</v>
      </c>
      <c r="I29" s="23">
        <v>1178.0310361709153</v>
      </c>
      <c r="J29" s="23">
        <v>1278.1015359777068</v>
      </c>
      <c r="K29" s="23">
        <v>1356.9833250211418</v>
      </c>
      <c r="L29" s="23">
        <v>1420.3600532180276</v>
      </c>
      <c r="M29" s="23">
        <v>1548.8009775469682</v>
      </c>
      <c r="N29" s="23">
        <v>1607.1179344033496</v>
      </c>
      <c r="O29" s="23">
        <v>1704.919309311063</v>
      </c>
      <c r="P29" s="23">
        <v>1741.0611524591422</v>
      </c>
      <c r="Q29" s="23">
        <v>1607.4775384020866</v>
      </c>
      <c r="R29" s="23">
        <v>1453.9549481546223</v>
      </c>
      <c r="S29" s="23">
        <v>1483.9</v>
      </c>
      <c r="T29" s="23">
        <v>1582.6911081151779</v>
      </c>
      <c r="U29" s="23">
        <v>1596.8332884083579</v>
      </c>
      <c r="V29" s="23">
        <v>1697.5580761800982</v>
      </c>
      <c r="W29" s="23">
        <v>1832.5728018369512</v>
      </c>
      <c r="X29" s="23">
        <v>1854.9170454986986</v>
      </c>
      <c r="Y29" s="23">
        <v>1912.5516558435374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762.81331836887398</v>
      </c>
      <c r="E30" s="23">
        <v>885.8239036472246</v>
      </c>
      <c r="F30" s="23">
        <v>941.83431593022556</v>
      </c>
      <c r="G30" s="23">
        <v>914.51954416767774</v>
      </c>
      <c r="H30" s="23">
        <v>922.90507993391202</v>
      </c>
      <c r="I30" s="23">
        <v>961.25601994694489</v>
      </c>
      <c r="J30" s="23">
        <v>1005.29685616658</v>
      </c>
      <c r="K30" s="23">
        <v>1077.3684324652518</v>
      </c>
      <c r="L30" s="23">
        <v>1182.4380508897389</v>
      </c>
      <c r="M30" s="23">
        <v>1151.6725217656942</v>
      </c>
      <c r="N30" s="23">
        <v>1277.7390090718773</v>
      </c>
      <c r="O30" s="23">
        <v>1325.799606766727</v>
      </c>
      <c r="P30" s="23">
        <v>1244.6290186449783</v>
      </c>
      <c r="Q30" s="23">
        <v>1158.8252342768815</v>
      </c>
      <c r="R30" s="23">
        <v>1213.7976242501293</v>
      </c>
      <c r="S30" s="23">
        <v>1297.4000000000001</v>
      </c>
      <c r="T30" s="23">
        <v>1402.2979254280942</v>
      </c>
      <c r="U30" s="23">
        <v>1570.1778030688752</v>
      </c>
      <c r="V30" s="23">
        <v>1676.1602853038787</v>
      </c>
      <c r="W30" s="23">
        <v>1748.1197520894345</v>
      </c>
      <c r="X30" s="23">
        <v>1745.1528927225395</v>
      </c>
      <c r="Y30" s="23">
        <v>1809.7160594922968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189.17570769422619</v>
      </c>
      <c r="E31" s="23">
        <v>202.15142538002038</v>
      </c>
      <c r="F31" s="23">
        <v>203.48872546040235</v>
      </c>
      <c r="G31" s="23">
        <v>203.05474270216257</v>
      </c>
      <c r="H31" s="23">
        <v>200.35836455448771</v>
      </c>
      <c r="I31" s="23">
        <v>219.96288410961711</v>
      </c>
      <c r="J31" s="23">
        <v>243.16882484988557</v>
      </c>
      <c r="K31" s="23">
        <v>259.34037339809618</v>
      </c>
      <c r="L31" s="23">
        <v>260.8930650257775</v>
      </c>
      <c r="M31" s="23">
        <v>254.56952293671401</v>
      </c>
      <c r="N31" s="23">
        <v>272.85415212840195</v>
      </c>
      <c r="O31" s="23">
        <v>264.36177461114681</v>
      </c>
      <c r="P31" s="23">
        <v>252.05248216066909</v>
      </c>
      <c r="Q31" s="23">
        <v>235.8226258332528</v>
      </c>
      <c r="R31" s="23">
        <v>256.94251320964605</v>
      </c>
      <c r="S31" s="23">
        <v>270</v>
      </c>
      <c r="T31" s="23">
        <v>290.05774996478658</v>
      </c>
      <c r="U31" s="23">
        <v>328.45148601834933</v>
      </c>
      <c r="V31" s="23">
        <v>436.37624448957354</v>
      </c>
      <c r="W31" s="23">
        <v>481.61589429747323</v>
      </c>
      <c r="X31" s="23">
        <v>424.29187550996625</v>
      </c>
      <c r="Y31" s="23">
        <v>508.65532935956281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1172.0912832023946</v>
      </c>
      <c r="E32" s="23">
        <v>1172.4782672041183</v>
      </c>
      <c r="F32" s="23">
        <v>1274.0533641281222</v>
      </c>
      <c r="G32" s="23">
        <v>1496.6811790735844</v>
      </c>
      <c r="H32" s="23">
        <v>1591.4644078840206</v>
      </c>
      <c r="I32" s="23">
        <v>1669.7596575319071</v>
      </c>
      <c r="J32" s="23">
        <v>1736.3514723933163</v>
      </c>
      <c r="K32" s="23">
        <v>1743.8254873473988</v>
      </c>
      <c r="L32" s="23">
        <v>1810.4523532346584</v>
      </c>
      <c r="M32" s="23">
        <v>1892.4698335115322</v>
      </c>
      <c r="N32" s="23">
        <v>1859.3360582195191</v>
      </c>
      <c r="O32" s="23">
        <v>1946.6020362475419</v>
      </c>
      <c r="P32" s="23">
        <v>1944.2952505179164</v>
      </c>
      <c r="Q32" s="23">
        <v>1733.3590957395418</v>
      </c>
      <c r="R32" s="23">
        <v>1537.0863295061781</v>
      </c>
      <c r="S32" s="23">
        <v>1511</v>
      </c>
      <c r="T32" s="23">
        <v>1487.4137271867519</v>
      </c>
      <c r="U32" s="23">
        <v>1556.1013108109455</v>
      </c>
      <c r="V32" s="23">
        <v>1571.8460547823074</v>
      </c>
      <c r="W32" s="23">
        <v>1726.8118973720316</v>
      </c>
      <c r="X32" s="23">
        <v>1812.8569763375683</v>
      </c>
      <c r="Y32" s="23">
        <v>1818.9522195349546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659.80795610425241</v>
      </c>
      <c r="E33" s="23">
        <v>694.47817007430422</v>
      </c>
      <c r="F33" s="23">
        <v>747.2193520938431</v>
      </c>
      <c r="G33" s="23">
        <v>829.11046082839675</v>
      </c>
      <c r="H33" s="23">
        <v>845.76361901659186</v>
      </c>
      <c r="I33" s="23">
        <v>886.11341978527435</v>
      </c>
      <c r="J33" s="23">
        <v>915.94696508940524</v>
      </c>
      <c r="K33" s="23">
        <v>932.0857818158164</v>
      </c>
      <c r="L33" s="23">
        <v>1010.3109928488276</v>
      </c>
      <c r="M33" s="23">
        <v>1071.8395193727406</v>
      </c>
      <c r="N33" s="23">
        <v>1123.9158608314226</v>
      </c>
      <c r="O33" s="23">
        <v>1046.2535770600948</v>
      </c>
      <c r="P33" s="23">
        <v>1002.8389472876543</v>
      </c>
      <c r="Q33" s="23">
        <v>1000.7728721862622</v>
      </c>
      <c r="R33" s="23">
        <v>1007.5086408962695</v>
      </c>
      <c r="S33" s="23">
        <v>995.4</v>
      </c>
      <c r="T33" s="23">
        <v>1035.7768074531662</v>
      </c>
      <c r="U33" s="23">
        <v>1076.5022412571006</v>
      </c>
      <c r="V33" s="23">
        <v>1172.4206250928723</v>
      </c>
      <c r="W33" s="23">
        <v>1204.2343280242073</v>
      </c>
      <c r="X33" s="23">
        <v>1266.8531685899679</v>
      </c>
      <c r="Y33" s="23">
        <v>1309.6303631620042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413.51789499937649</v>
      </c>
      <c r="E34" s="23">
        <v>430.89213734155697</v>
      </c>
      <c r="F34" s="23">
        <v>464.9607974229624</v>
      </c>
      <c r="G34" s="23">
        <v>501.39176361430304</v>
      </c>
      <c r="H34" s="23">
        <v>514.50911037162871</v>
      </c>
      <c r="I34" s="23">
        <v>538.63582024979223</v>
      </c>
      <c r="J34" s="23">
        <v>550.91727394366978</v>
      </c>
      <c r="K34" s="23">
        <v>560.09714422013576</v>
      </c>
      <c r="L34" s="23">
        <v>608.05754199234991</v>
      </c>
      <c r="M34" s="23">
        <v>630.11048317295445</v>
      </c>
      <c r="N34" s="23">
        <v>664.539926228691</v>
      </c>
      <c r="O34" s="23">
        <v>663.43514571044796</v>
      </c>
      <c r="P34" s="23">
        <v>658.23294713419784</v>
      </c>
      <c r="Q34" s="23">
        <v>641.0974785044923</v>
      </c>
      <c r="R34" s="23">
        <v>641.01545429263842</v>
      </c>
      <c r="S34" s="23">
        <v>628.5</v>
      </c>
      <c r="T34" s="23">
        <v>658.1886230557177</v>
      </c>
      <c r="U34" s="23">
        <v>691.94445276388433</v>
      </c>
      <c r="V34" s="23">
        <v>740.20506216256388</v>
      </c>
      <c r="W34" s="23">
        <v>795.68783506358307</v>
      </c>
      <c r="X34" s="23">
        <v>912.88805999145211</v>
      </c>
      <c r="Y34" s="23">
        <v>1009.4075527032429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145.65407157999746</v>
      </c>
      <c r="E35" s="23">
        <v>168.39881501626922</v>
      </c>
      <c r="F35" s="23">
        <v>187.68613626694219</v>
      </c>
      <c r="G35" s="23">
        <v>189.85083148954391</v>
      </c>
      <c r="H35" s="23">
        <v>189.42126451492805</v>
      </c>
      <c r="I35" s="23">
        <v>204.47895437933363</v>
      </c>
      <c r="J35" s="23">
        <v>216.18692704935262</v>
      </c>
      <c r="K35" s="23">
        <v>235.27115814124957</v>
      </c>
      <c r="L35" s="23">
        <v>242.07966073507399</v>
      </c>
      <c r="M35" s="23">
        <v>250.49641056972666</v>
      </c>
      <c r="N35" s="23">
        <v>293.09141660851367</v>
      </c>
      <c r="O35" s="23">
        <v>337.46033600031149</v>
      </c>
      <c r="P35" s="23">
        <v>331.56218829126067</v>
      </c>
      <c r="Q35" s="23">
        <v>260.45792677036036</v>
      </c>
      <c r="R35" s="23">
        <v>259.02824679194305</v>
      </c>
      <c r="S35" s="23">
        <v>263</v>
      </c>
      <c r="T35" s="23">
        <v>274.86568605750853</v>
      </c>
      <c r="U35" s="23">
        <v>289.21700759731249</v>
      </c>
      <c r="V35" s="23">
        <v>305.21571152607856</v>
      </c>
      <c r="W35" s="23">
        <v>331.09876531198006</v>
      </c>
      <c r="X35" s="23">
        <v>240.41263550530371</v>
      </c>
      <c r="Y35" s="23">
        <v>298.60410199767671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243.4218730515027</v>
      </c>
      <c r="E36" s="23">
        <v>244.16006993346608</v>
      </c>
      <c r="F36" s="23">
        <v>247.61441682367956</v>
      </c>
      <c r="G36" s="23">
        <v>258.24947065400994</v>
      </c>
      <c r="H36" s="23">
        <v>277.03441695948618</v>
      </c>
      <c r="I36" s="23">
        <v>288.61589607550695</v>
      </c>
      <c r="J36" s="23">
        <v>299.89715916002257</v>
      </c>
      <c r="K36" s="23">
        <v>304.55146692109196</v>
      </c>
      <c r="L36" s="23">
        <v>360.67686678862464</v>
      </c>
      <c r="M36" s="23">
        <v>328.29285677918637</v>
      </c>
      <c r="N36" s="23">
        <v>327.28541521284018</v>
      </c>
      <c r="O36" s="23">
        <v>287.13815725437519</v>
      </c>
      <c r="P36" s="23">
        <v>271.04273766592502</v>
      </c>
      <c r="Q36" s="23">
        <v>239.39715969471547</v>
      </c>
      <c r="R36" s="23">
        <v>246.31520400460849</v>
      </c>
      <c r="S36" s="23">
        <v>259.7</v>
      </c>
      <c r="T36" s="23">
        <v>276.47544117351146</v>
      </c>
      <c r="U36" s="23">
        <v>287.42000858566189</v>
      </c>
      <c r="V36" s="23">
        <v>291.7430283817921</v>
      </c>
      <c r="W36" s="23">
        <v>295.29378569552148</v>
      </c>
      <c r="X36" s="23">
        <v>238.66417997435599</v>
      </c>
      <c r="Y36" s="23">
        <v>255.47028241701739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59.857837635615418</v>
      </c>
      <c r="E37" s="23">
        <v>70.054878344907962</v>
      </c>
      <c r="F37" s="23">
        <v>80.106971373001898</v>
      </c>
      <c r="G37" s="23">
        <v>89.572478766683318</v>
      </c>
      <c r="H37" s="23">
        <v>102.27352058269146</v>
      </c>
      <c r="I37" s="23">
        <v>111.68922842211926</v>
      </c>
      <c r="J37" s="23">
        <v>140.6597295175327</v>
      </c>
      <c r="K37" s="23">
        <v>144.52371142962468</v>
      </c>
      <c r="L37" s="23">
        <v>171.39946781972392</v>
      </c>
      <c r="M37" s="23">
        <v>192.25090372180642</v>
      </c>
      <c r="N37" s="23">
        <v>210.14853952746486</v>
      </c>
      <c r="O37" s="23">
        <v>224.55177246977749</v>
      </c>
      <c r="P37" s="23">
        <v>208.79690017647511</v>
      </c>
      <c r="Q37" s="23">
        <v>173.60641483914597</v>
      </c>
      <c r="R37" s="23">
        <v>167.1566485240952</v>
      </c>
      <c r="S37" s="23">
        <v>159.30000000000001</v>
      </c>
      <c r="T37" s="23">
        <v>163.79258305330302</v>
      </c>
      <c r="U37" s="23">
        <v>165.82307546397516</v>
      </c>
      <c r="V37" s="23">
        <v>170.68700777651196</v>
      </c>
      <c r="W37" s="23">
        <v>183.88970509539888</v>
      </c>
      <c r="X37" s="23">
        <v>178.34246415666163</v>
      </c>
      <c r="Y37" s="23">
        <v>174.7252956523395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12276.71779523632</v>
      </c>
      <c r="E39" s="30">
        <f t="shared" ref="E39:S39" si="2">SUM(E18:E38)</f>
        <v>12761.764848720315</v>
      </c>
      <c r="F39" s="30">
        <f t="shared" si="2"/>
        <v>13236.978058712693</v>
      </c>
      <c r="G39" s="30">
        <f t="shared" si="2"/>
        <v>13584.207646373088</v>
      </c>
      <c r="H39" s="30">
        <f t="shared" si="2"/>
        <v>14266.981593093338</v>
      </c>
      <c r="I39" s="30">
        <f t="shared" si="2"/>
        <v>14959.411610670248</v>
      </c>
      <c r="J39" s="30">
        <f t="shared" si="2"/>
        <v>15664.539814886486</v>
      </c>
      <c r="K39" s="30">
        <f t="shared" si="2"/>
        <v>16463.126395906067</v>
      </c>
      <c r="L39" s="30">
        <f t="shared" si="2"/>
        <v>17063.549808747714</v>
      </c>
      <c r="M39" s="30">
        <f t="shared" si="2"/>
        <v>16719.617127437508</v>
      </c>
      <c r="N39" s="30">
        <f t="shared" si="2"/>
        <v>17107.466852756454</v>
      </c>
      <c r="O39" s="30">
        <f t="shared" si="2"/>
        <v>17178.745936265059</v>
      </c>
      <c r="P39" s="30">
        <f t="shared" si="2"/>
        <v>16586.645438502266</v>
      </c>
      <c r="Q39" s="30">
        <f t="shared" si="2"/>
        <v>15493.961936044829</v>
      </c>
      <c r="R39" s="30">
        <f t="shared" si="2"/>
        <v>15218.704064200865</v>
      </c>
      <c r="S39" s="30">
        <f t="shared" si="2"/>
        <v>15714.9</v>
      </c>
      <c r="T39" s="30">
        <f t="shared" ref="T39:Y39" si="3">SUM(T18:T38)</f>
        <v>16747.992836589732</v>
      </c>
      <c r="U39" s="30">
        <f t="shared" si="3"/>
        <v>17710.922758992478</v>
      </c>
      <c r="V39" s="30">
        <f t="shared" si="3"/>
        <v>18715.042845113676</v>
      </c>
      <c r="W39" s="30">
        <f t="shared" si="3"/>
        <v>19778.067504062114</v>
      </c>
      <c r="X39" s="30">
        <f t="shared" si="3"/>
        <v>19107.510587869605</v>
      </c>
      <c r="Y39" s="30">
        <f t="shared" si="3"/>
        <v>21001.314010397818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413.64259882778401</v>
      </c>
      <c r="E41" s="19">
        <v>426.03564664173666</v>
      </c>
      <c r="F41" s="19">
        <v>445.51145687716524</v>
      </c>
      <c r="G41" s="19">
        <v>440.13037375395521</v>
      </c>
      <c r="H41" s="19">
        <v>452.72613036092429</v>
      </c>
      <c r="I41" s="19">
        <v>448.69240490476244</v>
      </c>
      <c r="J41" s="19">
        <v>357.95247205051368</v>
      </c>
      <c r="K41" s="19">
        <v>327.10280373831779</v>
      </c>
      <c r="L41" s="19">
        <v>329.91019457841338</v>
      </c>
      <c r="M41" s="19">
        <v>362.50700066188074</v>
      </c>
      <c r="N41" s="19">
        <v>326.78696042268967</v>
      </c>
      <c r="O41" s="19">
        <v>296.38497926765172</v>
      </c>
      <c r="P41" s="19">
        <v>272.28957262334075</v>
      </c>
      <c r="Q41" s="19">
        <v>248.28518983673075</v>
      </c>
      <c r="R41" s="19">
        <v>251.47987763696318</v>
      </c>
      <c r="S41" s="19">
        <v>255</v>
      </c>
      <c r="T41" s="19">
        <v>304.5455460088134</v>
      </c>
      <c r="U41" s="19">
        <v>320.564657022772</v>
      </c>
      <c r="V41" s="19">
        <v>359.60176333647036</v>
      </c>
      <c r="W41" s="19">
        <v>374.68743614940797</v>
      </c>
      <c r="X41" s="19">
        <v>357.947701752341</v>
      </c>
      <c r="Y41" s="19">
        <v>360.30545980842106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82.803342062601331</v>
      </c>
      <c r="E42" s="23">
        <v>71.754650089845072</v>
      </c>
      <c r="F42" s="23">
        <v>67.100224883000067</v>
      </c>
      <c r="G42" s="23">
        <v>54.718911331572812</v>
      </c>
      <c r="H42" s="23">
        <v>43.632048030158472</v>
      </c>
      <c r="I42" s="23">
        <v>41.214577664431367</v>
      </c>
      <c r="J42" s="23">
        <v>39.367031217171103</v>
      </c>
      <c r="K42" s="23">
        <v>37.404861547802334</v>
      </c>
      <c r="L42" s="23">
        <v>30.454847829702313</v>
      </c>
      <c r="M42" s="23">
        <v>25.558780102846089</v>
      </c>
      <c r="N42" s="23">
        <v>21.034792144352508</v>
      </c>
      <c r="O42" s="23">
        <v>19.369658743600223</v>
      </c>
      <c r="P42" s="23">
        <v>14.67428834497046</v>
      </c>
      <c r="Q42" s="23">
        <v>11.013428654236305</v>
      </c>
      <c r="R42" s="23">
        <v>11.52119502602201</v>
      </c>
      <c r="S42" s="23">
        <v>12.5</v>
      </c>
      <c r="T42" s="23">
        <v>13.582308791275127</v>
      </c>
      <c r="U42" s="23">
        <v>14.974991763754529</v>
      </c>
      <c r="V42" s="23">
        <v>17.534300856902274</v>
      </c>
      <c r="W42" s="23">
        <v>18.194378229015655</v>
      </c>
      <c r="X42" s="23">
        <v>14.861872013055136</v>
      </c>
      <c r="Y42" s="23">
        <v>15.90143017653444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134.68013468013467</v>
      </c>
      <c r="E43" s="23">
        <v>133.31066971006749</v>
      </c>
      <c r="F43" s="23">
        <v>139.18434328086065</v>
      </c>
      <c r="G43" s="23">
        <v>141.55544453167749</v>
      </c>
      <c r="H43" s="23">
        <v>147.30179414981501</v>
      </c>
      <c r="I43" s="23">
        <v>144.82028394794668</v>
      </c>
      <c r="J43" s="23">
        <v>146.40997003240039</v>
      </c>
      <c r="K43" s="23">
        <v>153.84782184443915</v>
      </c>
      <c r="L43" s="23">
        <v>152.17029768834192</v>
      </c>
      <c r="M43" s="23">
        <v>133.08894659131408</v>
      </c>
      <c r="N43" s="23">
        <v>125.61060711793441</v>
      </c>
      <c r="O43" s="23">
        <v>112.32455371916915</v>
      </c>
      <c r="P43" s="23">
        <v>95.047187907619119</v>
      </c>
      <c r="Q43" s="23">
        <v>68.882233600618292</v>
      </c>
      <c r="R43" s="23">
        <v>66.544833339954707</v>
      </c>
      <c r="S43" s="23">
        <v>70.099999999999994</v>
      </c>
      <c r="T43" s="23">
        <v>79.079220073646283</v>
      </c>
      <c r="U43" s="23">
        <v>88.452284684576753</v>
      </c>
      <c r="V43" s="23">
        <v>97.181633562831252</v>
      </c>
      <c r="W43" s="23">
        <v>104.88523920256084</v>
      </c>
      <c r="X43" s="23">
        <v>91.3082332828224</v>
      </c>
      <c r="Y43" s="23">
        <v>91.790291557959279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10.724529243047762</v>
      </c>
      <c r="E44" s="23">
        <v>10.927104074595697</v>
      </c>
      <c r="F44" s="23">
        <v>11.061812435422111</v>
      </c>
      <c r="G44" s="23">
        <v>13.679727832893203</v>
      </c>
      <c r="H44" s="23">
        <v>5.7012542759407081</v>
      </c>
      <c r="I44" s="23">
        <v>0.56926212243689733</v>
      </c>
      <c r="J44" s="23">
        <v>0.44232619345136071</v>
      </c>
      <c r="K44" s="23">
        <v>0.32525966563306374</v>
      </c>
      <c r="L44" s="23">
        <v>0.41576584067852984</v>
      </c>
      <c r="M44" s="23">
        <v>0.61096685504811366</v>
      </c>
      <c r="N44" s="23">
        <v>0.29907287409032002</v>
      </c>
      <c r="O44" s="23">
        <v>0.29200490568241544</v>
      </c>
      <c r="P44" s="23">
        <v>0.38364152535870483</v>
      </c>
      <c r="Q44" s="23">
        <v>0.38643609313109845</v>
      </c>
      <c r="R44" s="23">
        <v>0.59592388065631086</v>
      </c>
      <c r="S44" s="23">
        <v>1.2</v>
      </c>
      <c r="T44" s="23">
        <v>1.3079260317524195</v>
      </c>
      <c r="U44" s="23">
        <v>1.1979993411003624</v>
      </c>
      <c r="V44" s="23">
        <v>2.3775323195799696</v>
      </c>
      <c r="W44" s="23">
        <v>2.2378112260286631</v>
      </c>
      <c r="X44" s="23">
        <v>1.748455530947663</v>
      </c>
      <c r="Y44" s="23">
        <v>1.9995810401630134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36.039406409776781</v>
      </c>
      <c r="E45" s="23">
        <v>31.810014083823027</v>
      </c>
      <c r="F45" s="23">
        <v>31.605178386920318</v>
      </c>
      <c r="G45" s="23">
        <v>29.857492922227774</v>
      </c>
      <c r="H45" s="23">
        <v>33.044004374840014</v>
      </c>
      <c r="I45" s="23">
        <v>26.186057632097278</v>
      </c>
      <c r="J45" s="23">
        <v>28.530039477612767</v>
      </c>
      <c r="K45" s="23">
        <v>28.514430687165255</v>
      </c>
      <c r="L45" s="23">
        <v>24.634126060202895</v>
      </c>
      <c r="M45" s="23">
        <v>24.235018583575176</v>
      </c>
      <c r="N45" s="23">
        <v>28.810686870700827</v>
      </c>
      <c r="O45" s="23">
        <v>23.749732328836458</v>
      </c>
      <c r="P45" s="23">
        <v>20.045269699992328</v>
      </c>
      <c r="Q45" s="23">
        <v>17.969278330596079</v>
      </c>
      <c r="R45" s="23">
        <v>17.182471892256963</v>
      </c>
      <c r="S45" s="23">
        <v>19.3</v>
      </c>
      <c r="T45" s="23">
        <v>21.731694066040202</v>
      </c>
      <c r="U45" s="23">
        <v>23.261153873032036</v>
      </c>
      <c r="V45" s="23">
        <v>26.945366288572988</v>
      </c>
      <c r="W45" s="23">
        <v>26.951030852606078</v>
      </c>
      <c r="X45" s="23">
        <v>28.558107005478497</v>
      </c>
      <c r="Y45" s="23">
        <v>27.518043838433851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35.041775782516524</v>
      </c>
      <c r="E46" s="23">
        <v>35.938031178670293</v>
      </c>
      <c r="F46" s="23">
        <v>36.345955144958367</v>
      </c>
      <c r="G46" s="23">
        <v>35.21042990031642</v>
      </c>
      <c r="H46" s="23">
        <v>38.163498010378603</v>
      </c>
      <c r="I46" s="23">
        <v>45.540969794951785</v>
      </c>
      <c r="J46" s="23">
        <v>46.001924118941517</v>
      </c>
      <c r="K46" s="23">
        <v>43.693215083374895</v>
      </c>
      <c r="L46" s="23">
        <v>46.565774155995342</v>
      </c>
      <c r="M46" s="23">
        <v>46.535308792831323</v>
      </c>
      <c r="N46" s="23">
        <v>55.129099790648986</v>
      </c>
      <c r="O46" s="23">
        <v>55.578267048219743</v>
      </c>
      <c r="P46" s="23">
        <v>58.69715337988184</v>
      </c>
      <c r="Q46" s="23">
        <v>65.694135832286733</v>
      </c>
      <c r="R46" s="23">
        <v>73.497278614278343</v>
      </c>
      <c r="S46" s="23">
        <v>88.5</v>
      </c>
      <c r="T46" s="23">
        <v>100.10664627643519</v>
      </c>
      <c r="U46" s="23">
        <v>125.09109786656283</v>
      </c>
      <c r="V46" s="23">
        <v>137.00529991579575</v>
      </c>
      <c r="W46" s="23">
        <v>151.29549810759008</v>
      </c>
      <c r="X46" s="23">
        <v>194.5642460271205</v>
      </c>
      <c r="Y46" s="23">
        <v>152.34903163146768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160.3691233320863</v>
      </c>
      <c r="E47" s="23">
        <v>159.89995629158366</v>
      </c>
      <c r="F47" s="23">
        <v>179.66328329180089</v>
      </c>
      <c r="G47" s="23">
        <v>186.16325268241619</v>
      </c>
      <c r="H47" s="23">
        <v>206.87408372699136</v>
      </c>
      <c r="I47" s="23">
        <v>218.14124531781906</v>
      </c>
      <c r="J47" s="23">
        <v>226.91333724054806</v>
      </c>
      <c r="K47" s="23">
        <v>229.74174382548736</v>
      </c>
      <c r="L47" s="23">
        <v>227.11209047064693</v>
      </c>
      <c r="M47" s="23">
        <v>193.77832085942671</v>
      </c>
      <c r="N47" s="23">
        <v>177.15083241949955</v>
      </c>
      <c r="O47" s="23">
        <v>155.05460491736264</v>
      </c>
      <c r="P47" s="23">
        <v>110.77649044732603</v>
      </c>
      <c r="Q47" s="23">
        <v>81.248188580813448</v>
      </c>
      <c r="R47" s="23">
        <v>93.162766675936595</v>
      </c>
      <c r="S47" s="23">
        <v>107.4</v>
      </c>
      <c r="T47" s="23">
        <v>130.49077409099138</v>
      </c>
      <c r="U47" s="23">
        <v>135.77325865804107</v>
      </c>
      <c r="V47" s="23">
        <v>151.36955767992475</v>
      </c>
      <c r="W47" s="23">
        <v>167.93313809241187</v>
      </c>
      <c r="X47" s="23">
        <v>182.51933014725881</v>
      </c>
      <c r="Y47" s="23">
        <v>172.63049646740683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97.019578501059982</v>
      </c>
      <c r="E48" s="23">
        <v>94.215919576513997</v>
      </c>
      <c r="F48" s="23">
        <v>98.705403269920382</v>
      </c>
      <c r="G48" s="23">
        <v>110.50841005876335</v>
      </c>
      <c r="H48" s="23">
        <v>126.12570683917809</v>
      </c>
      <c r="I48" s="23">
        <v>131.95495998087279</v>
      </c>
      <c r="J48" s="23">
        <v>140.88089261425839</v>
      </c>
      <c r="K48" s="23">
        <v>153.08888262462864</v>
      </c>
      <c r="L48" s="23">
        <v>148.74022950274406</v>
      </c>
      <c r="M48" s="23">
        <v>126.47013899495953</v>
      </c>
      <c r="N48" s="23">
        <v>131.791446515801</v>
      </c>
      <c r="O48" s="23">
        <v>121.37670579532403</v>
      </c>
      <c r="P48" s="23">
        <v>113.07833959947826</v>
      </c>
      <c r="Q48" s="23">
        <v>83.663414162882816</v>
      </c>
      <c r="R48" s="23">
        <v>79.555838067617486</v>
      </c>
      <c r="S48" s="23">
        <v>73.3</v>
      </c>
      <c r="T48" s="23">
        <v>84.713362979656722</v>
      </c>
      <c r="U48" s="23">
        <v>101.5304441582557</v>
      </c>
      <c r="V48" s="23">
        <v>129.87270295705582</v>
      </c>
      <c r="W48" s="23">
        <v>141.7604763619027</v>
      </c>
      <c r="X48" s="23">
        <v>143.76189921125228</v>
      </c>
      <c r="Y48" s="23">
        <v>158.7286473310354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4.3646339942636239</v>
      </c>
      <c r="E49" s="23">
        <v>4.3708416298382788</v>
      </c>
      <c r="F49" s="23">
        <v>4.4976600012155838</v>
      </c>
      <c r="G49" s="23">
        <v>4.7581662027454614</v>
      </c>
      <c r="H49" s="23">
        <v>5.5849021478602845</v>
      </c>
      <c r="I49" s="23">
        <v>6.4895881957806294</v>
      </c>
      <c r="J49" s="23">
        <v>12.05338877154958</v>
      </c>
      <c r="K49" s="23">
        <v>12.685126959689486</v>
      </c>
      <c r="L49" s="23">
        <v>12.369033760186264</v>
      </c>
      <c r="M49" s="23">
        <v>9.1645028257217049</v>
      </c>
      <c r="N49" s="23">
        <v>4.7851659854451203</v>
      </c>
      <c r="O49" s="23">
        <v>2.1413693083377137</v>
      </c>
      <c r="P49" s="23">
        <v>2.1100283894728769</v>
      </c>
      <c r="Q49" s="23">
        <v>12.269345956912375</v>
      </c>
      <c r="R49" s="23">
        <v>19.764808708434309</v>
      </c>
      <c r="S49" s="23">
        <v>26.9</v>
      </c>
      <c r="T49" s="23">
        <v>8.954262832766565</v>
      </c>
      <c r="U49" s="23">
        <v>15.27449159902962</v>
      </c>
      <c r="V49" s="23">
        <v>34.67234632720789</v>
      </c>
      <c r="W49" s="23">
        <v>36.777941019079769</v>
      </c>
      <c r="X49" s="23">
        <v>32.929245832847656</v>
      </c>
      <c r="Y49" s="23">
        <v>48.751690122069661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10.350417757825166</v>
      </c>
      <c r="E50" s="23">
        <v>8.3774464571900342</v>
      </c>
      <c r="F50" s="23">
        <v>8.7522032456087029</v>
      </c>
      <c r="G50" s="23">
        <v>7.4941117693241024</v>
      </c>
      <c r="H50" s="23">
        <v>7.3301840690666236</v>
      </c>
      <c r="I50" s="23">
        <v>7.8558172896291829</v>
      </c>
      <c r="J50" s="23">
        <v>8.7359423206643747</v>
      </c>
      <c r="K50" s="23">
        <v>11.275668408612876</v>
      </c>
      <c r="L50" s="23">
        <v>12.680858140695161</v>
      </c>
      <c r="M50" s="23">
        <v>15.375999185377527</v>
      </c>
      <c r="N50" s="23">
        <v>17.545608613298775</v>
      </c>
      <c r="O50" s="23">
        <v>15.47626000116802</v>
      </c>
      <c r="P50" s="23">
        <v>11.701066523440497</v>
      </c>
      <c r="Q50" s="23">
        <v>9.2744662351463614</v>
      </c>
      <c r="R50" s="23">
        <v>9.0381788566207142</v>
      </c>
      <c r="S50" s="23">
        <v>8.8000000000000007</v>
      </c>
      <c r="T50" s="23">
        <v>9.3567016117673099</v>
      </c>
      <c r="U50" s="23">
        <v>10.28282767777811</v>
      </c>
      <c r="V50" s="23">
        <v>12.382980831145675</v>
      </c>
      <c r="W50" s="23">
        <v>13.134978935385634</v>
      </c>
      <c r="X50" s="23">
        <v>15.930372615300927</v>
      </c>
      <c r="Y50" s="23">
        <v>15.425339452686103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22.321985284948244</v>
      </c>
      <c r="E51" s="23">
        <v>24.039628964110534</v>
      </c>
      <c r="F51" s="23">
        <v>25.041025952713792</v>
      </c>
      <c r="G51" s="23">
        <v>25.09932671948231</v>
      </c>
      <c r="H51" s="23">
        <v>26.295580946175505</v>
      </c>
      <c r="I51" s="23">
        <v>23.795156717862309</v>
      </c>
      <c r="J51" s="23">
        <v>24.880848381639041</v>
      </c>
      <c r="K51" s="23">
        <v>26.45445280482252</v>
      </c>
      <c r="L51" s="23">
        <v>27.128721104274074</v>
      </c>
      <c r="M51" s="23">
        <v>17.616210987220612</v>
      </c>
      <c r="N51" s="23">
        <v>22.629847472834214</v>
      </c>
      <c r="O51" s="23">
        <v>25.015086920126926</v>
      </c>
      <c r="P51" s="23">
        <v>23.30622266554132</v>
      </c>
      <c r="Q51" s="23">
        <v>17.486233214182207</v>
      </c>
      <c r="R51" s="23">
        <v>16.685868658376705</v>
      </c>
      <c r="S51" s="23">
        <v>18.7</v>
      </c>
      <c r="T51" s="23">
        <v>19.820109865786666</v>
      </c>
      <c r="U51" s="23">
        <v>23.760320265157187</v>
      </c>
      <c r="V51" s="23">
        <v>24.369706275694686</v>
      </c>
      <c r="W51" s="23">
        <v>26.659142431819731</v>
      </c>
      <c r="X51" s="23">
        <v>24.575513851653263</v>
      </c>
      <c r="Y51" s="23">
        <v>26.851516825046179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8.2304526748971192</v>
      </c>
      <c r="E52" s="23">
        <v>8.8630955271720655</v>
      </c>
      <c r="F52" s="23">
        <v>9.4815535160760955</v>
      </c>
      <c r="G52" s="23">
        <v>8.3267908548045586</v>
      </c>
      <c r="H52" s="23">
        <v>7.6792404533078908</v>
      </c>
      <c r="I52" s="23">
        <v>7.2865551671922857</v>
      </c>
      <c r="J52" s="23">
        <v>7.5195452886731324</v>
      </c>
      <c r="K52" s="23">
        <v>8.4567513064596582</v>
      </c>
      <c r="L52" s="23">
        <v>7.2759022118742722</v>
      </c>
      <c r="M52" s="23">
        <v>7.5352578789267346</v>
      </c>
      <c r="N52" s="23">
        <v>6.2805303558967198</v>
      </c>
      <c r="O52" s="23">
        <v>5.1587533337226734</v>
      </c>
      <c r="P52" s="23">
        <v>2.9732218215299624</v>
      </c>
      <c r="Q52" s="23">
        <v>2.8016616752004637</v>
      </c>
      <c r="R52" s="23">
        <v>3.0789400500576058</v>
      </c>
      <c r="S52" s="23">
        <v>4.4000000000000004</v>
      </c>
      <c r="T52" s="23">
        <v>5.4329235165100505</v>
      </c>
      <c r="U52" s="23">
        <v>5.6904968702267213</v>
      </c>
      <c r="V52" s="23">
        <v>6.3400861855465855</v>
      </c>
      <c r="W52" s="23">
        <v>6.421545257299643</v>
      </c>
      <c r="X52" s="23">
        <v>6.4110036134747643</v>
      </c>
      <c r="Y52" s="23">
        <v>7.6174515815733841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82.304526748974467</v>
      </c>
      <c r="E53" s="23">
        <v>81.710456024477367</v>
      </c>
      <c r="F53" s="23">
        <v>78.891387588887937</v>
      </c>
      <c r="G53" s="23">
        <v>66.3764185282987</v>
      </c>
      <c r="H53" s="23">
        <v>68.64775556744712</v>
      </c>
      <c r="I53" s="23">
        <v>62.277276194596425</v>
      </c>
      <c r="J53" s="23">
        <v>62.699737921729593</v>
      </c>
      <c r="K53" s="23">
        <v>62.666695578638837</v>
      </c>
      <c r="L53" s="23">
        <v>62.260934641608969</v>
      </c>
      <c r="M53" s="23">
        <v>60.180235222240526</v>
      </c>
      <c r="N53" s="23">
        <v>62.506230684877323</v>
      </c>
      <c r="O53" s="23">
        <v>57.135626545190462</v>
      </c>
      <c r="P53" s="23">
        <v>58.217601473185823</v>
      </c>
      <c r="Q53" s="23">
        <v>58.062022992948869</v>
      </c>
      <c r="R53" s="23">
        <v>66.04823010607538</v>
      </c>
      <c r="S53" s="23">
        <v>78.300000000001091</v>
      </c>
      <c r="T53" s="23">
        <v>95.377990623175947</v>
      </c>
      <c r="U53" s="23">
        <v>125.8897640939623</v>
      </c>
      <c r="V53" s="23">
        <v>144.53415226113532</v>
      </c>
      <c r="W53" s="23">
        <v>159.07918932855728</v>
      </c>
      <c r="X53" s="23">
        <v>127.44298092240956</v>
      </c>
      <c r="Y53" s="23">
        <v>146.82637923482525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1097.8925052999161</v>
      </c>
      <c r="E54" s="30">
        <f t="shared" ref="E54:S54" si="4">SUM(E41:E53)</f>
        <v>1091.2534602496241</v>
      </c>
      <c r="F54" s="30">
        <f t="shared" si="4"/>
        <v>1135.84148787455</v>
      </c>
      <c r="G54" s="30">
        <f t="shared" si="4"/>
        <v>1123.8788570884776</v>
      </c>
      <c r="H54" s="30">
        <f t="shared" si="4"/>
        <v>1169.1061829520841</v>
      </c>
      <c r="I54" s="30">
        <f t="shared" si="4"/>
        <v>1164.8241549303793</v>
      </c>
      <c r="J54" s="30">
        <f t="shared" si="4"/>
        <v>1102.3874556291528</v>
      </c>
      <c r="K54" s="30">
        <f t="shared" si="4"/>
        <v>1095.2577140750718</v>
      </c>
      <c r="L54" s="30">
        <f t="shared" si="4"/>
        <v>1081.7187759853641</v>
      </c>
      <c r="M54" s="30">
        <f t="shared" si="4"/>
        <v>1022.6566875413687</v>
      </c>
      <c r="N54" s="30">
        <f t="shared" si="4"/>
        <v>980.36088126806942</v>
      </c>
      <c r="O54" s="30">
        <f t="shared" si="4"/>
        <v>889.05760283439213</v>
      </c>
      <c r="P54" s="30">
        <f t="shared" si="4"/>
        <v>783.30008440113795</v>
      </c>
      <c r="Q54" s="30">
        <f t="shared" si="4"/>
        <v>677.03603516568592</v>
      </c>
      <c r="R54" s="30">
        <f t="shared" si="4"/>
        <v>708.15621151325013</v>
      </c>
      <c r="S54" s="30">
        <f t="shared" si="4"/>
        <v>764.400000000001</v>
      </c>
      <c r="T54" s="30">
        <f t="shared" ref="T54:Y54" si="5">SUM(T41:T53)</f>
        <v>874.49946676861725</v>
      </c>
      <c r="U54" s="30">
        <f t="shared" si="5"/>
        <v>991.74378787424905</v>
      </c>
      <c r="V54" s="30">
        <f t="shared" si="5"/>
        <v>1144.1874287978635</v>
      </c>
      <c r="W54" s="30">
        <f t="shared" si="5"/>
        <v>1230.0178051936657</v>
      </c>
      <c r="X54" s="30">
        <f t="shared" si="5"/>
        <v>1222.5589618059628</v>
      </c>
      <c r="Y54" s="30">
        <f t="shared" si="5"/>
        <v>1226.6953590676221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413.64259882778401</v>
      </c>
      <c r="E56" s="19">
        <v>426.03564664173666</v>
      </c>
      <c r="F56" s="19">
        <v>445.51145687716524</v>
      </c>
      <c r="G56" s="19">
        <v>440.13037375395521</v>
      </c>
      <c r="H56" s="19">
        <v>452.72613036092429</v>
      </c>
      <c r="I56" s="19">
        <v>448.69240490476244</v>
      </c>
      <c r="J56" s="19">
        <v>357.95247205051368</v>
      </c>
      <c r="K56" s="19">
        <v>327.10280373831779</v>
      </c>
      <c r="L56" s="19">
        <v>329.91019457841338</v>
      </c>
      <c r="M56" s="19">
        <v>362.50700066188074</v>
      </c>
      <c r="N56" s="19">
        <v>326.78696042268967</v>
      </c>
      <c r="O56" s="19">
        <v>296.38497926765172</v>
      </c>
      <c r="P56" s="19">
        <v>272.28957262334075</v>
      </c>
      <c r="Q56" s="19">
        <v>248.28518983673075</v>
      </c>
      <c r="R56" s="19">
        <v>251.47987763696318</v>
      </c>
      <c r="S56" s="19">
        <v>255</v>
      </c>
      <c r="T56" s="19">
        <v>304.5455460088134</v>
      </c>
      <c r="U56" s="19">
        <v>320.564657022772</v>
      </c>
      <c r="V56" s="19">
        <v>359.60176333647036</v>
      </c>
      <c r="W56" s="19">
        <v>374.68743614940797</v>
      </c>
      <c r="X56" s="19">
        <v>357.947701752341</v>
      </c>
      <c r="Y56" s="19">
        <v>360.30545980842106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82.803342062601331</v>
      </c>
      <c r="E57" s="23">
        <v>71.754650089845072</v>
      </c>
      <c r="F57" s="23">
        <v>67.100224883000067</v>
      </c>
      <c r="G57" s="23">
        <v>54.718911331572812</v>
      </c>
      <c r="H57" s="23">
        <v>43.632048030158472</v>
      </c>
      <c r="I57" s="23">
        <v>41.214577664431367</v>
      </c>
      <c r="J57" s="23">
        <v>39.367031217171103</v>
      </c>
      <c r="K57" s="23">
        <v>37.404861547802334</v>
      </c>
      <c r="L57" s="23">
        <v>30.454847829702313</v>
      </c>
      <c r="M57" s="23">
        <v>25.558780102846089</v>
      </c>
      <c r="N57" s="23">
        <v>21.034792144352508</v>
      </c>
      <c r="O57" s="23">
        <v>19.369658743600223</v>
      </c>
      <c r="P57" s="23">
        <v>14.67428834497046</v>
      </c>
      <c r="Q57" s="23">
        <v>11.013428654236305</v>
      </c>
      <c r="R57" s="23">
        <v>11.52119502602201</v>
      </c>
      <c r="S57" s="23">
        <v>12.5</v>
      </c>
      <c r="T57" s="23">
        <v>13.582308791275127</v>
      </c>
      <c r="U57" s="23">
        <v>14.974991763754529</v>
      </c>
      <c r="V57" s="23">
        <v>17.534300856902274</v>
      </c>
      <c r="W57" s="23">
        <v>18.194378229015655</v>
      </c>
      <c r="X57" s="23">
        <v>14.861872013055136</v>
      </c>
      <c r="Y57" s="23">
        <v>15.90143017653444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68.3376979673276</v>
      </c>
      <c r="E58" s="23">
        <v>63.86285270263707</v>
      </c>
      <c r="F58" s="23">
        <v>67.221783261411289</v>
      </c>
      <c r="G58" s="23">
        <v>73.156805367211476</v>
      </c>
      <c r="H58" s="23">
        <v>78.53768645428525</v>
      </c>
      <c r="I58" s="23">
        <v>78.44432047180446</v>
      </c>
      <c r="J58" s="23">
        <v>80.503367208147651</v>
      </c>
      <c r="K58" s="23">
        <v>85.760131838584471</v>
      </c>
      <c r="L58" s="23">
        <v>82.113753534009646</v>
      </c>
      <c r="M58" s="23">
        <v>73.112366987424267</v>
      </c>
      <c r="N58" s="23">
        <v>66.493869006081141</v>
      </c>
      <c r="O58" s="23">
        <v>57.81697132511826</v>
      </c>
      <c r="P58" s="23">
        <v>49.202025627253896</v>
      </c>
      <c r="Q58" s="23">
        <v>30.335233310791228</v>
      </c>
      <c r="R58" s="23">
        <v>27.809781097294508</v>
      </c>
      <c r="S58" s="23">
        <v>33.299999999999997</v>
      </c>
      <c r="T58" s="23">
        <v>37.124977362818676</v>
      </c>
      <c r="U58" s="23">
        <v>45.42414168338874</v>
      </c>
      <c r="V58" s="23">
        <v>54.386051810391798</v>
      </c>
      <c r="W58" s="23">
        <v>60.51819924303603</v>
      </c>
      <c r="X58" s="23">
        <v>54.493530714535495</v>
      </c>
      <c r="Y58" s="23">
        <v>55.702614690255373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66.342436712807071</v>
      </c>
      <c r="E60" s="23">
        <v>69.447817007430416</v>
      </c>
      <c r="F60" s="23">
        <v>71.962560019449356</v>
      </c>
      <c r="G60" s="23">
        <v>68.398639164466019</v>
      </c>
      <c r="H60" s="23">
        <v>68.764107695529759</v>
      </c>
      <c r="I60" s="23">
        <v>66.375963476142218</v>
      </c>
      <c r="J60" s="23">
        <v>65.906602824252744</v>
      </c>
      <c r="K60" s="23">
        <v>68.087690005854682</v>
      </c>
      <c r="L60" s="23">
        <v>70.056544154332272</v>
      </c>
      <c r="M60" s="23">
        <v>59.976579603889817</v>
      </c>
      <c r="N60" s="23">
        <v>59.116738111853266</v>
      </c>
      <c r="O60" s="23">
        <v>54.507582394050885</v>
      </c>
      <c r="P60" s="23">
        <v>45.845162280365223</v>
      </c>
      <c r="Q60" s="23">
        <v>38.547000289827068</v>
      </c>
      <c r="R60" s="23">
        <v>38.735052242660203</v>
      </c>
      <c r="S60" s="23">
        <v>36.799999999999997</v>
      </c>
      <c r="T60" s="23">
        <v>41.954242710827607</v>
      </c>
      <c r="U60" s="23">
        <v>43.028143001188013</v>
      </c>
      <c r="V60" s="23">
        <v>42.795581752439453</v>
      </c>
      <c r="W60" s="23">
        <v>44.36703995952481</v>
      </c>
      <c r="X60" s="23">
        <v>36.814702568286904</v>
      </c>
      <c r="Y60" s="23">
        <v>36.087676867703905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10.724529243047762</v>
      </c>
      <c r="E61" s="23">
        <v>10.927104074595697</v>
      </c>
      <c r="F61" s="23">
        <v>11.061812435422111</v>
      </c>
      <c r="G61" s="23">
        <v>13.679727832893203</v>
      </c>
      <c r="H61" s="23">
        <v>5.7012542759407081</v>
      </c>
      <c r="I61" s="23">
        <v>0.56926212243689733</v>
      </c>
      <c r="J61" s="23">
        <v>0.44232619345136071</v>
      </c>
      <c r="K61" s="23">
        <v>0.32525966563306374</v>
      </c>
      <c r="L61" s="23">
        <v>0.41576584067852984</v>
      </c>
      <c r="M61" s="23">
        <v>0.61096685504811366</v>
      </c>
      <c r="N61" s="23">
        <v>0.29907287409032002</v>
      </c>
      <c r="O61" s="23">
        <v>0.29200490568241544</v>
      </c>
      <c r="P61" s="23">
        <v>0.38364152535870483</v>
      </c>
      <c r="Q61" s="23">
        <v>0.38643609313109845</v>
      </c>
      <c r="R61" s="23">
        <v>0.59592388065631086</v>
      </c>
      <c r="S61" s="23">
        <v>1.2</v>
      </c>
      <c r="T61" s="23">
        <v>1.3079260317524195</v>
      </c>
      <c r="U61" s="23">
        <v>1.1979993411003624</v>
      </c>
      <c r="V61" s="23">
        <v>2.3775323195799696</v>
      </c>
      <c r="W61" s="23">
        <v>2.2378112260286631</v>
      </c>
      <c r="X61" s="23">
        <v>1.748455530947663</v>
      </c>
      <c r="Y61" s="23">
        <v>1.9995810401630134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36.039406409776781</v>
      </c>
      <c r="E62" s="23">
        <v>31.810014083823027</v>
      </c>
      <c r="F62" s="23">
        <v>31.605178386920318</v>
      </c>
      <c r="G62" s="23">
        <v>29.857492922227774</v>
      </c>
      <c r="H62" s="23">
        <v>33.044004374840014</v>
      </c>
      <c r="I62" s="23">
        <v>26.186057632097278</v>
      </c>
      <c r="J62" s="23">
        <v>28.530039477612767</v>
      </c>
      <c r="K62" s="23">
        <v>28.514430687165255</v>
      </c>
      <c r="L62" s="23">
        <v>24.634126060202895</v>
      </c>
      <c r="M62" s="23">
        <v>24.235018583575176</v>
      </c>
      <c r="N62" s="23">
        <v>28.810686870700827</v>
      </c>
      <c r="O62" s="23">
        <v>23.749732328836458</v>
      </c>
      <c r="P62" s="23">
        <v>20.045269699992328</v>
      </c>
      <c r="Q62" s="23">
        <v>17.969278330596079</v>
      </c>
      <c r="R62" s="23">
        <v>17.182471892256963</v>
      </c>
      <c r="S62" s="23">
        <v>19.3</v>
      </c>
      <c r="T62" s="23">
        <v>21.731694066040202</v>
      </c>
      <c r="U62" s="23">
        <v>23.261153873032036</v>
      </c>
      <c r="V62" s="23">
        <v>26.945366288572988</v>
      </c>
      <c r="W62" s="23">
        <v>26.951030852606078</v>
      </c>
      <c r="X62" s="23">
        <v>28.558107005478497</v>
      </c>
      <c r="Y62" s="23">
        <v>27.518043838433851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35.041775782516524</v>
      </c>
      <c r="E63" s="23">
        <v>35.938031178670293</v>
      </c>
      <c r="F63" s="23">
        <v>36.345955144958367</v>
      </c>
      <c r="G63" s="23">
        <v>35.21042990031642</v>
      </c>
      <c r="H63" s="23">
        <v>38.163498010378603</v>
      </c>
      <c r="I63" s="23">
        <v>45.540969794951785</v>
      </c>
      <c r="J63" s="23">
        <v>46.001924118941517</v>
      </c>
      <c r="K63" s="23">
        <v>43.693215083374895</v>
      </c>
      <c r="L63" s="23">
        <v>46.565774155995342</v>
      </c>
      <c r="M63" s="23">
        <v>46.535308792831323</v>
      </c>
      <c r="N63" s="23">
        <v>55.129099790648986</v>
      </c>
      <c r="O63" s="23">
        <v>55.578267048219743</v>
      </c>
      <c r="P63" s="23">
        <v>58.69715337988184</v>
      </c>
      <c r="Q63" s="23">
        <v>65.694135832286733</v>
      </c>
      <c r="R63" s="23">
        <v>73.497278614278343</v>
      </c>
      <c r="S63" s="23">
        <v>88.5</v>
      </c>
      <c r="T63" s="23">
        <v>100.10664627643519</v>
      </c>
      <c r="U63" s="23">
        <v>125.09109786656283</v>
      </c>
      <c r="V63" s="23">
        <v>137.00529991579575</v>
      </c>
      <c r="W63" s="23">
        <v>151.29549810759008</v>
      </c>
      <c r="X63" s="23">
        <v>194.5642460271205</v>
      </c>
      <c r="Y63" s="23">
        <v>152.34903163146768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31.425364758698095</v>
      </c>
      <c r="E64" s="23">
        <v>29.98883007139041</v>
      </c>
      <c r="F64" s="23">
        <v>32.577645414210174</v>
      </c>
      <c r="G64" s="23">
        <v>32.355530178669142</v>
      </c>
      <c r="H64" s="23">
        <v>33.742117143322552</v>
      </c>
      <c r="I64" s="23">
        <v>34.04187492172646</v>
      </c>
      <c r="J64" s="23">
        <v>34.059116895754777</v>
      </c>
      <c r="K64" s="23">
        <v>35.019623999826528</v>
      </c>
      <c r="L64" s="23">
        <v>38.250457342424745</v>
      </c>
      <c r="M64" s="23">
        <v>37.370805967109625</v>
      </c>
      <c r="N64" s="23">
        <v>37.38410926129</v>
      </c>
      <c r="O64" s="23">
        <v>29.10315559968074</v>
      </c>
      <c r="P64" s="23">
        <v>21.867566945446175</v>
      </c>
      <c r="Q64" s="23">
        <v>20.964158052362091</v>
      </c>
      <c r="R64" s="23">
        <v>21.651900997179293</v>
      </c>
      <c r="S64" s="23">
        <v>21.7</v>
      </c>
      <c r="T64" s="23">
        <v>26.560959414049137</v>
      </c>
      <c r="U64" s="23">
        <v>26.855151896333123</v>
      </c>
      <c r="V64" s="23">
        <v>29.322898608152958</v>
      </c>
      <c r="W64" s="23">
        <v>31.232061024139174</v>
      </c>
      <c r="X64" s="23">
        <v>35.551929129269148</v>
      </c>
      <c r="Y64" s="23">
        <v>36.087676867703905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128.94375857338821</v>
      </c>
      <c r="E65" s="23">
        <v>129.91112622019324</v>
      </c>
      <c r="F65" s="23">
        <v>147.08563787759073</v>
      </c>
      <c r="G65" s="23">
        <v>153.80772250374704</v>
      </c>
      <c r="H65" s="23">
        <v>173.1319665836688</v>
      </c>
      <c r="I65" s="23">
        <v>184.09937039609258</v>
      </c>
      <c r="J65" s="23">
        <v>192.85422034479328</v>
      </c>
      <c r="K65" s="23">
        <v>194.72211982566083</v>
      </c>
      <c r="L65" s="23">
        <v>188.86163312822219</v>
      </c>
      <c r="M65" s="23">
        <v>156.4075148923171</v>
      </c>
      <c r="N65" s="23">
        <v>139.76672315820954</v>
      </c>
      <c r="O65" s="23">
        <v>125.95144931768189</v>
      </c>
      <c r="P65" s="23">
        <v>88.908923501879855</v>
      </c>
      <c r="Q65" s="23">
        <v>60.284030528451353</v>
      </c>
      <c r="R65" s="23">
        <v>71.510865678757298</v>
      </c>
      <c r="S65" s="23">
        <v>85.7</v>
      </c>
      <c r="T65" s="23">
        <v>103.92981467694224</v>
      </c>
      <c r="U65" s="23">
        <v>108.91810676170795</v>
      </c>
      <c r="V65" s="23">
        <v>122.0466590717718</v>
      </c>
      <c r="W65" s="23">
        <v>136.7010770682727</v>
      </c>
      <c r="X65" s="23">
        <v>146.96740101798966</v>
      </c>
      <c r="Y65" s="23">
        <v>136.54281959970291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15.837386207756579</v>
      </c>
      <c r="E66" s="23">
        <v>16.026419309407022</v>
      </c>
      <c r="F66" s="23">
        <v>14.708563787759072</v>
      </c>
      <c r="G66" s="23">
        <v>17.60521495015821</v>
      </c>
      <c r="H66" s="23">
        <v>21.059735182556491</v>
      </c>
      <c r="I66" s="23">
        <v>21.631960652602096</v>
      </c>
      <c r="J66" s="23">
        <v>25.433756123453243</v>
      </c>
      <c r="K66" s="23">
        <v>33.284905783116855</v>
      </c>
      <c r="L66" s="23">
        <v>24.842008980542158</v>
      </c>
      <c r="M66" s="23">
        <v>20.874700880810551</v>
      </c>
      <c r="N66" s="23">
        <v>25.819958129797627</v>
      </c>
      <c r="O66" s="23">
        <v>27.643131071268662</v>
      </c>
      <c r="P66" s="23">
        <v>27.238548300468043</v>
      </c>
      <c r="Q66" s="23">
        <v>21.253985122210413</v>
      </c>
      <c r="R66" s="23">
        <v>15.89130348416829</v>
      </c>
      <c r="S66" s="23">
        <v>12.5</v>
      </c>
      <c r="T66" s="23">
        <v>15.996941465279594</v>
      </c>
      <c r="U66" s="23">
        <v>17.271157167530223</v>
      </c>
      <c r="V66" s="23">
        <v>22.586557036009708</v>
      </c>
      <c r="W66" s="23">
        <v>22.961889101859331</v>
      </c>
      <c r="X66" s="23">
        <v>25.74115087228504</v>
      </c>
      <c r="Y66" s="23">
        <v>35.325931709546566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81.182192293303402</v>
      </c>
      <c r="E67" s="23">
        <v>78.189500267106979</v>
      </c>
      <c r="F67" s="23">
        <v>83.996839482161306</v>
      </c>
      <c r="G67" s="23">
        <v>92.903195108605132</v>
      </c>
      <c r="H67" s="23">
        <v>105.0659716566216</v>
      </c>
      <c r="I67" s="23">
        <v>110.3229993282707</v>
      </c>
      <c r="J67" s="23">
        <v>115.44713649080515</v>
      </c>
      <c r="K67" s="23">
        <v>119.80397684151178</v>
      </c>
      <c r="L67" s="23">
        <v>123.8982205222019</v>
      </c>
      <c r="M67" s="23">
        <v>105.59543811414898</v>
      </c>
      <c r="N67" s="23">
        <v>105.97148838600337</v>
      </c>
      <c r="O67" s="23">
        <v>93.733574724055359</v>
      </c>
      <c r="P67" s="23">
        <v>85.839791299010216</v>
      </c>
      <c r="Q67" s="23">
        <v>62.409429040672407</v>
      </c>
      <c r="R67" s="23">
        <v>63.664534583449196</v>
      </c>
      <c r="S67" s="23">
        <v>60.8</v>
      </c>
      <c r="T67" s="23">
        <v>68.716421514377132</v>
      </c>
      <c r="U67" s="23">
        <v>84.259286990725485</v>
      </c>
      <c r="V67" s="23">
        <v>107.28614592104611</v>
      </c>
      <c r="W67" s="23">
        <v>118.79858726004338</v>
      </c>
      <c r="X67" s="23">
        <v>118.02074833896725</v>
      </c>
      <c r="Y67" s="23">
        <v>123.40271562148884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4.3646339942636239</v>
      </c>
      <c r="E68" s="23">
        <v>4.3708416298382788</v>
      </c>
      <c r="F68" s="23">
        <v>4.4976600012155838</v>
      </c>
      <c r="G68" s="23">
        <v>4.7581662027454614</v>
      </c>
      <c r="H68" s="23">
        <v>5.5849021478602845</v>
      </c>
      <c r="I68" s="23">
        <v>6.4895881957806294</v>
      </c>
      <c r="J68" s="23">
        <v>12.05338877154958</v>
      </c>
      <c r="K68" s="23">
        <v>12.685126959689486</v>
      </c>
      <c r="L68" s="23">
        <v>12.369033760186264</v>
      </c>
      <c r="M68" s="23">
        <v>9.1645028257217049</v>
      </c>
      <c r="N68" s="23">
        <v>4.7851659854451203</v>
      </c>
      <c r="O68" s="23">
        <v>2.1413693083377137</v>
      </c>
      <c r="P68" s="23">
        <v>2.1100283894728769</v>
      </c>
      <c r="Q68" s="23">
        <v>12.269345956912375</v>
      </c>
      <c r="R68" s="23">
        <v>19.764808708434309</v>
      </c>
      <c r="S68" s="23">
        <v>26.9</v>
      </c>
      <c r="T68" s="23">
        <v>8.954262832766565</v>
      </c>
      <c r="U68" s="23">
        <v>15.27449159902962</v>
      </c>
      <c r="V68" s="23">
        <v>34.67234632720789</v>
      </c>
      <c r="W68" s="23">
        <v>36.777941019079769</v>
      </c>
      <c r="X68" s="23">
        <v>32.929245832847656</v>
      </c>
      <c r="Y68" s="23">
        <v>48.751690122069661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10.350417757825166</v>
      </c>
      <c r="E69" s="23">
        <v>8.3774464571900342</v>
      </c>
      <c r="F69" s="23">
        <v>8.7522032456087029</v>
      </c>
      <c r="G69" s="23">
        <v>7.4941117693241024</v>
      </c>
      <c r="H69" s="23">
        <v>7.3301840690666236</v>
      </c>
      <c r="I69" s="23">
        <v>7.8558172896291829</v>
      </c>
      <c r="J69" s="23">
        <v>8.7359423206643747</v>
      </c>
      <c r="K69" s="23">
        <v>11.275668408612876</v>
      </c>
      <c r="L69" s="23">
        <v>12.680858140695161</v>
      </c>
      <c r="M69" s="23">
        <v>15.375999185377527</v>
      </c>
      <c r="N69" s="23">
        <v>17.545608613298775</v>
      </c>
      <c r="O69" s="23">
        <v>15.47626000116802</v>
      </c>
      <c r="P69" s="23">
        <v>11.701066523440497</v>
      </c>
      <c r="Q69" s="23">
        <v>9.2744662351463614</v>
      </c>
      <c r="R69" s="23">
        <v>9.0381788566207142</v>
      </c>
      <c r="S69" s="23">
        <v>8.8000000000000007</v>
      </c>
      <c r="T69" s="23">
        <v>9.3567016117673099</v>
      </c>
      <c r="U69" s="23">
        <v>10.28282767777811</v>
      </c>
      <c r="V69" s="23">
        <v>12.382980831145675</v>
      </c>
      <c r="W69" s="23">
        <v>13.134978935385634</v>
      </c>
      <c r="X69" s="23">
        <v>15.930372615300927</v>
      </c>
      <c r="Y69" s="23">
        <v>15.425339452686103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22.321985284948244</v>
      </c>
      <c r="E70" s="23">
        <v>24.039628964110534</v>
      </c>
      <c r="F70" s="23">
        <v>25.041025952713792</v>
      </c>
      <c r="G70" s="23">
        <v>25.09932671948231</v>
      </c>
      <c r="H70" s="23">
        <v>26.295580946175505</v>
      </c>
      <c r="I70" s="23">
        <v>23.795156717862309</v>
      </c>
      <c r="J70" s="23">
        <v>24.880848381639041</v>
      </c>
      <c r="K70" s="23">
        <v>26.45445280482252</v>
      </c>
      <c r="L70" s="23">
        <v>27.128721104274074</v>
      </c>
      <c r="M70" s="23">
        <v>17.616210987220612</v>
      </c>
      <c r="N70" s="23">
        <v>22.629847472834214</v>
      </c>
      <c r="O70" s="23">
        <v>25.015086920126926</v>
      </c>
      <c r="P70" s="23">
        <v>23.30622266554132</v>
      </c>
      <c r="Q70" s="23">
        <v>17.486233214182207</v>
      </c>
      <c r="R70" s="23">
        <v>16.685868658376705</v>
      </c>
      <c r="S70" s="23">
        <v>18.7</v>
      </c>
      <c r="T70" s="23">
        <v>19.820109865786666</v>
      </c>
      <c r="U70" s="23">
        <v>23.760320265157187</v>
      </c>
      <c r="V70" s="23">
        <v>24.369706275694686</v>
      </c>
      <c r="W70" s="23">
        <v>26.659142431819731</v>
      </c>
      <c r="X70" s="23">
        <v>24.575513851653263</v>
      </c>
      <c r="Y70" s="23">
        <v>26.851516825046179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7.232822047636863</v>
      </c>
      <c r="E71" s="23">
        <v>7.5275605847214795</v>
      </c>
      <c r="F71" s="23">
        <v>8.022852975141312</v>
      </c>
      <c r="G71" s="23">
        <v>6.8993409939809194</v>
      </c>
      <c r="H71" s="23">
        <v>6.0503106601819745</v>
      </c>
      <c r="I71" s="23">
        <v>5.8064736488563522</v>
      </c>
      <c r="J71" s="23">
        <v>5.9714036115933693</v>
      </c>
      <c r="K71" s="23">
        <v>6.8304529782943391</v>
      </c>
      <c r="L71" s="23">
        <v>6.4443705305172125</v>
      </c>
      <c r="M71" s="23">
        <v>7.0261188330533066</v>
      </c>
      <c r="N71" s="23">
        <v>5.2836207755956535</v>
      </c>
      <c r="O71" s="23">
        <v>4.4774085537970363</v>
      </c>
      <c r="P71" s="23">
        <v>2.2059387708125526</v>
      </c>
      <c r="Q71" s="23">
        <v>2.2220075355038156</v>
      </c>
      <c r="R71" s="23">
        <v>2.2843748758491915</v>
      </c>
      <c r="S71" s="23">
        <v>3.6</v>
      </c>
      <c r="T71" s="23">
        <v>4.42682656900819</v>
      </c>
      <c r="U71" s="23">
        <v>4.0931644154262372</v>
      </c>
      <c r="V71" s="23">
        <v>4.7550646391599392</v>
      </c>
      <c r="W71" s="23">
        <v>4.6702147325815586</v>
      </c>
      <c r="X71" s="23">
        <v>4.56541166414112</v>
      </c>
      <c r="Y71" s="23">
        <v>4.9513435280226998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0.9976306272602562</v>
      </c>
      <c r="E72" s="23">
        <v>1.335534942450586</v>
      </c>
      <c r="F72" s="23">
        <v>1.4587005409347835</v>
      </c>
      <c r="G72" s="23">
        <v>1.4274498608236392</v>
      </c>
      <c r="H72" s="23">
        <v>1.6289297931259163</v>
      </c>
      <c r="I72" s="23">
        <v>1.4800815183359335</v>
      </c>
      <c r="J72" s="23">
        <v>1.5481416770797631</v>
      </c>
      <c r="K72" s="23">
        <v>1.6262983281653192</v>
      </c>
      <c r="L72" s="23">
        <v>0.83153168135705968</v>
      </c>
      <c r="M72" s="23">
        <v>0.50913904587342795</v>
      </c>
      <c r="N72" s="23">
        <v>0.99690958030106636</v>
      </c>
      <c r="O72" s="23">
        <v>0.68134477992563713</v>
      </c>
      <c r="P72" s="23">
        <v>0.76728305071740976</v>
      </c>
      <c r="Q72" s="23">
        <v>0.57965413969664814</v>
      </c>
      <c r="R72" s="23">
        <v>0.79456517420841433</v>
      </c>
      <c r="S72" s="23">
        <v>0.80000000000000027</v>
      </c>
      <c r="T72" s="23">
        <v>1.0060969475018604</v>
      </c>
      <c r="U72" s="23">
        <v>1.5973324548004841</v>
      </c>
      <c r="V72" s="23">
        <v>1.5850215463866464</v>
      </c>
      <c r="W72" s="23">
        <v>1.7513305247180844</v>
      </c>
      <c r="X72" s="23">
        <v>1.8455919493336443</v>
      </c>
      <c r="Y72" s="23">
        <v>2.6661080535506843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68.961217109365265</v>
      </c>
      <c r="E73" s="23">
        <v>65.076975377592149</v>
      </c>
      <c r="F73" s="23">
        <v>63.93970704430803</v>
      </c>
      <c r="G73" s="23">
        <v>54.005186401160991</v>
      </c>
      <c r="H73" s="23">
        <v>56.081725734763687</v>
      </c>
      <c r="I73" s="23">
        <v>51.461295868295515</v>
      </c>
      <c r="J73" s="23">
        <v>52.083909278897721</v>
      </c>
      <c r="K73" s="23">
        <v>51.607866947112782</v>
      </c>
      <c r="L73" s="23">
        <v>49.891900881423581</v>
      </c>
      <c r="M73" s="23">
        <v>44.906063846036353</v>
      </c>
      <c r="N73" s="23">
        <v>45.658458777788852</v>
      </c>
      <c r="O73" s="23">
        <v>39.323327298565282</v>
      </c>
      <c r="P73" s="23">
        <v>32.513619274150237</v>
      </c>
      <c r="Q73" s="23">
        <v>30.62506038063955</v>
      </c>
      <c r="R73" s="23">
        <v>30.19347661991975</v>
      </c>
      <c r="S73" s="23">
        <v>29.1</v>
      </c>
      <c r="T73" s="23">
        <v>33.402418657061794</v>
      </c>
      <c r="U73" s="23">
        <v>36.439146625136026</v>
      </c>
      <c r="V73" s="23">
        <v>39.328347119718664</v>
      </c>
      <c r="W73" s="23">
        <v>39.404936806156904</v>
      </c>
      <c r="X73" s="23">
        <v>32.929245832847656</v>
      </c>
      <c r="Y73" s="23">
        <v>40.562929671878273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13.343309639609203</v>
      </c>
      <c r="E74" s="23">
        <v>16.633480646885218</v>
      </c>
      <c r="F74" s="23">
        <v>14.951680544579908</v>
      </c>
      <c r="G74" s="23">
        <v>12.371232127137709</v>
      </c>
      <c r="H74" s="23">
        <v>12.566029832683434</v>
      </c>
      <c r="I74" s="23">
        <v>10.81598032630091</v>
      </c>
      <c r="J74" s="23">
        <v>10.615828642831872</v>
      </c>
      <c r="K74" s="23">
        <v>11.058828631526055</v>
      </c>
      <c r="L74" s="23">
        <v>12.369033760185388</v>
      </c>
      <c r="M74" s="23">
        <v>15.274171376204173</v>
      </c>
      <c r="N74" s="23">
        <v>16.847771907088472</v>
      </c>
      <c r="O74" s="23">
        <v>17.81229924662518</v>
      </c>
      <c r="P74" s="23">
        <v>25.703982199035586</v>
      </c>
      <c r="Q74" s="23">
        <v>27.436962612309319</v>
      </c>
      <c r="R74" s="23">
        <v>35.85475348615563</v>
      </c>
      <c r="S74" s="23">
        <v>49.20000000000109</v>
      </c>
      <c r="T74" s="23">
        <v>61.975571966114153</v>
      </c>
      <c r="U74" s="23">
        <v>89.450617468826266</v>
      </c>
      <c r="V74" s="23">
        <v>105.20580514141665</v>
      </c>
      <c r="W74" s="23">
        <v>119.67425252240037</v>
      </c>
      <c r="X74" s="23">
        <v>94.513735089561905</v>
      </c>
      <c r="Y74" s="23">
        <v>106.26344956294699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1097.8925052999161</v>
      </c>
      <c r="E75" s="30">
        <f t="shared" ref="E75:S75" si="6">SUM(E56:E74)</f>
        <v>1091.2534602496241</v>
      </c>
      <c r="F75" s="30">
        <f t="shared" si="6"/>
        <v>1135.8414878745502</v>
      </c>
      <c r="G75" s="30">
        <f t="shared" si="6"/>
        <v>1123.8788570884776</v>
      </c>
      <c r="H75" s="30">
        <f t="shared" si="6"/>
        <v>1169.1061829520841</v>
      </c>
      <c r="I75" s="30">
        <f t="shared" si="6"/>
        <v>1164.8241549303791</v>
      </c>
      <c r="J75" s="30">
        <f t="shared" si="6"/>
        <v>1102.3874556291528</v>
      </c>
      <c r="K75" s="30">
        <f t="shared" si="6"/>
        <v>1095.2577140750718</v>
      </c>
      <c r="L75" s="30">
        <f t="shared" si="6"/>
        <v>1081.7187759853641</v>
      </c>
      <c r="M75" s="30">
        <f t="shared" si="6"/>
        <v>1022.6566875413688</v>
      </c>
      <c r="N75" s="30">
        <f t="shared" si="6"/>
        <v>980.36088126806931</v>
      </c>
      <c r="O75" s="30">
        <f t="shared" si="6"/>
        <v>889.05760283439224</v>
      </c>
      <c r="P75" s="30">
        <f t="shared" si="6"/>
        <v>783.30008440113807</v>
      </c>
      <c r="Q75" s="30">
        <f t="shared" si="6"/>
        <v>677.03603516568603</v>
      </c>
      <c r="R75" s="30">
        <f t="shared" si="6"/>
        <v>708.15621151325013</v>
      </c>
      <c r="S75" s="30">
        <f t="shared" si="6"/>
        <v>764.400000000001</v>
      </c>
      <c r="T75" s="30">
        <f t="shared" ref="T75:Y75" si="7">SUM(T56:T74)</f>
        <v>874.49946676861725</v>
      </c>
      <c r="U75" s="30">
        <f t="shared" si="7"/>
        <v>991.74378787424905</v>
      </c>
      <c r="V75" s="30">
        <f t="shared" si="7"/>
        <v>1144.1874287978635</v>
      </c>
      <c r="W75" s="30">
        <f t="shared" si="7"/>
        <v>1230.0178051936657</v>
      </c>
      <c r="X75" s="30">
        <f t="shared" si="7"/>
        <v>1222.5589618059626</v>
      </c>
      <c r="Y75" s="30">
        <f t="shared" si="7"/>
        <v>1226.6953590676223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690497</v>
      </c>
      <c r="E3" s="42">
        <v>697549</v>
      </c>
      <c r="F3" s="42">
        <v>705539</v>
      </c>
      <c r="G3" s="42">
        <v>713720</v>
      </c>
      <c r="H3" s="42">
        <v>722893</v>
      </c>
      <c r="I3" s="42">
        <v>733067</v>
      </c>
      <c r="J3" s="42">
        <v>744013</v>
      </c>
      <c r="K3" s="42">
        <v>757916</v>
      </c>
      <c r="L3" s="42">
        <v>776333</v>
      </c>
      <c r="M3" s="42">
        <v>796930</v>
      </c>
      <c r="N3" s="42">
        <v>819140</v>
      </c>
      <c r="O3" s="42">
        <v>839751</v>
      </c>
      <c r="P3" s="42">
        <v>862011</v>
      </c>
      <c r="Q3" s="42">
        <v>865878</v>
      </c>
      <c r="R3" s="42">
        <v>858000</v>
      </c>
      <c r="S3" s="42">
        <v>847008</v>
      </c>
      <c r="T3" s="42">
        <v>848319</v>
      </c>
      <c r="U3" s="42">
        <v>854802</v>
      </c>
      <c r="V3" s="42">
        <v>864236</v>
      </c>
      <c r="W3" s="42">
        <v>875899</v>
      </c>
      <c r="X3" s="42">
        <v>888005</v>
      </c>
      <c r="Y3" s="42">
        <v>896007</v>
      </c>
    </row>
    <row r="4" spans="1:25" x14ac:dyDescent="0.25">
      <c r="A4" s="43" t="s">
        <v>239</v>
      </c>
      <c r="B4" s="44"/>
      <c r="C4" s="44"/>
      <c r="D4" s="45">
        <v>218782</v>
      </c>
      <c r="E4" s="45">
        <v>223898</v>
      </c>
      <c r="F4" s="45">
        <v>229454</v>
      </c>
      <c r="G4" s="45">
        <v>235222</v>
      </c>
      <c r="H4" s="45">
        <v>241478</v>
      </c>
      <c r="I4" s="45">
        <v>248245</v>
      </c>
      <c r="J4" s="45">
        <v>251611</v>
      </c>
      <c r="K4" s="45">
        <v>259205</v>
      </c>
      <c r="L4" s="45">
        <v>276866</v>
      </c>
      <c r="M4" s="45">
        <v>286048</v>
      </c>
      <c r="N4" s="45">
        <v>293915</v>
      </c>
      <c r="O4" s="45">
        <v>302940</v>
      </c>
      <c r="P4" s="45">
        <v>311195</v>
      </c>
      <c r="Q4" s="45">
        <v>313610</v>
      </c>
      <c r="R4" s="45">
        <v>315906</v>
      </c>
      <c r="S4" s="45">
        <v>316048</v>
      </c>
      <c r="T4" s="45">
        <v>315712</v>
      </c>
      <c r="U4" s="45">
        <v>319791</v>
      </c>
      <c r="V4" s="45">
        <v>326743</v>
      </c>
      <c r="W4" s="45">
        <v>331529</v>
      </c>
      <c r="X4" s="45">
        <v>336748</v>
      </c>
      <c r="Y4" s="45">
        <v>342772</v>
      </c>
    </row>
    <row r="5" spans="1:25" x14ac:dyDescent="0.25">
      <c r="A5" s="46" t="s">
        <v>240</v>
      </c>
      <c r="B5" s="47"/>
      <c r="C5" s="47"/>
      <c r="D5" s="48">
        <f>D3/D4</f>
        <v>3.156096022524705</v>
      </c>
      <c r="E5" s="48">
        <f t="shared" ref="E5:S5" si="0">E3/E4</f>
        <v>3.1154766902786091</v>
      </c>
      <c r="F5" s="48">
        <f t="shared" si="0"/>
        <v>3.074860320587133</v>
      </c>
      <c r="G5" s="48">
        <f t="shared" si="0"/>
        <v>3.034239994558332</v>
      </c>
      <c r="H5" s="48">
        <f t="shared" si="0"/>
        <v>2.9936184662785017</v>
      </c>
      <c r="I5" s="48">
        <f t="shared" si="0"/>
        <v>2.9529980462849204</v>
      </c>
      <c r="J5" s="48">
        <f t="shared" si="0"/>
        <v>2.9569971106191701</v>
      </c>
      <c r="K5" s="48">
        <f t="shared" si="0"/>
        <v>2.9240022376111572</v>
      </c>
      <c r="L5" s="48">
        <f t="shared" si="0"/>
        <v>2.8040026583256883</v>
      </c>
      <c r="M5" s="48">
        <f t="shared" si="0"/>
        <v>2.7860009508893611</v>
      </c>
      <c r="N5" s="48">
        <f t="shared" si="0"/>
        <v>2.7869962404096422</v>
      </c>
      <c r="O5" s="48">
        <f t="shared" si="0"/>
        <v>2.7720043572984752</v>
      </c>
      <c r="P5" s="48">
        <f t="shared" si="0"/>
        <v>2.7700027314063531</v>
      </c>
      <c r="Q5" s="48">
        <f t="shared" si="0"/>
        <v>2.761002519052326</v>
      </c>
      <c r="R5" s="48">
        <f t="shared" si="0"/>
        <v>2.7159977968129758</v>
      </c>
      <c r="S5" s="48">
        <f t="shared" si="0"/>
        <v>2.6799979749911405</v>
      </c>
      <c r="T5" s="48">
        <f t="shared" ref="T5:Y5" si="1">T3/T4</f>
        <v>2.6870027113318469</v>
      </c>
      <c r="U5" s="48">
        <f t="shared" si="1"/>
        <v>2.6730020544668238</v>
      </c>
      <c r="V5" s="48">
        <f t="shared" si="1"/>
        <v>2.6450023412896373</v>
      </c>
      <c r="W5" s="48">
        <f t="shared" si="1"/>
        <v>2.6419981359096791</v>
      </c>
      <c r="X5" s="48">
        <f t="shared" si="1"/>
        <v>2.6370015560597242</v>
      </c>
      <c r="Y5" s="48">
        <f t="shared" si="1"/>
        <v>2.6140028940520228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863.34</v>
      </c>
      <c r="E8" s="42">
        <v>636.57000000000005</v>
      </c>
      <c r="F8" s="42">
        <v>714.82</v>
      </c>
      <c r="G8" s="42">
        <v>793.64</v>
      </c>
      <c r="H8" s="42">
        <v>844.33</v>
      </c>
      <c r="I8" s="42">
        <v>767.46</v>
      </c>
      <c r="J8" s="42">
        <v>852.91</v>
      </c>
      <c r="K8" s="42">
        <v>804.12</v>
      </c>
      <c r="L8" s="42">
        <v>734.66</v>
      </c>
      <c r="M8" s="42">
        <v>710.65</v>
      </c>
      <c r="N8" s="42">
        <v>498.76</v>
      </c>
      <c r="O8" s="42">
        <v>794.38</v>
      </c>
      <c r="P8" s="42">
        <v>817.04</v>
      </c>
      <c r="Q8" s="42">
        <v>707.11</v>
      </c>
      <c r="R8" s="42">
        <v>523.15</v>
      </c>
      <c r="S8" s="42">
        <v>749.52</v>
      </c>
      <c r="T8" s="42">
        <v>677.81</v>
      </c>
      <c r="U8" s="42">
        <v>720.83</v>
      </c>
      <c r="V8" s="42">
        <v>470.75</v>
      </c>
      <c r="W8" s="42">
        <v>693.06</v>
      </c>
      <c r="X8" s="42">
        <v>630.45000000000005</v>
      </c>
      <c r="Y8" s="42">
        <v>609.84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714.54095238095226</v>
      </c>
      <c r="E9" s="45">
        <f t="shared" si="2"/>
        <v>714.54095238095226</v>
      </c>
      <c r="F9" s="45">
        <f t="shared" si="2"/>
        <v>714.54095238095226</v>
      </c>
      <c r="G9" s="45">
        <f t="shared" si="2"/>
        <v>714.54095238095226</v>
      </c>
      <c r="H9" s="45">
        <f t="shared" si="2"/>
        <v>714.54095238095226</v>
      </c>
      <c r="I9" s="45">
        <f t="shared" si="2"/>
        <v>714.54095238095226</v>
      </c>
      <c r="J9" s="45">
        <f t="shared" si="2"/>
        <v>714.54095238095226</v>
      </c>
      <c r="K9" s="45">
        <f t="shared" si="2"/>
        <v>714.54095238095226</v>
      </c>
      <c r="L9" s="45">
        <f t="shared" si="2"/>
        <v>714.54095238095226</v>
      </c>
      <c r="M9" s="45">
        <f t="shared" si="2"/>
        <v>714.54095238095226</v>
      </c>
      <c r="N9" s="45">
        <f t="shared" si="2"/>
        <v>714.54095238095226</v>
      </c>
      <c r="O9" s="45">
        <f t="shared" si="2"/>
        <v>714.54095238095226</v>
      </c>
      <c r="P9" s="45">
        <f t="shared" si="2"/>
        <v>714.54095238095226</v>
      </c>
      <c r="Q9" s="45">
        <f t="shared" si="2"/>
        <v>714.54095238095226</v>
      </c>
      <c r="R9" s="45">
        <f t="shared" si="2"/>
        <v>714.54095238095226</v>
      </c>
      <c r="S9" s="45">
        <f t="shared" si="2"/>
        <v>714.54095238095226</v>
      </c>
      <c r="T9" s="45">
        <f t="shared" si="2"/>
        <v>714.54095238095226</v>
      </c>
      <c r="U9" s="45">
        <f t="shared" si="2"/>
        <v>714.54095238095226</v>
      </c>
      <c r="V9" s="45">
        <f t="shared" si="2"/>
        <v>714.54095238095226</v>
      </c>
      <c r="W9" s="45">
        <f t="shared" si="2"/>
        <v>714.54095238095226</v>
      </c>
      <c r="X9" s="45">
        <f>AVERAGE($D8:$X8)</f>
        <v>714.54095238095226</v>
      </c>
      <c r="Y9" s="45">
        <f t="shared" ref="Y9" si="3">AVERAGE($D8:$X8)</f>
        <v>714.54095238095226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1.2082442540532186</v>
      </c>
      <c r="E10" s="53">
        <f t="shared" si="4"/>
        <v>0.89087965900185018</v>
      </c>
      <c r="F10" s="53">
        <f t="shared" si="4"/>
        <v>1.00039052711831</v>
      </c>
      <c r="G10" s="53">
        <f t="shared" si="4"/>
        <v>1.1106991101846275</v>
      </c>
      <c r="H10" s="53">
        <f t="shared" si="4"/>
        <v>1.1816397607255009</v>
      </c>
      <c r="I10" s="53">
        <f t="shared" si="4"/>
        <v>1.0740602024876447</v>
      </c>
      <c r="J10" s="53">
        <f t="shared" si="4"/>
        <v>1.1936474699707307</v>
      </c>
      <c r="K10" s="53">
        <f t="shared" si="4"/>
        <v>1.1253658692627171</v>
      </c>
      <c r="L10" s="53">
        <f t="shared" si="4"/>
        <v>1.0281566053730136</v>
      </c>
      <c r="M10" s="53">
        <f t="shared" si="4"/>
        <v>0.99455461248513877</v>
      </c>
      <c r="N10" s="53">
        <f t="shared" si="4"/>
        <v>0.69801457612479823</v>
      </c>
      <c r="O10" s="53">
        <f t="shared" si="4"/>
        <v>1.1117347401195308</v>
      </c>
      <c r="P10" s="53">
        <f t="shared" si="4"/>
        <v>1.143447408126163</v>
      </c>
      <c r="Q10" s="53">
        <f t="shared" si="4"/>
        <v>0.9896003827965475</v>
      </c>
      <c r="R10" s="53">
        <f t="shared" si="4"/>
        <v>0.73214837897924478</v>
      </c>
      <c r="S10" s="53">
        <f t="shared" si="4"/>
        <v>1.0489531740658007</v>
      </c>
      <c r="T10" s="53">
        <f t="shared" ref="T10:Y10" si="5">IF(T8=0,0,T8/T9)</f>
        <v>0.94859503537402645</v>
      </c>
      <c r="U10" s="53">
        <f t="shared" si="5"/>
        <v>1.0088015215896189</v>
      </c>
      <c r="V10" s="53">
        <f t="shared" si="5"/>
        <v>0.65881458358879774</v>
      </c>
      <c r="W10" s="53">
        <f t="shared" si="5"/>
        <v>0.9699374090325058</v>
      </c>
      <c r="X10" s="53">
        <f t="shared" si="5"/>
        <v>0.88231471954021778</v>
      </c>
      <c r="Y10" s="53">
        <f t="shared" si="5"/>
        <v>0.85347102635325001</v>
      </c>
    </row>
    <row r="11" spans="1:25" x14ac:dyDescent="0.25">
      <c r="A11" s="43" t="s">
        <v>251</v>
      </c>
      <c r="B11" s="44"/>
      <c r="C11" s="44"/>
      <c r="D11" s="45">
        <v>754.52</v>
      </c>
      <c r="E11" s="45">
        <v>695.26</v>
      </c>
      <c r="F11" s="45">
        <v>681.16</v>
      </c>
      <c r="G11" s="45">
        <v>722.27</v>
      </c>
      <c r="H11" s="45">
        <v>632.79999999999995</v>
      </c>
      <c r="I11" s="45">
        <v>593.35</v>
      </c>
      <c r="J11" s="45">
        <v>663.87</v>
      </c>
      <c r="K11" s="45">
        <v>725.15</v>
      </c>
      <c r="L11" s="45">
        <v>737.13</v>
      </c>
      <c r="M11" s="45">
        <v>718.27</v>
      </c>
      <c r="N11" s="45">
        <v>745.53</v>
      </c>
      <c r="O11" s="45">
        <v>672.18</v>
      </c>
      <c r="P11" s="45">
        <v>774.72</v>
      </c>
      <c r="Q11" s="45">
        <v>687.32</v>
      </c>
      <c r="R11" s="45">
        <v>634.15</v>
      </c>
      <c r="S11" s="45">
        <v>678.65</v>
      </c>
      <c r="T11" s="45">
        <v>743.13</v>
      </c>
      <c r="U11" s="45">
        <v>711.38</v>
      </c>
      <c r="V11" s="45">
        <v>812.18</v>
      </c>
      <c r="W11" s="45">
        <v>754</v>
      </c>
      <c r="X11" s="45">
        <v>802.53</v>
      </c>
      <c r="Y11" s="45">
        <v>732.46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711.40714285714273</v>
      </c>
      <c r="E12" s="45">
        <f t="shared" ref="E12" si="7">AVERAGE($D11:$X11)</f>
        <v>711.40714285714273</v>
      </c>
      <c r="F12" s="45">
        <f t="shared" ref="F12" si="8">AVERAGE($D11:$X11)</f>
        <v>711.40714285714273</v>
      </c>
      <c r="G12" s="45">
        <f t="shared" ref="G12" si="9">AVERAGE($D11:$X11)</f>
        <v>711.40714285714273</v>
      </c>
      <c r="H12" s="45">
        <f t="shared" ref="H12" si="10">AVERAGE($D11:$X11)</f>
        <v>711.40714285714273</v>
      </c>
      <c r="I12" s="45">
        <f t="shared" ref="I12" si="11">AVERAGE($D11:$X11)</f>
        <v>711.40714285714273</v>
      </c>
      <c r="J12" s="45">
        <f t="shared" ref="J12" si="12">AVERAGE($D11:$X11)</f>
        <v>711.40714285714273</v>
      </c>
      <c r="K12" s="45">
        <f t="shared" ref="K12" si="13">AVERAGE($D11:$X11)</f>
        <v>711.40714285714273</v>
      </c>
      <c r="L12" s="45">
        <f t="shared" ref="L12" si="14">AVERAGE($D11:$X11)</f>
        <v>711.40714285714273</v>
      </c>
      <c r="M12" s="45">
        <f t="shared" ref="M12" si="15">AVERAGE($D11:$X11)</f>
        <v>711.40714285714273</v>
      </c>
      <c r="N12" s="45">
        <f t="shared" ref="N12" si="16">AVERAGE($D11:$X11)</f>
        <v>711.40714285714273</v>
      </c>
      <c r="O12" s="45">
        <f t="shared" ref="O12" si="17">AVERAGE($D11:$X11)</f>
        <v>711.40714285714273</v>
      </c>
      <c r="P12" s="45">
        <f t="shared" ref="P12" si="18">AVERAGE($D11:$X11)</f>
        <v>711.40714285714273</v>
      </c>
      <c r="Q12" s="45">
        <f t="shared" ref="Q12" si="19">AVERAGE($D11:$X11)</f>
        <v>711.40714285714273</v>
      </c>
      <c r="R12" s="45">
        <f t="shared" ref="R12" si="20">AVERAGE($D11:$X11)</f>
        <v>711.40714285714273</v>
      </c>
      <c r="S12" s="45">
        <f t="shared" ref="S12" si="21">AVERAGE($D11:$X11)</f>
        <v>711.40714285714273</v>
      </c>
      <c r="T12" s="45">
        <f t="shared" ref="T12" si="22">AVERAGE($D11:$X11)</f>
        <v>711.40714285714273</v>
      </c>
      <c r="U12" s="45">
        <f t="shared" ref="U12" si="23">AVERAGE($D11:$X11)</f>
        <v>711.40714285714273</v>
      </c>
      <c r="V12" s="45">
        <f t="shared" ref="V12" si="24">AVERAGE($D11:$X11)</f>
        <v>711.40714285714273</v>
      </c>
      <c r="W12" s="45">
        <f t="shared" ref="W12" si="25">AVERAGE($D11:$X11)</f>
        <v>711.40714285714273</v>
      </c>
      <c r="X12" s="45">
        <f>AVERAGE($D11:$X11)</f>
        <v>711.40714285714273</v>
      </c>
      <c r="Y12" s="45">
        <f t="shared" ref="Y12" si="26">AVERAGE($D11:$X11)</f>
        <v>711.40714285714273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1.0606022269747082</v>
      </c>
      <c r="E13" s="55">
        <f t="shared" si="27"/>
        <v>0.97730252919264649</v>
      </c>
      <c r="F13" s="55">
        <f t="shared" ref="F13" si="28">IF(F11=0,0,F11/F12)</f>
        <v>0.95748265510005337</v>
      </c>
      <c r="G13" s="55">
        <f t="shared" ref="G13" si="29">IF(G11=0,0,G11/G12)</f>
        <v>1.0152695362310111</v>
      </c>
      <c r="H13" s="55">
        <f t="shared" ref="H13" si="30">IF(H11=0,0,H11/H12)</f>
        <v>0.88950470395694659</v>
      </c>
      <c r="I13" s="55">
        <f t="shared" ref="I13" si="31">IF(I11=0,0,I11/I12)</f>
        <v>0.83405122644256369</v>
      </c>
      <c r="J13" s="55">
        <f t="shared" ref="J13" si="32">IF(J11=0,0,J11/J12)</f>
        <v>0.93317871020211474</v>
      </c>
      <c r="K13" s="55">
        <f t="shared" ref="K13" si="33">IF(K11=0,0,K11/K12)</f>
        <v>1.0193178509392855</v>
      </c>
      <c r="L13" s="55">
        <f t="shared" ref="L13" si="34">IF(L11=0,0,L11/L12)</f>
        <v>1.0361577155938433</v>
      </c>
      <c r="M13" s="55">
        <f t="shared" ref="M13" si="35">IF(M11=0,0,M11/M12)</f>
        <v>1.0096468769139635</v>
      </c>
      <c r="N13" s="55">
        <f t="shared" ref="N13" si="36">IF(N11=0,0,N11/N12)</f>
        <v>1.0479653001596436</v>
      </c>
      <c r="O13" s="55">
        <f t="shared" ref="O13" si="37">IF(O11=0,0,O11/O12)</f>
        <v>0.94485978493328127</v>
      </c>
      <c r="P13" s="55">
        <f t="shared" ref="P13" si="38">IF(P11=0,0,P11/P12)</f>
        <v>1.0889966565257991</v>
      </c>
      <c r="Q13" s="55">
        <f t="shared" ref="Q13" si="39">IF(Q11=0,0,Q11/Q12)</f>
        <v>0.96614155044830696</v>
      </c>
      <c r="R13" s="55">
        <f t="shared" ref="R13" si="40">IF(R11=0,0,R11/R12)</f>
        <v>0.89140235147645019</v>
      </c>
      <c r="S13" s="55">
        <f t="shared" ref="S13:Y13" si="41">IF(S11=0,0,S11/S12)</f>
        <v>0.95395443637860589</v>
      </c>
      <c r="T13" s="55">
        <f t="shared" si="41"/>
        <v>1.0445917045694149</v>
      </c>
      <c r="U13" s="55">
        <f t="shared" si="41"/>
        <v>0.99996184624034878</v>
      </c>
      <c r="V13" s="55">
        <f t="shared" si="41"/>
        <v>1.1416528610299508</v>
      </c>
      <c r="W13" s="55">
        <f t="shared" si="41"/>
        <v>1.0598712812634921</v>
      </c>
      <c r="X13" s="55">
        <f t="shared" si="41"/>
        <v>1.1280881954275732</v>
      </c>
      <c r="Y13" s="55">
        <f t="shared" si="41"/>
        <v>1.0295932608411902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14001.580986691202</v>
      </c>
      <c r="E16" s="42">
        <v>14554.931132241149</v>
      </c>
      <c r="F16" s="42">
        <v>15096.831425858363</v>
      </c>
      <c r="G16" s="42">
        <v>15492.844160377474</v>
      </c>
      <c r="H16" s="42">
        <v>16271.685073198067</v>
      </c>
      <c r="I16" s="42">
        <v>17061.225878909572</v>
      </c>
      <c r="J16" s="42">
        <v>17865.436370626681</v>
      </c>
      <c r="K16" s="42">
        <v>18776.351041233043</v>
      </c>
      <c r="L16" s="42">
        <v>19461.097461097459</v>
      </c>
      <c r="M16" s="42">
        <v>19068.891225992222</v>
      </c>
      <c r="N16" s="42">
        <v>19504.204291484177</v>
      </c>
      <c r="O16" s="42">
        <v>19585.663421802721</v>
      </c>
      <c r="P16" s="42">
        <v>18910.498287953596</v>
      </c>
      <c r="Q16" s="42">
        <v>17664.574500376981</v>
      </c>
      <c r="R16" s="42">
        <v>17350.932909884876</v>
      </c>
      <c r="S16" s="42">
        <v>17944.2</v>
      </c>
      <c r="T16" s="42">
        <v>19123.76162936887</v>
      </c>
      <c r="U16" s="42">
        <v>20220.195906665605</v>
      </c>
      <c r="V16" s="42">
        <v>21362.144581875524</v>
      </c>
      <c r="W16" s="42">
        <v>22545.060161273064</v>
      </c>
      <c r="X16" s="42">
        <v>21780.582811498447</v>
      </c>
      <c r="Y16" s="42">
        <v>23939.152397506936</v>
      </c>
    </row>
    <row r="17" spans="1:25" x14ac:dyDescent="0.25">
      <c r="A17" s="46" t="s">
        <v>141</v>
      </c>
      <c r="B17" s="47"/>
      <c r="C17" s="47"/>
      <c r="D17" s="57">
        <v>8547.0576959938662</v>
      </c>
      <c r="E17" s="57">
        <v>9020.7486685008971</v>
      </c>
      <c r="F17" s="57">
        <v>9298.9495458000511</v>
      </c>
      <c r="G17" s="57">
        <v>9704.4511855382898</v>
      </c>
      <c r="H17" s="57">
        <v>10402.452349156245</v>
      </c>
      <c r="I17" s="57">
        <v>10809.189176569467</v>
      </c>
      <c r="J17" s="57">
        <v>11232.377740303542</v>
      </c>
      <c r="K17" s="57">
        <v>12327.304614710072</v>
      </c>
      <c r="L17" s="57">
        <v>13339.850936116982</v>
      </c>
      <c r="M17" s="57">
        <v>12469.364864723209</v>
      </c>
      <c r="N17" s="57">
        <v>13074.802426024627</v>
      </c>
      <c r="O17" s="57">
        <v>12958.268872228173</v>
      </c>
      <c r="P17" s="57">
        <v>12598.892443293289</v>
      </c>
      <c r="Q17" s="57">
        <v>11716.400558053016</v>
      </c>
      <c r="R17" s="57">
        <v>11711.696773438414</v>
      </c>
      <c r="S17" s="57">
        <v>12078.2</v>
      </c>
      <c r="T17" s="57">
        <v>12698.66351319666</v>
      </c>
      <c r="U17" s="57">
        <v>13312.437539747432</v>
      </c>
      <c r="V17" s="57">
        <v>13994.198738076015</v>
      </c>
      <c r="W17" s="57">
        <v>14533.554645569118</v>
      </c>
      <c r="X17" s="57">
        <v>13540.359577180601</v>
      </c>
      <c r="Y17" s="57">
        <v>14292.625145575985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20277.540650706957</v>
      </c>
      <c r="E20" s="42">
        <f t="shared" ref="E20:S20" si="42">1000000*E16/E$3</f>
        <v>20865.818934929513</v>
      </c>
      <c r="F20" s="42">
        <f t="shared" si="42"/>
        <v>21397.585995754118</v>
      </c>
      <c r="G20" s="42">
        <f t="shared" si="42"/>
        <v>21707.173906262222</v>
      </c>
      <c r="H20" s="42">
        <f t="shared" si="42"/>
        <v>22509.119708169903</v>
      </c>
      <c r="I20" s="42">
        <f t="shared" si="42"/>
        <v>23273.760623394006</v>
      </c>
      <c r="J20" s="42">
        <f t="shared" si="42"/>
        <v>24012.263724728844</v>
      </c>
      <c r="K20" s="42">
        <f t="shared" si="42"/>
        <v>24773.657029582493</v>
      </c>
      <c r="L20" s="42">
        <f t="shared" si="42"/>
        <v>25067.976578475289</v>
      </c>
      <c r="M20" s="42">
        <f t="shared" si="42"/>
        <v>23927.937492618199</v>
      </c>
      <c r="N20" s="42">
        <f t="shared" si="42"/>
        <v>23810.58706873572</v>
      </c>
      <c r="O20" s="42">
        <f t="shared" si="42"/>
        <v>23323.179635156997</v>
      </c>
      <c r="P20" s="42">
        <f t="shared" si="42"/>
        <v>21937.653101820739</v>
      </c>
      <c r="Q20" s="42">
        <f t="shared" si="42"/>
        <v>20400.766043688578</v>
      </c>
      <c r="R20" s="42">
        <f t="shared" si="42"/>
        <v>20222.532529003351</v>
      </c>
      <c r="S20" s="42">
        <f t="shared" si="42"/>
        <v>21185.396123767427</v>
      </c>
      <c r="T20" s="42">
        <f t="shared" ref="T20:Y20" si="43">1000000*T16/T$3</f>
        <v>22543.12543909646</v>
      </c>
      <c r="U20" s="42">
        <f t="shared" si="43"/>
        <v>23654.8298982286</v>
      </c>
      <c r="V20" s="42">
        <f t="shared" si="43"/>
        <v>24717.952714160856</v>
      </c>
      <c r="W20" s="42">
        <f t="shared" si="43"/>
        <v>25739.337710481534</v>
      </c>
      <c r="X20" s="42">
        <f t="shared" si="43"/>
        <v>24527.545240734507</v>
      </c>
      <c r="Y20" s="42">
        <f t="shared" si="43"/>
        <v>26717.595283861549</v>
      </c>
    </row>
    <row r="21" spans="1:25" x14ac:dyDescent="0.25">
      <c r="A21" s="46" t="s">
        <v>141</v>
      </c>
      <c r="B21" s="47"/>
      <c r="C21" s="47"/>
      <c r="D21" s="57">
        <f>1000000*D17/D$3</f>
        <v>12378.12430176216</v>
      </c>
      <c r="E21" s="57">
        <f t="shared" ref="E21:S21" si="44">1000000*E17/E$3</f>
        <v>12932.064512315115</v>
      </c>
      <c r="F21" s="57">
        <f t="shared" si="44"/>
        <v>13179.922790660828</v>
      </c>
      <c r="G21" s="57">
        <f t="shared" si="44"/>
        <v>13597.000484137043</v>
      </c>
      <c r="H21" s="57">
        <f t="shared" si="44"/>
        <v>14390.030542772229</v>
      </c>
      <c r="I21" s="57">
        <f t="shared" si="44"/>
        <v>14745.15859610304</v>
      </c>
      <c r="J21" s="57">
        <f t="shared" si="44"/>
        <v>15097.018117026908</v>
      </c>
      <c r="K21" s="57">
        <f t="shared" si="44"/>
        <v>16264.737272613418</v>
      </c>
      <c r="L21" s="57">
        <f t="shared" si="44"/>
        <v>17183.155857237783</v>
      </c>
      <c r="M21" s="57">
        <f t="shared" si="44"/>
        <v>15646.750485893628</v>
      </c>
      <c r="N21" s="57">
        <f t="shared" si="44"/>
        <v>15961.62124426182</v>
      </c>
      <c r="O21" s="57">
        <f t="shared" si="44"/>
        <v>15431.084776592314</v>
      </c>
      <c r="P21" s="57">
        <f t="shared" si="44"/>
        <v>14615.697993753316</v>
      </c>
      <c r="Q21" s="57">
        <f t="shared" si="44"/>
        <v>13531.237146633839</v>
      </c>
      <c r="R21" s="57">
        <f t="shared" si="44"/>
        <v>13649.996239438711</v>
      </c>
      <c r="S21" s="57">
        <f t="shared" si="44"/>
        <v>14259.841701613208</v>
      </c>
      <c r="T21" s="57">
        <f t="shared" ref="T21:Y21" si="45">1000000*T17/T$3</f>
        <v>14969.207943234396</v>
      </c>
      <c r="U21" s="57">
        <f t="shared" si="45"/>
        <v>15573.708928789863</v>
      </c>
      <c r="V21" s="57">
        <f t="shared" si="45"/>
        <v>16192.566310679045</v>
      </c>
      <c r="W21" s="57">
        <f t="shared" si="45"/>
        <v>16592.728894049564</v>
      </c>
      <c r="X21" s="57">
        <f t="shared" si="45"/>
        <v>15248.066820773083</v>
      </c>
      <c r="Y21" s="57">
        <f t="shared" si="45"/>
        <v>15951.465943431229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12276.717795236316</v>
      </c>
      <c r="E23" s="60">
        <v>12761.764848720313</v>
      </c>
      <c r="F23" s="60">
        <v>13236.978058712697</v>
      </c>
      <c r="G23" s="60">
        <v>13584.207646373088</v>
      </c>
      <c r="H23" s="60">
        <v>14266.981593093338</v>
      </c>
      <c r="I23" s="60">
        <v>14959.41161067025</v>
      </c>
      <c r="J23" s="60">
        <v>15664.539814886488</v>
      </c>
      <c r="K23" s="60">
        <v>16463.126395906067</v>
      </c>
      <c r="L23" s="60">
        <v>17063.549808747714</v>
      </c>
      <c r="M23" s="60">
        <v>16719.617127437505</v>
      </c>
      <c r="N23" s="60">
        <v>17107.466852756454</v>
      </c>
      <c r="O23" s="60">
        <v>17178.745936265059</v>
      </c>
      <c r="P23" s="60">
        <v>16586.645438502266</v>
      </c>
      <c r="Q23" s="60">
        <v>15493.961936044825</v>
      </c>
      <c r="R23" s="60">
        <v>15218.704064200867</v>
      </c>
      <c r="S23" s="60">
        <v>15714.9</v>
      </c>
      <c r="T23" s="60">
        <v>16747.992836589732</v>
      </c>
      <c r="U23" s="60">
        <v>17710.922758992481</v>
      </c>
      <c r="V23" s="60">
        <v>18715.04284511368</v>
      </c>
      <c r="W23" s="60">
        <v>19778.067504062114</v>
      </c>
      <c r="X23" s="60">
        <v>19107.510587869605</v>
      </c>
      <c r="Y23" s="60">
        <v>21001.314010397818</v>
      </c>
    </row>
    <row r="24" spans="1:25" x14ac:dyDescent="0.25">
      <c r="A24" s="61" t="s">
        <v>33</v>
      </c>
      <c r="B24" s="62"/>
      <c r="C24" s="62"/>
      <c r="D24" s="63">
        <v>491.45778775408405</v>
      </c>
      <c r="E24" s="63">
        <v>543.92695837987469</v>
      </c>
      <c r="F24" s="63">
        <v>556.37269798820887</v>
      </c>
      <c r="G24" s="63">
        <v>513.40613327623532</v>
      </c>
      <c r="H24" s="63">
        <v>500.08144648965629</v>
      </c>
      <c r="I24" s="63">
        <v>468.95813646351598</v>
      </c>
      <c r="J24" s="63">
        <v>409.37289203923433</v>
      </c>
      <c r="K24" s="63">
        <v>385.97480321790232</v>
      </c>
      <c r="L24" s="63">
        <v>413.58307001496757</v>
      </c>
      <c r="M24" s="63">
        <v>378.18848327478236</v>
      </c>
      <c r="N24" s="63">
        <v>399.16259595254712</v>
      </c>
      <c r="O24" s="63">
        <v>414.64696606902999</v>
      </c>
      <c r="P24" s="63">
        <v>374.24230798741655</v>
      </c>
      <c r="Q24" s="63">
        <v>354.94155154091391</v>
      </c>
      <c r="R24" s="63">
        <v>320.30908585276705</v>
      </c>
      <c r="S24" s="63">
        <v>335.2</v>
      </c>
      <c r="T24" s="63">
        <v>410.08511580175866</v>
      </c>
      <c r="U24" s="63">
        <v>375.57279343496361</v>
      </c>
      <c r="V24" s="63">
        <v>371.19223339442271</v>
      </c>
      <c r="W24" s="63">
        <v>398.03850981231574</v>
      </c>
      <c r="X24" s="63">
        <v>396.70513268834753</v>
      </c>
      <c r="Y24" s="63">
        <v>385.72870446192223</v>
      </c>
    </row>
    <row r="25" spans="1:25" x14ac:dyDescent="0.25">
      <c r="A25" s="64" t="s">
        <v>56</v>
      </c>
      <c r="B25" s="65"/>
      <c r="C25" s="65"/>
      <c r="D25" s="66">
        <v>35.914702581369248</v>
      </c>
      <c r="E25" s="66">
        <v>32.052838618814043</v>
      </c>
      <c r="F25" s="66">
        <v>37.196863793836989</v>
      </c>
      <c r="G25" s="66">
        <v>41.87186258416007</v>
      </c>
      <c r="H25" s="66">
        <v>48.635189537616647</v>
      </c>
      <c r="I25" s="66">
        <v>51.233591019320755</v>
      </c>
      <c r="J25" s="66">
        <v>51.862746182172046</v>
      </c>
      <c r="K25" s="66">
        <v>55.185723269076483</v>
      </c>
      <c r="L25" s="66">
        <v>66.002827207716621</v>
      </c>
      <c r="M25" s="66">
        <v>48.673692785499718</v>
      </c>
      <c r="N25" s="66">
        <v>47.851659854451199</v>
      </c>
      <c r="O25" s="66">
        <v>35.527263524693879</v>
      </c>
      <c r="P25" s="66">
        <v>17.551599785160747</v>
      </c>
      <c r="Q25" s="66">
        <v>18.548932470292723</v>
      </c>
      <c r="R25" s="66">
        <v>20.658694529418778</v>
      </c>
      <c r="S25" s="66">
        <v>25.7</v>
      </c>
      <c r="T25" s="66">
        <v>18.612793528784433</v>
      </c>
      <c r="U25" s="66">
        <v>17.670490281230347</v>
      </c>
      <c r="V25" s="66">
        <v>24.072514735747191</v>
      </c>
      <c r="W25" s="66">
        <v>26.269957870771268</v>
      </c>
      <c r="X25" s="66">
        <v>24.672650270039245</v>
      </c>
      <c r="Y25" s="66">
        <v>28.946316009978862</v>
      </c>
    </row>
    <row r="26" spans="1:25" x14ac:dyDescent="0.25">
      <c r="A26" s="67" t="s">
        <v>146</v>
      </c>
      <c r="B26" s="44"/>
      <c r="C26" s="44"/>
      <c r="D26" s="45">
        <v>9487.9660805586755</v>
      </c>
      <c r="E26" s="45">
        <v>9861.9542518576072</v>
      </c>
      <c r="F26" s="45">
        <v>10145.991612471889</v>
      </c>
      <c r="G26" s="45">
        <v>10416.220588585158</v>
      </c>
      <c r="H26" s="45">
        <v>10949.317013008167</v>
      </c>
      <c r="I26" s="45">
        <v>11543.725023624376</v>
      </c>
      <c r="J26" s="45">
        <v>12180.668133715209</v>
      </c>
      <c r="K26" s="45">
        <v>12744.757898388883</v>
      </c>
      <c r="L26" s="45">
        <v>13231.643938134042</v>
      </c>
      <c r="M26" s="45">
        <v>13431.698996996081</v>
      </c>
      <c r="N26" s="45">
        <v>14023.227993221013</v>
      </c>
      <c r="O26" s="45">
        <v>14433.218478070426</v>
      </c>
      <c r="P26" s="45">
        <v>14166.251055014196</v>
      </c>
      <c r="Q26" s="45">
        <v>13424.789875374359</v>
      </c>
      <c r="R26" s="45">
        <v>13333.995470978507</v>
      </c>
      <c r="S26" s="45">
        <v>13733.099999999999</v>
      </c>
      <c r="T26" s="45">
        <v>14465.863130571261</v>
      </c>
      <c r="U26" s="45">
        <v>15272.195433625846</v>
      </c>
      <c r="V26" s="45">
        <v>15982.6638268364</v>
      </c>
      <c r="W26" s="45">
        <v>16729.779429650021</v>
      </c>
      <c r="X26" s="45">
        <v>16161.071608967635</v>
      </c>
      <c r="Y26" s="45">
        <v>18058.787682580787</v>
      </c>
    </row>
    <row r="27" spans="1:25" x14ac:dyDescent="0.25">
      <c r="A27" s="68" t="s">
        <v>148</v>
      </c>
      <c r="B27" s="69"/>
      <c r="C27" s="69"/>
      <c r="D27" s="70">
        <v>4528.4948247911207</v>
      </c>
      <c r="E27" s="70">
        <v>4568.3793890534698</v>
      </c>
      <c r="F27" s="70">
        <v>4709.41469640795</v>
      </c>
      <c r="G27" s="70">
        <v>4987.1529512525867</v>
      </c>
      <c r="H27" s="70">
        <v>5083.8898843459856</v>
      </c>
      <c r="I27" s="70">
        <v>5248.0275067457569</v>
      </c>
      <c r="J27" s="70">
        <v>5457.5311563512514</v>
      </c>
      <c r="K27" s="70">
        <v>5548.1709564802568</v>
      </c>
      <c r="L27" s="70">
        <v>5748.2745717611842</v>
      </c>
      <c r="M27" s="70">
        <v>5905.8092765134152</v>
      </c>
      <c r="N27" s="70">
        <v>6113.3486192802311</v>
      </c>
      <c r="O27" s="70">
        <v>6346.8239599758599</v>
      </c>
      <c r="P27" s="70">
        <v>6138.7439576459765</v>
      </c>
      <c r="Q27" s="70">
        <v>5766.6892087720998</v>
      </c>
      <c r="R27" s="70">
        <v>5604.9620595129318</v>
      </c>
      <c r="S27" s="70">
        <v>5657.9</v>
      </c>
      <c r="T27" s="70">
        <v>5856.490331408334</v>
      </c>
      <c r="U27" s="70">
        <v>6123.2741321992271</v>
      </c>
      <c r="V27" s="70">
        <v>6536.926048838478</v>
      </c>
      <c r="W27" s="70">
        <v>6838.3619221825475</v>
      </c>
      <c r="X27" s="70">
        <v>5740.6651901931073</v>
      </c>
      <c r="Y27" s="70">
        <v>6501.3044885833433</v>
      </c>
    </row>
    <row r="28" spans="1:25" x14ac:dyDescent="0.25">
      <c r="A28" s="68" t="s">
        <v>150</v>
      </c>
      <c r="B28" s="71"/>
      <c r="C28" s="71"/>
      <c r="D28" s="70">
        <v>3355.7800224466891</v>
      </c>
      <c r="E28" s="70">
        <v>3645.0390947501342</v>
      </c>
      <c r="F28" s="70">
        <v>3759.6790858809945</v>
      </c>
      <c r="G28" s="70">
        <v>3803.7970166297905</v>
      </c>
      <c r="H28" s="70">
        <v>4082.5634700858686</v>
      </c>
      <c r="I28" s="70">
        <v>4411.4398916124919</v>
      </c>
      <c r="J28" s="70">
        <v>4723.8225829638077</v>
      </c>
      <c r="K28" s="70">
        <v>5086.3022312813064</v>
      </c>
      <c r="L28" s="70">
        <v>5329.0786628970554</v>
      </c>
      <c r="M28" s="70">
        <v>5489.1298813706017</v>
      </c>
      <c r="N28" s="70">
        <v>5842.7873591865227</v>
      </c>
      <c r="O28" s="70">
        <v>6093.8503766863278</v>
      </c>
      <c r="P28" s="70">
        <v>6092.706974602932</v>
      </c>
      <c r="Q28" s="70">
        <v>5937.880398029175</v>
      </c>
      <c r="R28" s="70">
        <v>5956.3585078066035</v>
      </c>
      <c r="S28" s="70">
        <v>6252.1999999999989</v>
      </c>
      <c r="T28" s="70">
        <v>6627.1605931947597</v>
      </c>
      <c r="U28" s="70">
        <v>6918.9453612467169</v>
      </c>
      <c r="V28" s="70">
        <v>7069.0970330377932</v>
      </c>
      <c r="W28" s="70">
        <v>7445.4898374181503</v>
      </c>
      <c r="X28" s="70">
        <v>8073.0077320589035</v>
      </c>
      <c r="Y28" s="70">
        <v>8806.5357734569898</v>
      </c>
    </row>
    <row r="29" spans="1:25" x14ac:dyDescent="0.25">
      <c r="A29" s="68" t="s">
        <v>152</v>
      </c>
      <c r="B29" s="71"/>
      <c r="C29" s="71"/>
      <c r="D29" s="70">
        <v>1603.6912333208668</v>
      </c>
      <c r="E29" s="70">
        <v>1648.5357680540048</v>
      </c>
      <c r="F29" s="70">
        <v>1676.8978301829436</v>
      </c>
      <c r="G29" s="70">
        <v>1625.2706207027811</v>
      </c>
      <c r="H29" s="70">
        <v>1782.8636585763134</v>
      </c>
      <c r="I29" s="70">
        <v>1884.2576252661302</v>
      </c>
      <c r="J29" s="70">
        <v>1999.3143944001495</v>
      </c>
      <c r="K29" s="70">
        <v>2110.2847106273193</v>
      </c>
      <c r="L29" s="70">
        <v>2154.2907034758014</v>
      </c>
      <c r="M29" s="70">
        <v>2036.759839112063</v>
      </c>
      <c r="N29" s="70">
        <v>2067.0920147542615</v>
      </c>
      <c r="O29" s="70">
        <v>1992.5441414082397</v>
      </c>
      <c r="P29" s="70">
        <v>1934.800122765291</v>
      </c>
      <c r="Q29" s="70">
        <v>1720.2202685730858</v>
      </c>
      <c r="R29" s="70">
        <v>1772.674903658974</v>
      </c>
      <c r="S29" s="70">
        <v>1823.0000000000009</v>
      </c>
      <c r="T29" s="70">
        <v>1982.2122059681662</v>
      </c>
      <c r="U29" s="70">
        <v>2229.9759401798988</v>
      </c>
      <c r="V29" s="70">
        <v>2376.6407449601297</v>
      </c>
      <c r="W29" s="70">
        <v>2445.9276700493269</v>
      </c>
      <c r="X29" s="70">
        <v>2347.3986867156259</v>
      </c>
      <c r="Y29" s="70">
        <v>2750.9474205404567</v>
      </c>
    </row>
    <row r="30" spans="1:25" x14ac:dyDescent="0.25">
      <c r="A30" s="64" t="s">
        <v>154</v>
      </c>
      <c r="B30" s="65"/>
      <c r="C30" s="65"/>
      <c r="D30" s="66">
        <v>175.9571018830278</v>
      </c>
      <c r="E30" s="66">
        <v>201.42295177504732</v>
      </c>
      <c r="F30" s="66">
        <v>210.78222816507628</v>
      </c>
      <c r="G30" s="66">
        <v>228.27302357671354</v>
      </c>
      <c r="H30" s="66">
        <v>214.43697205221883</v>
      </c>
      <c r="I30" s="66">
        <v>193.54912162854509</v>
      </c>
      <c r="J30" s="66">
        <v>192.52247569970476</v>
      </c>
      <c r="K30" s="66">
        <v>221.2849925190277</v>
      </c>
      <c r="L30" s="66">
        <v>189.27739896890071</v>
      </c>
      <c r="M30" s="66">
        <v>241.2300799348302</v>
      </c>
      <c r="N30" s="66">
        <v>255.8069983052537</v>
      </c>
      <c r="O30" s="66">
        <v>224.25976756409506</v>
      </c>
      <c r="P30" s="66">
        <v>283.41517685874322</v>
      </c>
      <c r="Q30" s="66">
        <v>291.08298715099988</v>
      </c>
      <c r="R30" s="66">
        <v>223.07417265901236</v>
      </c>
      <c r="S30" s="66">
        <v>272.09999999999997</v>
      </c>
      <c r="T30" s="66">
        <v>278.38702537376497</v>
      </c>
      <c r="U30" s="66">
        <v>223.72637695049269</v>
      </c>
      <c r="V30" s="66">
        <v>219.12922878795385</v>
      </c>
      <c r="W30" s="66">
        <v>251.31593029704513</v>
      </c>
      <c r="X30" s="66">
        <v>213.3115747756149</v>
      </c>
      <c r="Y30" s="66">
        <v>217.38302450915046</v>
      </c>
    </row>
    <row r="31" spans="1:25" x14ac:dyDescent="0.25">
      <c r="A31" s="64" t="s">
        <v>37</v>
      </c>
      <c r="B31" s="65"/>
      <c r="C31" s="65"/>
      <c r="D31" s="66">
        <v>1011.5974560419005</v>
      </c>
      <c r="E31" s="66">
        <v>1058.7149725608274</v>
      </c>
      <c r="F31" s="66">
        <v>1176.8066613991368</v>
      </c>
      <c r="G31" s="66">
        <v>1286.6081412223728</v>
      </c>
      <c r="H31" s="66">
        <v>1403.6720731622183</v>
      </c>
      <c r="I31" s="66">
        <v>1548.506825452848</v>
      </c>
      <c r="J31" s="66">
        <v>1738.7842664572991</v>
      </c>
      <c r="K31" s="66">
        <v>1972.0493527332656</v>
      </c>
      <c r="L31" s="66">
        <v>2094.1085980375851</v>
      </c>
      <c r="M31" s="66">
        <v>1613.0543251361946</v>
      </c>
      <c r="N31" s="66">
        <v>1418.2035689362974</v>
      </c>
      <c r="O31" s="66">
        <v>1200.1401623547276</v>
      </c>
      <c r="P31" s="66">
        <v>987.97283818000449</v>
      </c>
      <c r="Q31" s="66">
        <v>755.3859530480147</v>
      </c>
      <c r="R31" s="66">
        <v>648.96110603472255</v>
      </c>
      <c r="S31" s="66">
        <v>634.79999999999995</v>
      </c>
      <c r="T31" s="66">
        <v>763.82880254341308</v>
      </c>
      <c r="U31" s="66">
        <v>920.66249363562849</v>
      </c>
      <c r="V31" s="66">
        <v>1081.3809500222892</v>
      </c>
      <c r="W31" s="66">
        <v>1264.5579349867191</v>
      </c>
      <c r="X31" s="66">
        <v>1185.4528499825158</v>
      </c>
      <c r="Y31" s="66">
        <v>1192.0359543714651</v>
      </c>
    </row>
    <row r="32" spans="1:25" x14ac:dyDescent="0.25">
      <c r="A32" s="64" t="s">
        <v>58</v>
      </c>
      <c r="B32" s="65"/>
      <c r="C32" s="65"/>
      <c r="D32" s="66">
        <v>1073.8246664172591</v>
      </c>
      <c r="E32" s="66">
        <v>1063.6928755281433</v>
      </c>
      <c r="F32" s="66">
        <v>1109.8279948945481</v>
      </c>
      <c r="G32" s="66">
        <v>1097.8278971284467</v>
      </c>
      <c r="H32" s="66">
        <v>1150.8388988434599</v>
      </c>
      <c r="I32" s="66">
        <v>1153.4389124816416</v>
      </c>
      <c r="J32" s="66">
        <v>1091.3293007928694</v>
      </c>
      <c r="K32" s="66">
        <v>1083.8736257779128</v>
      </c>
      <c r="L32" s="66">
        <v>1068.9339763845003</v>
      </c>
      <c r="M32" s="66">
        <v>1006.7715493101164</v>
      </c>
      <c r="N32" s="66">
        <v>963.21403648689056</v>
      </c>
      <c r="O32" s="66">
        <v>870.95329868208444</v>
      </c>
      <c r="P32" s="66">
        <v>757.2124606767436</v>
      </c>
      <c r="Q32" s="66">
        <v>649.21263646024545</v>
      </c>
      <c r="R32" s="66">
        <v>671.70553414643814</v>
      </c>
      <c r="S32" s="66">
        <v>713.99999999999989</v>
      </c>
      <c r="T32" s="66">
        <v>811.21596877075069</v>
      </c>
      <c r="U32" s="66">
        <v>901.09517106432236</v>
      </c>
      <c r="V32" s="66">
        <v>1036.6040913368668</v>
      </c>
      <c r="W32" s="66">
        <v>1108.1057414452366</v>
      </c>
      <c r="X32" s="66">
        <v>1126.2967711854533</v>
      </c>
      <c r="Y32" s="66">
        <v>1118.432328464512</v>
      </c>
    </row>
    <row r="33" spans="1:25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71.081182192293312</v>
      </c>
      <c r="E43" s="66">
        <v>67.748045262493321</v>
      </c>
      <c r="F43" s="66">
        <v>67.951133531878682</v>
      </c>
      <c r="G43" s="66">
        <v>65.06792282254419</v>
      </c>
      <c r="H43" s="66">
        <v>71.207502385218618</v>
      </c>
      <c r="I43" s="66">
        <v>71.727027427049066</v>
      </c>
      <c r="J43" s="66">
        <v>74.531963596554277</v>
      </c>
      <c r="K43" s="66">
        <v>72.207645770540154</v>
      </c>
      <c r="L43" s="66">
        <v>71.199900216198245</v>
      </c>
      <c r="M43" s="66">
        <v>70.770327376406499</v>
      </c>
      <c r="N43" s="66">
        <v>83.939786661349814</v>
      </c>
      <c r="O43" s="66">
        <v>79.327999377056202</v>
      </c>
      <c r="P43" s="66">
        <v>78.742423079874172</v>
      </c>
      <c r="Q43" s="66">
        <v>83.663414162882816</v>
      </c>
      <c r="R43" s="66">
        <v>90.679750506535299</v>
      </c>
      <c r="S43" s="66">
        <v>107.8</v>
      </c>
      <c r="T43" s="66">
        <v>121.83834034247539</v>
      </c>
      <c r="U43" s="66">
        <v>148.35225173959486</v>
      </c>
      <c r="V43" s="66">
        <v>163.95066620436873</v>
      </c>
      <c r="W43" s="66">
        <v>178.24652896019614</v>
      </c>
      <c r="X43" s="66">
        <v>223.12235303259899</v>
      </c>
      <c r="Y43" s="66">
        <v>179.86707546990152</v>
      </c>
    </row>
    <row r="44" spans="1:25" x14ac:dyDescent="0.25">
      <c r="A44" s="73" t="s">
        <v>272</v>
      </c>
      <c r="B44" s="65"/>
      <c r="C44" s="65"/>
      <c r="D44" s="66">
        <v>36.039406409776781</v>
      </c>
      <c r="E44" s="66">
        <v>31.810014083823027</v>
      </c>
      <c r="F44" s="66">
        <v>31.605178386920318</v>
      </c>
      <c r="G44" s="66">
        <v>29.857492922227774</v>
      </c>
      <c r="H44" s="66">
        <v>33.044004374840014</v>
      </c>
      <c r="I44" s="66">
        <v>26.186057632097278</v>
      </c>
      <c r="J44" s="66">
        <v>28.530039477612767</v>
      </c>
      <c r="K44" s="66">
        <v>28.514430687165255</v>
      </c>
      <c r="L44" s="66">
        <v>24.634126060202895</v>
      </c>
      <c r="M44" s="66">
        <v>24.235018583575176</v>
      </c>
      <c r="N44" s="66">
        <v>28.810686870700827</v>
      </c>
      <c r="O44" s="66">
        <v>23.749732328836458</v>
      </c>
      <c r="P44" s="66">
        <v>20.045269699992328</v>
      </c>
      <c r="Q44" s="66">
        <v>17.969278330596079</v>
      </c>
      <c r="R44" s="66">
        <v>17.182471892256963</v>
      </c>
      <c r="S44" s="66">
        <v>19.3</v>
      </c>
      <c r="T44" s="66">
        <v>21.731694066040202</v>
      </c>
      <c r="U44" s="66">
        <v>23.261153873032036</v>
      </c>
      <c r="V44" s="66">
        <v>26.945366288572988</v>
      </c>
      <c r="W44" s="66">
        <v>26.951030852606078</v>
      </c>
      <c r="X44" s="66">
        <v>28.558107005478497</v>
      </c>
      <c r="Y44" s="66">
        <v>27.518043838433851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36.039406409776781</v>
      </c>
      <c r="E46" s="45">
        <v>31.810014083823027</v>
      </c>
      <c r="F46" s="45">
        <v>31.605178386920318</v>
      </c>
      <c r="G46" s="45">
        <v>29.857492922227774</v>
      </c>
      <c r="H46" s="45">
        <v>33.044004374840014</v>
      </c>
      <c r="I46" s="45">
        <v>26.186057632097278</v>
      </c>
      <c r="J46" s="45">
        <v>28.530039477612767</v>
      </c>
      <c r="K46" s="45">
        <v>28.514430687165255</v>
      </c>
      <c r="L46" s="45">
        <v>24.634126060202895</v>
      </c>
      <c r="M46" s="45">
        <v>24.235018583575176</v>
      </c>
      <c r="N46" s="45">
        <v>28.810686870700827</v>
      </c>
      <c r="O46" s="45">
        <v>23.749732328836458</v>
      </c>
      <c r="P46" s="45">
        <v>20.045269699992328</v>
      </c>
      <c r="Q46" s="45">
        <v>17.969278330596079</v>
      </c>
      <c r="R46" s="45">
        <v>17.182471892256963</v>
      </c>
      <c r="S46" s="45">
        <v>19.3</v>
      </c>
      <c r="T46" s="45">
        <v>21.731694066040202</v>
      </c>
      <c r="U46" s="45">
        <v>23.261153873032036</v>
      </c>
      <c r="V46" s="45">
        <v>26.945366288572988</v>
      </c>
      <c r="W46" s="45">
        <v>26.951030852606078</v>
      </c>
      <c r="X46" s="45">
        <v>28.558107005478497</v>
      </c>
      <c r="Y46" s="45">
        <v>27.518043838433851</v>
      </c>
    </row>
    <row r="47" spans="1:25" x14ac:dyDescent="0.25">
      <c r="A47" s="73" t="s">
        <v>11</v>
      </c>
      <c r="B47" s="65"/>
      <c r="C47" s="65"/>
      <c r="D47" s="66">
        <v>35.041775782516524</v>
      </c>
      <c r="E47" s="66">
        <v>35.938031178670293</v>
      </c>
      <c r="F47" s="66">
        <v>36.345955144958367</v>
      </c>
      <c r="G47" s="66">
        <v>35.21042990031642</v>
      </c>
      <c r="H47" s="66">
        <v>38.163498010378603</v>
      </c>
      <c r="I47" s="66">
        <v>45.540969794951785</v>
      </c>
      <c r="J47" s="66">
        <v>46.001924118941517</v>
      </c>
      <c r="K47" s="66">
        <v>43.693215083374895</v>
      </c>
      <c r="L47" s="66">
        <v>46.565774155995342</v>
      </c>
      <c r="M47" s="66">
        <v>46.535308792831323</v>
      </c>
      <c r="N47" s="66">
        <v>55.129099790648986</v>
      </c>
      <c r="O47" s="66">
        <v>55.578267048219743</v>
      </c>
      <c r="P47" s="66">
        <v>58.69715337988184</v>
      </c>
      <c r="Q47" s="66">
        <v>65.694135832286733</v>
      </c>
      <c r="R47" s="66">
        <v>73.497278614278343</v>
      </c>
      <c r="S47" s="66">
        <v>88.5</v>
      </c>
      <c r="T47" s="66">
        <v>100.10664627643519</v>
      </c>
      <c r="U47" s="66">
        <v>125.09109786656283</v>
      </c>
      <c r="V47" s="66">
        <v>137.00529991579575</v>
      </c>
      <c r="W47" s="66">
        <v>151.29549810759008</v>
      </c>
      <c r="X47" s="66">
        <v>194.5642460271205</v>
      </c>
      <c r="Y47" s="66">
        <v>152.34903163146768</v>
      </c>
    </row>
    <row r="48" spans="1:25" x14ac:dyDescent="0.25">
      <c r="A48" s="72" t="s">
        <v>4</v>
      </c>
      <c r="B48" s="65"/>
      <c r="C48" s="65"/>
      <c r="D48" s="66">
        <v>128.94375857338821</v>
      </c>
      <c r="E48" s="66">
        <v>129.91112622019324</v>
      </c>
      <c r="F48" s="66">
        <v>147.08563787759073</v>
      </c>
      <c r="G48" s="66">
        <v>153.80772250374704</v>
      </c>
      <c r="H48" s="66">
        <v>173.1319665836688</v>
      </c>
      <c r="I48" s="66">
        <v>184.09937039609258</v>
      </c>
      <c r="J48" s="66">
        <v>192.85422034479328</v>
      </c>
      <c r="K48" s="66">
        <v>194.72211982566083</v>
      </c>
      <c r="L48" s="66">
        <v>188.86163312822219</v>
      </c>
      <c r="M48" s="66">
        <v>156.4075148923171</v>
      </c>
      <c r="N48" s="66">
        <v>139.76672315820954</v>
      </c>
      <c r="O48" s="66">
        <v>125.95144931768189</v>
      </c>
      <c r="P48" s="66">
        <v>88.908923501879855</v>
      </c>
      <c r="Q48" s="66">
        <v>60.284030528451353</v>
      </c>
      <c r="R48" s="66">
        <v>71.510865678757298</v>
      </c>
      <c r="S48" s="66">
        <v>85.7</v>
      </c>
      <c r="T48" s="66">
        <v>103.92981467694224</v>
      </c>
      <c r="U48" s="66">
        <v>108.91810676170795</v>
      </c>
      <c r="V48" s="66">
        <v>122.0466590717718</v>
      </c>
      <c r="W48" s="66">
        <v>136.7010770682727</v>
      </c>
      <c r="X48" s="66">
        <v>146.96740101798966</v>
      </c>
      <c r="Y48" s="66">
        <v>136.54281959970291</v>
      </c>
    </row>
    <row r="49" spans="1:25" x14ac:dyDescent="0.25">
      <c r="A49" s="77" t="s">
        <v>10</v>
      </c>
      <c r="B49" s="44"/>
      <c r="C49" s="44"/>
      <c r="D49" s="45">
        <v>55.424635868238894</v>
      </c>
      <c r="E49" s="45">
        <v>58.168602544547277</v>
      </c>
      <c r="F49" s="45">
        <v>70.207143049480138</v>
      </c>
      <c r="G49" s="45">
        <v>80.469928037248977</v>
      </c>
      <c r="H49" s="45">
        <v>85.79356966106198</v>
      </c>
      <c r="I49" s="45">
        <v>90.972072459944414</v>
      </c>
      <c r="J49" s="45">
        <v>95.945791414388296</v>
      </c>
      <c r="K49" s="45">
        <v>126.43686383019664</v>
      </c>
      <c r="L49" s="45">
        <v>130.21878025702765</v>
      </c>
      <c r="M49" s="45">
        <v>103.48247698456251</v>
      </c>
      <c r="N49" s="45">
        <v>91.024316246612202</v>
      </c>
      <c r="O49" s="45">
        <v>107.85395374208268</v>
      </c>
      <c r="P49" s="45">
        <v>70.205180941290763</v>
      </c>
      <c r="Q49" s="45">
        <v>29.103266588052392</v>
      </c>
      <c r="R49" s="45">
        <v>25.43158605734687</v>
      </c>
      <c r="S49" s="45">
        <v>32.494583095221103</v>
      </c>
      <c r="T49" s="45">
        <v>55.549691693607663</v>
      </c>
      <c r="U49" s="45">
        <v>63.120998738763433</v>
      </c>
      <c r="V49" s="45">
        <v>73.273026563772774</v>
      </c>
      <c r="W49" s="45">
        <v>112.94931394822176</v>
      </c>
      <c r="X49" s="45">
        <v>85.696359135590697</v>
      </c>
      <c r="Y49" s="45">
        <v>88.108274309615439</v>
      </c>
    </row>
    <row r="50" spans="1:25" x14ac:dyDescent="0.25">
      <c r="A50" s="77" t="s">
        <v>18</v>
      </c>
      <c r="B50" s="44"/>
      <c r="C50" s="44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</row>
    <row r="51" spans="1:25" x14ac:dyDescent="0.25">
      <c r="A51" s="77" t="s">
        <v>9</v>
      </c>
      <c r="B51" s="44"/>
      <c r="C51" s="44"/>
      <c r="D51" s="45">
        <v>73.519122705149314</v>
      </c>
      <c r="E51" s="45">
        <v>71.74252367564597</v>
      </c>
      <c r="F51" s="45">
        <v>76.87849482811059</v>
      </c>
      <c r="G51" s="45">
        <v>73.337794466498067</v>
      </c>
      <c r="H51" s="45">
        <v>87.338396922606819</v>
      </c>
      <c r="I51" s="45">
        <v>93.127297936148167</v>
      </c>
      <c r="J51" s="45">
        <v>96.90842893040498</v>
      </c>
      <c r="K51" s="45">
        <v>68.285255995464183</v>
      </c>
      <c r="L51" s="45">
        <v>58.642852871194549</v>
      </c>
      <c r="M51" s="45">
        <v>52.925037907754586</v>
      </c>
      <c r="N51" s="45">
        <v>48.742406911597342</v>
      </c>
      <c r="O51" s="45">
        <v>18.097495575599211</v>
      </c>
      <c r="P51" s="45">
        <v>18.703742560589092</v>
      </c>
      <c r="Q51" s="45">
        <v>31.180763940398961</v>
      </c>
      <c r="R51" s="45">
        <v>46.079279621410429</v>
      </c>
      <c r="S51" s="45">
        <v>53.2054169047789</v>
      </c>
      <c r="T51" s="45">
        <v>48.38012298333458</v>
      </c>
      <c r="U51" s="45">
        <v>45.797108022944514</v>
      </c>
      <c r="V51" s="45">
        <v>48.773632507999025</v>
      </c>
      <c r="W51" s="45">
        <v>23.751763120050938</v>
      </c>
      <c r="X51" s="45">
        <v>61.271041882398961</v>
      </c>
      <c r="Y51" s="45">
        <v>48.43454529008747</v>
      </c>
    </row>
    <row r="52" spans="1:25" x14ac:dyDescent="0.25">
      <c r="A52" s="72" t="s">
        <v>3</v>
      </c>
      <c r="B52" s="65"/>
      <c r="C52" s="65"/>
      <c r="D52" s="66">
        <v>66.342436712807071</v>
      </c>
      <c r="E52" s="66">
        <v>69.447817007430416</v>
      </c>
      <c r="F52" s="66">
        <v>71.962560019449356</v>
      </c>
      <c r="G52" s="66">
        <v>68.398639164466019</v>
      </c>
      <c r="H52" s="66">
        <v>68.764107695529759</v>
      </c>
      <c r="I52" s="66">
        <v>66.375963476142218</v>
      </c>
      <c r="J52" s="66">
        <v>65.906602824252744</v>
      </c>
      <c r="K52" s="66">
        <v>68.087690005854682</v>
      </c>
      <c r="L52" s="66">
        <v>70.056544154332272</v>
      </c>
      <c r="M52" s="66">
        <v>59.976579603889817</v>
      </c>
      <c r="N52" s="66">
        <v>59.116738111853266</v>
      </c>
      <c r="O52" s="66">
        <v>54.507582394050885</v>
      </c>
      <c r="P52" s="66">
        <v>45.845162280365223</v>
      </c>
      <c r="Q52" s="66">
        <v>38.547000289827068</v>
      </c>
      <c r="R52" s="66">
        <v>38.735052242660203</v>
      </c>
      <c r="S52" s="66">
        <v>36.799999999999997</v>
      </c>
      <c r="T52" s="66">
        <v>41.954242710827607</v>
      </c>
      <c r="U52" s="66">
        <v>43.028143001188013</v>
      </c>
      <c r="V52" s="66">
        <v>42.795581752439453</v>
      </c>
      <c r="W52" s="66">
        <v>44.36703995952481</v>
      </c>
      <c r="X52" s="66">
        <v>36.814702568286904</v>
      </c>
      <c r="Y52" s="66">
        <v>36.087676867703905</v>
      </c>
    </row>
    <row r="53" spans="1:25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</row>
    <row r="56" spans="1:25" x14ac:dyDescent="0.25">
      <c r="A56" s="73" t="s">
        <v>16</v>
      </c>
      <c r="B56" s="65"/>
      <c r="C56" s="65"/>
      <c r="D56" s="66">
        <v>66.342436712807071</v>
      </c>
      <c r="E56" s="66">
        <v>69.447817007430416</v>
      </c>
      <c r="F56" s="66">
        <v>71.962560019449356</v>
      </c>
      <c r="G56" s="66">
        <v>68.398639164466019</v>
      </c>
      <c r="H56" s="66">
        <v>68.764107695529759</v>
      </c>
      <c r="I56" s="66">
        <v>66.375963476142218</v>
      </c>
      <c r="J56" s="66">
        <v>65.906602824252744</v>
      </c>
      <c r="K56" s="66">
        <v>68.087690005854682</v>
      </c>
      <c r="L56" s="66">
        <v>70.056544154332272</v>
      </c>
      <c r="M56" s="66">
        <v>59.976579603889817</v>
      </c>
      <c r="N56" s="66">
        <v>59.116738111853266</v>
      </c>
      <c r="O56" s="66">
        <v>54.507582394050885</v>
      </c>
      <c r="P56" s="66">
        <v>45.845162280365223</v>
      </c>
      <c r="Q56" s="66">
        <v>38.547000289827068</v>
      </c>
      <c r="R56" s="66">
        <v>38.735052242660203</v>
      </c>
      <c r="S56" s="66">
        <v>36.799999999999997</v>
      </c>
      <c r="T56" s="66">
        <v>41.954242710827607</v>
      </c>
      <c r="U56" s="66">
        <v>43.028143001188013</v>
      </c>
      <c r="V56" s="66">
        <v>42.795581752439453</v>
      </c>
      <c r="W56" s="66">
        <v>44.36703995952481</v>
      </c>
      <c r="X56" s="66">
        <v>36.814702568286904</v>
      </c>
      <c r="Y56" s="66">
        <v>36.087676867703905</v>
      </c>
    </row>
    <row r="57" spans="1:25" x14ac:dyDescent="0.25">
      <c r="A57" s="72" t="s">
        <v>2</v>
      </c>
      <c r="B57" s="65"/>
      <c r="C57" s="65"/>
      <c r="D57" s="66">
        <v>413.64259882778401</v>
      </c>
      <c r="E57" s="66">
        <v>426.03564664173666</v>
      </c>
      <c r="F57" s="66">
        <v>445.51145687716524</v>
      </c>
      <c r="G57" s="66">
        <v>440.13037375395521</v>
      </c>
      <c r="H57" s="66">
        <v>452.72613036092429</v>
      </c>
      <c r="I57" s="66">
        <v>448.69240490476244</v>
      </c>
      <c r="J57" s="66">
        <v>357.95247205051368</v>
      </c>
      <c r="K57" s="66">
        <v>327.10280373831779</v>
      </c>
      <c r="L57" s="66">
        <v>329.91019457841338</v>
      </c>
      <c r="M57" s="66">
        <v>362.50700066188074</v>
      </c>
      <c r="N57" s="66">
        <v>326.78696042268967</v>
      </c>
      <c r="O57" s="66">
        <v>296.38497926765172</v>
      </c>
      <c r="P57" s="66">
        <v>272.28957262334075</v>
      </c>
      <c r="Q57" s="66">
        <v>248.28518983673075</v>
      </c>
      <c r="R57" s="66">
        <v>251.47987763696318</v>
      </c>
      <c r="S57" s="66">
        <v>255</v>
      </c>
      <c r="T57" s="66">
        <v>304.5455460088134</v>
      </c>
      <c r="U57" s="66">
        <v>320.564657022772</v>
      </c>
      <c r="V57" s="66">
        <v>359.60176333647036</v>
      </c>
      <c r="W57" s="66">
        <v>374.68743614940797</v>
      </c>
      <c r="X57" s="66">
        <v>357.947701752341</v>
      </c>
      <c r="Y57" s="66">
        <v>360.30545980842106</v>
      </c>
    </row>
    <row r="58" spans="1:25" x14ac:dyDescent="0.25">
      <c r="A58" s="72" t="s">
        <v>275</v>
      </c>
      <c r="B58" s="65"/>
      <c r="C58" s="65"/>
      <c r="D58" s="66">
        <v>8.2304526748971192</v>
      </c>
      <c r="E58" s="66">
        <v>8.8630955271720655</v>
      </c>
      <c r="F58" s="66">
        <v>9.4815535160760955</v>
      </c>
      <c r="G58" s="66">
        <v>8.3267908548045586</v>
      </c>
      <c r="H58" s="66">
        <v>7.6792404533078908</v>
      </c>
      <c r="I58" s="66">
        <v>7.2865551671922857</v>
      </c>
      <c r="J58" s="66">
        <v>7.5195452886731324</v>
      </c>
      <c r="K58" s="66">
        <v>8.4567513064596582</v>
      </c>
      <c r="L58" s="66">
        <v>7.2759022118742722</v>
      </c>
      <c r="M58" s="66">
        <v>7.5352578789267346</v>
      </c>
      <c r="N58" s="66">
        <v>6.2805303558967198</v>
      </c>
      <c r="O58" s="66">
        <v>5.1587533337226734</v>
      </c>
      <c r="P58" s="66">
        <v>2.9732218215299624</v>
      </c>
      <c r="Q58" s="66">
        <v>2.8016616752004637</v>
      </c>
      <c r="R58" s="66">
        <v>3.0789400500576058</v>
      </c>
      <c r="S58" s="66">
        <v>4.4000000000000004</v>
      </c>
      <c r="T58" s="66">
        <v>5.4329235165100505</v>
      </c>
      <c r="U58" s="66">
        <v>5.6904968702267213</v>
      </c>
      <c r="V58" s="66">
        <v>6.3400861855465855</v>
      </c>
      <c r="W58" s="66">
        <v>6.421545257299643</v>
      </c>
      <c r="X58" s="66">
        <v>6.4110036134747643</v>
      </c>
      <c r="Y58" s="66">
        <v>7.6174515815733841</v>
      </c>
    </row>
    <row r="59" spans="1:25" x14ac:dyDescent="0.25">
      <c r="A59" s="72" t="s">
        <v>276</v>
      </c>
      <c r="B59" s="65"/>
      <c r="C59" s="65"/>
      <c r="D59" s="66">
        <v>134.05661553809702</v>
      </c>
      <c r="E59" s="66">
        <v>131.00383662765284</v>
      </c>
      <c r="F59" s="66">
        <v>136.99629246945844</v>
      </c>
      <c r="G59" s="66">
        <v>147.8600147503152</v>
      </c>
      <c r="H59" s="66">
        <v>165.33637400228051</v>
      </c>
      <c r="I59" s="66">
        <v>170.09552218414493</v>
      </c>
      <c r="J59" s="66">
        <v>186.55107208811137</v>
      </c>
      <c r="K59" s="66">
        <v>203.50413079775353</v>
      </c>
      <c r="L59" s="66">
        <v>200.91884250789954</v>
      </c>
      <c r="M59" s="66">
        <v>168.62685199327939</v>
      </c>
      <c r="N59" s="66">
        <v>176.75206858737909</v>
      </c>
      <c r="O59" s="66">
        <v>164.00942202495668</v>
      </c>
      <c r="P59" s="66">
        <v>150.19565717793296</v>
      </c>
      <c r="Q59" s="66">
        <v>122.69345956912376</v>
      </c>
      <c r="R59" s="66">
        <v>125.04469429104921</v>
      </c>
      <c r="S59" s="66">
        <v>127.7</v>
      </c>
      <c r="T59" s="66">
        <v>122.84443728997726</v>
      </c>
      <c r="U59" s="66">
        <v>150.84808370022063</v>
      </c>
      <c r="V59" s="66">
        <v>201.29773639110408</v>
      </c>
      <c r="W59" s="66">
        <v>218.33253874818783</v>
      </c>
      <c r="X59" s="66">
        <v>217.19703151105412</v>
      </c>
      <c r="Y59" s="66">
        <v>249.75719373083734</v>
      </c>
    </row>
    <row r="60" spans="1:25" x14ac:dyDescent="0.25">
      <c r="A60" s="72" t="s">
        <v>1</v>
      </c>
      <c r="B60" s="65"/>
      <c r="C60" s="65"/>
      <c r="D60" s="66">
        <v>82.803342062601331</v>
      </c>
      <c r="E60" s="66">
        <v>71.754650089845072</v>
      </c>
      <c r="F60" s="66">
        <v>67.100224883000067</v>
      </c>
      <c r="G60" s="66">
        <v>54.718911331572812</v>
      </c>
      <c r="H60" s="66">
        <v>43.632048030158472</v>
      </c>
      <c r="I60" s="66">
        <v>41.214577664431367</v>
      </c>
      <c r="J60" s="66">
        <v>39.367031217171103</v>
      </c>
      <c r="K60" s="66">
        <v>37.404861547802334</v>
      </c>
      <c r="L60" s="66">
        <v>30.454847829702313</v>
      </c>
      <c r="M60" s="66">
        <v>25.558780102846089</v>
      </c>
      <c r="N60" s="66">
        <v>21.034792144352508</v>
      </c>
      <c r="O60" s="66">
        <v>19.369658743600223</v>
      </c>
      <c r="P60" s="66">
        <v>14.67428834497046</v>
      </c>
      <c r="Q60" s="66">
        <v>11.013428654236305</v>
      </c>
      <c r="R60" s="66">
        <v>11.52119502602201</v>
      </c>
      <c r="S60" s="66">
        <v>12.5</v>
      </c>
      <c r="T60" s="66">
        <v>13.582308791275127</v>
      </c>
      <c r="U60" s="66">
        <v>14.974991763754529</v>
      </c>
      <c r="V60" s="66">
        <v>17.534300856902274</v>
      </c>
      <c r="W60" s="66">
        <v>18.194378229015655</v>
      </c>
      <c r="X60" s="66">
        <v>14.861872013055136</v>
      </c>
      <c r="Y60" s="66">
        <v>15.90143017653444</v>
      </c>
    </row>
    <row r="61" spans="1:25" x14ac:dyDescent="0.25">
      <c r="A61" s="72" t="s">
        <v>0</v>
      </c>
      <c r="B61" s="65"/>
      <c r="C61" s="65"/>
      <c r="D61" s="66">
        <v>68.3376979673276</v>
      </c>
      <c r="E61" s="66">
        <v>63.86285270263707</v>
      </c>
      <c r="F61" s="66">
        <v>67.221783261411289</v>
      </c>
      <c r="G61" s="66">
        <v>73.156805367211476</v>
      </c>
      <c r="H61" s="66">
        <v>78.53768645428525</v>
      </c>
      <c r="I61" s="66">
        <v>78.44432047180446</v>
      </c>
      <c r="J61" s="66">
        <v>80.503367208147651</v>
      </c>
      <c r="K61" s="66">
        <v>85.760131838584471</v>
      </c>
      <c r="L61" s="66">
        <v>82.113753534009646</v>
      </c>
      <c r="M61" s="66">
        <v>73.112366987424267</v>
      </c>
      <c r="N61" s="66">
        <v>66.493869006081141</v>
      </c>
      <c r="O61" s="66">
        <v>57.81697132511826</v>
      </c>
      <c r="P61" s="66">
        <v>49.202025627253896</v>
      </c>
      <c r="Q61" s="66">
        <v>30.335233310791228</v>
      </c>
      <c r="R61" s="66">
        <v>27.809781097294508</v>
      </c>
      <c r="S61" s="66">
        <v>33.299999999999997</v>
      </c>
      <c r="T61" s="66">
        <v>37.124977362818676</v>
      </c>
      <c r="U61" s="66">
        <v>45.42414168338874</v>
      </c>
      <c r="V61" s="66">
        <v>54.386051810391798</v>
      </c>
      <c r="W61" s="66">
        <v>60.51819924303603</v>
      </c>
      <c r="X61" s="66">
        <v>54.493530714535495</v>
      </c>
      <c r="Y61" s="66">
        <v>55.702614690255373</v>
      </c>
    </row>
    <row r="62" spans="1:25" x14ac:dyDescent="0.25">
      <c r="A62" s="78" t="s">
        <v>277</v>
      </c>
      <c r="B62" s="79"/>
      <c r="C62" s="79"/>
      <c r="D62" s="80">
        <v>100.38658186806336</v>
      </c>
      <c r="E62" s="80">
        <v>95.065805448982559</v>
      </c>
      <c r="F62" s="80">
        <v>96.517352458518204</v>
      </c>
      <c r="G62" s="80">
        <v>86.360716579830125</v>
      </c>
      <c r="H62" s="80">
        <v>89.823842878086239</v>
      </c>
      <c r="I62" s="80">
        <v>85.503170790021983</v>
      </c>
      <c r="J62" s="80">
        <v>86.143026174652505</v>
      </c>
      <c r="K62" s="80">
        <v>86.627490946939304</v>
      </c>
      <c r="L62" s="80">
        <v>88.142358223848333</v>
      </c>
      <c r="M62" s="80">
        <v>82.276869813145979</v>
      </c>
      <c r="N62" s="80">
        <v>83.042568039078844</v>
      </c>
      <c r="O62" s="80">
        <v>68.426482898246022</v>
      </c>
      <c r="P62" s="80">
        <v>54.381186219596415</v>
      </c>
      <c r="Q62" s="80">
        <v>51.589218433001641</v>
      </c>
      <c r="R62" s="80">
        <v>51.845377617099047</v>
      </c>
      <c r="S62" s="80">
        <v>50.8</v>
      </c>
      <c r="T62" s="80">
        <v>59.963378071110931</v>
      </c>
      <c r="U62" s="80">
        <v>63.294298521469145</v>
      </c>
      <c r="V62" s="80">
        <v>68.651245727871625</v>
      </c>
      <c r="W62" s="80">
        <v>70.636997830296082</v>
      </c>
      <c r="X62" s="80">
        <v>68.481174962116796</v>
      </c>
      <c r="Y62" s="80">
        <v>76.650606539582185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4.0031692179548377E-2</v>
      </c>
      <c r="E66" s="83">
        <f t="shared" ref="E66:S66" si="49">E24/E$23</f>
        <v>4.2621609536585135E-2</v>
      </c>
      <c r="F66" s="83">
        <f t="shared" si="49"/>
        <v>4.2031700552831196E-2</v>
      </c>
      <c r="G66" s="83">
        <f t="shared" si="49"/>
        <v>3.7794337854759753E-2</v>
      </c>
      <c r="H66" s="83">
        <f t="shared" si="49"/>
        <v>3.505166409773363E-2</v>
      </c>
      <c r="I66" s="83">
        <f t="shared" si="49"/>
        <v>3.1348701985646113E-2</v>
      </c>
      <c r="J66" s="83">
        <f t="shared" si="49"/>
        <v>2.6133732422205909E-2</v>
      </c>
      <c r="K66" s="83">
        <f t="shared" si="49"/>
        <v>2.3444805921789179E-2</v>
      </c>
      <c r="L66" s="83">
        <f t="shared" si="49"/>
        <v>2.4237809520908843E-2</v>
      </c>
      <c r="M66" s="83">
        <f t="shared" si="49"/>
        <v>2.2619446389963153E-2</v>
      </c>
      <c r="N66" s="83">
        <f t="shared" si="49"/>
        <v>2.3332653477462779E-2</v>
      </c>
      <c r="O66" s="83">
        <f t="shared" si="49"/>
        <v>2.4137208129593017E-2</v>
      </c>
      <c r="P66" s="83">
        <f t="shared" si="49"/>
        <v>2.2562868988487268E-2</v>
      </c>
      <c r="Q66" s="83">
        <f t="shared" si="49"/>
        <v>2.2908378954719477E-2</v>
      </c>
      <c r="R66" s="83">
        <f t="shared" si="49"/>
        <v>2.1047067115670764E-2</v>
      </c>
      <c r="S66" s="83">
        <f t="shared" si="49"/>
        <v>2.1330075278875461E-2</v>
      </c>
      <c r="T66" s="83">
        <f t="shared" ref="T66:Y66" si="50">T24/T$23</f>
        <v>2.4485627609407385E-2</v>
      </c>
      <c r="U66" s="83">
        <f t="shared" si="50"/>
        <v>2.120571573518221E-2</v>
      </c>
      <c r="V66" s="83">
        <f t="shared" si="50"/>
        <v>1.9833897066996963E-2</v>
      </c>
      <c r="W66" s="83">
        <f t="shared" si="50"/>
        <v>2.0125247814558461E-2</v>
      </c>
      <c r="X66" s="83">
        <f t="shared" si="50"/>
        <v>2.0761738210952275E-2</v>
      </c>
      <c r="Y66" s="83">
        <f t="shared" si="50"/>
        <v>1.8366884294523034E-2</v>
      </c>
    </row>
    <row r="67" spans="1:25" x14ac:dyDescent="0.25">
      <c r="A67" s="64" t="s">
        <v>56</v>
      </c>
      <c r="B67" s="65"/>
      <c r="C67" s="65"/>
      <c r="D67" s="83">
        <f t="shared" si="46"/>
        <v>2.9254319583125938E-3</v>
      </c>
      <c r="E67" s="83">
        <f t="shared" ref="E67:S67" si="51">E25/E$23</f>
        <v>2.5116305619773383E-3</v>
      </c>
      <c r="F67" s="83">
        <f t="shared" si="51"/>
        <v>2.8100721802854149E-3</v>
      </c>
      <c r="G67" s="83">
        <f t="shared" si="51"/>
        <v>3.0823927073390721E-3</v>
      </c>
      <c r="H67" s="83">
        <f t="shared" si="51"/>
        <v>3.4089333626925681E-3</v>
      </c>
      <c r="I67" s="83">
        <f t="shared" si="51"/>
        <v>3.4248399838651983E-3</v>
      </c>
      <c r="J67" s="83">
        <f t="shared" si="51"/>
        <v>3.3108375218840009E-3</v>
      </c>
      <c r="K67" s="83">
        <f t="shared" si="51"/>
        <v>3.3520803972445765E-3</v>
      </c>
      <c r="L67" s="83">
        <f t="shared" si="51"/>
        <v>3.8680595742088754E-3</v>
      </c>
      <c r="M67" s="83">
        <f t="shared" si="51"/>
        <v>2.9111726910076431E-3</v>
      </c>
      <c r="N67" s="83">
        <f t="shared" si="51"/>
        <v>2.797121295999534E-3</v>
      </c>
      <c r="O67" s="83">
        <f t="shared" si="51"/>
        <v>2.068094123779683E-3</v>
      </c>
      <c r="P67" s="83">
        <f t="shared" si="51"/>
        <v>1.0581765824944054E-3</v>
      </c>
      <c r="Q67" s="83">
        <f t="shared" si="51"/>
        <v>1.1971716819015076E-3</v>
      </c>
      <c r="R67" s="83">
        <f t="shared" si="51"/>
        <v>1.3574542511812463E-3</v>
      </c>
      <c r="S67" s="83">
        <f t="shared" si="51"/>
        <v>1.6353906165486258E-3</v>
      </c>
      <c r="T67" s="83">
        <f t="shared" ref="T67:Y67" si="52">T25/T$23</f>
        <v>1.1113447271198151E-3</v>
      </c>
      <c r="U67" s="83">
        <f t="shared" si="52"/>
        <v>9.9771708801893975E-4</v>
      </c>
      <c r="V67" s="83">
        <f t="shared" si="52"/>
        <v>1.2862655423753035E-3</v>
      </c>
      <c r="W67" s="83">
        <f t="shared" si="52"/>
        <v>1.3282368393866498E-3</v>
      </c>
      <c r="X67" s="83">
        <f t="shared" si="52"/>
        <v>1.2912540415234764E-3</v>
      </c>
      <c r="Y67" s="83">
        <f t="shared" si="52"/>
        <v>1.3783097569822272E-3</v>
      </c>
    </row>
    <row r="68" spans="1:25" x14ac:dyDescent="0.25">
      <c r="A68" s="64" t="s">
        <v>146</v>
      </c>
      <c r="B68" s="65"/>
      <c r="C68" s="65"/>
      <c r="D68" s="83">
        <f t="shared" si="46"/>
        <v>0.77284223998699808</v>
      </c>
      <c r="E68" s="83">
        <f t="shared" ref="E68:S68" si="53">E26/E$23</f>
        <v>0.77277354415808053</v>
      </c>
      <c r="F68" s="83">
        <f t="shared" si="53"/>
        <v>0.76648851176373345</v>
      </c>
      <c r="G68" s="83">
        <f t="shared" si="53"/>
        <v>0.76678896993791423</v>
      </c>
      <c r="H68" s="83">
        <f t="shared" si="53"/>
        <v>0.76745855046933986</v>
      </c>
      <c r="I68" s="83">
        <f t="shared" si="53"/>
        <v>0.77166972365346698</v>
      </c>
      <c r="J68" s="83">
        <f t="shared" si="53"/>
        <v>0.77759501891907168</v>
      </c>
      <c r="K68" s="83">
        <f t="shared" si="53"/>
        <v>0.77413958879390965</v>
      </c>
      <c r="L68" s="83">
        <f t="shared" si="53"/>
        <v>0.77543325312947331</v>
      </c>
      <c r="M68" s="83">
        <f t="shared" si="53"/>
        <v>0.80334967569048998</v>
      </c>
      <c r="N68" s="83">
        <f t="shared" si="53"/>
        <v>0.81971387780076332</v>
      </c>
      <c r="O68" s="83">
        <f t="shared" si="53"/>
        <v>0.84017881931656557</v>
      </c>
      <c r="P68" s="83">
        <f t="shared" si="53"/>
        <v>0.85407571455831244</v>
      </c>
      <c r="Q68" s="83">
        <f t="shared" si="53"/>
        <v>0.86645300477621623</v>
      </c>
      <c r="R68" s="83">
        <f t="shared" si="53"/>
        <v>0.87615840446915705</v>
      </c>
      <c r="S68" s="83">
        <f t="shared" si="53"/>
        <v>0.87389038428497789</v>
      </c>
      <c r="T68" s="83">
        <f t="shared" ref="T68:Y68" si="54">T26/T$23</f>
        <v>0.86373712191752017</v>
      </c>
      <c r="U68" s="83">
        <f t="shared" si="54"/>
        <v>0.86230376821397381</v>
      </c>
      <c r="V68" s="83">
        <f t="shared" si="54"/>
        <v>0.85400092102964764</v>
      </c>
      <c r="W68" s="83">
        <f t="shared" si="54"/>
        <v>0.84587533267413406</v>
      </c>
      <c r="X68" s="83">
        <f t="shared" si="54"/>
        <v>0.84579681558452124</v>
      </c>
      <c r="Y68" s="83">
        <f t="shared" si="54"/>
        <v>0.85988846572361244</v>
      </c>
    </row>
    <row r="69" spans="1:25" x14ac:dyDescent="0.25">
      <c r="A69" s="68" t="s">
        <v>148</v>
      </c>
      <c r="B69" s="69"/>
      <c r="C69" s="69"/>
      <c r="D69" s="84">
        <f t="shared" si="46"/>
        <v>0.36886852824362337</v>
      </c>
      <c r="E69" s="84">
        <f t="shared" ref="E69:S69" si="55">E27/E$23</f>
        <v>0.35797395134667165</v>
      </c>
      <c r="F69" s="84">
        <f t="shared" si="55"/>
        <v>0.3557771778059397</v>
      </c>
      <c r="G69" s="84">
        <f t="shared" si="55"/>
        <v>0.3671287336795187</v>
      </c>
      <c r="H69" s="84">
        <f t="shared" si="55"/>
        <v>0.35633955586002175</v>
      </c>
      <c r="I69" s="84">
        <f t="shared" si="55"/>
        <v>0.35081777568059186</v>
      </c>
      <c r="J69" s="84">
        <f t="shared" si="55"/>
        <v>0.34840035014401088</v>
      </c>
      <c r="K69" s="84">
        <f t="shared" si="55"/>
        <v>0.33700591388643752</v>
      </c>
      <c r="L69" s="84">
        <f t="shared" si="55"/>
        <v>0.33687448603539122</v>
      </c>
      <c r="M69" s="84">
        <f t="shared" si="55"/>
        <v>0.35322634672188552</v>
      </c>
      <c r="N69" s="84">
        <f t="shared" si="55"/>
        <v>0.35734972757204048</v>
      </c>
      <c r="O69" s="84">
        <f t="shared" si="55"/>
        <v>0.36945793269911781</v>
      </c>
      <c r="P69" s="84">
        <f t="shared" si="55"/>
        <v>0.37010159651669083</v>
      </c>
      <c r="Q69" s="84">
        <f t="shared" si="55"/>
        <v>0.37218945241866097</v>
      </c>
      <c r="R69" s="84">
        <f t="shared" si="55"/>
        <v>0.36829430652361189</v>
      </c>
      <c r="S69" s="84">
        <f t="shared" si="55"/>
        <v>0.3600341077576058</v>
      </c>
      <c r="T69" s="84">
        <f t="shared" ref="T69:Y69" si="56">T27/T$23</f>
        <v>0.349683116571051</v>
      </c>
      <c r="U69" s="84">
        <f t="shared" si="56"/>
        <v>0.34573433668724107</v>
      </c>
      <c r="V69" s="84">
        <f t="shared" si="56"/>
        <v>0.34928726067785665</v>
      </c>
      <c r="W69" s="84">
        <f t="shared" si="56"/>
        <v>0.34575480747944926</v>
      </c>
      <c r="X69" s="84">
        <f t="shared" si="56"/>
        <v>0.30044024645667688</v>
      </c>
      <c r="Y69" s="84">
        <f t="shared" si="56"/>
        <v>0.30956655785273846</v>
      </c>
    </row>
    <row r="70" spans="1:25" x14ac:dyDescent="0.25">
      <c r="A70" s="68" t="s">
        <v>150</v>
      </c>
      <c r="B70" s="71"/>
      <c r="C70" s="71"/>
      <c r="D70" s="84">
        <f t="shared" si="46"/>
        <v>0.273345048604833</v>
      </c>
      <c r="E70" s="84">
        <f t="shared" ref="E70:S70" si="57">E28/E$23</f>
        <v>0.28562186640789267</v>
      </c>
      <c r="F70" s="84">
        <f t="shared" si="57"/>
        <v>0.28402850478446928</v>
      </c>
      <c r="G70" s="84">
        <f t="shared" si="57"/>
        <v>0.28001611250733377</v>
      </c>
      <c r="H70" s="84">
        <f t="shared" si="57"/>
        <v>0.28615467423482499</v>
      </c>
      <c r="I70" s="84">
        <f t="shared" si="57"/>
        <v>0.29489394412183295</v>
      </c>
      <c r="J70" s="84">
        <f t="shared" si="57"/>
        <v>0.30156152933867969</v>
      </c>
      <c r="K70" s="84">
        <f t="shared" si="57"/>
        <v>0.30895117421598195</v>
      </c>
      <c r="L70" s="84">
        <f t="shared" si="57"/>
        <v>0.31230773916486454</v>
      </c>
      <c r="M70" s="84">
        <f t="shared" si="57"/>
        <v>0.32830475958464017</v>
      </c>
      <c r="N70" s="84">
        <f t="shared" si="57"/>
        <v>0.34153433757757651</v>
      </c>
      <c r="O70" s="84">
        <f t="shared" si="57"/>
        <v>0.3547319693355469</v>
      </c>
      <c r="P70" s="84">
        <f t="shared" si="57"/>
        <v>0.36732605138227931</v>
      </c>
      <c r="Q70" s="84">
        <f t="shared" si="57"/>
        <v>0.38323834939954354</v>
      </c>
      <c r="R70" s="84">
        <f t="shared" si="57"/>
        <v>0.39138408123841595</v>
      </c>
      <c r="S70" s="84">
        <f t="shared" si="57"/>
        <v>0.39785172034184113</v>
      </c>
      <c r="T70" s="84">
        <f t="shared" ref="T70:Y70" si="58">T28/T$23</f>
        <v>0.39569879554260656</v>
      </c>
      <c r="U70" s="84">
        <f t="shared" si="58"/>
        <v>0.39065978974662491</v>
      </c>
      <c r="V70" s="84">
        <f t="shared" si="58"/>
        <v>0.37772272772987359</v>
      </c>
      <c r="W70" s="84">
        <f t="shared" si="58"/>
        <v>0.37645183665638515</v>
      </c>
      <c r="X70" s="84">
        <f t="shared" si="58"/>
        <v>0.42250442279927608</v>
      </c>
      <c r="Y70" s="84">
        <f t="shared" si="58"/>
        <v>0.41933260790714549</v>
      </c>
    </row>
    <row r="71" spans="1:25" x14ac:dyDescent="0.25">
      <c r="A71" s="68" t="s">
        <v>152</v>
      </c>
      <c r="B71" s="71"/>
      <c r="C71" s="71"/>
      <c r="D71" s="84">
        <f t="shared" si="46"/>
        <v>0.13062866313854182</v>
      </c>
      <c r="E71" s="84">
        <f t="shared" ref="E71:S71" si="59">E29/E$23</f>
        <v>0.12917772640351635</v>
      </c>
      <c r="F71" s="84">
        <f t="shared" si="59"/>
        <v>0.12668282917332438</v>
      </c>
      <c r="G71" s="84">
        <f t="shared" si="59"/>
        <v>0.11964412375106176</v>
      </c>
      <c r="H71" s="84">
        <f t="shared" si="59"/>
        <v>0.1249643203744932</v>
      </c>
      <c r="I71" s="84">
        <f t="shared" si="59"/>
        <v>0.12595800385104231</v>
      </c>
      <c r="J71" s="84">
        <f t="shared" si="59"/>
        <v>0.12763313943638102</v>
      </c>
      <c r="K71" s="84">
        <f t="shared" si="59"/>
        <v>0.12818250069149015</v>
      </c>
      <c r="L71" s="84">
        <f t="shared" si="59"/>
        <v>0.1262510279292175</v>
      </c>
      <c r="M71" s="84">
        <f t="shared" si="59"/>
        <v>0.12181856938396426</v>
      </c>
      <c r="N71" s="84">
        <f t="shared" si="59"/>
        <v>0.12082981265114652</v>
      </c>
      <c r="O71" s="84">
        <f t="shared" si="59"/>
        <v>0.11598891728190093</v>
      </c>
      <c r="P71" s="84">
        <f t="shared" si="59"/>
        <v>0.11664806665934246</v>
      </c>
      <c r="Q71" s="84">
        <f t="shared" si="59"/>
        <v>0.11102520295801178</v>
      </c>
      <c r="R71" s="84">
        <f t="shared" si="59"/>
        <v>0.11648001670712933</v>
      </c>
      <c r="S71" s="84">
        <f t="shared" si="59"/>
        <v>0.11600455618553099</v>
      </c>
      <c r="T71" s="84">
        <f t="shared" ref="T71:Y71" si="60">T29/T$23</f>
        <v>0.11835520980386263</v>
      </c>
      <c r="U71" s="84">
        <f t="shared" si="60"/>
        <v>0.12590964178010763</v>
      </c>
      <c r="V71" s="84">
        <f t="shared" si="60"/>
        <v>0.12699093262191746</v>
      </c>
      <c r="W71" s="84">
        <f t="shared" si="60"/>
        <v>0.12366868853829985</v>
      </c>
      <c r="X71" s="84">
        <f t="shared" si="60"/>
        <v>0.12285214632856836</v>
      </c>
      <c r="Y71" s="84">
        <f t="shared" si="60"/>
        <v>0.13098929996372863</v>
      </c>
    </row>
    <row r="72" spans="1:25" x14ac:dyDescent="0.25">
      <c r="A72" s="64" t="s">
        <v>154</v>
      </c>
      <c r="B72" s="65"/>
      <c r="C72" s="65"/>
      <c r="D72" s="83">
        <f t="shared" si="46"/>
        <v>1.4332585045760659E-2</v>
      </c>
      <c r="E72" s="83">
        <f t="shared" ref="E72:S72" si="61">E30/E$23</f>
        <v>1.5783314781516681E-2</v>
      </c>
      <c r="F72" s="83">
        <f t="shared" si="61"/>
        <v>1.5923742354950685E-2</v>
      </c>
      <c r="G72" s="83">
        <f t="shared" si="61"/>
        <v>1.6804294333476362E-2</v>
      </c>
      <c r="H72" s="83">
        <f t="shared" si="61"/>
        <v>1.5030297099144503E-2</v>
      </c>
      <c r="I72" s="83">
        <f t="shared" si="61"/>
        <v>1.2938284383490749E-2</v>
      </c>
      <c r="J72" s="83">
        <f t="shared" si="61"/>
        <v>1.2290337154797538E-2</v>
      </c>
      <c r="K72" s="83">
        <f t="shared" si="61"/>
        <v>1.3441249687183066E-2</v>
      </c>
      <c r="L72" s="83">
        <f t="shared" si="61"/>
        <v>1.1092498400998995E-2</v>
      </c>
      <c r="M72" s="83">
        <f t="shared" si="61"/>
        <v>1.4427966746855871E-2</v>
      </c>
      <c r="N72" s="83">
        <f t="shared" si="61"/>
        <v>1.4952944261530841E-2</v>
      </c>
      <c r="O72" s="83">
        <f t="shared" si="61"/>
        <v>1.3054490030653123E-2</v>
      </c>
      <c r="P72" s="83">
        <f t="shared" si="61"/>
        <v>1.7086949733721137E-2</v>
      </c>
      <c r="Q72" s="83">
        <f t="shared" si="61"/>
        <v>1.8786866029006474E-2</v>
      </c>
      <c r="R72" s="83">
        <f t="shared" si="61"/>
        <v>1.465789542381288E-2</v>
      </c>
      <c r="S72" s="83">
        <f t="shared" si="61"/>
        <v>1.7314777695053737E-2</v>
      </c>
      <c r="T72" s="83">
        <f t="shared" ref="T72:Y72" si="62">T30/T$23</f>
        <v>1.6622112756435284E-2</v>
      </c>
      <c r="U72" s="83">
        <f t="shared" si="62"/>
        <v>1.2632112961866917E-2</v>
      </c>
      <c r="V72" s="83">
        <f t="shared" si="62"/>
        <v>1.1708721727301117E-2</v>
      </c>
      <c r="W72" s="83">
        <f t="shared" si="62"/>
        <v>1.270679909679895E-2</v>
      </c>
      <c r="X72" s="83">
        <f t="shared" si="62"/>
        <v>1.1163755414116357E-2</v>
      </c>
      <c r="Y72" s="83">
        <f t="shared" si="62"/>
        <v>1.0350924918389555E-2</v>
      </c>
    </row>
    <row r="73" spans="1:25" x14ac:dyDescent="0.25">
      <c r="A73" s="64" t="s">
        <v>37</v>
      </c>
      <c r="B73" s="65"/>
      <c r="C73" s="65"/>
      <c r="D73" s="83">
        <f t="shared" si="46"/>
        <v>8.2399666825804727E-2</v>
      </c>
      <c r="E73" s="83">
        <f t="shared" ref="E73:S73" si="63">E31/E$23</f>
        <v>8.295991856228177E-2</v>
      </c>
      <c r="F73" s="83">
        <f t="shared" si="63"/>
        <v>8.8902969860598369E-2</v>
      </c>
      <c r="G73" s="83">
        <f t="shared" si="63"/>
        <v>9.4713521370964199E-2</v>
      </c>
      <c r="H73" s="83">
        <f t="shared" si="63"/>
        <v>9.8386057625653459E-2</v>
      </c>
      <c r="I73" s="83">
        <f t="shared" si="63"/>
        <v>0.10351388582344569</v>
      </c>
      <c r="J73" s="83">
        <f t="shared" si="63"/>
        <v>0.11100129892133055</v>
      </c>
      <c r="K73" s="83">
        <f t="shared" si="63"/>
        <v>0.11978583564927624</v>
      </c>
      <c r="L73" s="83">
        <f t="shared" si="63"/>
        <v>0.1227240885694271</v>
      </c>
      <c r="M73" s="83">
        <f t="shared" si="63"/>
        <v>9.6476750205548273E-2</v>
      </c>
      <c r="N73" s="83">
        <f t="shared" si="63"/>
        <v>8.2899682410186193E-2</v>
      </c>
      <c r="O73" s="83">
        <f t="shared" si="63"/>
        <v>6.9861919304667119E-2</v>
      </c>
      <c r="P73" s="83">
        <f t="shared" si="63"/>
        <v>5.9564355061611306E-2</v>
      </c>
      <c r="Q73" s="83">
        <f t="shared" si="63"/>
        <v>4.875356969160359E-2</v>
      </c>
      <c r="R73" s="83">
        <f t="shared" si="63"/>
        <v>4.2642336909703191E-2</v>
      </c>
      <c r="S73" s="83">
        <f t="shared" si="63"/>
        <v>4.039478456751236E-2</v>
      </c>
      <c r="T73" s="83">
        <f t="shared" ref="T73:Y73" si="64">T31/T$23</f>
        <v>4.5607184693479116E-2</v>
      </c>
      <c r="U73" s="83">
        <f t="shared" si="64"/>
        <v>5.1982751331698662E-2</v>
      </c>
      <c r="V73" s="83">
        <f t="shared" si="64"/>
        <v>5.7781377203986871E-2</v>
      </c>
      <c r="W73" s="83">
        <f t="shared" si="64"/>
        <v>6.3937385931512172E-2</v>
      </c>
      <c r="X73" s="83">
        <f t="shared" si="64"/>
        <v>6.2041198121072873E-2</v>
      </c>
      <c r="Y73" s="83">
        <f t="shared" si="64"/>
        <v>5.676006528835692E-2</v>
      </c>
    </row>
    <row r="74" spans="1:25" x14ac:dyDescent="0.25">
      <c r="A74" s="64" t="s">
        <v>58</v>
      </c>
      <c r="B74" s="65"/>
      <c r="C74" s="65"/>
      <c r="D74" s="83">
        <f t="shared" si="46"/>
        <v>8.7468384003575511E-2</v>
      </c>
      <c r="E74" s="83">
        <f t="shared" ref="E74:S74" si="65">E32/E$23</f>
        <v>8.334998239955857E-2</v>
      </c>
      <c r="F74" s="83">
        <f t="shared" si="65"/>
        <v>8.3843003287600776E-2</v>
      </c>
      <c r="G74" s="83">
        <f t="shared" si="65"/>
        <v>8.081648379554629E-2</v>
      </c>
      <c r="H74" s="83">
        <f t="shared" si="65"/>
        <v>8.0664497345435862E-2</v>
      </c>
      <c r="I74" s="83">
        <f t="shared" si="65"/>
        <v>7.7104564170085182E-2</v>
      </c>
      <c r="J74" s="83">
        <f t="shared" si="65"/>
        <v>6.9668775060710439E-2</v>
      </c>
      <c r="K74" s="83">
        <f t="shared" si="65"/>
        <v>6.5836439550597314E-2</v>
      </c>
      <c r="L74" s="83">
        <f t="shared" si="65"/>
        <v>6.2644290804982794E-2</v>
      </c>
      <c r="M74" s="83">
        <f t="shared" si="65"/>
        <v>6.0214988276135063E-2</v>
      </c>
      <c r="N74" s="83">
        <f t="shared" si="65"/>
        <v>5.6303720754057283E-2</v>
      </c>
      <c r="O74" s="83">
        <f t="shared" si="65"/>
        <v>5.0699469094741378E-2</v>
      </c>
      <c r="P74" s="83">
        <f t="shared" si="65"/>
        <v>4.5651935075373386E-2</v>
      </c>
      <c r="Q74" s="83">
        <f t="shared" si="65"/>
        <v>4.1901008866552777E-2</v>
      </c>
      <c r="R74" s="83">
        <f t="shared" si="65"/>
        <v>4.4136841830474831E-2</v>
      </c>
      <c r="S74" s="83">
        <f t="shared" si="65"/>
        <v>4.5434587557031857E-2</v>
      </c>
      <c r="T74" s="83">
        <f t="shared" ref="T74:Y74" si="66">T32/T$23</f>
        <v>4.8436608296038207E-2</v>
      </c>
      <c r="U74" s="83">
        <f t="shared" si="66"/>
        <v>5.0877934669259592E-2</v>
      </c>
      <c r="V74" s="83">
        <f t="shared" si="66"/>
        <v>5.5388817429692087E-2</v>
      </c>
      <c r="W74" s="83">
        <f t="shared" si="66"/>
        <v>5.6026997643609446E-2</v>
      </c>
      <c r="X74" s="83">
        <f t="shared" si="66"/>
        <v>5.8945238627813833E-2</v>
      </c>
      <c r="Y74" s="83">
        <f t="shared" si="66"/>
        <v>5.3255350018135653E-2</v>
      </c>
    </row>
    <row r="75" spans="1:25" x14ac:dyDescent="0.25">
      <c r="A75" s="85" t="s">
        <v>158</v>
      </c>
      <c r="B75" s="86"/>
      <c r="C75" s="86"/>
      <c r="D75" s="87">
        <f t="shared" si="46"/>
        <v>0</v>
      </c>
      <c r="E75" s="87">
        <f t="shared" ref="E75:S75" si="67">E33/E$23</f>
        <v>0</v>
      </c>
      <c r="F75" s="87">
        <f t="shared" si="67"/>
        <v>0</v>
      </c>
      <c r="G75" s="87">
        <f t="shared" si="67"/>
        <v>0</v>
      </c>
      <c r="H75" s="87">
        <f t="shared" si="67"/>
        <v>0</v>
      </c>
      <c r="I75" s="87">
        <f t="shared" si="67"/>
        <v>0</v>
      </c>
      <c r="J75" s="87">
        <f t="shared" si="67"/>
        <v>0</v>
      </c>
      <c r="K75" s="87">
        <f t="shared" si="67"/>
        <v>0</v>
      </c>
      <c r="L75" s="87">
        <f t="shared" si="67"/>
        <v>0</v>
      </c>
      <c r="M75" s="87">
        <f t="shared" si="67"/>
        <v>0</v>
      </c>
      <c r="N75" s="87">
        <f t="shared" si="67"/>
        <v>0</v>
      </c>
      <c r="O75" s="87">
        <f t="shared" si="67"/>
        <v>0</v>
      </c>
      <c r="P75" s="87">
        <f t="shared" si="67"/>
        <v>0</v>
      </c>
      <c r="Q75" s="87">
        <f t="shared" si="67"/>
        <v>0</v>
      </c>
      <c r="R75" s="87">
        <f t="shared" si="67"/>
        <v>0</v>
      </c>
      <c r="S75" s="87">
        <f t="shared" si="67"/>
        <v>0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5.7899174174936762E-3</v>
      </c>
      <c r="E78" s="89">
        <f t="shared" ref="E78:S78" si="73">E43/E$23</f>
        <v>5.3086736878157383E-3</v>
      </c>
      <c r="F78" s="89">
        <f t="shared" si="73"/>
        <v>5.133432512351461E-3</v>
      </c>
      <c r="G78" s="89">
        <f t="shared" si="73"/>
        <v>4.7899682128252057E-3</v>
      </c>
      <c r="H78" s="89">
        <f t="shared" si="73"/>
        <v>4.9910698994446202E-3</v>
      </c>
      <c r="I78" s="89">
        <f t="shared" si="73"/>
        <v>4.794775977411278E-3</v>
      </c>
      <c r="J78" s="89">
        <f t="shared" si="73"/>
        <v>4.758005308635003E-3</v>
      </c>
      <c r="K78" s="89">
        <f t="shared" si="73"/>
        <v>4.3860226808740436E-3</v>
      </c>
      <c r="L78" s="89">
        <f t="shared" si="73"/>
        <v>4.1726311942253229E-3</v>
      </c>
      <c r="M78" s="89">
        <f t="shared" si="73"/>
        <v>4.2327720088918665E-3</v>
      </c>
      <c r="N78" s="89">
        <f t="shared" si="73"/>
        <v>4.9066169400658489E-3</v>
      </c>
      <c r="O78" s="89">
        <f t="shared" si="73"/>
        <v>4.6177992078916211E-3</v>
      </c>
      <c r="P78" s="89">
        <f t="shared" si="73"/>
        <v>4.7473386569830975E-3</v>
      </c>
      <c r="Q78" s="89">
        <f t="shared" si="73"/>
        <v>5.3997431069099256E-3</v>
      </c>
      <c r="R78" s="89">
        <f t="shared" si="73"/>
        <v>5.9584410160022968E-3</v>
      </c>
      <c r="S78" s="89">
        <f t="shared" si="73"/>
        <v>6.8597318468459866E-3</v>
      </c>
      <c r="T78" s="89">
        <f t="shared" ref="T78:Y78" si="74">T43/T$23</f>
        <v>7.2748025110383561E-3</v>
      </c>
      <c r="U78" s="89">
        <f t="shared" si="74"/>
        <v>8.3763140835940355E-3</v>
      </c>
      <c r="V78" s="89">
        <f t="shared" si="74"/>
        <v>8.7603682001280957E-3</v>
      </c>
      <c r="W78" s="89">
        <f t="shared" si="74"/>
        <v>9.0123329250234897E-3</v>
      </c>
      <c r="X78" s="89">
        <f t="shared" si="74"/>
        <v>1.1677206824328447E-2</v>
      </c>
      <c r="Y78" s="89">
        <f t="shared" si="74"/>
        <v>8.5645629307217995E-3</v>
      </c>
    </row>
    <row r="79" spans="1:25" x14ac:dyDescent="0.25">
      <c r="A79" s="88" t="s">
        <v>272</v>
      </c>
      <c r="B79" s="44"/>
      <c r="C79" s="44"/>
      <c r="D79" s="89">
        <f>D44/D$23</f>
        <v>2.9355897081678461E-3</v>
      </c>
      <c r="E79" s="89">
        <f t="shared" ref="E79:S79" si="75">E44/E$23</f>
        <v>2.4926030577199342E-3</v>
      </c>
      <c r="F79" s="89">
        <f t="shared" si="75"/>
        <v>2.3876430290006795E-3</v>
      </c>
      <c r="G79" s="89">
        <f t="shared" si="75"/>
        <v>2.1979561634718949E-3</v>
      </c>
      <c r="H79" s="89">
        <f t="shared" si="75"/>
        <v>2.3161174043174384E-3</v>
      </c>
      <c r="I79" s="89">
        <f t="shared" si="75"/>
        <v>1.7504737695311014E-3</v>
      </c>
      <c r="J79" s="89">
        <f t="shared" si="75"/>
        <v>1.8213136047890667E-3</v>
      </c>
      <c r="K79" s="89">
        <f t="shared" si="75"/>
        <v>1.7320179655703804E-3</v>
      </c>
      <c r="L79" s="89">
        <f t="shared" si="75"/>
        <v>1.4436694788779582E-3</v>
      </c>
      <c r="M79" s="89">
        <f t="shared" si="75"/>
        <v>1.4494960260665671E-3</v>
      </c>
      <c r="N79" s="89">
        <f t="shared" si="75"/>
        <v>1.6841001136330528E-3</v>
      </c>
      <c r="O79" s="89">
        <f t="shared" si="75"/>
        <v>1.3825067567184732E-3</v>
      </c>
      <c r="P79" s="89">
        <f t="shared" si="75"/>
        <v>1.2085186106083647E-3</v>
      </c>
      <c r="Q79" s="89">
        <f t="shared" si="75"/>
        <v>1.1597600668420858E-3</v>
      </c>
      <c r="R79" s="89">
        <f t="shared" si="75"/>
        <v>1.1290364685305559E-3</v>
      </c>
      <c r="S79" s="89">
        <f t="shared" si="75"/>
        <v>1.228133809314727E-3</v>
      </c>
      <c r="T79" s="89">
        <f t="shared" ref="T79:Y79" si="76">T44/T$23</f>
        <v>1.2975700597723245E-3</v>
      </c>
      <c r="U79" s="89">
        <f t="shared" si="76"/>
        <v>1.3133789915729546E-3</v>
      </c>
      <c r="V79" s="89">
        <f t="shared" si="76"/>
        <v>1.4397704836464304E-3</v>
      </c>
      <c r="W79" s="89">
        <f t="shared" si="76"/>
        <v>1.362672609296674E-3</v>
      </c>
      <c r="X79" s="89">
        <f t="shared" si="76"/>
        <v>1.4946011346767798E-3</v>
      </c>
      <c r="Y79" s="89">
        <f t="shared" si="76"/>
        <v>1.3103010518679726E-3</v>
      </c>
    </row>
    <row r="80" spans="1:25" x14ac:dyDescent="0.25">
      <c r="A80" s="88" t="s">
        <v>11</v>
      </c>
      <c r="B80" s="44"/>
      <c r="C80" s="44"/>
      <c r="D80" s="89">
        <f>D47/D$23</f>
        <v>2.8543277093258297E-3</v>
      </c>
      <c r="E80" s="89">
        <f t="shared" ref="E80:S80" si="77">E47/E$23</f>
        <v>2.816070630095804E-3</v>
      </c>
      <c r="F80" s="89">
        <f t="shared" si="77"/>
        <v>2.7457894833507815E-3</v>
      </c>
      <c r="G80" s="89">
        <f t="shared" si="77"/>
        <v>2.5920120493533104E-3</v>
      </c>
      <c r="H80" s="89">
        <f t="shared" si="77"/>
        <v>2.6749524951271818E-3</v>
      </c>
      <c r="I80" s="89">
        <f t="shared" si="77"/>
        <v>3.0443022078801762E-3</v>
      </c>
      <c r="J80" s="89">
        <f t="shared" si="77"/>
        <v>2.9366917038459368E-3</v>
      </c>
      <c r="K80" s="89">
        <f t="shared" si="77"/>
        <v>2.6540047153036628E-3</v>
      </c>
      <c r="L80" s="89">
        <f t="shared" si="77"/>
        <v>2.7289617153473636E-3</v>
      </c>
      <c r="M80" s="89">
        <f t="shared" si="77"/>
        <v>2.783275982825299E-3</v>
      </c>
      <c r="N80" s="89">
        <f t="shared" si="77"/>
        <v>3.2225168264327963E-3</v>
      </c>
      <c r="O80" s="89">
        <f t="shared" si="77"/>
        <v>3.2352924511731482E-3</v>
      </c>
      <c r="P80" s="89">
        <f t="shared" si="77"/>
        <v>3.5388200463747329E-3</v>
      </c>
      <c r="Q80" s="89">
        <f t="shared" si="77"/>
        <v>4.2399830400678398E-3</v>
      </c>
      <c r="R80" s="89">
        <f t="shared" si="77"/>
        <v>4.8294045474717414E-3</v>
      </c>
      <c r="S80" s="89">
        <f t="shared" si="77"/>
        <v>5.63159803753126E-3</v>
      </c>
      <c r="T80" s="89">
        <f t="shared" ref="T80:Y80" si="78">T47/T$23</f>
        <v>5.9772324512660313E-3</v>
      </c>
      <c r="U80" s="89">
        <f t="shared" si="78"/>
        <v>7.0629350920210819E-3</v>
      </c>
      <c r="V80" s="89">
        <f t="shared" si="78"/>
        <v>7.3205977164816664E-3</v>
      </c>
      <c r="W80" s="89">
        <f t="shared" si="78"/>
        <v>7.6496603157268162E-3</v>
      </c>
      <c r="X80" s="89">
        <f t="shared" si="78"/>
        <v>1.0182605689651666E-2</v>
      </c>
      <c r="Y80" s="89">
        <f t="shared" si="78"/>
        <v>7.2542618788538271E-3</v>
      </c>
    </row>
    <row r="81" spans="1:25" x14ac:dyDescent="0.25">
      <c r="A81" s="68" t="s">
        <v>4</v>
      </c>
      <c r="B81" s="44"/>
      <c r="C81" s="44"/>
      <c r="D81" s="89">
        <f>D48/D$23</f>
        <v>1.0503113350330632E-2</v>
      </c>
      <c r="E81" s="89">
        <f t="shared" ref="E81:S81" si="79">E48/E$23</f>
        <v>1.017971477771118E-2</v>
      </c>
      <c r="F81" s="89">
        <f t="shared" si="79"/>
        <v>1.1111723327272394E-2</v>
      </c>
      <c r="G81" s="89">
        <f t="shared" si="79"/>
        <v>1.1322539120992669E-2</v>
      </c>
      <c r="H81" s="89">
        <f t="shared" si="79"/>
        <v>1.2135150343747705E-2</v>
      </c>
      <c r="I81" s="89">
        <f t="shared" si="79"/>
        <v>1.2306591675355612E-2</v>
      </c>
      <c r="J81" s="89">
        <f t="shared" si="79"/>
        <v>1.2311515219969505E-2</v>
      </c>
      <c r="K81" s="89">
        <f t="shared" si="79"/>
        <v>1.1827772875149821E-2</v>
      </c>
      <c r="L81" s="89">
        <f t="shared" si="79"/>
        <v>1.106813267139768E-2</v>
      </c>
      <c r="M81" s="89">
        <f t="shared" si="79"/>
        <v>9.3547306556228862E-3</v>
      </c>
      <c r="N81" s="89">
        <f t="shared" si="79"/>
        <v>8.1699251187319719E-3</v>
      </c>
      <c r="O81" s="89">
        <f t="shared" si="79"/>
        <v>7.3318186196463303E-3</v>
      </c>
      <c r="P81" s="89">
        <f t="shared" si="79"/>
        <v>5.3602715408323162E-3</v>
      </c>
      <c r="Q81" s="89">
        <f t="shared" si="79"/>
        <v>3.8908079661799E-3</v>
      </c>
      <c r="R81" s="89">
        <f t="shared" si="79"/>
        <v>4.6988801002427749E-3</v>
      </c>
      <c r="S81" s="89">
        <f t="shared" si="79"/>
        <v>5.4534231843664299E-3</v>
      </c>
      <c r="T81" s="89">
        <f t="shared" ref="T81:Y81" si="80">T48/T$23</f>
        <v>6.2055086654852357E-3</v>
      </c>
      <c r="U81" s="89">
        <f t="shared" si="80"/>
        <v>6.1497702995969676E-3</v>
      </c>
      <c r="V81" s="89">
        <f t="shared" si="80"/>
        <v>6.5213133671044215E-3</v>
      </c>
      <c r="W81" s="89">
        <f t="shared" si="80"/>
        <v>6.9117509605120106E-3</v>
      </c>
      <c r="X81" s="89">
        <f t="shared" si="80"/>
        <v>7.6916037985236994E-3</v>
      </c>
      <c r="Y81" s="89">
        <f t="shared" si="80"/>
        <v>6.5016322089227422E-3</v>
      </c>
    </row>
    <row r="82" spans="1:25" x14ac:dyDescent="0.25">
      <c r="A82" s="68" t="s">
        <v>3</v>
      </c>
      <c r="B82" s="44"/>
      <c r="C82" s="44"/>
      <c r="D82" s="89">
        <f>D52/D$23</f>
        <v>5.4039229229940963E-3</v>
      </c>
      <c r="E82" s="89">
        <f t="shared" ref="E82:S82" si="81">E52/E$23</f>
        <v>5.4418662176175655E-3</v>
      </c>
      <c r="F82" s="89">
        <f t="shared" si="81"/>
        <v>5.4364795121861634E-3</v>
      </c>
      <c r="G82" s="89">
        <f t="shared" si="81"/>
        <v>5.0351585418180866E-3</v>
      </c>
      <c r="H82" s="89">
        <f t="shared" si="81"/>
        <v>4.8198076970126982E-3</v>
      </c>
      <c r="I82" s="89">
        <f t="shared" si="81"/>
        <v>4.4370704679853566E-3</v>
      </c>
      <c r="J82" s="89">
        <f t="shared" si="81"/>
        <v>4.2073756141638901E-3</v>
      </c>
      <c r="K82" s="89">
        <f t="shared" si="81"/>
        <v>4.1357691345178665E-3</v>
      </c>
      <c r="L82" s="89">
        <f t="shared" si="81"/>
        <v>4.1056254378217033E-3</v>
      </c>
      <c r="M82" s="89">
        <f t="shared" si="81"/>
        <v>3.5871981485428904E-3</v>
      </c>
      <c r="N82" s="89">
        <f t="shared" si="81"/>
        <v>3.4556102677660919E-3</v>
      </c>
      <c r="O82" s="89">
        <f t="shared" si="81"/>
        <v>3.1729663268948564E-3</v>
      </c>
      <c r="P82" s="89">
        <f t="shared" si="81"/>
        <v>2.7639803630181733E-3</v>
      </c>
      <c r="Q82" s="89">
        <f t="shared" si="81"/>
        <v>2.4878724014515707E-3</v>
      </c>
      <c r="R82" s="89">
        <f t="shared" si="81"/>
        <v>2.5452267209648363E-3</v>
      </c>
      <c r="S82" s="89">
        <f t="shared" si="81"/>
        <v>2.3417266415949193E-3</v>
      </c>
      <c r="T82" s="89">
        <f t="shared" ref="T82:Y82" si="82">T52/T$23</f>
        <v>2.5050310876160151E-3</v>
      </c>
      <c r="U82" s="89">
        <f t="shared" si="82"/>
        <v>2.4294692934246497E-3</v>
      </c>
      <c r="V82" s="89">
        <f t="shared" si="82"/>
        <v>2.2866942975560954E-3</v>
      </c>
      <c r="W82" s="89">
        <f t="shared" si="82"/>
        <v>2.2432444398530088E-3</v>
      </c>
      <c r="X82" s="89">
        <f t="shared" si="82"/>
        <v>1.9267137076275495E-3</v>
      </c>
      <c r="Y82" s="89">
        <f t="shared" si="82"/>
        <v>1.7183532825535003E-3</v>
      </c>
    </row>
    <row r="83" spans="1:25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83">E53/E$23</f>
        <v>0</v>
      </c>
      <c r="F83" s="89">
        <f t="shared" si="83"/>
        <v>0</v>
      </c>
      <c r="G83" s="89">
        <f t="shared" si="83"/>
        <v>0</v>
      </c>
      <c r="H83" s="89">
        <f t="shared" si="83"/>
        <v>0</v>
      </c>
      <c r="I83" s="89">
        <f t="shared" si="83"/>
        <v>0</v>
      </c>
      <c r="J83" s="89">
        <f t="shared" si="83"/>
        <v>0</v>
      </c>
      <c r="K83" s="89">
        <f t="shared" si="83"/>
        <v>0</v>
      </c>
      <c r="L83" s="89">
        <f t="shared" si="83"/>
        <v>0</v>
      </c>
      <c r="M83" s="89">
        <f t="shared" si="83"/>
        <v>0</v>
      </c>
      <c r="N83" s="89">
        <f t="shared" si="83"/>
        <v>0</v>
      </c>
      <c r="O83" s="89">
        <f t="shared" si="83"/>
        <v>0</v>
      </c>
      <c r="P83" s="89">
        <f t="shared" si="83"/>
        <v>0</v>
      </c>
      <c r="Q83" s="89">
        <f t="shared" si="83"/>
        <v>0</v>
      </c>
      <c r="R83" s="89">
        <f t="shared" si="83"/>
        <v>0</v>
      </c>
      <c r="S83" s="89">
        <f t="shared" si="83"/>
        <v>0</v>
      </c>
      <c r="T83" s="89">
        <f t="shared" ref="T83:Y83" si="84">T53/T$23</f>
        <v>0</v>
      </c>
      <c r="U83" s="89">
        <f t="shared" si="84"/>
        <v>0</v>
      </c>
      <c r="V83" s="89">
        <f t="shared" si="84"/>
        <v>0</v>
      </c>
      <c r="W83" s="89">
        <f t="shared" si="84"/>
        <v>0</v>
      </c>
      <c r="X83" s="89">
        <f t="shared" si="84"/>
        <v>0</v>
      </c>
      <c r="Y83" s="89">
        <f t="shared" si="84"/>
        <v>0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5.4039229229940963E-3</v>
      </c>
      <c r="E84" s="89">
        <f t="shared" ref="E84:S84" si="86">E56/E$23</f>
        <v>5.4418662176175655E-3</v>
      </c>
      <c r="F84" s="89">
        <f t="shared" si="86"/>
        <v>5.4364795121861634E-3</v>
      </c>
      <c r="G84" s="89">
        <f t="shared" si="86"/>
        <v>5.0351585418180866E-3</v>
      </c>
      <c r="H84" s="89">
        <f t="shared" si="86"/>
        <v>4.8198076970126982E-3</v>
      </c>
      <c r="I84" s="89">
        <f t="shared" si="86"/>
        <v>4.4370704679853566E-3</v>
      </c>
      <c r="J84" s="89">
        <f t="shared" si="86"/>
        <v>4.2073756141638901E-3</v>
      </c>
      <c r="K84" s="89">
        <f t="shared" si="86"/>
        <v>4.1357691345178665E-3</v>
      </c>
      <c r="L84" s="89">
        <f t="shared" si="86"/>
        <v>4.1056254378217033E-3</v>
      </c>
      <c r="M84" s="89">
        <f t="shared" si="86"/>
        <v>3.5871981485428904E-3</v>
      </c>
      <c r="N84" s="89">
        <f t="shared" si="86"/>
        <v>3.4556102677660919E-3</v>
      </c>
      <c r="O84" s="89">
        <f t="shared" si="86"/>
        <v>3.1729663268948564E-3</v>
      </c>
      <c r="P84" s="89">
        <f t="shared" si="86"/>
        <v>2.7639803630181733E-3</v>
      </c>
      <c r="Q84" s="89">
        <f t="shared" si="86"/>
        <v>2.4878724014515707E-3</v>
      </c>
      <c r="R84" s="89">
        <f t="shared" si="86"/>
        <v>2.5452267209648363E-3</v>
      </c>
      <c r="S84" s="89">
        <f t="shared" si="86"/>
        <v>2.3417266415949193E-3</v>
      </c>
      <c r="T84" s="89">
        <f t="shared" ref="T84:Y84" si="87">T56/T$23</f>
        <v>2.5050310876160151E-3</v>
      </c>
      <c r="U84" s="89">
        <f t="shared" si="87"/>
        <v>2.4294692934246497E-3</v>
      </c>
      <c r="V84" s="89">
        <f t="shared" si="87"/>
        <v>2.2866942975560954E-3</v>
      </c>
      <c r="W84" s="89">
        <f t="shared" si="87"/>
        <v>2.2432444398530088E-3</v>
      </c>
      <c r="X84" s="89">
        <f t="shared" si="87"/>
        <v>1.9267137076275495E-3</v>
      </c>
      <c r="Y84" s="89">
        <f t="shared" si="87"/>
        <v>1.7183532825535003E-3</v>
      </c>
    </row>
    <row r="85" spans="1:25" x14ac:dyDescent="0.25">
      <c r="A85" s="68" t="s">
        <v>2</v>
      </c>
      <c r="B85" s="44"/>
      <c r="C85" s="44"/>
      <c r="D85" s="89">
        <f t="shared" si="85"/>
        <v>3.3693256269871089E-2</v>
      </c>
      <c r="E85" s="89">
        <f t="shared" ref="E85:S85" si="88">E57/E$23</f>
        <v>3.3383756219615458E-2</v>
      </c>
      <c r="F85" s="89">
        <f t="shared" si="88"/>
        <v>3.365658346649035E-2</v>
      </c>
      <c r="G85" s="89">
        <f t="shared" si="88"/>
        <v>3.2400150616916382E-2</v>
      </c>
      <c r="H85" s="89">
        <f t="shared" si="88"/>
        <v>3.1732439507743494E-2</v>
      </c>
      <c r="I85" s="89">
        <f t="shared" si="88"/>
        <v>2.9993987503139436E-2</v>
      </c>
      <c r="J85" s="89">
        <f t="shared" si="88"/>
        <v>2.2851132320551196E-2</v>
      </c>
      <c r="K85" s="89">
        <f t="shared" si="88"/>
        <v>1.9868814456752235E-2</v>
      </c>
      <c r="L85" s="89">
        <f t="shared" si="88"/>
        <v>1.9334206438644044E-2</v>
      </c>
      <c r="M85" s="89">
        <f t="shared" si="88"/>
        <v>2.1681537196625959E-2</v>
      </c>
      <c r="N85" s="89">
        <f t="shared" si="88"/>
        <v>1.9102007517263486E-2</v>
      </c>
      <c r="O85" s="89">
        <f t="shared" si="88"/>
        <v>1.7253004402490783E-2</v>
      </c>
      <c r="P85" s="89">
        <f t="shared" si="88"/>
        <v>1.6416192992905011E-2</v>
      </c>
      <c r="Q85" s="89">
        <f t="shared" si="88"/>
        <v>1.6024641783785806E-2</v>
      </c>
      <c r="R85" s="89">
        <f t="shared" si="88"/>
        <v>1.6524395019187094E-2</v>
      </c>
      <c r="S85" s="89">
        <f t="shared" si="88"/>
        <v>1.6226638413225664E-2</v>
      </c>
      <c r="T85" s="89">
        <f t="shared" ref="T85:Y85" si="89">T57/T$23</f>
        <v>1.818400264319827E-2</v>
      </c>
      <c r="U85" s="89">
        <f t="shared" si="89"/>
        <v>1.8099828076998961E-2</v>
      </c>
      <c r="V85" s="89">
        <f t="shared" si="89"/>
        <v>1.9214584028075521E-2</v>
      </c>
      <c r="W85" s="89">
        <f t="shared" si="89"/>
        <v>1.8944592846214772E-2</v>
      </c>
      <c r="X85" s="89">
        <f t="shared" si="89"/>
        <v>1.8733350956748072E-2</v>
      </c>
      <c r="Y85" s="89">
        <f t="shared" si="89"/>
        <v>1.7156329343489301E-2</v>
      </c>
    </row>
    <row r="86" spans="1:25" x14ac:dyDescent="0.25">
      <c r="A86" s="68" t="s">
        <v>275</v>
      </c>
      <c r="B86" s="44"/>
      <c r="C86" s="44"/>
      <c r="D86" s="89">
        <f t="shared" si="85"/>
        <v>6.7041149044663609E-4</v>
      </c>
      <c r="E86" s="89">
        <f t="shared" ref="E86:S86" si="90">E58/E$23</f>
        <v>6.9450390539524897E-4</v>
      </c>
      <c r="F86" s="89">
        <f t="shared" si="90"/>
        <v>7.1629290870020383E-4</v>
      </c>
      <c r="G86" s="89">
        <f t="shared" si="90"/>
        <v>6.1297582248220179E-4</v>
      </c>
      <c r="H86" s="89">
        <f t="shared" si="90"/>
        <v>5.3825263621461595E-4</v>
      </c>
      <c r="I86" s="89">
        <f t="shared" si="90"/>
        <v>4.8708835326082819E-4</v>
      </c>
      <c r="J86" s="89">
        <f t="shared" si="90"/>
        <v>4.8003614389789353E-4</v>
      </c>
      <c r="K86" s="89">
        <f t="shared" si="90"/>
        <v>5.1367833199425733E-4</v>
      </c>
      <c r="L86" s="89">
        <f t="shared" si="90"/>
        <v>4.264002680230256E-4</v>
      </c>
      <c r="M86" s="89">
        <f t="shared" si="90"/>
        <v>4.5068363835683176E-4</v>
      </c>
      <c r="N86" s="89">
        <f t="shared" si="90"/>
        <v>3.671221700999388E-4</v>
      </c>
      <c r="O86" s="89">
        <f t="shared" si="90"/>
        <v>3.0029859879540606E-4</v>
      </c>
      <c r="P86" s="89">
        <f t="shared" si="90"/>
        <v>1.7925395659741292E-4</v>
      </c>
      <c r="Q86" s="89">
        <f t="shared" si="90"/>
        <v>1.8082280612054024E-4</v>
      </c>
      <c r="R86" s="89">
        <f t="shared" si="90"/>
        <v>2.0231289320489726E-4</v>
      </c>
      <c r="S86" s="89">
        <f t="shared" si="90"/>
        <v>2.799890549733056E-4</v>
      </c>
      <c r="T86" s="89">
        <f t="shared" ref="T86:Y86" si="91">T58/T$23</f>
        <v>3.2439251494308113E-4</v>
      </c>
      <c r="U86" s="89">
        <f t="shared" si="91"/>
        <v>3.2129872326033652E-4</v>
      </c>
      <c r="V86" s="89">
        <f t="shared" si="91"/>
        <v>3.3876952556386597E-4</v>
      </c>
      <c r="W86" s="89">
        <f t="shared" si="91"/>
        <v>3.2468011629451437E-4</v>
      </c>
      <c r="X86" s="89">
        <f t="shared" si="91"/>
        <v>3.3552270370295056E-4</v>
      </c>
      <c r="Y86" s="89">
        <f t="shared" si="91"/>
        <v>3.6271309394269138E-4</v>
      </c>
    </row>
    <row r="87" spans="1:25" x14ac:dyDescent="0.25">
      <c r="A87" s="68" t="s">
        <v>276</v>
      </c>
      <c r="B87" s="44"/>
      <c r="C87" s="44"/>
      <c r="D87" s="89">
        <f t="shared" si="85"/>
        <v>1.0919581094395968E-2</v>
      </c>
      <c r="E87" s="89">
        <f t="shared" ref="E87:S87" si="92">E59/E$23</f>
        <v>1.02653385468695E-2</v>
      </c>
      <c r="F87" s="89">
        <f t="shared" si="92"/>
        <v>1.0349514206476021E-2</v>
      </c>
      <c r="G87" s="89">
        <f t="shared" si="92"/>
        <v>1.0884699247791096E-2</v>
      </c>
      <c r="H87" s="89">
        <f t="shared" si="92"/>
        <v>1.1588742364560142E-2</v>
      </c>
      <c r="I87" s="89">
        <f t="shared" si="92"/>
        <v>1.1370468746432459E-2</v>
      </c>
      <c r="J87" s="89">
        <f t="shared" si="92"/>
        <v>1.1909131981702152E-2</v>
      </c>
      <c r="K87" s="89">
        <f t="shared" si="92"/>
        <v>1.2361208066066933E-2</v>
      </c>
      <c r="L87" s="89">
        <f t="shared" si="92"/>
        <v>1.1774738829835835E-2</v>
      </c>
      <c r="M87" s="89">
        <f t="shared" si="92"/>
        <v>1.0085568988093426E-2</v>
      </c>
      <c r="N87" s="89">
        <f t="shared" si="92"/>
        <v>1.0331866787098276E-2</v>
      </c>
      <c r="O87" s="89">
        <f t="shared" si="92"/>
        <v>9.5472290371747016E-3</v>
      </c>
      <c r="P87" s="89">
        <f t="shared" si="92"/>
        <v>9.0552160010176994E-3</v>
      </c>
      <c r="Q87" s="89">
        <f t="shared" si="92"/>
        <v>7.9187918542443485E-3</v>
      </c>
      <c r="R87" s="89">
        <f t="shared" si="92"/>
        <v>8.2165139530634076E-3</v>
      </c>
      <c r="S87" s="89">
        <f t="shared" si="92"/>
        <v>8.1260459818388916E-3</v>
      </c>
      <c r="T87" s="89">
        <f t="shared" ref="T87:Y87" si="93">T59/T$23</f>
        <v>7.3348751989907798E-3</v>
      </c>
      <c r="U87" s="89">
        <f t="shared" si="93"/>
        <v>8.5172345762520793E-3</v>
      </c>
      <c r="V87" s="89">
        <f t="shared" si="93"/>
        <v>1.0755932436652745E-2</v>
      </c>
      <c r="W87" s="89">
        <f t="shared" si="93"/>
        <v>1.1039123954013488E-2</v>
      </c>
      <c r="X87" s="89">
        <f t="shared" si="93"/>
        <v>1.1367102507269657E-2</v>
      </c>
      <c r="Y87" s="89">
        <f t="shared" si="93"/>
        <v>1.1892455567645994E-2</v>
      </c>
    </row>
    <row r="88" spans="1:25" x14ac:dyDescent="0.25">
      <c r="A88" s="68" t="s">
        <v>1</v>
      </c>
      <c r="B88" s="44"/>
      <c r="C88" s="44"/>
      <c r="D88" s="89">
        <f t="shared" si="85"/>
        <v>6.7447459038873702E-3</v>
      </c>
      <c r="E88" s="89">
        <f t="shared" ref="E88:S88" si="94">E60/E$23</f>
        <v>5.6226275080629049E-3</v>
      </c>
      <c r="F88" s="89">
        <f t="shared" si="94"/>
        <v>5.069149815416828E-3</v>
      </c>
      <c r="G88" s="89">
        <f t="shared" si="94"/>
        <v>4.0281268334544686E-3</v>
      </c>
      <c r="H88" s="89">
        <f t="shared" si="94"/>
        <v>3.0582536148557726E-3</v>
      </c>
      <c r="I88" s="89">
        <f t="shared" si="94"/>
        <v>2.7550934981315596E-3</v>
      </c>
      <c r="J88" s="89">
        <f t="shared" si="94"/>
        <v>2.513130400406619E-3</v>
      </c>
      <c r="K88" s="89">
        <f t="shared" si="94"/>
        <v>2.2720387761284459E-3</v>
      </c>
      <c r="L88" s="89">
        <f t="shared" si="94"/>
        <v>1.7847896932963788E-3</v>
      </c>
      <c r="M88" s="89">
        <f t="shared" si="94"/>
        <v>1.5286701787508754E-3</v>
      </c>
      <c r="N88" s="89">
        <f t="shared" si="94"/>
        <v>1.2295679030331285E-3</v>
      </c>
      <c r="O88" s="89">
        <f t="shared" si="94"/>
        <v>1.1275362483072792E-3</v>
      </c>
      <c r="P88" s="89">
        <f t="shared" si="94"/>
        <v>8.8470501159368321E-4</v>
      </c>
      <c r="Q88" s="89">
        <f t="shared" si="94"/>
        <v>7.1082068612902027E-4</v>
      </c>
      <c r="R88" s="89">
        <f t="shared" si="94"/>
        <v>7.5704179392800273E-4</v>
      </c>
      <c r="S88" s="89">
        <f t="shared" si="94"/>
        <v>7.9542345162870911E-4</v>
      </c>
      <c r="T88" s="89">
        <f t="shared" ref="T88:Y88" si="95">T60/T$23</f>
        <v>8.1098128735770285E-4</v>
      </c>
      <c r="U88" s="89">
        <f t="shared" si="95"/>
        <v>8.4552295594825396E-4</v>
      </c>
      <c r="V88" s="89">
        <f t="shared" si="95"/>
        <v>9.3690946913756667E-4</v>
      </c>
      <c r="W88" s="89">
        <f t="shared" si="95"/>
        <v>9.1992699616779078E-4</v>
      </c>
      <c r="X88" s="89">
        <f t="shared" si="95"/>
        <v>7.778026313113854E-4</v>
      </c>
      <c r="Y88" s="89">
        <f t="shared" si="95"/>
        <v>7.5716358360536828E-4</v>
      </c>
    </row>
    <row r="89" spans="1:25" x14ac:dyDescent="0.25">
      <c r="A89" s="68" t="s">
        <v>0</v>
      </c>
      <c r="B89" s="44"/>
      <c r="C89" s="44"/>
      <c r="D89" s="89">
        <f t="shared" si="85"/>
        <v>5.5664469206781302E-3</v>
      </c>
      <c r="E89" s="89">
        <f t="shared" ref="E89:S89" si="96">E61/E$23</f>
        <v>5.004233619697273E-3</v>
      </c>
      <c r="F89" s="89">
        <f t="shared" si="96"/>
        <v>5.0783330578360606E-3</v>
      </c>
      <c r="G89" s="89">
        <f t="shared" si="96"/>
        <v>5.3854304403793442E-3</v>
      </c>
      <c r="H89" s="89">
        <f t="shared" si="96"/>
        <v>5.5048565067403908E-3</v>
      </c>
      <c r="I89" s="89">
        <f t="shared" si="96"/>
        <v>5.2438105530736041E-3</v>
      </c>
      <c r="J89" s="89">
        <f t="shared" si="96"/>
        <v>5.139210481730389E-3</v>
      </c>
      <c r="K89" s="89">
        <f t="shared" si="96"/>
        <v>5.2092251359930446E-3</v>
      </c>
      <c r="L89" s="89">
        <f t="shared" si="96"/>
        <v>4.8122315962598602E-3</v>
      </c>
      <c r="M89" s="89">
        <f t="shared" si="96"/>
        <v>4.3728493559487191E-3</v>
      </c>
      <c r="N89" s="89">
        <f t="shared" si="96"/>
        <v>3.8868331342326854E-3</v>
      </c>
      <c r="O89" s="89">
        <f t="shared" si="96"/>
        <v>3.3656107110277586E-3</v>
      </c>
      <c r="P89" s="89">
        <f t="shared" si="96"/>
        <v>2.9663638624023497E-3</v>
      </c>
      <c r="Q89" s="89">
        <f t="shared" si="96"/>
        <v>1.957874521443091E-3</v>
      </c>
      <c r="R89" s="89">
        <f t="shared" si="96"/>
        <v>1.8273422612055238E-3</v>
      </c>
      <c r="S89" s="89">
        <f t="shared" si="96"/>
        <v>2.1190080751388807E-3</v>
      </c>
      <c r="T89" s="89">
        <f t="shared" ref="T89:Y89" si="97">T61/T$23</f>
        <v>2.2166821854443875E-3</v>
      </c>
      <c r="U89" s="89">
        <f t="shared" si="97"/>
        <v>2.5647529663763704E-3</v>
      </c>
      <c r="V89" s="89">
        <f t="shared" si="97"/>
        <v>2.9060073364775376E-3</v>
      </c>
      <c r="W89" s="89">
        <f t="shared" si="97"/>
        <v>3.0598641262907264E-3</v>
      </c>
      <c r="X89" s="89">
        <f t="shared" si="97"/>
        <v>2.8519429814750797E-3</v>
      </c>
      <c r="Y89" s="89">
        <f t="shared" si="97"/>
        <v>2.6523394994559307E-3</v>
      </c>
    </row>
    <row r="90" spans="1:25" x14ac:dyDescent="0.25">
      <c r="A90" s="90" t="s">
        <v>278</v>
      </c>
      <c r="B90" s="47"/>
      <c r="C90" s="47"/>
      <c r="D90" s="91">
        <f t="shared" si="85"/>
        <v>8.1769886334779104E-3</v>
      </c>
      <c r="E90" s="91">
        <f t="shared" ref="E90:S90" si="98">E62/E$23</f>
        <v>7.4492679167736968E-3</v>
      </c>
      <c r="F90" s="91">
        <f t="shared" si="98"/>
        <v>7.2914944808713062E-3</v>
      </c>
      <c r="G90" s="91">
        <f t="shared" si="98"/>
        <v>6.3574349588868349E-3</v>
      </c>
      <c r="H90" s="91">
        <f t="shared" si="98"/>
        <v>6.2959247751164168E-3</v>
      </c>
      <c r="I90" s="91">
        <f t="shared" si="98"/>
        <v>5.7156773952950317E-3</v>
      </c>
      <c r="J90" s="91">
        <f t="shared" si="98"/>
        <v>5.4992375896538099E-3</v>
      </c>
      <c r="K90" s="91">
        <f t="shared" si="98"/>
        <v>5.2619100931206612E-3</v>
      </c>
      <c r="L90" s="91">
        <f t="shared" si="98"/>
        <v>5.1655346754789387E-3</v>
      </c>
      <c r="M90" s="91">
        <f t="shared" si="98"/>
        <v>4.9209781053016228E-3</v>
      </c>
      <c r="N90" s="91">
        <f t="shared" si="98"/>
        <v>4.8541709157658578E-3</v>
      </c>
      <c r="O90" s="91">
        <f t="shared" si="98"/>
        <v>3.9832059425126505E-3</v>
      </c>
      <c r="P90" s="91">
        <f t="shared" si="98"/>
        <v>3.27861269002365E-3</v>
      </c>
      <c r="Q90" s="91">
        <f t="shared" si="98"/>
        <v>3.3296337402885685E-3</v>
      </c>
      <c r="R90" s="91">
        <f t="shared" si="98"/>
        <v>3.4066880726760125E-3</v>
      </c>
      <c r="S90" s="91">
        <f t="shared" si="98"/>
        <v>3.2326009074190734E-3</v>
      </c>
      <c r="T90" s="91">
        <f t="shared" ref="T90:Y90" si="99">T62/T$23</f>
        <v>3.580332201964377E-3</v>
      </c>
      <c r="U90" s="91">
        <f t="shared" si="99"/>
        <v>3.5737436938079537E-3</v>
      </c>
      <c r="V90" s="91">
        <f t="shared" si="99"/>
        <v>3.6682387689962364E-3</v>
      </c>
      <c r="W90" s="91">
        <f t="shared" si="99"/>
        <v>3.5714812792396588E-3</v>
      </c>
      <c r="X90" s="91">
        <f t="shared" si="99"/>
        <v>3.5839925168269717E-3</v>
      </c>
      <c r="Y90" s="91">
        <f t="shared" si="99"/>
        <v>3.6498005077983319E-3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3.9520547435030196E-2</v>
      </c>
      <c r="F93" s="92">
        <f t="shared" ref="F93:F94" si="101">IF(E16=0,"",F16/E16-1)</f>
        <v>3.7231388365475127E-2</v>
      </c>
      <c r="G93" s="92">
        <f t="shared" ref="G93:G94" si="102">IF(F16=0,"",G16/F16-1)</f>
        <v>2.623151331217799E-2</v>
      </c>
      <c r="H93" s="92">
        <f t="shared" ref="H93:H94" si="103">IF(G16=0,"",H16/G16-1)</f>
        <v>5.027100929682482E-2</v>
      </c>
      <c r="I93" s="92">
        <f t="shared" ref="I93:I94" si="104">IF(H16=0,"",I16/H16-1)</f>
        <v>4.8522375043504207E-2</v>
      </c>
      <c r="J93" s="92">
        <f t="shared" ref="J93:J94" si="105">IF(I16=0,"",J16/I16-1)</f>
        <v>4.7136735509213601E-2</v>
      </c>
      <c r="K93" s="92">
        <f t="shared" ref="K93:K94" si="106">IF(J16=0,"",K16/J16-1)</f>
        <v>5.0987541065833364E-2</v>
      </c>
      <c r="L93" s="92">
        <f t="shared" ref="L93:L94" si="107">IF(K16=0,"",L16/K16-1)</f>
        <v>3.646855655610115E-2</v>
      </c>
      <c r="M93" s="92">
        <f t="shared" ref="M93:M94" si="108">IF(L16=0,"",M16/L16-1)</f>
        <v>-2.0153346227737345E-2</v>
      </c>
      <c r="N93" s="92">
        <f t="shared" ref="N93:N94" si="109">IF(M16=0,"",N16/M16-1)</f>
        <v>2.2828441377786834E-2</v>
      </c>
      <c r="O93" s="92">
        <f t="shared" ref="O93:O94" si="110">IF(N16=0,"",O16/N16-1)</f>
        <v>4.1764908273704826E-3</v>
      </c>
      <c r="P93" s="92">
        <f t="shared" ref="P93:P94" si="111">IF(O16=0,"",P16/O16-1)</f>
        <v>-3.4472415833386227E-2</v>
      </c>
      <c r="Q93" s="92">
        <f t="shared" ref="Q93:Q94" si="112">IF(P16=0,"",Q16/P16-1)</f>
        <v>-6.5885296548229833E-2</v>
      </c>
      <c r="R93" s="92">
        <f t="shared" ref="R93:R94" si="113">IF(Q16=0,"",R16/Q16-1)</f>
        <v>-1.775540024954525E-2</v>
      </c>
      <c r="S93" s="92">
        <f t="shared" ref="S93:S94" si="114">IF(R16=0,"",S16/R16-1)</f>
        <v>3.4192230077561891E-2</v>
      </c>
      <c r="T93" s="92">
        <f t="shared" ref="T93:T94" si="115">IF(S16=0,"",T16/S16-1)</f>
        <v>6.573498006982037E-2</v>
      </c>
      <c r="U93" s="92">
        <f t="shared" ref="U93:U94" si="116">IF(T16=0,"",U16/T16-1)</f>
        <v>5.7333609283903186E-2</v>
      </c>
      <c r="V93" s="92">
        <f t="shared" ref="V93:V94" si="117">IF(U16=0,"",V16/U16-1)</f>
        <v>5.6475648429967773E-2</v>
      </c>
      <c r="W93" s="92">
        <f t="shared" ref="W93:W94" si="118">IF(V16=0,"",W16/V16-1)</f>
        <v>5.5374383169429997E-2</v>
      </c>
      <c r="X93" s="92">
        <f t="shared" ref="X93:X94" si="119">IF(W16=0,"",X16/W16-1)</f>
        <v>-3.3908862708993959E-2</v>
      </c>
      <c r="Y93" s="92">
        <f t="shared" ref="Y93:Y94" si="120">IF(X16=0,"",Y16/X16-1)</f>
        <v>9.9105226186552375E-2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5.5421525085651124E-2</v>
      </c>
      <c r="F94" s="93">
        <f t="shared" si="101"/>
        <v>3.0840109565472007E-2</v>
      </c>
      <c r="G94" s="93">
        <f t="shared" si="102"/>
        <v>4.3607252382758421E-2</v>
      </c>
      <c r="H94" s="93">
        <f t="shared" si="103"/>
        <v>7.1925877133384608E-2</v>
      </c>
      <c r="I94" s="93">
        <f t="shared" si="104"/>
        <v>3.9100090417257594E-2</v>
      </c>
      <c r="J94" s="93">
        <f t="shared" si="105"/>
        <v>3.9150814813325496E-2</v>
      </c>
      <c r="K94" s="93">
        <f t="shared" si="106"/>
        <v>9.7479527462627891E-2</v>
      </c>
      <c r="L94" s="93">
        <f t="shared" si="107"/>
        <v>8.2138500917600998E-2</v>
      </c>
      <c r="M94" s="93">
        <f t="shared" si="108"/>
        <v>-6.5254557608059538E-2</v>
      </c>
      <c r="N94" s="93">
        <f t="shared" si="109"/>
        <v>4.8554001576635919E-2</v>
      </c>
      <c r="O94" s="93">
        <f t="shared" si="110"/>
        <v>-8.9128347793999696E-3</v>
      </c>
      <c r="P94" s="93">
        <f t="shared" si="111"/>
        <v>-2.773336720193309E-2</v>
      </c>
      <c r="Q94" s="93">
        <f t="shared" si="112"/>
        <v>-7.0045195576698971E-2</v>
      </c>
      <c r="R94" s="93">
        <f t="shared" si="113"/>
        <v>-4.014701094670059E-4</v>
      </c>
      <c r="S94" s="93">
        <f t="shared" si="114"/>
        <v>3.1293776952354024E-2</v>
      </c>
      <c r="T94" s="93">
        <f t="shared" si="115"/>
        <v>5.137052815789267E-2</v>
      </c>
      <c r="U94" s="93">
        <f t="shared" si="116"/>
        <v>4.8333749918873625E-2</v>
      </c>
      <c r="V94" s="93">
        <f t="shared" si="117"/>
        <v>5.1212349075293151E-2</v>
      </c>
      <c r="W94" s="93">
        <f t="shared" si="118"/>
        <v>3.8541392586172174E-2</v>
      </c>
      <c r="X94" s="93">
        <f t="shared" si="119"/>
        <v>-6.8338069564510495E-2</v>
      </c>
      <c r="Y94" s="93">
        <f t="shared" si="120"/>
        <v>5.5557281481886767E-2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2.9011323136075129E-2</v>
      </c>
      <c r="F95" s="92">
        <f t="shared" ref="F95:F96" si="122">IF(E20=0,"",F20/E20-1)</f>
        <v>2.5485079808414524E-2</v>
      </c>
      <c r="G95" s="92">
        <f t="shared" ref="G95:G96" si="123">IF(F20=0,"",G20/F20-1)</f>
        <v>1.4468356877711974E-2</v>
      </c>
      <c r="H95" s="92">
        <f t="shared" ref="H95:H96" si="124">IF(G20=0,"",H20/G20-1)</f>
        <v>3.6943814306307665E-2</v>
      </c>
      <c r="I95" s="92">
        <f t="shared" ref="I95:I96" si="125">IF(H20=0,"",I20/H20-1)</f>
        <v>3.3970271833712262E-2</v>
      </c>
      <c r="J95" s="92">
        <f t="shared" ref="J95:J96" si="126">IF(I20=0,"",J20/I20-1)</f>
        <v>3.1731146215902895E-2</v>
      </c>
      <c r="K95" s="92">
        <f t="shared" ref="K95:K96" si="127">IF(J20=0,"",K20/J20-1)</f>
        <v>3.1708518346378778E-2</v>
      </c>
      <c r="L95" s="92">
        <f t="shared" ref="L95:L96" si="128">IF(K20=0,"",L20/K20-1)</f>
        <v>1.1880343242878677E-2</v>
      </c>
      <c r="M95" s="92">
        <f t="shared" ref="M95:M96" si="129">IF(L20=0,"",M20/L20-1)</f>
        <v>-4.5477906136069612E-2</v>
      </c>
      <c r="N95" s="92">
        <f t="shared" ref="N95:N96" si="130">IF(M20=0,"",N20/M20-1)</f>
        <v>-4.9043267485415765E-3</v>
      </c>
      <c r="O95" s="92">
        <f t="shared" ref="O95:O96" si="131">IF(N20=0,"",O20/N20-1)</f>
        <v>-2.0470198074986068E-2</v>
      </c>
      <c r="P95" s="92">
        <f t="shared" ref="P95:P96" si="132">IF(O20=0,"",P20/O20-1)</f>
        <v>-5.9405559405276698E-2</v>
      </c>
      <c r="Q95" s="92">
        <f t="shared" ref="Q95:Q96" si="133">IF(P20=0,"",Q20/P20-1)</f>
        <v>-7.0057040787312119E-2</v>
      </c>
      <c r="R95" s="92">
        <f t="shared" ref="R95:R96" si="134">IF(Q20=0,"",R20/Q20-1)</f>
        <v>-8.7366089245637379E-3</v>
      </c>
      <c r="S95" s="92">
        <f t="shared" ref="S95:S96" si="135">IF(R20=0,"",S20/R20-1)</f>
        <v>4.7613403186921754E-2</v>
      </c>
      <c r="T95" s="92">
        <f t="shared" ref="T95:T96" si="136">IF(S20=0,"",T20/S20-1)</f>
        <v>6.4087983410696214E-2</v>
      </c>
      <c r="U95" s="92">
        <f t="shared" ref="U95:U96" si="137">IF(T20=0,"",U20/T20-1)</f>
        <v>4.9314566524307768E-2</v>
      </c>
      <c r="V95" s="92">
        <f t="shared" ref="V95:V96" si="138">IF(U20=0,"",V20/U20-1)</f>
        <v>4.4943160466855314E-2</v>
      </c>
      <c r="W95" s="92">
        <f t="shared" ref="W95:W96" si="139">IF(V20=0,"",W20/V20-1)</f>
        <v>4.1321585494235924E-2</v>
      </c>
      <c r="X95" s="92">
        <f t="shared" ref="X95:X96" si="140">IF(W20=0,"",X20/W20-1)</f>
        <v>-4.7079395879465968E-2</v>
      </c>
      <c r="Y95" s="92">
        <f t="shared" ref="Y95:Y96" si="141">IF(X20=0,"",Y20/X20-1)</f>
        <v>8.9289409993213775E-2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4.4751546926548036E-2</v>
      </c>
      <c r="F96" s="93">
        <f t="shared" si="122"/>
        <v>1.9166180164789548E-2</v>
      </c>
      <c r="G96" s="93">
        <f t="shared" si="123"/>
        <v>3.1644926916548632E-2</v>
      </c>
      <c r="H96" s="93">
        <f t="shared" si="124"/>
        <v>5.8323897212504638E-2</v>
      </c>
      <c r="I96" s="93">
        <f t="shared" si="125"/>
        <v>2.4678756050951156E-2</v>
      </c>
      <c r="J96" s="93">
        <f t="shared" si="126"/>
        <v>2.3862715251964817E-2</v>
      </c>
      <c r="K96" s="93">
        <f t="shared" si="127"/>
        <v>7.7347668694224936E-2</v>
      </c>
      <c r="L96" s="93">
        <f t="shared" si="128"/>
        <v>5.6466856441068858E-2</v>
      </c>
      <c r="M96" s="93">
        <f t="shared" si="129"/>
        <v>-8.9413457231548032E-2</v>
      </c>
      <c r="N96" s="93">
        <f t="shared" si="130"/>
        <v>2.0123715697522249E-2</v>
      </c>
      <c r="O96" s="93">
        <f t="shared" si="131"/>
        <v>-3.3238256913296516E-2</v>
      </c>
      <c r="P96" s="93">
        <f t="shared" si="132"/>
        <v>-5.2840535493387519E-2</v>
      </c>
      <c r="Q96" s="93">
        <f t="shared" si="133"/>
        <v>-7.4198361760277942E-2</v>
      </c>
      <c r="R96" s="93">
        <f t="shared" si="134"/>
        <v>8.776661846800593E-3</v>
      </c>
      <c r="S96" s="93">
        <f t="shared" si="135"/>
        <v>4.4677335544788033E-2</v>
      </c>
      <c r="T96" s="93">
        <f t="shared" si="136"/>
        <v>4.9745730455124093E-2</v>
      </c>
      <c r="U96" s="93">
        <f t="shared" si="137"/>
        <v>4.0382964005031496E-2</v>
      </c>
      <c r="V96" s="93">
        <f t="shared" si="138"/>
        <v>3.9737315286864749E-2</v>
      </c>
      <c r="W96" s="93">
        <f t="shared" si="139"/>
        <v>2.4712733960311706E-2</v>
      </c>
      <c r="X96" s="93">
        <f t="shared" si="140"/>
        <v>-8.1039236033001116E-2</v>
      </c>
      <c r="Y96" s="93">
        <f t="shared" si="141"/>
        <v>4.6130380390245529E-2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3.9509505844649073E-2</v>
      </c>
      <c r="F97" s="89">
        <f t="shared" ref="F97:F106" si="143">IF(E23=0,"",F23/E23-1)</f>
        <v>3.7237264251898106E-2</v>
      </c>
      <c r="G97" s="89">
        <f t="shared" ref="G97:G106" si="144">IF(F23=0,"",G23/F23-1)</f>
        <v>2.6231786901833143E-2</v>
      </c>
      <c r="H97" s="89">
        <f t="shared" ref="H97:H106" si="145">IF(G23=0,"",H23/G23-1)</f>
        <v>5.026233141412173E-2</v>
      </c>
      <c r="I97" s="89">
        <f t="shared" ref="I97:I106" si="146">IF(H23=0,"",I23/H23-1)</f>
        <v>4.8533742968598137E-2</v>
      </c>
      <c r="J97" s="89">
        <f t="shared" ref="J97:J106" si="147">IF(I23=0,"",J23/I23-1)</f>
        <v>4.7136092151731646E-2</v>
      </c>
      <c r="K97" s="89">
        <f t="shared" ref="K97:K106" si="148">IF(J23=0,"",K23/J23-1)</f>
        <v>5.0980532492927555E-2</v>
      </c>
      <c r="L97" s="89">
        <f t="shared" ref="L97:L106" si="149">IF(K23=0,"",L23/K23-1)</f>
        <v>3.6470801377735507E-2</v>
      </c>
      <c r="M97" s="89">
        <f t="shared" ref="M97:M106" si="150">IF(L23=0,"",M23/L23-1)</f>
        <v>-2.0155986600976172E-2</v>
      </c>
      <c r="N97" s="89">
        <f t="shared" ref="N97:N106" si="151">IF(M23=0,"",N23/M23-1)</f>
        <v>2.3197285103046639E-2</v>
      </c>
      <c r="O97" s="89">
        <f t="shared" ref="O97:O106" si="152">IF(N23=0,"",O23/N23-1)</f>
        <v>4.1665480998502868E-3</v>
      </c>
      <c r="P97" s="89">
        <f t="shared" ref="P97:P106" si="153">IF(O23=0,"",P23/O23-1)</f>
        <v>-3.4467038511399317E-2</v>
      </c>
      <c r="Q97" s="89">
        <f t="shared" ref="Q97:Q106" si="154">IF(P23=0,"",Q23/P23-1)</f>
        <v>-6.5877305119274809E-2</v>
      </c>
      <c r="R97" s="89">
        <f t="shared" ref="R97:R106" si="155">IF(Q23=0,"",R23/Q23-1)</f>
        <v>-1.7765492969464725E-2</v>
      </c>
      <c r="S97" s="89">
        <f t="shared" ref="S97:S106" si="156">IF(R23=0,"",S23/R23-1)</f>
        <v>3.2604348813532802E-2</v>
      </c>
      <c r="T97" s="89">
        <f t="shared" ref="T97:T106" si="157">IF(S23=0,"",T23/S23-1)</f>
        <v>6.5739701594647926E-2</v>
      </c>
      <c r="U97" s="89">
        <f t="shared" ref="U97:U106" si="158">IF(T23=0,"",U23/T23-1)</f>
        <v>5.7495243268734564E-2</v>
      </c>
      <c r="V97" s="89">
        <f t="shared" ref="V97:V106" si="159">IF(U23=0,"",V23/U23-1)</f>
        <v>5.6694961622559825E-2</v>
      </c>
      <c r="W97" s="89">
        <f t="shared" ref="W97:W106" si="160">IF(V23=0,"",W23/V23-1)</f>
        <v>5.6800546370428417E-2</v>
      </c>
      <c r="X97" s="89">
        <f t="shared" ref="X97:X106" si="161">IF(W23=0,"",X23/W23-1)</f>
        <v>-3.3904066514829467E-2</v>
      </c>
      <c r="Y97" s="89">
        <f t="shared" ref="Y97:Y106" si="162">IF(X23=0,"",Y23/X23-1)</f>
        <v>9.9113037976307217E-2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0.10676231394270874</v>
      </c>
      <c r="F98" s="83">
        <f t="shared" si="143"/>
        <v>2.2881270024572187E-2</v>
      </c>
      <c r="G98" s="83">
        <f t="shared" si="144"/>
        <v>-7.7226227791795998E-2</v>
      </c>
      <c r="H98" s="83">
        <f t="shared" si="145"/>
        <v>-2.5953501376287158E-2</v>
      </c>
      <c r="I98" s="83">
        <f t="shared" si="146"/>
        <v>-6.2236482166278639E-2</v>
      </c>
      <c r="J98" s="83">
        <f t="shared" si="147"/>
        <v>-0.1270587709035671</v>
      </c>
      <c r="K98" s="83">
        <f t="shared" si="148"/>
        <v>-5.71559311237676E-2</v>
      </c>
      <c r="L98" s="83">
        <f t="shared" si="149"/>
        <v>7.1528676397767388E-2</v>
      </c>
      <c r="M98" s="83">
        <f t="shared" si="150"/>
        <v>-8.5580356901224897E-2</v>
      </c>
      <c r="N98" s="83">
        <f t="shared" si="151"/>
        <v>5.5459416680664786E-2</v>
      </c>
      <c r="O98" s="83">
        <f t="shared" si="152"/>
        <v>3.8792137022587214E-2</v>
      </c>
      <c r="P98" s="83">
        <f t="shared" si="153"/>
        <v>-9.7443515539643255E-2</v>
      </c>
      <c r="Q98" s="83">
        <f t="shared" si="154"/>
        <v>-5.1572887497133624E-2</v>
      </c>
      <c r="R98" s="83">
        <f t="shared" si="155"/>
        <v>-9.7572306025587419E-2</v>
      </c>
      <c r="S98" s="83">
        <f t="shared" si="156"/>
        <v>4.6489203100775311E-2</v>
      </c>
      <c r="T98" s="83">
        <f t="shared" si="157"/>
        <v>0.22340428341813445</v>
      </c>
      <c r="U98" s="83">
        <f t="shared" si="158"/>
        <v>-8.415892466450503E-2</v>
      </c>
      <c r="V98" s="83">
        <f t="shared" si="159"/>
        <v>-1.1663677766636349E-2</v>
      </c>
      <c r="W98" s="83">
        <f t="shared" si="160"/>
        <v>7.232445617838823E-2</v>
      </c>
      <c r="X98" s="83">
        <f t="shared" si="161"/>
        <v>-3.3498696510468884E-3</v>
      </c>
      <c r="Y98" s="83">
        <f t="shared" si="162"/>
        <v>-2.7668984648727468E-2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-0.10752877470739652</v>
      </c>
      <c r="F99" s="83">
        <f t="shared" si="143"/>
        <v>0.1604857914831781</v>
      </c>
      <c r="G99" s="83">
        <f t="shared" si="144"/>
        <v>0.12568260636795037</v>
      </c>
      <c r="H99" s="83">
        <f t="shared" si="145"/>
        <v>0.16152438740604569</v>
      </c>
      <c r="I99" s="83">
        <f t="shared" si="146"/>
        <v>5.3426366925009905E-2</v>
      </c>
      <c r="J99" s="83">
        <f t="shared" si="147"/>
        <v>1.2280130093048403E-2</v>
      </c>
      <c r="K99" s="83">
        <f t="shared" si="148"/>
        <v>6.4072524721930701E-2</v>
      </c>
      <c r="L99" s="83">
        <f t="shared" si="149"/>
        <v>0.19601272390501667</v>
      </c>
      <c r="M99" s="83">
        <f t="shared" si="150"/>
        <v>-0.26255139598309352</v>
      </c>
      <c r="N99" s="83">
        <f t="shared" si="151"/>
        <v>-1.6888649371050168E-2</v>
      </c>
      <c r="O99" s="83">
        <f t="shared" si="152"/>
        <v>-0.25755420746624103</v>
      </c>
      <c r="P99" s="83">
        <f t="shared" si="153"/>
        <v>-0.50596814829374104</v>
      </c>
      <c r="Q99" s="83">
        <f t="shared" si="154"/>
        <v>5.6822893487759707E-2</v>
      </c>
      <c r="R99" s="83">
        <f t="shared" si="155"/>
        <v>0.11374034934382182</v>
      </c>
      <c r="S99" s="83">
        <f t="shared" si="156"/>
        <v>0.24402826923076915</v>
      </c>
      <c r="T99" s="83">
        <f t="shared" si="157"/>
        <v>-0.27576678876325156</v>
      </c>
      <c r="U99" s="83">
        <f t="shared" si="158"/>
        <v>-5.0626642695886903E-2</v>
      </c>
      <c r="V99" s="83">
        <f t="shared" si="159"/>
        <v>0.36230032968112358</v>
      </c>
      <c r="W99" s="83">
        <f t="shared" si="160"/>
        <v>9.1284319862142249E-2</v>
      </c>
      <c r="X99" s="83">
        <f t="shared" si="161"/>
        <v>-6.0803584405791367E-2</v>
      </c>
      <c r="Y99" s="83">
        <f t="shared" si="162"/>
        <v>0.17321470102177305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3.9417106693209192E-2</v>
      </c>
      <c r="F100" s="83">
        <f t="shared" si="143"/>
        <v>2.8801326122637416E-2</v>
      </c>
      <c r="G100" s="83">
        <f t="shared" si="144"/>
        <v>2.6634062636232692E-2</v>
      </c>
      <c r="H100" s="83">
        <f t="shared" si="145"/>
        <v>5.1179448427504992E-2</v>
      </c>
      <c r="I100" s="83">
        <f t="shared" si="146"/>
        <v>5.4287222655991396E-2</v>
      </c>
      <c r="J100" s="83">
        <f t="shared" si="147"/>
        <v>5.5176566384535386E-2</v>
      </c>
      <c r="K100" s="83">
        <f t="shared" si="148"/>
        <v>4.631024821309393E-2</v>
      </c>
      <c r="L100" s="83">
        <f t="shared" si="149"/>
        <v>3.8202847290391251E-2</v>
      </c>
      <c r="M100" s="83">
        <f t="shared" si="150"/>
        <v>1.5119440924908245E-2</v>
      </c>
      <c r="N100" s="83">
        <f t="shared" si="151"/>
        <v>4.4039774592717018E-2</v>
      </c>
      <c r="O100" s="83">
        <f t="shared" si="152"/>
        <v>2.9236527071199836E-2</v>
      </c>
      <c r="P100" s="83">
        <f t="shared" si="153"/>
        <v>-1.8496735392861674E-2</v>
      </c>
      <c r="Q100" s="83">
        <f t="shared" si="154"/>
        <v>-5.2339971722962897E-2</v>
      </c>
      <c r="R100" s="83">
        <f t="shared" si="155"/>
        <v>-6.7631899820197461E-3</v>
      </c>
      <c r="S100" s="83">
        <f t="shared" si="156"/>
        <v>2.9931353275928663E-2</v>
      </c>
      <c r="T100" s="83">
        <f t="shared" si="157"/>
        <v>5.3357445192364628E-2</v>
      </c>
      <c r="U100" s="83">
        <f t="shared" si="158"/>
        <v>5.5740352011939942E-2</v>
      </c>
      <c r="V100" s="83">
        <f t="shared" si="159"/>
        <v>4.65203838111099E-2</v>
      </c>
      <c r="W100" s="83">
        <f t="shared" si="160"/>
        <v>4.674537429481207E-2</v>
      </c>
      <c r="X100" s="83">
        <f t="shared" si="161"/>
        <v>-3.3993742898634438E-2</v>
      </c>
      <c r="Y100" s="83">
        <f t="shared" si="162"/>
        <v>0.11742513860034665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8.8074660136525651E-3</v>
      </c>
      <c r="F101" s="84">
        <f t="shared" si="143"/>
        <v>3.0872065418301675E-2</v>
      </c>
      <c r="G101" s="84">
        <f t="shared" si="144"/>
        <v>5.8975111080465714E-2</v>
      </c>
      <c r="H101" s="84">
        <f t="shared" si="145"/>
        <v>1.9397226040380744E-2</v>
      </c>
      <c r="I101" s="84">
        <f t="shared" si="146"/>
        <v>3.2285833512085693E-2</v>
      </c>
      <c r="J101" s="84">
        <f t="shared" si="147"/>
        <v>3.99204557019186E-2</v>
      </c>
      <c r="K101" s="84">
        <f t="shared" si="148"/>
        <v>1.6608205712856483E-2</v>
      </c>
      <c r="L101" s="84">
        <f t="shared" si="149"/>
        <v>3.606659146780733E-2</v>
      </c>
      <c r="M101" s="84">
        <f t="shared" si="150"/>
        <v>2.7405563667075361E-2</v>
      </c>
      <c r="N101" s="84">
        <f t="shared" si="151"/>
        <v>3.5141558599288247E-2</v>
      </c>
      <c r="O101" s="84">
        <f t="shared" si="152"/>
        <v>3.8191072558711348E-2</v>
      </c>
      <c r="P101" s="84">
        <f t="shared" si="153"/>
        <v>-3.2784902124601389E-2</v>
      </c>
      <c r="Q101" s="84">
        <f t="shared" si="154"/>
        <v>-6.0607634304485347E-2</v>
      </c>
      <c r="R101" s="84">
        <f t="shared" si="155"/>
        <v>-2.8045060762621699E-2</v>
      </c>
      <c r="S101" s="84">
        <f t="shared" si="156"/>
        <v>9.4448347598035109E-3</v>
      </c>
      <c r="T101" s="84">
        <f t="shared" si="157"/>
        <v>3.5099653830632294E-2</v>
      </c>
      <c r="U101" s="84">
        <f t="shared" si="158"/>
        <v>4.555352876792651E-2</v>
      </c>
      <c r="V101" s="84">
        <f t="shared" si="159"/>
        <v>6.7554041793435715E-2</v>
      </c>
      <c r="W101" s="84">
        <f t="shared" si="160"/>
        <v>4.6112786207460621E-2</v>
      </c>
      <c r="X101" s="84">
        <f t="shared" si="161"/>
        <v>-0.16052042060375427</v>
      </c>
      <c r="Y101" s="84">
        <f t="shared" si="162"/>
        <v>0.1325002021873094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8.61972687031336E-2</v>
      </c>
      <c r="F102" s="84">
        <f t="shared" si="143"/>
        <v>3.1450963391853159E-2</v>
      </c>
      <c r="G102" s="84">
        <f t="shared" si="144"/>
        <v>1.173449375359592E-2</v>
      </c>
      <c r="H102" s="84">
        <f t="shared" si="145"/>
        <v>7.328636418750567E-2</v>
      </c>
      <c r="I102" s="84">
        <f t="shared" si="146"/>
        <v>8.0556352384083318E-2</v>
      </c>
      <c r="J102" s="84">
        <f t="shared" si="147"/>
        <v>7.0811956872687265E-2</v>
      </c>
      <c r="K102" s="84">
        <f t="shared" si="148"/>
        <v>7.673439083524447E-2</v>
      </c>
      <c r="L102" s="84">
        <f t="shared" si="149"/>
        <v>4.7731420701398353E-2</v>
      </c>
      <c r="M102" s="84">
        <f t="shared" si="150"/>
        <v>3.0033562759709254E-2</v>
      </c>
      <c r="N102" s="84">
        <f t="shared" si="151"/>
        <v>6.4428695523527146E-2</v>
      </c>
      <c r="O102" s="84">
        <f t="shared" si="152"/>
        <v>4.2969733804373744E-2</v>
      </c>
      <c r="P102" s="84">
        <f t="shared" si="153"/>
        <v>-1.8763212299566234E-4</v>
      </c>
      <c r="Q102" s="84">
        <f t="shared" si="154"/>
        <v>-2.5411787768415905E-2</v>
      </c>
      <c r="R102" s="84">
        <f t="shared" si="155"/>
        <v>3.1119033289321862E-3</v>
      </c>
      <c r="S102" s="84">
        <f t="shared" si="156"/>
        <v>4.9668180954127505E-2</v>
      </c>
      <c r="T102" s="84">
        <f t="shared" si="157"/>
        <v>5.9972584561396092E-2</v>
      </c>
      <c r="U102" s="84">
        <f t="shared" si="158"/>
        <v>4.4028624921445658E-2</v>
      </c>
      <c r="V102" s="84">
        <f t="shared" si="159"/>
        <v>2.1701525875906125E-2</v>
      </c>
      <c r="W102" s="84">
        <f t="shared" si="160"/>
        <v>5.3244820748854504E-2</v>
      </c>
      <c r="X102" s="84">
        <f t="shared" si="161"/>
        <v>8.4281613210603235E-2</v>
      </c>
      <c r="Y102" s="84">
        <f t="shared" si="162"/>
        <v>9.0861803400132501E-2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2.796332224144904E-2</v>
      </c>
      <c r="F103" s="84">
        <f t="shared" si="143"/>
        <v>1.7204395972808317E-2</v>
      </c>
      <c r="G103" s="84">
        <f t="shared" si="144"/>
        <v>-3.0787331554081754E-2</v>
      </c>
      <c r="H103" s="84">
        <f t="shared" si="145"/>
        <v>9.696418298965348E-2</v>
      </c>
      <c r="I103" s="84">
        <f t="shared" si="146"/>
        <v>5.6871408086686781E-2</v>
      </c>
      <c r="J103" s="84">
        <f t="shared" si="147"/>
        <v>6.1062122074612146E-2</v>
      </c>
      <c r="K103" s="84">
        <f t="shared" si="148"/>
        <v>5.5504185103645964E-2</v>
      </c>
      <c r="L103" s="84">
        <f t="shared" si="149"/>
        <v>2.085310698924614E-2</v>
      </c>
      <c r="M103" s="84">
        <f t="shared" si="150"/>
        <v>-5.4556640927851729E-2</v>
      </c>
      <c r="N103" s="84">
        <f t="shared" si="151"/>
        <v>1.4892367307979715E-2</v>
      </c>
      <c r="O103" s="84">
        <f t="shared" si="152"/>
        <v>-3.606412913112822E-2</v>
      </c>
      <c r="P103" s="84">
        <f t="shared" si="153"/>
        <v>-2.8980044879777567E-2</v>
      </c>
      <c r="Q103" s="84">
        <f t="shared" si="154"/>
        <v>-0.11090543755264981</v>
      </c>
      <c r="R103" s="84">
        <f t="shared" si="155"/>
        <v>3.049297583814603E-2</v>
      </c>
      <c r="S103" s="84">
        <f t="shared" si="156"/>
        <v>2.8389354549529067E-2</v>
      </c>
      <c r="T103" s="84">
        <f t="shared" si="157"/>
        <v>8.7335274804259511E-2</v>
      </c>
      <c r="U103" s="84">
        <f t="shared" si="158"/>
        <v>0.12499354683910746</v>
      </c>
      <c r="V103" s="84">
        <f t="shared" si="159"/>
        <v>6.5769680352873783E-2</v>
      </c>
      <c r="W103" s="84">
        <f t="shared" si="160"/>
        <v>2.91533018762411E-2</v>
      </c>
      <c r="X103" s="84">
        <f t="shared" si="161"/>
        <v>-4.028286876190168E-2</v>
      </c>
      <c r="Y103" s="84">
        <f t="shared" si="162"/>
        <v>0.17191316332781037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0.14472760473713997</v>
      </c>
      <c r="F104" s="83">
        <f t="shared" si="143"/>
        <v>4.6465789064999763E-2</v>
      </c>
      <c r="G104" s="83">
        <f t="shared" si="144"/>
        <v>8.2980408566224906E-2</v>
      </c>
      <c r="H104" s="83">
        <f t="shared" si="145"/>
        <v>-6.0611855521530589E-2</v>
      </c>
      <c r="I104" s="83">
        <f t="shared" si="146"/>
        <v>-9.7407878052797825E-2</v>
      </c>
      <c r="J104" s="83">
        <f t="shared" si="147"/>
        <v>-5.30431716869606E-3</v>
      </c>
      <c r="K104" s="83">
        <f t="shared" si="148"/>
        <v>0.14939822851741491</v>
      </c>
      <c r="L104" s="83">
        <f t="shared" si="149"/>
        <v>-0.14464421281246509</v>
      </c>
      <c r="M104" s="83">
        <f t="shared" si="150"/>
        <v>0.2744790516403155</v>
      </c>
      <c r="N104" s="83">
        <f t="shared" si="151"/>
        <v>6.0427449074184958E-2</v>
      </c>
      <c r="O104" s="83">
        <f t="shared" si="152"/>
        <v>-0.12332434589421759</v>
      </c>
      <c r="P104" s="83">
        <f t="shared" si="153"/>
        <v>0.26378074826881792</v>
      </c>
      <c r="Q104" s="83">
        <f t="shared" si="154"/>
        <v>2.7055044748285795E-2</v>
      </c>
      <c r="R104" s="83">
        <f t="shared" si="155"/>
        <v>-0.23364063684253666</v>
      </c>
      <c r="S104" s="83">
        <f t="shared" si="156"/>
        <v>0.21977365983971486</v>
      </c>
      <c r="T104" s="83">
        <f t="shared" si="157"/>
        <v>2.3105569179584728E-2</v>
      </c>
      <c r="U104" s="83">
        <f t="shared" si="158"/>
        <v>-0.1963476866419489</v>
      </c>
      <c r="V104" s="83">
        <f t="shared" si="159"/>
        <v>-2.0548082998528727E-2</v>
      </c>
      <c r="W104" s="83">
        <f t="shared" si="160"/>
        <v>0.14688456527283988</v>
      </c>
      <c r="X104" s="83">
        <f t="shared" si="161"/>
        <v>-0.15122143461622439</v>
      </c>
      <c r="Y104" s="83">
        <f t="shared" si="162"/>
        <v>1.9086867357377857E-2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4.657733789019658E-2</v>
      </c>
      <c r="F105" s="83">
        <f t="shared" si="143"/>
        <v>0.11154247545273521</v>
      </c>
      <c r="G105" s="83">
        <f t="shared" si="144"/>
        <v>9.3304604252231194E-2</v>
      </c>
      <c r="H105" s="83">
        <f t="shared" si="145"/>
        <v>9.0986469142520843E-2</v>
      </c>
      <c r="I105" s="83">
        <f t="shared" si="146"/>
        <v>0.10318275547389311</v>
      </c>
      <c r="J105" s="83">
        <f t="shared" si="147"/>
        <v>0.12287801246778884</v>
      </c>
      <c r="K105" s="83">
        <f t="shared" si="148"/>
        <v>0.13415412755674083</v>
      </c>
      <c r="L105" s="83">
        <f t="shared" si="149"/>
        <v>6.1894619997793221E-2</v>
      </c>
      <c r="M105" s="83">
        <f t="shared" si="150"/>
        <v>-0.22971792071919883</v>
      </c>
      <c r="N105" s="83">
        <f t="shared" si="151"/>
        <v>-0.12079615246897868</v>
      </c>
      <c r="O105" s="83">
        <f t="shared" si="152"/>
        <v>-0.15376030025444443</v>
      </c>
      <c r="P105" s="83">
        <f t="shared" si="153"/>
        <v>-0.17678545459093842</v>
      </c>
      <c r="Q105" s="83">
        <f t="shared" si="154"/>
        <v>-0.23541829911078327</v>
      </c>
      <c r="R105" s="83">
        <f t="shared" si="155"/>
        <v>-0.14088804085363693</v>
      </c>
      <c r="S105" s="83">
        <f t="shared" si="156"/>
        <v>-2.1821193755739321E-2</v>
      </c>
      <c r="T105" s="83">
        <f t="shared" si="157"/>
        <v>0.2032589832126861</v>
      </c>
      <c r="U105" s="83">
        <f t="shared" si="158"/>
        <v>0.20532570985800391</v>
      </c>
      <c r="V105" s="83">
        <f t="shared" si="159"/>
        <v>0.17456826741360487</v>
      </c>
      <c r="W105" s="83">
        <f t="shared" si="160"/>
        <v>0.16939172542354686</v>
      </c>
      <c r="X105" s="83">
        <f t="shared" si="161"/>
        <v>-6.2555524595268253E-2</v>
      </c>
      <c r="Y105" s="83">
        <f t="shared" si="162"/>
        <v>5.5532401723497049E-3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-9.435237619303205E-3</v>
      </c>
      <c r="F106" s="83">
        <f t="shared" si="143"/>
        <v>4.3372594127320641E-2</v>
      </c>
      <c r="G106" s="83">
        <f t="shared" si="144"/>
        <v>-1.0812574400091202E-2</v>
      </c>
      <c r="H106" s="83">
        <f t="shared" si="145"/>
        <v>4.8287169467702951E-2</v>
      </c>
      <c r="I106" s="83">
        <f t="shared" si="146"/>
        <v>2.2592333651518803E-3</v>
      </c>
      <c r="J106" s="83">
        <f t="shared" si="147"/>
        <v>-5.384733514421014E-2</v>
      </c>
      <c r="K106" s="83">
        <f t="shared" si="148"/>
        <v>-6.8317372304949053E-3</v>
      </c>
      <c r="L106" s="83">
        <f t="shared" si="149"/>
        <v>-1.378357129290797E-2</v>
      </c>
      <c r="M106" s="83">
        <f t="shared" si="150"/>
        <v>-5.8153663788140131E-2</v>
      </c>
      <c r="N106" s="83">
        <f t="shared" si="151"/>
        <v>-4.3264544824566542E-2</v>
      </c>
      <c r="O106" s="83">
        <f t="shared" si="152"/>
        <v>-9.5784253872905234E-2</v>
      </c>
      <c r="P106" s="83">
        <f t="shared" si="153"/>
        <v>-0.13059349815593102</v>
      </c>
      <c r="Q106" s="83">
        <f t="shared" si="154"/>
        <v>-0.14262816557452773</v>
      </c>
      <c r="R106" s="83">
        <f t="shared" si="155"/>
        <v>3.4646426183003065E-2</v>
      </c>
      <c r="S106" s="83">
        <f t="shared" si="156"/>
        <v>6.296578441520051E-2</v>
      </c>
      <c r="T106" s="83">
        <f t="shared" si="157"/>
        <v>0.13615681900665377</v>
      </c>
      <c r="U106" s="83">
        <f t="shared" si="158"/>
        <v>0.11079565214891796</v>
      </c>
      <c r="V106" s="83">
        <f t="shared" si="159"/>
        <v>0.15038247304387276</v>
      </c>
      <c r="W106" s="83">
        <f t="shared" si="160"/>
        <v>6.8976816420005749E-2</v>
      </c>
      <c r="X106" s="83">
        <f t="shared" si="161"/>
        <v>1.6416330192903006E-2</v>
      </c>
      <c r="Y106" s="83">
        <f t="shared" si="162"/>
        <v>-6.9825670481712399E-3</v>
      </c>
    </row>
    <row r="107" spans="1:25" x14ac:dyDescent="0.25">
      <c r="A107" s="85" t="s">
        <v>158</v>
      </c>
      <c r="B107" s="86"/>
      <c r="C107" s="86"/>
      <c r="D107" s="87"/>
      <c r="E107" s="87" t="str">
        <f t="shared" ref="E107:E108" si="163">IF(D33=0,"",E33/D33-1)</f>
        <v/>
      </c>
      <c r="F107" s="87" t="str">
        <f t="shared" ref="F107:F108" si="164">IF(E33=0,"",F33/E33-1)</f>
        <v/>
      </c>
      <c r="G107" s="87" t="str">
        <f t="shared" ref="G107:G108" si="165">IF(F33=0,"",G33/F33-1)</f>
        <v/>
      </c>
      <c r="H107" s="87" t="str">
        <f t="shared" ref="H107:H108" si="166">IF(G33=0,"",H33/G33-1)</f>
        <v/>
      </c>
      <c r="I107" s="87" t="str">
        <f t="shared" ref="I107:I108" si="167">IF(H33=0,"",I33/H33-1)</f>
        <v/>
      </c>
      <c r="J107" s="87" t="str">
        <f t="shared" ref="J107:J108" si="168">IF(I33=0,"",J33/I33-1)</f>
        <v/>
      </c>
      <c r="K107" s="87" t="str">
        <f t="shared" ref="K107:K108" si="169">IF(J33=0,"",K33/J33-1)</f>
        <v/>
      </c>
      <c r="L107" s="87" t="str">
        <f t="shared" ref="L107:L108" si="170">IF(K33=0,"",L33/K33-1)</f>
        <v/>
      </c>
      <c r="M107" s="87" t="str">
        <f t="shared" ref="M107:M108" si="171">IF(L33=0,"",M33/L33-1)</f>
        <v/>
      </c>
      <c r="N107" s="87" t="str">
        <f t="shared" ref="N107:N108" si="172">IF(M33=0,"",N33/M33-1)</f>
        <v/>
      </c>
      <c r="O107" s="87" t="str">
        <f t="shared" ref="O107:O108" si="173">IF(N33=0,"",O33/N33-1)</f>
        <v/>
      </c>
      <c r="P107" s="87" t="str">
        <f t="shared" ref="P107:P108" si="174">IF(O33=0,"",P33/O33-1)</f>
        <v/>
      </c>
      <c r="Q107" s="87" t="str">
        <f t="shared" ref="Q107:Q108" si="175">IF(P33=0,"",Q33/P33-1)</f>
        <v/>
      </c>
      <c r="R107" s="87" t="str">
        <f t="shared" ref="R107:R108" si="176">IF(Q33=0,"",R33/Q33-1)</f>
        <v/>
      </c>
      <c r="S107" s="87" t="str">
        <f t="shared" ref="S107:S108" si="177">IF(R33=0,"",S33/R33-1)</f>
        <v/>
      </c>
      <c r="T107" s="87" t="str">
        <f t="shared" ref="T107:T108" si="178">IF(S33=0,"",T33/S33-1)</f>
        <v/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-4.6891973754501937E-2</v>
      </c>
      <c r="F110" s="89">
        <f t="shared" ref="F110:F111" si="206">IF(E43=0,"",F43/E43-1)</f>
        <v>2.9976993225189208E-3</v>
      </c>
      <c r="G110" s="89">
        <f t="shared" ref="G110:G111" si="207">IF(F43=0,"",G43/F43-1)</f>
        <v>-4.243064919559969E-2</v>
      </c>
      <c r="H110" s="89">
        <f t="shared" ref="H110:H111" si="208">IF(G43=0,"",H43/G43-1)</f>
        <v>9.4356470843836915E-2</v>
      </c>
      <c r="I110" s="89">
        <f t="shared" ref="I110:I111" si="209">IF(H43=0,"",I43/H43-1)</f>
        <v>7.2959312492091311E-3</v>
      </c>
      <c r="J110" s="89">
        <f t="shared" ref="J110:J111" si="210">IF(I43=0,"",J43/I43-1)</f>
        <v>3.9105707710500148E-2</v>
      </c>
      <c r="K110" s="89">
        <f t="shared" ref="K110:K111" si="211">IF(J43=0,"",K43/J43-1)</f>
        <v>-3.1185517110427829E-2</v>
      </c>
      <c r="L110" s="89">
        <f t="shared" ref="L110:L111" si="212">IF(K43=0,"",L43/K43-1)</f>
        <v>-1.3956216735611315E-2</v>
      </c>
      <c r="M110" s="89">
        <f t="shared" ref="M110:M111" si="213">IF(L43=0,"",M43/L43-1)</f>
        <v>-6.0333348570341672E-3</v>
      </c>
      <c r="N110" s="89">
        <f t="shared" ref="N110:N111" si="214">IF(M43=0,"",N43/M43-1)</f>
        <v>0.18608730202559109</v>
      </c>
      <c r="O110" s="89">
        <f t="shared" ref="O110:O111" si="215">IF(N43=0,"",O43/N43-1)</f>
        <v>-5.4941613122029942E-2</v>
      </c>
      <c r="P110" s="89">
        <f t="shared" ref="P110:P111" si="216">IF(O43=0,"",P43/O43-1)</f>
        <v>-7.381710137409514E-3</v>
      </c>
      <c r="Q110" s="89">
        <f t="shared" ref="Q110:Q111" si="217">IF(P43=0,"",Q43/P43-1)</f>
        <v>6.2494788584508409E-2</v>
      </c>
      <c r="R110" s="89">
        <f t="shared" ref="R110:R111" si="218">IF(Q43=0,"",R43/Q43-1)</f>
        <v>8.3863853918183517E-2</v>
      </c>
      <c r="S110" s="89">
        <f t="shared" ref="S110:S111" si="219">IF(R43=0,"",S43/R43-1)</f>
        <v>0.18879903614457838</v>
      </c>
      <c r="T110" s="89">
        <f t="shared" ref="T110:T111" si="220">IF(S43=0,"",T43/S43-1)</f>
        <v>0.1302257916741687</v>
      </c>
      <c r="U110" s="89">
        <f t="shared" ref="U110:U111" si="221">IF(T43=0,"",U43/T43-1)</f>
        <v>0.2176155003637732</v>
      </c>
      <c r="V110" s="89">
        <f t="shared" ref="V110:V111" si="222">IF(U43=0,"",V43/U43-1)</f>
        <v>0.10514444022160196</v>
      </c>
      <c r="W110" s="89">
        <f t="shared" ref="W110:W111" si="223">IF(V43=0,"",W43/V43-1)</f>
        <v>8.7196124827009003E-2</v>
      </c>
      <c r="X110" s="89">
        <f t="shared" ref="X110:X111" si="224">IF(W43=0,"",X43/W43-1)</f>
        <v>0.25176268135029978</v>
      </c>
      <c r="Y110" s="89">
        <f t="shared" ref="Y110:Y111" si="225">IF(X43=0,"",Y43/X43-1)</f>
        <v>-0.1938634877894897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-0.11735466111357495</v>
      </c>
      <c r="F111" s="89">
        <f t="shared" si="206"/>
        <v>-6.4393463128605832E-3</v>
      </c>
      <c r="G111" s="89">
        <f t="shared" si="207"/>
        <v>-5.5297440289589272E-2</v>
      </c>
      <c r="H111" s="89">
        <f t="shared" si="208"/>
        <v>0.10672401265948239</v>
      </c>
      <c r="I111" s="89">
        <f t="shared" si="209"/>
        <v>-0.20753982068724197</v>
      </c>
      <c r="J111" s="89">
        <f t="shared" si="210"/>
        <v>8.9512590190070407E-2</v>
      </c>
      <c r="K111" s="89">
        <f t="shared" si="211"/>
        <v>-5.4710020502291012E-4</v>
      </c>
      <c r="L111" s="89">
        <f t="shared" si="212"/>
        <v>-0.13608213572747008</v>
      </c>
      <c r="M111" s="89">
        <f t="shared" si="213"/>
        <v>-1.6201405954177073E-2</v>
      </c>
      <c r="N111" s="89">
        <f t="shared" si="214"/>
        <v>0.18880399333494724</v>
      </c>
      <c r="O111" s="89">
        <f t="shared" si="215"/>
        <v>-0.17566240487696017</v>
      </c>
      <c r="P111" s="89">
        <f t="shared" si="216"/>
        <v>-0.15597913178778211</v>
      </c>
      <c r="Q111" s="89">
        <f t="shared" si="217"/>
        <v>-0.10356515030561264</v>
      </c>
      <c r="R111" s="89">
        <f t="shared" si="218"/>
        <v>-4.3786201307785988E-2</v>
      </c>
      <c r="S111" s="89">
        <f t="shared" si="219"/>
        <v>0.12323768786127176</v>
      </c>
      <c r="T111" s="89">
        <f t="shared" si="220"/>
        <v>0.12599451119379279</v>
      </c>
      <c r="U111" s="89">
        <f t="shared" si="221"/>
        <v>7.0379225951919588E-2</v>
      </c>
      <c r="V111" s="89">
        <f t="shared" si="222"/>
        <v>0.15838476610621899</v>
      </c>
      <c r="W111" s="89">
        <f t="shared" si="223"/>
        <v>2.102240501178354E-4</v>
      </c>
      <c r="X111" s="89">
        <f t="shared" si="224"/>
        <v>5.9629487334322828E-2</v>
      </c>
      <c r="Y111" s="89">
        <f t="shared" si="225"/>
        <v>-3.6419191469698076E-2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2.5576768760701363E-2</v>
      </c>
      <c r="F112" s="89">
        <f t="shared" ref="F112:F113" si="227">IF(E47=0,"",F47/E47-1)</f>
        <v>1.1350759986267223E-2</v>
      </c>
      <c r="G112" s="89">
        <f t="shared" ref="G112:G113" si="228">IF(F47=0,"",G47/F47-1)</f>
        <v>-3.1242135200825971E-2</v>
      </c>
      <c r="H112" s="89">
        <f t="shared" ref="H112:H113" si="229">IF(G47=0,"",H47/G47-1)</f>
        <v>8.3869129642056617E-2</v>
      </c>
      <c r="I112" s="89">
        <f t="shared" ref="I112:I113" si="230">IF(H47=0,"",I47/H47-1)</f>
        <v>0.1933122530478435</v>
      </c>
      <c r="J112" s="89">
        <f t="shared" ref="J112:J113" si="231">IF(I47=0,"",J47/I47-1)</f>
        <v>1.0121750284747488E-2</v>
      </c>
      <c r="K112" s="89">
        <f t="shared" ref="K112:K113" si="232">IF(J47=0,"",K47/J47-1)</f>
        <v>-5.0187227595030137E-2</v>
      </c>
      <c r="L112" s="89">
        <f t="shared" ref="L112:L113" si="233">IF(K47=0,"",L47/K47-1)</f>
        <v>6.5743824690837283E-2</v>
      </c>
      <c r="M112" s="89">
        <f t="shared" ref="M112:M113" si="234">IF(L47=0,"",M47/L47-1)</f>
        <v>-6.5424367394728566E-4</v>
      </c>
      <c r="N112" s="89">
        <f t="shared" ref="N112:N113" si="235">IF(M47=0,"",N47/M47-1)</f>
        <v>0.18467248248154999</v>
      </c>
      <c r="O112" s="89">
        <f t="shared" ref="O112:O113" si="236">IF(N47=0,"",O47/N47-1)</f>
        <v>8.1475529126442403E-3</v>
      </c>
      <c r="P112" s="89">
        <f t="shared" ref="P112:P113" si="237">IF(O47=0,"",P47/O47-1)</f>
        <v>5.6117012949614908E-2</v>
      </c>
      <c r="Q112" s="89">
        <f t="shared" ref="Q112:Q113" si="238">IF(P47=0,"",Q47/P47-1)</f>
        <v>0.11920480039502346</v>
      </c>
      <c r="R112" s="89">
        <f t="shared" ref="R112:R113" si="239">IF(Q47=0,"",R47/Q47-1)</f>
        <v>0.11877989843587522</v>
      </c>
      <c r="S112" s="89">
        <f t="shared" ref="S112:S113" si="240">IF(R47=0,"",S47/R47-1)</f>
        <v>0.20412621621621607</v>
      </c>
      <c r="T112" s="89">
        <f t="shared" ref="T112:T113" si="241">IF(S47=0,"",T47/S47-1)</f>
        <v>0.13114854549644273</v>
      </c>
      <c r="U112" s="89">
        <f t="shared" ref="U112:U113" si="242">IF(T47=0,"",U47/T47-1)</f>
        <v>0.24957834988433647</v>
      </c>
      <c r="V112" s="89">
        <f t="shared" ref="V112:V113" si="243">IF(U47=0,"",V47/U47-1)</f>
        <v>9.5244204043536618E-2</v>
      </c>
      <c r="W112" s="89">
        <f t="shared" ref="W112:W113" si="244">IF(V47=0,"",W47/V47-1)</f>
        <v>0.10430398094509608</v>
      </c>
      <c r="X112" s="89">
        <f t="shared" ref="X112:X113" si="245">IF(W47=0,"",X47/W47-1)</f>
        <v>0.28598833713321015</v>
      </c>
      <c r="Y112" s="89">
        <f t="shared" ref="Y112:Y113" si="246">IF(X47=0,"",Y47/X47-1)</f>
        <v>-0.21697313487786651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7.5022448353283533E-3</v>
      </c>
      <c r="F113" s="89">
        <f t="shared" si="227"/>
        <v>0.13220200730372778</v>
      </c>
      <c r="G113" s="89">
        <f t="shared" si="228"/>
        <v>4.5701842295103212E-2</v>
      </c>
      <c r="H113" s="89">
        <f t="shared" si="229"/>
        <v>0.12563897160268378</v>
      </c>
      <c r="I113" s="89">
        <f t="shared" si="230"/>
        <v>6.3347075810656905E-2</v>
      </c>
      <c r="J113" s="89">
        <f t="shared" si="231"/>
        <v>4.7555023843180555E-2</v>
      </c>
      <c r="K113" s="89">
        <f t="shared" si="232"/>
        <v>9.6855514882072669E-3</v>
      </c>
      <c r="L113" s="89">
        <f t="shared" si="233"/>
        <v>-3.0096666483939605E-2</v>
      </c>
      <c r="M113" s="89">
        <f t="shared" si="234"/>
        <v>-0.17184071586350891</v>
      </c>
      <c r="N113" s="89">
        <f t="shared" si="235"/>
        <v>-0.10639381199531461</v>
      </c>
      <c r="O113" s="89">
        <f t="shared" si="236"/>
        <v>-9.8845229596528417E-2</v>
      </c>
      <c r="P113" s="89">
        <f t="shared" si="237"/>
        <v>-0.29410162420895436</v>
      </c>
      <c r="Q113" s="89">
        <f t="shared" si="238"/>
        <v>-0.32195748014903436</v>
      </c>
      <c r="R113" s="89">
        <f t="shared" si="239"/>
        <v>0.1862323247448987</v>
      </c>
      <c r="S113" s="89">
        <f t="shared" si="240"/>
        <v>0.19841927777777779</v>
      </c>
      <c r="T113" s="89">
        <f t="shared" si="241"/>
        <v>0.2127166240016598</v>
      </c>
      <c r="U113" s="89">
        <f t="shared" si="242"/>
        <v>4.7996737993533545E-2</v>
      </c>
      <c r="V113" s="89">
        <f t="shared" si="243"/>
        <v>0.12053599443099605</v>
      </c>
      <c r="W113" s="89">
        <f t="shared" si="244"/>
        <v>0.1200722584948688</v>
      </c>
      <c r="X113" s="89">
        <f t="shared" si="245"/>
        <v>7.5100534464623392E-2</v>
      </c>
      <c r="Y113" s="89">
        <f t="shared" si="246"/>
        <v>-7.0931249692649301E-2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4.680835447854248E-2</v>
      </c>
      <c r="F114" s="89">
        <f t="shared" ref="F114:F115" si="248">IF(E52=0,"",F52/E52-1)</f>
        <v>3.621054081152586E-2</v>
      </c>
      <c r="G114" s="89">
        <f t="shared" ref="G114:G115" si="249">IF(F52=0,"",G52/F52-1)</f>
        <v>-4.9524653570135801E-2</v>
      </c>
      <c r="H114" s="89">
        <f t="shared" ref="H114:H115" si="250">IF(G52=0,"",H52/G52-1)</f>
        <v>5.3432134838964362E-3</v>
      </c>
      <c r="I114" s="89">
        <f t="shared" ref="I114:I115" si="251">IF(H52=0,"",I52/H52-1)</f>
        <v>-3.4729516595512933E-2</v>
      </c>
      <c r="J114" s="89">
        <f t="shared" ref="J114:J115" si="252">IF(I52=0,"",J52/I52-1)</f>
        <v>-7.0712442774285567E-3</v>
      </c>
      <c r="K114" s="89">
        <f t="shared" ref="K114:K115" si="253">IF(J52=0,"",K52/J52-1)</f>
        <v>3.3093606530108177E-2</v>
      </c>
      <c r="L114" s="89">
        <f t="shared" ref="L114:L115" si="254">IF(K52=0,"",L52/K52-1)</f>
        <v>2.8916448014439711E-2</v>
      </c>
      <c r="M114" s="89">
        <f t="shared" ref="M114:M115" si="255">IF(L52=0,"",M52/L52-1)</f>
        <v>-0.14388326846720589</v>
      </c>
      <c r="N114" s="89">
        <f t="shared" ref="N114:N115" si="256">IF(M52=0,"",N52/M52-1)</f>
        <v>-1.4336287559499117E-2</v>
      </c>
      <c r="O114" s="89">
        <f t="shared" ref="O114:O115" si="257">IF(N52=0,"",O52/N52-1)</f>
        <v>-7.7967016872303008E-2</v>
      </c>
      <c r="P114" s="89">
        <f t="shared" ref="P114:P115" si="258">IF(O52=0,"",P52/O52-1)</f>
        <v>-0.15892137814997098</v>
      </c>
      <c r="Q114" s="89">
        <f t="shared" ref="Q114:Q115" si="259">IF(P52=0,"",Q52/P52-1)</f>
        <v>-0.15919154012164649</v>
      </c>
      <c r="R114" s="89">
        <f t="shared" ref="R114:R115" si="260">IF(Q52=0,"",R52/Q52-1)</f>
        <v>4.8785106861548577E-3</v>
      </c>
      <c r="S114" s="89">
        <f t="shared" ref="S114:S115" si="261">IF(R52=0,"",S52/R52-1)</f>
        <v>-4.9956102564102545E-2</v>
      </c>
      <c r="T114" s="89">
        <f t="shared" ref="T114:T115" si="262">IF(S52=0,"",T52/S52-1)</f>
        <v>0.14006094322901119</v>
      </c>
      <c r="U114" s="89">
        <f t="shared" ref="U114:U115" si="263">IF(T52=0,"",U52/T52-1)</f>
        <v>2.5596941357333813E-2</v>
      </c>
      <c r="V114" s="89">
        <f t="shared" ref="V114:V115" si="264">IF(U52=0,"",V52/U52-1)</f>
        <v>-5.4048637130851285E-3</v>
      </c>
      <c r="W114" s="89">
        <f t="shared" ref="W114:W115" si="265">IF(V52=0,"",W52/V52-1)</f>
        <v>3.6720103869035015E-2</v>
      </c>
      <c r="X114" s="89">
        <f t="shared" ref="X114:X115" si="266">IF(W52=0,"",X52/W52-1)</f>
        <v>-0.1702240536697458</v>
      </c>
      <c r="Y114" s="89">
        <f t="shared" ref="Y114:Y115" si="267">IF(X52=0,"",Y52/X52-1)</f>
        <v>-1.9748243225229167E-2</v>
      </c>
    </row>
    <row r="115" spans="1:25" x14ac:dyDescent="0.25">
      <c r="A115" s="88" t="s">
        <v>21</v>
      </c>
      <c r="B115" s="44"/>
      <c r="C115" s="44"/>
      <c r="D115" s="89"/>
      <c r="E115" s="89" t="str">
        <f t="shared" si="247"/>
        <v/>
      </c>
      <c r="F115" s="89" t="str">
        <f t="shared" si="248"/>
        <v/>
      </c>
      <c r="G115" s="89" t="str">
        <f t="shared" si="249"/>
        <v/>
      </c>
      <c r="H115" s="89" t="str">
        <f t="shared" si="250"/>
        <v/>
      </c>
      <c r="I115" s="89" t="str">
        <f t="shared" si="251"/>
        <v/>
      </c>
      <c r="J115" s="89" t="str">
        <f t="shared" si="252"/>
        <v/>
      </c>
      <c r="K115" s="89" t="str">
        <f t="shared" si="253"/>
        <v/>
      </c>
      <c r="L115" s="89" t="str">
        <f t="shared" si="254"/>
        <v/>
      </c>
      <c r="M115" s="89" t="str">
        <f t="shared" si="255"/>
        <v/>
      </c>
      <c r="N115" s="89" t="str">
        <f t="shared" si="256"/>
        <v/>
      </c>
      <c r="O115" s="89" t="str">
        <f t="shared" si="257"/>
        <v/>
      </c>
      <c r="P115" s="89" t="str">
        <f t="shared" si="258"/>
        <v/>
      </c>
      <c r="Q115" s="89" t="str">
        <f t="shared" si="259"/>
        <v/>
      </c>
      <c r="R115" s="89" t="str">
        <f t="shared" si="260"/>
        <v/>
      </c>
      <c r="S115" s="89" t="str">
        <f t="shared" si="261"/>
        <v/>
      </c>
      <c r="T115" s="89" t="str">
        <f t="shared" si="262"/>
        <v/>
      </c>
      <c r="U115" s="89" t="str">
        <f t="shared" si="263"/>
        <v/>
      </c>
      <c r="V115" s="89" t="str">
        <f t="shared" si="264"/>
        <v/>
      </c>
      <c r="W115" s="89" t="str">
        <f t="shared" si="265"/>
        <v/>
      </c>
      <c r="X115" s="89" t="str">
        <f t="shared" si="266"/>
        <v/>
      </c>
      <c r="Y115" s="89" t="str">
        <f t="shared" si="267"/>
        <v/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4.680835447854248E-2</v>
      </c>
      <c r="F116" s="89">
        <f t="shared" ref="F116:F122" si="269">IF(E56=0,"",F56/E56-1)</f>
        <v>3.621054081152586E-2</v>
      </c>
      <c r="G116" s="89">
        <f t="shared" ref="G116:G122" si="270">IF(F56=0,"",G56/F56-1)</f>
        <v>-4.9524653570135801E-2</v>
      </c>
      <c r="H116" s="89">
        <f t="shared" ref="H116:H122" si="271">IF(G56=0,"",H56/G56-1)</f>
        <v>5.3432134838964362E-3</v>
      </c>
      <c r="I116" s="89">
        <f t="shared" ref="I116:I122" si="272">IF(H56=0,"",I56/H56-1)</f>
        <v>-3.4729516595512933E-2</v>
      </c>
      <c r="J116" s="89">
        <f t="shared" ref="J116:J122" si="273">IF(I56=0,"",J56/I56-1)</f>
        <v>-7.0712442774285567E-3</v>
      </c>
      <c r="K116" s="89">
        <f t="shared" ref="K116:K122" si="274">IF(J56=0,"",K56/J56-1)</f>
        <v>3.3093606530108177E-2</v>
      </c>
      <c r="L116" s="89">
        <f t="shared" ref="L116:L122" si="275">IF(K56=0,"",L56/K56-1)</f>
        <v>2.8916448014439711E-2</v>
      </c>
      <c r="M116" s="89">
        <f t="shared" ref="M116:M122" si="276">IF(L56=0,"",M56/L56-1)</f>
        <v>-0.14388326846720589</v>
      </c>
      <c r="N116" s="89">
        <f t="shared" ref="N116:N122" si="277">IF(M56=0,"",N56/M56-1)</f>
        <v>-1.4336287559499117E-2</v>
      </c>
      <c r="O116" s="89">
        <f t="shared" ref="O116:O122" si="278">IF(N56=0,"",O56/N56-1)</f>
        <v>-7.7967016872303008E-2</v>
      </c>
      <c r="P116" s="89">
        <f t="shared" ref="P116:P122" si="279">IF(O56=0,"",P56/O56-1)</f>
        <v>-0.15892137814997098</v>
      </c>
      <c r="Q116" s="89">
        <f t="shared" ref="Q116:Q122" si="280">IF(P56=0,"",Q56/P56-1)</f>
        <v>-0.15919154012164649</v>
      </c>
      <c r="R116" s="89">
        <f t="shared" ref="R116:R122" si="281">IF(Q56=0,"",R56/Q56-1)</f>
        <v>4.8785106861548577E-3</v>
      </c>
      <c r="S116" s="89">
        <f t="shared" ref="S116:S122" si="282">IF(R56=0,"",S56/R56-1)</f>
        <v>-4.9956102564102545E-2</v>
      </c>
      <c r="T116" s="89">
        <f t="shared" ref="T116:T122" si="283">IF(S56=0,"",T56/S56-1)</f>
        <v>0.14006094322901119</v>
      </c>
      <c r="U116" s="89">
        <f t="shared" ref="U116:U122" si="284">IF(T56=0,"",U56/T56-1)</f>
        <v>2.5596941357333813E-2</v>
      </c>
      <c r="V116" s="89">
        <f t="shared" ref="V116:V122" si="285">IF(U56=0,"",V56/U56-1)</f>
        <v>-5.4048637130851285E-3</v>
      </c>
      <c r="W116" s="89">
        <f t="shared" ref="W116:W122" si="286">IF(V56=0,"",W56/V56-1)</f>
        <v>3.6720103869035015E-2</v>
      </c>
      <c r="X116" s="89">
        <f t="shared" ref="X116:X122" si="287">IF(W56=0,"",X56/W56-1)</f>
        <v>-0.1702240536697458</v>
      </c>
      <c r="Y116" s="89">
        <f t="shared" ref="Y116:Y122" si="288">IF(X56=0,"",Y56/X56-1)</f>
        <v>-1.9748243225229167E-2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2.9960762864059687E-2</v>
      </c>
      <c r="F117" s="89">
        <f t="shared" si="269"/>
        <v>4.5714039163033293E-2</v>
      </c>
      <c r="G117" s="89">
        <f t="shared" si="270"/>
        <v>-1.2078439376012939E-2</v>
      </c>
      <c r="H117" s="89">
        <f t="shared" si="271"/>
        <v>2.8618239862742145E-2</v>
      </c>
      <c r="I117" s="89">
        <f t="shared" si="272"/>
        <v>-8.9098578271725737E-3</v>
      </c>
      <c r="J117" s="89">
        <f t="shared" si="273"/>
        <v>-0.20223193408747098</v>
      </c>
      <c r="K117" s="89">
        <f t="shared" si="274"/>
        <v>-8.6183699571831474E-2</v>
      </c>
      <c r="L117" s="89">
        <f t="shared" si="275"/>
        <v>8.5825948540065866E-3</v>
      </c>
      <c r="M117" s="89">
        <f t="shared" si="276"/>
        <v>9.8805088836743105E-2</v>
      </c>
      <c r="N117" s="89">
        <f t="shared" si="277"/>
        <v>-9.8536139092408992E-2</v>
      </c>
      <c r="O117" s="89">
        <f t="shared" si="278"/>
        <v>-9.3033030191026822E-2</v>
      </c>
      <c r="P117" s="89">
        <f t="shared" si="279"/>
        <v>-8.129766462473631E-2</v>
      </c>
      <c r="Q117" s="89">
        <f t="shared" si="280"/>
        <v>-8.8157554310077657E-2</v>
      </c>
      <c r="R117" s="89">
        <f t="shared" si="281"/>
        <v>1.2867009112920602E-2</v>
      </c>
      <c r="S117" s="89">
        <f t="shared" si="282"/>
        <v>1.3997630331753497E-2</v>
      </c>
      <c r="T117" s="89">
        <f t="shared" si="283"/>
        <v>0.19429625885809187</v>
      </c>
      <c r="U117" s="89">
        <f t="shared" si="284"/>
        <v>5.2600050218744698E-2</v>
      </c>
      <c r="V117" s="89">
        <f t="shared" si="285"/>
        <v>0.12177607686465963</v>
      </c>
      <c r="W117" s="89">
        <f t="shared" si="286"/>
        <v>4.1951053501432245E-2</v>
      </c>
      <c r="X117" s="89">
        <f t="shared" si="287"/>
        <v>-4.4676529773984619E-2</v>
      </c>
      <c r="Y117" s="89">
        <f t="shared" si="288"/>
        <v>6.5868785985707667E-3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7.6866106551406022E-2</v>
      </c>
      <c r="F118" s="89">
        <f t="shared" si="269"/>
        <v>6.9779005202865063E-2</v>
      </c>
      <c r="G118" s="89">
        <f t="shared" si="270"/>
        <v>-0.12179044914038839</v>
      </c>
      <c r="H118" s="89">
        <f t="shared" si="271"/>
        <v>-7.7767102931741272E-2</v>
      </c>
      <c r="I118" s="89">
        <f t="shared" si="272"/>
        <v>-5.1135953940139145E-2</v>
      </c>
      <c r="J118" s="89">
        <f t="shared" si="273"/>
        <v>3.197534584379258E-2</v>
      </c>
      <c r="K118" s="89">
        <f t="shared" si="274"/>
        <v>0.12463599616831367</v>
      </c>
      <c r="L118" s="89">
        <f t="shared" si="275"/>
        <v>-0.13963389152562622</v>
      </c>
      <c r="M118" s="89">
        <f t="shared" si="276"/>
        <v>3.5645842879690415E-2</v>
      </c>
      <c r="N118" s="89">
        <f t="shared" si="277"/>
        <v>-0.16651421135021971</v>
      </c>
      <c r="O118" s="89">
        <f t="shared" si="278"/>
        <v>-0.17861183030837868</v>
      </c>
      <c r="P118" s="89">
        <f t="shared" si="279"/>
        <v>-0.42365497452765044</v>
      </c>
      <c r="Q118" s="89">
        <f t="shared" si="280"/>
        <v>-5.7701764828705926E-2</v>
      </c>
      <c r="R118" s="89">
        <f t="shared" si="281"/>
        <v>9.8969257177457859E-2</v>
      </c>
      <c r="S118" s="89">
        <f t="shared" si="282"/>
        <v>0.42906322580645173</v>
      </c>
      <c r="T118" s="89">
        <f t="shared" si="283"/>
        <v>0.23475534466137504</v>
      </c>
      <c r="U118" s="89">
        <f t="shared" si="284"/>
        <v>4.7409714665397784E-2</v>
      </c>
      <c r="V118" s="89">
        <f t="shared" si="285"/>
        <v>0.11415335604849974</v>
      </c>
      <c r="W118" s="89">
        <f t="shared" si="286"/>
        <v>1.2848259372050697E-2</v>
      </c>
      <c r="X118" s="89">
        <f t="shared" si="287"/>
        <v>-1.6416054707230066E-3</v>
      </c>
      <c r="Y118" s="89">
        <f t="shared" si="288"/>
        <v>0.18818394760578294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-2.2772310774745952E-2</v>
      </c>
      <c r="F119" s="89">
        <f t="shared" si="269"/>
        <v>4.5742598049534289E-2</v>
      </c>
      <c r="G119" s="89">
        <f t="shared" si="270"/>
        <v>7.9299388947176697E-2</v>
      </c>
      <c r="H119" s="89">
        <f t="shared" si="271"/>
        <v>0.11819530304712123</v>
      </c>
      <c r="I119" s="89">
        <f t="shared" si="272"/>
        <v>2.8784641072379991E-2</v>
      </c>
      <c r="J119" s="89">
        <f t="shared" si="273"/>
        <v>9.6742992952816964E-2</v>
      </c>
      <c r="K119" s="89">
        <f t="shared" si="274"/>
        <v>9.0876233086641944E-2</v>
      </c>
      <c r="L119" s="89">
        <f t="shared" si="275"/>
        <v>-1.2703861487820656E-2</v>
      </c>
      <c r="M119" s="89">
        <f t="shared" si="276"/>
        <v>-0.16072156355046952</v>
      </c>
      <c r="N119" s="89">
        <f t="shared" si="277"/>
        <v>4.8184595146350206E-2</v>
      </c>
      <c r="O119" s="89">
        <f t="shared" si="278"/>
        <v>-7.2093337658014178E-2</v>
      </c>
      <c r="P119" s="89">
        <f t="shared" si="279"/>
        <v>-8.4225434590713522E-2</v>
      </c>
      <c r="Q119" s="89">
        <f t="shared" si="280"/>
        <v>-0.1831091399415633</v>
      </c>
      <c r="R119" s="89">
        <f t="shared" si="281"/>
        <v>1.916348866665385E-2</v>
      </c>
      <c r="S119" s="89">
        <f t="shared" si="282"/>
        <v>2.1234853057982672E-2</v>
      </c>
      <c r="T119" s="89">
        <f t="shared" si="283"/>
        <v>-3.8023200548337854E-2</v>
      </c>
      <c r="U119" s="89">
        <f t="shared" si="284"/>
        <v>0.22796023188367975</v>
      </c>
      <c r="V119" s="89">
        <f t="shared" si="285"/>
        <v>0.33444012978740711</v>
      </c>
      <c r="W119" s="89">
        <f t="shared" si="286"/>
        <v>8.4624907674006877E-2</v>
      </c>
      <c r="X119" s="89">
        <f t="shared" si="287"/>
        <v>-5.2008154333942347E-3</v>
      </c>
      <c r="Y119" s="89">
        <f t="shared" si="288"/>
        <v>0.14991071467809669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-0.13343292308664523</v>
      </c>
      <c r="F120" s="89">
        <f t="shared" si="269"/>
        <v>-6.4865833796376005E-2</v>
      </c>
      <c r="G120" s="89">
        <f t="shared" si="270"/>
        <v>-0.18451970277321794</v>
      </c>
      <c r="H120" s="89">
        <f t="shared" si="271"/>
        <v>-0.20261483702102123</v>
      </c>
      <c r="I120" s="89">
        <f t="shared" si="272"/>
        <v>-5.5405842147408513E-2</v>
      </c>
      <c r="J120" s="89">
        <f t="shared" si="273"/>
        <v>-4.4827499199505683E-2</v>
      </c>
      <c r="K120" s="89">
        <f t="shared" si="274"/>
        <v>-4.9842967800754812E-2</v>
      </c>
      <c r="L120" s="89">
        <f t="shared" si="275"/>
        <v>-0.18580509138412671</v>
      </c>
      <c r="M120" s="89">
        <f t="shared" si="276"/>
        <v>-0.16076480677999438</v>
      </c>
      <c r="N120" s="89">
        <f t="shared" si="277"/>
        <v>-0.17700328185811243</v>
      </c>
      <c r="O120" s="89">
        <f t="shared" si="278"/>
        <v>-7.9160915369413165E-2</v>
      </c>
      <c r="P120" s="89">
        <f t="shared" si="279"/>
        <v>-0.24240852463036411</v>
      </c>
      <c r="Q120" s="89">
        <f t="shared" si="280"/>
        <v>-0.24947442797039598</v>
      </c>
      <c r="R120" s="89">
        <f t="shared" si="281"/>
        <v>4.6104295739945789E-2</v>
      </c>
      <c r="S120" s="89">
        <f t="shared" si="282"/>
        <v>8.4956896551724004E-2</v>
      </c>
      <c r="T120" s="89">
        <f t="shared" si="283"/>
        <v>8.658470330201018E-2</v>
      </c>
      <c r="U120" s="89">
        <f t="shared" si="284"/>
        <v>0.10253654175305016</v>
      </c>
      <c r="V120" s="89">
        <f t="shared" si="285"/>
        <v>0.17090554262222013</v>
      </c>
      <c r="W120" s="89">
        <f t="shared" si="286"/>
        <v>3.7644921089257322E-2</v>
      </c>
      <c r="X120" s="89">
        <f t="shared" si="287"/>
        <v>-0.1831613135669552</v>
      </c>
      <c r="Y120" s="89">
        <f t="shared" si="288"/>
        <v>6.9947995956776143E-2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-6.5481357988236066E-2</v>
      </c>
      <c r="F121" s="89">
        <f t="shared" si="269"/>
        <v>5.2595999342752719E-2</v>
      </c>
      <c r="G121" s="89">
        <f t="shared" si="270"/>
        <v>8.8290161579322346E-2</v>
      </c>
      <c r="H121" s="89">
        <f t="shared" si="271"/>
        <v>7.3552707230234882E-2</v>
      </c>
      <c r="I121" s="89">
        <f t="shared" si="272"/>
        <v>-1.1888048489324676E-3</v>
      </c>
      <c r="J121" s="89">
        <f t="shared" si="273"/>
        <v>2.6248512626013243E-2</v>
      </c>
      <c r="K121" s="89">
        <f t="shared" si="274"/>
        <v>6.5298692622943966E-2</v>
      </c>
      <c r="L121" s="89">
        <f t="shared" si="275"/>
        <v>-4.2518338374735065E-2</v>
      </c>
      <c r="M121" s="89">
        <f t="shared" si="276"/>
        <v>-0.10962093631315017</v>
      </c>
      <c r="N121" s="89">
        <f t="shared" si="277"/>
        <v>-9.0525013127827569E-2</v>
      </c>
      <c r="O121" s="89">
        <f t="shared" si="278"/>
        <v>-0.13049169510905345</v>
      </c>
      <c r="P121" s="89">
        <f t="shared" si="279"/>
        <v>-0.14900375271164801</v>
      </c>
      <c r="Q121" s="89">
        <f t="shared" si="280"/>
        <v>-0.38345560118589928</v>
      </c>
      <c r="R121" s="89">
        <f t="shared" si="281"/>
        <v>-8.3251451789504993E-2</v>
      </c>
      <c r="S121" s="89">
        <f t="shared" si="282"/>
        <v>0.19742042857142827</v>
      </c>
      <c r="T121" s="89">
        <f t="shared" si="283"/>
        <v>0.11486418506962992</v>
      </c>
      <c r="U121" s="89">
        <f t="shared" si="284"/>
        <v>0.22354664999423868</v>
      </c>
      <c r="V121" s="89">
        <f t="shared" si="285"/>
        <v>0.19729398938275056</v>
      </c>
      <c r="W121" s="89">
        <f t="shared" si="286"/>
        <v>0.11275220812172537</v>
      </c>
      <c r="X121" s="89">
        <f t="shared" si="287"/>
        <v>-9.9551351557999435E-2</v>
      </c>
      <c r="Y121" s="89">
        <f t="shared" si="288"/>
        <v>2.2187660807916121E-2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-5.3002864726222287E-2</v>
      </c>
      <c r="F122" s="91">
        <f t="shared" si="269"/>
        <v>1.5268865631340223E-2</v>
      </c>
      <c r="G122" s="91">
        <f t="shared" si="270"/>
        <v>-0.10523119024688599</v>
      </c>
      <c r="H122" s="91">
        <f t="shared" si="271"/>
        <v>4.0100712863526011E-2</v>
      </c>
      <c r="I122" s="91">
        <f t="shared" si="272"/>
        <v>-4.810161700528115E-2</v>
      </c>
      <c r="J122" s="91">
        <f t="shared" si="273"/>
        <v>7.4834111848538498E-3</v>
      </c>
      <c r="K122" s="91">
        <f t="shared" si="274"/>
        <v>5.623958128712081E-3</v>
      </c>
      <c r="L122" s="91">
        <f t="shared" si="275"/>
        <v>1.748714248040395E-2</v>
      </c>
      <c r="M122" s="91">
        <f t="shared" si="276"/>
        <v>-6.654562606330805E-2</v>
      </c>
      <c r="N122" s="91">
        <f t="shared" si="277"/>
        <v>9.306360677937775E-3</v>
      </c>
      <c r="O122" s="91">
        <f t="shared" si="278"/>
        <v>-0.17600714291439867</v>
      </c>
      <c r="P122" s="91">
        <f t="shared" si="279"/>
        <v>-0.20526112235719818</v>
      </c>
      <c r="Q122" s="91">
        <f t="shared" si="280"/>
        <v>-5.1340692998503967E-2</v>
      </c>
      <c r="R122" s="91">
        <f t="shared" si="281"/>
        <v>4.9653627614087981E-3</v>
      </c>
      <c r="S122" s="91">
        <f t="shared" si="282"/>
        <v>-2.0163371647509698E-2</v>
      </c>
      <c r="T122" s="91">
        <f t="shared" si="283"/>
        <v>0.18038145809273498</v>
      </c>
      <c r="U122" s="91">
        <f t="shared" si="284"/>
        <v>5.5549246181695322E-2</v>
      </c>
      <c r="V122" s="91">
        <f t="shared" si="285"/>
        <v>8.4635541139387538E-2</v>
      </c>
      <c r="W122" s="91">
        <f t="shared" si="286"/>
        <v>2.8925215870019727E-2</v>
      </c>
      <c r="X122" s="91">
        <f t="shared" si="287"/>
        <v>-3.0519740849669241E-2</v>
      </c>
      <c r="Y122" s="91">
        <f t="shared" si="288"/>
        <v>0.1192945591541712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2024-05-20T16:46:57Z</dcterms:created>
  <dcterms:modified xsi:type="dcterms:W3CDTF">2024-05-20T16:46:57Z</dcterms:modified>
</cp:coreProperties>
</file>